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bookViews>
    <workbookView xWindow="15" yWindow="570" windowWidth="11235" windowHeight="7335" tabRatio="751"/>
  </bookViews>
  <sheets>
    <sheet name="Participants" sheetId="1" r:id="rId1"/>
    <sheet name="Admission" sheetId="2" r:id="rId2"/>
    <sheet name="Pre-Op" sheetId="3" r:id="rId3"/>
    <sheet name="Post-Op &gt; 24hrs" sheetId="4" r:id="rId4"/>
    <sheet name="Post-op over 7days" sheetId="5" r:id="rId5"/>
    <sheet name="Collated data" sheetId="6" r:id="rId6"/>
    <sheet name="Answers+SOP" sheetId="7" r:id="rId7"/>
    <sheet name="column_description" sheetId="8" r:id="rId8"/>
  </sheets>
  <calcPr calcId="145621"/>
</workbook>
</file>

<file path=xl/calcChain.xml><?xml version="1.0" encoding="utf-8"?>
<calcChain xmlns="http://schemas.openxmlformats.org/spreadsheetml/2006/main">
  <c r="H26" i="6" l="1"/>
  <c r="A177" i="6" l="1"/>
  <c r="A178" i="6"/>
  <c r="A179" i="6"/>
  <c r="A180" i="6"/>
  <c r="A181" i="6"/>
  <c r="A182" i="6"/>
  <c r="A183" i="6"/>
  <c r="A184" i="6"/>
  <c r="A185" i="6"/>
  <c r="H183" i="2" l="1"/>
  <c r="AB2" i="6" l="1"/>
  <c r="AB3" i="6"/>
  <c r="AB4" i="6"/>
  <c r="AB5" i="6"/>
  <c r="AB6" i="6"/>
  <c r="AB7" i="6"/>
  <c r="AB8" i="6"/>
  <c r="AB9" i="6"/>
  <c r="AB10" i="6"/>
  <c r="AB11" i="6"/>
  <c r="AB12" i="6"/>
  <c r="AB13" i="6"/>
  <c r="AB14" i="6"/>
  <c r="AB15" i="6"/>
  <c r="AB16" i="6"/>
  <c r="AB17" i="6"/>
  <c r="AB18" i="6"/>
  <c r="AB19" i="6"/>
  <c r="AB20" i="6"/>
  <c r="AB21" i="6"/>
  <c r="AB22" i="6"/>
  <c r="AB23" i="6"/>
  <c r="AB24" i="6"/>
  <c r="AB25" i="6"/>
  <c r="AB26" i="6"/>
  <c r="AB27" i="6"/>
  <c r="AB28" i="6"/>
  <c r="AB29" i="6"/>
  <c r="AB30" i="6"/>
  <c r="AB31" i="6"/>
  <c r="AB32" i="6"/>
  <c r="AB33" i="6"/>
  <c r="AB34" i="6"/>
  <c r="AB35" i="6"/>
  <c r="AB36" i="6"/>
  <c r="AB37" i="6"/>
  <c r="AB38" i="6"/>
  <c r="AB39" i="6"/>
  <c r="AB40" i="6"/>
  <c r="AB41" i="6"/>
  <c r="AB42" i="6"/>
  <c r="AB43" i="6"/>
  <c r="AB44" i="6"/>
  <c r="AB45" i="6"/>
  <c r="AB46" i="6"/>
  <c r="AB47" i="6"/>
  <c r="AB48" i="6"/>
  <c r="AB49" i="6"/>
  <c r="AB50" i="6"/>
  <c r="AB51" i="6"/>
  <c r="AB52" i="6"/>
  <c r="AB53" i="6"/>
  <c r="AB54" i="6"/>
  <c r="AB55" i="6"/>
  <c r="AB56" i="6"/>
  <c r="AB57" i="6"/>
  <c r="AB58" i="6"/>
  <c r="AB59" i="6"/>
  <c r="AB60" i="6"/>
  <c r="AB61" i="6"/>
  <c r="AB62" i="6"/>
  <c r="AB63" i="6"/>
  <c r="AB64" i="6"/>
  <c r="AB65" i="6"/>
  <c r="AB66" i="6"/>
  <c r="AB67" i="6"/>
  <c r="AB68" i="6"/>
  <c r="AB69" i="6"/>
  <c r="AB70" i="6"/>
  <c r="AB71" i="6"/>
  <c r="AB72" i="6"/>
  <c r="AB73" i="6"/>
  <c r="AB74" i="6"/>
  <c r="AB75" i="6"/>
  <c r="AB76" i="6"/>
  <c r="AB77" i="6"/>
  <c r="AB78" i="6"/>
  <c r="AB79" i="6"/>
  <c r="AB80" i="6"/>
  <c r="AB81" i="6"/>
  <c r="AB82" i="6"/>
  <c r="AB83" i="6"/>
  <c r="AB84" i="6"/>
  <c r="AB85" i="6"/>
  <c r="AB86" i="6"/>
  <c r="AB87" i="6"/>
  <c r="AB88" i="6"/>
  <c r="AB89" i="6"/>
  <c r="AB90" i="6"/>
  <c r="AB91" i="6"/>
  <c r="AB92" i="6"/>
  <c r="AB93" i="6"/>
  <c r="AB94" i="6"/>
  <c r="AB95" i="6"/>
  <c r="AB96" i="6"/>
  <c r="AB97" i="6"/>
  <c r="AB98" i="6"/>
  <c r="AB99" i="6"/>
  <c r="AB100" i="6"/>
  <c r="AB101" i="6"/>
  <c r="AB102" i="6"/>
  <c r="AB103" i="6"/>
  <c r="AB104" i="6"/>
  <c r="AB105" i="6"/>
  <c r="AB106" i="6"/>
  <c r="AB107" i="6"/>
  <c r="AB108" i="6"/>
  <c r="AB109" i="6"/>
  <c r="AB110" i="6"/>
  <c r="AB111" i="6"/>
  <c r="AB112" i="6"/>
  <c r="AB113" i="6"/>
  <c r="AB114" i="6"/>
  <c r="AB115" i="6"/>
  <c r="AB116" i="6"/>
  <c r="AB117" i="6"/>
  <c r="AB118" i="6"/>
  <c r="AB119" i="6"/>
  <c r="AB120" i="6"/>
  <c r="AB121" i="6"/>
  <c r="AB122" i="6"/>
  <c r="AB123" i="6"/>
  <c r="AB124" i="6"/>
  <c r="AB125" i="6"/>
  <c r="AB126" i="6"/>
  <c r="AB127" i="6"/>
  <c r="AB128" i="6"/>
  <c r="AB129" i="6"/>
  <c r="AB130" i="6"/>
  <c r="AB131" i="6"/>
  <c r="AB132" i="6"/>
  <c r="AB133" i="6"/>
  <c r="AB134" i="6"/>
  <c r="AB135" i="6"/>
  <c r="AB136" i="6"/>
  <c r="AB137" i="6"/>
  <c r="AB138" i="6"/>
  <c r="AB139" i="6"/>
  <c r="AB140" i="6"/>
  <c r="AB141" i="6"/>
  <c r="AB142" i="6"/>
  <c r="AB143" i="6"/>
  <c r="AB144" i="6"/>
  <c r="AB145" i="6"/>
  <c r="AB146" i="6"/>
  <c r="AB147" i="6"/>
  <c r="AB148" i="6"/>
  <c r="AB149" i="6"/>
  <c r="AB150" i="6"/>
  <c r="AB151" i="6"/>
  <c r="AB152" i="6"/>
  <c r="AB153" i="6"/>
  <c r="AB154" i="6"/>
  <c r="AB155" i="6"/>
  <c r="AB156" i="6"/>
  <c r="AB157" i="6"/>
  <c r="AB158" i="6"/>
  <c r="AB159" i="6"/>
  <c r="AB160" i="6"/>
  <c r="AB161" i="6"/>
  <c r="AB162" i="6"/>
  <c r="AB163" i="6"/>
  <c r="AB164" i="6"/>
  <c r="AB165" i="6"/>
  <c r="AB166" i="6"/>
  <c r="AB167" i="6"/>
  <c r="AB168" i="6"/>
  <c r="AB169" i="6"/>
  <c r="AB170" i="6"/>
  <c r="AB171" i="6"/>
  <c r="AB172" i="6"/>
  <c r="AB173" i="6"/>
  <c r="AB174" i="6"/>
  <c r="AB175" i="6"/>
  <c r="AB176" i="6"/>
  <c r="AB177" i="6"/>
  <c r="AB178" i="6"/>
  <c r="AB179" i="6"/>
  <c r="AB180" i="6"/>
  <c r="AB181" i="6"/>
  <c r="AB182" i="6"/>
  <c r="AB183" i="6"/>
  <c r="AB184" i="6"/>
  <c r="AB185" i="6"/>
  <c r="AA2" i="6"/>
  <c r="AA3" i="6"/>
  <c r="AA4" i="6"/>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136" i="6"/>
  <c r="AA137" i="6"/>
  <c r="AA138" i="6"/>
  <c r="AA139" i="6"/>
  <c r="AA140" i="6"/>
  <c r="AA141" i="6"/>
  <c r="AA142" i="6"/>
  <c r="AA143" i="6"/>
  <c r="AA144" i="6"/>
  <c r="AA145" i="6"/>
  <c r="AA146" i="6"/>
  <c r="AA147" i="6"/>
  <c r="AA148" i="6"/>
  <c r="AA149" i="6"/>
  <c r="AA150" i="6"/>
  <c r="AA151" i="6"/>
  <c r="AA152" i="6"/>
  <c r="AA153" i="6"/>
  <c r="AA154" i="6"/>
  <c r="AA155" i="6"/>
  <c r="AA156" i="6"/>
  <c r="AA157" i="6"/>
  <c r="AA158" i="6"/>
  <c r="AA159" i="6"/>
  <c r="AA160" i="6"/>
  <c r="AA161" i="6"/>
  <c r="AA162" i="6"/>
  <c r="AA163" i="6"/>
  <c r="AA164" i="6"/>
  <c r="AA165" i="6"/>
  <c r="AA166" i="6"/>
  <c r="AA167" i="6"/>
  <c r="AA168" i="6"/>
  <c r="AA169" i="6"/>
  <c r="AA170" i="6"/>
  <c r="AA171" i="6"/>
  <c r="AA172" i="6"/>
  <c r="AA173" i="6"/>
  <c r="AA174" i="6"/>
  <c r="AA175" i="6"/>
  <c r="AA176" i="6"/>
  <c r="AA177" i="6"/>
  <c r="AA178" i="6"/>
  <c r="AA179" i="6"/>
  <c r="AA180" i="6"/>
  <c r="AA181" i="6"/>
  <c r="AA182" i="6"/>
  <c r="AA183" i="6"/>
  <c r="AA184" i="6"/>
  <c r="AA185" i="6"/>
  <c r="Z2" i="6"/>
  <c r="AM2" i="6" l="1"/>
  <c r="AM3" i="6"/>
  <c r="AM4" i="6"/>
  <c r="AM5" i="6"/>
  <c r="AM6" i="6"/>
  <c r="AM7" i="6"/>
  <c r="AM8" i="6"/>
  <c r="AM9" i="6"/>
  <c r="AM10" i="6"/>
  <c r="AM11" i="6"/>
  <c r="AM12" i="6"/>
  <c r="AM13" i="6"/>
  <c r="AM14" i="6"/>
  <c r="AM15" i="6"/>
  <c r="AM16" i="6"/>
  <c r="AM17" i="6"/>
  <c r="AM18" i="6"/>
  <c r="AM19" i="6"/>
  <c r="AM20" i="6"/>
  <c r="AM21" i="6"/>
  <c r="AM22" i="6"/>
  <c r="AM23" i="6"/>
  <c r="AM24" i="6"/>
  <c r="AM25" i="6"/>
  <c r="AM26" i="6"/>
  <c r="AM27" i="6"/>
  <c r="AM28" i="6"/>
  <c r="AM29" i="6"/>
  <c r="AM30" i="6"/>
  <c r="AM31" i="6"/>
  <c r="AM32" i="6"/>
  <c r="AM33" i="6"/>
  <c r="AM34" i="6"/>
  <c r="AM35" i="6"/>
  <c r="AM36" i="6"/>
  <c r="AM37" i="6"/>
  <c r="AM38" i="6"/>
  <c r="AM39" i="6"/>
  <c r="AM40" i="6"/>
  <c r="AM41" i="6"/>
  <c r="AM42" i="6"/>
  <c r="AM43" i="6"/>
  <c r="AM44" i="6"/>
  <c r="AM45" i="6"/>
  <c r="AM46" i="6"/>
  <c r="AM47" i="6"/>
  <c r="AM48" i="6"/>
  <c r="AM49" i="6"/>
  <c r="AM50" i="6"/>
  <c r="AM51" i="6"/>
  <c r="AM52" i="6"/>
  <c r="AM53" i="6"/>
  <c r="AM54" i="6"/>
  <c r="AM55" i="6"/>
  <c r="AM56" i="6"/>
  <c r="AM57" i="6"/>
  <c r="AM58" i="6"/>
  <c r="AM59" i="6"/>
  <c r="AM60" i="6"/>
  <c r="AM61" i="6"/>
  <c r="AM62" i="6"/>
  <c r="AM63" i="6"/>
  <c r="AM64" i="6"/>
  <c r="AM65" i="6"/>
  <c r="AM66" i="6"/>
  <c r="AM67" i="6"/>
  <c r="AM68" i="6"/>
  <c r="AM69" i="6"/>
  <c r="AM70" i="6"/>
  <c r="AM71" i="6"/>
  <c r="AM72" i="6"/>
  <c r="AM73" i="6"/>
  <c r="AM74" i="6"/>
  <c r="AM75" i="6"/>
  <c r="AM76" i="6"/>
  <c r="AM77" i="6"/>
  <c r="AM78" i="6"/>
  <c r="AM79" i="6"/>
  <c r="AM80" i="6"/>
  <c r="AM81" i="6"/>
  <c r="AM82" i="6"/>
  <c r="AM83" i="6"/>
  <c r="AM84" i="6"/>
  <c r="AM85" i="6"/>
  <c r="AM86" i="6"/>
  <c r="AM87" i="6"/>
  <c r="AM88" i="6"/>
  <c r="AM89" i="6"/>
  <c r="AM90" i="6"/>
  <c r="AM91" i="6"/>
  <c r="AM92" i="6"/>
  <c r="AM93" i="6"/>
  <c r="AM94" i="6"/>
  <c r="AM95" i="6"/>
  <c r="AM96" i="6"/>
  <c r="AM97" i="6"/>
  <c r="AM98" i="6"/>
  <c r="AM99" i="6"/>
  <c r="AM100" i="6"/>
  <c r="AM101" i="6"/>
  <c r="AM102" i="6"/>
  <c r="AM103" i="6"/>
  <c r="AM104" i="6"/>
  <c r="AM105" i="6"/>
  <c r="AM106" i="6"/>
  <c r="AM107" i="6"/>
  <c r="AM108" i="6"/>
  <c r="AM109" i="6"/>
  <c r="AM110" i="6"/>
  <c r="AM111" i="6"/>
  <c r="AM112" i="6"/>
  <c r="AM113" i="6"/>
  <c r="AM114" i="6"/>
  <c r="AM115" i="6"/>
  <c r="AM116" i="6"/>
  <c r="AM117" i="6"/>
  <c r="AM118" i="6"/>
  <c r="AM119" i="6"/>
  <c r="AM120" i="6"/>
  <c r="AM121" i="6"/>
  <c r="AM122" i="6"/>
  <c r="AM123" i="6"/>
  <c r="AM124" i="6"/>
  <c r="AM125" i="6"/>
  <c r="AM126" i="6"/>
  <c r="AM127" i="6"/>
  <c r="AM128" i="6"/>
  <c r="AM129" i="6"/>
  <c r="AM130" i="6"/>
  <c r="AM131" i="6"/>
  <c r="AM132" i="6"/>
  <c r="AM133" i="6"/>
  <c r="AM134" i="6"/>
  <c r="AM135" i="6"/>
  <c r="AM136" i="6"/>
  <c r="AM137" i="6"/>
  <c r="AM138" i="6"/>
  <c r="AM139" i="6"/>
  <c r="AM140" i="6"/>
  <c r="AM141" i="6"/>
  <c r="AM142" i="6"/>
  <c r="AM143" i="6"/>
  <c r="AM144" i="6"/>
  <c r="AM145" i="6"/>
  <c r="AM146" i="6"/>
  <c r="AM147" i="6"/>
  <c r="AM148" i="6"/>
  <c r="AM149" i="6"/>
  <c r="AM150" i="6"/>
  <c r="AM151" i="6"/>
  <c r="AM152" i="6"/>
  <c r="AM153" i="6"/>
  <c r="AM154" i="6"/>
  <c r="AM155" i="6"/>
  <c r="AM156" i="6"/>
  <c r="AM157" i="6"/>
  <c r="AM158" i="6"/>
  <c r="AM159" i="6"/>
  <c r="AM160" i="6"/>
  <c r="AM161" i="6"/>
  <c r="AM162" i="6"/>
  <c r="AM163" i="6"/>
  <c r="AM164" i="6"/>
  <c r="AM165" i="6"/>
  <c r="AM166" i="6"/>
  <c r="AM167" i="6"/>
  <c r="AM168" i="6"/>
  <c r="AM169" i="6"/>
  <c r="AM170" i="6"/>
  <c r="AM171" i="6"/>
  <c r="AM172" i="6"/>
  <c r="AM173" i="6"/>
  <c r="AM174" i="6"/>
  <c r="AM175" i="6"/>
  <c r="AM176" i="6"/>
  <c r="AM177" i="6"/>
  <c r="AM178" i="6"/>
  <c r="AM179" i="6"/>
  <c r="AM180" i="6"/>
  <c r="AM181" i="6"/>
  <c r="AM182" i="6"/>
  <c r="AM183" i="6"/>
  <c r="AM184" i="6"/>
  <c r="AM185" i="6"/>
  <c r="AL2" i="6"/>
  <c r="H151" i="1"/>
  <c r="I151" i="1"/>
  <c r="A47" i="6"/>
  <c r="A55" i="6" l="1"/>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3" i="6"/>
  <c r="A4" i="6"/>
  <c r="A5" i="6"/>
  <c r="A6" i="6"/>
  <c r="A7" i="6"/>
  <c r="A8" i="6"/>
  <c r="A9" i="6"/>
  <c r="A10" i="6"/>
  <c r="A11" i="6"/>
  <c r="A2" i="6"/>
  <c r="A54" i="6" l="1"/>
  <c r="A53" i="6"/>
  <c r="A52" i="6"/>
  <c r="A51" i="6"/>
  <c r="A50" i="6"/>
  <c r="A49" i="6"/>
  <c r="A48"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69" i="2" l="1"/>
  <c r="A159" i="3" l="1"/>
  <c r="B159" i="3"/>
  <c r="J5" i="2" l="1"/>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I29" i="1"/>
  <c r="H124" i="1" l="1"/>
  <c r="I124" i="1"/>
  <c r="A124" i="4"/>
  <c r="A102" i="3" l="1"/>
  <c r="B102" i="3"/>
  <c r="H102" i="2"/>
  <c r="A102" i="2"/>
  <c r="B102" i="2"/>
  <c r="H102" i="1"/>
  <c r="I102" i="1"/>
  <c r="H103" i="1"/>
  <c r="I103" i="1"/>
  <c r="H104" i="1"/>
  <c r="I104" i="1"/>
  <c r="H105" i="1"/>
  <c r="I105" i="1"/>
  <c r="H106" i="1"/>
  <c r="I106" i="1"/>
  <c r="H107" i="1"/>
  <c r="I107" i="1"/>
  <c r="H108" i="1"/>
  <c r="I108" i="1"/>
  <c r="H109" i="1"/>
  <c r="I109" i="1"/>
  <c r="H110" i="1"/>
  <c r="I110" i="1"/>
  <c r="H111" i="1"/>
  <c r="I111" i="1"/>
  <c r="H112" i="1"/>
  <c r="I112" i="1"/>
  <c r="H113" i="1"/>
  <c r="I113" i="1"/>
  <c r="H114" i="1"/>
  <c r="I114" i="1"/>
  <c r="H115" i="1"/>
  <c r="I115" i="1"/>
  <c r="H116" i="1"/>
  <c r="I116" i="1"/>
  <c r="H117" i="1"/>
  <c r="I117" i="1"/>
  <c r="H118" i="1"/>
  <c r="I118" i="1"/>
  <c r="H119" i="1"/>
  <c r="I119" i="1"/>
  <c r="H120" i="1"/>
  <c r="I120" i="1"/>
  <c r="H121" i="1"/>
  <c r="I121" i="1"/>
  <c r="H122" i="1"/>
  <c r="I122" i="1"/>
  <c r="H123" i="1"/>
  <c r="I123" i="1"/>
  <c r="H125" i="1"/>
  <c r="I125" i="1"/>
  <c r="H126" i="1"/>
  <c r="I126" i="1"/>
  <c r="H127" i="1"/>
  <c r="I127" i="1"/>
  <c r="H128" i="1"/>
  <c r="I128" i="1"/>
  <c r="H129" i="1"/>
  <c r="I129" i="1"/>
  <c r="H130" i="1"/>
  <c r="I130" i="1"/>
  <c r="H131" i="1"/>
  <c r="I131" i="1"/>
  <c r="H132" i="1"/>
  <c r="I132" i="1"/>
  <c r="H133" i="1"/>
  <c r="I133" i="1"/>
  <c r="H134" i="1"/>
  <c r="I134" i="1"/>
  <c r="H135" i="1"/>
  <c r="I135" i="1"/>
  <c r="H136" i="1"/>
  <c r="I136" i="1"/>
  <c r="H137" i="1"/>
  <c r="I137" i="1"/>
  <c r="H138" i="1"/>
  <c r="I138" i="1"/>
  <c r="H139" i="1"/>
  <c r="I139" i="1"/>
  <c r="H140" i="1"/>
  <c r="I140" i="1"/>
  <c r="H141" i="1"/>
  <c r="I141" i="1"/>
  <c r="H142" i="1"/>
  <c r="I142" i="1"/>
  <c r="H143" i="1"/>
  <c r="I143" i="1"/>
  <c r="H144" i="1"/>
  <c r="I144" i="1"/>
  <c r="H145" i="1"/>
  <c r="I145" i="1"/>
  <c r="H146" i="1"/>
  <c r="I146" i="1"/>
  <c r="H147" i="1"/>
  <c r="I147" i="1"/>
  <c r="H148" i="1"/>
  <c r="I148" i="1"/>
  <c r="H149" i="1"/>
  <c r="I149" i="1"/>
  <c r="H150" i="1"/>
  <c r="I150" i="1"/>
  <c r="H152" i="1"/>
  <c r="I152" i="1"/>
  <c r="H153" i="1"/>
  <c r="I153" i="1"/>
  <c r="H154" i="1"/>
  <c r="I154" i="1"/>
  <c r="H155" i="1"/>
  <c r="I155" i="1"/>
  <c r="H156" i="1"/>
  <c r="I156" i="1"/>
  <c r="H157" i="1"/>
  <c r="I157" i="1"/>
  <c r="H158" i="1"/>
  <c r="I158" i="1"/>
  <c r="H159" i="1"/>
  <c r="I159" i="1"/>
  <c r="H160" i="1"/>
  <c r="I160" i="1"/>
  <c r="H161" i="1"/>
  <c r="I161" i="1"/>
  <c r="H162" i="1"/>
  <c r="I162" i="1"/>
  <c r="H163" i="1"/>
  <c r="I163" i="1"/>
  <c r="H164" i="1"/>
  <c r="I164" i="1"/>
  <c r="H165" i="1"/>
  <c r="I165" i="1"/>
  <c r="H166" i="1"/>
  <c r="I166" i="1"/>
  <c r="H167" i="1"/>
  <c r="I167" i="1"/>
  <c r="H168" i="1"/>
  <c r="I168" i="1"/>
  <c r="H169" i="1"/>
  <c r="I169" i="1"/>
  <c r="H170" i="1"/>
  <c r="I170" i="1"/>
  <c r="H171" i="1"/>
  <c r="I171" i="1"/>
  <c r="H172" i="1"/>
  <c r="I172" i="1"/>
  <c r="H173" i="1"/>
  <c r="I173" i="1"/>
  <c r="H174" i="1"/>
  <c r="I174" i="1"/>
  <c r="H175" i="1"/>
  <c r="I175" i="1"/>
  <c r="H176" i="1"/>
  <c r="I176" i="1"/>
  <c r="H177" i="1"/>
  <c r="I177" i="1"/>
  <c r="H178" i="1"/>
  <c r="I178" i="1"/>
  <c r="H179" i="1"/>
  <c r="I179" i="1"/>
  <c r="H180" i="1"/>
  <c r="I180" i="1"/>
  <c r="H181" i="1"/>
  <c r="I181" i="1"/>
  <c r="H182" i="1"/>
  <c r="I182" i="1"/>
  <c r="H183" i="1"/>
  <c r="I183" i="1"/>
  <c r="H184" i="1"/>
  <c r="I184" i="1"/>
  <c r="H185" i="1"/>
  <c r="I185" i="1"/>
  <c r="H187" i="1"/>
  <c r="I187" i="1"/>
  <c r="H188" i="1"/>
  <c r="I188" i="1"/>
  <c r="H189" i="1"/>
  <c r="I189" i="1"/>
  <c r="H190" i="1"/>
  <c r="I190" i="1"/>
  <c r="H191" i="1"/>
  <c r="I191" i="1"/>
  <c r="H192" i="1"/>
  <c r="I192" i="1"/>
  <c r="H193" i="1"/>
  <c r="I193" i="1"/>
  <c r="H194" i="1"/>
  <c r="I194" i="1"/>
  <c r="H195" i="1"/>
  <c r="I195" i="1"/>
  <c r="H196" i="1"/>
  <c r="I196" i="1"/>
  <c r="H197" i="1"/>
  <c r="I197" i="1"/>
  <c r="H198" i="1"/>
  <c r="I198" i="1"/>
  <c r="H199" i="1"/>
  <c r="I199" i="1"/>
  <c r="H200" i="1"/>
  <c r="I200" i="1"/>
  <c r="H201" i="1"/>
  <c r="I201" i="1"/>
  <c r="H202" i="1"/>
  <c r="I202" i="1"/>
  <c r="H203" i="1"/>
  <c r="I203" i="1"/>
  <c r="H204" i="1"/>
  <c r="I204" i="1"/>
  <c r="H205" i="1"/>
  <c r="I205" i="1"/>
  <c r="H206" i="1"/>
  <c r="I206" i="1"/>
  <c r="H207" i="1"/>
  <c r="I207" i="1"/>
  <c r="H208" i="1"/>
  <c r="I208" i="1"/>
  <c r="H209" i="1"/>
  <c r="I209" i="1"/>
  <c r="H210" i="1"/>
  <c r="I210" i="1"/>
  <c r="H211" i="1"/>
  <c r="I211" i="1"/>
  <c r="H212" i="1"/>
  <c r="I212" i="1"/>
  <c r="H213" i="1"/>
  <c r="I213" i="1"/>
  <c r="H214" i="1"/>
  <c r="I214" i="1"/>
  <c r="H215" i="1"/>
  <c r="I215" i="1"/>
  <c r="H216" i="1"/>
  <c r="I216" i="1"/>
  <c r="H217" i="1"/>
  <c r="I217" i="1"/>
  <c r="H218" i="1"/>
  <c r="I218" i="1"/>
  <c r="H219" i="1"/>
  <c r="I219" i="1"/>
  <c r="H220" i="1"/>
  <c r="I220" i="1"/>
  <c r="H221" i="1"/>
  <c r="I221" i="1"/>
  <c r="H222" i="1"/>
  <c r="I222" i="1"/>
  <c r="H223" i="1"/>
  <c r="I223" i="1"/>
  <c r="H224" i="1"/>
  <c r="I224" i="1"/>
  <c r="H225" i="1"/>
  <c r="I225" i="1"/>
  <c r="H226" i="1"/>
  <c r="I226" i="1"/>
  <c r="H227" i="1"/>
  <c r="I227" i="1"/>
  <c r="H228" i="1"/>
  <c r="I228" i="1"/>
  <c r="H229" i="1"/>
  <c r="I229" i="1"/>
  <c r="H230" i="1"/>
  <c r="I230" i="1"/>
  <c r="H231" i="1"/>
  <c r="I231" i="1"/>
  <c r="H232" i="1"/>
  <c r="I232" i="1"/>
  <c r="H233" i="1"/>
  <c r="I233" i="1"/>
  <c r="H234" i="1"/>
  <c r="I234" i="1"/>
  <c r="H235" i="1"/>
  <c r="I235" i="1"/>
  <c r="H236" i="1"/>
  <c r="I236" i="1"/>
  <c r="H237" i="1"/>
  <c r="I237" i="1"/>
  <c r="H238" i="1"/>
  <c r="I238" i="1"/>
  <c r="H239" i="1"/>
  <c r="I239" i="1"/>
  <c r="H240" i="1"/>
  <c r="I240" i="1"/>
  <c r="H241" i="1"/>
  <c r="I241" i="1"/>
  <c r="H242" i="1"/>
  <c r="I242" i="1"/>
  <c r="H243" i="1"/>
  <c r="I243" i="1"/>
  <c r="H244" i="1"/>
  <c r="I244" i="1"/>
  <c r="H245" i="1"/>
  <c r="I245" i="1"/>
  <c r="H246" i="1"/>
  <c r="I246" i="1"/>
  <c r="H247" i="1"/>
  <c r="I247" i="1"/>
  <c r="H248" i="1"/>
  <c r="I248" i="1"/>
  <c r="H249" i="1"/>
  <c r="I249" i="1"/>
  <c r="H250" i="1"/>
  <c r="I250" i="1"/>
  <c r="H251" i="1"/>
  <c r="I251" i="1"/>
  <c r="H252" i="1"/>
  <c r="I252" i="1"/>
  <c r="H253" i="1"/>
  <c r="I253" i="1"/>
  <c r="H254" i="1"/>
  <c r="I254" i="1"/>
  <c r="H255" i="1"/>
  <c r="I255" i="1"/>
  <c r="H256" i="1"/>
  <c r="I256" i="1"/>
  <c r="H257" i="1"/>
  <c r="I257" i="1"/>
  <c r="H258" i="1"/>
  <c r="I258" i="1"/>
  <c r="H259" i="1"/>
  <c r="I259" i="1"/>
  <c r="H260" i="1"/>
  <c r="I260" i="1"/>
  <c r="H261" i="1"/>
  <c r="I261" i="1"/>
  <c r="H262" i="1"/>
  <c r="I262" i="1"/>
  <c r="H263" i="1"/>
  <c r="I263" i="1"/>
  <c r="H264" i="1"/>
  <c r="I264" i="1"/>
  <c r="H265" i="1"/>
  <c r="I265" i="1"/>
  <c r="H266" i="1"/>
  <c r="I266" i="1"/>
  <c r="H267" i="1"/>
  <c r="I267" i="1"/>
  <c r="H268" i="1"/>
  <c r="I268" i="1"/>
  <c r="H269" i="1"/>
  <c r="I269" i="1"/>
  <c r="H270" i="1"/>
  <c r="I270" i="1"/>
  <c r="H271" i="1"/>
  <c r="I271" i="1"/>
  <c r="H272" i="1"/>
  <c r="I272" i="1"/>
  <c r="H273" i="1"/>
  <c r="I273" i="1"/>
  <c r="H274" i="1"/>
  <c r="I274" i="1"/>
  <c r="H275" i="1"/>
  <c r="I275" i="1"/>
  <c r="H276" i="1"/>
  <c r="I276" i="1"/>
  <c r="H277" i="1"/>
  <c r="I277" i="1"/>
  <c r="H278" i="1"/>
  <c r="I278" i="1"/>
  <c r="H279" i="1"/>
  <c r="I279" i="1"/>
  <c r="H280" i="1"/>
  <c r="I280" i="1"/>
  <c r="H281" i="1"/>
  <c r="I281" i="1"/>
  <c r="H282" i="1"/>
  <c r="I282" i="1"/>
  <c r="H283" i="1"/>
  <c r="I283" i="1"/>
  <c r="H284" i="1"/>
  <c r="I284" i="1"/>
  <c r="H285" i="1"/>
  <c r="I285" i="1"/>
  <c r="H286" i="1"/>
  <c r="I286" i="1"/>
  <c r="H287" i="1"/>
  <c r="I287" i="1"/>
  <c r="H288" i="1"/>
  <c r="I288" i="1"/>
  <c r="H289" i="1"/>
  <c r="I289" i="1"/>
  <c r="H290" i="1"/>
  <c r="I290" i="1"/>
  <c r="H291" i="1"/>
  <c r="I291" i="1"/>
  <c r="H292" i="1"/>
  <c r="I292" i="1"/>
  <c r="H293" i="1"/>
  <c r="I293" i="1"/>
  <c r="H294" i="1"/>
  <c r="I294" i="1"/>
  <c r="H295" i="1"/>
  <c r="I295" i="1"/>
  <c r="H296" i="1"/>
  <c r="I296" i="1"/>
  <c r="H297" i="1"/>
  <c r="I297" i="1"/>
  <c r="H298" i="1"/>
  <c r="I298" i="1"/>
  <c r="H299" i="1"/>
  <c r="I299" i="1"/>
  <c r="H300" i="1"/>
  <c r="I300" i="1"/>
  <c r="H301" i="1"/>
  <c r="I301" i="1"/>
  <c r="H302" i="1"/>
  <c r="I302" i="1"/>
  <c r="H303" i="1"/>
  <c r="I303" i="1"/>
  <c r="H304" i="1"/>
  <c r="I304" i="1"/>
  <c r="H305" i="1"/>
  <c r="I305" i="1"/>
  <c r="H306" i="1"/>
  <c r="I306" i="1"/>
  <c r="H307" i="1"/>
  <c r="I307" i="1"/>
  <c r="H308" i="1"/>
  <c r="I308" i="1"/>
  <c r="H309" i="1"/>
  <c r="I309" i="1"/>
  <c r="H310" i="1"/>
  <c r="I310" i="1"/>
  <c r="H311" i="1"/>
  <c r="I311" i="1"/>
  <c r="H312" i="1"/>
  <c r="I312" i="1"/>
  <c r="H313" i="1"/>
  <c r="I313" i="1"/>
  <c r="H314" i="1"/>
  <c r="I314" i="1"/>
  <c r="H315" i="1"/>
  <c r="I315" i="1"/>
  <c r="H316" i="1"/>
  <c r="I316" i="1"/>
  <c r="H317" i="1"/>
  <c r="I317" i="1"/>
  <c r="H318" i="1"/>
  <c r="I318" i="1"/>
  <c r="H319" i="1"/>
  <c r="I319" i="1"/>
  <c r="H320" i="1"/>
  <c r="I320" i="1"/>
  <c r="H321" i="1"/>
  <c r="I321" i="1"/>
  <c r="H322" i="1"/>
  <c r="I322" i="1"/>
  <c r="H323" i="1"/>
  <c r="I323" i="1"/>
  <c r="H324" i="1"/>
  <c r="I324" i="1"/>
  <c r="H325" i="1"/>
  <c r="I325" i="1"/>
  <c r="H326" i="1"/>
  <c r="I326" i="1"/>
  <c r="H327" i="1"/>
  <c r="I327" i="1"/>
  <c r="H328" i="1"/>
  <c r="I328" i="1"/>
  <c r="H329" i="1"/>
  <c r="I329" i="1"/>
  <c r="H330" i="1"/>
  <c r="I330" i="1"/>
  <c r="H331" i="1"/>
  <c r="I331" i="1"/>
  <c r="H332" i="1"/>
  <c r="I332" i="1"/>
  <c r="H333" i="1"/>
  <c r="I333" i="1"/>
  <c r="H334" i="1"/>
  <c r="I334" i="1"/>
  <c r="H335" i="1"/>
  <c r="I335" i="1"/>
  <c r="H336" i="1"/>
  <c r="I336" i="1"/>
  <c r="H337" i="1"/>
  <c r="I337" i="1"/>
  <c r="H338" i="1"/>
  <c r="I338" i="1"/>
  <c r="H339" i="1"/>
  <c r="I339" i="1"/>
  <c r="H340" i="1"/>
  <c r="I340" i="1"/>
  <c r="H341" i="1"/>
  <c r="I341" i="1"/>
  <c r="H342" i="1"/>
  <c r="I342" i="1"/>
  <c r="H343" i="1"/>
  <c r="I343" i="1"/>
  <c r="H344" i="1"/>
  <c r="I344" i="1"/>
  <c r="H345" i="1"/>
  <c r="I345" i="1"/>
  <c r="H346" i="1"/>
  <c r="I346" i="1"/>
  <c r="H347" i="1"/>
  <c r="I347" i="1"/>
  <c r="H348" i="1"/>
  <c r="I348" i="1"/>
  <c r="H349" i="1"/>
  <c r="I349" i="1"/>
  <c r="H350" i="1"/>
  <c r="I350" i="1"/>
  <c r="H351" i="1"/>
  <c r="I351" i="1"/>
  <c r="H352" i="1"/>
  <c r="I352" i="1"/>
  <c r="H353" i="1"/>
  <c r="I353" i="1"/>
  <c r="H354" i="1"/>
  <c r="I354" i="1"/>
  <c r="H355" i="1"/>
  <c r="I355" i="1"/>
  <c r="H356" i="1"/>
  <c r="I356" i="1"/>
  <c r="H357" i="1"/>
  <c r="I357" i="1"/>
  <c r="H358" i="1"/>
  <c r="I358" i="1"/>
  <c r="H359" i="1"/>
  <c r="I359" i="1"/>
  <c r="H360" i="1"/>
  <c r="I360" i="1"/>
  <c r="H361" i="1"/>
  <c r="I361" i="1"/>
  <c r="H362" i="1"/>
  <c r="I362" i="1"/>
  <c r="H363" i="1"/>
  <c r="I363" i="1"/>
  <c r="H364" i="1"/>
  <c r="I364" i="1"/>
  <c r="H365" i="1"/>
  <c r="I365" i="1"/>
  <c r="H366" i="1"/>
  <c r="I366" i="1"/>
  <c r="H367" i="1"/>
  <c r="I367" i="1"/>
  <c r="H368" i="1"/>
  <c r="I368" i="1"/>
  <c r="H369" i="1"/>
  <c r="I369" i="1"/>
  <c r="H370" i="1"/>
  <c r="I370" i="1"/>
  <c r="H371" i="1"/>
  <c r="I371" i="1"/>
  <c r="H372" i="1"/>
  <c r="I372" i="1"/>
  <c r="H373" i="1"/>
  <c r="I373" i="1"/>
  <c r="H374" i="1"/>
  <c r="I374" i="1"/>
  <c r="H375" i="1"/>
  <c r="I375" i="1"/>
  <c r="H376" i="1"/>
  <c r="I376" i="1"/>
  <c r="H377" i="1"/>
  <c r="I377" i="1"/>
  <c r="H378" i="1"/>
  <c r="I378" i="1"/>
  <c r="H379" i="1"/>
  <c r="I379" i="1"/>
  <c r="H380" i="1"/>
  <c r="I380" i="1"/>
  <c r="H381" i="1"/>
  <c r="I381" i="1"/>
  <c r="H382" i="1"/>
  <c r="I382" i="1"/>
  <c r="H383" i="1"/>
  <c r="I383" i="1"/>
  <c r="H384" i="1"/>
  <c r="I384" i="1"/>
  <c r="H385" i="1"/>
  <c r="I385" i="1"/>
  <c r="H386" i="1"/>
  <c r="I386" i="1"/>
  <c r="H387" i="1"/>
  <c r="I387" i="1"/>
  <c r="H388" i="1"/>
  <c r="I388" i="1"/>
  <c r="H389" i="1"/>
  <c r="I389" i="1"/>
  <c r="H390" i="1"/>
  <c r="I390" i="1"/>
  <c r="H391" i="1"/>
  <c r="I391" i="1"/>
  <c r="H392" i="1"/>
  <c r="I392" i="1"/>
  <c r="H393" i="1"/>
  <c r="I393" i="1"/>
  <c r="H394" i="1"/>
  <c r="I394" i="1"/>
  <c r="H395" i="1"/>
  <c r="I395" i="1"/>
  <c r="H396" i="1"/>
  <c r="I396" i="1"/>
  <c r="H397" i="1"/>
  <c r="I397" i="1"/>
  <c r="H398" i="1"/>
  <c r="I398" i="1"/>
  <c r="H399" i="1"/>
  <c r="I399" i="1"/>
  <c r="H400" i="1"/>
  <c r="I400" i="1"/>
  <c r="H401" i="1"/>
  <c r="I401" i="1"/>
  <c r="H402" i="1"/>
  <c r="I402" i="1"/>
  <c r="H403" i="1"/>
  <c r="I403" i="1"/>
  <c r="H404" i="1"/>
  <c r="I404" i="1"/>
  <c r="H405" i="1"/>
  <c r="I405" i="1"/>
  <c r="H406" i="1"/>
  <c r="I406" i="1"/>
  <c r="H407" i="1"/>
  <c r="I407" i="1"/>
  <c r="H408" i="1"/>
  <c r="I408" i="1"/>
  <c r="H409" i="1"/>
  <c r="I409" i="1"/>
  <c r="H410" i="1"/>
  <c r="I410" i="1"/>
  <c r="H411" i="1"/>
  <c r="I411" i="1"/>
  <c r="H412" i="1"/>
  <c r="I412" i="1"/>
  <c r="H413" i="1"/>
  <c r="I413" i="1"/>
  <c r="H414" i="1"/>
  <c r="I414" i="1"/>
  <c r="H415" i="1"/>
  <c r="I415" i="1"/>
  <c r="H416" i="1"/>
  <c r="I416" i="1"/>
  <c r="H417" i="1"/>
  <c r="I417" i="1"/>
  <c r="H418" i="1"/>
  <c r="I418" i="1"/>
  <c r="H419" i="1"/>
  <c r="I419" i="1"/>
  <c r="H420" i="1"/>
  <c r="I420" i="1"/>
  <c r="H421" i="1"/>
  <c r="I421" i="1"/>
  <c r="H422" i="1"/>
  <c r="I422" i="1"/>
  <c r="H423" i="1"/>
  <c r="I423" i="1"/>
  <c r="H424" i="1"/>
  <c r="I424" i="1"/>
  <c r="H425" i="1"/>
  <c r="I425" i="1"/>
  <c r="H426" i="1"/>
  <c r="I426" i="1"/>
  <c r="H427" i="1"/>
  <c r="I427" i="1"/>
  <c r="H428" i="1"/>
  <c r="I428" i="1"/>
  <c r="H429" i="1"/>
  <c r="I429" i="1"/>
  <c r="H430" i="1"/>
  <c r="I430" i="1"/>
  <c r="H431" i="1"/>
  <c r="I431" i="1"/>
  <c r="H432" i="1"/>
  <c r="I432" i="1"/>
  <c r="H433" i="1"/>
  <c r="I433" i="1"/>
  <c r="H434" i="1"/>
  <c r="I434" i="1"/>
  <c r="H435" i="1"/>
  <c r="I435" i="1"/>
  <c r="H436" i="1"/>
  <c r="I436" i="1"/>
  <c r="H437" i="1"/>
  <c r="I437" i="1"/>
  <c r="H438" i="1"/>
  <c r="I438" i="1"/>
  <c r="H439" i="1"/>
  <c r="I439" i="1"/>
  <c r="H440" i="1"/>
  <c r="I440" i="1"/>
  <c r="H441" i="1"/>
  <c r="I441" i="1"/>
  <c r="H442" i="1"/>
  <c r="I442" i="1"/>
  <c r="H443" i="1"/>
  <c r="I443" i="1"/>
  <c r="H444" i="1"/>
  <c r="I444" i="1"/>
  <c r="H445" i="1"/>
  <c r="I445" i="1"/>
  <c r="H446" i="1"/>
  <c r="I446" i="1"/>
  <c r="H447" i="1"/>
  <c r="I447" i="1"/>
  <c r="H448" i="1"/>
  <c r="I448" i="1"/>
  <c r="H449" i="1"/>
  <c r="I449" i="1"/>
  <c r="H450" i="1"/>
  <c r="I450" i="1"/>
  <c r="H451" i="1"/>
  <c r="I451" i="1"/>
  <c r="H452" i="1"/>
  <c r="I452" i="1"/>
  <c r="H453" i="1"/>
  <c r="I453" i="1"/>
  <c r="H454" i="1"/>
  <c r="I454" i="1"/>
  <c r="H455" i="1"/>
  <c r="I455" i="1"/>
  <c r="H456" i="1"/>
  <c r="I456" i="1"/>
  <c r="H457" i="1"/>
  <c r="I457" i="1"/>
  <c r="H458" i="1"/>
  <c r="I458" i="1"/>
  <c r="H459" i="1"/>
  <c r="I459" i="1"/>
  <c r="H460" i="1"/>
  <c r="I460" i="1"/>
  <c r="H461" i="1"/>
  <c r="I461" i="1"/>
  <c r="H462" i="1"/>
  <c r="I462" i="1"/>
  <c r="H463" i="1"/>
  <c r="I463" i="1"/>
  <c r="H464" i="1"/>
  <c r="I464" i="1"/>
  <c r="H465" i="1"/>
  <c r="I465" i="1"/>
  <c r="H466" i="1"/>
  <c r="I466" i="1"/>
  <c r="H467" i="1"/>
  <c r="I467" i="1"/>
  <c r="H468" i="1"/>
  <c r="I468" i="1"/>
  <c r="H469" i="1"/>
  <c r="I469" i="1"/>
  <c r="H470" i="1"/>
  <c r="I470" i="1"/>
  <c r="H471" i="1"/>
  <c r="I471" i="1"/>
  <c r="H472" i="1"/>
  <c r="I472" i="1"/>
  <c r="H473" i="1"/>
  <c r="I473" i="1"/>
  <c r="H474" i="1"/>
  <c r="I474" i="1"/>
  <c r="H475" i="1"/>
  <c r="I475" i="1"/>
  <c r="H476" i="1"/>
  <c r="I476" i="1"/>
  <c r="H477" i="1"/>
  <c r="I477" i="1"/>
  <c r="H478" i="1"/>
  <c r="I478" i="1"/>
  <c r="H479" i="1"/>
  <c r="I479" i="1"/>
  <c r="H480" i="1"/>
  <c r="I480" i="1"/>
  <c r="H481" i="1"/>
  <c r="I481" i="1"/>
  <c r="H482" i="1"/>
  <c r="I482" i="1"/>
  <c r="H483" i="1"/>
  <c r="I483" i="1"/>
  <c r="H484" i="1"/>
  <c r="I484" i="1"/>
  <c r="H485" i="1"/>
  <c r="I485" i="1"/>
  <c r="H486" i="1"/>
  <c r="I486" i="1"/>
  <c r="H487" i="1"/>
  <c r="I487" i="1"/>
  <c r="H488" i="1"/>
  <c r="I488" i="1"/>
  <c r="H489" i="1"/>
  <c r="I489" i="1"/>
  <c r="H490" i="1"/>
  <c r="I490" i="1"/>
  <c r="H491" i="1"/>
  <c r="I491" i="1"/>
  <c r="H492" i="1"/>
  <c r="I492" i="1"/>
  <c r="H493" i="1"/>
  <c r="I493" i="1"/>
  <c r="H494" i="1"/>
  <c r="I494" i="1"/>
  <c r="H495" i="1"/>
  <c r="I495" i="1"/>
  <c r="H496" i="1"/>
  <c r="I496" i="1"/>
  <c r="H497" i="1"/>
  <c r="I497" i="1"/>
  <c r="H498" i="1"/>
  <c r="I498" i="1"/>
  <c r="H499" i="1"/>
  <c r="I499" i="1"/>
  <c r="H500" i="1"/>
  <c r="I500" i="1"/>
  <c r="H501" i="1"/>
  <c r="I501" i="1"/>
  <c r="H502" i="1"/>
  <c r="I502" i="1"/>
  <c r="H503" i="1"/>
  <c r="I503" i="1"/>
  <c r="H504" i="1"/>
  <c r="I504" i="1"/>
  <c r="H505" i="1"/>
  <c r="I505" i="1"/>
  <c r="H506" i="1"/>
  <c r="I506" i="1"/>
  <c r="H507" i="1"/>
  <c r="I507" i="1"/>
  <c r="H508" i="1"/>
  <c r="I508" i="1"/>
  <c r="H509" i="1"/>
  <c r="I509" i="1"/>
  <c r="H510" i="1"/>
  <c r="I510" i="1"/>
  <c r="H511" i="1"/>
  <c r="I511" i="1"/>
  <c r="H512" i="1"/>
  <c r="I512" i="1"/>
  <c r="H513" i="1"/>
  <c r="I513" i="1"/>
  <c r="H514" i="1"/>
  <c r="I514" i="1"/>
  <c r="H515" i="1"/>
  <c r="I515" i="1"/>
  <c r="H516" i="1"/>
  <c r="I516" i="1"/>
  <c r="H517" i="1"/>
  <c r="I517" i="1"/>
  <c r="H518" i="1"/>
  <c r="I518" i="1"/>
  <c r="H519" i="1"/>
  <c r="I519" i="1"/>
  <c r="H520" i="1"/>
  <c r="I520" i="1"/>
  <c r="H521" i="1"/>
  <c r="I521" i="1"/>
  <c r="H522" i="1"/>
  <c r="I522" i="1"/>
  <c r="H523" i="1"/>
  <c r="I523" i="1"/>
  <c r="H524" i="1"/>
  <c r="I524" i="1"/>
  <c r="H525" i="1"/>
  <c r="I525" i="1"/>
  <c r="H526" i="1"/>
  <c r="I526" i="1"/>
  <c r="H527" i="1"/>
  <c r="I527" i="1"/>
  <c r="H528" i="1"/>
  <c r="I528" i="1"/>
  <c r="H529" i="1"/>
  <c r="I529" i="1"/>
  <c r="H530" i="1"/>
  <c r="I530" i="1"/>
  <c r="H531" i="1"/>
  <c r="I531" i="1"/>
  <c r="H532" i="1"/>
  <c r="I532" i="1"/>
  <c r="H533" i="1"/>
  <c r="I533" i="1"/>
  <c r="H534" i="1"/>
  <c r="I534" i="1"/>
  <c r="H535" i="1"/>
  <c r="I535" i="1"/>
  <c r="H536" i="1"/>
  <c r="I536" i="1"/>
  <c r="H537" i="1"/>
  <c r="I537" i="1"/>
  <c r="H538" i="1"/>
  <c r="I538" i="1"/>
  <c r="H539" i="1"/>
  <c r="I539" i="1"/>
  <c r="H540" i="1"/>
  <c r="I540" i="1"/>
  <c r="H541" i="1"/>
  <c r="I541" i="1"/>
  <c r="H542" i="1"/>
  <c r="I542" i="1"/>
  <c r="H543" i="1"/>
  <c r="I543" i="1"/>
  <c r="H544" i="1"/>
  <c r="I544" i="1"/>
  <c r="H545" i="1"/>
  <c r="I545" i="1"/>
  <c r="H546" i="1"/>
  <c r="I546" i="1"/>
  <c r="H547" i="1"/>
  <c r="I547" i="1"/>
  <c r="H548" i="1"/>
  <c r="I548" i="1"/>
  <c r="H549" i="1"/>
  <c r="I549" i="1"/>
  <c r="H550" i="1"/>
  <c r="I550" i="1"/>
  <c r="H551" i="1"/>
  <c r="I551" i="1"/>
  <c r="H552" i="1"/>
  <c r="I552" i="1"/>
  <c r="H553" i="1"/>
  <c r="I553" i="1"/>
  <c r="H554" i="1"/>
  <c r="I554" i="1"/>
  <c r="H555" i="1"/>
  <c r="I555" i="1"/>
  <c r="H556" i="1"/>
  <c r="I556" i="1"/>
  <c r="H557" i="1"/>
  <c r="I557" i="1"/>
  <c r="H558" i="1"/>
  <c r="I558" i="1"/>
  <c r="H559" i="1"/>
  <c r="I559" i="1"/>
  <c r="H560" i="1"/>
  <c r="I560" i="1"/>
  <c r="H561" i="1"/>
  <c r="I561" i="1"/>
  <c r="H562" i="1"/>
  <c r="I562" i="1"/>
  <c r="H563" i="1"/>
  <c r="I563" i="1"/>
  <c r="H564" i="1"/>
  <c r="I564" i="1"/>
  <c r="H565" i="1"/>
  <c r="I565" i="1"/>
  <c r="H566" i="1"/>
  <c r="I566" i="1"/>
  <c r="H567" i="1"/>
  <c r="I567" i="1"/>
  <c r="H568" i="1"/>
  <c r="I568" i="1"/>
  <c r="H569" i="1"/>
  <c r="I569" i="1"/>
  <c r="H570" i="1"/>
  <c r="I570" i="1"/>
  <c r="H571" i="1"/>
  <c r="I571" i="1"/>
  <c r="H572" i="1"/>
  <c r="I572" i="1"/>
  <c r="H573" i="1"/>
  <c r="I573" i="1"/>
  <c r="H574" i="1"/>
  <c r="I574" i="1"/>
  <c r="H575" i="1"/>
  <c r="I575" i="1"/>
  <c r="H576" i="1"/>
  <c r="I576" i="1"/>
  <c r="H577" i="1"/>
  <c r="I577" i="1"/>
  <c r="H578" i="1"/>
  <c r="I578" i="1"/>
  <c r="H579" i="1"/>
  <c r="I579" i="1"/>
  <c r="H580" i="1"/>
  <c r="I580" i="1"/>
  <c r="H581" i="1"/>
  <c r="I581" i="1"/>
  <c r="H582" i="1"/>
  <c r="I582" i="1"/>
  <c r="H583" i="1"/>
  <c r="I583" i="1"/>
  <c r="H584" i="1"/>
  <c r="I584" i="1"/>
  <c r="H585" i="1"/>
  <c r="I585" i="1"/>
  <c r="H586" i="1"/>
  <c r="I586" i="1"/>
  <c r="H587" i="1"/>
  <c r="I587" i="1"/>
  <c r="H588" i="1"/>
  <c r="I588" i="1"/>
  <c r="H589" i="1"/>
  <c r="I589" i="1"/>
  <c r="H590" i="1"/>
  <c r="I590" i="1"/>
  <c r="H591" i="1"/>
  <c r="I591" i="1"/>
  <c r="H592" i="1"/>
  <c r="I592" i="1"/>
  <c r="H593" i="1"/>
  <c r="I593" i="1"/>
  <c r="H594" i="1"/>
  <c r="I594" i="1"/>
  <c r="H595" i="1"/>
  <c r="I595" i="1"/>
  <c r="H596" i="1"/>
  <c r="I596" i="1"/>
  <c r="H597" i="1"/>
  <c r="I597" i="1"/>
  <c r="H598" i="1"/>
  <c r="I598" i="1"/>
  <c r="H599" i="1"/>
  <c r="I599" i="1"/>
  <c r="H600" i="1"/>
  <c r="I600" i="1"/>
  <c r="H601" i="1"/>
  <c r="I601" i="1"/>
  <c r="H602" i="1"/>
  <c r="I602" i="1"/>
  <c r="H603" i="1"/>
  <c r="I603" i="1"/>
  <c r="H604" i="1"/>
  <c r="I604" i="1"/>
  <c r="H605" i="1"/>
  <c r="I605" i="1"/>
  <c r="H606" i="1"/>
  <c r="I606" i="1"/>
  <c r="H607" i="1"/>
  <c r="I607" i="1"/>
  <c r="H608" i="1"/>
  <c r="I608" i="1"/>
  <c r="H609" i="1"/>
  <c r="I609" i="1"/>
  <c r="H610" i="1"/>
  <c r="I610" i="1"/>
  <c r="H611" i="1"/>
  <c r="I611" i="1"/>
  <c r="H612" i="1"/>
  <c r="I612" i="1"/>
  <c r="H613" i="1"/>
  <c r="I613" i="1"/>
  <c r="H614" i="1"/>
  <c r="I614" i="1"/>
  <c r="H615" i="1"/>
  <c r="I615" i="1"/>
  <c r="H616" i="1"/>
  <c r="I616" i="1"/>
  <c r="H617" i="1"/>
  <c r="I617" i="1"/>
  <c r="H618" i="1"/>
  <c r="I618" i="1"/>
  <c r="H619" i="1"/>
  <c r="I619" i="1"/>
  <c r="H620" i="1"/>
  <c r="I620" i="1"/>
  <c r="H621" i="1"/>
  <c r="I621" i="1"/>
  <c r="H622" i="1"/>
  <c r="I622" i="1"/>
  <c r="H623" i="1"/>
  <c r="I623" i="1"/>
  <c r="H624" i="1"/>
  <c r="I624" i="1"/>
  <c r="H625" i="1"/>
  <c r="I625" i="1"/>
  <c r="H626" i="1"/>
  <c r="I626" i="1"/>
  <c r="H627" i="1"/>
  <c r="I627" i="1"/>
  <c r="H628" i="1"/>
  <c r="I628" i="1"/>
  <c r="H629" i="1"/>
  <c r="I629" i="1"/>
  <c r="H630" i="1"/>
  <c r="I630" i="1"/>
  <c r="H631" i="1"/>
  <c r="I631" i="1"/>
  <c r="H632" i="1"/>
  <c r="I632" i="1"/>
  <c r="H633" i="1"/>
  <c r="I633" i="1"/>
  <c r="H634" i="1"/>
  <c r="I634" i="1"/>
  <c r="H635" i="1"/>
  <c r="I635" i="1"/>
  <c r="H636" i="1"/>
  <c r="I636" i="1"/>
  <c r="H637" i="1"/>
  <c r="I637" i="1"/>
  <c r="H638" i="1"/>
  <c r="I638" i="1"/>
  <c r="H639" i="1"/>
  <c r="I639" i="1"/>
  <c r="H640" i="1"/>
  <c r="I640" i="1"/>
  <c r="H641" i="1"/>
  <c r="I641" i="1"/>
  <c r="H642" i="1"/>
  <c r="I642" i="1"/>
  <c r="H643" i="1"/>
  <c r="I643" i="1"/>
  <c r="H644" i="1"/>
  <c r="I644" i="1"/>
  <c r="H645" i="1"/>
  <c r="I645" i="1"/>
  <c r="H646" i="1"/>
  <c r="I646" i="1"/>
  <c r="H647" i="1"/>
  <c r="I647" i="1"/>
  <c r="H648" i="1"/>
  <c r="I648" i="1"/>
  <c r="H649" i="1"/>
  <c r="I649" i="1"/>
  <c r="H650" i="1"/>
  <c r="I650" i="1"/>
  <c r="H651" i="1"/>
  <c r="I651" i="1"/>
  <c r="H652" i="1"/>
  <c r="I652" i="1"/>
  <c r="H653" i="1"/>
  <c r="I653" i="1"/>
  <c r="H654" i="1"/>
  <c r="I654" i="1"/>
  <c r="H655" i="1"/>
  <c r="I655" i="1"/>
  <c r="H656" i="1"/>
  <c r="I656" i="1"/>
  <c r="H657" i="1"/>
  <c r="I657" i="1"/>
  <c r="H658" i="1"/>
  <c r="I658" i="1"/>
  <c r="H659" i="1"/>
  <c r="I659" i="1"/>
  <c r="H660" i="1"/>
  <c r="I660" i="1"/>
  <c r="H661" i="1"/>
  <c r="I661" i="1"/>
  <c r="H662" i="1"/>
  <c r="I662" i="1"/>
  <c r="H663" i="1"/>
  <c r="I663" i="1"/>
  <c r="H664" i="1"/>
  <c r="I664" i="1"/>
  <c r="H665" i="1"/>
  <c r="I665" i="1"/>
  <c r="H666" i="1"/>
  <c r="I666" i="1"/>
  <c r="H667" i="1"/>
  <c r="I667" i="1"/>
  <c r="H668" i="1"/>
  <c r="I668" i="1"/>
  <c r="H669" i="1"/>
  <c r="I669" i="1"/>
  <c r="H670" i="1"/>
  <c r="I670" i="1"/>
  <c r="H671" i="1"/>
  <c r="I671" i="1"/>
  <c r="H672" i="1"/>
  <c r="I672" i="1"/>
  <c r="H673" i="1"/>
  <c r="I673" i="1"/>
  <c r="H674" i="1"/>
  <c r="I674" i="1"/>
  <c r="H675" i="1"/>
  <c r="I675" i="1"/>
  <c r="H676" i="1"/>
  <c r="I676" i="1"/>
  <c r="H677" i="1"/>
  <c r="I677" i="1"/>
  <c r="H678" i="1"/>
  <c r="I678" i="1"/>
  <c r="H679" i="1"/>
  <c r="I679" i="1"/>
  <c r="H680" i="1"/>
  <c r="I680" i="1"/>
  <c r="H681" i="1"/>
  <c r="I681" i="1"/>
  <c r="H682" i="1"/>
  <c r="I682" i="1"/>
  <c r="H683" i="1"/>
  <c r="I683" i="1"/>
  <c r="H684" i="1"/>
  <c r="I684" i="1"/>
  <c r="H685" i="1"/>
  <c r="I685" i="1"/>
  <c r="H686" i="1"/>
  <c r="I686" i="1"/>
  <c r="H687" i="1"/>
  <c r="I687" i="1"/>
  <c r="H688" i="1"/>
  <c r="I688" i="1"/>
  <c r="H689" i="1"/>
  <c r="I689" i="1"/>
  <c r="H690" i="1"/>
  <c r="I690" i="1"/>
  <c r="H691" i="1"/>
  <c r="I691" i="1"/>
  <c r="H692" i="1"/>
  <c r="I692" i="1"/>
  <c r="H693" i="1"/>
  <c r="I693" i="1"/>
  <c r="H694" i="1"/>
  <c r="I694" i="1"/>
  <c r="H695" i="1"/>
  <c r="I695" i="1"/>
  <c r="H696" i="1"/>
  <c r="I696" i="1"/>
  <c r="H697" i="1"/>
  <c r="I697" i="1"/>
  <c r="H698" i="1"/>
  <c r="I698" i="1"/>
  <c r="H699" i="1"/>
  <c r="I699" i="1"/>
  <c r="H700" i="1"/>
  <c r="I700" i="1"/>
  <c r="H701" i="1"/>
  <c r="I701" i="1"/>
  <c r="H702" i="1"/>
  <c r="I702" i="1"/>
  <c r="H703" i="1"/>
  <c r="I703" i="1"/>
  <c r="H704" i="1"/>
  <c r="I704" i="1"/>
  <c r="H705" i="1"/>
  <c r="I705" i="1"/>
  <c r="H706" i="1"/>
  <c r="I706" i="1"/>
  <c r="H707" i="1"/>
  <c r="I707" i="1"/>
  <c r="H708" i="1"/>
  <c r="I708" i="1"/>
  <c r="H709" i="1"/>
  <c r="I709" i="1"/>
  <c r="H710" i="1"/>
  <c r="I710" i="1"/>
  <c r="H711" i="1"/>
  <c r="I711" i="1"/>
  <c r="H712" i="1"/>
  <c r="I712" i="1"/>
  <c r="H713" i="1"/>
  <c r="I713" i="1"/>
  <c r="H714" i="1"/>
  <c r="I714" i="1"/>
  <c r="H715" i="1"/>
  <c r="I715" i="1"/>
  <c r="H716" i="1"/>
  <c r="I716" i="1"/>
  <c r="H717" i="1"/>
  <c r="I717" i="1"/>
  <c r="H718" i="1"/>
  <c r="I718" i="1"/>
  <c r="H719" i="1"/>
  <c r="I719" i="1"/>
  <c r="H720" i="1"/>
  <c r="I720" i="1"/>
  <c r="H721" i="1"/>
  <c r="I721" i="1"/>
  <c r="H722" i="1"/>
  <c r="I722" i="1"/>
  <c r="H723" i="1"/>
  <c r="I723" i="1"/>
  <c r="H724" i="1"/>
  <c r="I724" i="1"/>
  <c r="H725" i="1"/>
  <c r="I725" i="1"/>
  <c r="H726" i="1"/>
  <c r="I726" i="1"/>
  <c r="H727" i="1"/>
  <c r="I727" i="1"/>
  <c r="H728" i="1"/>
  <c r="I728" i="1"/>
  <c r="H729" i="1"/>
  <c r="I729" i="1"/>
  <c r="H730" i="1"/>
  <c r="I730" i="1"/>
  <c r="H731" i="1"/>
  <c r="I731" i="1"/>
  <c r="H732" i="1"/>
  <c r="I732" i="1"/>
  <c r="H733" i="1"/>
  <c r="I733" i="1"/>
  <c r="H734" i="1"/>
  <c r="I734" i="1"/>
  <c r="H735" i="1"/>
  <c r="I735" i="1"/>
  <c r="H736" i="1"/>
  <c r="I736" i="1"/>
  <c r="H737" i="1"/>
  <c r="I737" i="1"/>
  <c r="H738" i="1"/>
  <c r="I738" i="1"/>
  <c r="H739" i="1"/>
  <c r="I739" i="1"/>
  <c r="H740" i="1"/>
  <c r="I740" i="1"/>
  <c r="H741" i="1"/>
  <c r="I741" i="1"/>
  <c r="H742" i="1"/>
  <c r="I742" i="1"/>
  <c r="H743" i="1"/>
  <c r="I743" i="1"/>
  <c r="H744" i="1"/>
  <c r="I744" i="1"/>
  <c r="H745" i="1"/>
  <c r="I745" i="1"/>
  <c r="H746" i="1"/>
  <c r="I746" i="1"/>
  <c r="H747" i="1"/>
  <c r="I747" i="1"/>
  <c r="H748" i="1"/>
  <c r="I748" i="1"/>
  <c r="H749" i="1"/>
  <c r="I749" i="1"/>
  <c r="H750" i="1"/>
  <c r="I750" i="1"/>
  <c r="H751" i="1"/>
  <c r="I751" i="1"/>
  <c r="H752" i="1"/>
  <c r="I752" i="1"/>
  <c r="H753" i="1"/>
  <c r="I753" i="1"/>
  <c r="H754" i="1"/>
  <c r="I754" i="1"/>
  <c r="H755" i="1"/>
  <c r="I755" i="1"/>
  <c r="H756" i="1"/>
  <c r="I756" i="1"/>
  <c r="H757" i="1"/>
  <c r="I757" i="1"/>
  <c r="H758" i="1"/>
  <c r="I758" i="1"/>
  <c r="H759" i="1"/>
  <c r="I759" i="1"/>
  <c r="H760" i="1"/>
  <c r="I760" i="1"/>
  <c r="H761" i="1"/>
  <c r="I761" i="1"/>
  <c r="H762" i="1"/>
  <c r="I762" i="1"/>
  <c r="H763" i="1"/>
  <c r="I763" i="1"/>
  <c r="H764" i="1"/>
  <c r="I764" i="1"/>
  <c r="H765" i="1"/>
  <c r="I765" i="1"/>
  <c r="H766" i="1"/>
  <c r="I766" i="1"/>
  <c r="H767" i="1"/>
  <c r="I767" i="1"/>
  <c r="H768" i="1"/>
  <c r="I768" i="1"/>
  <c r="H769" i="1"/>
  <c r="I769" i="1"/>
  <c r="H770" i="1"/>
  <c r="I770" i="1"/>
  <c r="H771" i="1"/>
  <c r="I771" i="1"/>
  <c r="H772" i="1"/>
  <c r="I772" i="1"/>
  <c r="H773" i="1"/>
  <c r="I773" i="1"/>
  <c r="H774" i="1"/>
  <c r="I774" i="1"/>
  <c r="H775" i="1"/>
  <c r="I775" i="1"/>
  <c r="H776" i="1"/>
  <c r="I776" i="1"/>
  <c r="H777" i="1"/>
  <c r="I777" i="1"/>
  <c r="H778" i="1"/>
  <c r="I778" i="1"/>
  <c r="H779" i="1"/>
  <c r="I779" i="1"/>
  <c r="H780" i="1"/>
  <c r="I780" i="1"/>
  <c r="H781" i="1"/>
  <c r="I781" i="1"/>
  <c r="H782" i="1"/>
  <c r="I782" i="1"/>
  <c r="H783" i="1"/>
  <c r="I783" i="1"/>
  <c r="H784" i="1"/>
  <c r="I784" i="1"/>
  <c r="H785" i="1"/>
  <c r="I785" i="1"/>
  <c r="H786" i="1"/>
  <c r="I786" i="1"/>
  <c r="H787" i="1"/>
  <c r="I787" i="1"/>
  <c r="H788" i="1"/>
  <c r="I788" i="1"/>
  <c r="H789" i="1"/>
  <c r="I789" i="1"/>
  <c r="H790" i="1"/>
  <c r="I790" i="1"/>
  <c r="H791" i="1"/>
  <c r="I791" i="1"/>
  <c r="H792" i="1"/>
  <c r="I792" i="1"/>
  <c r="H793" i="1"/>
  <c r="I793" i="1"/>
  <c r="H794" i="1"/>
  <c r="I794" i="1"/>
  <c r="I102" i="2" l="1"/>
  <c r="J102" i="2"/>
  <c r="BL2" i="6"/>
  <c r="BL3" i="6"/>
  <c r="BL4" i="6"/>
  <c r="BL5" i="6"/>
  <c r="BL6" i="6"/>
  <c r="BL7" i="6"/>
  <c r="BL8" i="6"/>
  <c r="BL9" i="6"/>
  <c r="BL10" i="6"/>
  <c r="BL11" i="6"/>
  <c r="BL12" i="6"/>
  <c r="BL13" i="6"/>
  <c r="BL14" i="6"/>
  <c r="BL15" i="6"/>
  <c r="BL16" i="6"/>
  <c r="BL17" i="6"/>
  <c r="BL18" i="6"/>
  <c r="BL19" i="6"/>
  <c r="BL20" i="6"/>
  <c r="BL21" i="6"/>
  <c r="BL22" i="6"/>
  <c r="BL23" i="6"/>
  <c r="BL24" i="6"/>
  <c r="BL25" i="6"/>
  <c r="BL26" i="6"/>
  <c r="BL27" i="6"/>
  <c r="BL28" i="6"/>
  <c r="BL29" i="6"/>
  <c r="BL30" i="6"/>
  <c r="BL31" i="6"/>
  <c r="BL32" i="6"/>
  <c r="BL33" i="6"/>
  <c r="BL34" i="6"/>
  <c r="BL35" i="6"/>
  <c r="BL36" i="6"/>
  <c r="BL37" i="6"/>
  <c r="BL38" i="6"/>
  <c r="BL39" i="6"/>
  <c r="BL40" i="6"/>
  <c r="BL41" i="6"/>
  <c r="BL42" i="6"/>
  <c r="BL43" i="6"/>
  <c r="BL44" i="6"/>
  <c r="BL45" i="6"/>
  <c r="BL46" i="6"/>
  <c r="BL47" i="6"/>
  <c r="BL48" i="6"/>
  <c r="BL49" i="6"/>
  <c r="BL50" i="6"/>
  <c r="BL51" i="6"/>
  <c r="BL52" i="6"/>
  <c r="BL53" i="6"/>
  <c r="BL54" i="6"/>
  <c r="BL55" i="6"/>
  <c r="BL56" i="6"/>
  <c r="BL57" i="6"/>
  <c r="BL58" i="6"/>
  <c r="BL59" i="6"/>
  <c r="BL60" i="6"/>
  <c r="BL61" i="6"/>
  <c r="BL62" i="6"/>
  <c r="BL63" i="6"/>
  <c r="BL64" i="6"/>
  <c r="BL65" i="6"/>
  <c r="BL66" i="6"/>
  <c r="BL67" i="6"/>
  <c r="BL68" i="6"/>
  <c r="BL69" i="6"/>
  <c r="BL70" i="6"/>
  <c r="BL71" i="6"/>
  <c r="BL72" i="6"/>
  <c r="BL73" i="6"/>
  <c r="BL74" i="6"/>
  <c r="BL75" i="6"/>
  <c r="BL76" i="6"/>
  <c r="BL77" i="6"/>
  <c r="BL78" i="6"/>
  <c r="BL79" i="6"/>
  <c r="BL80" i="6"/>
  <c r="BL81" i="6"/>
  <c r="BL82" i="6"/>
  <c r="BL83" i="6"/>
  <c r="BL84" i="6"/>
  <c r="BL85" i="6"/>
  <c r="BL86" i="6"/>
  <c r="BL87" i="6"/>
  <c r="BL88" i="6"/>
  <c r="BL89" i="6"/>
  <c r="BL90" i="6"/>
  <c r="BL91" i="6"/>
  <c r="BL92" i="6"/>
  <c r="BL93" i="6"/>
  <c r="BL94" i="6"/>
  <c r="BL95" i="6"/>
  <c r="BL96" i="6"/>
  <c r="BL97" i="6"/>
  <c r="BL98" i="6"/>
  <c r="BL99" i="6"/>
  <c r="BL100" i="6"/>
  <c r="BL101" i="6"/>
  <c r="BL102" i="6"/>
  <c r="BL103" i="6"/>
  <c r="BL104" i="6"/>
  <c r="BL105" i="6"/>
  <c r="BL106" i="6"/>
  <c r="BL107" i="6"/>
  <c r="BL108" i="6"/>
  <c r="BL109" i="6"/>
  <c r="BL110" i="6"/>
  <c r="BL111" i="6"/>
  <c r="BL112" i="6"/>
  <c r="BL113" i="6"/>
  <c r="BL114" i="6"/>
  <c r="BL115" i="6"/>
  <c r="BL116" i="6"/>
  <c r="BL117" i="6"/>
  <c r="BL118" i="6"/>
  <c r="BL119" i="6"/>
  <c r="BL120" i="6"/>
  <c r="BL121" i="6"/>
  <c r="BL122" i="6"/>
  <c r="BL123" i="6"/>
  <c r="BL124" i="6"/>
  <c r="BL125" i="6"/>
  <c r="BL126" i="6"/>
  <c r="BL127" i="6"/>
  <c r="BL128" i="6"/>
  <c r="BL129" i="6"/>
  <c r="BL130" i="6"/>
  <c r="BL131" i="6"/>
  <c r="BL132" i="6"/>
  <c r="BL133" i="6"/>
  <c r="BL134" i="6"/>
  <c r="BL135" i="6"/>
  <c r="BL136" i="6"/>
  <c r="BL137" i="6"/>
  <c r="BL138" i="6"/>
  <c r="BL139" i="6"/>
  <c r="BL140" i="6"/>
  <c r="BL141" i="6"/>
  <c r="BL142" i="6"/>
  <c r="BL143" i="6"/>
  <c r="BL144" i="6"/>
  <c r="BL145" i="6"/>
  <c r="BL146" i="6"/>
  <c r="BL147" i="6"/>
  <c r="BL148" i="6"/>
  <c r="BL149" i="6"/>
  <c r="BL150" i="6"/>
  <c r="BL151" i="6"/>
  <c r="BL152" i="6"/>
  <c r="BL153" i="6"/>
  <c r="BL154" i="6"/>
  <c r="BL155" i="6"/>
  <c r="BL156" i="6"/>
  <c r="BL157" i="6"/>
  <c r="BL158" i="6"/>
  <c r="BL159" i="6"/>
  <c r="BL160" i="6"/>
  <c r="BL161" i="6"/>
  <c r="BL162" i="6"/>
  <c r="BL163" i="6"/>
  <c r="BL164" i="6"/>
  <c r="BL165" i="6"/>
  <c r="BL166" i="6"/>
  <c r="BL167" i="6"/>
  <c r="BL168" i="6"/>
  <c r="BL169" i="6"/>
  <c r="BL170" i="6"/>
  <c r="BL171" i="6"/>
  <c r="BL172" i="6"/>
  <c r="BL173" i="6"/>
  <c r="BL174" i="6"/>
  <c r="BL175" i="6"/>
  <c r="BL176" i="6"/>
  <c r="BL177" i="6"/>
  <c r="BL178" i="6"/>
  <c r="BL179" i="6"/>
  <c r="BL180" i="6"/>
  <c r="BL181" i="6"/>
  <c r="BL182" i="6"/>
  <c r="BL183" i="6"/>
  <c r="BL184" i="6"/>
  <c r="BL185" i="6"/>
  <c r="BK2" i="6"/>
  <c r="BK3" i="6"/>
  <c r="BK4" i="6"/>
  <c r="BK5" i="6"/>
  <c r="BK6" i="6"/>
  <c r="BK7" i="6"/>
  <c r="BK8" i="6"/>
  <c r="BK9" i="6"/>
  <c r="BK10" i="6"/>
  <c r="BK11" i="6"/>
  <c r="BK12" i="6"/>
  <c r="BK13" i="6"/>
  <c r="BK14" i="6"/>
  <c r="BK15" i="6"/>
  <c r="BK16" i="6"/>
  <c r="BK17" i="6"/>
  <c r="BK18" i="6"/>
  <c r="BK19" i="6"/>
  <c r="BK20" i="6"/>
  <c r="BK21" i="6"/>
  <c r="BK22" i="6"/>
  <c r="BK23" i="6"/>
  <c r="BK24" i="6"/>
  <c r="BK25" i="6"/>
  <c r="BK26" i="6"/>
  <c r="BK27" i="6"/>
  <c r="BK28" i="6"/>
  <c r="BK29" i="6"/>
  <c r="BK30" i="6"/>
  <c r="BK31" i="6"/>
  <c r="BK32" i="6"/>
  <c r="BK33" i="6"/>
  <c r="BK34" i="6"/>
  <c r="BK35" i="6"/>
  <c r="BK36" i="6"/>
  <c r="BK37" i="6"/>
  <c r="BK38" i="6"/>
  <c r="BK39" i="6"/>
  <c r="BK40" i="6"/>
  <c r="BK41" i="6"/>
  <c r="BK42" i="6"/>
  <c r="BK43" i="6"/>
  <c r="BK44" i="6"/>
  <c r="BK45" i="6"/>
  <c r="BK46" i="6"/>
  <c r="BK47" i="6"/>
  <c r="BK48" i="6"/>
  <c r="BK49" i="6"/>
  <c r="BK50" i="6"/>
  <c r="BK51" i="6"/>
  <c r="BK52" i="6"/>
  <c r="BK53" i="6"/>
  <c r="BK54" i="6"/>
  <c r="BK55" i="6"/>
  <c r="BK56" i="6"/>
  <c r="BK57" i="6"/>
  <c r="BK58" i="6"/>
  <c r="BK59" i="6"/>
  <c r="BK60" i="6"/>
  <c r="BK61" i="6"/>
  <c r="BK62" i="6"/>
  <c r="BK63" i="6"/>
  <c r="BK64" i="6"/>
  <c r="BK65" i="6"/>
  <c r="BK66" i="6"/>
  <c r="BK67" i="6"/>
  <c r="BK68" i="6"/>
  <c r="BK69" i="6"/>
  <c r="BK70" i="6"/>
  <c r="BK71" i="6"/>
  <c r="BK72" i="6"/>
  <c r="BK73" i="6"/>
  <c r="BK74" i="6"/>
  <c r="BK75" i="6"/>
  <c r="BK76" i="6"/>
  <c r="BK77" i="6"/>
  <c r="BK78" i="6"/>
  <c r="BK79" i="6"/>
  <c r="BK80" i="6"/>
  <c r="BK81" i="6"/>
  <c r="BK82" i="6"/>
  <c r="BK83" i="6"/>
  <c r="BK84" i="6"/>
  <c r="BK85" i="6"/>
  <c r="BK86" i="6"/>
  <c r="BK87" i="6"/>
  <c r="BK88" i="6"/>
  <c r="BK89" i="6"/>
  <c r="BK90" i="6"/>
  <c r="BK91" i="6"/>
  <c r="BK92" i="6"/>
  <c r="BK93" i="6"/>
  <c r="BK94" i="6"/>
  <c r="BK95" i="6"/>
  <c r="BK96" i="6"/>
  <c r="BK97" i="6"/>
  <c r="BK98" i="6"/>
  <c r="BK99" i="6"/>
  <c r="BK100" i="6"/>
  <c r="BK101" i="6"/>
  <c r="BK102" i="6"/>
  <c r="BK103" i="6"/>
  <c r="BK104" i="6"/>
  <c r="BK105" i="6"/>
  <c r="BK106" i="6"/>
  <c r="BK107" i="6"/>
  <c r="BK108" i="6"/>
  <c r="BK109" i="6"/>
  <c r="BK110" i="6"/>
  <c r="BK111" i="6"/>
  <c r="BK112" i="6"/>
  <c r="BK113" i="6"/>
  <c r="BK114" i="6"/>
  <c r="BK115" i="6"/>
  <c r="BK116" i="6"/>
  <c r="BK117" i="6"/>
  <c r="BK118" i="6"/>
  <c r="BK119" i="6"/>
  <c r="BK120" i="6"/>
  <c r="BK121" i="6"/>
  <c r="BK122" i="6"/>
  <c r="BK123" i="6"/>
  <c r="BK124" i="6"/>
  <c r="BK125" i="6"/>
  <c r="BK126" i="6"/>
  <c r="BK127" i="6"/>
  <c r="BK128" i="6"/>
  <c r="BK129" i="6"/>
  <c r="BK130" i="6"/>
  <c r="BK131" i="6"/>
  <c r="BK132" i="6"/>
  <c r="BK133" i="6"/>
  <c r="BK134" i="6"/>
  <c r="BK135" i="6"/>
  <c r="BK136" i="6"/>
  <c r="BK137" i="6"/>
  <c r="BK138" i="6"/>
  <c r="BK139" i="6"/>
  <c r="BK140" i="6"/>
  <c r="BK141" i="6"/>
  <c r="BK142" i="6"/>
  <c r="BK143" i="6"/>
  <c r="BK144" i="6"/>
  <c r="BK145" i="6"/>
  <c r="BK146" i="6"/>
  <c r="BK147" i="6"/>
  <c r="BK148" i="6"/>
  <c r="BK149" i="6"/>
  <c r="BK150" i="6"/>
  <c r="BK151" i="6"/>
  <c r="BK152" i="6"/>
  <c r="BK153" i="6"/>
  <c r="BK154" i="6"/>
  <c r="BK155" i="6"/>
  <c r="BK156" i="6"/>
  <c r="BK157" i="6"/>
  <c r="BK158" i="6"/>
  <c r="BK159" i="6"/>
  <c r="BK160" i="6"/>
  <c r="BK161" i="6"/>
  <c r="BK162" i="6"/>
  <c r="BK163" i="6"/>
  <c r="BK164" i="6"/>
  <c r="BK165" i="6"/>
  <c r="BK166" i="6"/>
  <c r="BK167" i="6"/>
  <c r="BK168" i="6"/>
  <c r="BK169" i="6"/>
  <c r="BK170" i="6"/>
  <c r="BK171" i="6"/>
  <c r="BK172" i="6"/>
  <c r="BK173" i="6"/>
  <c r="BK174" i="6"/>
  <c r="BK175" i="6"/>
  <c r="BK176" i="6"/>
  <c r="BK177" i="6"/>
  <c r="BK178" i="6"/>
  <c r="BK179" i="6"/>
  <c r="BK180" i="6"/>
  <c r="BK181" i="6"/>
  <c r="BK182" i="6"/>
  <c r="BK183" i="6"/>
  <c r="BK184" i="6"/>
  <c r="BK185" i="6"/>
  <c r="BJ2" i="6"/>
  <c r="BJ3" i="6"/>
  <c r="BJ4" i="6"/>
  <c r="BJ5" i="6"/>
  <c r="BJ6" i="6"/>
  <c r="BJ7" i="6"/>
  <c r="BJ8" i="6"/>
  <c r="BJ9" i="6"/>
  <c r="BJ10" i="6"/>
  <c r="BJ11" i="6"/>
  <c r="BJ12" i="6"/>
  <c r="BJ13" i="6"/>
  <c r="BJ14" i="6"/>
  <c r="BJ15" i="6"/>
  <c r="BJ16" i="6"/>
  <c r="BJ17" i="6"/>
  <c r="BJ18" i="6"/>
  <c r="BJ19" i="6"/>
  <c r="BJ20" i="6"/>
  <c r="BJ21" i="6"/>
  <c r="BJ22" i="6"/>
  <c r="BJ23" i="6"/>
  <c r="BJ24" i="6"/>
  <c r="BJ25" i="6"/>
  <c r="BJ26" i="6"/>
  <c r="BJ27" i="6"/>
  <c r="BJ28" i="6"/>
  <c r="BJ29" i="6"/>
  <c r="BJ30" i="6"/>
  <c r="BJ31" i="6"/>
  <c r="BJ32" i="6"/>
  <c r="BJ33" i="6"/>
  <c r="BJ34" i="6"/>
  <c r="BJ35" i="6"/>
  <c r="BJ36" i="6"/>
  <c r="BJ37" i="6"/>
  <c r="BJ38" i="6"/>
  <c r="BJ39" i="6"/>
  <c r="BJ40" i="6"/>
  <c r="BJ41" i="6"/>
  <c r="BJ42" i="6"/>
  <c r="BJ43" i="6"/>
  <c r="BJ44" i="6"/>
  <c r="BJ45" i="6"/>
  <c r="BJ46" i="6"/>
  <c r="BJ47" i="6"/>
  <c r="BJ48" i="6"/>
  <c r="BJ49" i="6"/>
  <c r="BJ50" i="6"/>
  <c r="BJ51" i="6"/>
  <c r="BJ52" i="6"/>
  <c r="BJ53" i="6"/>
  <c r="BJ54" i="6"/>
  <c r="BJ55" i="6"/>
  <c r="BJ56" i="6"/>
  <c r="BJ57" i="6"/>
  <c r="BJ58" i="6"/>
  <c r="BJ59" i="6"/>
  <c r="BJ60" i="6"/>
  <c r="BJ61" i="6"/>
  <c r="BJ62" i="6"/>
  <c r="BJ63" i="6"/>
  <c r="BJ64" i="6"/>
  <c r="BJ65" i="6"/>
  <c r="BJ66" i="6"/>
  <c r="BJ67" i="6"/>
  <c r="BJ68" i="6"/>
  <c r="BJ69" i="6"/>
  <c r="BJ70" i="6"/>
  <c r="BJ71" i="6"/>
  <c r="BJ72" i="6"/>
  <c r="BJ73" i="6"/>
  <c r="BJ74" i="6"/>
  <c r="BJ75" i="6"/>
  <c r="BJ76" i="6"/>
  <c r="BJ77" i="6"/>
  <c r="BJ78" i="6"/>
  <c r="BJ79" i="6"/>
  <c r="BJ80" i="6"/>
  <c r="BJ81" i="6"/>
  <c r="BJ82" i="6"/>
  <c r="BJ83" i="6"/>
  <c r="BJ84" i="6"/>
  <c r="BJ85" i="6"/>
  <c r="BJ86" i="6"/>
  <c r="BJ87" i="6"/>
  <c r="BJ88" i="6"/>
  <c r="BJ89" i="6"/>
  <c r="BJ90" i="6"/>
  <c r="BJ91" i="6"/>
  <c r="BJ92" i="6"/>
  <c r="BJ93" i="6"/>
  <c r="BJ94" i="6"/>
  <c r="BJ95" i="6"/>
  <c r="BJ96" i="6"/>
  <c r="BJ97" i="6"/>
  <c r="BJ98" i="6"/>
  <c r="BJ99" i="6"/>
  <c r="BJ100" i="6"/>
  <c r="BJ101" i="6"/>
  <c r="BJ102" i="6"/>
  <c r="BJ103" i="6"/>
  <c r="BJ104" i="6"/>
  <c r="BJ105" i="6"/>
  <c r="BJ106" i="6"/>
  <c r="BJ107" i="6"/>
  <c r="BJ108" i="6"/>
  <c r="BJ109" i="6"/>
  <c r="BJ110" i="6"/>
  <c r="BJ111" i="6"/>
  <c r="BJ112" i="6"/>
  <c r="BJ113" i="6"/>
  <c r="BJ114" i="6"/>
  <c r="BJ115" i="6"/>
  <c r="BJ116" i="6"/>
  <c r="BJ117" i="6"/>
  <c r="BJ118" i="6"/>
  <c r="BJ119" i="6"/>
  <c r="BJ120" i="6"/>
  <c r="BJ121" i="6"/>
  <c r="BJ122" i="6"/>
  <c r="BJ123" i="6"/>
  <c r="BJ124" i="6"/>
  <c r="BJ125" i="6"/>
  <c r="BJ126" i="6"/>
  <c r="BJ127" i="6"/>
  <c r="BJ128" i="6"/>
  <c r="BJ129" i="6"/>
  <c r="BJ130" i="6"/>
  <c r="BJ131" i="6"/>
  <c r="BJ132" i="6"/>
  <c r="BJ133" i="6"/>
  <c r="BJ134" i="6"/>
  <c r="BJ135" i="6"/>
  <c r="BJ136" i="6"/>
  <c r="BJ137" i="6"/>
  <c r="BJ138" i="6"/>
  <c r="BJ139" i="6"/>
  <c r="BJ140" i="6"/>
  <c r="BJ141" i="6"/>
  <c r="BJ142" i="6"/>
  <c r="BJ143" i="6"/>
  <c r="BJ144" i="6"/>
  <c r="BJ145" i="6"/>
  <c r="BJ146" i="6"/>
  <c r="BJ147" i="6"/>
  <c r="BJ148" i="6"/>
  <c r="BJ149" i="6"/>
  <c r="BJ150" i="6"/>
  <c r="BJ151" i="6"/>
  <c r="BJ152" i="6"/>
  <c r="BJ153" i="6"/>
  <c r="BJ154" i="6"/>
  <c r="BJ155" i="6"/>
  <c r="BJ156" i="6"/>
  <c r="BJ157" i="6"/>
  <c r="BJ158" i="6"/>
  <c r="BJ159" i="6"/>
  <c r="BJ160" i="6"/>
  <c r="BJ161" i="6"/>
  <c r="BJ162" i="6"/>
  <c r="BJ163" i="6"/>
  <c r="BJ164" i="6"/>
  <c r="BJ165" i="6"/>
  <c r="BJ166" i="6"/>
  <c r="BJ167" i="6"/>
  <c r="BJ168" i="6"/>
  <c r="BJ169" i="6"/>
  <c r="BJ170" i="6"/>
  <c r="BJ171" i="6"/>
  <c r="BJ172" i="6"/>
  <c r="BJ173" i="6"/>
  <c r="BJ174" i="6"/>
  <c r="BJ175" i="6"/>
  <c r="BJ176" i="6"/>
  <c r="BJ177" i="6"/>
  <c r="BJ178" i="6"/>
  <c r="BJ179" i="6"/>
  <c r="BJ180" i="6"/>
  <c r="BJ181" i="6"/>
  <c r="BJ182" i="6"/>
  <c r="BJ183" i="6"/>
  <c r="BJ184" i="6"/>
  <c r="BJ185" i="6"/>
  <c r="BI2" i="6"/>
  <c r="BI3" i="6"/>
  <c r="BI4" i="6"/>
  <c r="BI5" i="6"/>
  <c r="BI6" i="6"/>
  <c r="BI7" i="6"/>
  <c r="BI8" i="6"/>
  <c r="BI9" i="6"/>
  <c r="BI10" i="6"/>
  <c r="BI11" i="6"/>
  <c r="BI12" i="6"/>
  <c r="BI13" i="6"/>
  <c r="BI14" i="6"/>
  <c r="BI15" i="6"/>
  <c r="BI16" i="6"/>
  <c r="BI17" i="6"/>
  <c r="BI18" i="6"/>
  <c r="BI19" i="6"/>
  <c r="BI20" i="6"/>
  <c r="BI21" i="6"/>
  <c r="BI22" i="6"/>
  <c r="BI23" i="6"/>
  <c r="BI24" i="6"/>
  <c r="BI25" i="6"/>
  <c r="BI26" i="6"/>
  <c r="BI27" i="6"/>
  <c r="BI28" i="6"/>
  <c r="BI29" i="6"/>
  <c r="BI30" i="6"/>
  <c r="BI31" i="6"/>
  <c r="BI32" i="6"/>
  <c r="BI33" i="6"/>
  <c r="BI34" i="6"/>
  <c r="BI35" i="6"/>
  <c r="BI36" i="6"/>
  <c r="BI37" i="6"/>
  <c r="BI38" i="6"/>
  <c r="BI39" i="6"/>
  <c r="BI40" i="6"/>
  <c r="BI41" i="6"/>
  <c r="BI42" i="6"/>
  <c r="BI43" i="6"/>
  <c r="BI44" i="6"/>
  <c r="BI45" i="6"/>
  <c r="BI46" i="6"/>
  <c r="BI47" i="6"/>
  <c r="BI48" i="6"/>
  <c r="BI49" i="6"/>
  <c r="BI50" i="6"/>
  <c r="BI51" i="6"/>
  <c r="BI52" i="6"/>
  <c r="BI53" i="6"/>
  <c r="BI54" i="6"/>
  <c r="BI55" i="6"/>
  <c r="BI56" i="6"/>
  <c r="BI57" i="6"/>
  <c r="BI58" i="6"/>
  <c r="BI59" i="6"/>
  <c r="BI60" i="6"/>
  <c r="BI61" i="6"/>
  <c r="BI62" i="6"/>
  <c r="BI63" i="6"/>
  <c r="BI64" i="6"/>
  <c r="BI65" i="6"/>
  <c r="BI66" i="6"/>
  <c r="BI67" i="6"/>
  <c r="BI68" i="6"/>
  <c r="BI69" i="6"/>
  <c r="BI70" i="6"/>
  <c r="BI71" i="6"/>
  <c r="BI72" i="6"/>
  <c r="BI73" i="6"/>
  <c r="BI74" i="6"/>
  <c r="BI75" i="6"/>
  <c r="BI76" i="6"/>
  <c r="BI77" i="6"/>
  <c r="BI78" i="6"/>
  <c r="BI79" i="6"/>
  <c r="BI80" i="6"/>
  <c r="BI81" i="6"/>
  <c r="BI82" i="6"/>
  <c r="BI83" i="6"/>
  <c r="BI84" i="6"/>
  <c r="BI85" i="6"/>
  <c r="BI86" i="6"/>
  <c r="BI87" i="6"/>
  <c r="BI88" i="6"/>
  <c r="BI89" i="6"/>
  <c r="BI90" i="6"/>
  <c r="BI91" i="6"/>
  <c r="BI92" i="6"/>
  <c r="BI93" i="6"/>
  <c r="BI94" i="6"/>
  <c r="BI95" i="6"/>
  <c r="BI96" i="6"/>
  <c r="BI97" i="6"/>
  <c r="BI98" i="6"/>
  <c r="BI99" i="6"/>
  <c r="BI100" i="6"/>
  <c r="BI101" i="6"/>
  <c r="BI102" i="6"/>
  <c r="BI103" i="6"/>
  <c r="BI104" i="6"/>
  <c r="BI105" i="6"/>
  <c r="BI106" i="6"/>
  <c r="BI107" i="6"/>
  <c r="BI108" i="6"/>
  <c r="BI109" i="6"/>
  <c r="BI110" i="6"/>
  <c r="BI111" i="6"/>
  <c r="BI112" i="6"/>
  <c r="BI113" i="6"/>
  <c r="BI114" i="6"/>
  <c r="BI115" i="6"/>
  <c r="BI116" i="6"/>
  <c r="BI117" i="6"/>
  <c r="BI118" i="6"/>
  <c r="BI119" i="6"/>
  <c r="BI120" i="6"/>
  <c r="BI121" i="6"/>
  <c r="BI122" i="6"/>
  <c r="BI123" i="6"/>
  <c r="BI124" i="6"/>
  <c r="BI125" i="6"/>
  <c r="BI126" i="6"/>
  <c r="BI127" i="6"/>
  <c r="BI128" i="6"/>
  <c r="BI129" i="6"/>
  <c r="BI130" i="6"/>
  <c r="BI131" i="6"/>
  <c r="BI132" i="6"/>
  <c r="BI133" i="6"/>
  <c r="BI134" i="6"/>
  <c r="BI135" i="6"/>
  <c r="BI136" i="6"/>
  <c r="BI137" i="6"/>
  <c r="BI138" i="6"/>
  <c r="BI139" i="6"/>
  <c r="BI140" i="6"/>
  <c r="BI141" i="6"/>
  <c r="BI142" i="6"/>
  <c r="BI143" i="6"/>
  <c r="BI144" i="6"/>
  <c r="BI145" i="6"/>
  <c r="BI146" i="6"/>
  <c r="BI147" i="6"/>
  <c r="BI148" i="6"/>
  <c r="BI149" i="6"/>
  <c r="BI150" i="6"/>
  <c r="BI151" i="6"/>
  <c r="BI152" i="6"/>
  <c r="BI153" i="6"/>
  <c r="BI154" i="6"/>
  <c r="BI155" i="6"/>
  <c r="BI156" i="6"/>
  <c r="BI157" i="6"/>
  <c r="BI158" i="6"/>
  <c r="BI159" i="6"/>
  <c r="BI160" i="6"/>
  <c r="BI161" i="6"/>
  <c r="BI162" i="6"/>
  <c r="BI163" i="6"/>
  <c r="BI164" i="6"/>
  <c r="BI165" i="6"/>
  <c r="BI166" i="6"/>
  <c r="BI167" i="6"/>
  <c r="BI168" i="6"/>
  <c r="BI169" i="6"/>
  <c r="BI170" i="6"/>
  <c r="BI171" i="6"/>
  <c r="BI172" i="6"/>
  <c r="BI173" i="6"/>
  <c r="BI174" i="6"/>
  <c r="BI175" i="6"/>
  <c r="BI176" i="6"/>
  <c r="BI177" i="6"/>
  <c r="BI178" i="6"/>
  <c r="BI179" i="6"/>
  <c r="BI180" i="6"/>
  <c r="BI181" i="6"/>
  <c r="BI182" i="6"/>
  <c r="BI183" i="6"/>
  <c r="BI184" i="6"/>
  <c r="BI185" i="6"/>
  <c r="BH2" i="6"/>
  <c r="BH3" i="6"/>
  <c r="BH4" i="6"/>
  <c r="BH5" i="6"/>
  <c r="BH6" i="6"/>
  <c r="BH7" i="6"/>
  <c r="BH8" i="6"/>
  <c r="BH9" i="6"/>
  <c r="BH10" i="6"/>
  <c r="BH11" i="6"/>
  <c r="BH12" i="6"/>
  <c r="BH13" i="6"/>
  <c r="BH14" i="6"/>
  <c r="BH15" i="6"/>
  <c r="BH16" i="6"/>
  <c r="BH17" i="6"/>
  <c r="BH18" i="6"/>
  <c r="BH19" i="6"/>
  <c r="BH20" i="6"/>
  <c r="BH21" i="6"/>
  <c r="BH22" i="6"/>
  <c r="BH23" i="6"/>
  <c r="BH24" i="6"/>
  <c r="BH25" i="6"/>
  <c r="BH26" i="6"/>
  <c r="BH27" i="6"/>
  <c r="BH28" i="6"/>
  <c r="BH29" i="6"/>
  <c r="BH30" i="6"/>
  <c r="BH31" i="6"/>
  <c r="BH32" i="6"/>
  <c r="BH33" i="6"/>
  <c r="BH34" i="6"/>
  <c r="BH35" i="6"/>
  <c r="BH36" i="6"/>
  <c r="BH37" i="6"/>
  <c r="BH38" i="6"/>
  <c r="BH39" i="6"/>
  <c r="BH40" i="6"/>
  <c r="BH41" i="6"/>
  <c r="BH42" i="6"/>
  <c r="BH43" i="6"/>
  <c r="BH44" i="6"/>
  <c r="BH45" i="6"/>
  <c r="BH46" i="6"/>
  <c r="BH47" i="6"/>
  <c r="BH48" i="6"/>
  <c r="BH49" i="6"/>
  <c r="BH50" i="6"/>
  <c r="BH51" i="6"/>
  <c r="BH52" i="6"/>
  <c r="BH53" i="6"/>
  <c r="BH54" i="6"/>
  <c r="BH55" i="6"/>
  <c r="BH56" i="6"/>
  <c r="BH57" i="6"/>
  <c r="BH58" i="6"/>
  <c r="BH59" i="6"/>
  <c r="BH60" i="6"/>
  <c r="BH61" i="6"/>
  <c r="BH62" i="6"/>
  <c r="BH63" i="6"/>
  <c r="BH64" i="6"/>
  <c r="BH65" i="6"/>
  <c r="BH66" i="6"/>
  <c r="BH67" i="6"/>
  <c r="BH68" i="6"/>
  <c r="BH69" i="6"/>
  <c r="BH70" i="6"/>
  <c r="BH71" i="6"/>
  <c r="BH72" i="6"/>
  <c r="BH73" i="6"/>
  <c r="BH74" i="6"/>
  <c r="BH75" i="6"/>
  <c r="BH76" i="6"/>
  <c r="BH77" i="6"/>
  <c r="BH78" i="6"/>
  <c r="BH79" i="6"/>
  <c r="BH80" i="6"/>
  <c r="BH81" i="6"/>
  <c r="BH82" i="6"/>
  <c r="BH83" i="6"/>
  <c r="BH84" i="6"/>
  <c r="BH85" i="6"/>
  <c r="BH86" i="6"/>
  <c r="BH87" i="6"/>
  <c r="BH88" i="6"/>
  <c r="BH89" i="6"/>
  <c r="BH90" i="6"/>
  <c r="BH91" i="6"/>
  <c r="BH92" i="6"/>
  <c r="BH93" i="6"/>
  <c r="BH94" i="6"/>
  <c r="BH95" i="6"/>
  <c r="BH96" i="6"/>
  <c r="BH97" i="6"/>
  <c r="BH98" i="6"/>
  <c r="BH99" i="6"/>
  <c r="BH100" i="6"/>
  <c r="BH101" i="6"/>
  <c r="BH102" i="6"/>
  <c r="BH103" i="6"/>
  <c r="BH104" i="6"/>
  <c r="BH105" i="6"/>
  <c r="BH106" i="6"/>
  <c r="BH107" i="6"/>
  <c r="BH108" i="6"/>
  <c r="BH109" i="6"/>
  <c r="BH110" i="6"/>
  <c r="BH111" i="6"/>
  <c r="BH112" i="6"/>
  <c r="BH113" i="6"/>
  <c r="BH114" i="6"/>
  <c r="BH115" i="6"/>
  <c r="BH116" i="6"/>
  <c r="BH117" i="6"/>
  <c r="BH118" i="6"/>
  <c r="BH119" i="6"/>
  <c r="BH120" i="6"/>
  <c r="BH121" i="6"/>
  <c r="BH122" i="6"/>
  <c r="BH123" i="6"/>
  <c r="BH124" i="6"/>
  <c r="BH125" i="6"/>
  <c r="BH126" i="6"/>
  <c r="BH127" i="6"/>
  <c r="BH128" i="6"/>
  <c r="BH129" i="6"/>
  <c r="BH130" i="6"/>
  <c r="BH131" i="6"/>
  <c r="BH132" i="6"/>
  <c r="BH133" i="6"/>
  <c r="BH134" i="6"/>
  <c r="BH135" i="6"/>
  <c r="BH136" i="6"/>
  <c r="BH137" i="6"/>
  <c r="BH138" i="6"/>
  <c r="BH139" i="6"/>
  <c r="BH140" i="6"/>
  <c r="BH141" i="6"/>
  <c r="BH142" i="6"/>
  <c r="BH143" i="6"/>
  <c r="BH144" i="6"/>
  <c r="BH145" i="6"/>
  <c r="BH146" i="6"/>
  <c r="BH147" i="6"/>
  <c r="BH148" i="6"/>
  <c r="BH149" i="6"/>
  <c r="BH150" i="6"/>
  <c r="BH151" i="6"/>
  <c r="BH152" i="6"/>
  <c r="BH153" i="6"/>
  <c r="BH154" i="6"/>
  <c r="BH155" i="6"/>
  <c r="BH156" i="6"/>
  <c r="BH157" i="6"/>
  <c r="BH158" i="6"/>
  <c r="BH159" i="6"/>
  <c r="BH160" i="6"/>
  <c r="BH161" i="6"/>
  <c r="BH162" i="6"/>
  <c r="BH163" i="6"/>
  <c r="BH164" i="6"/>
  <c r="BH165" i="6"/>
  <c r="BH166" i="6"/>
  <c r="BH167" i="6"/>
  <c r="BH168" i="6"/>
  <c r="BH169" i="6"/>
  <c r="BH170" i="6"/>
  <c r="BH171" i="6"/>
  <c r="BH172" i="6"/>
  <c r="BH173" i="6"/>
  <c r="BH174" i="6"/>
  <c r="BH175" i="6"/>
  <c r="BH176" i="6"/>
  <c r="BH177" i="6"/>
  <c r="BH178" i="6"/>
  <c r="BH179" i="6"/>
  <c r="BH180" i="6"/>
  <c r="BH181" i="6"/>
  <c r="BH182" i="6"/>
  <c r="BH183" i="6"/>
  <c r="BH184" i="6"/>
  <c r="BH185" i="6"/>
  <c r="F3" i="6"/>
  <c r="G3" i="6"/>
  <c r="I3" i="6"/>
  <c r="L3" i="6"/>
  <c r="M3" i="6"/>
  <c r="N3" i="6"/>
  <c r="O3" i="6"/>
  <c r="P3" i="6"/>
  <c r="Q3" i="6"/>
  <c r="R3" i="6"/>
  <c r="S3" i="6"/>
  <c r="T3" i="6"/>
  <c r="U3" i="6"/>
  <c r="V3" i="6"/>
  <c r="W3" i="6"/>
  <c r="X3" i="6"/>
  <c r="Y3" i="6"/>
  <c r="Z3" i="6"/>
  <c r="AC3" i="6"/>
  <c r="AD3" i="6"/>
  <c r="AE3" i="6"/>
  <c r="AF3" i="6"/>
  <c r="AG3" i="6"/>
  <c r="AH3" i="6"/>
  <c r="AI3" i="6"/>
  <c r="AJ3" i="6"/>
  <c r="AK3" i="6"/>
  <c r="AL3" i="6"/>
  <c r="AN3" i="6"/>
  <c r="AO3" i="6"/>
  <c r="AP3" i="6"/>
  <c r="AQ3" i="6"/>
  <c r="AR3" i="6"/>
  <c r="AS3" i="6"/>
  <c r="AT3" i="6"/>
  <c r="AU3" i="6"/>
  <c r="AV3" i="6"/>
  <c r="AW3" i="6"/>
  <c r="AX3" i="6"/>
  <c r="AY3" i="6"/>
  <c r="AZ3" i="6"/>
  <c r="BA3" i="6"/>
  <c r="BB3" i="6"/>
  <c r="BC3" i="6"/>
  <c r="BD3" i="6"/>
  <c r="BE3" i="6"/>
  <c r="BF3" i="6"/>
  <c r="BG3" i="6"/>
  <c r="F4" i="6"/>
  <c r="G4" i="6"/>
  <c r="I4" i="6"/>
  <c r="L4" i="6"/>
  <c r="M4" i="6"/>
  <c r="N4" i="6"/>
  <c r="O4" i="6"/>
  <c r="P4" i="6"/>
  <c r="Q4" i="6"/>
  <c r="R4" i="6"/>
  <c r="S4" i="6"/>
  <c r="T4" i="6"/>
  <c r="U4" i="6"/>
  <c r="V4" i="6"/>
  <c r="W4" i="6"/>
  <c r="X4" i="6"/>
  <c r="Y4" i="6"/>
  <c r="Z4" i="6"/>
  <c r="AC4" i="6"/>
  <c r="AD4" i="6"/>
  <c r="AE4" i="6"/>
  <c r="AF4" i="6"/>
  <c r="AG4" i="6"/>
  <c r="AH4" i="6"/>
  <c r="AI4" i="6"/>
  <c r="AJ4" i="6"/>
  <c r="AK4" i="6"/>
  <c r="AL4" i="6"/>
  <c r="AN4" i="6"/>
  <c r="AO4" i="6"/>
  <c r="AP4" i="6"/>
  <c r="AQ4" i="6"/>
  <c r="AR4" i="6"/>
  <c r="AS4" i="6"/>
  <c r="AT4" i="6"/>
  <c r="AU4" i="6"/>
  <c r="AV4" i="6"/>
  <c r="AW4" i="6"/>
  <c r="AX4" i="6"/>
  <c r="AY4" i="6"/>
  <c r="AZ4" i="6"/>
  <c r="BA4" i="6"/>
  <c r="BB4" i="6"/>
  <c r="BC4" i="6"/>
  <c r="BD4" i="6"/>
  <c r="BE4" i="6"/>
  <c r="BF4" i="6"/>
  <c r="BG4" i="6"/>
  <c r="F5" i="6"/>
  <c r="G5" i="6"/>
  <c r="I5" i="6"/>
  <c r="J5" i="6"/>
  <c r="K5" i="6"/>
  <c r="L5" i="6"/>
  <c r="M5" i="6"/>
  <c r="N5" i="6"/>
  <c r="O5" i="6"/>
  <c r="P5" i="6"/>
  <c r="Q5" i="6"/>
  <c r="R5" i="6"/>
  <c r="S5" i="6"/>
  <c r="T5" i="6"/>
  <c r="U5" i="6"/>
  <c r="V5" i="6"/>
  <c r="W5" i="6"/>
  <c r="X5" i="6"/>
  <c r="Y5" i="6"/>
  <c r="Z5" i="6"/>
  <c r="AC5" i="6"/>
  <c r="AD5" i="6"/>
  <c r="AE5" i="6"/>
  <c r="AF5" i="6"/>
  <c r="AG5" i="6"/>
  <c r="AH5" i="6"/>
  <c r="AI5" i="6"/>
  <c r="AJ5" i="6"/>
  <c r="AK5" i="6"/>
  <c r="AL5" i="6"/>
  <c r="AN5" i="6"/>
  <c r="AO5" i="6"/>
  <c r="AP5" i="6"/>
  <c r="AQ5" i="6"/>
  <c r="AR5" i="6"/>
  <c r="AS5" i="6"/>
  <c r="AT5" i="6"/>
  <c r="AU5" i="6"/>
  <c r="AV5" i="6"/>
  <c r="AW5" i="6"/>
  <c r="AX5" i="6"/>
  <c r="AY5" i="6"/>
  <c r="AZ5" i="6"/>
  <c r="BA5" i="6"/>
  <c r="BB5" i="6"/>
  <c r="BC5" i="6"/>
  <c r="BD5" i="6"/>
  <c r="BE5" i="6"/>
  <c r="BF5" i="6"/>
  <c r="BG5" i="6"/>
  <c r="F6" i="6"/>
  <c r="G6" i="6"/>
  <c r="I6" i="6"/>
  <c r="L6" i="6"/>
  <c r="M6" i="6"/>
  <c r="N6" i="6"/>
  <c r="O6" i="6"/>
  <c r="P6" i="6"/>
  <c r="Q6" i="6"/>
  <c r="R6" i="6"/>
  <c r="S6" i="6"/>
  <c r="T6" i="6"/>
  <c r="U6" i="6"/>
  <c r="V6" i="6"/>
  <c r="W6" i="6"/>
  <c r="X6" i="6"/>
  <c r="Y6" i="6"/>
  <c r="Z6" i="6"/>
  <c r="AC6" i="6"/>
  <c r="AD6" i="6"/>
  <c r="AE6" i="6"/>
  <c r="AF6" i="6"/>
  <c r="AG6" i="6"/>
  <c r="AH6" i="6"/>
  <c r="AI6" i="6"/>
  <c r="AJ6" i="6"/>
  <c r="AK6" i="6"/>
  <c r="AL6" i="6"/>
  <c r="AN6" i="6"/>
  <c r="AO6" i="6"/>
  <c r="AP6" i="6"/>
  <c r="AQ6" i="6"/>
  <c r="AR6" i="6"/>
  <c r="AS6" i="6"/>
  <c r="AT6" i="6"/>
  <c r="AU6" i="6"/>
  <c r="AV6" i="6"/>
  <c r="AW6" i="6"/>
  <c r="AX6" i="6"/>
  <c r="AY6" i="6"/>
  <c r="AZ6" i="6"/>
  <c r="BA6" i="6"/>
  <c r="BB6" i="6"/>
  <c r="BC6" i="6"/>
  <c r="BD6" i="6"/>
  <c r="BE6" i="6"/>
  <c r="BF6" i="6"/>
  <c r="BG6" i="6"/>
  <c r="F7" i="6"/>
  <c r="G7" i="6"/>
  <c r="I7" i="6"/>
  <c r="L7" i="6"/>
  <c r="M7" i="6"/>
  <c r="N7" i="6"/>
  <c r="O7" i="6"/>
  <c r="P7" i="6"/>
  <c r="Q7" i="6"/>
  <c r="R7" i="6"/>
  <c r="S7" i="6"/>
  <c r="T7" i="6"/>
  <c r="U7" i="6"/>
  <c r="V7" i="6"/>
  <c r="W7" i="6"/>
  <c r="X7" i="6"/>
  <c r="Y7" i="6"/>
  <c r="Z7" i="6"/>
  <c r="AC7" i="6"/>
  <c r="AD7" i="6"/>
  <c r="AE7" i="6"/>
  <c r="AF7" i="6"/>
  <c r="AG7" i="6"/>
  <c r="AH7" i="6"/>
  <c r="AI7" i="6"/>
  <c r="AJ7" i="6"/>
  <c r="AK7" i="6"/>
  <c r="AL7" i="6"/>
  <c r="AN7" i="6"/>
  <c r="AO7" i="6"/>
  <c r="AP7" i="6"/>
  <c r="AQ7" i="6"/>
  <c r="AR7" i="6"/>
  <c r="AS7" i="6"/>
  <c r="AT7" i="6"/>
  <c r="AU7" i="6"/>
  <c r="AV7" i="6"/>
  <c r="AW7" i="6"/>
  <c r="AX7" i="6"/>
  <c r="AY7" i="6"/>
  <c r="AZ7" i="6"/>
  <c r="BA7" i="6"/>
  <c r="BB7" i="6"/>
  <c r="BC7" i="6"/>
  <c r="BD7" i="6"/>
  <c r="BE7" i="6"/>
  <c r="BF7" i="6"/>
  <c r="BG7" i="6"/>
  <c r="F8" i="6"/>
  <c r="G8" i="6"/>
  <c r="I8" i="6"/>
  <c r="L8" i="6"/>
  <c r="M8" i="6"/>
  <c r="N8" i="6"/>
  <c r="O8" i="6"/>
  <c r="P8" i="6"/>
  <c r="Q8" i="6"/>
  <c r="R8" i="6"/>
  <c r="S8" i="6"/>
  <c r="T8" i="6"/>
  <c r="U8" i="6"/>
  <c r="V8" i="6"/>
  <c r="W8" i="6"/>
  <c r="X8" i="6"/>
  <c r="Y8" i="6"/>
  <c r="Z8" i="6"/>
  <c r="AC8" i="6"/>
  <c r="AD8" i="6"/>
  <c r="AE8" i="6"/>
  <c r="AF8" i="6"/>
  <c r="AG8" i="6"/>
  <c r="AH8" i="6"/>
  <c r="AI8" i="6"/>
  <c r="AJ8" i="6"/>
  <c r="AK8" i="6"/>
  <c r="AL8" i="6"/>
  <c r="AN8" i="6"/>
  <c r="AO8" i="6"/>
  <c r="AP8" i="6"/>
  <c r="AQ8" i="6"/>
  <c r="AR8" i="6"/>
  <c r="AS8" i="6"/>
  <c r="AT8" i="6"/>
  <c r="AU8" i="6"/>
  <c r="AV8" i="6"/>
  <c r="AW8" i="6"/>
  <c r="AX8" i="6"/>
  <c r="AY8" i="6"/>
  <c r="AZ8" i="6"/>
  <c r="BA8" i="6"/>
  <c r="BB8" i="6"/>
  <c r="BC8" i="6"/>
  <c r="BD8" i="6"/>
  <c r="BE8" i="6"/>
  <c r="BF8" i="6"/>
  <c r="BG8" i="6"/>
  <c r="F9" i="6"/>
  <c r="G9" i="6"/>
  <c r="I9" i="6"/>
  <c r="L9" i="6"/>
  <c r="M9" i="6"/>
  <c r="N9" i="6"/>
  <c r="O9" i="6"/>
  <c r="P9" i="6"/>
  <c r="Q9" i="6"/>
  <c r="R9" i="6"/>
  <c r="S9" i="6"/>
  <c r="T9" i="6"/>
  <c r="U9" i="6"/>
  <c r="V9" i="6"/>
  <c r="W9" i="6"/>
  <c r="X9" i="6"/>
  <c r="Y9" i="6"/>
  <c r="Z9" i="6"/>
  <c r="AC9" i="6"/>
  <c r="AD9" i="6"/>
  <c r="AE9" i="6"/>
  <c r="AF9" i="6"/>
  <c r="AG9" i="6"/>
  <c r="AH9" i="6"/>
  <c r="AI9" i="6"/>
  <c r="AJ9" i="6"/>
  <c r="AK9" i="6"/>
  <c r="AL9" i="6"/>
  <c r="AN9" i="6"/>
  <c r="AO9" i="6"/>
  <c r="AP9" i="6"/>
  <c r="AQ9" i="6"/>
  <c r="AR9" i="6"/>
  <c r="AS9" i="6"/>
  <c r="AT9" i="6"/>
  <c r="AU9" i="6"/>
  <c r="AV9" i="6"/>
  <c r="AW9" i="6"/>
  <c r="AX9" i="6"/>
  <c r="AY9" i="6"/>
  <c r="AZ9" i="6"/>
  <c r="BA9" i="6"/>
  <c r="BB9" i="6"/>
  <c r="BC9" i="6"/>
  <c r="BD9" i="6"/>
  <c r="BE9" i="6"/>
  <c r="BF9" i="6"/>
  <c r="BG9" i="6"/>
  <c r="F10" i="6"/>
  <c r="G10" i="6"/>
  <c r="I10" i="6"/>
  <c r="L10" i="6"/>
  <c r="M10" i="6"/>
  <c r="N10" i="6"/>
  <c r="O10" i="6"/>
  <c r="P10" i="6"/>
  <c r="Q10" i="6"/>
  <c r="R10" i="6"/>
  <c r="S10" i="6"/>
  <c r="T10" i="6"/>
  <c r="U10" i="6"/>
  <c r="V10" i="6"/>
  <c r="W10" i="6"/>
  <c r="X10" i="6"/>
  <c r="Y10" i="6"/>
  <c r="Z10" i="6"/>
  <c r="AC10" i="6"/>
  <c r="AD10" i="6"/>
  <c r="AE10" i="6"/>
  <c r="AF10" i="6"/>
  <c r="AG10" i="6"/>
  <c r="AH10" i="6"/>
  <c r="AI10" i="6"/>
  <c r="AJ10" i="6"/>
  <c r="AK10" i="6"/>
  <c r="AL10" i="6"/>
  <c r="AN10" i="6"/>
  <c r="AO10" i="6"/>
  <c r="AP10" i="6"/>
  <c r="AQ10" i="6"/>
  <c r="AR10" i="6"/>
  <c r="AS10" i="6"/>
  <c r="AT10" i="6"/>
  <c r="AU10" i="6"/>
  <c r="AV10" i="6"/>
  <c r="AW10" i="6"/>
  <c r="AX10" i="6"/>
  <c r="AY10" i="6"/>
  <c r="AZ10" i="6"/>
  <c r="BA10" i="6"/>
  <c r="BB10" i="6"/>
  <c r="BC10" i="6"/>
  <c r="BD10" i="6"/>
  <c r="BE10" i="6"/>
  <c r="BF10" i="6"/>
  <c r="BG10" i="6"/>
  <c r="F11" i="6"/>
  <c r="G11" i="6"/>
  <c r="I11" i="6"/>
  <c r="L11" i="6"/>
  <c r="M11" i="6"/>
  <c r="N11" i="6"/>
  <c r="O11" i="6"/>
  <c r="P11" i="6"/>
  <c r="Q11" i="6"/>
  <c r="R11" i="6"/>
  <c r="S11" i="6"/>
  <c r="T11" i="6"/>
  <c r="U11" i="6"/>
  <c r="V11" i="6"/>
  <c r="W11" i="6"/>
  <c r="X11" i="6"/>
  <c r="Y11" i="6"/>
  <c r="Z11" i="6"/>
  <c r="AC11" i="6"/>
  <c r="AD11" i="6"/>
  <c r="AE11" i="6"/>
  <c r="AF11" i="6"/>
  <c r="AG11" i="6"/>
  <c r="AH11" i="6"/>
  <c r="AI11" i="6"/>
  <c r="AJ11" i="6"/>
  <c r="AK11" i="6"/>
  <c r="AL11" i="6"/>
  <c r="AN11" i="6"/>
  <c r="AO11" i="6"/>
  <c r="AP11" i="6"/>
  <c r="AQ11" i="6"/>
  <c r="AR11" i="6"/>
  <c r="AS11" i="6"/>
  <c r="AT11" i="6"/>
  <c r="AU11" i="6"/>
  <c r="AV11" i="6"/>
  <c r="AW11" i="6"/>
  <c r="AX11" i="6"/>
  <c r="AY11" i="6"/>
  <c r="AZ11" i="6"/>
  <c r="BA11" i="6"/>
  <c r="BB11" i="6"/>
  <c r="BC11" i="6"/>
  <c r="BD11" i="6"/>
  <c r="BE11" i="6"/>
  <c r="BF11" i="6"/>
  <c r="BG11" i="6"/>
  <c r="F12" i="6"/>
  <c r="G12" i="6"/>
  <c r="I12" i="6"/>
  <c r="L12" i="6"/>
  <c r="M12" i="6"/>
  <c r="N12" i="6"/>
  <c r="O12" i="6"/>
  <c r="P12" i="6"/>
  <c r="Q12" i="6"/>
  <c r="R12" i="6"/>
  <c r="S12" i="6"/>
  <c r="T12" i="6"/>
  <c r="U12" i="6"/>
  <c r="V12" i="6"/>
  <c r="W12" i="6"/>
  <c r="X12" i="6"/>
  <c r="Y12" i="6"/>
  <c r="Z12" i="6"/>
  <c r="AC12" i="6"/>
  <c r="AD12" i="6"/>
  <c r="AE12" i="6"/>
  <c r="AF12" i="6"/>
  <c r="AG12" i="6"/>
  <c r="AH12" i="6"/>
  <c r="AI12" i="6"/>
  <c r="AJ12" i="6"/>
  <c r="AK12" i="6"/>
  <c r="AL12" i="6"/>
  <c r="AN12" i="6"/>
  <c r="AO12" i="6"/>
  <c r="AP12" i="6"/>
  <c r="AQ12" i="6"/>
  <c r="AR12" i="6"/>
  <c r="AS12" i="6"/>
  <c r="AT12" i="6"/>
  <c r="AU12" i="6"/>
  <c r="AV12" i="6"/>
  <c r="AW12" i="6"/>
  <c r="AX12" i="6"/>
  <c r="AY12" i="6"/>
  <c r="AZ12" i="6"/>
  <c r="BA12" i="6"/>
  <c r="BB12" i="6"/>
  <c r="BC12" i="6"/>
  <c r="BD12" i="6"/>
  <c r="BE12" i="6"/>
  <c r="BF12" i="6"/>
  <c r="BG12" i="6"/>
  <c r="F13" i="6"/>
  <c r="G13" i="6"/>
  <c r="I13" i="6"/>
  <c r="L13" i="6"/>
  <c r="M13" i="6"/>
  <c r="N13" i="6"/>
  <c r="O13" i="6"/>
  <c r="P13" i="6"/>
  <c r="Q13" i="6"/>
  <c r="R13" i="6"/>
  <c r="S13" i="6"/>
  <c r="T13" i="6"/>
  <c r="U13" i="6"/>
  <c r="V13" i="6"/>
  <c r="W13" i="6"/>
  <c r="X13" i="6"/>
  <c r="Y13" i="6"/>
  <c r="Z13" i="6"/>
  <c r="AC13" i="6"/>
  <c r="AD13" i="6"/>
  <c r="AE13" i="6"/>
  <c r="AF13" i="6"/>
  <c r="AG13" i="6"/>
  <c r="AH13" i="6"/>
  <c r="AI13" i="6"/>
  <c r="AJ13" i="6"/>
  <c r="AK13" i="6"/>
  <c r="AL13" i="6"/>
  <c r="AN13" i="6"/>
  <c r="AO13" i="6"/>
  <c r="AP13" i="6"/>
  <c r="AQ13" i="6"/>
  <c r="AR13" i="6"/>
  <c r="AS13" i="6"/>
  <c r="AT13" i="6"/>
  <c r="AU13" i="6"/>
  <c r="AV13" i="6"/>
  <c r="AW13" i="6"/>
  <c r="AX13" i="6"/>
  <c r="AY13" i="6"/>
  <c r="AZ13" i="6"/>
  <c r="BA13" i="6"/>
  <c r="BB13" i="6"/>
  <c r="BC13" i="6"/>
  <c r="BD13" i="6"/>
  <c r="BE13" i="6"/>
  <c r="BF13" i="6"/>
  <c r="BG13" i="6"/>
  <c r="F14" i="6"/>
  <c r="G14" i="6"/>
  <c r="I14" i="6"/>
  <c r="L14" i="6"/>
  <c r="M14" i="6"/>
  <c r="N14" i="6"/>
  <c r="O14" i="6"/>
  <c r="P14" i="6"/>
  <c r="Q14" i="6"/>
  <c r="R14" i="6"/>
  <c r="S14" i="6"/>
  <c r="T14" i="6"/>
  <c r="U14" i="6"/>
  <c r="V14" i="6"/>
  <c r="W14" i="6"/>
  <c r="X14" i="6"/>
  <c r="Y14" i="6"/>
  <c r="Z14" i="6"/>
  <c r="AC14" i="6"/>
  <c r="AD14" i="6"/>
  <c r="AE14" i="6"/>
  <c r="AF14" i="6"/>
  <c r="AG14" i="6"/>
  <c r="AH14" i="6"/>
  <c r="AI14" i="6"/>
  <c r="AJ14" i="6"/>
  <c r="AK14" i="6"/>
  <c r="AL14" i="6"/>
  <c r="AN14" i="6"/>
  <c r="AO14" i="6"/>
  <c r="AP14" i="6"/>
  <c r="AQ14" i="6"/>
  <c r="AR14" i="6"/>
  <c r="AS14" i="6"/>
  <c r="AT14" i="6"/>
  <c r="AU14" i="6"/>
  <c r="AV14" i="6"/>
  <c r="AW14" i="6"/>
  <c r="AX14" i="6"/>
  <c r="AY14" i="6"/>
  <c r="AZ14" i="6"/>
  <c r="BA14" i="6"/>
  <c r="BB14" i="6"/>
  <c r="BC14" i="6"/>
  <c r="BD14" i="6"/>
  <c r="BE14" i="6"/>
  <c r="BF14" i="6"/>
  <c r="BG14" i="6"/>
  <c r="F15" i="6"/>
  <c r="G15" i="6"/>
  <c r="I15" i="6"/>
  <c r="L15" i="6"/>
  <c r="M15" i="6"/>
  <c r="N15" i="6"/>
  <c r="O15" i="6"/>
  <c r="P15" i="6"/>
  <c r="Q15" i="6"/>
  <c r="R15" i="6"/>
  <c r="S15" i="6"/>
  <c r="T15" i="6"/>
  <c r="U15" i="6"/>
  <c r="V15" i="6"/>
  <c r="W15" i="6"/>
  <c r="X15" i="6"/>
  <c r="Y15" i="6"/>
  <c r="Z15" i="6"/>
  <c r="AC15" i="6"/>
  <c r="AD15" i="6"/>
  <c r="AE15" i="6"/>
  <c r="AF15" i="6"/>
  <c r="AG15" i="6"/>
  <c r="AH15" i="6"/>
  <c r="AI15" i="6"/>
  <c r="AJ15" i="6"/>
  <c r="AK15" i="6"/>
  <c r="AL15" i="6"/>
  <c r="AN15" i="6"/>
  <c r="AO15" i="6"/>
  <c r="AP15" i="6"/>
  <c r="AQ15" i="6"/>
  <c r="AR15" i="6"/>
  <c r="AS15" i="6"/>
  <c r="AT15" i="6"/>
  <c r="AU15" i="6"/>
  <c r="AV15" i="6"/>
  <c r="AW15" i="6"/>
  <c r="AX15" i="6"/>
  <c r="AY15" i="6"/>
  <c r="AZ15" i="6"/>
  <c r="BA15" i="6"/>
  <c r="BB15" i="6"/>
  <c r="BC15" i="6"/>
  <c r="BD15" i="6"/>
  <c r="BE15" i="6"/>
  <c r="BF15" i="6"/>
  <c r="BG15" i="6"/>
  <c r="F16" i="6"/>
  <c r="G16" i="6"/>
  <c r="I16" i="6"/>
  <c r="L16" i="6"/>
  <c r="M16" i="6"/>
  <c r="N16" i="6"/>
  <c r="O16" i="6"/>
  <c r="P16" i="6"/>
  <c r="Q16" i="6"/>
  <c r="R16" i="6"/>
  <c r="S16" i="6"/>
  <c r="T16" i="6"/>
  <c r="U16" i="6"/>
  <c r="V16" i="6"/>
  <c r="W16" i="6"/>
  <c r="X16" i="6"/>
  <c r="Y16" i="6"/>
  <c r="Z16" i="6"/>
  <c r="AC16" i="6"/>
  <c r="AD16" i="6"/>
  <c r="AE16" i="6"/>
  <c r="AF16" i="6"/>
  <c r="AG16" i="6"/>
  <c r="AH16" i="6"/>
  <c r="AI16" i="6"/>
  <c r="AJ16" i="6"/>
  <c r="AK16" i="6"/>
  <c r="AL16" i="6"/>
  <c r="AN16" i="6"/>
  <c r="AO16" i="6"/>
  <c r="AP16" i="6"/>
  <c r="AQ16" i="6"/>
  <c r="AR16" i="6"/>
  <c r="AS16" i="6"/>
  <c r="AT16" i="6"/>
  <c r="AU16" i="6"/>
  <c r="AV16" i="6"/>
  <c r="AW16" i="6"/>
  <c r="AX16" i="6"/>
  <c r="AY16" i="6"/>
  <c r="AZ16" i="6"/>
  <c r="BA16" i="6"/>
  <c r="BB16" i="6"/>
  <c r="BC16" i="6"/>
  <c r="BD16" i="6"/>
  <c r="BE16" i="6"/>
  <c r="BF16" i="6"/>
  <c r="BG16" i="6"/>
  <c r="F17" i="6"/>
  <c r="G17" i="6"/>
  <c r="I17" i="6"/>
  <c r="L17" i="6"/>
  <c r="M17" i="6"/>
  <c r="N17" i="6"/>
  <c r="O17" i="6"/>
  <c r="P17" i="6"/>
  <c r="Q17" i="6"/>
  <c r="R17" i="6"/>
  <c r="S17" i="6"/>
  <c r="T17" i="6"/>
  <c r="U17" i="6"/>
  <c r="V17" i="6"/>
  <c r="W17" i="6"/>
  <c r="X17" i="6"/>
  <c r="Y17" i="6"/>
  <c r="Z17" i="6"/>
  <c r="AC17" i="6"/>
  <c r="AD17" i="6"/>
  <c r="AE17" i="6"/>
  <c r="AF17" i="6"/>
  <c r="AG17" i="6"/>
  <c r="AH17" i="6"/>
  <c r="AI17" i="6"/>
  <c r="AJ17" i="6"/>
  <c r="AK17" i="6"/>
  <c r="AL17" i="6"/>
  <c r="AN17" i="6"/>
  <c r="AO17" i="6"/>
  <c r="AP17" i="6"/>
  <c r="AQ17" i="6"/>
  <c r="AR17" i="6"/>
  <c r="AS17" i="6"/>
  <c r="AT17" i="6"/>
  <c r="AU17" i="6"/>
  <c r="AV17" i="6"/>
  <c r="AW17" i="6"/>
  <c r="AX17" i="6"/>
  <c r="AY17" i="6"/>
  <c r="AZ17" i="6"/>
  <c r="BA17" i="6"/>
  <c r="BB17" i="6"/>
  <c r="BC17" i="6"/>
  <c r="BD17" i="6"/>
  <c r="BE17" i="6"/>
  <c r="BF17" i="6"/>
  <c r="BG17" i="6"/>
  <c r="F18" i="6"/>
  <c r="G18" i="6"/>
  <c r="I18" i="6"/>
  <c r="L18" i="6"/>
  <c r="M18" i="6"/>
  <c r="N18" i="6"/>
  <c r="O18" i="6"/>
  <c r="P18" i="6"/>
  <c r="Q18" i="6"/>
  <c r="R18" i="6"/>
  <c r="S18" i="6"/>
  <c r="T18" i="6"/>
  <c r="U18" i="6"/>
  <c r="V18" i="6"/>
  <c r="W18" i="6"/>
  <c r="X18" i="6"/>
  <c r="Y18" i="6"/>
  <c r="Z18" i="6"/>
  <c r="AC18" i="6"/>
  <c r="AD18" i="6"/>
  <c r="AE18" i="6"/>
  <c r="AF18" i="6"/>
  <c r="AG18" i="6"/>
  <c r="AH18" i="6"/>
  <c r="AI18" i="6"/>
  <c r="AJ18" i="6"/>
  <c r="AK18" i="6"/>
  <c r="AL18" i="6"/>
  <c r="AN18" i="6"/>
  <c r="AO18" i="6"/>
  <c r="AP18" i="6"/>
  <c r="AQ18" i="6"/>
  <c r="AR18" i="6"/>
  <c r="AS18" i="6"/>
  <c r="AT18" i="6"/>
  <c r="AU18" i="6"/>
  <c r="AV18" i="6"/>
  <c r="AW18" i="6"/>
  <c r="AX18" i="6"/>
  <c r="AY18" i="6"/>
  <c r="AZ18" i="6"/>
  <c r="BA18" i="6"/>
  <c r="BB18" i="6"/>
  <c r="BC18" i="6"/>
  <c r="BD18" i="6"/>
  <c r="BE18" i="6"/>
  <c r="BF18" i="6"/>
  <c r="BG18" i="6"/>
  <c r="F19" i="6"/>
  <c r="G19" i="6"/>
  <c r="I19" i="6"/>
  <c r="L19" i="6"/>
  <c r="M19" i="6"/>
  <c r="N19" i="6"/>
  <c r="O19" i="6"/>
  <c r="P19" i="6"/>
  <c r="Q19" i="6"/>
  <c r="R19" i="6"/>
  <c r="S19" i="6"/>
  <c r="T19" i="6"/>
  <c r="U19" i="6"/>
  <c r="V19" i="6"/>
  <c r="W19" i="6"/>
  <c r="X19" i="6"/>
  <c r="Y19" i="6"/>
  <c r="Z19" i="6"/>
  <c r="AC19" i="6"/>
  <c r="AD19" i="6"/>
  <c r="AE19" i="6"/>
  <c r="AF19" i="6"/>
  <c r="AG19" i="6"/>
  <c r="AH19" i="6"/>
  <c r="AI19" i="6"/>
  <c r="AJ19" i="6"/>
  <c r="AK19" i="6"/>
  <c r="AL19" i="6"/>
  <c r="AN19" i="6"/>
  <c r="AO19" i="6"/>
  <c r="AP19" i="6"/>
  <c r="AQ19" i="6"/>
  <c r="AR19" i="6"/>
  <c r="AS19" i="6"/>
  <c r="AT19" i="6"/>
  <c r="AU19" i="6"/>
  <c r="AV19" i="6"/>
  <c r="AW19" i="6"/>
  <c r="AX19" i="6"/>
  <c r="AY19" i="6"/>
  <c r="AZ19" i="6"/>
  <c r="BA19" i="6"/>
  <c r="BB19" i="6"/>
  <c r="BC19" i="6"/>
  <c r="BD19" i="6"/>
  <c r="BE19" i="6"/>
  <c r="BF19" i="6"/>
  <c r="BG19" i="6"/>
  <c r="F20" i="6"/>
  <c r="G20" i="6"/>
  <c r="I20" i="6"/>
  <c r="L20" i="6"/>
  <c r="M20" i="6"/>
  <c r="N20" i="6"/>
  <c r="O20" i="6"/>
  <c r="P20" i="6"/>
  <c r="Q20" i="6"/>
  <c r="R20" i="6"/>
  <c r="S20" i="6"/>
  <c r="T20" i="6"/>
  <c r="U20" i="6"/>
  <c r="V20" i="6"/>
  <c r="W20" i="6"/>
  <c r="X20" i="6"/>
  <c r="Y20" i="6"/>
  <c r="Z20" i="6"/>
  <c r="AC20" i="6"/>
  <c r="AD20" i="6"/>
  <c r="AE20" i="6"/>
  <c r="AF20" i="6"/>
  <c r="AG20" i="6"/>
  <c r="AH20" i="6"/>
  <c r="AI20" i="6"/>
  <c r="AJ20" i="6"/>
  <c r="AK20" i="6"/>
  <c r="AL20" i="6"/>
  <c r="AN20" i="6"/>
  <c r="AO20" i="6"/>
  <c r="AP20" i="6"/>
  <c r="AQ20" i="6"/>
  <c r="AR20" i="6"/>
  <c r="AS20" i="6"/>
  <c r="AT20" i="6"/>
  <c r="AU20" i="6"/>
  <c r="AV20" i="6"/>
  <c r="AW20" i="6"/>
  <c r="AX20" i="6"/>
  <c r="AY20" i="6"/>
  <c r="AZ20" i="6"/>
  <c r="BA20" i="6"/>
  <c r="BB20" i="6"/>
  <c r="BC20" i="6"/>
  <c r="BD20" i="6"/>
  <c r="BE20" i="6"/>
  <c r="BF20" i="6"/>
  <c r="BG20" i="6"/>
  <c r="F21" i="6"/>
  <c r="G21" i="6"/>
  <c r="I21" i="6"/>
  <c r="L21" i="6"/>
  <c r="M21" i="6"/>
  <c r="N21" i="6"/>
  <c r="O21" i="6"/>
  <c r="P21" i="6"/>
  <c r="Q21" i="6"/>
  <c r="R21" i="6"/>
  <c r="S21" i="6"/>
  <c r="T21" i="6"/>
  <c r="U21" i="6"/>
  <c r="V21" i="6"/>
  <c r="W21" i="6"/>
  <c r="X21" i="6"/>
  <c r="Y21" i="6"/>
  <c r="Z21" i="6"/>
  <c r="AC21" i="6"/>
  <c r="AD21" i="6"/>
  <c r="AE21" i="6"/>
  <c r="AF21" i="6"/>
  <c r="AG21" i="6"/>
  <c r="AH21" i="6"/>
  <c r="AI21" i="6"/>
  <c r="AJ21" i="6"/>
  <c r="AK21" i="6"/>
  <c r="AL21" i="6"/>
  <c r="AN21" i="6"/>
  <c r="AO21" i="6"/>
  <c r="AP21" i="6"/>
  <c r="AQ21" i="6"/>
  <c r="AR21" i="6"/>
  <c r="AS21" i="6"/>
  <c r="AT21" i="6"/>
  <c r="AU21" i="6"/>
  <c r="AV21" i="6"/>
  <c r="AW21" i="6"/>
  <c r="AX21" i="6"/>
  <c r="AY21" i="6"/>
  <c r="AZ21" i="6"/>
  <c r="BA21" i="6"/>
  <c r="BB21" i="6"/>
  <c r="BC21" i="6"/>
  <c r="BD21" i="6"/>
  <c r="BE21" i="6"/>
  <c r="BF21" i="6"/>
  <c r="BG21" i="6"/>
  <c r="F22" i="6"/>
  <c r="G22" i="6"/>
  <c r="I22" i="6"/>
  <c r="L22" i="6"/>
  <c r="M22" i="6"/>
  <c r="N22" i="6"/>
  <c r="O22" i="6"/>
  <c r="P22" i="6"/>
  <c r="Q22" i="6"/>
  <c r="R22" i="6"/>
  <c r="S22" i="6"/>
  <c r="T22" i="6"/>
  <c r="U22" i="6"/>
  <c r="V22" i="6"/>
  <c r="W22" i="6"/>
  <c r="X22" i="6"/>
  <c r="Y22" i="6"/>
  <c r="Z22" i="6"/>
  <c r="AC22" i="6"/>
  <c r="AD22" i="6"/>
  <c r="AE22" i="6"/>
  <c r="AF22" i="6"/>
  <c r="AG22" i="6"/>
  <c r="AH22" i="6"/>
  <c r="AI22" i="6"/>
  <c r="AJ22" i="6"/>
  <c r="AK22" i="6"/>
  <c r="AL22" i="6"/>
  <c r="AN22" i="6"/>
  <c r="AO22" i="6"/>
  <c r="AP22" i="6"/>
  <c r="AQ22" i="6"/>
  <c r="AR22" i="6"/>
  <c r="AS22" i="6"/>
  <c r="AT22" i="6"/>
  <c r="AU22" i="6"/>
  <c r="AV22" i="6"/>
  <c r="AW22" i="6"/>
  <c r="AX22" i="6"/>
  <c r="AY22" i="6"/>
  <c r="AZ22" i="6"/>
  <c r="BA22" i="6"/>
  <c r="BB22" i="6"/>
  <c r="BC22" i="6"/>
  <c r="BD22" i="6"/>
  <c r="BE22" i="6"/>
  <c r="BF22" i="6"/>
  <c r="BG22" i="6"/>
  <c r="F23" i="6"/>
  <c r="G23" i="6"/>
  <c r="I23" i="6"/>
  <c r="L23" i="6"/>
  <c r="M23" i="6"/>
  <c r="N23" i="6"/>
  <c r="O23" i="6"/>
  <c r="P23" i="6"/>
  <c r="Q23" i="6"/>
  <c r="R23" i="6"/>
  <c r="S23" i="6"/>
  <c r="T23" i="6"/>
  <c r="U23" i="6"/>
  <c r="V23" i="6"/>
  <c r="W23" i="6"/>
  <c r="X23" i="6"/>
  <c r="Y23" i="6"/>
  <c r="Z23" i="6"/>
  <c r="AC23" i="6"/>
  <c r="AD23" i="6"/>
  <c r="AE23" i="6"/>
  <c r="AF23" i="6"/>
  <c r="AG23" i="6"/>
  <c r="AH23" i="6"/>
  <c r="AI23" i="6"/>
  <c r="AJ23" i="6"/>
  <c r="AK23" i="6"/>
  <c r="AL23" i="6"/>
  <c r="AN23" i="6"/>
  <c r="AO23" i="6"/>
  <c r="AP23" i="6"/>
  <c r="AQ23" i="6"/>
  <c r="AR23" i="6"/>
  <c r="AS23" i="6"/>
  <c r="AT23" i="6"/>
  <c r="AU23" i="6"/>
  <c r="AV23" i="6"/>
  <c r="AW23" i="6"/>
  <c r="AX23" i="6"/>
  <c r="AY23" i="6"/>
  <c r="AZ23" i="6"/>
  <c r="BA23" i="6"/>
  <c r="BB23" i="6"/>
  <c r="BC23" i="6"/>
  <c r="BD23" i="6"/>
  <c r="BE23" i="6"/>
  <c r="BF23" i="6"/>
  <c r="BG23" i="6"/>
  <c r="F24" i="6"/>
  <c r="G24" i="6"/>
  <c r="I24" i="6"/>
  <c r="L24" i="6"/>
  <c r="M24" i="6"/>
  <c r="N24" i="6"/>
  <c r="O24" i="6"/>
  <c r="P24" i="6"/>
  <c r="Q24" i="6"/>
  <c r="R24" i="6"/>
  <c r="S24" i="6"/>
  <c r="T24" i="6"/>
  <c r="U24" i="6"/>
  <c r="V24" i="6"/>
  <c r="W24" i="6"/>
  <c r="X24" i="6"/>
  <c r="Y24" i="6"/>
  <c r="Z24" i="6"/>
  <c r="AC24" i="6"/>
  <c r="AD24" i="6"/>
  <c r="AE24" i="6"/>
  <c r="AF24" i="6"/>
  <c r="AG24" i="6"/>
  <c r="AH24" i="6"/>
  <c r="AI24" i="6"/>
  <c r="AJ24" i="6"/>
  <c r="AK24" i="6"/>
  <c r="AL24" i="6"/>
  <c r="AN24" i="6"/>
  <c r="AO24" i="6"/>
  <c r="AP24" i="6"/>
  <c r="AQ24" i="6"/>
  <c r="AR24" i="6"/>
  <c r="AS24" i="6"/>
  <c r="AT24" i="6"/>
  <c r="AU24" i="6"/>
  <c r="AV24" i="6"/>
  <c r="AW24" i="6"/>
  <c r="AX24" i="6"/>
  <c r="AY24" i="6"/>
  <c r="AZ24" i="6"/>
  <c r="BA24" i="6"/>
  <c r="BB24" i="6"/>
  <c r="BC24" i="6"/>
  <c r="BD24" i="6"/>
  <c r="BE24" i="6"/>
  <c r="BF24" i="6"/>
  <c r="BG24" i="6"/>
  <c r="F25" i="6"/>
  <c r="G25" i="6"/>
  <c r="I25" i="6"/>
  <c r="L25" i="6"/>
  <c r="M25" i="6"/>
  <c r="N25" i="6"/>
  <c r="O25" i="6"/>
  <c r="P25" i="6"/>
  <c r="Q25" i="6"/>
  <c r="R25" i="6"/>
  <c r="S25" i="6"/>
  <c r="T25" i="6"/>
  <c r="U25" i="6"/>
  <c r="V25" i="6"/>
  <c r="W25" i="6"/>
  <c r="X25" i="6"/>
  <c r="Y25" i="6"/>
  <c r="Z25" i="6"/>
  <c r="AC25" i="6"/>
  <c r="AD25" i="6"/>
  <c r="AE25" i="6"/>
  <c r="AF25" i="6"/>
  <c r="AG25" i="6"/>
  <c r="AH25" i="6"/>
  <c r="AI25" i="6"/>
  <c r="AJ25" i="6"/>
  <c r="AK25" i="6"/>
  <c r="AL25" i="6"/>
  <c r="AN25" i="6"/>
  <c r="AO25" i="6"/>
  <c r="AP25" i="6"/>
  <c r="AQ25" i="6"/>
  <c r="AR25" i="6"/>
  <c r="AS25" i="6"/>
  <c r="AT25" i="6"/>
  <c r="AU25" i="6"/>
  <c r="AV25" i="6"/>
  <c r="AW25" i="6"/>
  <c r="AX25" i="6"/>
  <c r="AY25" i="6"/>
  <c r="AZ25" i="6"/>
  <c r="BA25" i="6"/>
  <c r="BB25" i="6"/>
  <c r="BC25" i="6"/>
  <c r="BD25" i="6"/>
  <c r="BE25" i="6"/>
  <c r="BF25" i="6"/>
  <c r="BG25" i="6"/>
  <c r="F26" i="6"/>
  <c r="G26" i="6"/>
  <c r="I26" i="6"/>
  <c r="L26" i="6"/>
  <c r="M26" i="6"/>
  <c r="N26" i="6"/>
  <c r="O26" i="6"/>
  <c r="P26" i="6"/>
  <c r="Q26" i="6"/>
  <c r="R26" i="6"/>
  <c r="S26" i="6"/>
  <c r="T26" i="6"/>
  <c r="U26" i="6"/>
  <c r="V26" i="6"/>
  <c r="W26" i="6"/>
  <c r="X26" i="6"/>
  <c r="Y26" i="6"/>
  <c r="Z26" i="6"/>
  <c r="AC26" i="6"/>
  <c r="AD26" i="6"/>
  <c r="AE26" i="6"/>
  <c r="AF26" i="6"/>
  <c r="AG26" i="6"/>
  <c r="AH26" i="6"/>
  <c r="AI26" i="6"/>
  <c r="AJ26" i="6"/>
  <c r="AK26" i="6"/>
  <c r="AL26" i="6"/>
  <c r="AN26" i="6"/>
  <c r="AO26" i="6"/>
  <c r="AP26" i="6"/>
  <c r="AQ26" i="6"/>
  <c r="AR26" i="6"/>
  <c r="AS26" i="6"/>
  <c r="AT26" i="6"/>
  <c r="AU26" i="6"/>
  <c r="AV26" i="6"/>
  <c r="AW26" i="6"/>
  <c r="AX26" i="6"/>
  <c r="AY26" i="6"/>
  <c r="AZ26" i="6"/>
  <c r="BA26" i="6"/>
  <c r="BB26" i="6"/>
  <c r="BC26" i="6"/>
  <c r="BD26" i="6"/>
  <c r="BE26" i="6"/>
  <c r="BF26" i="6"/>
  <c r="BG26" i="6"/>
  <c r="F27" i="6"/>
  <c r="G27" i="6"/>
  <c r="I27" i="6"/>
  <c r="L27" i="6"/>
  <c r="M27" i="6"/>
  <c r="N27" i="6"/>
  <c r="O27" i="6"/>
  <c r="P27" i="6"/>
  <c r="Q27" i="6"/>
  <c r="R27" i="6"/>
  <c r="S27" i="6"/>
  <c r="T27" i="6"/>
  <c r="U27" i="6"/>
  <c r="V27" i="6"/>
  <c r="W27" i="6"/>
  <c r="X27" i="6"/>
  <c r="Y27" i="6"/>
  <c r="Z27" i="6"/>
  <c r="AC27" i="6"/>
  <c r="AD27" i="6"/>
  <c r="AE27" i="6"/>
  <c r="AF27" i="6"/>
  <c r="AG27" i="6"/>
  <c r="AH27" i="6"/>
  <c r="AI27" i="6"/>
  <c r="AJ27" i="6"/>
  <c r="AK27" i="6"/>
  <c r="AL27" i="6"/>
  <c r="AN27" i="6"/>
  <c r="AO27" i="6"/>
  <c r="AP27" i="6"/>
  <c r="AQ27" i="6"/>
  <c r="AR27" i="6"/>
  <c r="AS27" i="6"/>
  <c r="AT27" i="6"/>
  <c r="AU27" i="6"/>
  <c r="AV27" i="6"/>
  <c r="AW27" i="6"/>
  <c r="AX27" i="6"/>
  <c r="AY27" i="6"/>
  <c r="AZ27" i="6"/>
  <c r="BA27" i="6"/>
  <c r="BB27" i="6"/>
  <c r="BC27" i="6"/>
  <c r="BD27" i="6"/>
  <c r="BE27" i="6"/>
  <c r="BF27" i="6"/>
  <c r="BG27" i="6"/>
  <c r="F28" i="6"/>
  <c r="G28" i="6"/>
  <c r="I28" i="6"/>
  <c r="L28" i="6"/>
  <c r="M28" i="6"/>
  <c r="N28" i="6"/>
  <c r="O28" i="6"/>
  <c r="P28" i="6"/>
  <c r="Q28" i="6"/>
  <c r="R28" i="6"/>
  <c r="S28" i="6"/>
  <c r="T28" i="6"/>
  <c r="U28" i="6"/>
  <c r="V28" i="6"/>
  <c r="W28" i="6"/>
  <c r="X28" i="6"/>
  <c r="Y28" i="6"/>
  <c r="Z28" i="6"/>
  <c r="AC28" i="6"/>
  <c r="AD28" i="6"/>
  <c r="AE28" i="6"/>
  <c r="AF28" i="6"/>
  <c r="AG28" i="6"/>
  <c r="AH28" i="6"/>
  <c r="AI28" i="6"/>
  <c r="AJ28" i="6"/>
  <c r="AK28" i="6"/>
  <c r="AL28" i="6"/>
  <c r="AN28" i="6"/>
  <c r="AO28" i="6"/>
  <c r="AP28" i="6"/>
  <c r="AQ28" i="6"/>
  <c r="AR28" i="6"/>
  <c r="AS28" i="6"/>
  <c r="AT28" i="6"/>
  <c r="AU28" i="6"/>
  <c r="AV28" i="6"/>
  <c r="AW28" i="6"/>
  <c r="AX28" i="6"/>
  <c r="AY28" i="6"/>
  <c r="AZ28" i="6"/>
  <c r="BA28" i="6"/>
  <c r="BB28" i="6"/>
  <c r="BC28" i="6"/>
  <c r="BD28" i="6"/>
  <c r="BE28" i="6"/>
  <c r="BF28" i="6"/>
  <c r="BG28" i="6"/>
  <c r="F29" i="6"/>
  <c r="G29" i="6"/>
  <c r="I29" i="6"/>
  <c r="L29" i="6"/>
  <c r="M29" i="6"/>
  <c r="N29" i="6"/>
  <c r="O29" i="6"/>
  <c r="P29" i="6"/>
  <c r="Q29" i="6"/>
  <c r="R29" i="6"/>
  <c r="S29" i="6"/>
  <c r="T29" i="6"/>
  <c r="U29" i="6"/>
  <c r="V29" i="6"/>
  <c r="W29" i="6"/>
  <c r="X29" i="6"/>
  <c r="Y29" i="6"/>
  <c r="Z29" i="6"/>
  <c r="AC29" i="6"/>
  <c r="AD29" i="6"/>
  <c r="AE29" i="6"/>
  <c r="AF29" i="6"/>
  <c r="AG29" i="6"/>
  <c r="AH29" i="6"/>
  <c r="AI29" i="6"/>
  <c r="AJ29" i="6"/>
  <c r="AK29" i="6"/>
  <c r="AL29" i="6"/>
  <c r="AN29" i="6"/>
  <c r="AO29" i="6"/>
  <c r="AP29" i="6"/>
  <c r="AQ29" i="6"/>
  <c r="AR29" i="6"/>
  <c r="AS29" i="6"/>
  <c r="AT29" i="6"/>
  <c r="AU29" i="6"/>
  <c r="AV29" i="6"/>
  <c r="AW29" i="6"/>
  <c r="AX29" i="6"/>
  <c r="AY29" i="6"/>
  <c r="AZ29" i="6"/>
  <c r="BA29" i="6"/>
  <c r="BB29" i="6"/>
  <c r="BC29" i="6"/>
  <c r="BD29" i="6"/>
  <c r="BE29" i="6"/>
  <c r="BF29" i="6"/>
  <c r="BG29" i="6"/>
  <c r="F30" i="6"/>
  <c r="G30" i="6"/>
  <c r="I30" i="6"/>
  <c r="L30" i="6"/>
  <c r="M30" i="6"/>
  <c r="N30" i="6"/>
  <c r="O30" i="6"/>
  <c r="P30" i="6"/>
  <c r="Q30" i="6"/>
  <c r="R30" i="6"/>
  <c r="S30" i="6"/>
  <c r="T30" i="6"/>
  <c r="U30" i="6"/>
  <c r="V30" i="6"/>
  <c r="W30" i="6"/>
  <c r="X30" i="6"/>
  <c r="Y30" i="6"/>
  <c r="Z30" i="6"/>
  <c r="AC30" i="6"/>
  <c r="AD30" i="6"/>
  <c r="AE30" i="6"/>
  <c r="AF30" i="6"/>
  <c r="AG30" i="6"/>
  <c r="AH30" i="6"/>
  <c r="AI30" i="6"/>
  <c r="AJ30" i="6"/>
  <c r="AK30" i="6"/>
  <c r="AL30" i="6"/>
  <c r="AN30" i="6"/>
  <c r="AO30" i="6"/>
  <c r="AP30" i="6"/>
  <c r="AQ30" i="6"/>
  <c r="AR30" i="6"/>
  <c r="AS30" i="6"/>
  <c r="AT30" i="6"/>
  <c r="AU30" i="6"/>
  <c r="AV30" i="6"/>
  <c r="AW30" i="6"/>
  <c r="AX30" i="6"/>
  <c r="AY30" i="6"/>
  <c r="AZ30" i="6"/>
  <c r="BA30" i="6"/>
  <c r="BB30" i="6"/>
  <c r="BC30" i="6"/>
  <c r="BD30" i="6"/>
  <c r="BE30" i="6"/>
  <c r="BF30" i="6"/>
  <c r="BG30" i="6"/>
  <c r="F31" i="6"/>
  <c r="G31" i="6"/>
  <c r="I31" i="6"/>
  <c r="L31" i="6"/>
  <c r="M31" i="6"/>
  <c r="N31" i="6"/>
  <c r="O31" i="6"/>
  <c r="P31" i="6"/>
  <c r="Q31" i="6"/>
  <c r="R31" i="6"/>
  <c r="S31" i="6"/>
  <c r="T31" i="6"/>
  <c r="U31" i="6"/>
  <c r="V31" i="6"/>
  <c r="W31" i="6"/>
  <c r="X31" i="6"/>
  <c r="Y31" i="6"/>
  <c r="Z31" i="6"/>
  <c r="AC31" i="6"/>
  <c r="AD31" i="6"/>
  <c r="AE31" i="6"/>
  <c r="AF31" i="6"/>
  <c r="AG31" i="6"/>
  <c r="AH31" i="6"/>
  <c r="AI31" i="6"/>
  <c r="AJ31" i="6"/>
  <c r="AK31" i="6"/>
  <c r="AL31" i="6"/>
  <c r="AN31" i="6"/>
  <c r="AO31" i="6"/>
  <c r="AP31" i="6"/>
  <c r="AQ31" i="6"/>
  <c r="AR31" i="6"/>
  <c r="AS31" i="6"/>
  <c r="AT31" i="6"/>
  <c r="AU31" i="6"/>
  <c r="AV31" i="6"/>
  <c r="AW31" i="6"/>
  <c r="AX31" i="6"/>
  <c r="AY31" i="6"/>
  <c r="AZ31" i="6"/>
  <c r="BA31" i="6"/>
  <c r="BB31" i="6"/>
  <c r="BC31" i="6"/>
  <c r="BD31" i="6"/>
  <c r="BE31" i="6"/>
  <c r="BF31" i="6"/>
  <c r="BG31" i="6"/>
  <c r="F32" i="6"/>
  <c r="G32" i="6"/>
  <c r="I32" i="6"/>
  <c r="L32" i="6"/>
  <c r="M32" i="6"/>
  <c r="N32" i="6"/>
  <c r="O32" i="6"/>
  <c r="P32" i="6"/>
  <c r="Q32" i="6"/>
  <c r="R32" i="6"/>
  <c r="S32" i="6"/>
  <c r="T32" i="6"/>
  <c r="U32" i="6"/>
  <c r="V32" i="6"/>
  <c r="W32" i="6"/>
  <c r="X32" i="6"/>
  <c r="Y32" i="6"/>
  <c r="Z32" i="6"/>
  <c r="AC32" i="6"/>
  <c r="AD32" i="6"/>
  <c r="AE32" i="6"/>
  <c r="AF32" i="6"/>
  <c r="AG32" i="6"/>
  <c r="AH32" i="6"/>
  <c r="AI32" i="6"/>
  <c r="AJ32" i="6"/>
  <c r="AK32" i="6"/>
  <c r="AL32" i="6"/>
  <c r="AN32" i="6"/>
  <c r="AO32" i="6"/>
  <c r="AP32" i="6"/>
  <c r="AQ32" i="6"/>
  <c r="AR32" i="6"/>
  <c r="AS32" i="6"/>
  <c r="AT32" i="6"/>
  <c r="AU32" i="6"/>
  <c r="AV32" i="6"/>
  <c r="AW32" i="6"/>
  <c r="AX32" i="6"/>
  <c r="AY32" i="6"/>
  <c r="AZ32" i="6"/>
  <c r="BA32" i="6"/>
  <c r="BB32" i="6"/>
  <c r="BC32" i="6"/>
  <c r="BD32" i="6"/>
  <c r="BE32" i="6"/>
  <c r="BF32" i="6"/>
  <c r="BG32" i="6"/>
  <c r="F33" i="6"/>
  <c r="G33" i="6"/>
  <c r="I33" i="6"/>
  <c r="L33" i="6"/>
  <c r="M33" i="6"/>
  <c r="N33" i="6"/>
  <c r="O33" i="6"/>
  <c r="P33" i="6"/>
  <c r="Q33" i="6"/>
  <c r="R33" i="6"/>
  <c r="S33" i="6"/>
  <c r="T33" i="6"/>
  <c r="U33" i="6"/>
  <c r="V33" i="6"/>
  <c r="W33" i="6"/>
  <c r="X33" i="6"/>
  <c r="Y33" i="6"/>
  <c r="Z33" i="6"/>
  <c r="AC33" i="6"/>
  <c r="AD33" i="6"/>
  <c r="AE33" i="6"/>
  <c r="AF33" i="6"/>
  <c r="AG33" i="6"/>
  <c r="AH33" i="6"/>
  <c r="AI33" i="6"/>
  <c r="AJ33" i="6"/>
  <c r="AK33" i="6"/>
  <c r="AL33" i="6"/>
  <c r="AN33" i="6"/>
  <c r="AO33" i="6"/>
  <c r="AP33" i="6"/>
  <c r="AQ33" i="6"/>
  <c r="AR33" i="6"/>
  <c r="AS33" i="6"/>
  <c r="AT33" i="6"/>
  <c r="AU33" i="6"/>
  <c r="AV33" i="6"/>
  <c r="AW33" i="6"/>
  <c r="AX33" i="6"/>
  <c r="AY33" i="6"/>
  <c r="AZ33" i="6"/>
  <c r="BA33" i="6"/>
  <c r="BB33" i="6"/>
  <c r="BC33" i="6"/>
  <c r="BD33" i="6"/>
  <c r="BE33" i="6"/>
  <c r="BF33" i="6"/>
  <c r="BG33" i="6"/>
  <c r="F34" i="6"/>
  <c r="G34" i="6"/>
  <c r="I34" i="6"/>
  <c r="L34" i="6"/>
  <c r="M34" i="6"/>
  <c r="N34" i="6"/>
  <c r="O34" i="6"/>
  <c r="P34" i="6"/>
  <c r="Q34" i="6"/>
  <c r="R34" i="6"/>
  <c r="S34" i="6"/>
  <c r="T34" i="6"/>
  <c r="U34" i="6"/>
  <c r="V34" i="6"/>
  <c r="W34" i="6"/>
  <c r="X34" i="6"/>
  <c r="Y34" i="6"/>
  <c r="Z34" i="6"/>
  <c r="AC34" i="6"/>
  <c r="AD34" i="6"/>
  <c r="AE34" i="6"/>
  <c r="AF34" i="6"/>
  <c r="AG34" i="6"/>
  <c r="AH34" i="6"/>
  <c r="AI34" i="6"/>
  <c r="AJ34" i="6"/>
  <c r="AK34" i="6"/>
  <c r="AL34" i="6"/>
  <c r="AN34" i="6"/>
  <c r="AO34" i="6"/>
  <c r="AP34" i="6"/>
  <c r="AQ34" i="6"/>
  <c r="AR34" i="6"/>
  <c r="AS34" i="6"/>
  <c r="AT34" i="6"/>
  <c r="AU34" i="6"/>
  <c r="AV34" i="6"/>
  <c r="AW34" i="6"/>
  <c r="AX34" i="6"/>
  <c r="AY34" i="6"/>
  <c r="AZ34" i="6"/>
  <c r="BA34" i="6"/>
  <c r="BB34" i="6"/>
  <c r="BC34" i="6"/>
  <c r="BD34" i="6"/>
  <c r="BE34" i="6"/>
  <c r="BF34" i="6"/>
  <c r="BG34" i="6"/>
  <c r="F35" i="6"/>
  <c r="G35" i="6"/>
  <c r="I35" i="6"/>
  <c r="L35" i="6"/>
  <c r="M35" i="6"/>
  <c r="N35" i="6"/>
  <c r="O35" i="6"/>
  <c r="P35" i="6"/>
  <c r="Q35" i="6"/>
  <c r="R35" i="6"/>
  <c r="S35" i="6"/>
  <c r="T35" i="6"/>
  <c r="U35" i="6"/>
  <c r="V35" i="6"/>
  <c r="W35" i="6"/>
  <c r="X35" i="6"/>
  <c r="Y35" i="6"/>
  <c r="Z35" i="6"/>
  <c r="AC35" i="6"/>
  <c r="AD35" i="6"/>
  <c r="AE35" i="6"/>
  <c r="AF35" i="6"/>
  <c r="AG35" i="6"/>
  <c r="AH35" i="6"/>
  <c r="AI35" i="6"/>
  <c r="AJ35" i="6"/>
  <c r="AK35" i="6"/>
  <c r="AL35" i="6"/>
  <c r="AN35" i="6"/>
  <c r="AO35" i="6"/>
  <c r="AP35" i="6"/>
  <c r="AQ35" i="6"/>
  <c r="AR35" i="6"/>
  <c r="AS35" i="6"/>
  <c r="AT35" i="6"/>
  <c r="AU35" i="6"/>
  <c r="AV35" i="6"/>
  <c r="AW35" i="6"/>
  <c r="AX35" i="6"/>
  <c r="AY35" i="6"/>
  <c r="AZ35" i="6"/>
  <c r="BA35" i="6"/>
  <c r="BB35" i="6"/>
  <c r="BC35" i="6"/>
  <c r="BD35" i="6"/>
  <c r="BE35" i="6"/>
  <c r="BF35" i="6"/>
  <c r="BG35" i="6"/>
  <c r="F36" i="6"/>
  <c r="G36" i="6"/>
  <c r="I36" i="6"/>
  <c r="L36" i="6"/>
  <c r="M36" i="6"/>
  <c r="N36" i="6"/>
  <c r="O36" i="6"/>
  <c r="P36" i="6"/>
  <c r="Q36" i="6"/>
  <c r="R36" i="6"/>
  <c r="S36" i="6"/>
  <c r="T36" i="6"/>
  <c r="U36" i="6"/>
  <c r="V36" i="6"/>
  <c r="W36" i="6"/>
  <c r="X36" i="6"/>
  <c r="Y36" i="6"/>
  <c r="Z36" i="6"/>
  <c r="AC36" i="6"/>
  <c r="AD36" i="6"/>
  <c r="AE36" i="6"/>
  <c r="AF36" i="6"/>
  <c r="AG36" i="6"/>
  <c r="AH36" i="6"/>
  <c r="AI36" i="6"/>
  <c r="AJ36" i="6"/>
  <c r="AK36" i="6"/>
  <c r="AL36" i="6"/>
  <c r="AN36" i="6"/>
  <c r="AO36" i="6"/>
  <c r="AP36" i="6"/>
  <c r="AQ36" i="6"/>
  <c r="AR36" i="6"/>
  <c r="AS36" i="6"/>
  <c r="AT36" i="6"/>
  <c r="AU36" i="6"/>
  <c r="AV36" i="6"/>
  <c r="AW36" i="6"/>
  <c r="AX36" i="6"/>
  <c r="AY36" i="6"/>
  <c r="AZ36" i="6"/>
  <c r="BA36" i="6"/>
  <c r="BB36" i="6"/>
  <c r="BC36" i="6"/>
  <c r="BD36" i="6"/>
  <c r="BE36" i="6"/>
  <c r="BF36" i="6"/>
  <c r="BG36" i="6"/>
  <c r="F37" i="6"/>
  <c r="G37" i="6"/>
  <c r="I37" i="6"/>
  <c r="L37" i="6"/>
  <c r="M37" i="6"/>
  <c r="N37" i="6"/>
  <c r="O37" i="6"/>
  <c r="P37" i="6"/>
  <c r="Q37" i="6"/>
  <c r="R37" i="6"/>
  <c r="S37" i="6"/>
  <c r="T37" i="6"/>
  <c r="U37" i="6"/>
  <c r="V37" i="6"/>
  <c r="W37" i="6"/>
  <c r="X37" i="6"/>
  <c r="Y37" i="6"/>
  <c r="Z37" i="6"/>
  <c r="AC37" i="6"/>
  <c r="AD37" i="6"/>
  <c r="AE37" i="6"/>
  <c r="AF37" i="6"/>
  <c r="AG37" i="6"/>
  <c r="AH37" i="6"/>
  <c r="AI37" i="6"/>
  <c r="AJ37" i="6"/>
  <c r="AK37" i="6"/>
  <c r="AL37" i="6"/>
  <c r="AN37" i="6"/>
  <c r="AO37" i="6"/>
  <c r="AP37" i="6"/>
  <c r="AQ37" i="6"/>
  <c r="AR37" i="6"/>
  <c r="AS37" i="6"/>
  <c r="AT37" i="6"/>
  <c r="AU37" i="6"/>
  <c r="AV37" i="6"/>
  <c r="AW37" i="6"/>
  <c r="AX37" i="6"/>
  <c r="AY37" i="6"/>
  <c r="AZ37" i="6"/>
  <c r="BA37" i="6"/>
  <c r="BB37" i="6"/>
  <c r="BC37" i="6"/>
  <c r="BD37" i="6"/>
  <c r="BE37" i="6"/>
  <c r="BF37" i="6"/>
  <c r="BG37" i="6"/>
  <c r="F38" i="6"/>
  <c r="G38" i="6"/>
  <c r="I38" i="6"/>
  <c r="L38" i="6"/>
  <c r="M38" i="6"/>
  <c r="N38" i="6"/>
  <c r="O38" i="6"/>
  <c r="P38" i="6"/>
  <c r="Q38" i="6"/>
  <c r="R38" i="6"/>
  <c r="S38" i="6"/>
  <c r="T38" i="6"/>
  <c r="U38" i="6"/>
  <c r="V38" i="6"/>
  <c r="W38" i="6"/>
  <c r="X38" i="6"/>
  <c r="Y38" i="6"/>
  <c r="Z38" i="6"/>
  <c r="AC38" i="6"/>
  <c r="AD38" i="6"/>
  <c r="AE38" i="6"/>
  <c r="AF38" i="6"/>
  <c r="AG38" i="6"/>
  <c r="AH38" i="6"/>
  <c r="AI38" i="6"/>
  <c r="AJ38" i="6"/>
  <c r="AK38" i="6"/>
  <c r="AL38" i="6"/>
  <c r="AN38" i="6"/>
  <c r="AO38" i="6"/>
  <c r="AP38" i="6"/>
  <c r="AQ38" i="6"/>
  <c r="AR38" i="6"/>
  <c r="AS38" i="6"/>
  <c r="AT38" i="6"/>
  <c r="AU38" i="6"/>
  <c r="AV38" i="6"/>
  <c r="AW38" i="6"/>
  <c r="AX38" i="6"/>
  <c r="AY38" i="6"/>
  <c r="AZ38" i="6"/>
  <c r="BA38" i="6"/>
  <c r="BB38" i="6"/>
  <c r="BC38" i="6"/>
  <c r="BD38" i="6"/>
  <c r="BE38" i="6"/>
  <c r="BF38" i="6"/>
  <c r="BG38" i="6"/>
  <c r="F39" i="6"/>
  <c r="G39" i="6"/>
  <c r="I39" i="6"/>
  <c r="L39" i="6"/>
  <c r="M39" i="6"/>
  <c r="N39" i="6"/>
  <c r="O39" i="6"/>
  <c r="P39" i="6"/>
  <c r="Q39" i="6"/>
  <c r="R39" i="6"/>
  <c r="S39" i="6"/>
  <c r="T39" i="6"/>
  <c r="U39" i="6"/>
  <c r="V39" i="6"/>
  <c r="W39" i="6"/>
  <c r="X39" i="6"/>
  <c r="Y39" i="6"/>
  <c r="Z39" i="6"/>
  <c r="AC39" i="6"/>
  <c r="AD39" i="6"/>
  <c r="AE39" i="6"/>
  <c r="AF39" i="6"/>
  <c r="AG39" i="6"/>
  <c r="AH39" i="6"/>
  <c r="AI39" i="6"/>
  <c r="AJ39" i="6"/>
  <c r="AK39" i="6"/>
  <c r="AL39" i="6"/>
  <c r="AN39" i="6"/>
  <c r="AO39" i="6"/>
  <c r="AP39" i="6"/>
  <c r="AQ39" i="6"/>
  <c r="AR39" i="6"/>
  <c r="AS39" i="6"/>
  <c r="AT39" i="6"/>
  <c r="AU39" i="6"/>
  <c r="AV39" i="6"/>
  <c r="AW39" i="6"/>
  <c r="AX39" i="6"/>
  <c r="AY39" i="6"/>
  <c r="AZ39" i="6"/>
  <c r="BA39" i="6"/>
  <c r="BB39" i="6"/>
  <c r="BC39" i="6"/>
  <c r="BD39" i="6"/>
  <c r="BE39" i="6"/>
  <c r="BF39" i="6"/>
  <c r="BG39" i="6"/>
  <c r="F40" i="6"/>
  <c r="G40" i="6"/>
  <c r="H40" i="6"/>
  <c r="I40" i="6"/>
  <c r="L40" i="6"/>
  <c r="M40" i="6"/>
  <c r="N40" i="6"/>
  <c r="O40" i="6"/>
  <c r="P40" i="6"/>
  <c r="Q40" i="6"/>
  <c r="R40" i="6"/>
  <c r="S40" i="6"/>
  <c r="T40" i="6"/>
  <c r="U40" i="6"/>
  <c r="V40" i="6"/>
  <c r="W40" i="6"/>
  <c r="X40" i="6"/>
  <c r="Y40" i="6"/>
  <c r="Z40" i="6"/>
  <c r="AC40" i="6"/>
  <c r="AD40" i="6"/>
  <c r="AE40" i="6"/>
  <c r="AF40" i="6"/>
  <c r="AG40" i="6"/>
  <c r="AH40" i="6"/>
  <c r="AI40" i="6"/>
  <c r="AJ40" i="6"/>
  <c r="AK40" i="6"/>
  <c r="AL40" i="6"/>
  <c r="AN40" i="6"/>
  <c r="AO40" i="6"/>
  <c r="AP40" i="6"/>
  <c r="AQ40" i="6"/>
  <c r="AR40" i="6"/>
  <c r="AS40" i="6"/>
  <c r="AT40" i="6"/>
  <c r="AU40" i="6"/>
  <c r="AV40" i="6"/>
  <c r="AW40" i="6"/>
  <c r="AX40" i="6"/>
  <c r="AY40" i="6"/>
  <c r="AZ40" i="6"/>
  <c r="BA40" i="6"/>
  <c r="BB40" i="6"/>
  <c r="BC40" i="6"/>
  <c r="BD40" i="6"/>
  <c r="BE40" i="6"/>
  <c r="BF40" i="6"/>
  <c r="BG40" i="6"/>
  <c r="F41" i="6"/>
  <c r="G41" i="6"/>
  <c r="H41" i="6"/>
  <c r="I41" i="6"/>
  <c r="L41" i="6"/>
  <c r="M41" i="6"/>
  <c r="N41" i="6"/>
  <c r="O41" i="6"/>
  <c r="P41" i="6"/>
  <c r="Q41" i="6"/>
  <c r="R41" i="6"/>
  <c r="S41" i="6"/>
  <c r="T41" i="6"/>
  <c r="U41" i="6"/>
  <c r="V41" i="6"/>
  <c r="W41" i="6"/>
  <c r="X41" i="6"/>
  <c r="Y41" i="6"/>
  <c r="Z41" i="6"/>
  <c r="AC41" i="6"/>
  <c r="AD41" i="6"/>
  <c r="AE41" i="6"/>
  <c r="AF41" i="6"/>
  <c r="AG41" i="6"/>
  <c r="AH41" i="6"/>
  <c r="AI41" i="6"/>
  <c r="AJ41" i="6"/>
  <c r="AK41" i="6"/>
  <c r="AL41" i="6"/>
  <c r="AN41" i="6"/>
  <c r="AO41" i="6"/>
  <c r="AP41" i="6"/>
  <c r="AQ41" i="6"/>
  <c r="AR41" i="6"/>
  <c r="AS41" i="6"/>
  <c r="AT41" i="6"/>
  <c r="AU41" i="6"/>
  <c r="AV41" i="6"/>
  <c r="AW41" i="6"/>
  <c r="AX41" i="6"/>
  <c r="AY41" i="6"/>
  <c r="AZ41" i="6"/>
  <c r="BA41" i="6"/>
  <c r="BB41" i="6"/>
  <c r="BC41" i="6"/>
  <c r="BD41" i="6"/>
  <c r="BE41" i="6"/>
  <c r="BF41" i="6"/>
  <c r="BG41" i="6"/>
  <c r="F42" i="6"/>
  <c r="G42" i="6"/>
  <c r="I42" i="6"/>
  <c r="L42" i="6"/>
  <c r="M42" i="6"/>
  <c r="N42" i="6"/>
  <c r="O42" i="6"/>
  <c r="P42" i="6"/>
  <c r="Q42" i="6"/>
  <c r="R42" i="6"/>
  <c r="S42" i="6"/>
  <c r="T42" i="6"/>
  <c r="U42" i="6"/>
  <c r="V42" i="6"/>
  <c r="W42" i="6"/>
  <c r="X42" i="6"/>
  <c r="Y42" i="6"/>
  <c r="Z42" i="6"/>
  <c r="AC42" i="6"/>
  <c r="AD42" i="6"/>
  <c r="AE42" i="6"/>
  <c r="AF42" i="6"/>
  <c r="AG42" i="6"/>
  <c r="AH42" i="6"/>
  <c r="AI42" i="6"/>
  <c r="AJ42" i="6"/>
  <c r="AK42" i="6"/>
  <c r="AL42" i="6"/>
  <c r="AN42" i="6"/>
  <c r="AO42" i="6"/>
  <c r="AP42" i="6"/>
  <c r="AQ42" i="6"/>
  <c r="AR42" i="6"/>
  <c r="AS42" i="6"/>
  <c r="AT42" i="6"/>
  <c r="AU42" i="6"/>
  <c r="AV42" i="6"/>
  <c r="AW42" i="6"/>
  <c r="AX42" i="6"/>
  <c r="AY42" i="6"/>
  <c r="AZ42" i="6"/>
  <c r="BA42" i="6"/>
  <c r="BB42" i="6"/>
  <c r="BC42" i="6"/>
  <c r="BD42" i="6"/>
  <c r="BE42" i="6"/>
  <c r="BF42" i="6"/>
  <c r="BG42" i="6"/>
  <c r="F43" i="6"/>
  <c r="G43" i="6"/>
  <c r="H43" i="6"/>
  <c r="I43" i="6"/>
  <c r="L43" i="6"/>
  <c r="M43" i="6"/>
  <c r="N43" i="6"/>
  <c r="O43" i="6"/>
  <c r="P43" i="6"/>
  <c r="Q43" i="6"/>
  <c r="R43" i="6"/>
  <c r="S43" i="6"/>
  <c r="T43" i="6"/>
  <c r="U43" i="6"/>
  <c r="V43" i="6"/>
  <c r="W43" i="6"/>
  <c r="X43" i="6"/>
  <c r="Y43" i="6"/>
  <c r="Z43" i="6"/>
  <c r="AC43" i="6"/>
  <c r="AD43" i="6"/>
  <c r="AE43" i="6"/>
  <c r="AF43" i="6"/>
  <c r="AG43" i="6"/>
  <c r="AH43" i="6"/>
  <c r="AI43" i="6"/>
  <c r="AJ43" i="6"/>
  <c r="AK43" i="6"/>
  <c r="AL43" i="6"/>
  <c r="AN43" i="6"/>
  <c r="AO43" i="6"/>
  <c r="AP43" i="6"/>
  <c r="AQ43" i="6"/>
  <c r="AR43" i="6"/>
  <c r="AS43" i="6"/>
  <c r="AT43" i="6"/>
  <c r="AU43" i="6"/>
  <c r="AV43" i="6"/>
  <c r="AW43" i="6"/>
  <c r="AX43" i="6"/>
  <c r="AY43" i="6"/>
  <c r="AZ43" i="6"/>
  <c r="BA43" i="6"/>
  <c r="BB43" i="6"/>
  <c r="BC43" i="6"/>
  <c r="BD43" i="6"/>
  <c r="BE43" i="6"/>
  <c r="BF43" i="6"/>
  <c r="BG43" i="6"/>
  <c r="F44" i="6"/>
  <c r="G44" i="6"/>
  <c r="H44" i="6"/>
  <c r="I44" i="6"/>
  <c r="L44" i="6"/>
  <c r="M44" i="6"/>
  <c r="N44" i="6"/>
  <c r="O44" i="6"/>
  <c r="P44" i="6"/>
  <c r="Q44" i="6"/>
  <c r="R44" i="6"/>
  <c r="S44" i="6"/>
  <c r="T44" i="6"/>
  <c r="U44" i="6"/>
  <c r="V44" i="6"/>
  <c r="W44" i="6"/>
  <c r="X44" i="6"/>
  <c r="Y44" i="6"/>
  <c r="Z44" i="6"/>
  <c r="AC44" i="6"/>
  <c r="AD44" i="6"/>
  <c r="AE44" i="6"/>
  <c r="AF44" i="6"/>
  <c r="AG44" i="6"/>
  <c r="AH44" i="6"/>
  <c r="AI44" i="6"/>
  <c r="AJ44" i="6"/>
  <c r="AK44" i="6"/>
  <c r="AL44" i="6"/>
  <c r="AN44" i="6"/>
  <c r="AO44" i="6"/>
  <c r="AP44" i="6"/>
  <c r="AQ44" i="6"/>
  <c r="AR44" i="6"/>
  <c r="AS44" i="6"/>
  <c r="AT44" i="6"/>
  <c r="AU44" i="6"/>
  <c r="AV44" i="6"/>
  <c r="AW44" i="6"/>
  <c r="AX44" i="6"/>
  <c r="AY44" i="6"/>
  <c r="AZ44" i="6"/>
  <c r="BA44" i="6"/>
  <c r="BB44" i="6"/>
  <c r="BC44" i="6"/>
  <c r="BD44" i="6"/>
  <c r="BE44" i="6"/>
  <c r="BF44" i="6"/>
  <c r="BG44" i="6"/>
  <c r="F45" i="6"/>
  <c r="G45" i="6"/>
  <c r="H45" i="6"/>
  <c r="I45" i="6"/>
  <c r="L45" i="6"/>
  <c r="M45" i="6"/>
  <c r="N45" i="6"/>
  <c r="O45" i="6"/>
  <c r="P45" i="6"/>
  <c r="Q45" i="6"/>
  <c r="R45" i="6"/>
  <c r="S45" i="6"/>
  <c r="T45" i="6"/>
  <c r="U45" i="6"/>
  <c r="V45" i="6"/>
  <c r="W45" i="6"/>
  <c r="X45" i="6"/>
  <c r="Y45" i="6"/>
  <c r="Z45" i="6"/>
  <c r="AC45" i="6"/>
  <c r="AD45" i="6"/>
  <c r="AE45" i="6"/>
  <c r="AF45" i="6"/>
  <c r="AG45" i="6"/>
  <c r="AH45" i="6"/>
  <c r="AI45" i="6"/>
  <c r="AJ45" i="6"/>
  <c r="AK45" i="6"/>
  <c r="AL45" i="6"/>
  <c r="AN45" i="6"/>
  <c r="AO45" i="6"/>
  <c r="AP45" i="6"/>
  <c r="AQ45" i="6"/>
  <c r="AR45" i="6"/>
  <c r="AS45" i="6"/>
  <c r="AT45" i="6"/>
  <c r="AU45" i="6"/>
  <c r="AV45" i="6"/>
  <c r="AW45" i="6"/>
  <c r="AX45" i="6"/>
  <c r="AY45" i="6"/>
  <c r="AZ45" i="6"/>
  <c r="BA45" i="6"/>
  <c r="BB45" i="6"/>
  <c r="BC45" i="6"/>
  <c r="BD45" i="6"/>
  <c r="BE45" i="6"/>
  <c r="BF45" i="6"/>
  <c r="BG45" i="6"/>
  <c r="F46" i="6"/>
  <c r="G46" i="6"/>
  <c r="H46" i="6"/>
  <c r="I46" i="6"/>
  <c r="L46" i="6"/>
  <c r="M46" i="6"/>
  <c r="N46" i="6"/>
  <c r="O46" i="6"/>
  <c r="P46" i="6"/>
  <c r="Q46" i="6"/>
  <c r="R46" i="6"/>
  <c r="S46" i="6"/>
  <c r="T46" i="6"/>
  <c r="U46" i="6"/>
  <c r="V46" i="6"/>
  <c r="W46" i="6"/>
  <c r="X46" i="6"/>
  <c r="Y46" i="6"/>
  <c r="Z46" i="6"/>
  <c r="AC46" i="6"/>
  <c r="AD46" i="6"/>
  <c r="AE46" i="6"/>
  <c r="AF46" i="6"/>
  <c r="AG46" i="6"/>
  <c r="AH46" i="6"/>
  <c r="AI46" i="6"/>
  <c r="AJ46" i="6"/>
  <c r="AK46" i="6"/>
  <c r="AL46" i="6"/>
  <c r="AN46" i="6"/>
  <c r="AO46" i="6"/>
  <c r="AP46" i="6"/>
  <c r="AQ46" i="6"/>
  <c r="AR46" i="6"/>
  <c r="AS46" i="6"/>
  <c r="AT46" i="6"/>
  <c r="AU46" i="6"/>
  <c r="AV46" i="6"/>
  <c r="AW46" i="6"/>
  <c r="AX46" i="6"/>
  <c r="AY46" i="6"/>
  <c r="AZ46" i="6"/>
  <c r="BA46" i="6"/>
  <c r="BB46" i="6"/>
  <c r="BC46" i="6"/>
  <c r="BD46" i="6"/>
  <c r="BE46" i="6"/>
  <c r="BF46" i="6"/>
  <c r="BG46" i="6"/>
  <c r="F47" i="6"/>
  <c r="G47" i="6"/>
  <c r="H47" i="6"/>
  <c r="I47" i="6"/>
  <c r="L47" i="6"/>
  <c r="M47" i="6"/>
  <c r="N47" i="6"/>
  <c r="O47" i="6"/>
  <c r="P47" i="6"/>
  <c r="Q47" i="6"/>
  <c r="R47" i="6"/>
  <c r="S47" i="6"/>
  <c r="T47" i="6"/>
  <c r="U47" i="6"/>
  <c r="V47" i="6"/>
  <c r="W47" i="6"/>
  <c r="X47" i="6"/>
  <c r="Y47" i="6"/>
  <c r="Z47" i="6"/>
  <c r="AC47" i="6"/>
  <c r="AD47" i="6"/>
  <c r="AE47" i="6"/>
  <c r="AF47" i="6"/>
  <c r="AG47" i="6"/>
  <c r="AH47" i="6"/>
  <c r="AI47" i="6"/>
  <c r="AJ47" i="6"/>
  <c r="AK47" i="6"/>
  <c r="AL47" i="6"/>
  <c r="AN47" i="6"/>
  <c r="AO47" i="6"/>
  <c r="AP47" i="6"/>
  <c r="AQ47" i="6"/>
  <c r="AR47" i="6"/>
  <c r="AS47" i="6"/>
  <c r="AT47" i="6"/>
  <c r="AU47" i="6"/>
  <c r="AV47" i="6"/>
  <c r="AW47" i="6"/>
  <c r="AX47" i="6"/>
  <c r="AY47" i="6"/>
  <c r="AZ47" i="6"/>
  <c r="BA47" i="6"/>
  <c r="BB47" i="6"/>
  <c r="BC47" i="6"/>
  <c r="BD47" i="6"/>
  <c r="BE47" i="6"/>
  <c r="BF47" i="6"/>
  <c r="BG47" i="6"/>
  <c r="F48" i="6"/>
  <c r="G48" i="6"/>
  <c r="H48" i="6"/>
  <c r="I48" i="6"/>
  <c r="L48" i="6"/>
  <c r="M48" i="6"/>
  <c r="N48" i="6"/>
  <c r="O48" i="6"/>
  <c r="P48" i="6"/>
  <c r="Q48" i="6"/>
  <c r="R48" i="6"/>
  <c r="S48" i="6"/>
  <c r="T48" i="6"/>
  <c r="U48" i="6"/>
  <c r="V48" i="6"/>
  <c r="W48" i="6"/>
  <c r="X48" i="6"/>
  <c r="Y48" i="6"/>
  <c r="Z48" i="6"/>
  <c r="AC48" i="6"/>
  <c r="AD48" i="6"/>
  <c r="AE48" i="6"/>
  <c r="AF48" i="6"/>
  <c r="AG48" i="6"/>
  <c r="AH48" i="6"/>
  <c r="AI48" i="6"/>
  <c r="AJ48" i="6"/>
  <c r="AK48" i="6"/>
  <c r="AL48" i="6"/>
  <c r="AN48" i="6"/>
  <c r="AO48" i="6"/>
  <c r="AP48" i="6"/>
  <c r="AQ48" i="6"/>
  <c r="AR48" i="6"/>
  <c r="AS48" i="6"/>
  <c r="AT48" i="6"/>
  <c r="AU48" i="6"/>
  <c r="AV48" i="6"/>
  <c r="AW48" i="6"/>
  <c r="AX48" i="6"/>
  <c r="AY48" i="6"/>
  <c r="AZ48" i="6"/>
  <c r="BA48" i="6"/>
  <c r="BB48" i="6"/>
  <c r="BC48" i="6"/>
  <c r="BD48" i="6"/>
  <c r="BE48" i="6"/>
  <c r="BF48" i="6"/>
  <c r="BG48" i="6"/>
  <c r="F49" i="6"/>
  <c r="G49" i="6"/>
  <c r="H49" i="6"/>
  <c r="I49" i="6"/>
  <c r="L49" i="6"/>
  <c r="M49" i="6"/>
  <c r="N49" i="6"/>
  <c r="O49" i="6"/>
  <c r="P49" i="6"/>
  <c r="Q49" i="6"/>
  <c r="R49" i="6"/>
  <c r="S49" i="6"/>
  <c r="T49" i="6"/>
  <c r="U49" i="6"/>
  <c r="V49" i="6"/>
  <c r="W49" i="6"/>
  <c r="X49" i="6"/>
  <c r="Y49" i="6"/>
  <c r="Z49" i="6"/>
  <c r="AC49" i="6"/>
  <c r="AD49" i="6"/>
  <c r="AE49" i="6"/>
  <c r="AF49" i="6"/>
  <c r="AG49" i="6"/>
  <c r="AH49" i="6"/>
  <c r="AI49" i="6"/>
  <c r="AJ49" i="6"/>
  <c r="AK49" i="6"/>
  <c r="AL49" i="6"/>
  <c r="AN49" i="6"/>
  <c r="AO49" i="6"/>
  <c r="AP49" i="6"/>
  <c r="AQ49" i="6"/>
  <c r="AR49" i="6"/>
  <c r="AS49" i="6"/>
  <c r="AT49" i="6"/>
  <c r="AU49" i="6"/>
  <c r="AV49" i="6"/>
  <c r="AW49" i="6"/>
  <c r="AX49" i="6"/>
  <c r="AY49" i="6"/>
  <c r="AZ49" i="6"/>
  <c r="BA49" i="6"/>
  <c r="BB49" i="6"/>
  <c r="BC49" i="6"/>
  <c r="BD49" i="6"/>
  <c r="BE49" i="6"/>
  <c r="BF49" i="6"/>
  <c r="BG49" i="6"/>
  <c r="F50" i="6"/>
  <c r="G50" i="6"/>
  <c r="H50" i="6"/>
  <c r="I50" i="6"/>
  <c r="L50" i="6"/>
  <c r="M50" i="6"/>
  <c r="N50" i="6"/>
  <c r="O50" i="6"/>
  <c r="P50" i="6"/>
  <c r="Q50" i="6"/>
  <c r="R50" i="6"/>
  <c r="S50" i="6"/>
  <c r="T50" i="6"/>
  <c r="U50" i="6"/>
  <c r="V50" i="6"/>
  <c r="W50" i="6"/>
  <c r="X50" i="6"/>
  <c r="Y50" i="6"/>
  <c r="Z50" i="6"/>
  <c r="AC50" i="6"/>
  <c r="AD50" i="6"/>
  <c r="AE50" i="6"/>
  <c r="AF50" i="6"/>
  <c r="AG50" i="6"/>
  <c r="AH50" i="6"/>
  <c r="AI50" i="6"/>
  <c r="AJ50" i="6"/>
  <c r="AK50" i="6"/>
  <c r="AL50" i="6"/>
  <c r="AN50" i="6"/>
  <c r="AO50" i="6"/>
  <c r="AP50" i="6"/>
  <c r="AQ50" i="6"/>
  <c r="AR50" i="6"/>
  <c r="AS50" i="6"/>
  <c r="AT50" i="6"/>
  <c r="AU50" i="6"/>
  <c r="AV50" i="6"/>
  <c r="AW50" i="6"/>
  <c r="AX50" i="6"/>
  <c r="AY50" i="6"/>
  <c r="AZ50" i="6"/>
  <c r="BA50" i="6"/>
  <c r="BB50" i="6"/>
  <c r="BC50" i="6"/>
  <c r="BD50" i="6"/>
  <c r="BE50" i="6"/>
  <c r="BF50" i="6"/>
  <c r="BG50" i="6"/>
  <c r="F51" i="6"/>
  <c r="G51" i="6"/>
  <c r="H51" i="6"/>
  <c r="I51" i="6"/>
  <c r="L51" i="6"/>
  <c r="M51" i="6"/>
  <c r="N51" i="6"/>
  <c r="O51" i="6"/>
  <c r="P51" i="6"/>
  <c r="Q51" i="6"/>
  <c r="R51" i="6"/>
  <c r="S51" i="6"/>
  <c r="T51" i="6"/>
  <c r="U51" i="6"/>
  <c r="V51" i="6"/>
  <c r="W51" i="6"/>
  <c r="X51" i="6"/>
  <c r="Y51" i="6"/>
  <c r="Z51" i="6"/>
  <c r="AC51" i="6"/>
  <c r="AD51" i="6"/>
  <c r="AE51" i="6"/>
  <c r="AF51" i="6"/>
  <c r="AG51" i="6"/>
  <c r="AH51" i="6"/>
  <c r="AI51" i="6"/>
  <c r="AJ51" i="6"/>
  <c r="AK51" i="6"/>
  <c r="AL51" i="6"/>
  <c r="AN51" i="6"/>
  <c r="AO51" i="6"/>
  <c r="AP51" i="6"/>
  <c r="AQ51" i="6"/>
  <c r="AR51" i="6"/>
  <c r="AS51" i="6"/>
  <c r="AT51" i="6"/>
  <c r="AU51" i="6"/>
  <c r="AV51" i="6"/>
  <c r="AW51" i="6"/>
  <c r="AX51" i="6"/>
  <c r="AY51" i="6"/>
  <c r="AZ51" i="6"/>
  <c r="BA51" i="6"/>
  <c r="BB51" i="6"/>
  <c r="BC51" i="6"/>
  <c r="BD51" i="6"/>
  <c r="BE51" i="6"/>
  <c r="BF51" i="6"/>
  <c r="BG51" i="6"/>
  <c r="F52" i="6"/>
  <c r="G52" i="6"/>
  <c r="H52" i="6"/>
  <c r="I52" i="6"/>
  <c r="L52" i="6"/>
  <c r="M52" i="6"/>
  <c r="N52" i="6"/>
  <c r="O52" i="6"/>
  <c r="P52" i="6"/>
  <c r="Q52" i="6"/>
  <c r="R52" i="6"/>
  <c r="S52" i="6"/>
  <c r="T52" i="6"/>
  <c r="U52" i="6"/>
  <c r="V52" i="6"/>
  <c r="W52" i="6"/>
  <c r="X52" i="6"/>
  <c r="Y52" i="6"/>
  <c r="Z52" i="6"/>
  <c r="AC52" i="6"/>
  <c r="AD52" i="6"/>
  <c r="AE52" i="6"/>
  <c r="AF52" i="6"/>
  <c r="AG52" i="6"/>
  <c r="AH52" i="6"/>
  <c r="AI52" i="6"/>
  <c r="AJ52" i="6"/>
  <c r="AK52" i="6"/>
  <c r="AL52" i="6"/>
  <c r="AN52" i="6"/>
  <c r="AO52" i="6"/>
  <c r="AP52" i="6"/>
  <c r="AQ52" i="6"/>
  <c r="AR52" i="6"/>
  <c r="AS52" i="6"/>
  <c r="AT52" i="6"/>
  <c r="AU52" i="6"/>
  <c r="AV52" i="6"/>
  <c r="AW52" i="6"/>
  <c r="AX52" i="6"/>
  <c r="AY52" i="6"/>
  <c r="AZ52" i="6"/>
  <c r="BA52" i="6"/>
  <c r="BB52" i="6"/>
  <c r="BC52" i="6"/>
  <c r="BD52" i="6"/>
  <c r="BE52" i="6"/>
  <c r="BF52" i="6"/>
  <c r="BG52" i="6"/>
  <c r="F53" i="6"/>
  <c r="G53" i="6"/>
  <c r="H53" i="6"/>
  <c r="I53" i="6"/>
  <c r="L53" i="6"/>
  <c r="M53" i="6"/>
  <c r="N53" i="6"/>
  <c r="O53" i="6"/>
  <c r="P53" i="6"/>
  <c r="Q53" i="6"/>
  <c r="R53" i="6"/>
  <c r="S53" i="6"/>
  <c r="T53" i="6"/>
  <c r="U53" i="6"/>
  <c r="V53" i="6"/>
  <c r="W53" i="6"/>
  <c r="X53" i="6"/>
  <c r="Y53" i="6"/>
  <c r="Z53" i="6"/>
  <c r="AC53" i="6"/>
  <c r="AD53" i="6"/>
  <c r="AE53" i="6"/>
  <c r="AF53" i="6"/>
  <c r="AG53" i="6"/>
  <c r="AH53" i="6"/>
  <c r="AI53" i="6"/>
  <c r="AJ53" i="6"/>
  <c r="AK53" i="6"/>
  <c r="AL53" i="6"/>
  <c r="AN53" i="6"/>
  <c r="AO53" i="6"/>
  <c r="AP53" i="6"/>
  <c r="AQ53" i="6"/>
  <c r="AR53" i="6"/>
  <c r="AS53" i="6"/>
  <c r="AT53" i="6"/>
  <c r="AU53" i="6"/>
  <c r="AV53" i="6"/>
  <c r="AW53" i="6"/>
  <c r="AX53" i="6"/>
  <c r="AY53" i="6"/>
  <c r="AZ53" i="6"/>
  <c r="BA53" i="6"/>
  <c r="BB53" i="6"/>
  <c r="BC53" i="6"/>
  <c r="BD53" i="6"/>
  <c r="BE53" i="6"/>
  <c r="BF53" i="6"/>
  <c r="BG53" i="6"/>
  <c r="F54" i="6"/>
  <c r="G54" i="6"/>
  <c r="H54" i="6"/>
  <c r="I54" i="6"/>
  <c r="L54" i="6"/>
  <c r="M54" i="6"/>
  <c r="N54" i="6"/>
  <c r="O54" i="6"/>
  <c r="P54" i="6"/>
  <c r="Q54" i="6"/>
  <c r="R54" i="6"/>
  <c r="S54" i="6"/>
  <c r="T54" i="6"/>
  <c r="U54" i="6"/>
  <c r="V54" i="6"/>
  <c r="W54" i="6"/>
  <c r="X54" i="6"/>
  <c r="Y54" i="6"/>
  <c r="Z54" i="6"/>
  <c r="AC54" i="6"/>
  <c r="AD54" i="6"/>
  <c r="AE54" i="6"/>
  <c r="AF54" i="6"/>
  <c r="AG54" i="6"/>
  <c r="AH54" i="6"/>
  <c r="AI54" i="6"/>
  <c r="AJ54" i="6"/>
  <c r="AK54" i="6"/>
  <c r="AL54" i="6"/>
  <c r="AN54" i="6"/>
  <c r="AO54" i="6"/>
  <c r="AP54" i="6"/>
  <c r="AQ54" i="6"/>
  <c r="AR54" i="6"/>
  <c r="AS54" i="6"/>
  <c r="AT54" i="6"/>
  <c r="AU54" i="6"/>
  <c r="AV54" i="6"/>
  <c r="AW54" i="6"/>
  <c r="AX54" i="6"/>
  <c r="AY54" i="6"/>
  <c r="AZ54" i="6"/>
  <c r="BA54" i="6"/>
  <c r="BB54" i="6"/>
  <c r="BC54" i="6"/>
  <c r="BD54" i="6"/>
  <c r="BE54" i="6"/>
  <c r="BF54" i="6"/>
  <c r="BG54" i="6"/>
  <c r="F55" i="6"/>
  <c r="G55" i="6"/>
  <c r="H55" i="6"/>
  <c r="I55" i="6"/>
  <c r="L55" i="6"/>
  <c r="M55" i="6"/>
  <c r="N55" i="6"/>
  <c r="O55" i="6"/>
  <c r="P55" i="6"/>
  <c r="Q55" i="6"/>
  <c r="R55" i="6"/>
  <c r="S55" i="6"/>
  <c r="T55" i="6"/>
  <c r="U55" i="6"/>
  <c r="V55" i="6"/>
  <c r="W55" i="6"/>
  <c r="X55" i="6"/>
  <c r="Y55" i="6"/>
  <c r="Z55" i="6"/>
  <c r="AC55" i="6"/>
  <c r="AD55" i="6"/>
  <c r="AE55" i="6"/>
  <c r="AF55" i="6"/>
  <c r="AG55" i="6"/>
  <c r="AH55" i="6"/>
  <c r="AI55" i="6"/>
  <c r="AJ55" i="6"/>
  <c r="AK55" i="6"/>
  <c r="AL55" i="6"/>
  <c r="AN55" i="6"/>
  <c r="AO55" i="6"/>
  <c r="AP55" i="6"/>
  <c r="AQ55" i="6"/>
  <c r="AR55" i="6"/>
  <c r="AS55" i="6"/>
  <c r="AT55" i="6"/>
  <c r="AU55" i="6"/>
  <c r="AV55" i="6"/>
  <c r="AW55" i="6"/>
  <c r="AX55" i="6"/>
  <c r="AY55" i="6"/>
  <c r="AZ55" i="6"/>
  <c r="BA55" i="6"/>
  <c r="BB55" i="6"/>
  <c r="BC55" i="6"/>
  <c r="BD55" i="6"/>
  <c r="BE55" i="6"/>
  <c r="BF55" i="6"/>
  <c r="BG55" i="6"/>
  <c r="F56" i="6"/>
  <c r="G56" i="6"/>
  <c r="H56" i="6"/>
  <c r="I56" i="6"/>
  <c r="L56" i="6"/>
  <c r="M56" i="6"/>
  <c r="N56" i="6"/>
  <c r="O56" i="6"/>
  <c r="P56" i="6"/>
  <c r="Q56" i="6"/>
  <c r="R56" i="6"/>
  <c r="S56" i="6"/>
  <c r="T56" i="6"/>
  <c r="U56" i="6"/>
  <c r="V56" i="6"/>
  <c r="W56" i="6"/>
  <c r="X56" i="6"/>
  <c r="Y56" i="6"/>
  <c r="Z56" i="6"/>
  <c r="AC56" i="6"/>
  <c r="AD56" i="6"/>
  <c r="AE56" i="6"/>
  <c r="AF56" i="6"/>
  <c r="AG56" i="6"/>
  <c r="AH56" i="6"/>
  <c r="AI56" i="6"/>
  <c r="AJ56" i="6"/>
  <c r="AK56" i="6"/>
  <c r="AL56" i="6"/>
  <c r="AN56" i="6"/>
  <c r="AO56" i="6"/>
  <c r="AP56" i="6"/>
  <c r="AQ56" i="6"/>
  <c r="AR56" i="6"/>
  <c r="AS56" i="6"/>
  <c r="AT56" i="6"/>
  <c r="AU56" i="6"/>
  <c r="AV56" i="6"/>
  <c r="AW56" i="6"/>
  <c r="AX56" i="6"/>
  <c r="AY56" i="6"/>
  <c r="AZ56" i="6"/>
  <c r="BA56" i="6"/>
  <c r="BB56" i="6"/>
  <c r="BC56" i="6"/>
  <c r="BD56" i="6"/>
  <c r="BE56" i="6"/>
  <c r="BF56" i="6"/>
  <c r="BG56" i="6"/>
  <c r="F57" i="6"/>
  <c r="G57" i="6"/>
  <c r="H57" i="6"/>
  <c r="I57" i="6"/>
  <c r="L57" i="6"/>
  <c r="M57" i="6"/>
  <c r="N57" i="6"/>
  <c r="O57" i="6"/>
  <c r="P57" i="6"/>
  <c r="Q57" i="6"/>
  <c r="R57" i="6"/>
  <c r="S57" i="6"/>
  <c r="T57" i="6"/>
  <c r="U57" i="6"/>
  <c r="V57" i="6"/>
  <c r="W57" i="6"/>
  <c r="X57" i="6"/>
  <c r="Y57" i="6"/>
  <c r="Z57" i="6"/>
  <c r="AC57" i="6"/>
  <c r="AD57" i="6"/>
  <c r="AE57" i="6"/>
  <c r="AF57" i="6"/>
  <c r="AG57" i="6"/>
  <c r="AH57" i="6"/>
  <c r="AI57" i="6"/>
  <c r="AJ57" i="6"/>
  <c r="AK57" i="6"/>
  <c r="AL57" i="6"/>
  <c r="AN57" i="6"/>
  <c r="AO57" i="6"/>
  <c r="AP57" i="6"/>
  <c r="AQ57" i="6"/>
  <c r="AR57" i="6"/>
  <c r="AS57" i="6"/>
  <c r="AT57" i="6"/>
  <c r="AU57" i="6"/>
  <c r="AV57" i="6"/>
  <c r="AW57" i="6"/>
  <c r="AX57" i="6"/>
  <c r="AY57" i="6"/>
  <c r="AZ57" i="6"/>
  <c r="BA57" i="6"/>
  <c r="BB57" i="6"/>
  <c r="BC57" i="6"/>
  <c r="BD57" i="6"/>
  <c r="BE57" i="6"/>
  <c r="BF57" i="6"/>
  <c r="BG57" i="6"/>
  <c r="F58" i="6"/>
  <c r="G58" i="6"/>
  <c r="H58" i="6"/>
  <c r="I58" i="6"/>
  <c r="L58" i="6"/>
  <c r="M58" i="6"/>
  <c r="N58" i="6"/>
  <c r="O58" i="6"/>
  <c r="P58" i="6"/>
  <c r="Q58" i="6"/>
  <c r="R58" i="6"/>
  <c r="S58" i="6"/>
  <c r="T58" i="6"/>
  <c r="U58" i="6"/>
  <c r="V58" i="6"/>
  <c r="W58" i="6"/>
  <c r="X58" i="6"/>
  <c r="Y58" i="6"/>
  <c r="Z58" i="6"/>
  <c r="AC58" i="6"/>
  <c r="AD58" i="6"/>
  <c r="AE58" i="6"/>
  <c r="AF58" i="6"/>
  <c r="AG58" i="6"/>
  <c r="AH58" i="6"/>
  <c r="AI58" i="6"/>
  <c r="AJ58" i="6"/>
  <c r="AK58" i="6"/>
  <c r="AL58" i="6"/>
  <c r="AN58" i="6"/>
  <c r="AO58" i="6"/>
  <c r="AP58" i="6"/>
  <c r="AQ58" i="6"/>
  <c r="AR58" i="6"/>
  <c r="AS58" i="6"/>
  <c r="AT58" i="6"/>
  <c r="AU58" i="6"/>
  <c r="AV58" i="6"/>
  <c r="AW58" i="6"/>
  <c r="AX58" i="6"/>
  <c r="AY58" i="6"/>
  <c r="AZ58" i="6"/>
  <c r="BA58" i="6"/>
  <c r="BB58" i="6"/>
  <c r="BC58" i="6"/>
  <c r="BD58" i="6"/>
  <c r="BE58" i="6"/>
  <c r="BF58" i="6"/>
  <c r="BG58" i="6"/>
  <c r="F59" i="6"/>
  <c r="G59" i="6"/>
  <c r="H59" i="6"/>
  <c r="I59" i="6"/>
  <c r="L59" i="6"/>
  <c r="M59" i="6"/>
  <c r="N59" i="6"/>
  <c r="O59" i="6"/>
  <c r="P59" i="6"/>
  <c r="Q59" i="6"/>
  <c r="R59" i="6"/>
  <c r="S59" i="6"/>
  <c r="T59" i="6"/>
  <c r="U59" i="6"/>
  <c r="V59" i="6"/>
  <c r="W59" i="6"/>
  <c r="X59" i="6"/>
  <c r="Y59" i="6"/>
  <c r="Z59" i="6"/>
  <c r="AC59" i="6"/>
  <c r="AD59" i="6"/>
  <c r="AE59" i="6"/>
  <c r="AF59" i="6"/>
  <c r="AG59" i="6"/>
  <c r="AH59" i="6"/>
  <c r="AI59" i="6"/>
  <c r="AJ59" i="6"/>
  <c r="AK59" i="6"/>
  <c r="AL59" i="6"/>
  <c r="AN59" i="6"/>
  <c r="AO59" i="6"/>
  <c r="AP59" i="6"/>
  <c r="AQ59" i="6"/>
  <c r="AR59" i="6"/>
  <c r="AS59" i="6"/>
  <c r="AT59" i="6"/>
  <c r="AU59" i="6"/>
  <c r="AV59" i="6"/>
  <c r="AW59" i="6"/>
  <c r="AX59" i="6"/>
  <c r="AY59" i="6"/>
  <c r="AZ59" i="6"/>
  <c r="BA59" i="6"/>
  <c r="BB59" i="6"/>
  <c r="BC59" i="6"/>
  <c r="BD59" i="6"/>
  <c r="BE59" i="6"/>
  <c r="BF59" i="6"/>
  <c r="BG59" i="6"/>
  <c r="F60" i="6"/>
  <c r="G60" i="6"/>
  <c r="H60" i="6"/>
  <c r="I60" i="6"/>
  <c r="L60" i="6"/>
  <c r="M60" i="6"/>
  <c r="N60" i="6"/>
  <c r="O60" i="6"/>
  <c r="P60" i="6"/>
  <c r="Q60" i="6"/>
  <c r="R60" i="6"/>
  <c r="S60" i="6"/>
  <c r="T60" i="6"/>
  <c r="U60" i="6"/>
  <c r="V60" i="6"/>
  <c r="W60" i="6"/>
  <c r="X60" i="6"/>
  <c r="Y60" i="6"/>
  <c r="Z60" i="6"/>
  <c r="AC60" i="6"/>
  <c r="AD60" i="6"/>
  <c r="AE60" i="6"/>
  <c r="AF60" i="6"/>
  <c r="AG60" i="6"/>
  <c r="AH60" i="6"/>
  <c r="AI60" i="6"/>
  <c r="AJ60" i="6"/>
  <c r="AK60" i="6"/>
  <c r="AL60" i="6"/>
  <c r="AN60" i="6"/>
  <c r="AO60" i="6"/>
  <c r="AP60" i="6"/>
  <c r="AQ60" i="6"/>
  <c r="AR60" i="6"/>
  <c r="AS60" i="6"/>
  <c r="AT60" i="6"/>
  <c r="AU60" i="6"/>
  <c r="AV60" i="6"/>
  <c r="AW60" i="6"/>
  <c r="AX60" i="6"/>
  <c r="AY60" i="6"/>
  <c r="AZ60" i="6"/>
  <c r="BA60" i="6"/>
  <c r="BB60" i="6"/>
  <c r="BC60" i="6"/>
  <c r="BD60" i="6"/>
  <c r="BE60" i="6"/>
  <c r="BF60" i="6"/>
  <c r="BG60" i="6"/>
  <c r="F61" i="6"/>
  <c r="G61" i="6"/>
  <c r="H61" i="6"/>
  <c r="I61" i="6"/>
  <c r="L61" i="6"/>
  <c r="M61" i="6"/>
  <c r="N61" i="6"/>
  <c r="O61" i="6"/>
  <c r="P61" i="6"/>
  <c r="Q61" i="6"/>
  <c r="R61" i="6"/>
  <c r="S61" i="6"/>
  <c r="T61" i="6"/>
  <c r="U61" i="6"/>
  <c r="V61" i="6"/>
  <c r="W61" i="6"/>
  <c r="X61" i="6"/>
  <c r="Y61" i="6"/>
  <c r="Z61" i="6"/>
  <c r="AC61" i="6"/>
  <c r="AD61" i="6"/>
  <c r="AE61" i="6"/>
  <c r="AF61" i="6"/>
  <c r="AG61" i="6"/>
  <c r="AH61" i="6"/>
  <c r="AI61" i="6"/>
  <c r="AJ61" i="6"/>
  <c r="AK61" i="6"/>
  <c r="AL61" i="6"/>
  <c r="AN61" i="6"/>
  <c r="AO61" i="6"/>
  <c r="AP61" i="6"/>
  <c r="AQ61" i="6"/>
  <c r="AR61" i="6"/>
  <c r="AS61" i="6"/>
  <c r="AT61" i="6"/>
  <c r="AU61" i="6"/>
  <c r="AV61" i="6"/>
  <c r="AW61" i="6"/>
  <c r="AX61" i="6"/>
  <c r="AY61" i="6"/>
  <c r="AZ61" i="6"/>
  <c r="BA61" i="6"/>
  <c r="BB61" i="6"/>
  <c r="BC61" i="6"/>
  <c r="BD61" i="6"/>
  <c r="BE61" i="6"/>
  <c r="BF61" i="6"/>
  <c r="BG61" i="6"/>
  <c r="F62" i="6"/>
  <c r="G62" i="6"/>
  <c r="H62" i="6"/>
  <c r="I62" i="6"/>
  <c r="L62" i="6"/>
  <c r="M62" i="6"/>
  <c r="N62" i="6"/>
  <c r="O62" i="6"/>
  <c r="P62" i="6"/>
  <c r="Q62" i="6"/>
  <c r="R62" i="6"/>
  <c r="S62" i="6"/>
  <c r="T62" i="6"/>
  <c r="U62" i="6"/>
  <c r="V62" i="6"/>
  <c r="W62" i="6"/>
  <c r="X62" i="6"/>
  <c r="Y62" i="6"/>
  <c r="Z62" i="6"/>
  <c r="AC62" i="6"/>
  <c r="AD62" i="6"/>
  <c r="AE62" i="6"/>
  <c r="AF62" i="6"/>
  <c r="AG62" i="6"/>
  <c r="AH62" i="6"/>
  <c r="AI62" i="6"/>
  <c r="AJ62" i="6"/>
  <c r="AK62" i="6"/>
  <c r="AL62" i="6"/>
  <c r="AN62" i="6"/>
  <c r="AO62" i="6"/>
  <c r="AP62" i="6"/>
  <c r="AQ62" i="6"/>
  <c r="AR62" i="6"/>
  <c r="AS62" i="6"/>
  <c r="AT62" i="6"/>
  <c r="AU62" i="6"/>
  <c r="AV62" i="6"/>
  <c r="AW62" i="6"/>
  <c r="AX62" i="6"/>
  <c r="AY62" i="6"/>
  <c r="AZ62" i="6"/>
  <c r="BA62" i="6"/>
  <c r="BB62" i="6"/>
  <c r="BC62" i="6"/>
  <c r="BD62" i="6"/>
  <c r="BE62" i="6"/>
  <c r="BF62" i="6"/>
  <c r="BG62" i="6"/>
  <c r="F63" i="6"/>
  <c r="G63" i="6"/>
  <c r="H63" i="6"/>
  <c r="I63" i="6"/>
  <c r="L63" i="6"/>
  <c r="M63" i="6"/>
  <c r="N63" i="6"/>
  <c r="O63" i="6"/>
  <c r="P63" i="6"/>
  <c r="Q63" i="6"/>
  <c r="R63" i="6"/>
  <c r="S63" i="6"/>
  <c r="T63" i="6"/>
  <c r="U63" i="6"/>
  <c r="V63" i="6"/>
  <c r="W63" i="6"/>
  <c r="X63" i="6"/>
  <c r="Y63" i="6"/>
  <c r="Z63" i="6"/>
  <c r="AC63" i="6"/>
  <c r="AD63" i="6"/>
  <c r="AE63" i="6"/>
  <c r="AF63" i="6"/>
  <c r="AG63" i="6"/>
  <c r="AH63" i="6"/>
  <c r="AI63" i="6"/>
  <c r="AJ63" i="6"/>
  <c r="AK63" i="6"/>
  <c r="AL63" i="6"/>
  <c r="AN63" i="6"/>
  <c r="AO63" i="6"/>
  <c r="AP63" i="6"/>
  <c r="AQ63" i="6"/>
  <c r="AR63" i="6"/>
  <c r="AS63" i="6"/>
  <c r="AT63" i="6"/>
  <c r="AU63" i="6"/>
  <c r="AV63" i="6"/>
  <c r="AW63" i="6"/>
  <c r="AX63" i="6"/>
  <c r="AY63" i="6"/>
  <c r="AZ63" i="6"/>
  <c r="BA63" i="6"/>
  <c r="BB63" i="6"/>
  <c r="BC63" i="6"/>
  <c r="BD63" i="6"/>
  <c r="BE63" i="6"/>
  <c r="BF63" i="6"/>
  <c r="BG63" i="6"/>
  <c r="F64" i="6"/>
  <c r="G64" i="6"/>
  <c r="H64" i="6"/>
  <c r="I64" i="6"/>
  <c r="L64" i="6"/>
  <c r="M64" i="6"/>
  <c r="N64" i="6"/>
  <c r="O64" i="6"/>
  <c r="P64" i="6"/>
  <c r="Q64" i="6"/>
  <c r="R64" i="6"/>
  <c r="S64" i="6"/>
  <c r="T64" i="6"/>
  <c r="U64" i="6"/>
  <c r="V64" i="6"/>
  <c r="W64" i="6"/>
  <c r="X64" i="6"/>
  <c r="Y64" i="6"/>
  <c r="Z64" i="6"/>
  <c r="AC64" i="6"/>
  <c r="AD64" i="6"/>
  <c r="AE64" i="6"/>
  <c r="AF64" i="6"/>
  <c r="AG64" i="6"/>
  <c r="AH64" i="6"/>
  <c r="AI64" i="6"/>
  <c r="AJ64" i="6"/>
  <c r="AK64" i="6"/>
  <c r="AL64" i="6"/>
  <c r="AN64" i="6"/>
  <c r="AO64" i="6"/>
  <c r="AP64" i="6"/>
  <c r="AQ64" i="6"/>
  <c r="AR64" i="6"/>
  <c r="AS64" i="6"/>
  <c r="AT64" i="6"/>
  <c r="AU64" i="6"/>
  <c r="AV64" i="6"/>
  <c r="AW64" i="6"/>
  <c r="AX64" i="6"/>
  <c r="AY64" i="6"/>
  <c r="AZ64" i="6"/>
  <c r="BA64" i="6"/>
  <c r="BB64" i="6"/>
  <c r="BC64" i="6"/>
  <c r="BD64" i="6"/>
  <c r="BE64" i="6"/>
  <c r="BF64" i="6"/>
  <c r="BG64" i="6"/>
  <c r="F65" i="6"/>
  <c r="G65" i="6"/>
  <c r="H65" i="6"/>
  <c r="I65" i="6"/>
  <c r="L65" i="6"/>
  <c r="M65" i="6"/>
  <c r="N65" i="6"/>
  <c r="O65" i="6"/>
  <c r="P65" i="6"/>
  <c r="Q65" i="6"/>
  <c r="R65" i="6"/>
  <c r="S65" i="6"/>
  <c r="T65" i="6"/>
  <c r="U65" i="6"/>
  <c r="V65" i="6"/>
  <c r="W65" i="6"/>
  <c r="X65" i="6"/>
  <c r="Y65" i="6"/>
  <c r="Z65" i="6"/>
  <c r="AC65" i="6"/>
  <c r="AD65" i="6"/>
  <c r="AE65" i="6"/>
  <c r="AF65" i="6"/>
  <c r="AG65" i="6"/>
  <c r="AH65" i="6"/>
  <c r="AI65" i="6"/>
  <c r="AJ65" i="6"/>
  <c r="AK65" i="6"/>
  <c r="AL65" i="6"/>
  <c r="AN65" i="6"/>
  <c r="AO65" i="6"/>
  <c r="AP65" i="6"/>
  <c r="AQ65" i="6"/>
  <c r="AR65" i="6"/>
  <c r="AS65" i="6"/>
  <c r="AT65" i="6"/>
  <c r="AU65" i="6"/>
  <c r="AV65" i="6"/>
  <c r="AW65" i="6"/>
  <c r="AX65" i="6"/>
  <c r="AY65" i="6"/>
  <c r="AZ65" i="6"/>
  <c r="BA65" i="6"/>
  <c r="BB65" i="6"/>
  <c r="BC65" i="6"/>
  <c r="BD65" i="6"/>
  <c r="BE65" i="6"/>
  <c r="BF65" i="6"/>
  <c r="BG65" i="6"/>
  <c r="F66" i="6"/>
  <c r="G66" i="6"/>
  <c r="H66" i="6"/>
  <c r="I66" i="6"/>
  <c r="L66" i="6"/>
  <c r="M66" i="6"/>
  <c r="N66" i="6"/>
  <c r="O66" i="6"/>
  <c r="P66" i="6"/>
  <c r="Q66" i="6"/>
  <c r="R66" i="6"/>
  <c r="S66" i="6"/>
  <c r="T66" i="6"/>
  <c r="U66" i="6"/>
  <c r="V66" i="6"/>
  <c r="W66" i="6"/>
  <c r="X66" i="6"/>
  <c r="Y66" i="6"/>
  <c r="Z66" i="6"/>
  <c r="AC66" i="6"/>
  <c r="AD66" i="6"/>
  <c r="AE66" i="6"/>
  <c r="AF66" i="6"/>
  <c r="AG66" i="6"/>
  <c r="AH66" i="6"/>
  <c r="AI66" i="6"/>
  <c r="AJ66" i="6"/>
  <c r="AK66" i="6"/>
  <c r="AL66" i="6"/>
  <c r="AN66" i="6"/>
  <c r="AO66" i="6"/>
  <c r="AP66" i="6"/>
  <c r="AQ66" i="6"/>
  <c r="AR66" i="6"/>
  <c r="AS66" i="6"/>
  <c r="AT66" i="6"/>
  <c r="AU66" i="6"/>
  <c r="AV66" i="6"/>
  <c r="AW66" i="6"/>
  <c r="AX66" i="6"/>
  <c r="AY66" i="6"/>
  <c r="AZ66" i="6"/>
  <c r="BA66" i="6"/>
  <c r="BB66" i="6"/>
  <c r="BC66" i="6"/>
  <c r="BD66" i="6"/>
  <c r="BE66" i="6"/>
  <c r="BF66" i="6"/>
  <c r="BG66" i="6"/>
  <c r="F67" i="6"/>
  <c r="G67" i="6"/>
  <c r="H67" i="6"/>
  <c r="I67" i="6"/>
  <c r="L67" i="6"/>
  <c r="M67" i="6"/>
  <c r="N67" i="6"/>
  <c r="O67" i="6"/>
  <c r="P67" i="6"/>
  <c r="Q67" i="6"/>
  <c r="R67" i="6"/>
  <c r="S67" i="6"/>
  <c r="T67" i="6"/>
  <c r="U67" i="6"/>
  <c r="V67" i="6"/>
  <c r="W67" i="6"/>
  <c r="X67" i="6"/>
  <c r="Y67" i="6"/>
  <c r="Z67" i="6"/>
  <c r="AC67" i="6"/>
  <c r="AD67" i="6"/>
  <c r="AE67" i="6"/>
  <c r="AF67" i="6"/>
  <c r="AG67" i="6"/>
  <c r="AH67" i="6"/>
  <c r="AI67" i="6"/>
  <c r="AJ67" i="6"/>
  <c r="AK67" i="6"/>
  <c r="AL67" i="6"/>
  <c r="AN67" i="6"/>
  <c r="AO67" i="6"/>
  <c r="AP67" i="6"/>
  <c r="AQ67" i="6"/>
  <c r="AR67" i="6"/>
  <c r="AS67" i="6"/>
  <c r="AT67" i="6"/>
  <c r="AU67" i="6"/>
  <c r="AV67" i="6"/>
  <c r="AW67" i="6"/>
  <c r="AX67" i="6"/>
  <c r="AY67" i="6"/>
  <c r="AZ67" i="6"/>
  <c r="BA67" i="6"/>
  <c r="BB67" i="6"/>
  <c r="BC67" i="6"/>
  <c r="BD67" i="6"/>
  <c r="BE67" i="6"/>
  <c r="BF67" i="6"/>
  <c r="BG67" i="6"/>
  <c r="F68" i="6"/>
  <c r="G68" i="6"/>
  <c r="H68" i="6"/>
  <c r="I68" i="6"/>
  <c r="L68" i="6"/>
  <c r="M68" i="6"/>
  <c r="N68" i="6"/>
  <c r="O68" i="6"/>
  <c r="P68" i="6"/>
  <c r="Q68" i="6"/>
  <c r="R68" i="6"/>
  <c r="S68" i="6"/>
  <c r="T68" i="6"/>
  <c r="U68" i="6"/>
  <c r="V68" i="6"/>
  <c r="W68" i="6"/>
  <c r="X68" i="6"/>
  <c r="Y68" i="6"/>
  <c r="Z68" i="6"/>
  <c r="AC68" i="6"/>
  <c r="AD68" i="6"/>
  <c r="AE68" i="6"/>
  <c r="AF68" i="6"/>
  <c r="AG68" i="6"/>
  <c r="AH68" i="6"/>
  <c r="AI68" i="6"/>
  <c r="AJ68" i="6"/>
  <c r="AK68" i="6"/>
  <c r="AL68" i="6"/>
  <c r="AN68" i="6"/>
  <c r="AO68" i="6"/>
  <c r="AP68" i="6"/>
  <c r="AQ68" i="6"/>
  <c r="AR68" i="6"/>
  <c r="AS68" i="6"/>
  <c r="AT68" i="6"/>
  <c r="AU68" i="6"/>
  <c r="AV68" i="6"/>
  <c r="AW68" i="6"/>
  <c r="AX68" i="6"/>
  <c r="AY68" i="6"/>
  <c r="AZ68" i="6"/>
  <c r="BA68" i="6"/>
  <c r="BB68" i="6"/>
  <c r="BC68" i="6"/>
  <c r="BD68" i="6"/>
  <c r="BE68" i="6"/>
  <c r="BF68" i="6"/>
  <c r="BG68" i="6"/>
  <c r="F69" i="6"/>
  <c r="G69" i="6"/>
  <c r="H69" i="6"/>
  <c r="I69" i="6"/>
  <c r="L69" i="6"/>
  <c r="M69" i="6"/>
  <c r="N69" i="6"/>
  <c r="O69" i="6"/>
  <c r="P69" i="6"/>
  <c r="Q69" i="6"/>
  <c r="R69" i="6"/>
  <c r="S69" i="6"/>
  <c r="T69" i="6"/>
  <c r="U69" i="6"/>
  <c r="V69" i="6"/>
  <c r="W69" i="6"/>
  <c r="X69" i="6"/>
  <c r="Y69" i="6"/>
  <c r="Z69" i="6"/>
  <c r="AC69" i="6"/>
  <c r="AD69" i="6"/>
  <c r="AE69" i="6"/>
  <c r="AF69" i="6"/>
  <c r="AG69" i="6"/>
  <c r="AH69" i="6"/>
  <c r="AI69" i="6"/>
  <c r="AJ69" i="6"/>
  <c r="AK69" i="6"/>
  <c r="AL69" i="6"/>
  <c r="AN69" i="6"/>
  <c r="AO69" i="6"/>
  <c r="AP69" i="6"/>
  <c r="AQ69" i="6"/>
  <c r="AR69" i="6"/>
  <c r="AS69" i="6"/>
  <c r="AT69" i="6"/>
  <c r="AU69" i="6"/>
  <c r="AV69" i="6"/>
  <c r="AW69" i="6"/>
  <c r="AX69" i="6"/>
  <c r="AY69" i="6"/>
  <c r="AZ69" i="6"/>
  <c r="BA69" i="6"/>
  <c r="BB69" i="6"/>
  <c r="BC69" i="6"/>
  <c r="BD69" i="6"/>
  <c r="BE69" i="6"/>
  <c r="BF69" i="6"/>
  <c r="BG69" i="6"/>
  <c r="F70" i="6"/>
  <c r="G70" i="6"/>
  <c r="H70" i="6"/>
  <c r="I70" i="6"/>
  <c r="L70" i="6"/>
  <c r="M70" i="6"/>
  <c r="N70" i="6"/>
  <c r="O70" i="6"/>
  <c r="P70" i="6"/>
  <c r="Q70" i="6"/>
  <c r="R70" i="6"/>
  <c r="S70" i="6"/>
  <c r="T70" i="6"/>
  <c r="U70" i="6"/>
  <c r="V70" i="6"/>
  <c r="W70" i="6"/>
  <c r="X70" i="6"/>
  <c r="Y70" i="6"/>
  <c r="Z70" i="6"/>
  <c r="AC70" i="6"/>
  <c r="AD70" i="6"/>
  <c r="AE70" i="6"/>
  <c r="AF70" i="6"/>
  <c r="AG70" i="6"/>
  <c r="AH70" i="6"/>
  <c r="AI70" i="6"/>
  <c r="AJ70" i="6"/>
  <c r="AK70" i="6"/>
  <c r="AL70" i="6"/>
  <c r="AN70" i="6"/>
  <c r="AO70" i="6"/>
  <c r="AP70" i="6"/>
  <c r="AQ70" i="6"/>
  <c r="AR70" i="6"/>
  <c r="AS70" i="6"/>
  <c r="AT70" i="6"/>
  <c r="AU70" i="6"/>
  <c r="AV70" i="6"/>
  <c r="AW70" i="6"/>
  <c r="AX70" i="6"/>
  <c r="AY70" i="6"/>
  <c r="AZ70" i="6"/>
  <c r="BA70" i="6"/>
  <c r="BB70" i="6"/>
  <c r="BC70" i="6"/>
  <c r="BD70" i="6"/>
  <c r="BE70" i="6"/>
  <c r="BF70" i="6"/>
  <c r="BG70" i="6"/>
  <c r="F71" i="6"/>
  <c r="G71" i="6"/>
  <c r="H71" i="6"/>
  <c r="I71" i="6"/>
  <c r="L71" i="6"/>
  <c r="M71" i="6"/>
  <c r="N71" i="6"/>
  <c r="O71" i="6"/>
  <c r="P71" i="6"/>
  <c r="Q71" i="6"/>
  <c r="R71" i="6"/>
  <c r="S71" i="6"/>
  <c r="T71" i="6"/>
  <c r="U71" i="6"/>
  <c r="V71" i="6"/>
  <c r="W71" i="6"/>
  <c r="X71" i="6"/>
  <c r="Y71" i="6"/>
  <c r="Z71" i="6"/>
  <c r="AC71" i="6"/>
  <c r="AD71" i="6"/>
  <c r="AE71" i="6"/>
  <c r="AF71" i="6"/>
  <c r="AG71" i="6"/>
  <c r="AH71" i="6"/>
  <c r="AI71" i="6"/>
  <c r="AJ71" i="6"/>
  <c r="AK71" i="6"/>
  <c r="AL71" i="6"/>
  <c r="AN71" i="6"/>
  <c r="AO71" i="6"/>
  <c r="AP71" i="6"/>
  <c r="AQ71" i="6"/>
  <c r="AR71" i="6"/>
  <c r="AS71" i="6"/>
  <c r="AT71" i="6"/>
  <c r="AU71" i="6"/>
  <c r="AV71" i="6"/>
  <c r="AW71" i="6"/>
  <c r="AX71" i="6"/>
  <c r="AY71" i="6"/>
  <c r="AZ71" i="6"/>
  <c r="BA71" i="6"/>
  <c r="BB71" i="6"/>
  <c r="BC71" i="6"/>
  <c r="BD71" i="6"/>
  <c r="BE71" i="6"/>
  <c r="BF71" i="6"/>
  <c r="BG71" i="6"/>
  <c r="F72" i="6"/>
  <c r="G72" i="6"/>
  <c r="H72" i="6"/>
  <c r="I72" i="6"/>
  <c r="L72" i="6"/>
  <c r="M72" i="6"/>
  <c r="N72" i="6"/>
  <c r="O72" i="6"/>
  <c r="P72" i="6"/>
  <c r="Q72" i="6"/>
  <c r="R72" i="6"/>
  <c r="S72" i="6"/>
  <c r="T72" i="6"/>
  <c r="U72" i="6"/>
  <c r="V72" i="6"/>
  <c r="W72" i="6"/>
  <c r="X72" i="6"/>
  <c r="Y72" i="6"/>
  <c r="Z72" i="6"/>
  <c r="AC72" i="6"/>
  <c r="AD72" i="6"/>
  <c r="AE72" i="6"/>
  <c r="AF72" i="6"/>
  <c r="AG72" i="6"/>
  <c r="AH72" i="6"/>
  <c r="AI72" i="6"/>
  <c r="AJ72" i="6"/>
  <c r="AK72" i="6"/>
  <c r="AL72" i="6"/>
  <c r="AN72" i="6"/>
  <c r="AO72" i="6"/>
  <c r="AP72" i="6"/>
  <c r="AQ72" i="6"/>
  <c r="AR72" i="6"/>
  <c r="AS72" i="6"/>
  <c r="AT72" i="6"/>
  <c r="AU72" i="6"/>
  <c r="AV72" i="6"/>
  <c r="AW72" i="6"/>
  <c r="AX72" i="6"/>
  <c r="AY72" i="6"/>
  <c r="AZ72" i="6"/>
  <c r="BA72" i="6"/>
  <c r="BB72" i="6"/>
  <c r="BC72" i="6"/>
  <c r="BD72" i="6"/>
  <c r="BE72" i="6"/>
  <c r="BF72" i="6"/>
  <c r="BG72" i="6"/>
  <c r="F73" i="6"/>
  <c r="G73" i="6"/>
  <c r="H73" i="6"/>
  <c r="I73" i="6"/>
  <c r="L73" i="6"/>
  <c r="M73" i="6"/>
  <c r="N73" i="6"/>
  <c r="O73" i="6"/>
  <c r="P73" i="6"/>
  <c r="Q73" i="6"/>
  <c r="R73" i="6"/>
  <c r="S73" i="6"/>
  <c r="T73" i="6"/>
  <c r="U73" i="6"/>
  <c r="V73" i="6"/>
  <c r="W73" i="6"/>
  <c r="X73" i="6"/>
  <c r="Y73" i="6"/>
  <c r="Z73" i="6"/>
  <c r="AC73" i="6"/>
  <c r="AD73" i="6"/>
  <c r="AE73" i="6"/>
  <c r="AF73" i="6"/>
  <c r="AG73" i="6"/>
  <c r="AH73" i="6"/>
  <c r="AI73" i="6"/>
  <c r="AJ73" i="6"/>
  <c r="AK73" i="6"/>
  <c r="AL73" i="6"/>
  <c r="AN73" i="6"/>
  <c r="AO73" i="6"/>
  <c r="AP73" i="6"/>
  <c r="AQ73" i="6"/>
  <c r="AR73" i="6"/>
  <c r="AS73" i="6"/>
  <c r="AT73" i="6"/>
  <c r="AU73" i="6"/>
  <c r="AV73" i="6"/>
  <c r="AW73" i="6"/>
  <c r="AX73" i="6"/>
  <c r="AY73" i="6"/>
  <c r="AZ73" i="6"/>
  <c r="BA73" i="6"/>
  <c r="BB73" i="6"/>
  <c r="BC73" i="6"/>
  <c r="BD73" i="6"/>
  <c r="BE73" i="6"/>
  <c r="BF73" i="6"/>
  <c r="BG73" i="6"/>
  <c r="F74" i="6"/>
  <c r="G74" i="6"/>
  <c r="H74" i="6"/>
  <c r="I74" i="6"/>
  <c r="L74" i="6"/>
  <c r="M74" i="6"/>
  <c r="N74" i="6"/>
  <c r="O74" i="6"/>
  <c r="P74" i="6"/>
  <c r="Q74" i="6"/>
  <c r="R74" i="6"/>
  <c r="S74" i="6"/>
  <c r="T74" i="6"/>
  <c r="U74" i="6"/>
  <c r="V74" i="6"/>
  <c r="W74" i="6"/>
  <c r="X74" i="6"/>
  <c r="Y74" i="6"/>
  <c r="Z74" i="6"/>
  <c r="AC74" i="6"/>
  <c r="AD74" i="6"/>
  <c r="AE74" i="6"/>
  <c r="AF74" i="6"/>
  <c r="AG74" i="6"/>
  <c r="AH74" i="6"/>
  <c r="AI74" i="6"/>
  <c r="AJ74" i="6"/>
  <c r="AK74" i="6"/>
  <c r="AL74" i="6"/>
  <c r="AN74" i="6"/>
  <c r="AO74" i="6"/>
  <c r="AP74" i="6"/>
  <c r="AQ74" i="6"/>
  <c r="AR74" i="6"/>
  <c r="AS74" i="6"/>
  <c r="AT74" i="6"/>
  <c r="AU74" i="6"/>
  <c r="AV74" i="6"/>
  <c r="AW74" i="6"/>
  <c r="AX74" i="6"/>
  <c r="AY74" i="6"/>
  <c r="AZ74" i="6"/>
  <c r="BA74" i="6"/>
  <c r="BB74" i="6"/>
  <c r="BC74" i="6"/>
  <c r="BD74" i="6"/>
  <c r="BE74" i="6"/>
  <c r="BF74" i="6"/>
  <c r="BG74" i="6"/>
  <c r="F75" i="6"/>
  <c r="G75" i="6"/>
  <c r="H75" i="6"/>
  <c r="I75" i="6"/>
  <c r="L75" i="6"/>
  <c r="M75" i="6"/>
  <c r="N75" i="6"/>
  <c r="O75" i="6"/>
  <c r="P75" i="6"/>
  <c r="Q75" i="6"/>
  <c r="R75" i="6"/>
  <c r="S75" i="6"/>
  <c r="T75" i="6"/>
  <c r="U75" i="6"/>
  <c r="V75" i="6"/>
  <c r="W75" i="6"/>
  <c r="X75" i="6"/>
  <c r="Y75" i="6"/>
  <c r="Z75" i="6"/>
  <c r="AC75" i="6"/>
  <c r="AD75" i="6"/>
  <c r="AE75" i="6"/>
  <c r="AF75" i="6"/>
  <c r="AG75" i="6"/>
  <c r="AH75" i="6"/>
  <c r="AI75" i="6"/>
  <c r="AJ75" i="6"/>
  <c r="AK75" i="6"/>
  <c r="AL75" i="6"/>
  <c r="AN75" i="6"/>
  <c r="AO75" i="6"/>
  <c r="AP75" i="6"/>
  <c r="AQ75" i="6"/>
  <c r="AR75" i="6"/>
  <c r="AS75" i="6"/>
  <c r="AT75" i="6"/>
  <c r="AU75" i="6"/>
  <c r="AV75" i="6"/>
  <c r="AW75" i="6"/>
  <c r="AX75" i="6"/>
  <c r="AY75" i="6"/>
  <c r="AZ75" i="6"/>
  <c r="BA75" i="6"/>
  <c r="BB75" i="6"/>
  <c r="BC75" i="6"/>
  <c r="BD75" i="6"/>
  <c r="BE75" i="6"/>
  <c r="BF75" i="6"/>
  <c r="BG75" i="6"/>
  <c r="F76" i="6"/>
  <c r="G76" i="6"/>
  <c r="H76" i="6"/>
  <c r="I76" i="6"/>
  <c r="L76" i="6"/>
  <c r="M76" i="6"/>
  <c r="N76" i="6"/>
  <c r="O76" i="6"/>
  <c r="P76" i="6"/>
  <c r="Q76" i="6"/>
  <c r="R76" i="6"/>
  <c r="S76" i="6"/>
  <c r="T76" i="6"/>
  <c r="U76" i="6"/>
  <c r="V76" i="6"/>
  <c r="W76" i="6"/>
  <c r="X76" i="6"/>
  <c r="Y76" i="6"/>
  <c r="Z76" i="6"/>
  <c r="AC76" i="6"/>
  <c r="AD76" i="6"/>
  <c r="AE76" i="6"/>
  <c r="AF76" i="6"/>
  <c r="AG76" i="6"/>
  <c r="AH76" i="6"/>
  <c r="AI76" i="6"/>
  <c r="AJ76" i="6"/>
  <c r="AK76" i="6"/>
  <c r="AL76" i="6"/>
  <c r="AN76" i="6"/>
  <c r="AO76" i="6"/>
  <c r="AP76" i="6"/>
  <c r="AQ76" i="6"/>
  <c r="AR76" i="6"/>
  <c r="AS76" i="6"/>
  <c r="AT76" i="6"/>
  <c r="AU76" i="6"/>
  <c r="AV76" i="6"/>
  <c r="AW76" i="6"/>
  <c r="AX76" i="6"/>
  <c r="AY76" i="6"/>
  <c r="AZ76" i="6"/>
  <c r="BA76" i="6"/>
  <c r="BB76" i="6"/>
  <c r="BC76" i="6"/>
  <c r="BD76" i="6"/>
  <c r="BE76" i="6"/>
  <c r="BF76" i="6"/>
  <c r="BG76" i="6"/>
  <c r="F77" i="6"/>
  <c r="G77" i="6"/>
  <c r="H77" i="6"/>
  <c r="I77" i="6"/>
  <c r="L77" i="6"/>
  <c r="M77" i="6"/>
  <c r="N77" i="6"/>
  <c r="O77" i="6"/>
  <c r="P77" i="6"/>
  <c r="Q77" i="6"/>
  <c r="R77" i="6"/>
  <c r="S77" i="6"/>
  <c r="T77" i="6"/>
  <c r="U77" i="6"/>
  <c r="V77" i="6"/>
  <c r="W77" i="6"/>
  <c r="X77" i="6"/>
  <c r="Y77" i="6"/>
  <c r="Z77" i="6"/>
  <c r="AC77" i="6"/>
  <c r="AD77" i="6"/>
  <c r="AE77" i="6"/>
  <c r="AF77" i="6"/>
  <c r="AG77" i="6"/>
  <c r="AH77" i="6"/>
  <c r="AI77" i="6"/>
  <c r="AJ77" i="6"/>
  <c r="AK77" i="6"/>
  <c r="AL77" i="6"/>
  <c r="AN77" i="6"/>
  <c r="AO77" i="6"/>
  <c r="AP77" i="6"/>
  <c r="AQ77" i="6"/>
  <c r="AR77" i="6"/>
  <c r="AS77" i="6"/>
  <c r="AT77" i="6"/>
  <c r="AU77" i="6"/>
  <c r="AV77" i="6"/>
  <c r="AW77" i="6"/>
  <c r="AX77" i="6"/>
  <c r="AY77" i="6"/>
  <c r="AZ77" i="6"/>
  <c r="BA77" i="6"/>
  <c r="BB77" i="6"/>
  <c r="BC77" i="6"/>
  <c r="BD77" i="6"/>
  <c r="BE77" i="6"/>
  <c r="BF77" i="6"/>
  <c r="BG77" i="6"/>
  <c r="F78" i="6"/>
  <c r="G78" i="6"/>
  <c r="H78" i="6"/>
  <c r="I78" i="6"/>
  <c r="L78" i="6"/>
  <c r="M78" i="6"/>
  <c r="N78" i="6"/>
  <c r="O78" i="6"/>
  <c r="P78" i="6"/>
  <c r="Q78" i="6"/>
  <c r="R78" i="6"/>
  <c r="S78" i="6"/>
  <c r="T78" i="6"/>
  <c r="U78" i="6"/>
  <c r="V78" i="6"/>
  <c r="W78" i="6"/>
  <c r="X78" i="6"/>
  <c r="Y78" i="6"/>
  <c r="Z78" i="6"/>
  <c r="AC78" i="6"/>
  <c r="AD78" i="6"/>
  <c r="AE78" i="6"/>
  <c r="AF78" i="6"/>
  <c r="AG78" i="6"/>
  <c r="AH78" i="6"/>
  <c r="AI78" i="6"/>
  <c r="AJ78" i="6"/>
  <c r="AK78" i="6"/>
  <c r="AL78" i="6"/>
  <c r="AN78" i="6"/>
  <c r="AO78" i="6"/>
  <c r="AP78" i="6"/>
  <c r="AQ78" i="6"/>
  <c r="AR78" i="6"/>
  <c r="AS78" i="6"/>
  <c r="AT78" i="6"/>
  <c r="AU78" i="6"/>
  <c r="AV78" i="6"/>
  <c r="AW78" i="6"/>
  <c r="AX78" i="6"/>
  <c r="AY78" i="6"/>
  <c r="AZ78" i="6"/>
  <c r="BA78" i="6"/>
  <c r="BB78" i="6"/>
  <c r="BC78" i="6"/>
  <c r="BD78" i="6"/>
  <c r="BE78" i="6"/>
  <c r="BF78" i="6"/>
  <c r="BG78" i="6"/>
  <c r="F79" i="6"/>
  <c r="G79" i="6"/>
  <c r="H79" i="6"/>
  <c r="I79" i="6"/>
  <c r="L79" i="6"/>
  <c r="M79" i="6"/>
  <c r="N79" i="6"/>
  <c r="O79" i="6"/>
  <c r="P79" i="6"/>
  <c r="Q79" i="6"/>
  <c r="R79" i="6"/>
  <c r="S79" i="6"/>
  <c r="T79" i="6"/>
  <c r="U79" i="6"/>
  <c r="V79" i="6"/>
  <c r="W79" i="6"/>
  <c r="X79" i="6"/>
  <c r="Y79" i="6"/>
  <c r="Z79" i="6"/>
  <c r="AC79" i="6"/>
  <c r="AD79" i="6"/>
  <c r="AE79" i="6"/>
  <c r="AF79" i="6"/>
  <c r="AG79" i="6"/>
  <c r="AH79" i="6"/>
  <c r="AI79" i="6"/>
  <c r="AJ79" i="6"/>
  <c r="AK79" i="6"/>
  <c r="AL79" i="6"/>
  <c r="AN79" i="6"/>
  <c r="AO79" i="6"/>
  <c r="AP79" i="6"/>
  <c r="AQ79" i="6"/>
  <c r="AR79" i="6"/>
  <c r="AS79" i="6"/>
  <c r="AT79" i="6"/>
  <c r="AU79" i="6"/>
  <c r="AV79" i="6"/>
  <c r="AW79" i="6"/>
  <c r="AX79" i="6"/>
  <c r="AY79" i="6"/>
  <c r="AZ79" i="6"/>
  <c r="BA79" i="6"/>
  <c r="BB79" i="6"/>
  <c r="BC79" i="6"/>
  <c r="BD79" i="6"/>
  <c r="BE79" i="6"/>
  <c r="BF79" i="6"/>
  <c r="BG79" i="6"/>
  <c r="F80" i="6"/>
  <c r="G80" i="6"/>
  <c r="H80" i="6"/>
  <c r="I80" i="6"/>
  <c r="L80" i="6"/>
  <c r="M80" i="6"/>
  <c r="N80" i="6"/>
  <c r="O80" i="6"/>
  <c r="P80" i="6"/>
  <c r="Q80" i="6"/>
  <c r="R80" i="6"/>
  <c r="S80" i="6"/>
  <c r="T80" i="6"/>
  <c r="U80" i="6"/>
  <c r="V80" i="6"/>
  <c r="W80" i="6"/>
  <c r="X80" i="6"/>
  <c r="Y80" i="6"/>
  <c r="Z80" i="6"/>
  <c r="AC80" i="6"/>
  <c r="AD80" i="6"/>
  <c r="AE80" i="6"/>
  <c r="AF80" i="6"/>
  <c r="AG80" i="6"/>
  <c r="AH80" i="6"/>
  <c r="AI80" i="6"/>
  <c r="AJ80" i="6"/>
  <c r="AK80" i="6"/>
  <c r="AL80" i="6"/>
  <c r="AN80" i="6"/>
  <c r="AO80" i="6"/>
  <c r="AP80" i="6"/>
  <c r="AQ80" i="6"/>
  <c r="AR80" i="6"/>
  <c r="AS80" i="6"/>
  <c r="AT80" i="6"/>
  <c r="AU80" i="6"/>
  <c r="AV80" i="6"/>
  <c r="AW80" i="6"/>
  <c r="AX80" i="6"/>
  <c r="AY80" i="6"/>
  <c r="AZ80" i="6"/>
  <c r="BA80" i="6"/>
  <c r="BB80" i="6"/>
  <c r="BC80" i="6"/>
  <c r="BD80" i="6"/>
  <c r="BE80" i="6"/>
  <c r="BF80" i="6"/>
  <c r="BG80" i="6"/>
  <c r="F81" i="6"/>
  <c r="G81" i="6"/>
  <c r="H81" i="6"/>
  <c r="I81" i="6"/>
  <c r="L81" i="6"/>
  <c r="M81" i="6"/>
  <c r="N81" i="6"/>
  <c r="O81" i="6"/>
  <c r="P81" i="6"/>
  <c r="Q81" i="6"/>
  <c r="R81" i="6"/>
  <c r="S81" i="6"/>
  <c r="T81" i="6"/>
  <c r="U81" i="6"/>
  <c r="V81" i="6"/>
  <c r="W81" i="6"/>
  <c r="X81" i="6"/>
  <c r="Y81" i="6"/>
  <c r="Z81" i="6"/>
  <c r="AC81" i="6"/>
  <c r="AD81" i="6"/>
  <c r="AE81" i="6"/>
  <c r="AF81" i="6"/>
  <c r="AG81" i="6"/>
  <c r="AH81" i="6"/>
  <c r="AI81" i="6"/>
  <c r="AJ81" i="6"/>
  <c r="AK81" i="6"/>
  <c r="AL81" i="6"/>
  <c r="AN81" i="6"/>
  <c r="AO81" i="6"/>
  <c r="AP81" i="6"/>
  <c r="AQ81" i="6"/>
  <c r="AR81" i="6"/>
  <c r="AS81" i="6"/>
  <c r="AT81" i="6"/>
  <c r="AU81" i="6"/>
  <c r="AV81" i="6"/>
  <c r="AW81" i="6"/>
  <c r="AX81" i="6"/>
  <c r="AY81" i="6"/>
  <c r="AZ81" i="6"/>
  <c r="BA81" i="6"/>
  <c r="BB81" i="6"/>
  <c r="BC81" i="6"/>
  <c r="BD81" i="6"/>
  <c r="BE81" i="6"/>
  <c r="BF81" i="6"/>
  <c r="BG81" i="6"/>
  <c r="F82" i="6"/>
  <c r="G82" i="6"/>
  <c r="H82" i="6"/>
  <c r="I82" i="6"/>
  <c r="L82" i="6"/>
  <c r="M82" i="6"/>
  <c r="N82" i="6"/>
  <c r="O82" i="6"/>
  <c r="P82" i="6"/>
  <c r="Q82" i="6"/>
  <c r="R82" i="6"/>
  <c r="S82" i="6"/>
  <c r="T82" i="6"/>
  <c r="U82" i="6"/>
  <c r="V82" i="6"/>
  <c r="W82" i="6"/>
  <c r="X82" i="6"/>
  <c r="Y82" i="6"/>
  <c r="Z82" i="6"/>
  <c r="AC82" i="6"/>
  <c r="AD82" i="6"/>
  <c r="AE82" i="6"/>
  <c r="AF82" i="6"/>
  <c r="AG82" i="6"/>
  <c r="AH82" i="6"/>
  <c r="AI82" i="6"/>
  <c r="AJ82" i="6"/>
  <c r="AK82" i="6"/>
  <c r="AL82" i="6"/>
  <c r="AN82" i="6"/>
  <c r="AO82" i="6"/>
  <c r="AP82" i="6"/>
  <c r="AQ82" i="6"/>
  <c r="AR82" i="6"/>
  <c r="AS82" i="6"/>
  <c r="AT82" i="6"/>
  <c r="AU82" i="6"/>
  <c r="AV82" i="6"/>
  <c r="AW82" i="6"/>
  <c r="AX82" i="6"/>
  <c r="AY82" i="6"/>
  <c r="AZ82" i="6"/>
  <c r="BA82" i="6"/>
  <c r="BB82" i="6"/>
  <c r="BC82" i="6"/>
  <c r="BD82" i="6"/>
  <c r="BE82" i="6"/>
  <c r="BF82" i="6"/>
  <c r="BG82" i="6"/>
  <c r="F83" i="6"/>
  <c r="G83" i="6"/>
  <c r="H83" i="6"/>
  <c r="I83" i="6"/>
  <c r="L83" i="6"/>
  <c r="M83" i="6"/>
  <c r="N83" i="6"/>
  <c r="O83" i="6"/>
  <c r="P83" i="6"/>
  <c r="Q83" i="6"/>
  <c r="R83" i="6"/>
  <c r="S83" i="6"/>
  <c r="T83" i="6"/>
  <c r="U83" i="6"/>
  <c r="V83" i="6"/>
  <c r="W83" i="6"/>
  <c r="X83" i="6"/>
  <c r="Y83" i="6"/>
  <c r="Z83" i="6"/>
  <c r="AC83" i="6"/>
  <c r="AD83" i="6"/>
  <c r="AE83" i="6"/>
  <c r="AF83" i="6"/>
  <c r="AG83" i="6"/>
  <c r="AH83" i="6"/>
  <c r="AI83" i="6"/>
  <c r="AJ83" i="6"/>
  <c r="AK83" i="6"/>
  <c r="AL83" i="6"/>
  <c r="AN83" i="6"/>
  <c r="AO83" i="6"/>
  <c r="AP83" i="6"/>
  <c r="AQ83" i="6"/>
  <c r="AR83" i="6"/>
  <c r="AS83" i="6"/>
  <c r="AT83" i="6"/>
  <c r="AU83" i="6"/>
  <c r="AV83" i="6"/>
  <c r="AW83" i="6"/>
  <c r="AX83" i="6"/>
  <c r="AY83" i="6"/>
  <c r="AZ83" i="6"/>
  <c r="BA83" i="6"/>
  <c r="BB83" i="6"/>
  <c r="BC83" i="6"/>
  <c r="BD83" i="6"/>
  <c r="BE83" i="6"/>
  <c r="BF83" i="6"/>
  <c r="BG83" i="6"/>
  <c r="F84" i="6"/>
  <c r="G84" i="6"/>
  <c r="H84" i="6"/>
  <c r="I84" i="6"/>
  <c r="L84" i="6"/>
  <c r="M84" i="6"/>
  <c r="N84" i="6"/>
  <c r="O84" i="6"/>
  <c r="P84" i="6"/>
  <c r="Q84" i="6"/>
  <c r="R84" i="6"/>
  <c r="S84" i="6"/>
  <c r="T84" i="6"/>
  <c r="U84" i="6"/>
  <c r="V84" i="6"/>
  <c r="W84" i="6"/>
  <c r="X84" i="6"/>
  <c r="Y84" i="6"/>
  <c r="Z84" i="6"/>
  <c r="AC84" i="6"/>
  <c r="AD84" i="6"/>
  <c r="AE84" i="6"/>
  <c r="AF84" i="6"/>
  <c r="AG84" i="6"/>
  <c r="AH84" i="6"/>
  <c r="AI84" i="6"/>
  <c r="AJ84" i="6"/>
  <c r="AK84" i="6"/>
  <c r="AL84" i="6"/>
  <c r="AN84" i="6"/>
  <c r="AO84" i="6"/>
  <c r="AP84" i="6"/>
  <c r="AQ84" i="6"/>
  <c r="AR84" i="6"/>
  <c r="AS84" i="6"/>
  <c r="AT84" i="6"/>
  <c r="AU84" i="6"/>
  <c r="AV84" i="6"/>
  <c r="AW84" i="6"/>
  <c r="AX84" i="6"/>
  <c r="AY84" i="6"/>
  <c r="AZ84" i="6"/>
  <c r="BA84" i="6"/>
  <c r="BB84" i="6"/>
  <c r="BC84" i="6"/>
  <c r="BD84" i="6"/>
  <c r="BE84" i="6"/>
  <c r="BF84" i="6"/>
  <c r="BG84" i="6"/>
  <c r="F85" i="6"/>
  <c r="G85" i="6"/>
  <c r="H85" i="6"/>
  <c r="I85" i="6"/>
  <c r="L85" i="6"/>
  <c r="M85" i="6"/>
  <c r="N85" i="6"/>
  <c r="O85" i="6"/>
  <c r="P85" i="6"/>
  <c r="Q85" i="6"/>
  <c r="R85" i="6"/>
  <c r="S85" i="6"/>
  <c r="T85" i="6"/>
  <c r="U85" i="6"/>
  <c r="V85" i="6"/>
  <c r="W85" i="6"/>
  <c r="X85" i="6"/>
  <c r="Y85" i="6"/>
  <c r="Z85" i="6"/>
  <c r="AC85" i="6"/>
  <c r="AD85" i="6"/>
  <c r="AE85" i="6"/>
  <c r="AF85" i="6"/>
  <c r="AG85" i="6"/>
  <c r="AH85" i="6"/>
  <c r="AI85" i="6"/>
  <c r="AJ85" i="6"/>
  <c r="AK85" i="6"/>
  <c r="AL85" i="6"/>
  <c r="AN85" i="6"/>
  <c r="AO85" i="6"/>
  <c r="AP85" i="6"/>
  <c r="AQ85" i="6"/>
  <c r="AR85" i="6"/>
  <c r="AS85" i="6"/>
  <c r="AT85" i="6"/>
  <c r="AU85" i="6"/>
  <c r="AV85" i="6"/>
  <c r="AW85" i="6"/>
  <c r="AX85" i="6"/>
  <c r="AY85" i="6"/>
  <c r="AZ85" i="6"/>
  <c r="BA85" i="6"/>
  <c r="BB85" i="6"/>
  <c r="BC85" i="6"/>
  <c r="BD85" i="6"/>
  <c r="BE85" i="6"/>
  <c r="BF85" i="6"/>
  <c r="BG85" i="6"/>
  <c r="F86" i="6"/>
  <c r="G86" i="6"/>
  <c r="H86" i="6"/>
  <c r="I86" i="6"/>
  <c r="L86" i="6"/>
  <c r="M86" i="6"/>
  <c r="N86" i="6"/>
  <c r="O86" i="6"/>
  <c r="P86" i="6"/>
  <c r="Q86" i="6"/>
  <c r="R86" i="6"/>
  <c r="S86" i="6"/>
  <c r="T86" i="6"/>
  <c r="U86" i="6"/>
  <c r="V86" i="6"/>
  <c r="W86" i="6"/>
  <c r="X86" i="6"/>
  <c r="Y86" i="6"/>
  <c r="Z86" i="6"/>
  <c r="AC86" i="6"/>
  <c r="AD86" i="6"/>
  <c r="AE86" i="6"/>
  <c r="AF86" i="6"/>
  <c r="AG86" i="6"/>
  <c r="AH86" i="6"/>
  <c r="AI86" i="6"/>
  <c r="AJ86" i="6"/>
  <c r="AK86" i="6"/>
  <c r="AL86" i="6"/>
  <c r="AN86" i="6"/>
  <c r="AO86" i="6"/>
  <c r="AP86" i="6"/>
  <c r="AQ86" i="6"/>
  <c r="AR86" i="6"/>
  <c r="AS86" i="6"/>
  <c r="AT86" i="6"/>
  <c r="AU86" i="6"/>
  <c r="AV86" i="6"/>
  <c r="AW86" i="6"/>
  <c r="AX86" i="6"/>
  <c r="AY86" i="6"/>
  <c r="AZ86" i="6"/>
  <c r="BA86" i="6"/>
  <c r="BB86" i="6"/>
  <c r="BC86" i="6"/>
  <c r="BD86" i="6"/>
  <c r="BE86" i="6"/>
  <c r="BF86" i="6"/>
  <c r="BG86" i="6"/>
  <c r="F87" i="6"/>
  <c r="G87" i="6"/>
  <c r="H87" i="6"/>
  <c r="I87" i="6"/>
  <c r="L87" i="6"/>
  <c r="M87" i="6"/>
  <c r="N87" i="6"/>
  <c r="O87" i="6"/>
  <c r="P87" i="6"/>
  <c r="Q87" i="6"/>
  <c r="R87" i="6"/>
  <c r="S87" i="6"/>
  <c r="T87" i="6"/>
  <c r="U87" i="6"/>
  <c r="V87" i="6"/>
  <c r="W87" i="6"/>
  <c r="X87" i="6"/>
  <c r="Y87" i="6"/>
  <c r="Z87" i="6"/>
  <c r="AC87" i="6"/>
  <c r="AD87" i="6"/>
  <c r="AE87" i="6"/>
  <c r="AF87" i="6"/>
  <c r="AG87" i="6"/>
  <c r="AH87" i="6"/>
  <c r="AI87" i="6"/>
  <c r="AJ87" i="6"/>
  <c r="AK87" i="6"/>
  <c r="AL87" i="6"/>
  <c r="AN87" i="6"/>
  <c r="AO87" i="6"/>
  <c r="AP87" i="6"/>
  <c r="AQ87" i="6"/>
  <c r="AR87" i="6"/>
  <c r="AS87" i="6"/>
  <c r="AT87" i="6"/>
  <c r="AU87" i="6"/>
  <c r="AV87" i="6"/>
  <c r="AW87" i="6"/>
  <c r="AX87" i="6"/>
  <c r="AY87" i="6"/>
  <c r="AZ87" i="6"/>
  <c r="BA87" i="6"/>
  <c r="BB87" i="6"/>
  <c r="BC87" i="6"/>
  <c r="BD87" i="6"/>
  <c r="BE87" i="6"/>
  <c r="BF87" i="6"/>
  <c r="BG87" i="6"/>
  <c r="F88" i="6"/>
  <c r="G88" i="6"/>
  <c r="H88" i="6"/>
  <c r="I88" i="6"/>
  <c r="L88" i="6"/>
  <c r="M88" i="6"/>
  <c r="N88" i="6"/>
  <c r="O88" i="6"/>
  <c r="P88" i="6"/>
  <c r="Q88" i="6"/>
  <c r="R88" i="6"/>
  <c r="S88" i="6"/>
  <c r="T88" i="6"/>
  <c r="U88" i="6"/>
  <c r="V88" i="6"/>
  <c r="W88" i="6"/>
  <c r="X88" i="6"/>
  <c r="Y88" i="6"/>
  <c r="Z88" i="6"/>
  <c r="AC88" i="6"/>
  <c r="AD88" i="6"/>
  <c r="AE88" i="6"/>
  <c r="AF88" i="6"/>
  <c r="AG88" i="6"/>
  <c r="AH88" i="6"/>
  <c r="AI88" i="6"/>
  <c r="AJ88" i="6"/>
  <c r="AK88" i="6"/>
  <c r="AL88" i="6"/>
  <c r="AN88" i="6"/>
  <c r="AO88" i="6"/>
  <c r="AP88" i="6"/>
  <c r="AQ88" i="6"/>
  <c r="AR88" i="6"/>
  <c r="AS88" i="6"/>
  <c r="AT88" i="6"/>
  <c r="AU88" i="6"/>
  <c r="AV88" i="6"/>
  <c r="AW88" i="6"/>
  <c r="AX88" i="6"/>
  <c r="AY88" i="6"/>
  <c r="AZ88" i="6"/>
  <c r="BA88" i="6"/>
  <c r="BB88" i="6"/>
  <c r="BC88" i="6"/>
  <c r="BD88" i="6"/>
  <c r="BE88" i="6"/>
  <c r="BF88" i="6"/>
  <c r="BG88" i="6"/>
  <c r="F89" i="6"/>
  <c r="G89" i="6"/>
  <c r="H89" i="6"/>
  <c r="I89" i="6"/>
  <c r="L89" i="6"/>
  <c r="M89" i="6"/>
  <c r="N89" i="6"/>
  <c r="O89" i="6"/>
  <c r="P89" i="6"/>
  <c r="Q89" i="6"/>
  <c r="R89" i="6"/>
  <c r="S89" i="6"/>
  <c r="T89" i="6"/>
  <c r="U89" i="6"/>
  <c r="V89" i="6"/>
  <c r="W89" i="6"/>
  <c r="X89" i="6"/>
  <c r="Y89" i="6"/>
  <c r="Z89" i="6"/>
  <c r="AC89" i="6"/>
  <c r="AD89" i="6"/>
  <c r="AE89" i="6"/>
  <c r="AF89" i="6"/>
  <c r="AG89" i="6"/>
  <c r="AH89" i="6"/>
  <c r="AI89" i="6"/>
  <c r="AJ89" i="6"/>
  <c r="AK89" i="6"/>
  <c r="AL89" i="6"/>
  <c r="AN89" i="6"/>
  <c r="AO89" i="6"/>
  <c r="AP89" i="6"/>
  <c r="AQ89" i="6"/>
  <c r="AR89" i="6"/>
  <c r="AS89" i="6"/>
  <c r="AT89" i="6"/>
  <c r="AU89" i="6"/>
  <c r="AV89" i="6"/>
  <c r="AW89" i="6"/>
  <c r="AX89" i="6"/>
  <c r="AY89" i="6"/>
  <c r="AZ89" i="6"/>
  <c r="BA89" i="6"/>
  <c r="BB89" i="6"/>
  <c r="BC89" i="6"/>
  <c r="BD89" i="6"/>
  <c r="BE89" i="6"/>
  <c r="BF89" i="6"/>
  <c r="BG89" i="6"/>
  <c r="F90" i="6"/>
  <c r="G90" i="6"/>
  <c r="H90" i="6"/>
  <c r="I90" i="6"/>
  <c r="L90" i="6"/>
  <c r="M90" i="6"/>
  <c r="N90" i="6"/>
  <c r="O90" i="6"/>
  <c r="P90" i="6"/>
  <c r="Q90" i="6"/>
  <c r="R90" i="6"/>
  <c r="S90" i="6"/>
  <c r="T90" i="6"/>
  <c r="U90" i="6"/>
  <c r="V90" i="6"/>
  <c r="W90" i="6"/>
  <c r="X90" i="6"/>
  <c r="Y90" i="6"/>
  <c r="Z90" i="6"/>
  <c r="AC90" i="6"/>
  <c r="AD90" i="6"/>
  <c r="AE90" i="6"/>
  <c r="AF90" i="6"/>
  <c r="AG90" i="6"/>
  <c r="AH90" i="6"/>
  <c r="AI90" i="6"/>
  <c r="AJ90" i="6"/>
  <c r="AK90" i="6"/>
  <c r="AL90" i="6"/>
  <c r="AN90" i="6"/>
  <c r="AO90" i="6"/>
  <c r="AP90" i="6"/>
  <c r="AQ90" i="6"/>
  <c r="AR90" i="6"/>
  <c r="AS90" i="6"/>
  <c r="AT90" i="6"/>
  <c r="AU90" i="6"/>
  <c r="AV90" i="6"/>
  <c r="AW90" i="6"/>
  <c r="AX90" i="6"/>
  <c r="AY90" i="6"/>
  <c r="AZ90" i="6"/>
  <c r="BA90" i="6"/>
  <c r="BB90" i="6"/>
  <c r="BC90" i="6"/>
  <c r="BD90" i="6"/>
  <c r="BE90" i="6"/>
  <c r="BF90" i="6"/>
  <c r="BG90" i="6"/>
  <c r="F91" i="6"/>
  <c r="G91" i="6"/>
  <c r="H91" i="6"/>
  <c r="I91" i="6"/>
  <c r="L91" i="6"/>
  <c r="M91" i="6"/>
  <c r="N91" i="6"/>
  <c r="O91" i="6"/>
  <c r="P91" i="6"/>
  <c r="Q91" i="6"/>
  <c r="R91" i="6"/>
  <c r="S91" i="6"/>
  <c r="T91" i="6"/>
  <c r="U91" i="6"/>
  <c r="V91" i="6"/>
  <c r="W91" i="6"/>
  <c r="X91" i="6"/>
  <c r="Y91" i="6"/>
  <c r="Z91" i="6"/>
  <c r="AC91" i="6"/>
  <c r="AD91" i="6"/>
  <c r="AE91" i="6"/>
  <c r="AF91" i="6"/>
  <c r="AG91" i="6"/>
  <c r="AH91" i="6"/>
  <c r="AI91" i="6"/>
  <c r="AJ91" i="6"/>
  <c r="AK91" i="6"/>
  <c r="AL91" i="6"/>
  <c r="AN91" i="6"/>
  <c r="AO91" i="6"/>
  <c r="AP91" i="6"/>
  <c r="AQ91" i="6"/>
  <c r="AR91" i="6"/>
  <c r="AS91" i="6"/>
  <c r="AT91" i="6"/>
  <c r="AU91" i="6"/>
  <c r="AV91" i="6"/>
  <c r="AW91" i="6"/>
  <c r="AX91" i="6"/>
  <c r="AY91" i="6"/>
  <c r="AZ91" i="6"/>
  <c r="BA91" i="6"/>
  <c r="BB91" i="6"/>
  <c r="BC91" i="6"/>
  <c r="BD91" i="6"/>
  <c r="BE91" i="6"/>
  <c r="BF91" i="6"/>
  <c r="BG91" i="6"/>
  <c r="F92" i="6"/>
  <c r="G92" i="6"/>
  <c r="H92" i="6"/>
  <c r="I92" i="6"/>
  <c r="L92" i="6"/>
  <c r="M92" i="6"/>
  <c r="N92" i="6"/>
  <c r="O92" i="6"/>
  <c r="P92" i="6"/>
  <c r="Q92" i="6"/>
  <c r="R92" i="6"/>
  <c r="S92" i="6"/>
  <c r="T92" i="6"/>
  <c r="U92" i="6"/>
  <c r="V92" i="6"/>
  <c r="W92" i="6"/>
  <c r="X92" i="6"/>
  <c r="Y92" i="6"/>
  <c r="Z92" i="6"/>
  <c r="AC92" i="6"/>
  <c r="AD92" i="6"/>
  <c r="AE92" i="6"/>
  <c r="AF92" i="6"/>
  <c r="AG92" i="6"/>
  <c r="AH92" i="6"/>
  <c r="AI92" i="6"/>
  <c r="AJ92" i="6"/>
  <c r="AK92" i="6"/>
  <c r="AL92" i="6"/>
  <c r="AN92" i="6"/>
  <c r="AO92" i="6"/>
  <c r="AP92" i="6"/>
  <c r="AQ92" i="6"/>
  <c r="AR92" i="6"/>
  <c r="AS92" i="6"/>
  <c r="AT92" i="6"/>
  <c r="AU92" i="6"/>
  <c r="AV92" i="6"/>
  <c r="AW92" i="6"/>
  <c r="AX92" i="6"/>
  <c r="AY92" i="6"/>
  <c r="AZ92" i="6"/>
  <c r="BA92" i="6"/>
  <c r="BB92" i="6"/>
  <c r="BC92" i="6"/>
  <c r="BD92" i="6"/>
  <c r="BE92" i="6"/>
  <c r="BF92" i="6"/>
  <c r="BG92" i="6"/>
  <c r="F93" i="6"/>
  <c r="G93" i="6"/>
  <c r="H93" i="6"/>
  <c r="I93" i="6"/>
  <c r="L93" i="6"/>
  <c r="M93" i="6"/>
  <c r="N93" i="6"/>
  <c r="O93" i="6"/>
  <c r="P93" i="6"/>
  <c r="Q93" i="6"/>
  <c r="R93" i="6"/>
  <c r="S93" i="6"/>
  <c r="T93" i="6"/>
  <c r="U93" i="6"/>
  <c r="V93" i="6"/>
  <c r="W93" i="6"/>
  <c r="X93" i="6"/>
  <c r="Y93" i="6"/>
  <c r="Z93" i="6"/>
  <c r="AC93" i="6"/>
  <c r="AD93" i="6"/>
  <c r="AE93" i="6"/>
  <c r="AF93" i="6"/>
  <c r="AG93" i="6"/>
  <c r="AH93" i="6"/>
  <c r="AI93" i="6"/>
  <c r="AJ93" i="6"/>
  <c r="AK93" i="6"/>
  <c r="AL93" i="6"/>
  <c r="AN93" i="6"/>
  <c r="AO93" i="6"/>
  <c r="AP93" i="6"/>
  <c r="AQ93" i="6"/>
  <c r="AR93" i="6"/>
  <c r="AS93" i="6"/>
  <c r="AT93" i="6"/>
  <c r="AU93" i="6"/>
  <c r="AV93" i="6"/>
  <c r="AW93" i="6"/>
  <c r="AX93" i="6"/>
  <c r="AY93" i="6"/>
  <c r="AZ93" i="6"/>
  <c r="BA93" i="6"/>
  <c r="BB93" i="6"/>
  <c r="BC93" i="6"/>
  <c r="BD93" i="6"/>
  <c r="BE93" i="6"/>
  <c r="BF93" i="6"/>
  <c r="BG93" i="6"/>
  <c r="F94" i="6"/>
  <c r="G94" i="6"/>
  <c r="H94" i="6"/>
  <c r="I94" i="6"/>
  <c r="L94" i="6"/>
  <c r="M94" i="6"/>
  <c r="N94" i="6"/>
  <c r="O94" i="6"/>
  <c r="P94" i="6"/>
  <c r="Q94" i="6"/>
  <c r="R94" i="6"/>
  <c r="S94" i="6"/>
  <c r="T94" i="6"/>
  <c r="U94" i="6"/>
  <c r="V94" i="6"/>
  <c r="W94" i="6"/>
  <c r="X94" i="6"/>
  <c r="Y94" i="6"/>
  <c r="Z94" i="6"/>
  <c r="AC94" i="6"/>
  <c r="AD94" i="6"/>
  <c r="AE94" i="6"/>
  <c r="AF94" i="6"/>
  <c r="AG94" i="6"/>
  <c r="AH94" i="6"/>
  <c r="AI94" i="6"/>
  <c r="AJ94" i="6"/>
  <c r="AK94" i="6"/>
  <c r="AL94" i="6"/>
  <c r="AN94" i="6"/>
  <c r="AO94" i="6"/>
  <c r="AP94" i="6"/>
  <c r="AQ94" i="6"/>
  <c r="AR94" i="6"/>
  <c r="AS94" i="6"/>
  <c r="AT94" i="6"/>
  <c r="AU94" i="6"/>
  <c r="AV94" i="6"/>
  <c r="AW94" i="6"/>
  <c r="AX94" i="6"/>
  <c r="AY94" i="6"/>
  <c r="AZ94" i="6"/>
  <c r="BA94" i="6"/>
  <c r="BB94" i="6"/>
  <c r="BC94" i="6"/>
  <c r="BD94" i="6"/>
  <c r="BE94" i="6"/>
  <c r="BF94" i="6"/>
  <c r="BG94" i="6"/>
  <c r="F95" i="6"/>
  <c r="G95" i="6"/>
  <c r="H95" i="6"/>
  <c r="I95" i="6"/>
  <c r="L95" i="6"/>
  <c r="M95" i="6"/>
  <c r="N95" i="6"/>
  <c r="O95" i="6"/>
  <c r="P95" i="6"/>
  <c r="Q95" i="6"/>
  <c r="R95" i="6"/>
  <c r="S95" i="6"/>
  <c r="T95" i="6"/>
  <c r="U95" i="6"/>
  <c r="V95" i="6"/>
  <c r="W95" i="6"/>
  <c r="X95" i="6"/>
  <c r="Y95" i="6"/>
  <c r="Z95" i="6"/>
  <c r="AC95" i="6"/>
  <c r="AD95" i="6"/>
  <c r="AE95" i="6"/>
  <c r="AF95" i="6"/>
  <c r="AG95" i="6"/>
  <c r="AH95" i="6"/>
  <c r="AI95" i="6"/>
  <c r="AJ95" i="6"/>
  <c r="AK95" i="6"/>
  <c r="AL95" i="6"/>
  <c r="AN95" i="6"/>
  <c r="AO95" i="6"/>
  <c r="AP95" i="6"/>
  <c r="AQ95" i="6"/>
  <c r="AR95" i="6"/>
  <c r="AS95" i="6"/>
  <c r="AT95" i="6"/>
  <c r="AU95" i="6"/>
  <c r="AV95" i="6"/>
  <c r="AW95" i="6"/>
  <c r="AX95" i="6"/>
  <c r="AY95" i="6"/>
  <c r="AZ95" i="6"/>
  <c r="BA95" i="6"/>
  <c r="BB95" i="6"/>
  <c r="BC95" i="6"/>
  <c r="BD95" i="6"/>
  <c r="BE95" i="6"/>
  <c r="BF95" i="6"/>
  <c r="BG95" i="6"/>
  <c r="F96" i="6"/>
  <c r="G96" i="6"/>
  <c r="H96" i="6"/>
  <c r="I96" i="6"/>
  <c r="L96" i="6"/>
  <c r="M96" i="6"/>
  <c r="N96" i="6"/>
  <c r="O96" i="6"/>
  <c r="P96" i="6"/>
  <c r="Q96" i="6"/>
  <c r="R96" i="6"/>
  <c r="S96" i="6"/>
  <c r="T96" i="6"/>
  <c r="U96" i="6"/>
  <c r="V96" i="6"/>
  <c r="W96" i="6"/>
  <c r="X96" i="6"/>
  <c r="Y96" i="6"/>
  <c r="Z96" i="6"/>
  <c r="AC96" i="6"/>
  <c r="AD96" i="6"/>
  <c r="AE96" i="6"/>
  <c r="AF96" i="6"/>
  <c r="AG96" i="6"/>
  <c r="AH96" i="6"/>
  <c r="AI96" i="6"/>
  <c r="AJ96" i="6"/>
  <c r="AK96" i="6"/>
  <c r="AL96" i="6"/>
  <c r="AN96" i="6"/>
  <c r="AO96" i="6"/>
  <c r="AP96" i="6"/>
  <c r="AQ96" i="6"/>
  <c r="AR96" i="6"/>
  <c r="AS96" i="6"/>
  <c r="AT96" i="6"/>
  <c r="AU96" i="6"/>
  <c r="AV96" i="6"/>
  <c r="AW96" i="6"/>
  <c r="AX96" i="6"/>
  <c r="AY96" i="6"/>
  <c r="AZ96" i="6"/>
  <c r="BA96" i="6"/>
  <c r="BB96" i="6"/>
  <c r="BC96" i="6"/>
  <c r="BD96" i="6"/>
  <c r="BE96" i="6"/>
  <c r="BF96" i="6"/>
  <c r="BG96" i="6"/>
  <c r="F97" i="6"/>
  <c r="G97" i="6"/>
  <c r="H97" i="6"/>
  <c r="I97" i="6"/>
  <c r="L97" i="6"/>
  <c r="M97" i="6"/>
  <c r="N97" i="6"/>
  <c r="O97" i="6"/>
  <c r="P97" i="6"/>
  <c r="Q97" i="6"/>
  <c r="R97" i="6"/>
  <c r="S97" i="6"/>
  <c r="T97" i="6"/>
  <c r="U97" i="6"/>
  <c r="V97" i="6"/>
  <c r="W97" i="6"/>
  <c r="X97" i="6"/>
  <c r="Y97" i="6"/>
  <c r="Z97" i="6"/>
  <c r="AC97" i="6"/>
  <c r="AD97" i="6"/>
  <c r="AE97" i="6"/>
  <c r="AF97" i="6"/>
  <c r="AG97" i="6"/>
  <c r="AH97" i="6"/>
  <c r="AI97" i="6"/>
  <c r="AJ97" i="6"/>
  <c r="AK97" i="6"/>
  <c r="AL97" i="6"/>
  <c r="AN97" i="6"/>
  <c r="AO97" i="6"/>
  <c r="AP97" i="6"/>
  <c r="AQ97" i="6"/>
  <c r="AR97" i="6"/>
  <c r="AS97" i="6"/>
  <c r="AT97" i="6"/>
  <c r="AU97" i="6"/>
  <c r="AV97" i="6"/>
  <c r="AW97" i="6"/>
  <c r="AX97" i="6"/>
  <c r="AY97" i="6"/>
  <c r="AZ97" i="6"/>
  <c r="BA97" i="6"/>
  <c r="BB97" i="6"/>
  <c r="BC97" i="6"/>
  <c r="BD97" i="6"/>
  <c r="BE97" i="6"/>
  <c r="BF97" i="6"/>
  <c r="BG97" i="6"/>
  <c r="F98" i="6"/>
  <c r="G98" i="6"/>
  <c r="H98" i="6"/>
  <c r="I98" i="6"/>
  <c r="L98" i="6"/>
  <c r="M98" i="6"/>
  <c r="N98" i="6"/>
  <c r="O98" i="6"/>
  <c r="P98" i="6"/>
  <c r="Q98" i="6"/>
  <c r="R98" i="6"/>
  <c r="S98" i="6"/>
  <c r="T98" i="6"/>
  <c r="U98" i="6"/>
  <c r="V98" i="6"/>
  <c r="W98" i="6"/>
  <c r="X98" i="6"/>
  <c r="Y98" i="6"/>
  <c r="Z98" i="6"/>
  <c r="AC98" i="6"/>
  <c r="AD98" i="6"/>
  <c r="AE98" i="6"/>
  <c r="AF98" i="6"/>
  <c r="AG98" i="6"/>
  <c r="AH98" i="6"/>
  <c r="AI98" i="6"/>
  <c r="AJ98" i="6"/>
  <c r="AK98" i="6"/>
  <c r="AL98" i="6"/>
  <c r="AN98" i="6"/>
  <c r="AO98" i="6"/>
  <c r="AP98" i="6"/>
  <c r="AQ98" i="6"/>
  <c r="AR98" i="6"/>
  <c r="AS98" i="6"/>
  <c r="AT98" i="6"/>
  <c r="AU98" i="6"/>
  <c r="AV98" i="6"/>
  <c r="AW98" i="6"/>
  <c r="AX98" i="6"/>
  <c r="AY98" i="6"/>
  <c r="AZ98" i="6"/>
  <c r="BA98" i="6"/>
  <c r="BB98" i="6"/>
  <c r="BC98" i="6"/>
  <c r="BD98" i="6"/>
  <c r="BE98" i="6"/>
  <c r="BF98" i="6"/>
  <c r="BG98" i="6"/>
  <c r="F99" i="6"/>
  <c r="G99" i="6"/>
  <c r="H99" i="6"/>
  <c r="I99" i="6"/>
  <c r="L99" i="6"/>
  <c r="M99" i="6"/>
  <c r="N99" i="6"/>
  <c r="O99" i="6"/>
  <c r="P99" i="6"/>
  <c r="Q99" i="6"/>
  <c r="R99" i="6"/>
  <c r="S99" i="6"/>
  <c r="T99" i="6"/>
  <c r="U99" i="6"/>
  <c r="V99" i="6"/>
  <c r="W99" i="6"/>
  <c r="X99" i="6"/>
  <c r="Y99" i="6"/>
  <c r="Z99" i="6"/>
  <c r="AC99" i="6"/>
  <c r="AD99" i="6"/>
  <c r="AE99" i="6"/>
  <c r="AF99" i="6"/>
  <c r="AG99" i="6"/>
  <c r="AH99" i="6"/>
  <c r="AI99" i="6"/>
  <c r="AJ99" i="6"/>
  <c r="AK99" i="6"/>
  <c r="AL99" i="6"/>
  <c r="AN99" i="6"/>
  <c r="AO99" i="6"/>
  <c r="AP99" i="6"/>
  <c r="AQ99" i="6"/>
  <c r="AR99" i="6"/>
  <c r="AS99" i="6"/>
  <c r="AT99" i="6"/>
  <c r="AU99" i="6"/>
  <c r="AV99" i="6"/>
  <c r="AW99" i="6"/>
  <c r="AX99" i="6"/>
  <c r="AY99" i="6"/>
  <c r="AZ99" i="6"/>
  <c r="BA99" i="6"/>
  <c r="BB99" i="6"/>
  <c r="BC99" i="6"/>
  <c r="BD99" i="6"/>
  <c r="BE99" i="6"/>
  <c r="BF99" i="6"/>
  <c r="BG99" i="6"/>
  <c r="F100" i="6"/>
  <c r="G100" i="6"/>
  <c r="H100" i="6"/>
  <c r="I100" i="6"/>
  <c r="L100" i="6"/>
  <c r="M100" i="6"/>
  <c r="N100" i="6"/>
  <c r="O100" i="6"/>
  <c r="P100" i="6"/>
  <c r="Q100" i="6"/>
  <c r="R100" i="6"/>
  <c r="S100" i="6"/>
  <c r="T100" i="6"/>
  <c r="U100" i="6"/>
  <c r="V100" i="6"/>
  <c r="W100" i="6"/>
  <c r="X100" i="6"/>
  <c r="Y100" i="6"/>
  <c r="Z100" i="6"/>
  <c r="AC100" i="6"/>
  <c r="AD100" i="6"/>
  <c r="AE100" i="6"/>
  <c r="AF100" i="6"/>
  <c r="AG100" i="6"/>
  <c r="AH100" i="6"/>
  <c r="AI100" i="6"/>
  <c r="AJ100" i="6"/>
  <c r="AK100" i="6"/>
  <c r="AL100" i="6"/>
  <c r="AN100" i="6"/>
  <c r="AO100" i="6"/>
  <c r="AP100" i="6"/>
  <c r="AQ100" i="6"/>
  <c r="AR100" i="6"/>
  <c r="AS100" i="6"/>
  <c r="AT100" i="6"/>
  <c r="AU100" i="6"/>
  <c r="AV100" i="6"/>
  <c r="AW100" i="6"/>
  <c r="AX100" i="6"/>
  <c r="AY100" i="6"/>
  <c r="AZ100" i="6"/>
  <c r="BA100" i="6"/>
  <c r="BB100" i="6"/>
  <c r="BC100" i="6"/>
  <c r="BD100" i="6"/>
  <c r="BE100" i="6"/>
  <c r="BF100" i="6"/>
  <c r="BG100" i="6"/>
  <c r="F101" i="6"/>
  <c r="G101" i="6"/>
  <c r="H101" i="6"/>
  <c r="I101" i="6"/>
  <c r="L101" i="6"/>
  <c r="M101" i="6"/>
  <c r="N101" i="6"/>
  <c r="O101" i="6"/>
  <c r="P101" i="6"/>
  <c r="Q101" i="6"/>
  <c r="R101" i="6"/>
  <c r="S101" i="6"/>
  <c r="T101" i="6"/>
  <c r="U101" i="6"/>
  <c r="V101" i="6"/>
  <c r="W101" i="6"/>
  <c r="X101" i="6"/>
  <c r="Y101" i="6"/>
  <c r="Z101" i="6"/>
  <c r="AC101" i="6"/>
  <c r="AD101" i="6"/>
  <c r="AE101" i="6"/>
  <c r="AF101" i="6"/>
  <c r="AG101" i="6"/>
  <c r="AH101" i="6"/>
  <c r="AI101" i="6"/>
  <c r="AJ101" i="6"/>
  <c r="AK101" i="6"/>
  <c r="AL101" i="6"/>
  <c r="AN101" i="6"/>
  <c r="AO101" i="6"/>
  <c r="AP101" i="6"/>
  <c r="AQ101" i="6"/>
  <c r="AR101" i="6"/>
  <c r="AS101" i="6"/>
  <c r="AT101" i="6"/>
  <c r="AU101" i="6"/>
  <c r="AV101" i="6"/>
  <c r="AW101" i="6"/>
  <c r="AX101" i="6"/>
  <c r="AY101" i="6"/>
  <c r="AZ101" i="6"/>
  <c r="BA101" i="6"/>
  <c r="BB101" i="6"/>
  <c r="BC101" i="6"/>
  <c r="BD101" i="6"/>
  <c r="BE101" i="6"/>
  <c r="BF101" i="6"/>
  <c r="BG101" i="6"/>
  <c r="F102" i="6"/>
  <c r="G102" i="6"/>
  <c r="H102" i="6"/>
  <c r="I102" i="6"/>
  <c r="J102" i="6"/>
  <c r="L102" i="6"/>
  <c r="M102" i="6"/>
  <c r="N102" i="6"/>
  <c r="O102" i="6"/>
  <c r="P102" i="6"/>
  <c r="Q102" i="6"/>
  <c r="R102" i="6"/>
  <c r="S102" i="6"/>
  <c r="T102" i="6"/>
  <c r="U102" i="6"/>
  <c r="V102" i="6"/>
  <c r="W102" i="6"/>
  <c r="X102" i="6"/>
  <c r="Y102" i="6"/>
  <c r="Z102" i="6"/>
  <c r="AC102" i="6"/>
  <c r="AD102" i="6"/>
  <c r="AE102" i="6"/>
  <c r="AF102" i="6"/>
  <c r="AG102" i="6"/>
  <c r="AH102" i="6"/>
  <c r="AI102" i="6"/>
  <c r="AJ102" i="6"/>
  <c r="AK102" i="6"/>
  <c r="AL102" i="6"/>
  <c r="AN102" i="6"/>
  <c r="AO102" i="6"/>
  <c r="AP102" i="6"/>
  <c r="AQ102" i="6"/>
  <c r="AR102" i="6"/>
  <c r="AS102" i="6"/>
  <c r="AT102" i="6"/>
  <c r="AU102" i="6"/>
  <c r="AV102" i="6"/>
  <c r="AW102" i="6"/>
  <c r="AX102" i="6"/>
  <c r="AY102" i="6"/>
  <c r="AZ102" i="6"/>
  <c r="BA102" i="6"/>
  <c r="BB102" i="6"/>
  <c r="BC102" i="6"/>
  <c r="BD102" i="6"/>
  <c r="BE102" i="6"/>
  <c r="BF102" i="6"/>
  <c r="BG102" i="6"/>
  <c r="F103" i="6"/>
  <c r="G103" i="6"/>
  <c r="H103" i="6"/>
  <c r="I103" i="6"/>
  <c r="L103" i="6"/>
  <c r="M103" i="6"/>
  <c r="N103" i="6"/>
  <c r="O103" i="6"/>
  <c r="P103" i="6"/>
  <c r="Q103" i="6"/>
  <c r="R103" i="6"/>
  <c r="S103" i="6"/>
  <c r="T103" i="6"/>
  <c r="U103" i="6"/>
  <c r="V103" i="6"/>
  <c r="W103" i="6"/>
  <c r="X103" i="6"/>
  <c r="Y103" i="6"/>
  <c r="Z103" i="6"/>
  <c r="AC103" i="6"/>
  <c r="AD103" i="6"/>
  <c r="AE103" i="6"/>
  <c r="AF103" i="6"/>
  <c r="AG103" i="6"/>
  <c r="AH103" i="6"/>
  <c r="AI103" i="6"/>
  <c r="AJ103" i="6"/>
  <c r="AK103" i="6"/>
  <c r="AL103" i="6"/>
  <c r="AN103" i="6"/>
  <c r="AO103" i="6"/>
  <c r="AP103" i="6"/>
  <c r="AQ103" i="6"/>
  <c r="AR103" i="6"/>
  <c r="AS103" i="6"/>
  <c r="AT103" i="6"/>
  <c r="AU103" i="6"/>
  <c r="AV103" i="6"/>
  <c r="AW103" i="6"/>
  <c r="AX103" i="6"/>
  <c r="AY103" i="6"/>
  <c r="AZ103" i="6"/>
  <c r="BA103" i="6"/>
  <c r="BB103" i="6"/>
  <c r="BC103" i="6"/>
  <c r="BD103" i="6"/>
  <c r="BE103" i="6"/>
  <c r="BF103" i="6"/>
  <c r="BG103" i="6"/>
  <c r="F104" i="6"/>
  <c r="G104" i="6"/>
  <c r="H104" i="6"/>
  <c r="I104" i="6"/>
  <c r="L104" i="6"/>
  <c r="M104" i="6"/>
  <c r="N104" i="6"/>
  <c r="O104" i="6"/>
  <c r="P104" i="6"/>
  <c r="Q104" i="6"/>
  <c r="R104" i="6"/>
  <c r="S104" i="6"/>
  <c r="T104" i="6"/>
  <c r="U104" i="6"/>
  <c r="V104" i="6"/>
  <c r="W104" i="6"/>
  <c r="X104" i="6"/>
  <c r="Y104" i="6"/>
  <c r="Z104" i="6"/>
  <c r="AC104" i="6"/>
  <c r="AD104" i="6"/>
  <c r="AE104" i="6"/>
  <c r="AF104" i="6"/>
  <c r="AG104" i="6"/>
  <c r="AH104" i="6"/>
  <c r="AI104" i="6"/>
  <c r="AJ104" i="6"/>
  <c r="AK104" i="6"/>
  <c r="AL104" i="6"/>
  <c r="AN104" i="6"/>
  <c r="AO104" i="6"/>
  <c r="AP104" i="6"/>
  <c r="AQ104" i="6"/>
  <c r="AR104" i="6"/>
  <c r="AS104" i="6"/>
  <c r="AT104" i="6"/>
  <c r="AU104" i="6"/>
  <c r="AV104" i="6"/>
  <c r="AW104" i="6"/>
  <c r="AX104" i="6"/>
  <c r="AY104" i="6"/>
  <c r="AZ104" i="6"/>
  <c r="BA104" i="6"/>
  <c r="BB104" i="6"/>
  <c r="BC104" i="6"/>
  <c r="BD104" i="6"/>
  <c r="BE104" i="6"/>
  <c r="BF104" i="6"/>
  <c r="BG104" i="6"/>
  <c r="F105" i="6"/>
  <c r="G105" i="6"/>
  <c r="H105" i="6"/>
  <c r="I105" i="6"/>
  <c r="L105" i="6"/>
  <c r="M105" i="6"/>
  <c r="N105" i="6"/>
  <c r="O105" i="6"/>
  <c r="P105" i="6"/>
  <c r="Q105" i="6"/>
  <c r="R105" i="6"/>
  <c r="S105" i="6"/>
  <c r="T105" i="6"/>
  <c r="U105" i="6"/>
  <c r="V105" i="6"/>
  <c r="W105" i="6"/>
  <c r="X105" i="6"/>
  <c r="Y105" i="6"/>
  <c r="Z105" i="6"/>
  <c r="AC105" i="6"/>
  <c r="AD105" i="6"/>
  <c r="AE105" i="6"/>
  <c r="AF105" i="6"/>
  <c r="AG105" i="6"/>
  <c r="AH105" i="6"/>
  <c r="AI105" i="6"/>
  <c r="AJ105" i="6"/>
  <c r="AK105" i="6"/>
  <c r="AL105" i="6"/>
  <c r="AN105" i="6"/>
  <c r="AO105" i="6"/>
  <c r="AP105" i="6"/>
  <c r="AQ105" i="6"/>
  <c r="AR105" i="6"/>
  <c r="AS105" i="6"/>
  <c r="AT105" i="6"/>
  <c r="AU105" i="6"/>
  <c r="AV105" i="6"/>
  <c r="AW105" i="6"/>
  <c r="AX105" i="6"/>
  <c r="AY105" i="6"/>
  <c r="AZ105" i="6"/>
  <c r="BA105" i="6"/>
  <c r="BB105" i="6"/>
  <c r="BC105" i="6"/>
  <c r="BD105" i="6"/>
  <c r="BE105" i="6"/>
  <c r="BF105" i="6"/>
  <c r="BG105" i="6"/>
  <c r="F106" i="6"/>
  <c r="G106" i="6"/>
  <c r="H106" i="6"/>
  <c r="I106" i="6"/>
  <c r="L106" i="6"/>
  <c r="M106" i="6"/>
  <c r="N106" i="6"/>
  <c r="O106" i="6"/>
  <c r="P106" i="6"/>
  <c r="Q106" i="6"/>
  <c r="R106" i="6"/>
  <c r="S106" i="6"/>
  <c r="T106" i="6"/>
  <c r="U106" i="6"/>
  <c r="V106" i="6"/>
  <c r="W106" i="6"/>
  <c r="X106" i="6"/>
  <c r="Y106" i="6"/>
  <c r="Z106" i="6"/>
  <c r="AC106" i="6"/>
  <c r="AD106" i="6"/>
  <c r="AE106" i="6"/>
  <c r="AF106" i="6"/>
  <c r="AG106" i="6"/>
  <c r="AH106" i="6"/>
  <c r="AI106" i="6"/>
  <c r="AJ106" i="6"/>
  <c r="AK106" i="6"/>
  <c r="AL106" i="6"/>
  <c r="AN106" i="6"/>
  <c r="AO106" i="6"/>
  <c r="AP106" i="6"/>
  <c r="AQ106" i="6"/>
  <c r="AR106" i="6"/>
  <c r="AS106" i="6"/>
  <c r="AT106" i="6"/>
  <c r="AU106" i="6"/>
  <c r="AV106" i="6"/>
  <c r="AW106" i="6"/>
  <c r="AX106" i="6"/>
  <c r="AY106" i="6"/>
  <c r="AZ106" i="6"/>
  <c r="BA106" i="6"/>
  <c r="BB106" i="6"/>
  <c r="BC106" i="6"/>
  <c r="BD106" i="6"/>
  <c r="BE106" i="6"/>
  <c r="BF106" i="6"/>
  <c r="BG106" i="6"/>
  <c r="F107" i="6"/>
  <c r="G107" i="6"/>
  <c r="H107" i="6"/>
  <c r="I107" i="6"/>
  <c r="L107" i="6"/>
  <c r="M107" i="6"/>
  <c r="N107" i="6"/>
  <c r="O107" i="6"/>
  <c r="P107" i="6"/>
  <c r="Q107" i="6"/>
  <c r="R107" i="6"/>
  <c r="S107" i="6"/>
  <c r="T107" i="6"/>
  <c r="U107" i="6"/>
  <c r="V107" i="6"/>
  <c r="W107" i="6"/>
  <c r="X107" i="6"/>
  <c r="Y107" i="6"/>
  <c r="Z107" i="6"/>
  <c r="AC107" i="6"/>
  <c r="AD107" i="6"/>
  <c r="AE107" i="6"/>
  <c r="AF107" i="6"/>
  <c r="AG107" i="6"/>
  <c r="AH107" i="6"/>
  <c r="AI107" i="6"/>
  <c r="AJ107" i="6"/>
  <c r="AK107" i="6"/>
  <c r="AL107" i="6"/>
  <c r="AN107" i="6"/>
  <c r="AO107" i="6"/>
  <c r="AP107" i="6"/>
  <c r="AQ107" i="6"/>
  <c r="AR107" i="6"/>
  <c r="AS107" i="6"/>
  <c r="AT107" i="6"/>
  <c r="AU107" i="6"/>
  <c r="AV107" i="6"/>
  <c r="AW107" i="6"/>
  <c r="AX107" i="6"/>
  <c r="AY107" i="6"/>
  <c r="AZ107" i="6"/>
  <c r="BA107" i="6"/>
  <c r="BB107" i="6"/>
  <c r="BC107" i="6"/>
  <c r="BD107" i="6"/>
  <c r="BE107" i="6"/>
  <c r="BF107" i="6"/>
  <c r="BG107" i="6"/>
  <c r="F108" i="6"/>
  <c r="G108" i="6"/>
  <c r="H108" i="6"/>
  <c r="I108" i="6"/>
  <c r="L108" i="6"/>
  <c r="M108" i="6"/>
  <c r="N108" i="6"/>
  <c r="O108" i="6"/>
  <c r="P108" i="6"/>
  <c r="Q108" i="6"/>
  <c r="R108" i="6"/>
  <c r="S108" i="6"/>
  <c r="T108" i="6"/>
  <c r="U108" i="6"/>
  <c r="V108" i="6"/>
  <c r="W108" i="6"/>
  <c r="X108" i="6"/>
  <c r="Y108" i="6"/>
  <c r="Z108" i="6"/>
  <c r="AC108" i="6"/>
  <c r="AD108" i="6"/>
  <c r="AE108" i="6"/>
  <c r="AF108" i="6"/>
  <c r="AG108" i="6"/>
  <c r="AH108" i="6"/>
  <c r="AI108" i="6"/>
  <c r="AJ108" i="6"/>
  <c r="AK108" i="6"/>
  <c r="AL108" i="6"/>
  <c r="AN108" i="6"/>
  <c r="AO108" i="6"/>
  <c r="AP108" i="6"/>
  <c r="AQ108" i="6"/>
  <c r="AR108" i="6"/>
  <c r="AS108" i="6"/>
  <c r="AT108" i="6"/>
  <c r="AU108" i="6"/>
  <c r="AV108" i="6"/>
  <c r="AW108" i="6"/>
  <c r="AX108" i="6"/>
  <c r="AY108" i="6"/>
  <c r="AZ108" i="6"/>
  <c r="BA108" i="6"/>
  <c r="BB108" i="6"/>
  <c r="BC108" i="6"/>
  <c r="BD108" i="6"/>
  <c r="BE108" i="6"/>
  <c r="BF108" i="6"/>
  <c r="BG108" i="6"/>
  <c r="F109" i="6"/>
  <c r="G109" i="6"/>
  <c r="H109" i="6"/>
  <c r="I109" i="6"/>
  <c r="L109" i="6"/>
  <c r="M109" i="6"/>
  <c r="N109" i="6"/>
  <c r="O109" i="6"/>
  <c r="P109" i="6"/>
  <c r="Q109" i="6"/>
  <c r="R109" i="6"/>
  <c r="S109" i="6"/>
  <c r="T109" i="6"/>
  <c r="U109" i="6"/>
  <c r="V109" i="6"/>
  <c r="W109" i="6"/>
  <c r="X109" i="6"/>
  <c r="Y109" i="6"/>
  <c r="Z109" i="6"/>
  <c r="AC109" i="6"/>
  <c r="AD109" i="6"/>
  <c r="AE109" i="6"/>
  <c r="AF109" i="6"/>
  <c r="AG109" i="6"/>
  <c r="AH109" i="6"/>
  <c r="AI109" i="6"/>
  <c r="AJ109" i="6"/>
  <c r="AK109" i="6"/>
  <c r="AL109" i="6"/>
  <c r="AN109" i="6"/>
  <c r="AO109" i="6"/>
  <c r="AP109" i="6"/>
  <c r="AQ109" i="6"/>
  <c r="AR109" i="6"/>
  <c r="AS109" i="6"/>
  <c r="AT109" i="6"/>
  <c r="AU109" i="6"/>
  <c r="AV109" i="6"/>
  <c r="AW109" i="6"/>
  <c r="AX109" i="6"/>
  <c r="AY109" i="6"/>
  <c r="AZ109" i="6"/>
  <c r="BA109" i="6"/>
  <c r="BB109" i="6"/>
  <c r="BC109" i="6"/>
  <c r="BD109" i="6"/>
  <c r="BE109" i="6"/>
  <c r="BF109" i="6"/>
  <c r="BG109" i="6"/>
  <c r="F110" i="6"/>
  <c r="G110" i="6"/>
  <c r="H110" i="6"/>
  <c r="I110" i="6"/>
  <c r="L110" i="6"/>
  <c r="M110" i="6"/>
  <c r="N110" i="6"/>
  <c r="O110" i="6"/>
  <c r="P110" i="6"/>
  <c r="Q110" i="6"/>
  <c r="R110" i="6"/>
  <c r="S110" i="6"/>
  <c r="T110" i="6"/>
  <c r="U110" i="6"/>
  <c r="V110" i="6"/>
  <c r="W110" i="6"/>
  <c r="X110" i="6"/>
  <c r="Y110" i="6"/>
  <c r="Z110" i="6"/>
  <c r="AC110" i="6"/>
  <c r="AD110" i="6"/>
  <c r="AE110" i="6"/>
  <c r="AF110" i="6"/>
  <c r="AG110" i="6"/>
  <c r="AH110" i="6"/>
  <c r="AI110" i="6"/>
  <c r="AJ110" i="6"/>
  <c r="AK110" i="6"/>
  <c r="AL110" i="6"/>
  <c r="AN110" i="6"/>
  <c r="AO110" i="6"/>
  <c r="AP110" i="6"/>
  <c r="AQ110" i="6"/>
  <c r="AR110" i="6"/>
  <c r="AS110" i="6"/>
  <c r="AT110" i="6"/>
  <c r="AU110" i="6"/>
  <c r="AV110" i="6"/>
  <c r="AW110" i="6"/>
  <c r="AX110" i="6"/>
  <c r="AY110" i="6"/>
  <c r="AZ110" i="6"/>
  <c r="BA110" i="6"/>
  <c r="BB110" i="6"/>
  <c r="BC110" i="6"/>
  <c r="BD110" i="6"/>
  <c r="BE110" i="6"/>
  <c r="BF110" i="6"/>
  <c r="BG110" i="6"/>
  <c r="F111" i="6"/>
  <c r="G111" i="6"/>
  <c r="H111" i="6"/>
  <c r="I111" i="6"/>
  <c r="L111" i="6"/>
  <c r="M111" i="6"/>
  <c r="N111" i="6"/>
  <c r="O111" i="6"/>
  <c r="P111" i="6"/>
  <c r="Q111" i="6"/>
  <c r="R111" i="6"/>
  <c r="S111" i="6"/>
  <c r="T111" i="6"/>
  <c r="U111" i="6"/>
  <c r="V111" i="6"/>
  <c r="W111" i="6"/>
  <c r="X111" i="6"/>
  <c r="Y111" i="6"/>
  <c r="Z111" i="6"/>
  <c r="AC111" i="6"/>
  <c r="AD111" i="6"/>
  <c r="AE111" i="6"/>
  <c r="AF111" i="6"/>
  <c r="AG111" i="6"/>
  <c r="AH111" i="6"/>
  <c r="AI111" i="6"/>
  <c r="AJ111" i="6"/>
  <c r="AK111" i="6"/>
  <c r="AL111" i="6"/>
  <c r="AN111" i="6"/>
  <c r="AO111" i="6"/>
  <c r="AP111" i="6"/>
  <c r="AQ111" i="6"/>
  <c r="AR111" i="6"/>
  <c r="AS111" i="6"/>
  <c r="AT111" i="6"/>
  <c r="AU111" i="6"/>
  <c r="AV111" i="6"/>
  <c r="AW111" i="6"/>
  <c r="AX111" i="6"/>
  <c r="AY111" i="6"/>
  <c r="AZ111" i="6"/>
  <c r="BA111" i="6"/>
  <c r="BB111" i="6"/>
  <c r="BC111" i="6"/>
  <c r="BD111" i="6"/>
  <c r="BE111" i="6"/>
  <c r="BF111" i="6"/>
  <c r="BG111" i="6"/>
  <c r="F112" i="6"/>
  <c r="G112" i="6"/>
  <c r="H112" i="6"/>
  <c r="I112" i="6"/>
  <c r="L112" i="6"/>
  <c r="M112" i="6"/>
  <c r="N112" i="6"/>
  <c r="O112" i="6"/>
  <c r="P112" i="6"/>
  <c r="Q112" i="6"/>
  <c r="R112" i="6"/>
  <c r="S112" i="6"/>
  <c r="T112" i="6"/>
  <c r="U112" i="6"/>
  <c r="V112" i="6"/>
  <c r="W112" i="6"/>
  <c r="X112" i="6"/>
  <c r="Y112" i="6"/>
  <c r="Z112" i="6"/>
  <c r="AC112" i="6"/>
  <c r="AD112" i="6"/>
  <c r="AE112" i="6"/>
  <c r="AF112" i="6"/>
  <c r="AG112" i="6"/>
  <c r="AH112" i="6"/>
  <c r="AI112" i="6"/>
  <c r="AJ112" i="6"/>
  <c r="AK112" i="6"/>
  <c r="AL112" i="6"/>
  <c r="AN112" i="6"/>
  <c r="AO112" i="6"/>
  <c r="AP112" i="6"/>
  <c r="AQ112" i="6"/>
  <c r="AR112" i="6"/>
  <c r="AS112" i="6"/>
  <c r="AT112" i="6"/>
  <c r="AU112" i="6"/>
  <c r="AV112" i="6"/>
  <c r="AW112" i="6"/>
  <c r="AX112" i="6"/>
  <c r="AY112" i="6"/>
  <c r="AZ112" i="6"/>
  <c r="BA112" i="6"/>
  <c r="BB112" i="6"/>
  <c r="BC112" i="6"/>
  <c r="BD112" i="6"/>
  <c r="BE112" i="6"/>
  <c r="BF112" i="6"/>
  <c r="BG112" i="6"/>
  <c r="F113" i="6"/>
  <c r="G113" i="6"/>
  <c r="H113" i="6"/>
  <c r="I113" i="6"/>
  <c r="L113" i="6"/>
  <c r="M113" i="6"/>
  <c r="N113" i="6"/>
  <c r="O113" i="6"/>
  <c r="P113" i="6"/>
  <c r="Q113" i="6"/>
  <c r="R113" i="6"/>
  <c r="S113" i="6"/>
  <c r="T113" i="6"/>
  <c r="U113" i="6"/>
  <c r="V113" i="6"/>
  <c r="W113" i="6"/>
  <c r="X113" i="6"/>
  <c r="Y113" i="6"/>
  <c r="Z113" i="6"/>
  <c r="AC113" i="6"/>
  <c r="AD113" i="6"/>
  <c r="AE113" i="6"/>
  <c r="AF113" i="6"/>
  <c r="AG113" i="6"/>
  <c r="AH113" i="6"/>
  <c r="AI113" i="6"/>
  <c r="AJ113" i="6"/>
  <c r="AK113" i="6"/>
  <c r="AL113" i="6"/>
  <c r="AN113" i="6"/>
  <c r="AO113" i="6"/>
  <c r="AP113" i="6"/>
  <c r="AQ113" i="6"/>
  <c r="AR113" i="6"/>
  <c r="AS113" i="6"/>
  <c r="AT113" i="6"/>
  <c r="AU113" i="6"/>
  <c r="AV113" i="6"/>
  <c r="AW113" i="6"/>
  <c r="AX113" i="6"/>
  <c r="AY113" i="6"/>
  <c r="AZ113" i="6"/>
  <c r="BA113" i="6"/>
  <c r="BB113" i="6"/>
  <c r="BC113" i="6"/>
  <c r="BD113" i="6"/>
  <c r="BE113" i="6"/>
  <c r="BF113" i="6"/>
  <c r="BG113" i="6"/>
  <c r="F114" i="6"/>
  <c r="G114" i="6"/>
  <c r="H114" i="6"/>
  <c r="I114" i="6"/>
  <c r="L114" i="6"/>
  <c r="M114" i="6"/>
  <c r="N114" i="6"/>
  <c r="O114" i="6"/>
  <c r="P114" i="6"/>
  <c r="Q114" i="6"/>
  <c r="R114" i="6"/>
  <c r="S114" i="6"/>
  <c r="T114" i="6"/>
  <c r="U114" i="6"/>
  <c r="V114" i="6"/>
  <c r="W114" i="6"/>
  <c r="X114" i="6"/>
  <c r="Y114" i="6"/>
  <c r="Z114" i="6"/>
  <c r="AC114" i="6"/>
  <c r="AD114" i="6"/>
  <c r="AE114" i="6"/>
  <c r="AF114" i="6"/>
  <c r="AG114" i="6"/>
  <c r="AH114" i="6"/>
  <c r="AI114" i="6"/>
  <c r="AJ114" i="6"/>
  <c r="AK114" i="6"/>
  <c r="AL114" i="6"/>
  <c r="AN114" i="6"/>
  <c r="AO114" i="6"/>
  <c r="AP114" i="6"/>
  <c r="AQ114" i="6"/>
  <c r="AR114" i="6"/>
  <c r="AS114" i="6"/>
  <c r="AT114" i="6"/>
  <c r="AU114" i="6"/>
  <c r="AV114" i="6"/>
  <c r="AW114" i="6"/>
  <c r="AX114" i="6"/>
  <c r="AY114" i="6"/>
  <c r="AZ114" i="6"/>
  <c r="BA114" i="6"/>
  <c r="BB114" i="6"/>
  <c r="BC114" i="6"/>
  <c r="BD114" i="6"/>
  <c r="BE114" i="6"/>
  <c r="BF114" i="6"/>
  <c r="BG114" i="6"/>
  <c r="F115" i="6"/>
  <c r="G115" i="6"/>
  <c r="H115" i="6"/>
  <c r="I115" i="6"/>
  <c r="L115" i="6"/>
  <c r="M115" i="6"/>
  <c r="N115" i="6"/>
  <c r="O115" i="6"/>
  <c r="P115" i="6"/>
  <c r="Q115" i="6"/>
  <c r="R115" i="6"/>
  <c r="S115" i="6"/>
  <c r="T115" i="6"/>
  <c r="U115" i="6"/>
  <c r="V115" i="6"/>
  <c r="W115" i="6"/>
  <c r="X115" i="6"/>
  <c r="Y115" i="6"/>
  <c r="Z115" i="6"/>
  <c r="AC115" i="6"/>
  <c r="AD115" i="6"/>
  <c r="AE115" i="6"/>
  <c r="AF115" i="6"/>
  <c r="AG115" i="6"/>
  <c r="AH115" i="6"/>
  <c r="AI115" i="6"/>
  <c r="AJ115" i="6"/>
  <c r="AK115" i="6"/>
  <c r="AL115" i="6"/>
  <c r="AN115" i="6"/>
  <c r="AO115" i="6"/>
  <c r="AP115" i="6"/>
  <c r="AQ115" i="6"/>
  <c r="AR115" i="6"/>
  <c r="AS115" i="6"/>
  <c r="AT115" i="6"/>
  <c r="AU115" i="6"/>
  <c r="AV115" i="6"/>
  <c r="AW115" i="6"/>
  <c r="AX115" i="6"/>
  <c r="AY115" i="6"/>
  <c r="AZ115" i="6"/>
  <c r="BA115" i="6"/>
  <c r="BB115" i="6"/>
  <c r="BC115" i="6"/>
  <c r="BD115" i="6"/>
  <c r="BE115" i="6"/>
  <c r="BF115" i="6"/>
  <c r="BG115" i="6"/>
  <c r="F116" i="6"/>
  <c r="G116" i="6"/>
  <c r="H116" i="6"/>
  <c r="I116" i="6"/>
  <c r="L116" i="6"/>
  <c r="M116" i="6"/>
  <c r="N116" i="6"/>
  <c r="O116" i="6"/>
  <c r="P116" i="6"/>
  <c r="Q116" i="6"/>
  <c r="R116" i="6"/>
  <c r="S116" i="6"/>
  <c r="T116" i="6"/>
  <c r="U116" i="6"/>
  <c r="V116" i="6"/>
  <c r="W116" i="6"/>
  <c r="X116" i="6"/>
  <c r="Y116" i="6"/>
  <c r="Z116" i="6"/>
  <c r="AC116" i="6"/>
  <c r="AD116" i="6"/>
  <c r="AE116" i="6"/>
  <c r="AF116" i="6"/>
  <c r="AG116" i="6"/>
  <c r="AH116" i="6"/>
  <c r="AI116" i="6"/>
  <c r="AJ116" i="6"/>
  <c r="AK116" i="6"/>
  <c r="AL116" i="6"/>
  <c r="AN116" i="6"/>
  <c r="AO116" i="6"/>
  <c r="AP116" i="6"/>
  <c r="AQ116" i="6"/>
  <c r="AR116" i="6"/>
  <c r="AS116" i="6"/>
  <c r="AT116" i="6"/>
  <c r="AU116" i="6"/>
  <c r="AV116" i="6"/>
  <c r="AW116" i="6"/>
  <c r="AX116" i="6"/>
  <c r="AY116" i="6"/>
  <c r="AZ116" i="6"/>
  <c r="BA116" i="6"/>
  <c r="BB116" i="6"/>
  <c r="BC116" i="6"/>
  <c r="BD116" i="6"/>
  <c r="BE116" i="6"/>
  <c r="BF116" i="6"/>
  <c r="BG116" i="6"/>
  <c r="F117" i="6"/>
  <c r="G117" i="6"/>
  <c r="H117" i="6"/>
  <c r="I117" i="6"/>
  <c r="L117" i="6"/>
  <c r="M117" i="6"/>
  <c r="N117" i="6"/>
  <c r="O117" i="6"/>
  <c r="P117" i="6"/>
  <c r="Q117" i="6"/>
  <c r="R117" i="6"/>
  <c r="S117" i="6"/>
  <c r="T117" i="6"/>
  <c r="U117" i="6"/>
  <c r="V117" i="6"/>
  <c r="W117" i="6"/>
  <c r="X117" i="6"/>
  <c r="Y117" i="6"/>
  <c r="Z117" i="6"/>
  <c r="AC117" i="6"/>
  <c r="AD117" i="6"/>
  <c r="AE117" i="6"/>
  <c r="AF117" i="6"/>
  <c r="AG117" i="6"/>
  <c r="AH117" i="6"/>
  <c r="AI117" i="6"/>
  <c r="AJ117" i="6"/>
  <c r="AK117" i="6"/>
  <c r="AL117" i="6"/>
  <c r="AN117" i="6"/>
  <c r="AO117" i="6"/>
  <c r="AP117" i="6"/>
  <c r="AQ117" i="6"/>
  <c r="AR117" i="6"/>
  <c r="AS117" i="6"/>
  <c r="AT117" i="6"/>
  <c r="AU117" i="6"/>
  <c r="AV117" i="6"/>
  <c r="AW117" i="6"/>
  <c r="AX117" i="6"/>
  <c r="AY117" i="6"/>
  <c r="AZ117" i="6"/>
  <c r="BA117" i="6"/>
  <c r="BB117" i="6"/>
  <c r="BC117" i="6"/>
  <c r="BD117" i="6"/>
  <c r="BE117" i="6"/>
  <c r="BF117" i="6"/>
  <c r="BG117" i="6"/>
  <c r="F118" i="6"/>
  <c r="G118" i="6"/>
  <c r="H118" i="6"/>
  <c r="I118" i="6"/>
  <c r="L118" i="6"/>
  <c r="M118" i="6"/>
  <c r="N118" i="6"/>
  <c r="O118" i="6"/>
  <c r="P118" i="6"/>
  <c r="Q118" i="6"/>
  <c r="R118" i="6"/>
  <c r="S118" i="6"/>
  <c r="T118" i="6"/>
  <c r="U118" i="6"/>
  <c r="V118" i="6"/>
  <c r="W118" i="6"/>
  <c r="X118" i="6"/>
  <c r="Y118" i="6"/>
  <c r="Z118" i="6"/>
  <c r="AC118" i="6"/>
  <c r="AD118" i="6"/>
  <c r="AE118" i="6"/>
  <c r="AF118" i="6"/>
  <c r="AG118" i="6"/>
  <c r="AH118" i="6"/>
  <c r="AI118" i="6"/>
  <c r="AJ118" i="6"/>
  <c r="AK118" i="6"/>
  <c r="AL118" i="6"/>
  <c r="AN118" i="6"/>
  <c r="AO118" i="6"/>
  <c r="AP118" i="6"/>
  <c r="AQ118" i="6"/>
  <c r="AR118" i="6"/>
  <c r="AS118" i="6"/>
  <c r="AT118" i="6"/>
  <c r="AU118" i="6"/>
  <c r="AV118" i="6"/>
  <c r="AW118" i="6"/>
  <c r="AX118" i="6"/>
  <c r="AY118" i="6"/>
  <c r="AZ118" i="6"/>
  <c r="BA118" i="6"/>
  <c r="BB118" i="6"/>
  <c r="BC118" i="6"/>
  <c r="BD118" i="6"/>
  <c r="BE118" i="6"/>
  <c r="BF118" i="6"/>
  <c r="BG118" i="6"/>
  <c r="F119" i="6"/>
  <c r="G119" i="6"/>
  <c r="H119" i="6"/>
  <c r="I119" i="6"/>
  <c r="L119" i="6"/>
  <c r="M119" i="6"/>
  <c r="N119" i="6"/>
  <c r="O119" i="6"/>
  <c r="P119" i="6"/>
  <c r="Q119" i="6"/>
  <c r="R119" i="6"/>
  <c r="S119" i="6"/>
  <c r="T119" i="6"/>
  <c r="U119" i="6"/>
  <c r="V119" i="6"/>
  <c r="W119" i="6"/>
  <c r="X119" i="6"/>
  <c r="Y119" i="6"/>
  <c r="Z119" i="6"/>
  <c r="AC119" i="6"/>
  <c r="AD119" i="6"/>
  <c r="AE119" i="6"/>
  <c r="AF119" i="6"/>
  <c r="AG119" i="6"/>
  <c r="AH119" i="6"/>
  <c r="AI119" i="6"/>
  <c r="AJ119" i="6"/>
  <c r="AK119" i="6"/>
  <c r="AL119" i="6"/>
  <c r="AN119" i="6"/>
  <c r="AO119" i="6"/>
  <c r="AP119" i="6"/>
  <c r="AQ119" i="6"/>
  <c r="AR119" i="6"/>
  <c r="AS119" i="6"/>
  <c r="AT119" i="6"/>
  <c r="AU119" i="6"/>
  <c r="AV119" i="6"/>
  <c r="AW119" i="6"/>
  <c r="AX119" i="6"/>
  <c r="AY119" i="6"/>
  <c r="AZ119" i="6"/>
  <c r="BA119" i="6"/>
  <c r="BB119" i="6"/>
  <c r="BC119" i="6"/>
  <c r="BD119" i="6"/>
  <c r="BE119" i="6"/>
  <c r="BF119" i="6"/>
  <c r="BG119" i="6"/>
  <c r="F120" i="6"/>
  <c r="G120" i="6"/>
  <c r="H120" i="6"/>
  <c r="I120" i="6"/>
  <c r="L120" i="6"/>
  <c r="M120" i="6"/>
  <c r="N120" i="6"/>
  <c r="O120" i="6"/>
  <c r="P120" i="6"/>
  <c r="Q120" i="6"/>
  <c r="R120" i="6"/>
  <c r="S120" i="6"/>
  <c r="T120" i="6"/>
  <c r="U120" i="6"/>
  <c r="V120" i="6"/>
  <c r="W120" i="6"/>
  <c r="X120" i="6"/>
  <c r="Y120" i="6"/>
  <c r="Z120" i="6"/>
  <c r="AC120" i="6"/>
  <c r="AD120" i="6"/>
  <c r="AE120" i="6"/>
  <c r="AF120" i="6"/>
  <c r="AG120" i="6"/>
  <c r="AH120" i="6"/>
  <c r="AI120" i="6"/>
  <c r="AJ120" i="6"/>
  <c r="AK120" i="6"/>
  <c r="AL120" i="6"/>
  <c r="AN120" i="6"/>
  <c r="AO120" i="6"/>
  <c r="AP120" i="6"/>
  <c r="AQ120" i="6"/>
  <c r="AR120" i="6"/>
  <c r="AS120" i="6"/>
  <c r="AT120" i="6"/>
  <c r="AU120" i="6"/>
  <c r="AV120" i="6"/>
  <c r="AW120" i="6"/>
  <c r="AX120" i="6"/>
  <c r="AY120" i="6"/>
  <c r="AZ120" i="6"/>
  <c r="BA120" i="6"/>
  <c r="BB120" i="6"/>
  <c r="BC120" i="6"/>
  <c r="BD120" i="6"/>
  <c r="BE120" i="6"/>
  <c r="BF120" i="6"/>
  <c r="BG120" i="6"/>
  <c r="F121" i="6"/>
  <c r="G121" i="6"/>
  <c r="H121" i="6"/>
  <c r="I121" i="6"/>
  <c r="L121" i="6"/>
  <c r="M121" i="6"/>
  <c r="N121" i="6"/>
  <c r="O121" i="6"/>
  <c r="P121" i="6"/>
  <c r="Q121" i="6"/>
  <c r="R121" i="6"/>
  <c r="S121" i="6"/>
  <c r="T121" i="6"/>
  <c r="U121" i="6"/>
  <c r="V121" i="6"/>
  <c r="W121" i="6"/>
  <c r="X121" i="6"/>
  <c r="Y121" i="6"/>
  <c r="Z121" i="6"/>
  <c r="AC121" i="6"/>
  <c r="AD121" i="6"/>
  <c r="AE121" i="6"/>
  <c r="AF121" i="6"/>
  <c r="AG121" i="6"/>
  <c r="AH121" i="6"/>
  <c r="AI121" i="6"/>
  <c r="AJ121" i="6"/>
  <c r="AK121" i="6"/>
  <c r="AL121" i="6"/>
  <c r="AN121" i="6"/>
  <c r="AO121" i="6"/>
  <c r="AP121" i="6"/>
  <c r="AQ121" i="6"/>
  <c r="AR121" i="6"/>
  <c r="AS121" i="6"/>
  <c r="AT121" i="6"/>
  <c r="AU121" i="6"/>
  <c r="AV121" i="6"/>
  <c r="AW121" i="6"/>
  <c r="AX121" i="6"/>
  <c r="AY121" i="6"/>
  <c r="AZ121" i="6"/>
  <c r="BA121" i="6"/>
  <c r="BB121" i="6"/>
  <c r="BC121" i="6"/>
  <c r="BD121" i="6"/>
  <c r="BE121" i="6"/>
  <c r="BF121" i="6"/>
  <c r="BG121" i="6"/>
  <c r="F122" i="6"/>
  <c r="G122" i="6"/>
  <c r="H122" i="6"/>
  <c r="I122" i="6"/>
  <c r="L122" i="6"/>
  <c r="M122" i="6"/>
  <c r="N122" i="6"/>
  <c r="O122" i="6"/>
  <c r="P122" i="6"/>
  <c r="Q122" i="6"/>
  <c r="R122" i="6"/>
  <c r="S122" i="6"/>
  <c r="T122" i="6"/>
  <c r="U122" i="6"/>
  <c r="V122" i="6"/>
  <c r="W122" i="6"/>
  <c r="X122" i="6"/>
  <c r="Y122" i="6"/>
  <c r="Z122" i="6"/>
  <c r="AC122" i="6"/>
  <c r="AD122" i="6"/>
  <c r="AE122" i="6"/>
  <c r="AF122" i="6"/>
  <c r="AG122" i="6"/>
  <c r="AH122" i="6"/>
  <c r="AI122" i="6"/>
  <c r="AJ122" i="6"/>
  <c r="AK122" i="6"/>
  <c r="AL122" i="6"/>
  <c r="AN122" i="6"/>
  <c r="AO122" i="6"/>
  <c r="AP122" i="6"/>
  <c r="AQ122" i="6"/>
  <c r="AR122" i="6"/>
  <c r="AS122" i="6"/>
  <c r="AT122" i="6"/>
  <c r="AU122" i="6"/>
  <c r="AV122" i="6"/>
  <c r="AW122" i="6"/>
  <c r="AX122" i="6"/>
  <c r="AY122" i="6"/>
  <c r="AZ122" i="6"/>
  <c r="BA122" i="6"/>
  <c r="BB122" i="6"/>
  <c r="BC122" i="6"/>
  <c r="BD122" i="6"/>
  <c r="BE122" i="6"/>
  <c r="BF122" i="6"/>
  <c r="BG122" i="6"/>
  <c r="F123" i="6"/>
  <c r="G123" i="6"/>
  <c r="H123" i="6"/>
  <c r="I123" i="6"/>
  <c r="L123" i="6"/>
  <c r="M123" i="6"/>
  <c r="N123" i="6"/>
  <c r="O123" i="6"/>
  <c r="P123" i="6"/>
  <c r="Q123" i="6"/>
  <c r="R123" i="6"/>
  <c r="S123" i="6"/>
  <c r="T123" i="6"/>
  <c r="U123" i="6"/>
  <c r="V123" i="6"/>
  <c r="W123" i="6"/>
  <c r="X123" i="6"/>
  <c r="Y123" i="6"/>
  <c r="Z123" i="6"/>
  <c r="AC123" i="6"/>
  <c r="AD123" i="6"/>
  <c r="AE123" i="6"/>
  <c r="AF123" i="6"/>
  <c r="AG123" i="6"/>
  <c r="AH123" i="6"/>
  <c r="AI123" i="6"/>
  <c r="AJ123" i="6"/>
  <c r="AK123" i="6"/>
  <c r="AL123" i="6"/>
  <c r="AN123" i="6"/>
  <c r="AO123" i="6"/>
  <c r="AP123" i="6"/>
  <c r="AQ123" i="6"/>
  <c r="AR123" i="6"/>
  <c r="AS123" i="6"/>
  <c r="AT123" i="6"/>
  <c r="AU123" i="6"/>
  <c r="AV123" i="6"/>
  <c r="AW123" i="6"/>
  <c r="AX123" i="6"/>
  <c r="AY123" i="6"/>
  <c r="AZ123" i="6"/>
  <c r="BA123" i="6"/>
  <c r="BB123" i="6"/>
  <c r="BC123" i="6"/>
  <c r="BD123" i="6"/>
  <c r="BE123" i="6"/>
  <c r="BF123" i="6"/>
  <c r="BG123" i="6"/>
  <c r="F124" i="6"/>
  <c r="G124" i="6"/>
  <c r="H124" i="6"/>
  <c r="I124" i="6"/>
  <c r="L124" i="6"/>
  <c r="M124" i="6"/>
  <c r="N124" i="6"/>
  <c r="O124" i="6"/>
  <c r="P124" i="6"/>
  <c r="Q124" i="6"/>
  <c r="R124" i="6"/>
  <c r="S124" i="6"/>
  <c r="T124" i="6"/>
  <c r="U124" i="6"/>
  <c r="V124" i="6"/>
  <c r="W124" i="6"/>
  <c r="X124" i="6"/>
  <c r="Y124" i="6"/>
  <c r="Z124" i="6"/>
  <c r="AC124" i="6"/>
  <c r="AD124" i="6"/>
  <c r="AE124" i="6"/>
  <c r="AF124" i="6"/>
  <c r="AG124" i="6"/>
  <c r="AH124" i="6"/>
  <c r="AI124" i="6"/>
  <c r="AJ124" i="6"/>
  <c r="AK124" i="6"/>
  <c r="AL124" i="6"/>
  <c r="AN124" i="6"/>
  <c r="AO124" i="6"/>
  <c r="AP124" i="6"/>
  <c r="AQ124" i="6"/>
  <c r="AR124" i="6"/>
  <c r="AS124" i="6"/>
  <c r="AT124" i="6"/>
  <c r="AU124" i="6"/>
  <c r="AV124" i="6"/>
  <c r="AW124" i="6"/>
  <c r="AX124" i="6"/>
  <c r="AY124" i="6"/>
  <c r="AZ124" i="6"/>
  <c r="BA124" i="6"/>
  <c r="BB124" i="6"/>
  <c r="BC124" i="6"/>
  <c r="BD124" i="6"/>
  <c r="BE124" i="6"/>
  <c r="BF124" i="6"/>
  <c r="BG124" i="6"/>
  <c r="F125" i="6"/>
  <c r="G125" i="6"/>
  <c r="H125" i="6"/>
  <c r="I125" i="6"/>
  <c r="L125" i="6"/>
  <c r="M125" i="6"/>
  <c r="N125" i="6"/>
  <c r="O125" i="6"/>
  <c r="P125" i="6"/>
  <c r="Q125" i="6"/>
  <c r="R125" i="6"/>
  <c r="S125" i="6"/>
  <c r="T125" i="6"/>
  <c r="U125" i="6"/>
  <c r="V125" i="6"/>
  <c r="W125" i="6"/>
  <c r="X125" i="6"/>
  <c r="Y125" i="6"/>
  <c r="Z125" i="6"/>
  <c r="AC125" i="6"/>
  <c r="AD125" i="6"/>
  <c r="AE125" i="6"/>
  <c r="AF125" i="6"/>
  <c r="AG125" i="6"/>
  <c r="AH125" i="6"/>
  <c r="AI125" i="6"/>
  <c r="AJ125" i="6"/>
  <c r="AK125" i="6"/>
  <c r="AL125" i="6"/>
  <c r="AN125" i="6"/>
  <c r="AO125" i="6"/>
  <c r="AP125" i="6"/>
  <c r="AQ125" i="6"/>
  <c r="AR125" i="6"/>
  <c r="AS125" i="6"/>
  <c r="AT125" i="6"/>
  <c r="AU125" i="6"/>
  <c r="AV125" i="6"/>
  <c r="AW125" i="6"/>
  <c r="AX125" i="6"/>
  <c r="AY125" i="6"/>
  <c r="AZ125" i="6"/>
  <c r="BA125" i="6"/>
  <c r="BB125" i="6"/>
  <c r="BC125" i="6"/>
  <c r="BD125" i="6"/>
  <c r="BE125" i="6"/>
  <c r="BF125" i="6"/>
  <c r="BG125" i="6"/>
  <c r="F126" i="6"/>
  <c r="G126" i="6"/>
  <c r="H126" i="6"/>
  <c r="I126" i="6"/>
  <c r="L126" i="6"/>
  <c r="M126" i="6"/>
  <c r="N126" i="6"/>
  <c r="O126" i="6"/>
  <c r="P126" i="6"/>
  <c r="Q126" i="6"/>
  <c r="R126" i="6"/>
  <c r="S126" i="6"/>
  <c r="T126" i="6"/>
  <c r="U126" i="6"/>
  <c r="V126" i="6"/>
  <c r="W126" i="6"/>
  <c r="X126" i="6"/>
  <c r="Y126" i="6"/>
  <c r="Z126" i="6"/>
  <c r="AC126" i="6"/>
  <c r="AD126" i="6"/>
  <c r="AE126" i="6"/>
  <c r="AF126" i="6"/>
  <c r="AG126" i="6"/>
  <c r="AH126" i="6"/>
  <c r="AI126" i="6"/>
  <c r="AJ126" i="6"/>
  <c r="AK126" i="6"/>
  <c r="AL126" i="6"/>
  <c r="AN126" i="6"/>
  <c r="AO126" i="6"/>
  <c r="AP126" i="6"/>
  <c r="AQ126" i="6"/>
  <c r="AR126" i="6"/>
  <c r="AS126" i="6"/>
  <c r="AT126" i="6"/>
  <c r="AU126" i="6"/>
  <c r="AV126" i="6"/>
  <c r="AW126" i="6"/>
  <c r="AX126" i="6"/>
  <c r="AY126" i="6"/>
  <c r="AZ126" i="6"/>
  <c r="BA126" i="6"/>
  <c r="BB126" i="6"/>
  <c r="BC126" i="6"/>
  <c r="BD126" i="6"/>
  <c r="BE126" i="6"/>
  <c r="BF126" i="6"/>
  <c r="BG126" i="6"/>
  <c r="F127" i="6"/>
  <c r="G127" i="6"/>
  <c r="H127" i="6"/>
  <c r="I127" i="6"/>
  <c r="L127" i="6"/>
  <c r="M127" i="6"/>
  <c r="N127" i="6"/>
  <c r="O127" i="6"/>
  <c r="P127" i="6"/>
  <c r="Q127" i="6"/>
  <c r="R127" i="6"/>
  <c r="S127" i="6"/>
  <c r="T127" i="6"/>
  <c r="U127" i="6"/>
  <c r="V127" i="6"/>
  <c r="W127" i="6"/>
  <c r="X127" i="6"/>
  <c r="Y127" i="6"/>
  <c r="Z127" i="6"/>
  <c r="AC127" i="6"/>
  <c r="AD127" i="6"/>
  <c r="AE127" i="6"/>
  <c r="AF127" i="6"/>
  <c r="AG127" i="6"/>
  <c r="AH127" i="6"/>
  <c r="AI127" i="6"/>
  <c r="AJ127" i="6"/>
  <c r="AK127" i="6"/>
  <c r="AL127" i="6"/>
  <c r="AN127" i="6"/>
  <c r="AO127" i="6"/>
  <c r="AP127" i="6"/>
  <c r="AQ127" i="6"/>
  <c r="AR127" i="6"/>
  <c r="AS127" i="6"/>
  <c r="AT127" i="6"/>
  <c r="AU127" i="6"/>
  <c r="AV127" i="6"/>
  <c r="AW127" i="6"/>
  <c r="AX127" i="6"/>
  <c r="AY127" i="6"/>
  <c r="AZ127" i="6"/>
  <c r="BA127" i="6"/>
  <c r="BB127" i="6"/>
  <c r="BC127" i="6"/>
  <c r="BD127" i="6"/>
  <c r="BE127" i="6"/>
  <c r="BF127" i="6"/>
  <c r="BG127" i="6"/>
  <c r="F128" i="6"/>
  <c r="G128" i="6"/>
  <c r="H128" i="6"/>
  <c r="I128" i="6"/>
  <c r="L128" i="6"/>
  <c r="M128" i="6"/>
  <c r="N128" i="6"/>
  <c r="O128" i="6"/>
  <c r="P128" i="6"/>
  <c r="Q128" i="6"/>
  <c r="R128" i="6"/>
  <c r="S128" i="6"/>
  <c r="T128" i="6"/>
  <c r="U128" i="6"/>
  <c r="V128" i="6"/>
  <c r="W128" i="6"/>
  <c r="X128" i="6"/>
  <c r="Y128" i="6"/>
  <c r="Z128" i="6"/>
  <c r="AC128" i="6"/>
  <c r="AD128" i="6"/>
  <c r="AE128" i="6"/>
  <c r="AF128" i="6"/>
  <c r="AG128" i="6"/>
  <c r="AH128" i="6"/>
  <c r="AI128" i="6"/>
  <c r="AJ128" i="6"/>
  <c r="AK128" i="6"/>
  <c r="AL128" i="6"/>
  <c r="AN128" i="6"/>
  <c r="AO128" i="6"/>
  <c r="AP128" i="6"/>
  <c r="AQ128" i="6"/>
  <c r="AR128" i="6"/>
  <c r="AS128" i="6"/>
  <c r="AT128" i="6"/>
  <c r="AU128" i="6"/>
  <c r="AV128" i="6"/>
  <c r="AW128" i="6"/>
  <c r="AX128" i="6"/>
  <c r="AY128" i="6"/>
  <c r="AZ128" i="6"/>
  <c r="BA128" i="6"/>
  <c r="BB128" i="6"/>
  <c r="BC128" i="6"/>
  <c r="BD128" i="6"/>
  <c r="BE128" i="6"/>
  <c r="BF128" i="6"/>
  <c r="BG128" i="6"/>
  <c r="F129" i="6"/>
  <c r="G129" i="6"/>
  <c r="H129" i="6"/>
  <c r="I129" i="6"/>
  <c r="L129" i="6"/>
  <c r="M129" i="6"/>
  <c r="N129" i="6"/>
  <c r="O129" i="6"/>
  <c r="P129" i="6"/>
  <c r="Q129" i="6"/>
  <c r="R129" i="6"/>
  <c r="S129" i="6"/>
  <c r="T129" i="6"/>
  <c r="U129" i="6"/>
  <c r="V129" i="6"/>
  <c r="W129" i="6"/>
  <c r="X129" i="6"/>
  <c r="Y129" i="6"/>
  <c r="Z129" i="6"/>
  <c r="AC129" i="6"/>
  <c r="AD129" i="6"/>
  <c r="AE129" i="6"/>
  <c r="AF129" i="6"/>
  <c r="AG129" i="6"/>
  <c r="AH129" i="6"/>
  <c r="AI129" i="6"/>
  <c r="AJ129" i="6"/>
  <c r="AK129" i="6"/>
  <c r="AL129" i="6"/>
  <c r="AN129" i="6"/>
  <c r="AO129" i="6"/>
  <c r="AP129" i="6"/>
  <c r="AQ129" i="6"/>
  <c r="AR129" i="6"/>
  <c r="AS129" i="6"/>
  <c r="AT129" i="6"/>
  <c r="AU129" i="6"/>
  <c r="AV129" i="6"/>
  <c r="AW129" i="6"/>
  <c r="AX129" i="6"/>
  <c r="AY129" i="6"/>
  <c r="AZ129" i="6"/>
  <c r="BA129" i="6"/>
  <c r="BB129" i="6"/>
  <c r="BC129" i="6"/>
  <c r="BD129" i="6"/>
  <c r="BE129" i="6"/>
  <c r="BF129" i="6"/>
  <c r="BG129" i="6"/>
  <c r="F130" i="6"/>
  <c r="G130" i="6"/>
  <c r="H130" i="6"/>
  <c r="I130" i="6"/>
  <c r="L130" i="6"/>
  <c r="M130" i="6"/>
  <c r="N130" i="6"/>
  <c r="O130" i="6"/>
  <c r="P130" i="6"/>
  <c r="Q130" i="6"/>
  <c r="R130" i="6"/>
  <c r="S130" i="6"/>
  <c r="T130" i="6"/>
  <c r="U130" i="6"/>
  <c r="V130" i="6"/>
  <c r="W130" i="6"/>
  <c r="X130" i="6"/>
  <c r="Y130" i="6"/>
  <c r="Z130" i="6"/>
  <c r="AC130" i="6"/>
  <c r="AD130" i="6"/>
  <c r="AE130" i="6"/>
  <c r="AF130" i="6"/>
  <c r="AG130" i="6"/>
  <c r="AH130" i="6"/>
  <c r="AI130" i="6"/>
  <c r="AJ130" i="6"/>
  <c r="AK130" i="6"/>
  <c r="AL130" i="6"/>
  <c r="AN130" i="6"/>
  <c r="AO130" i="6"/>
  <c r="AP130" i="6"/>
  <c r="AQ130" i="6"/>
  <c r="AR130" i="6"/>
  <c r="AS130" i="6"/>
  <c r="AT130" i="6"/>
  <c r="AU130" i="6"/>
  <c r="AV130" i="6"/>
  <c r="AW130" i="6"/>
  <c r="AX130" i="6"/>
  <c r="AY130" i="6"/>
  <c r="AZ130" i="6"/>
  <c r="BA130" i="6"/>
  <c r="BB130" i="6"/>
  <c r="BC130" i="6"/>
  <c r="BD130" i="6"/>
  <c r="BE130" i="6"/>
  <c r="BF130" i="6"/>
  <c r="BG130" i="6"/>
  <c r="F131" i="6"/>
  <c r="G131" i="6"/>
  <c r="H131" i="6"/>
  <c r="I131" i="6"/>
  <c r="L131" i="6"/>
  <c r="M131" i="6"/>
  <c r="N131" i="6"/>
  <c r="O131" i="6"/>
  <c r="P131" i="6"/>
  <c r="Q131" i="6"/>
  <c r="R131" i="6"/>
  <c r="S131" i="6"/>
  <c r="T131" i="6"/>
  <c r="U131" i="6"/>
  <c r="V131" i="6"/>
  <c r="W131" i="6"/>
  <c r="X131" i="6"/>
  <c r="Y131" i="6"/>
  <c r="Z131" i="6"/>
  <c r="AC131" i="6"/>
  <c r="AD131" i="6"/>
  <c r="AE131" i="6"/>
  <c r="AF131" i="6"/>
  <c r="AG131" i="6"/>
  <c r="AH131" i="6"/>
  <c r="AI131" i="6"/>
  <c r="AJ131" i="6"/>
  <c r="AK131" i="6"/>
  <c r="AL131" i="6"/>
  <c r="AN131" i="6"/>
  <c r="AO131" i="6"/>
  <c r="AP131" i="6"/>
  <c r="AQ131" i="6"/>
  <c r="AR131" i="6"/>
  <c r="AS131" i="6"/>
  <c r="AT131" i="6"/>
  <c r="AU131" i="6"/>
  <c r="AV131" i="6"/>
  <c r="AW131" i="6"/>
  <c r="AX131" i="6"/>
  <c r="AY131" i="6"/>
  <c r="AZ131" i="6"/>
  <c r="BA131" i="6"/>
  <c r="BB131" i="6"/>
  <c r="BC131" i="6"/>
  <c r="BD131" i="6"/>
  <c r="BE131" i="6"/>
  <c r="BF131" i="6"/>
  <c r="BG131" i="6"/>
  <c r="F132" i="6"/>
  <c r="G132" i="6"/>
  <c r="H132" i="6"/>
  <c r="I132" i="6"/>
  <c r="L132" i="6"/>
  <c r="M132" i="6"/>
  <c r="N132" i="6"/>
  <c r="O132" i="6"/>
  <c r="P132" i="6"/>
  <c r="Q132" i="6"/>
  <c r="R132" i="6"/>
  <c r="S132" i="6"/>
  <c r="T132" i="6"/>
  <c r="U132" i="6"/>
  <c r="V132" i="6"/>
  <c r="W132" i="6"/>
  <c r="X132" i="6"/>
  <c r="Y132" i="6"/>
  <c r="Z132" i="6"/>
  <c r="AC132" i="6"/>
  <c r="AD132" i="6"/>
  <c r="AE132" i="6"/>
  <c r="AF132" i="6"/>
  <c r="AG132" i="6"/>
  <c r="AH132" i="6"/>
  <c r="AI132" i="6"/>
  <c r="AJ132" i="6"/>
  <c r="AK132" i="6"/>
  <c r="AL132" i="6"/>
  <c r="AN132" i="6"/>
  <c r="AO132" i="6"/>
  <c r="AP132" i="6"/>
  <c r="AQ132" i="6"/>
  <c r="AR132" i="6"/>
  <c r="AS132" i="6"/>
  <c r="AT132" i="6"/>
  <c r="AU132" i="6"/>
  <c r="AV132" i="6"/>
  <c r="AW132" i="6"/>
  <c r="AX132" i="6"/>
  <c r="AY132" i="6"/>
  <c r="AZ132" i="6"/>
  <c r="BA132" i="6"/>
  <c r="BB132" i="6"/>
  <c r="BC132" i="6"/>
  <c r="BD132" i="6"/>
  <c r="BE132" i="6"/>
  <c r="BF132" i="6"/>
  <c r="BG132" i="6"/>
  <c r="F133" i="6"/>
  <c r="G133" i="6"/>
  <c r="H133" i="6"/>
  <c r="I133" i="6"/>
  <c r="L133" i="6"/>
  <c r="M133" i="6"/>
  <c r="N133" i="6"/>
  <c r="O133" i="6"/>
  <c r="P133" i="6"/>
  <c r="Q133" i="6"/>
  <c r="R133" i="6"/>
  <c r="S133" i="6"/>
  <c r="T133" i="6"/>
  <c r="U133" i="6"/>
  <c r="V133" i="6"/>
  <c r="W133" i="6"/>
  <c r="X133" i="6"/>
  <c r="Y133" i="6"/>
  <c r="Z133" i="6"/>
  <c r="AC133" i="6"/>
  <c r="AD133" i="6"/>
  <c r="AE133" i="6"/>
  <c r="AF133" i="6"/>
  <c r="AG133" i="6"/>
  <c r="AH133" i="6"/>
  <c r="AI133" i="6"/>
  <c r="AJ133" i="6"/>
  <c r="AK133" i="6"/>
  <c r="AL133" i="6"/>
  <c r="AN133" i="6"/>
  <c r="AO133" i="6"/>
  <c r="AP133" i="6"/>
  <c r="AQ133" i="6"/>
  <c r="AR133" i="6"/>
  <c r="AS133" i="6"/>
  <c r="AT133" i="6"/>
  <c r="AU133" i="6"/>
  <c r="AV133" i="6"/>
  <c r="AW133" i="6"/>
  <c r="AX133" i="6"/>
  <c r="AY133" i="6"/>
  <c r="AZ133" i="6"/>
  <c r="BA133" i="6"/>
  <c r="BB133" i="6"/>
  <c r="BC133" i="6"/>
  <c r="BD133" i="6"/>
  <c r="BE133" i="6"/>
  <c r="BF133" i="6"/>
  <c r="BG133" i="6"/>
  <c r="F134" i="6"/>
  <c r="G134" i="6"/>
  <c r="H134" i="6"/>
  <c r="I134" i="6"/>
  <c r="L134" i="6"/>
  <c r="M134" i="6"/>
  <c r="N134" i="6"/>
  <c r="O134" i="6"/>
  <c r="P134" i="6"/>
  <c r="Q134" i="6"/>
  <c r="R134" i="6"/>
  <c r="S134" i="6"/>
  <c r="T134" i="6"/>
  <c r="U134" i="6"/>
  <c r="V134" i="6"/>
  <c r="W134" i="6"/>
  <c r="X134" i="6"/>
  <c r="Y134" i="6"/>
  <c r="Z134" i="6"/>
  <c r="AC134" i="6"/>
  <c r="AD134" i="6"/>
  <c r="AE134" i="6"/>
  <c r="AF134" i="6"/>
  <c r="AG134" i="6"/>
  <c r="AH134" i="6"/>
  <c r="AI134" i="6"/>
  <c r="AJ134" i="6"/>
  <c r="AK134" i="6"/>
  <c r="AL134" i="6"/>
  <c r="AN134" i="6"/>
  <c r="AO134" i="6"/>
  <c r="AP134" i="6"/>
  <c r="AQ134" i="6"/>
  <c r="AR134" i="6"/>
  <c r="AS134" i="6"/>
  <c r="AT134" i="6"/>
  <c r="AU134" i="6"/>
  <c r="AV134" i="6"/>
  <c r="AW134" i="6"/>
  <c r="AX134" i="6"/>
  <c r="AY134" i="6"/>
  <c r="AZ134" i="6"/>
  <c r="BA134" i="6"/>
  <c r="BB134" i="6"/>
  <c r="BC134" i="6"/>
  <c r="BD134" i="6"/>
  <c r="BE134" i="6"/>
  <c r="BF134" i="6"/>
  <c r="BG134" i="6"/>
  <c r="F135" i="6"/>
  <c r="G135" i="6"/>
  <c r="H135" i="6"/>
  <c r="I135" i="6"/>
  <c r="L135" i="6"/>
  <c r="M135" i="6"/>
  <c r="N135" i="6"/>
  <c r="O135" i="6"/>
  <c r="P135" i="6"/>
  <c r="Q135" i="6"/>
  <c r="R135" i="6"/>
  <c r="S135" i="6"/>
  <c r="T135" i="6"/>
  <c r="U135" i="6"/>
  <c r="V135" i="6"/>
  <c r="W135" i="6"/>
  <c r="X135" i="6"/>
  <c r="Y135" i="6"/>
  <c r="Z135" i="6"/>
  <c r="AC135" i="6"/>
  <c r="AD135" i="6"/>
  <c r="AE135" i="6"/>
  <c r="AF135" i="6"/>
  <c r="AG135" i="6"/>
  <c r="AH135" i="6"/>
  <c r="AI135" i="6"/>
  <c r="AJ135" i="6"/>
  <c r="AK135" i="6"/>
  <c r="AL135" i="6"/>
  <c r="AN135" i="6"/>
  <c r="AO135" i="6"/>
  <c r="AP135" i="6"/>
  <c r="AQ135" i="6"/>
  <c r="AR135" i="6"/>
  <c r="AS135" i="6"/>
  <c r="AT135" i="6"/>
  <c r="AU135" i="6"/>
  <c r="AV135" i="6"/>
  <c r="AW135" i="6"/>
  <c r="AX135" i="6"/>
  <c r="AY135" i="6"/>
  <c r="AZ135" i="6"/>
  <c r="BA135" i="6"/>
  <c r="BB135" i="6"/>
  <c r="BC135" i="6"/>
  <c r="BD135" i="6"/>
  <c r="BE135" i="6"/>
  <c r="BF135" i="6"/>
  <c r="BG135" i="6"/>
  <c r="F136" i="6"/>
  <c r="G136" i="6"/>
  <c r="H136" i="6"/>
  <c r="I136" i="6"/>
  <c r="L136" i="6"/>
  <c r="M136" i="6"/>
  <c r="N136" i="6"/>
  <c r="O136" i="6"/>
  <c r="P136" i="6"/>
  <c r="Q136" i="6"/>
  <c r="R136" i="6"/>
  <c r="S136" i="6"/>
  <c r="T136" i="6"/>
  <c r="U136" i="6"/>
  <c r="V136" i="6"/>
  <c r="W136" i="6"/>
  <c r="X136" i="6"/>
  <c r="Y136" i="6"/>
  <c r="Z136" i="6"/>
  <c r="AC136" i="6"/>
  <c r="AD136" i="6"/>
  <c r="AE136" i="6"/>
  <c r="AF136" i="6"/>
  <c r="AG136" i="6"/>
  <c r="AH136" i="6"/>
  <c r="AI136" i="6"/>
  <c r="AJ136" i="6"/>
  <c r="AK136" i="6"/>
  <c r="AL136" i="6"/>
  <c r="AN136" i="6"/>
  <c r="AO136" i="6"/>
  <c r="AP136" i="6"/>
  <c r="AQ136" i="6"/>
  <c r="AR136" i="6"/>
  <c r="AS136" i="6"/>
  <c r="AT136" i="6"/>
  <c r="AU136" i="6"/>
  <c r="AV136" i="6"/>
  <c r="AW136" i="6"/>
  <c r="AX136" i="6"/>
  <c r="AY136" i="6"/>
  <c r="AZ136" i="6"/>
  <c r="BA136" i="6"/>
  <c r="BB136" i="6"/>
  <c r="BC136" i="6"/>
  <c r="BD136" i="6"/>
  <c r="BE136" i="6"/>
  <c r="BF136" i="6"/>
  <c r="BG136" i="6"/>
  <c r="F137" i="6"/>
  <c r="G137" i="6"/>
  <c r="H137" i="6"/>
  <c r="I137" i="6"/>
  <c r="L137" i="6"/>
  <c r="M137" i="6"/>
  <c r="N137" i="6"/>
  <c r="O137" i="6"/>
  <c r="P137" i="6"/>
  <c r="Q137" i="6"/>
  <c r="R137" i="6"/>
  <c r="S137" i="6"/>
  <c r="T137" i="6"/>
  <c r="U137" i="6"/>
  <c r="V137" i="6"/>
  <c r="W137" i="6"/>
  <c r="X137" i="6"/>
  <c r="Y137" i="6"/>
  <c r="Z137" i="6"/>
  <c r="AC137" i="6"/>
  <c r="AD137" i="6"/>
  <c r="AE137" i="6"/>
  <c r="AF137" i="6"/>
  <c r="AG137" i="6"/>
  <c r="AH137" i="6"/>
  <c r="AI137" i="6"/>
  <c r="AJ137" i="6"/>
  <c r="AK137" i="6"/>
  <c r="AL137" i="6"/>
  <c r="AN137" i="6"/>
  <c r="AO137" i="6"/>
  <c r="AP137" i="6"/>
  <c r="AQ137" i="6"/>
  <c r="AR137" i="6"/>
  <c r="AS137" i="6"/>
  <c r="AT137" i="6"/>
  <c r="AU137" i="6"/>
  <c r="AV137" i="6"/>
  <c r="AW137" i="6"/>
  <c r="AX137" i="6"/>
  <c r="AY137" i="6"/>
  <c r="AZ137" i="6"/>
  <c r="BA137" i="6"/>
  <c r="BB137" i="6"/>
  <c r="BC137" i="6"/>
  <c r="BD137" i="6"/>
  <c r="BE137" i="6"/>
  <c r="BF137" i="6"/>
  <c r="BG137" i="6"/>
  <c r="F138" i="6"/>
  <c r="G138" i="6"/>
  <c r="H138" i="6"/>
  <c r="I138" i="6"/>
  <c r="L138" i="6"/>
  <c r="M138" i="6"/>
  <c r="N138" i="6"/>
  <c r="O138" i="6"/>
  <c r="P138" i="6"/>
  <c r="Q138" i="6"/>
  <c r="R138" i="6"/>
  <c r="S138" i="6"/>
  <c r="T138" i="6"/>
  <c r="U138" i="6"/>
  <c r="V138" i="6"/>
  <c r="W138" i="6"/>
  <c r="X138" i="6"/>
  <c r="Y138" i="6"/>
  <c r="Z138" i="6"/>
  <c r="AC138" i="6"/>
  <c r="AD138" i="6"/>
  <c r="AE138" i="6"/>
  <c r="AF138" i="6"/>
  <c r="AG138" i="6"/>
  <c r="AH138" i="6"/>
  <c r="AI138" i="6"/>
  <c r="AJ138" i="6"/>
  <c r="AK138" i="6"/>
  <c r="AL138" i="6"/>
  <c r="AN138" i="6"/>
  <c r="AO138" i="6"/>
  <c r="AP138" i="6"/>
  <c r="AQ138" i="6"/>
  <c r="AR138" i="6"/>
  <c r="AS138" i="6"/>
  <c r="AT138" i="6"/>
  <c r="AU138" i="6"/>
  <c r="AV138" i="6"/>
  <c r="AW138" i="6"/>
  <c r="AX138" i="6"/>
  <c r="AY138" i="6"/>
  <c r="AZ138" i="6"/>
  <c r="BA138" i="6"/>
  <c r="BB138" i="6"/>
  <c r="BC138" i="6"/>
  <c r="BD138" i="6"/>
  <c r="BE138" i="6"/>
  <c r="BF138" i="6"/>
  <c r="BG138" i="6"/>
  <c r="F139" i="6"/>
  <c r="G139" i="6"/>
  <c r="H139" i="6"/>
  <c r="I139" i="6"/>
  <c r="L139" i="6"/>
  <c r="M139" i="6"/>
  <c r="N139" i="6"/>
  <c r="O139" i="6"/>
  <c r="P139" i="6"/>
  <c r="Q139" i="6"/>
  <c r="R139" i="6"/>
  <c r="S139" i="6"/>
  <c r="T139" i="6"/>
  <c r="U139" i="6"/>
  <c r="V139" i="6"/>
  <c r="W139" i="6"/>
  <c r="X139" i="6"/>
  <c r="Y139" i="6"/>
  <c r="Z139" i="6"/>
  <c r="AC139" i="6"/>
  <c r="AD139" i="6"/>
  <c r="AE139" i="6"/>
  <c r="AF139" i="6"/>
  <c r="AG139" i="6"/>
  <c r="AH139" i="6"/>
  <c r="AI139" i="6"/>
  <c r="AJ139" i="6"/>
  <c r="AK139" i="6"/>
  <c r="AL139" i="6"/>
  <c r="AN139" i="6"/>
  <c r="AO139" i="6"/>
  <c r="AP139" i="6"/>
  <c r="AQ139" i="6"/>
  <c r="AR139" i="6"/>
  <c r="AS139" i="6"/>
  <c r="AT139" i="6"/>
  <c r="AU139" i="6"/>
  <c r="AV139" i="6"/>
  <c r="AW139" i="6"/>
  <c r="AX139" i="6"/>
  <c r="AY139" i="6"/>
  <c r="AZ139" i="6"/>
  <c r="BA139" i="6"/>
  <c r="BB139" i="6"/>
  <c r="BC139" i="6"/>
  <c r="BD139" i="6"/>
  <c r="BE139" i="6"/>
  <c r="BF139" i="6"/>
  <c r="BG139" i="6"/>
  <c r="F140" i="6"/>
  <c r="G140" i="6"/>
  <c r="H140" i="6"/>
  <c r="I140" i="6"/>
  <c r="L140" i="6"/>
  <c r="M140" i="6"/>
  <c r="N140" i="6"/>
  <c r="O140" i="6"/>
  <c r="P140" i="6"/>
  <c r="Q140" i="6"/>
  <c r="R140" i="6"/>
  <c r="S140" i="6"/>
  <c r="T140" i="6"/>
  <c r="U140" i="6"/>
  <c r="V140" i="6"/>
  <c r="W140" i="6"/>
  <c r="X140" i="6"/>
  <c r="Y140" i="6"/>
  <c r="Z140" i="6"/>
  <c r="AC140" i="6"/>
  <c r="AD140" i="6"/>
  <c r="AE140" i="6"/>
  <c r="AF140" i="6"/>
  <c r="AG140" i="6"/>
  <c r="AH140" i="6"/>
  <c r="AI140" i="6"/>
  <c r="AJ140" i="6"/>
  <c r="AK140" i="6"/>
  <c r="AL140" i="6"/>
  <c r="AN140" i="6"/>
  <c r="AO140" i="6"/>
  <c r="AP140" i="6"/>
  <c r="AQ140" i="6"/>
  <c r="AR140" i="6"/>
  <c r="AS140" i="6"/>
  <c r="AT140" i="6"/>
  <c r="AU140" i="6"/>
  <c r="AV140" i="6"/>
  <c r="AW140" i="6"/>
  <c r="AX140" i="6"/>
  <c r="AY140" i="6"/>
  <c r="AZ140" i="6"/>
  <c r="BA140" i="6"/>
  <c r="BB140" i="6"/>
  <c r="BC140" i="6"/>
  <c r="BD140" i="6"/>
  <c r="BE140" i="6"/>
  <c r="BF140" i="6"/>
  <c r="BG140" i="6"/>
  <c r="F141" i="6"/>
  <c r="G141" i="6"/>
  <c r="H141" i="6"/>
  <c r="I141" i="6"/>
  <c r="L141" i="6"/>
  <c r="M141" i="6"/>
  <c r="N141" i="6"/>
  <c r="O141" i="6"/>
  <c r="P141" i="6"/>
  <c r="Q141" i="6"/>
  <c r="R141" i="6"/>
  <c r="S141" i="6"/>
  <c r="T141" i="6"/>
  <c r="U141" i="6"/>
  <c r="V141" i="6"/>
  <c r="W141" i="6"/>
  <c r="X141" i="6"/>
  <c r="Y141" i="6"/>
  <c r="Z141" i="6"/>
  <c r="AC141" i="6"/>
  <c r="AD141" i="6"/>
  <c r="AE141" i="6"/>
  <c r="AF141" i="6"/>
  <c r="AG141" i="6"/>
  <c r="AH141" i="6"/>
  <c r="AI141" i="6"/>
  <c r="AJ141" i="6"/>
  <c r="AK141" i="6"/>
  <c r="AL141" i="6"/>
  <c r="AN141" i="6"/>
  <c r="AO141" i="6"/>
  <c r="AP141" i="6"/>
  <c r="AQ141" i="6"/>
  <c r="AR141" i="6"/>
  <c r="AS141" i="6"/>
  <c r="AT141" i="6"/>
  <c r="AU141" i="6"/>
  <c r="AV141" i="6"/>
  <c r="AW141" i="6"/>
  <c r="AX141" i="6"/>
  <c r="AY141" i="6"/>
  <c r="AZ141" i="6"/>
  <c r="BA141" i="6"/>
  <c r="BB141" i="6"/>
  <c r="BC141" i="6"/>
  <c r="BD141" i="6"/>
  <c r="BE141" i="6"/>
  <c r="BF141" i="6"/>
  <c r="BG141" i="6"/>
  <c r="F142" i="6"/>
  <c r="G142" i="6"/>
  <c r="H142" i="6"/>
  <c r="I142" i="6"/>
  <c r="L142" i="6"/>
  <c r="M142" i="6"/>
  <c r="N142" i="6"/>
  <c r="O142" i="6"/>
  <c r="P142" i="6"/>
  <c r="Q142" i="6"/>
  <c r="R142" i="6"/>
  <c r="S142" i="6"/>
  <c r="T142" i="6"/>
  <c r="U142" i="6"/>
  <c r="V142" i="6"/>
  <c r="W142" i="6"/>
  <c r="X142" i="6"/>
  <c r="Y142" i="6"/>
  <c r="Z142" i="6"/>
  <c r="AC142" i="6"/>
  <c r="AD142" i="6"/>
  <c r="AE142" i="6"/>
  <c r="AF142" i="6"/>
  <c r="AG142" i="6"/>
  <c r="AH142" i="6"/>
  <c r="AI142" i="6"/>
  <c r="AJ142" i="6"/>
  <c r="AK142" i="6"/>
  <c r="AL142" i="6"/>
  <c r="AN142" i="6"/>
  <c r="AO142" i="6"/>
  <c r="AP142" i="6"/>
  <c r="AQ142" i="6"/>
  <c r="AR142" i="6"/>
  <c r="AS142" i="6"/>
  <c r="AT142" i="6"/>
  <c r="AU142" i="6"/>
  <c r="AV142" i="6"/>
  <c r="AW142" i="6"/>
  <c r="AX142" i="6"/>
  <c r="AY142" i="6"/>
  <c r="AZ142" i="6"/>
  <c r="BA142" i="6"/>
  <c r="BB142" i="6"/>
  <c r="BC142" i="6"/>
  <c r="BD142" i="6"/>
  <c r="BE142" i="6"/>
  <c r="BF142" i="6"/>
  <c r="BG142" i="6"/>
  <c r="F143" i="6"/>
  <c r="G143" i="6"/>
  <c r="H143" i="6"/>
  <c r="I143" i="6"/>
  <c r="L143" i="6"/>
  <c r="M143" i="6"/>
  <c r="N143" i="6"/>
  <c r="O143" i="6"/>
  <c r="P143" i="6"/>
  <c r="Q143" i="6"/>
  <c r="R143" i="6"/>
  <c r="S143" i="6"/>
  <c r="T143" i="6"/>
  <c r="U143" i="6"/>
  <c r="V143" i="6"/>
  <c r="W143" i="6"/>
  <c r="X143" i="6"/>
  <c r="Y143" i="6"/>
  <c r="Z143" i="6"/>
  <c r="AC143" i="6"/>
  <c r="AD143" i="6"/>
  <c r="AE143" i="6"/>
  <c r="AF143" i="6"/>
  <c r="AG143" i="6"/>
  <c r="AH143" i="6"/>
  <c r="AI143" i="6"/>
  <c r="AJ143" i="6"/>
  <c r="AK143" i="6"/>
  <c r="AL143" i="6"/>
  <c r="AN143" i="6"/>
  <c r="AO143" i="6"/>
  <c r="AP143" i="6"/>
  <c r="AQ143" i="6"/>
  <c r="AR143" i="6"/>
  <c r="AS143" i="6"/>
  <c r="AT143" i="6"/>
  <c r="AU143" i="6"/>
  <c r="AV143" i="6"/>
  <c r="AW143" i="6"/>
  <c r="AX143" i="6"/>
  <c r="AY143" i="6"/>
  <c r="AZ143" i="6"/>
  <c r="BA143" i="6"/>
  <c r="BB143" i="6"/>
  <c r="BC143" i="6"/>
  <c r="BD143" i="6"/>
  <c r="BE143" i="6"/>
  <c r="BF143" i="6"/>
  <c r="BG143" i="6"/>
  <c r="F144" i="6"/>
  <c r="G144" i="6"/>
  <c r="H144" i="6"/>
  <c r="I144" i="6"/>
  <c r="L144" i="6"/>
  <c r="M144" i="6"/>
  <c r="N144" i="6"/>
  <c r="O144" i="6"/>
  <c r="P144" i="6"/>
  <c r="Q144" i="6"/>
  <c r="R144" i="6"/>
  <c r="S144" i="6"/>
  <c r="T144" i="6"/>
  <c r="U144" i="6"/>
  <c r="V144" i="6"/>
  <c r="W144" i="6"/>
  <c r="X144" i="6"/>
  <c r="Y144" i="6"/>
  <c r="Z144" i="6"/>
  <c r="AC144" i="6"/>
  <c r="AD144" i="6"/>
  <c r="AE144" i="6"/>
  <c r="AF144" i="6"/>
  <c r="AG144" i="6"/>
  <c r="AH144" i="6"/>
  <c r="AI144" i="6"/>
  <c r="AJ144" i="6"/>
  <c r="AK144" i="6"/>
  <c r="AL144" i="6"/>
  <c r="AN144" i="6"/>
  <c r="AO144" i="6"/>
  <c r="AP144" i="6"/>
  <c r="AQ144" i="6"/>
  <c r="AR144" i="6"/>
  <c r="AS144" i="6"/>
  <c r="AT144" i="6"/>
  <c r="AU144" i="6"/>
  <c r="AV144" i="6"/>
  <c r="AW144" i="6"/>
  <c r="AX144" i="6"/>
  <c r="AY144" i="6"/>
  <c r="AZ144" i="6"/>
  <c r="BA144" i="6"/>
  <c r="BB144" i="6"/>
  <c r="BC144" i="6"/>
  <c r="BD144" i="6"/>
  <c r="BE144" i="6"/>
  <c r="BF144" i="6"/>
  <c r="BG144" i="6"/>
  <c r="F145" i="6"/>
  <c r="G145" i="6"/>
  <c r="H145" i="6"/>
  <c r="I145" i="6"/>
  <c r="L145" i="6"/>
  <c r="M145" i="6"/>
  <c r="N145" i="6"/>
  <c r="O145" i="6"/>
  <c r="P145" i="6"/>
  <c r="Q145" i="6"/>
  <c r="R145" i="6"/>
  <c r="S145" i="6"/>
  <c r="T145" i="6"/>
  <c r="U145" i="6"/>
  <c r="V145" i="6"/>
  <c r="W145" i="6"/>
  <c r="X145" i="6"/>
  <c r="Y145" i="6"/>
  <c r="Z145" i="6"/>
  <c r="AC145" i="6"/>
  <c r="AD145" i="6"/>
  <c r="AE145" i="6"/>
  <c r="AF145" i="6"/>
  <c r="AG145" i="6"/>
  <c r="AH145" i="6"/>
  <c r="AI145" i="6"/>
  <c r="AJ145" i="6"/>
  <c r="AK145" i="6"/>
  <c r="AL145" i="6"/>
  <c r="AN145" i="6"/>
  <c r="AO145" i="6"/>
  <c r="AP145" i="6"/>
  <c r="AQ145" i="6"/>
  <c r="AR145" i="6"/>
  <c r="AS145" i="6"/>
  <c r="AT145" i="6"/>
  <c r="AU145" i="6"/>
  <c r="AV145" i="6"/>
  <c r="AW145" i="6"/>
  <c r="AX145" i="6"/>
  <c r="AY145" i="6"/>
  <c r="AZ145" i="6"/>
  <c r="BA145" i="6"/>
  <c r="BB145" i="6"/>
  <c r="BC145" i="6"/>
  <c r="BD145" i="6"/>
  <c r="BE145" i="6"/>
  <c r="BF145" i="6"/>
  <c r="BG145" i="6"/>
  <c r="F146" i="6"/>
  <c r="G146" i="6"/>
  <c r="H146" i="6"/>
  <c r="I146" i="6"/>
  <c r="L146" i="6"/>
  <c r="M146" i="6"/>
  <c r="N146" i="6"/>
  <c r="O146" i="6"/>
  <c r="P146" i="6"/>
  <c r="Q146" i="6"/>
  <c r="R146" i="6"/>
  <c r="S146" i="6"/>
  <c r="T146" i="6"/>
  <c r="U146" i="6"/>
  <c r="V146" i="6"/>
  <c r="W146" i="6"/>
  <c r="X146" i="6"/>
  <c r="Y146" i="6"/>
  <c r="Z146" i="6"/>
  <c r="AC146" i="6"/>
  <c r="AD146" i="6"/>
  <c r="AE146" i="6"/>
  <c r="AF146" i="6"/>
  <c r="AG146" i="6"/>
  <c r="AH146" i="6"/>
  <c r="AI146" i="6"/>
  <c r="AJ146" i="6"/>
  <c r="AK146" i="6"/>
  <c r="AL146" i="6"/>
  <c r="AN146" i="6"/>
  <c r="AO146" i="6"/>
  <c r="AP146" i="6"/>
  <c r="AQ146" i="6"/>
  <c r="AR146" i="6"/>
  <c r="AS146" i="6"/>
  <c r="AT146" i="6"/>
  <c r="AU146" i="6"/>
  <c r="AV146" i="6"/>
  <c r="AW146" i="6"/>
  <c r="AX146" i="6"/>
  <c r="AY146" i="6"/>
  <c r="AZ146" i="6"/>
  <c r="BA146" i="6"/>
  <c r="BB146" i="6"/>
  <c r="BC146" i="6"/>
  <c r="BD146" i="6"/>
  <c r="BE146" i="6"/>
  <c r="BF146" i="6"/>
  <c r="BG146" i="6"/>
  <c r="F147" i="6"/>
  <c r="G147" i="6"/>
  <c r="H147" i="6"/>
  <c r="I147" i="6"/>
  <c r="L147" i="6"/>
  <c r="M147" i="6"/>
  <c r="N147" i="6"/>
  <c r="O147" i="6"/>
  <c r="P147" i="6"/>
  <c r="Q147" i="6"/>
  <c r="R147" i="6"/>
  <c r="S147" i="6"/>
  <c r="T147" i="6"/>
  <c r="U147" i="6"/>
  <c r="V147" i="6"/>
  <c r="W147" i="6"/>
  <c r="X147" i="6"/>
  <c r="Y147" i="6"/>
  <c r="Z147" i="6"/>
  <c r="AC147" i="6"/>
  <c r="AD147" i="6"/>
  <c r="AE147" i="6"/>
  <c r="AF147" i="6"/>
  <c r="AG147" i="6"/>
  <c r="AH147" i="6"/>
  <c r="AI147" i="6"/>
  <c r="AJ147" i="6"/>
  <c r="AK147" i="6"/>
  <c r="AL147" i="6"/>
  <c r="AN147" i="6"/>
  <c r="AO147" i="6"/>
  <c r="AP147" i="6"/>
  <c r="AQ147" i="6"/>
  <c r="AR147" i="6"/>
  <c r="AS147" i="6"/>
  <c r="AT147" i="6"/>
  <c r="AU147" i="6"/>
  <c r="AV147" i="6"/>
  <c r="AW147" i="6"/>
  <c r="AX147" i="6"/>
  <c r="AY147" i="6"/>
  <c r="AZ147" i="6"/>
  <c r="BA147" i="6"/>
  <c r="BB147" i="6"/>
  <c r="BC147" i="6"/>
  <c r="BD147" i="6"/>
  <c r="BE147" i="6"/>
  <c r="BF147" i="6"/>
  <c r="BG147" i="6"/>
  <c r="F148" i="6"/>
  <c r="G148" i="6"/>
  <c r="H148" i="6"/>
  <c r="I148" i="6"/>
  <c r="L148" i="6"/>
  <c r="M148" i="6"/>
  <c r="N148" i="6"/>
  <c r="O148" i="6"/>
  <c r="P148" i="6"/>
  <c r="Q148" i="6"/>
  <c r="R148" i="6"/>
  <c r="S148" i="6"/>
  <c r="T148" i="6"/>
  <c r="U148" i="6"/>
  <c r="V148" i="6"/>
  <c r="W148" i="6"/>
  <c r="X148" i="6"/>
  <c r="Y148" i="6"/>
  <c r="Z148" i="6"/>
  <c r="AC148" i="6"/>
  <c r="AD148" i="6"/>
  <c r="AE148" i="6"/>
  <c r="AF148" i="6"/>
  <c r="AG148" i="6"/>
  <c r="AH148" i="6"/>
  <c r="AI148" i="6"/>
  <c r="AJ148" i="6"/>
  <c r="AK148" i="6"/>
  <c r="AL148" i="6"/>
  <c r="AN148" i="6"/>
  <c r="AO148" i="6"/>
  <c r="AP148" i="6"/>
  <c r="AQ148" i="6"/>
  <c r="AR148" i="6"/>
  <c r="AS148" i="6"/>
  <c r="AT148" i="6"/>
  <c r="AU148" i="6"/>
  <c r="AV148" i="6"/>
  <c r="AW148" i="6"/>
  <c r="AX148" i="6"/>
  <c r="AY148" i="6"/>
  <c r="AZ148" i="6"/>
  <c r="BA148" i="6"/>
  <c r="BB148" i="6"/>
  <c r="BC148" i="6"/>
  <c r="BD148" i="6"/>
  <c r="BE148" i="6"/>
  <c r="BF148" i="6"/>
  <c r="BG148" i="6"/>
  <c r="F149" i="6"/>
  <c r="G149" i="6"/>
  <c r="H149" i="6"/>
  <c r="I149" i="6"/>
  <c r="L149" i="6"/>
  <c r="M149" i="6"/>
  <c r="N149" i="6"/>
  <c r="O149" i="6"/>
  <c r="P149" i="6"/>
  <c r="Q149" i="6"/>
  <c r="R149" i="6"/>
  <c r="S149" i="6"/>
  <c r="T149" i="6"/>
  <c r="U149" i="6"/>
  <c r="V149" i="6"/>
  <c r="W149" i="6"/>
  <c r="X149" i="6"/>
  <c r="Y149" i="6"/>
  <c r="Z149" i="6"/>
  <c r="AC149" i="6"/>
  <c r="AD149" i="6"/>
  <c r="AE149" i="6"/>
  <c r="AF149" i="6"/>
  <c r="AG149" i="6"/>
  <c r="AH149" i="6"/>
  <c r="AI149" i="6"/>
  <c r="AJ149" i="6"/>
  <c r="AK149" i="6"/>
  <c r="AL149" i="6"/>
  <c r="AN149" i="6"/>
  <c r="AO149" i="6"/>
  <c r="AP149" i="6"/>
  <c r="AQ149" i="6"/>
  <c r="AR149" i="6"/>
  <c r="AS149" i="6"/>
  <c r="AT149" i="6"/>
  <c r="AU149" i="6"/>
  <c r="AV149" i="6"/>
  <c r="AW149" i="6"/>
  <c r="AX149" i="6"/>
  <c r="AY149" i="6"/>
  <c r="AZ149" i="6"/>
  <c r="BA149" i="6"/>
  <c r="BB149" i="6"/>
  <c r="BC149" i="6"/>
  <c r="BD149" i="6"/>
  <c r="BE149" i="6"/>
  <c r="BF149" i="6"/>
  <c r="BG149" i="6"/>
  <c r="F150" i="6"/>
  <c r="G150" i="6"/>
  <c r="H150" i="6"/>
  <c r="I150" i="6"/>
  <c r="L150" i="6"/>
  <c r="M150" i="6"/>
  <c r="N150" i="6"/>
  <c r="O150" i="6"/>
  <c r="P150" i="6"/>
  <c r="Q150" i="6"/>
  <c r="R150" i="6"/>
  <c r="S150" i="6"/>
  <c r="T150" i="6"/>
  <c r="U150" i="6"/>
  <c r="V150" i="6"/>
  <c r="W150" i="6"/>
  <c r="X150" i="6"/>
  <c r="Y150" i="6"/>
  <c r="Z150" i="6"/>
  <c r="AC150" i="6"/>
  <c r="AD150" i="6"/>
  <c r="AE150" i="6"/>
  <c r="AF150" i="6"/>
  <c r="AG150" i="6"/>
  <c r="AH150" i="6"/>
  <c r="AI150" i="6"/>
  <c r="AJ150" i="6"/>
  <c r="AK150" i="6"/>
  <c r="AL150" i="6"/>
  <c r="AN150" i="6"/>
  <c r="AO150" i="6"/>
  <c r="AP150" i="6"/>
  <c r="AQ150" i="6"/>
  <c r="AR150" i="6"/>
  <c r="AS150" i="6"/>
  <c r="AT150" i="6"/>
  <c r="AU150" i="6"/>
  <c r="AV150" i="6"/>
  <c r="AW150" i="6"/>
  <c r="AX150" i="6"/>
  <c r="AY150" i="6"/>
  <c r="AZ150" i="6"/>
  <c r="BA150" i="6"/>
  <c r="BB150" i="6"/>
  <c r="BC150" i="6"/>
  <c r="BD150" i="6"/>
  <c r="BE150" i="6"/>
  <c r="BF150" i="6"/>
  <c r="BG150" i="6"/>
  <c r="F151" i="6"/>
  <c r="G151" i="6"/>
  <c r="H151" i="6"/>
  <c r="I151" i="6"/>
  <c r="L151" i="6"/>
  <c r="M151" i="6"/>
  <c r="N151" i="6"/>
  <c r="O151" i="6"/>
  <c r="P151" i="6"/>
  <c r="Q151" i="6"/>
  <c r="R151" i="6"/>
  <c r="S151" i="6"/>
  <c r="T151" i="6"/>
  <c r="U151" i="6"/>
  <c r="V151" i="6"/>
  <c r="W151" i="6"/>
  <c r="X151" i="6"/>
  <c r="Y151" i="6"/>
  <c r="Z151" i="6"/>
  <c r="AC151" i="6"/>
  <c r="AD151" i="6"/>
  <c r="AE151" i="6"/>
  <c r="AF151" i="6"/>
  <c r="AG151" i="6"/>
  <c r="AH151" i="6"/>
  <c r="AI151" i="6"/>
  <c r="AJ151" i="6"/>
  <c r="AK151" i="6"/>
  <c r="AL151" i="6"/>
  <c r="AN151" i="6"/>
  <c r="AO151" i="6"/>
  <c r="AP151" i="6"/>
  <c r="AQ151" i="6"/>
  <c r="AR151" i="6"/>
  <c r="AS151" i="6"/>
  <c r="AT151" i="6"/>
  <c r="AU151" i="6"/>
  <c r="AV151" i="6"/>
  <c r="AW151" i="6"/>
  <c r="AX151" i="6"/>
  <c r="AY151" i="6"/>
  <c r="AZ151" i="6"/>
  <c r="BA151" i="6"/>
  <c r="BB151" i="6"/>
  <c r="BC151" i="6"/>
  <c r="BD151" i="6"/>
  <c r="BE151" i="6"/>
  <c r="BF151" i="6"/>
  <c r="BG151" i="6"/>
  <c r="F152" i="6"/>
  <c r="G152" i="6"/>
  <c r="H152" i="6"/>
  <c r="I152" i="6"/>
  <c r="L152" i="6"/>
  <c r="M152" i="6"/>
  <c r="N152" i="6"/>
  <c r="O152" i="6"/>
  <c r="P152" i="6"/>
  <c r="Q152" i="6"/>
  <c r="R152" i="6"/>
  <c r="S152" i="6"/>
  <c r="T152" i="6"/>
  <c r="U152" i="6"/>
  <c r="V152" i="6"/>
  <c r="W152" i="6"/>
  <c r="X152" i="6"/>
  <c r="Y152" i="6"/>
  <c r="Z152" i="6"/>
  <c r="AC152" i="6"/>
  <c r="AD152" i="6"/>
  <c r="AE152" i="6"/>
  <c r="AF152" i="6"/>
  <c r="AG152" i="6"/>
  <c r="AH152" i="6"/>
  <c r="AI152" i="6"/>
  <c r="AJ152" i="6"/>
  <c r="AK152" i="6"/>
  <c r="AL152" i="6"/>
  <c r="AN152" i="6"/>
  <c r="AO152" i="6"/>
  <c r="AP152" i="6"/>
  <c r="AQ152" i="6"/>
  <c r="AR152" i="6"/>
  <c r="AS152" i="6"/>
  <c r="AT152" i="6"/>
  <c r="AU152" i="6"/>
  <c r="AV152" i="6"/>
  <c r="AW152" i="6"/>
  <c r="AX152" i="6"/>
  <c r="AY152" i="6"/>
  <c r="AZ152" i="6"/>
  <c r="BA152" i="6"/>
  <c r="BB152" i="6"/>
  <c r="BC152" i="6"/>
  <c r="BD152" i="6"/>
  <c r="BE152" i="6"/>
  <c r="BF152" i="6"/>
  <c r="BG152" i="6"/>
  <c r="F153" i="6"/>
  <c r="G153" i="6"/>
  <c r="H153" i="6"/>
  <c r="I153" i="6"/>
  <c r="L153" i="6"/>
  <c r="M153" i="6"/>
  <c r="N153" i="6"/>
  <c r="O153" i="6"/>
  <c r="P153" i="6"/>
  <c r="Q153" i="6"/>
  <c r="R153" i="6"/>
  <c r="S153" i="6"/>
  <c r="T153" i="6"/>
  <c r="U153" i="6"/>
  <c r="V153" i="6"/>
  <c r="W153" i="6"/>
  <c r="X153" i="6"/>
  <c r="Y153" i="6"/>
  <c r="Z153" i="6"/>
  <c r="AC153" i="6"/>
  <c r="AD153" i="6"/>
  <c r="AE153" i="6"/>
  <c r="AF153" i="6"/>
  <c r="AG153" i="6"/>
  <c r="AH153" i="6"/>
  <c r="AI153" i="6"/>
  <c r="AJ153" i="6"/>
  <c r="AK153" i="6"/>
  <c r="AL153" i="6"/>
  <c r="AN153" i="6"/>
  <c r="AO153" i="6"/>
  <c r="AP153" i="6"/>
  <c r="AQ153" i="6"/>
  <c r="AR153" i="6"/>
  <c r="AS153" i="6"/>
  <c r="AT153" i="6"/>
  <c r="AU153" i="6"/>
  <c r="AV153" i="6"/>
  <c r="AW153" i="6"/>
  <c r="AX153" i="6"/>
  <c r="AY153" i="6"/>
  <c r="AZ153" i="6"/>
  <c r="BA153" i="6"/>
  <c r="BB153" i="6"/>
  <c r="BC153" i="6"/>
  <c r="BD153" i="6"/>
  <c r="BE153" i="6"/>
  <c r="BF153" i="6"/>
  <c r="BG153" i="6"/>
  <c r="F154" i="6"/>
  <c r="G154" i="6"/>
  <c r="H154" i="6"/>
  <c r="I154" i="6"/>
  <c r="L154" i="6"/>
  <c r="M154" i="6"/>
  <c r="N154" i="6"/>
  <c r="O154" i="6"/>
  <c r="P154" i="6"/>
  <c r="Q154" i="6"/>
  <c r="R154" i="6"/>
  <c r="S154" i="6"/>
  <c r="T154" i="6"/>
  <c r="U154" i="6"/>
  <c r="V154" i="6"/>
  <c r="W154" i="6"/>
  <c r="X154" i="6"/>
  <c r="Y154" i="6"/>
  <c r="Z154" i="6"/>
  <c r="AC154" i="6"/>
  <c r="AD154" i="6"/>
  <c r="AE154" i="6"/>
  <c r="AF154" i="6"/>
  <c r="AG154" i="6"/>
  <c r="AH154" i="6"/>
  <c r="AI154" i="6"/>
  <c r="AJ154" i="6"/>
  <c r="AK154" i="6"/>
  <c r="AL154" i="6"/>
  <c r="AN154" i="6"/>
  <c r="AO154" i="6"/>
  <c r="AP154" i="6"/>
  <c r="AQ154" i="6"/>
  <c r="AR154" i="6"/>
  <c r="AS154" i="6"/>
  <c r="AT154" i="6"/>
  <c r="AU154" i="6"/>
  <c r="AV154" i="6"/>
  <c r="AW154" i="6"/>
  <c r="AX154" i="6"/>
  <c r="AY154" i="6"/>
  <c r="AZ154" i="6"/>
  <c r="BA154" i="6"/>
  <c r="BB154" i="6"/>
  <c r="BC154" i="6"/>
  <c r="BD154" i="6"/>
  <c r="BE154" i="6"/>
  <c r="BF154" i="6"/>
  <c r="BG154" i="6"/>
  <c r="F155" i="6"/>
  <c r="G155" i="6"/>
  <c r="H155" i="6"/>
  <c r="I155" i="6"/>
  <c r="L155" i="6"/>
  <c r="M155" i="6"/>
  <c r="N155" i="6"/>
  <c r="O155" i="6"/>
  <c r="P155" i="6"/>
  <c r="Q155" i="6"/>
  <c r="R155" i="6"/>
  <c r="S155" i="6"/>
  <c r="T155" i="6"/>
  <c r="U155" i="6"/>
  <c r="V155" i="6"/>
  <c r="W155" i="6"/>
  <c r="X155" i="6"/>
  <c r="Y155" i="6"/>
  <c r="Z155" i="6"/>
  <c r="AC155" i="6"/>
  <c r="AD155" i="6"/>
  <c r="AE155" i="6"/>
  <c r="AF155" i="6"/>
  <c r="AG155" i="6"/>
  <c r="AH155" i="6"/>
  <c r="AI155" i="6"/>
  <c r="AJ155" i="6"/>
  <c r="AK155" i="6"/>
  <c r="AL155" i="6"/>
  <c r="AN155" i="6"/>
  <c r="AO155" i="6"/>
  <c r="AP155" i="6"/>
  <c r="AQ155" i="6"/>
  <c r="AR155" i="6"/>
  <c r="AS155" i="6"/>
  <c r="AT155" i="6"/>
  <c r="AU155" i="6"/>
  <c r="AV155" i="6"/>
  <c r="AW155" i="6"/>
  <c r="AX155" i="6"/>
  <c r="AY155" i="6"/>
  <c r="AZ155" i="6"/>
  <c r="BA155" i="6"/>
  <c r="BB155" i="6"/>
  <c r="BC155" i="6"/>
  <c r="BD155" i="6"/>
  <c r="BE155" i="6"/>
  <c r="BF155" i="6"/>
  <c r="BG155" i="6"/>
  <c r="F156" i="6"/>
  <c r="G156" i="6"/>
  <c r="H156" i="6"/>
  <c r="I156" i="6"/>
  <c r="L156" i="6"/>
  <c r="M156" i="6"/>
  <c r="N156" i="6"/>
  <c r="O156" i="6"/>
  <c r="P156" i="6"/>
  <c r="Q156" i="6"/>
  <c r="R156" i="6"/>
  <c r="S156" i="6"/>
  <c r="T156" i="6"/>
  <c r="U156" i="6"/>
  <c r="V156" i="6"/>
  <c r="W156" i="6"/>
  <c r="X156" i="6"/>
  <c r="Y156" i="6"/>
  <c r="Z156" i="6"/>
  <c r="AC156" i="6"/>
  <c r="AD156" i="6"/>
  <c r="AE156" i="6"/>
  <c r="AF156" i="6"/>
  <c r="AG156" i="6"/>
  <c r="AH156" i="6"/>
  <c r="AI156" i="6"/>
  <c r="AJ156" i="6"/>
  <c r="AK156" i="6"/>
  <c r="AL156" i="6"/>
  <c r="AN156" i="6"/>
  <c r="AO156" i="6"/>
  <c r="AP156" i="6"/>
  <c r="AQ156" i="6"/>
  <c r="AR156" i="6"/>
  <c r="AS156" i="6"/>
  <c r="AT156" i="6"/>
  <c r="AU156" i="6"/>
  <c r="AV156" i="6"/>
  <c r="AW156" i="6"/>
  <c r="AX156" i="6"/>
  <c r="AY156" i="6"/>
  <c r="AZ156" i="6"/>
  <c r="BA156" i="6"/>
  <c r="BB156" i="6"/>
  <c r="BC156" i="6"/>
  <c r="BD156" i="6"/>
  <c r="BE156" i="6"/>
  <c r="BF156" i="6"/>
  <c r="BG156" i="6"/>
  <c r="F157" i="6"/>
  <c r="G157" i="6"/>
  <c r="H157" i="6"/>
  <c r="I157" i="6"/>
  <c r="L157" i="6"/>
  <c r="M157" i="6"/>
  <c r="N157" i="6"/>
  <c r="O157" i="6"/>
  <c r="P157" i="6"/>
  <c r="Q157" i="6"/>
  <c r="R157" i="6"/>
  <c r="S157" i="6"/>
  <c r="T157" i="6"/>
  <c r="U157" i="6"/>
  <c r="V157" i="6"/>
  <c r="W157" i="6"/>
  <c r="X157" i="6"/>
  <c r="Y157" i="6"/>
  <c r="Z157" i="6"/>
  <c r="AC157" i="6"/>
  <c r="AD157" i="6"/>
  <c r="AE157" i="6"/>
  <c r="AF157" i="6"/>
  <c r="AG157" i="6"/>
  <c r="AH157" i="6"/>
  <c r="AI157" i="6"/>
  <c r="AJ157" i="6"/>
  <c r="AK157" i="6"/>
  <c r="AL157" i="6"/>
  <c r="AN157" i="6"/>
  <c r="AO157" i="6"/>
  <c r="AP157" i="6"/>
  <c r="AQ157" i="6"/>
  <c r="AR157" i="6"/>
  <c r="AS157" i="6"/>
  <c r="AT157" i="6"/>
  <c r="AU157" i="6"/>
  <c r="AV157" i="6"/>
  <c r="AW157" i="6"/>
  <c r="AX157" i="6"/>
  <c r="AY157" i="6"/>
  <c r="AZ157" i="6"/>
  <c r="BA157" i="6"/>
  <c r="BB157" i="6"/>
  <c r="BC157" i="6"/>
  <c r="BD157" i="6"/>
  <c r="BE157" i="6"/>
  <c r="BF157" i="6"/>
  <c r="BG157" i="6"/>
  <c r="F158" i="6"/>
  <c r="G158" i="6"/>
  <c r="H158" i="6"/>
  <c r="I158" i="6"/>
  <c r="L158" i="6"/>
  <c r="M158" i="6"/>
  <c r="N158" i="6"/>
  <c r="O158" i="6"/>
  <c r="P158" i="6"/>
  <c r="Q158" i="6"/>
  <c r="R158" i="6"/>
  <c r="S158" i="6"/>
  <c r="T158" i="6"/>
  <c r="U158" i="6"/>
  <c r="V158" i="6"/>
  <c r="W158" i="6"/>
  <c r="X158" i="6"/>
  <c r="Y158" i="6"/>
  <c r="Z158" i="6"/>
  <c r="AC158" i="6"/>
  <c r="AD158" i="6"/>
  <c r="AE158" i="6"/>
  <c r="AF158" i="6"/>
  <c r="AG158" i="6"/>
  <c r="AH158" i="6"/>
  <c r="AI158" i="6"/>
  <c r="AJ158" i="6"/>
  <c r="AK158" i="6"/>
  <c r="AL158" i="6"/>
  <c r="AN158" i="6"/>
  <c r="AO158" i="6"/>
  <c r="AP158" i="6"/>
  <c r="AQ158" i="6"/>
  <c r="AR158" i="6"/>
  <c r="AS158" i="6"/>
  <c r="AT158" i="6"/>
  <c r="AU158" i="6"/>
  <c r="AV158" i="6"/>
  <c r="AW158" i="6"/>
  <c r="AX158" i="6"/>
  <c r="AY158" i="6"/>
  <c r="AZ158" i="6"/>
  <c r="BA158" i="6"/>
  <c r="BB158" i="6"/>
  <c r="BC158" i="6"/>
  <c r="BD158" i="6"/>
  <c r="BE158" i="6"/>
  <c r="BF158" i="6"/>
  <c r="BG158" i="6"/>
  <c r="F159" i="6"/>
  <c r="G159" i="6"/>
  <c r="H159" i="6"/>
  <c r="I159" i="6"/>
  <c r="L159" i="6"/>
  <c r="M159" i="6"/>
  <c r="N159" i="6"/>
  <c r="O159" i="6"/>
  <c r="P159" i="6"/>
  <c r="Q159" i="6"/>
  <c r="R159" i="6"/>
  <c r="S159" i="6"/>
  <c r="T159" i="6"/>
  <c r="U159" i="6"/>
  <c r="V159" i="6"/>
  <c r="W159" i="6"/>
  <c r="X159" i="6"/>
  <c r="Y159" i="6"/>
  <c r="Z159" i="6"/>
  <c r="AC159" i="6"/>
  <c r="AD159" i="6"/>
  <c r="AE159" i="6"/>
  <c r="AF159" i="6"/>
  <c r="AG159" i="6"/>
  <c r="AH159" i="6"/>
  <c r="AI159" i="6"/>
  <c r="AJ159" i="6"/>
  <c r="AK159" i="6"/>
  <c r="AL159" i="6"/>
  <c r="AN159" i="6"/>
  <c r="AO159" i="6"/>
  <c r="AP159" i="6"/>
  <c r="AQ159" i="6"/>
  <c r="AR159" i="6"/>
  <c r="AS159" i="6"/>
  <c r="AT159" i="6"/>
  <c r="AU159" i="6"/>
  <c r="AV159" i="6"/>
  <c r="AW159" i="6"/>
  <c r="AX159" i="6"/>
  <c r="AY159" i="6"/>
  <c r="AZ159" i="6"/>
  <c r="BA159" i="6"/>
  <c r="BB159" i="6"/>
  <c r="BC159" i="6"/>
  <c r="BD159" i="6"/>
  <c r="BE159" i="6"/>
  <c r="BF159" i="6"/>
  <c r="BG159" i="6"/>
  <c r="F160" i="6"/>
  <c r="G160" i="6"/>
  <c r="H160" i="6"/>
  <c r="I160" i="6"/>
  <c r="L160" i="6"/>
  <c r="M160" i="6"/>
  <c r="N160" i="6"/>
  <c r="O160" i="6"/>
  <c r="P160" i="6"/>
  <c r="Q160" i="6"/>
  <c r="R160" i="6"/>
  <c r="S160" i="6"/>
  <c r="T160" i="6"/>
  <c r="U160" i="6"/>
  <c r="V160" i="6"/>
  <c r="W160" i="6"/>
  <c r="X160" i="6"/>
  <c r="Y160" i="6"/>
  <c r="Z160" i="6"/>
  <c r="AC160" i="6"/>
  <c r="AD160" i="6"/>
  <c r="AE160" i="6"/>
  <c r="AF160" i="6"/>
  <c r="AG160" i="6"/>
  <c r="AH160" i="6"/>
  <c r="AI160" i="6"/>
  <c r="AJ160" i="6"/>
  <c r="AK160" i="6"/>
  <c r="AL160" i="6"/>
  <c r="AN160" i="6"/>
  <c r="AO160" i="6"/>
  <c r="AP160" i="6"/>
  <c r="AQ160" i="6"/>
  <c r="AR160" i="6"/>
  <c r="AS160" i="6"/>
  <c r="AT160" i="6"/>
  <c r="AU160" i="6"/>
  <c r="AV160" i="6"/>
  <c r="AW160" i="6"/>
  <c r="AX160" i="6"/>
  <c r="AY160" i="6"/>
  <c r="AZ160" i="6"/>
  <c r="BA160" i="6"/>
  <c r="BB160" i="6"/>
  <c r="BC160" i="6"/>
  <c r="BD160" i="6"/>
  <c r="BE160" i="6"/>
  <c r="BF160" i="6"/>
  <c r="BG160" i="6"/>
  <c r="F161" i="6"/>
  <c r="G161" i="6"/>
  <c r="H161" i="6"/>
  <c r="I161" i="6"/>
  <c r="L161" i="6"/>
  <c r="M161" i="6"/>
  <c r="N161" i="6"/>
  <c r="O161" i="6"/>
  <c r="P161" i="6"/>
  <c r="Q161" i="6"/>
  <c r="R161" i="6"/>
  <c r="S161" i="6"/>
  <c r="T161" i="6"/>
  <c r="U161" i="6"/>
  <c r="V161" i="6"/>
  <c r="W161" i="6"/>
  <c r="X161" i="6"/>
  <c r="Y161" i="6"/>
  <c r="Z161" i="6"/>
  <c r="AC161" i="6"/>
  <c r="AD161" i="6"/>
  <c r="AE161" i="6"/>
  <c r="AF161" i="6"/>
  <c r="AG161" i="6"/>
  <c r="AH161" i="6"/>
  <c r="AI161" i="6"/>
  <c r="AJ161" i="6"/>
  <c r="AK161" i="6"/>
  <c r="AL161" i="6"/>
  <c r="AN161" i="6"/>
  <c r="AO161" i="6"/>
  <c r="AP161" i="6"/>
  <c r="AQ161" i="6"/>
  <c r="AR161" i="6"/>
  <c r="AS161" i="6"/>
  <c r="AT161" i="6"/>
  <c r="AU161" i="6"/>
  <c r="AV161" i="6"/>
  <c r="AW161" i="6"/>
  <c r="AX161" i="6"/>
  <c r="AY161" i="6"/>
  <c r="AZ161" i="6"/>
  <c r="BA161" i="6"/>
  <c r="BB161" i="6"/>
  <c r="BC161" i="6"/>
  <c r="BD161" i="6"/>
  <c r="BE161" i="6"/>
  <c r="BF161" i="6"/>
  <c r="BG161" i="6"/>
  <c r="F162" i="6"/>
  <c r="G162" i="6"/>
  <c r="H162" i="6"/>
  <c r="I162" i="6"/>
  <c r="L162" i="6"/>
  <c r="M162" i="6"/>
  <c r="N162" i="6"/>
  <c r="O162" i="6"/>
  <c r="P162" i="6"/>
  <c r="Q162" i="6"/>
  <c r="R162" i="6"/>
  <c r="S162" i="6"/>
  <c r="T162" i="6"/>
  <c r="U162" i="6"/>
  <c r="V162" i="6"/>
  <c r="W162" i="6"/>
  <c r="X162" i="6"/>
  <c r="Y162" i="6"/>
  <c r="Z162" i="6"/>
  <c r="AC162" i="6"/>
  <c r="AD162" i="6"/>
  <c r="AE162" i="6"/>
  <c r="AF162" i="6"/>
  <c r="AG162" i="6"/>
  <c r="AH162" i="6"/>
  <c r="AI162" i="6"/>
  <c r="AJ162" i="6"/>
  <c r="AK162" i="6"/>
  <c r="AL162" i="6"/>
  <c r="AN162" i="6"/>
  <c r="AO162" i="6"/>
  <c r="AP162" i="6"/>
  <c r="AQ162" i="6"/>
  <c r="AR162" i="6"/>
  <c r="AS162" i="6"/>
  <c r="AT162" i="6"/>
  <c r="AU162" i="6"/>
  <c r="AV162" i="6"/>
  <c r="AW162" i="6"/>
  <c r="AX162" i="6"/>
  <c r="AY162" i="6"/>
  <c r="AZ162" i="6"/>
  <c r="BA162" i="6"/>
  <c r="BB162" i="6"/>
  <c r="BC162" i="6"/>
  <c r="BD162" i="6"/>
  <c r="BE162" i="6"/>
  <c r="BF162" i="6"/>
  <c r="BG162" i="6"/>
  <c r="F163" i="6"/>
  <c r="G163" i="6"/>
  <c r="H163" i="6"/>
  <c r="I163" i="6"/>
  <c r="L163" i="6"/>
  <c r="M163" i="6"/>
  <c r="N163" i="6"/>
  <c r="O163" i="6"/>
  <c r="P163" i="6"/>
  <c r="Q163" i="6"/>
  <c r="R163" i="6"/>
  <c r="S163" i="6"/>
  <c r="T163" i="6"/>
  <c r="U163" i="6"/>
  <c r="V163" i="6"/>
  <c r="W163" i="6"/>
  <c r="X163" i="6"/>
  <c r="Y163" i="6"/>
  <c r="Z163" i="6"/>
  <c r="AC163" i="6"/>
  <c r="AD163" i="6"/>
  <c r="AE163" i="6"/>
  <c r="AF163" i="6"/>
  <c r="AG163" i="6"/>
  <c r="AH163" i="6"/>
  <c r="AI163" i="6"/>
  <c r="AJ163" i="6"/>
  <c r="AK163" i="6"/>
  <c r="AL163" i="6"/>
  <c r="AN163" i="6"/>
  <c r="AO163" i="6"/>
  <c r="AP163" i="6"/>
  <c r="AQ163" i="6"/>
  <c r="AR163" i="6"/>
  <c r="AS163" i="6"/>
  <c r="AT163" i="6"/>
  <c r="AU163" i="6"/>
  <c r="AV163" i="6"/>
  <c r="AW163" i="6"/>
  <c r="AX163" i="6"/>
  <c r="AY163" i="6"/>
  <c r="AZ163" i="6"/>
  <c r="BA163" i="6"/>
  <c r="BB163" i="6"/>
  <c r="BC163" i="6"/>
  <c r="BD163" i="6"/>
  <c r="BE163" i="6"/>
  <c r="BF163" i="6"/>
  <c r="BG163" i="6"/>
  <c r="F164" i="6"/>
  <c r="G164" i="6"/>
  <c r="H164" i="6"/>
  <c r="I164" i="6"/>
  <c r="L164" i="6"/>
  <c r="M164" i="6"/>
  <c r="N164" i="6"/>
  <c r="O164" i="6"/>
  <c r="P164" i="6"/>
  <c r="Q164" i="6"/>
  <c r="R164" i="6"/>
  <c r="S164" i="6"/>
  <c r="T164" i="6"/>
  <c r="U164" i="6"/>
  <c r="V164" i="6"/>
  <c r="W164" i="6"/>
  <c r="X164" i="6"/>
  <c r="Y164" i="6"/>
  <c r="Z164" i="6"/>
  <c r="AC164" i="6"/>
  <c r="AD164" i="6"/>
  <c r="AE164" i="6"/>
  <c r="AF164" i="6"/>
  <c r="AG164" i="6"/>
  <c r="AH164" i="6"/>
  <c r="AI164" i="6"/>
  <c r="AJ164" i="6"/>
  <c r="AK164" i="6"/>
  <c r="AL164" i="6"/>
  <c r="AN164" i="6"/>
  <c r="AO164" i="6"/>
  <c r="AP164" i="6"/>
  <c r="AQ164" i="6"/>
  <c r="AR164" i="6"/>
  <c r="AS164" i="6"/>
  <c r="AT164" i="6"/>
  <c r="AU164" i="6"/>
  <c r="AV164" i="6"/>
  <c r="AW164" i="6"/>
  <c r="AX164" i="6"/>
  <c r="AY164" i="6"/>
  <c r="AZ164" i="6"/>
  <c r="BA164" i="6"/>
  <c r="BB164" i="6"/>
  <c r="BC164" i="6"/>
  <c r="BD164" i="6"/>
  <c r="BE164" i="6"/>
  <c r="BF164" i="6"/>
  <c r="BG164" i="6"/>
  <c r="F165" i="6"/>
  <c r="G165" i="6"/>
  <c r="H165" i="6"/>
  <c r="I165" i="6"/>
  <c r="L165" i="6"/>
  <c r="M165" i="6"/>
  <c r="N165" i="6"/>
  <c r="O165" i="6"/>
  <c r="P165" i="6"/>
  <c r="Q165" i="6"/>
  <c r="R165" i="6"/>
  <c r="S165" i="6"/>
  <c r="T165" i="6"/>
  <c r="U165" i="6"/>
  <c r="V165" i="6"/>
  <c r="W165" i="6"/>
  <c r="X165" i="6"/>
  <c r="Y165" i="6"/>
  <c r="Z165" i="6"/>
  <c r="AC165" i="6"/>
  <c r="AD165" i="6"/>
  <c r="AE165" i="6"/>
  <c r="AF165" i="6"/>
  <c r="AG165" i="6"/>
  <c r="AH165" i="6"/>
  <c r="AI165" i="6"/>
  <c r="AJ165" i="6"/>
  <c r="AK165" i="6"/>
  <c r="AL165" i="6"/>
  <c r="AN165" i="6"/>
  <c r="AO165" i="6"/>
  <c r="AP165" i="6"/>
  <c r="AQ165" i="6"/>
  <c r="AR165" i="6"/>
  <c r="AS165" i="6"/>
  <c r="AT165" i="6"/>
  <c r="AU165" i="6"/>
  <c r="AV165" i="6"/>
  <c r="AW165" i="6"/>
  <c r="AX165" i="6"/>
  <c r="AY165" i="6"/>
  <c r="AZ165" i="6"/>
  <c r="BA165" i="6"/>
  <c r="BB165" i="6"/>
  <c r="BC165" i="6"/>
  <c r="BD165" i="6"/>
  <c r="BE165" i="6"/>
  <c r="BF165" i="6"/>
  <c r="BG165" i="6"/>
  <c r="F166" i="6"/>
  <c r="G166" i="6"/>
  <c r="H166" i="6"/>
  <c r="I166" i="6"/>
  <c r="L166" i="6"/>
  <c r="M166" i="6"/>
  <c r="N166" i="6"/>
  <c r="O166" i="6"/>
  <c r="P166" i="6"/>
  <c r="Q166" i="6"/>
  <c r="R166" i="6"/>
  <c r="S166" i="6"/>
  <c r="T166" i="6"/>
  <c r="U166" i="6"/>
  <c r="V166" i="6"/>
  <c r="W166" i="6"/>
  <c r="X166" i="6"/>
  <c r="Y166" i="6"/>
  <c r="Z166" i="6"/>
  <c r="AC166" i="6"/>
  <c r="AD166" i="6"/>
  <c r="AE166" i="6"/>
  <c r="AF166" i="6"/>
  <c r="AG166" i="6"/>
  <c r="AH166" i="6"/>
  <c r="AI166" i="6"/>
  <c r="AJ166" i="6"/>
  <c r="AK166" i="6"/>
  <c r="AL166" i="6"/>
  <c r="AN166" i="6"/>
  <c r="AO166" i="6"/>
  <c r="AP166" i="6"/>
  <c r="AQ166" i="6"/>
  <c r="AR166" i="6"/>
  <c r="AS166" i="6"/>
  <c r="AT166" i="6"/>
  <c r="AU166" i="6"/>
  <c r="AV166" i="6"/>
  <c r="AW166" i="6"/>
  <c r="AX166" i="6"/>
  <c r="AY166" i="6"/>
  <c r="AZ166" i="6"/>
  <c r="BA166" i="6"/>
  <c r="BB166" i="6"/>
  <c r="BC166" i="6"/>
  <c r="BD166" i="6"/>
  <c r="BE166" i="6"/>
  <c r="BF166" i="6"/>
  <c r="BG166" i="6"/>
  <c r="F167" i="6"/>
  <c r="G167" i="6"/>
  <c r="H167" i="6"/>
  <c r="I167" i="6"/>
  <c r="L167" i="6"/>
  <c r="M167" i="6"/>
  <c r="N167" i="6"/>
  <c r="O167" i="6"/>
  <c r="P167" i="6"/>
  <c r="Q167" i="6"/>
  <c r="R167" i="6"/>
  <c r="S167" i="6"/>
  <c r="T167" i="6"/>
  <c r="U167" i="6"/>
  <c r="V167" i="6"/>
  <c r="W167" i="6"/>
  <c r="X167" i="6"/>
  <c r="Y167" i="6"/>
  <c r="Z167" i="6"/>
  <c r="AC167" i="6"/>
  <c r="AD167" i="6"/>
  <c r="AE167" i="6"/>
  <c r="AF167" i="6"/>
  <c r="AG167" i="6"/>
  <c r="AH167" i="6"/>
  <c r="AI167" i="6"/>
  <c r="AJ167" i="6"/>
  <c r="AK167" i="6"/>
  <c r="AL167" i="6"/>
  <c r="AN167" i="6"/>
  <c r="AO167" i="6"/>
  <c r="AP167" i="6"/>
  <c r="AQ167" i="6"/>
  <c r="AR167" i="6"/>
  <c r="AS167" i="6"/>
  <c r="AT167" i="6"/>
  <c r="AU167" i="6"/>
  <c r="AV167" i="6"/>
  <c r="AW167" i="6"/>
  <c r="AX167" i="6"/>
  <c r="AY167" i="6"/>
  <c r="AZ167" i="6"/>
  <c r="BA167" i="6"/>
  <c r="BB167" i="6"/>
  <c r="BC167" i="6"/>
  <c r="BD167" i="6"/>
  <c r="BE167" i="6"/>
  <c r="BF167" i="6"/>
  <c r="BG167" i="6"/>
  <c r="F168" i="6"/>
  <c r="G168" i="6"/>
  <c r="H168" i="6"/>
  <c r="I168" i="6"/>
  <c r="L168" i="6"/>
  <c r="M168" i="6"/>
  <c r="N168" i="6"/>
  <c r="O168" i="6"/>
  <c r="P168" i="6"/>
  <c r="Q168" i="6"/>
  <c r="R168" i="6"/>
  <c r="S168" i="6"/>
  <c r="T168" i="6"/>
  <c r="U168" i="6"/>
  <c r="V168" i="6"/>
  <c r="W168" i="6"/>
  <c r="X168" i="6"/>
  <c r="Y168" i="6"/>
  <c r="Z168" i="6"/>
  <c r="AC168" i="6"/>
  <c r="AD168" i="6"/>
  <c r="AE168" i="6"/>
  <c r="AF168" i="6"/>
  <c r="AG168" i="6"/>
  <c r="AH168" i="6"/>
  <c r="AI168" i="6"/>
  <c r="AJ168" i="6"/>
  <c r="AK168" i="6"/>
  <c r="AL168" i="6"/>
  <c r="AN168" i="6"/>
  <c r="AO168" i="6"/>
  <c r="AP168" i="6"/>
  <c r="AQ168" i="6"/>
  <c r="AR168" i="6"/>
  <c r="AS168" i="6"/>
  <c r="AT168" i="6"/>
  <c r="AU168" i="6"/>
  <c r="AV168" i="6"/>
  <c r="AW168" i="6"/>
  <c r="AX168" i="6"/>
  <c r="AY168" i="6"/>
  <c r="AZ168" i="6"/>
  <c r="BA168" i="6"/>
  <c r="BB168" i="6"/>
  <c r="BC168" i="6"/>
  <c r="BD168" i="6"/>
  <c r="BE168" i="6"/>
  <c r="BF168" i="6"/>
  <c r="BG168" i="6"/>
  <c r="F169" i="6"/>
  <c r="G169" i="6"/>
  <c r="H169" i="6"/>
  <c r="I169" i="6"/>
  <c r="L169" i="6"/>
  <c r="M169" i="6"/>
  <c r="N169" i="6"/>
  <c r="O169" i="6"/>
  <c r="P169" i="6"/>
  <c r="Q169" i="6"/>
  <c r="R169" i="6"/>
  <c r="S169" i="6"/>
  <c r="T169" i="6"/>
  <c r="U169" i="6"/>
  <c r="V169" i="6"/>
  <c r="W169" i="6"/>
  <c r="X169" i="6"/>
  <c r="Y169" i="6"/>
  <c r="Z169" i="6"/>
  <c r="AC169" i="6"/>
  <c r="AD169" i="6"/>
  <c r="AE169" i="6"/>
  <c r="AF169" i="6"/>
  <c r="AG169" i="6"/>
  <c r="AH169" i="6"/>
  <c r="AI169" i="6"/>
  <c r="AJ169" i="6"/>
  <c r="AK169" i="6"/>
  <c r="AL169" i="6"/>
  <c r="AN169" i="6"/>
  <c r="AO169" i="6"/>
  <c r="AP169" i="6"/>
  <c r="AQ169" i="6"/>
  <c r="AR169" i="6"/>
  <c r="AS169" i="6"/>
  <c r="AT169" i="6"/>
  <c r="AU169" i="6"/>
  <c r="AV169" i="6"/>
  <c r="AW169" i="6"/>
  <c r="AX169" i="6"/>
  <c r="AY169" i="6"/>
  <c r="AZ169" i="6"/>
  <c r="BA169" i="6"/>
  <c r="BB169" i="6"/>
  <c r="BC169" i="6"/>
  <c r="BD169" i="6"/>
  <c r="BE169" i="6"/>
  <c r="BF169" i="6"/>
  <c r="BG169" i="6"/>
  <c r="F170" i="6"/>
  <c r="G170" i="6"/>
  <c r="H170" i="6"/>
  <c r="I170" i="6"/>
  <c r="L170" i="6"/>
  <c r="M170" i="6"/>
  <c r="N170" i="6"/>
  <c r="O170" i="6"/>
  <c r="P170" i="6"/>
  <c r="Q170" i="6"/>
  <c r="R170" i="6"/>
  <c r="S170" i="6"/>
  <c r="T170" i="6"/>
  <c r="U170" i="6"/>
  <c r="V170" i="6"/>
  <c r="W170" i="6"/>
  <c r="X170" i="6"/>
  <c r="Y170" i="6"/>
  <c r="Z170" i="6"/>
  <c r="AC170" i="6"/>
  <c r="AD170" i="6"/>
  <c r="AE170" i="6"/>
  <c r="AF170" i="6"/>
  <c r="AG170" i="6"/>
  <c r="AH170" i="6"/>
  <c r="AI170" i="6"/>
  <c r="AJ170" i="6"/>
  <c r="AK170" i="6"/>
  <c r="AL170" i="6"/>
  <c r="AN170" i="6"/>
  <c r="AO170" i="6"/>
  <c r="AP170" i="6"/>
  <c r="AQ170" i="6"/>
  <c r="AR170" i="6"/>
  <c r="AS170" i="6"/>
  <c r="AT170" i="6"/>
  <c r="AU170" i="6"/>
  <c r="AV170" i="6"/>
  <c r="AW170" i="6"/>
  <c r="AX170" i="6"/>
  <c r="AY170" i="6"/>
  <c r="AZ170" i="6"/>
  <c r="BA170" i="6"/>
  <c r="BB170" i="6"/>
  <c r="BC170" i="6"/>
  <c r="BD170" i="6"/>
  <c r="BE170" i="6"/>
  <c r="BF170" i="6"/>
  <c r="BG170" i="6"/>
  <c r="F171" i="6"/>
  <c r="G171" i="6"/>
  <c r="H171" i="6"/>
  <c r="I171" i="6"/>
  <c r="L171" i="6"/>
  <c r="M171" i="6"/>
  <c r="N171" i="6"/>
  <c r="O171" i="6"/>
  <c r="P171" i="6"/>
  <c r="Q171" i="6"/>
  <c r="R171" i="6"/>
  <c r="S171" i="6"/>
  <c r="T171" i="6"/>
  <c r="U171" i="6"/>
  <c r="V171" i="6"/>
  <c r="W171" i="6"/>
  <c r="X171" i="6"/>
  <c r="Y171" i="6"/>
  <c r="Z171" i="6"/>
  <c r="AC171" i="6"/>
  <c r="AD171" i="6"/>
  <c r="AE171" i="6"/>
  <c r="AF171" i="6"/>
  <c r="AG171" i="6"/>
  <c r="AH171" i="6"/>
  <c r="AI171" i="6"/>
  <c r="AJ171" i="6"/>
  <c r="AK171" i="6"/>
  <c r="AL171" i="6"/>
  <c r="AN171" i="6"/>
  <c r="AO171" i="6"/>
  <c r="AP171" i="6"/>
  <c r="AQ171" i="6"/>
  <c r="AR171" i="6"/>
  <c r="AS171" i="6"/>
  <c r="AT171" i="6"/>
  <c r="AU171" i="6"/>
  <c r="AV171" i="6"/>
  <c r="AW171" i="6"/>
  <c r="AX171" i="6"/>
  <c r="AY171" i="6"/>
  <c r="AZ171" i="6"/>
  <c r="BA171" i="6"/>
  <c r="BB171" i="6"/>
  <c r="BC171" i="6"/>
  <c r="BD171" i="6"/>
  <c r="BE171" i="6"/>
  <c r="BF171" i="6"/>
  <c r="BG171" i="6"/>
  <c r="F172" i="6"/>
  <c r="G172" i="6"/>
  <c r="H172" i="6"/>
  <c r="I172" i="6"/>
  <c r="L172" i="6"/>
  <c r="M172" i="6"/>
  <c r="N172" i="6"/>
  <c r="O172" i="6"/>
  <c r="P172" i="6"/>
  <c r="Q172" i="6"/>
  <c r="R172" i="6"/>
  <c r="S172" i="6"/>
  <c r="T172" i="6"/>
  <c r="U172" i="6"/>
  <c r="V172" i="6"/>
  <c r="W172" i="6"/>
  <c r="X172" i="6"/>
  <c r="Y172" i="6"/>
  <c r="Z172" i="6"/>
  <c r="AC172" i="6"/>
  <c r="AD172" i="6"/>
  <c r="AE172" i="6"/>
  <c r="AF172" i="6"/>
  <c r="AG172" i="6"/>
  <c r="AH172" i="6"/>
  <c r="AI172" i="6"/>
  <c r="AJ172" i="6"/>
  <c r="AK172" i="6"/>
  <c r="AL172" i="6"/>
  <c r="AN172" i="6"/>
  <c r="AO172" i="6"/>
  <c r="AP172" i="6"/>
  <c r="AQ172" i="6"/>
  <c r="AR172" i="6"/>
  <c r="AS172" i="6"/>
  <c r="AT172" i="6"/>
  <c r="AU172" i="6"/>
  <c r="AV172" i="6"/>
  <c r="AW172" i="6"/>
  <c r="AX172" i="6"/>
  <c r="AY172" i="6"/>
  <c r="AZ172" i="6"/>
  <c r="BA172" i="6"/>
  <c r="BB172" i="6"/>
  <c r="BC172" i="6"/>
  <c r="BD172" i="6"/>
  <c r="BE172" i="6"/>
  <c r="BF172" i="6"/>
  <c r="BG172" i="6"/>
  <c r="F173" i="6"/>
  <c r="G173" i="6"/>
  <c r="H173" i="6"/>
  <c r="I173" i="6"/>
  <c r="L173" i="6"/>
  <c r="M173" i="6"/>
  <c r="N173" i="6"/>
  <c r="O173" i="6"/>
  <c r="P173" i="6"/>
  <c r="Q173" i="6"/>
  <c r="R173" i="6"/>
  <c r="S173" i="6"/>
  <c r="T173" i="6"/>
  <c r="U173" i="6"/>
  <c r="V173" i="6"/>
  <c r="W173" i="6"/>
  <c r="X173" i="6"/>
  <c r="Y173" i="6"/>
  <c r="Z173" i="6"/>
  <c r="AC173" i="6"/>
  <c r="AD173" i="6"/>
  <c r="AE173" i="6"/>
  <c r="AF173" i="6"/>
  <c r="AG173" i="6"/>
  <c r="AH173" i="6"/>
  <c r="AI173" i="6"/>
  <c r="AJ173" i="6"/>
  <c r="AK173" i="6"/>
  <c r="AL173" i="6"/>
  <c r="AN173" i="6"/>
  <c r="AO173" i="6"/>
  <c r="AP173" i="6"/>
  <c r="AQ173" i="6"/>
  <c r="AR173" i="6"/>
  <c r="AS173" i="6"/>
  <c r="AT173" i="6"/>
  <c r="AU173" i="6"/>
  <c r="AV173" i="6"/>
  <c r="AW173" i="6"/>
  <c r="AX173" i="6"/>
  <c r="AY173" i="6"/>
  <c r="AZ173" i="6"/>
  <c r="BA173" i="6"/>
  <c r="BB173" i="6"/>
  <c r="BC173" i="6"/>
  <c r="BD173" i="6"/>
  <c r="BE173" i="6"/>
  <c r="BF173" i="6"/>
  <c r="BG173" i="6"/>
  <c r="F174" i="6"/>
  <c r="G174" i="6"/>
  <c r="H174" i="6"/>
  <c r="I174" i="6"/>
  <c r="L174" i="6"/>
  <c r="M174" i="6"/>
  <c r="N174" i="6"/>
  <c r="O174" i="6"/>
  <c r="P174" i="6"/>
  <c r="Q174" i="6"/>
  <c r="R174" i="6"/>
  <c r="S174" i="6"/>
  <c r="T174" i="6"/>
  <c r="U174" i="6"/>
  <c r="V174" i="6"/>
  <c r="W174" i="6"/>
  <c r="X174" i="6"/>
  <c r="Y174" i="6"/>
  <c r="Z174" i="6"/>
  <c r="AC174" i="6"/>
  <c r="AD174" i="6"/>
  <c r="AE174" i="6"/>
  <c r="AF174" i="6"/>
  <c r="AG174" i="6"/>
  <c r="AH174" i="6"/>
  <c r="AI174" i="6"/>
  <c r="AJ174" i="6"/>
  <c r="AK174" i="6"/>
  <c r="AL174" i="6"/>
  <c r="AN174" i="6"/>
  <c r="AO174" i="6"/>
  <c r="AP174" i="6"/>
  <c r="AQ174" i="6"/>
  <c r="AR174" i="6"/>
  <c r="AS174" i="6"/>
  <c r="AT174" i="6"/>
  <c r="AU174" i="6"/>
  <c r="AV174" i="6"/>
  <c r="AW174" i="6"/>
  <c r="AX174" i="6"/>
  <c r="AY174" i="6"/>
  <c r="AZ174" i="6"/>
  <c r="BA174" i="6"/>
  <c r="BB174" i="6"/>
  <c r="BC174" i="6"/>
  <c r="BD174" i="6"/>
  <c r="BE174" i="6"/>
  <c r="BF174" i="6"/>
  <c r="BG174" i="6"/>
  <c r="F175" i="6"/>
  <c r="G175" i="6"/>
  <c r="H175" i="6"/>
  <c r="I175" i="6"/>
  <c r="L175" i="6"/>
  <c r="M175" i="6"/>
  <c r="N175" i="6"/>
  <c r="O175" i="6"/>
  <c r="P175" i="6"/>
  <c r="Q175" i="6"/>
  <c r="R175" i="6"/>
  <c r="S175" i="6"/>
  <c r="T175" i="6"/>
  <c r="U175" i="6"/>
  <c r="V175" i="6"/>
  <c r="W175" i="6"/>
  <c r="X175" i="6"/>
  <c r="Y175" i="6"/>
  <c r="Z175" i="6"/>
  <c r="AC175" i="6"/>
  <c r="AD175" i="6"/>
  <c r="AE175" i="6"/>
  <c r="AF175" i="6"/>
  <c r="AG175" i="6"/>
  <c r="AH175" i="6"/>
  <c r="AI175" i="6"/>
  <c r="AJ175" i="6"/>
  <c r="AK175" i="6"/>
  <c r="AL175" i="6"/>
  <c r="AN175" i="6"/>
  <c r="AO175" i="6"/>
  <c r="AP175" i="6"/>
  <c r="AQ175" i="6"/>
  <c r="AR175" i="6"/>
  <c r="AS175" i="6"/>
  <c r="AT175" i="6"/>
  <c r="AU175" i="6"/>
  <c r="AV175" i="6"/>
  <c r="AW175" i="6"/>
  <c r="AX175" i="6"/>
  <c r="AY175" i="6"/>
  <c r="AZ175" i="6"/>
  <c r="BA175" i="6"/>
  <c r="BB175" i="6"/>
  <c r="BC175" i="6"/>
  <c r="BD175" i="6"/>
  <c r="BE175" i="6"/>
  <c r="BF175" i="6"/>
  <c r="BG175" i="6"/>
  <c r="F176" i="6"/>
  <c r="G176" i="6"/>
  <c r="H176" i="6"/>
  <c r="I176" i="6"/>
  <c r="L176" i="6"/>
  <c r="M176" i="6"/>
  <c r="N176" i="6"/>
  <c r="O176" i="6"/>
  <c r="P176" i="6"/>
  <c r="Q176" i="6"/>
  <c r="R176" i="6"/>
  <c r="S176" i="6"/>
  <c r="T176" i="6"/>
  <c r="U176" i="6"/>
  <c r="V176" i="6"/>
  <c r="W176" i="6"/>
  <c r="X176" i="6"/>
  <c r="Y176" i="6"/>
  <c r="Z176" i="6"/>
  <c r="AC176" i="6"/>
  <c r="AD176" i="6"/>
  <c r="AE176" i="6"/>
  <c r="AF176" i="6"/>
  <c r="AG176" i="6"/>
  <c r="AH176" i="6"/>
  <c r="AI176" i="6"/>
  <c r="AJ176" i="6"/>
  <c r="AK176" i="6"/>
  <c r="AL176" i="6"/>
  <c r="AN176" i="6"/>
  <c r="AO176" i="6"/>
  <c r="AP176" i="6"/>
  <c r="AQ176" i="6"/>
  <c r="AR176" i="6"/>
  <c r="AS176" i="6"/>
  <c r="AT176" i="6"/>
  <c r="AU176" i="6"/>
  <c r="AV176" i="6"/>
  <c r="AW176" i="6"/>
  <c r="AX176" i="6"/>
  <c r="AY176" i="6"/>
  <c r="AZ176" i="6"/>
  <c r="BA176" i="6"/>
  <c r="BB176" i="6"/>
  <c r="BC176" i="6"/>
  <c r="BD176" i="6"/>
  <c r="BE176" i="6"/>
  <c r="BF176" i="6"/>
  <c r="BG176" i="6"/>
  <c r="F177" i="6"/>
  <c r="G177" i="6"/>
  <c r="H177" i="6"/>
  <c r="I177" i="6"/>
  <c r="L177" i="6"/>
  <c r="M177" i="6"/>
  <c r="N177" i="6"/>
  <c r="O177" i="6"/>
  <c r="P177" i="6"/>
  <c r="Q177" i="6"/>
  <c r="R177" i="6"/>
  <c r="S177" i="6"/>
  <c r="T177" i="6"/>
  <c r="U177" i="6"/>
  <c r="V177" i="6"/>
  <c r="W177" i="6"/>
  <c r="X177" i="6"/>
  <c r="Y177" i="6"/>
  <c r="Z177" i="6"/>
  <c r="AC177" i="6"/>
  <c r="AD177" i="6"/>
  <c r="AE177" i="6"/>
  <c r="AF177" i="6"/>
  <c r="AG177" i="6"/>
  <c r="AH177" i="6"/>
  <c r="AI177" i="6"/>
  <c r="AJ177" i="6"/>
  <c r="AK177" i="6"/>
  <c r="AL177" i="6"/>
  <c r="AN177" i="6"/>
  <c r="AO177" i="6"/>
  <c r="AP177" i="6"/>
  <c r="AQ177" i="6"/>
  <c r="AR177" i="6"/>
  <c r="AS177" i="6"/>
  <c r="AT177" i="6"/>
  <c r="AU177" i="6"/>
  <c r="AV177" i="6"/>
  <c r="AW177" i="6"/>
  <c r="AX177" i="6"/>
  <c r="AY177" i="6"/>
  <c r="AZ177" i="6"/>
  <c r="BA177" i="6"/>
  <c r="BB177" i="6"/>
  <c r="BC177" i="6"/>
  <c r="BD177" i="6"/>
  <c r="BE177" i="6"/>
  <c r="BF177" i="6"/>
  <c r="BG177" i="6"/>
  <c r="F178" i="6"/>
  <c r="G178" i="6"/>
  <c r="H178" i="6"/>
  <c r="I178" i="6"/>
  <c r="L178" i="6"/>
  <c r="M178" i="6"/>
  <c r="N178" i="6"/>
  <c r="O178" i="6"/>
  <c r="P178" i="6"/>
  <c r="Q178" i="6"/>
  <c r="R178" i="6"/>
  <c r="S178" i="6"/>
  <c r="T178" i="6"/>
  <c r="U178" i="6"/>
  <c r="V178" i="6"/>
  <c r="W178" i="6"/>
  <c r="X178" i="6"/>
  <c r="Y178" i="6"/>
  <c r="Z178" i="6"/>
  <c r="AC178" i="6"/>
  <c r="AD178" i="6"/>
  <c r="AE178" i="6"/>
  <c r="AF178" i="6"/>
  <c r="AG178" i="6"/>
  <c r="AH178" i="6"/>
  <c r="AI178" i="6"/>
  <c r="AJ178" i="6"/>
  <c r="AK178" i="6"/>
  <c r="AL178" i="6"/>
  <c r="AN178" i="6"/>
  <c r="AO178" i="6"/>
  <c r="AP178" i="6"/>
  <c r="AQ178" i="6"/>
  <c r="AR178" i="6"/>
  <c r="AS178" i="6"/>
  <c r="AT178" i="6"/>
  <c r="AU178" i="6"/>
  <c r="AV178" i="6"/>
  <c r="AW178" i="6"/>
  <c r="AX178" i="6"/>
  <c r="AY178" i="6"/>
  <c r="AZ178" i="6"/>
  <c r="BA178" i="6"/>
  <c r="BB178" i="6"/>
  <c r="BC178" i="6"/>
  <c r="BD178" i="6"/>
  <c r="BE178" i="6"/>
  <c r="BF178" i="6"/>
  <c r="BG178" i="6"/>
  <c r="F179" i="6"/>
  <c r="G179" i="6"/>
  <c r="H179" i="6"/>
  <c r="I179" i="6"/>
  <c r="L179" i="6"/>
  <c r="M179" i="6"/>
  <c r="N179" i="6"/>
  <c r="O179" i="6"/>
  <c r="P179" i="6"/>
  <c r="Q179" i="6"/>
  <c r="R179" i="6"/>
  <c r="S179" i="6"/>
  <c r="T179" i="6"/>
  <c r="U179" i="6"/>
  <c r="V179" i="6"/>
  <c r="W179" i="6"/>
  <c r="X179" i="6"/>
  <c r="Y179" i="6"/>
  <c r="Z179" i="6"/>
  <c r="AC179" i="6"/>
  <c r="AD179" i="6"/>
  <c r="AE179" i="6"/>
  <c r="AF179" i="6"/>
  <c r="AG179" i="6"/>
  <c r="AH179" i="6"/>
  <c r="AI179" i="6"/>
  <c r="AJ179" i="6"/>
  <c r="AK179" i="6"/>
  <c r="AL179" i="6"/>
  <c r="AN179" i="6"/>
  <c r="AO179" i="6"/>
  <c r="AP179" i="6"/>
  <c r="AQ179" i="6"/>
  <c r="AR179" i="6"/>
  <c r="AS179" i="6"/>
  <c r="AT179" i="6"/>
  <c r="AU179" i="6"/>
  <c r="AV179" i="6"/>
  <c r="AW179" i="6"/>
  <c r="AX179" i="6"/>
  <c r="AY179" i="6"/>
  <c r="AZ179" i="6"/>
  <c r="BA179" i="6"/>
  <c r="BB179" i="6"/>
  <c r="BC179" i="6"/>
  <c r="BD179" i="6"/>
  <c r="BE179" i="6"/>
  <c r="BF179" i="6"/>
  <c r="BG179" i="6"/>
  <c r="F180" i="6"/>
  <c r="G180" i="6"/>
  <c r="H180" i="6"/>
  <c r="I180" i="6"/>
  <c r="L180" i="6"/>
  <c r="M180" i="6"/>
  <c r="N180" i="6"/>
  <c r="O180" i="6"/>
  <c r="P180" i="6"/>
  <c r="Q180" i="6"/>
  <c r="R180" i="6"/>
  <c r="S180" i="6"/>
  <c r="T180" i="6"/>
  <c r="U180" i="6"/>
  <c r="V180" i="6"/>
  <c r="W180" i="6"/>
  <c r="X180" i="6"/>
  <c r="Y180" i="6"/>
  <c r="Z180" i="6"/>
  <c r="AC180" i="6"/>
  <c r="AD180" i="6"/>
  <c r="AE180" i="6"/>
  <c r="AF180" i="6"/>
  <c r="AG180" i="6"/>
  <c r="AH180" i="6"/>
  <c r="AI180" i="6"/>
  <c r="AJ180" i="6"/>
  <c r="AK180" i="6"/>
  <c r="AL180" i="6"/>
  <c r="AN180" i="6"/>
  <c r="AO180" i="6"/>
  <c r="AP180" i="6"/>
  <c r="AQ180" i="6"/>
  <c r="AR180" i="6"/>
  <c r="AS180" i="6"/>
  <c r="AT180" i="6"/>
  <c r="AU180" i="6"/>
  <c r="AV180" i="6"/>
  <c r="AW180" i="6"/>
  <c r="AX180" i="6"/>
  <c r="AY180" i="6"/>
  <c r="AZ180" i="6"/>
  <c r="BA180" i="6"/>
  <c r="BB180" i="6"/>
  <c r="BC180" i="6"/>
  <c r="BD180" i="6"/>
  <c r="BE180" i="6"/>
  <c r="BF180" i="6"/>
  <c r="BG180" i="6"/>
  <c r="F181" i="6"/>
  <c r="G181" i="6"/>
  <c r="H181" i="6"/>
  <c r="I181" i="6"/>
  <c r="L181" i="6"/>
  <c r="M181" i="6"/>
  <c r="N181" i="6"/>
  <c r="O181" i="6"/>
  <c r="P181" i="6"/>
  <c r="Q181" i="6"/>
  <c r="R181" i="6"/>
  <c r="S181" i="6"/>
  <c r="T181" i="6"/>
  <c r="U181" i="6"/>
  <c r="V181" i="6"/>
  <c r="W181" i="6"/>
  <c r="X181" i="6"/>
  <c r="Y181" i="6"/>
  <c r="Z181" i="6"/>
  <c r="AC181" i="6"/>
  <c r="AD181" i="6"/>
  <c r="AE181" i="6"/>
  <c r="AF181" i="6"/>
  <c r="AG181" i="6"/>
  <c r="AH181" i="6"/>
  <c r="AI181" i="6"/>
  <c r="AJ181" i="6"/>
  <c r="AK181" i="6"/>
  <c r="AL181" i="6"/>
  <c r="AN181" i="6"/>
  <c r="AO181" i="6"/>
  <c r="AP181" i="6"/>
  <c r="AQ181" i="6"/>
  <c r="AR181" i="6"/>
  <c r="AS181" i="6"/>
  <c r="AT181" i="6"/>
  <c r="AU181" i="6"/>
  <c r="AV181" i="6"/>
  <c r="AW181" i="6"/>
  <c r="AX181" i="6"/>
  <c r="AY181" i="6"/>
  <c r="AZ181" i="6"/>
  <c r="BA181" i="6"/>
  <c r="BB181" i="6"/>
  <c r="BC181" i="6"/>
  <c r="BD181" i="6"/>
  <c r="BE181" i="6"/>
  <c r="BF181" i="6"/>
  <c r="BG181" i="6"/>
  <c r="F182" i="6"/>
  <c r="G182" i="6"/>
  <c r="H182" i="6"/>
  <c r="I182" i="6"/>
  <c r="L182" i="6"/>
  <c r="M182" i="6"/>
  <c r="N182" i="6"/>
  <c r="O182" i="6"/>
  <c r="P182" i="6"/>
  <c r="Q182" i="6"/>
  <c r="R182" i="6"/>
  <c r="S182" i="6"/>
  <c r="T182" i="6"/>
  <c r="U182" i="6"/>
  <c r="V182" i="6"/>
  <c r="W182" i="6"/>
  <c r="X182" i="6"/>
  <c r="Y182" i="6"/>
  <c r="Z182" i="6"/>
  <c r="AC182" i="6"/>
  <c r="AD182" i="6"/>
  <c r="AE182" i="6"/>
  <c r="AF182" i="6"/>
  <c r="AG182" i="6"/>
  <c r="AH182" i="6"/>
  <c r="AI182" i="6"/>
  <c r="AJ182" i="6"/>
  <c r="AK182" i="6"/>
  <c r="AL182" i="6"/>
  <c r="AN182" i="6"/>
  <c r="AO182" i="6"/>
  <c r="AP182" i="6"/>
  <c r="AQ182" i="6"/>
  <c r="AR182" i="6"/>
  <c r="AS182" i="6"/>
  <c r="AT182" i="6"/>
  <c r="AU182" i="6"/>
  <c r="AV182" i="6"/>
  <c r="AW182" i="6"/>
  <c r="AX182" i="6"/>
  <c r="AY182" i="6"/>
  <c r="AZ182" i="6"/>
  <c r="BA182" i="6"/>
  <c r="BB182" i="6"/>
  <c r="BC182" i="6"/>
  <c r="BD182" i="6"/>
  <c r="BE182" i="6"/>
  <c r="BF182" i="6"/>
  <c r="BG182" i="6"/>
  <c r="F183" i="6"/>
  <c r="G183" i="6"/>
  <c r="H183" i="6"/>
  <c r="I183" i="6"/>
  <c r="L183" i="6"/>
  <c r="M183" i="6"/>
  <c r="N183" i="6"/>
  <c r="O183" i="6"/>
  <c r="P183" i="6"/>
  <c r="Q183" i="6"/>
  <c r="R183" i="6"/>
  <c r="S183" i="6"/>
  <c r="T183" i="6"/>
  <c r="U183" i="6"/>
  <c r="V183" i="6"/>
  <c r="W183" i="6"/>
  <c r="X183" i="6"/>
  <c r="Y183" i="6"/>
  <c r="Z183" i="6"/>
  <c r="AC183" i="6"/>
  <c r="AD183" i="6"/>
  <c r="AE183" i="6"/>
  <c r="AF183" i="6"/>
  <c r="AG183" i="6"/>
  <c r="AH183" i="6"/>
  <c r="AI183" i="6"/>
  <c r="AJ183" i="6"/>
  <c r="AK183" i="6"/>
  <c r="AL183" i="6"/>
  <c r="AN183" i="6"/>
  <c r="AO183" i="6"/>
  <c r="AP183" i="6"/>
  <c r="AQ183" i="6"/>
  <c r="AR183" i="6"/>
  <c r="AS183" i="6"/>
  <c r="AT183" i="6"/>
  <c r="AU183" i="6"/>
  <c r="AV183" i="6"/>
  <c r="AW183" i="6"/>
  <c r="AX183" i="6"/>
  <c r="AY183" i="6"/>
  <c r="AZ183" i="6"/>
  <c r="BA183" i="6"/>
  <c r="BB183" i="6"/>
  <c r="BC183" i="6"/>
  <c r="BD183" i="6"/>
  <c r="BE183" i="6"/>
  <c r="BF183" i="6"/>
  <c r="BG183" i="6"/>
  <c r="F184" i="6"/>
  <c r="G184" i="6"/>
  <c r="H184" i="6"/>
  <c r="I184" i="6"/>
  <c r="L184" i="6"/>
  <c r="M184" i="6"/>
  <c r="N184" i="6"/>
  <c r="O184" i="6"/>
  <c r="P184" i="6"/>
  <c r="Q184" i="6"/>
  <c r="R184" i="6"/>
  <c r="S184" i="6"/>
  <c r="T184" i="6"/>
  <c r="U184" i="6"/>
  <c r="V184" i="6"/>
  <c r="W184" i="6"/>
  <c r="X184" i="6"/>
  <c r="Y184" i="6"/>
  <c r="Z184" i="6"/>
  <c r="AC184" i="6"/>
  <c r="AD184" i="6"/>
  <c r="AE184" i="6"/>
  <c r="AF184" i="6"/>
  <c r="AG184" i="6"/>
  <c r="AH184" i="6"/>
  <c r="AI184" i="6"/>
  <c r="AJ184" i="6"/>
  <c r="AK184" i="6"/>
  <c r="AL184" i="6"/>
  <c r="AN184" i="6"/>
  <c r="AO184" i="6"/>
  <c r="AP184" i="6"/>
  <c r="AQ184" i="6"/>
  <c r="AR184" i="6"/>
  <c r="AS184" i="6"/>
  <c r="AT184" i="6"/>
  <c r="AU184" i="6"/>
  <c r="AV184" i="6"/>
  <c r="AW184" i="6"/>
  <c r="AX184" i="6"/>
  <c r="AY184" i="6"/>
  <c r="AZ184" i="6"/>
  <c r="BA184" i="6"/>
  <c r="BB184" i="6"/>
  <c r="BC184" i="6"/>
  <c r="BD184" i="6"/>
  <c r="BE184" i="6"/>
  <c r="BF184" i="6"/>
  <c r="BG184" i="6"/>
  <c r="F185" i="6"/>
  <c r="G185" i="6"/>
  <c r="H185" i="6"/>
  <c r="I185" i="6"/>
  <c r="L185" i="6"/>
  <c r="M185" i="6"/>
  <c r="N185" i="6"/>
  <c r="O185" i="6"/>
  <c r="P185" i="6"/>
  <c r="Q185" i="6"/>
  <c r="R185" i="6"/>
  <c r="S185" i="6"/>
  <c r="T185" i="6"/>
  <c r="U185" i="6"/>
  <c r="V185" i="6"/>
  <c r="W185" i="6"/>
  <c r="X185" i="6"/>
  <c r="Y185" i="6"/>
  <c r="Z185" i="6"/>
  <c r="AC185" i="6"/>
  <c r="AD185" i="6"/>
  <c r="AE185" i="6"/>
  <c r="AF185" i="6"/>
  <c r="AG185" i="6"/>
  <c r="AH185" i="6"/>
  <c r="AI185" i="6"/>
  <c r="AJ185" i="6"/>
  <c r="AK185" i="6"/>
  <c r="AL185" i="6"/>
  <c r="AN185" i="6"/>
  <c r="AO185" i="6"/>
  <c r="AP185" i="6"/>
  <c r="AQ185" i="6"/>
  <c r="AR185" i="6"/>
  <c r="AS185" i="6"/>
  <c r="AT185" i="6"/>
  <c r="AU185" i="6"/>
  <c r="AV185" i="6"/>
  <c r="AW185" i="6"/>
  <c r="AX185" i="6"/>
  <c r="AY185" i="6"/>
  <c r="AZ185" i="6"/>
  <c r="BA185" i="6"/>
  <c r="BB185" i="6"/>
  <c r="BC185" i="6"/>
  <c r="BD185" i="6"/>
  <c r="BE185" i="6"/>
  <c r="BF185" i="6"/>
  <c r="BG185" i="6"/>
  <c r="BG2" i="6"/>
  <c r="BF2" i="6"/>
  <c r="BE2" i="6"/>
  <c r="BD2" i="6"/>
  <c r="BC2" i="6"/>
  <c r="BB2" i="6"/>
  <c r="BA2" i="6"/>
  <c r="AZ2" i="6"/>
  <c r="AY2" i="6"/>
  <c r="AX2" i="6"/>
  <c r="AW2" i="6"/>
  <c r="AV2" i="6"/>
  <c r="AU2" i="6"/>
  <c r="AT2" i="6"/>
  <c r="AS2" i="6"/>
  <c r="AR2" i="6"/>
  <c r="AQ2" i="6"/>
  <c r="AP2" i="6"/>
  <c r="AO2" i="6"/>
  <c r="AN2" i="6"/>
  <c r="AK2" i="6"/>
  <c r="AJ2" i="6"/>
  <c r="AI2" i="6"/>
  <c r="AH2" i="6"/>
  <c r="AG2" i="6"/>
  <c r="AF2" i="6"/>
  <c r="AE2" i="6"/>
  <c r="AD2" i="6"/>
  <c r="AC2" i="6"/>
  <c r="Y2" i="6"/>
  <c r="X2" i="6"/>
  <c r="W2" i="6"/>
  <c r="V2" i="6"/>
  <c r="U2" i="6"/>
  <c r="T2" i="6"/>
  <c r="S2" i="6"/>
  <c r="R2" i="6"/>
  <c r="Q2" i="6"/>
  <c r="P2" i="6"/>
  <c r="O2" i="6"/>
  <c r="N2" i="6"/>
  <c r="M2" i="6"/>
  <c r="L2" i="6"/>
  <c r="I2" i="6"/>
  <c r="G2" i="6"/>
  <c r="F2"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2" i="6"/>
  <c r="B13" i="6"/>
  <c r="C13" i="6"/>
  <c r="B14" i="6"/>
  <c r="C14" i="6"/>
  <c r="B15" i="6"/>
  <c r="C15" i="6"/>
  <c r="B16" i="6"/>
  <c r="C16" i="6"/>
  <c r="B17" i="6"/>
  <c r="C17" i="6"/>
  <c r="B18" i="6"/>
  <c r="C18" i="6"/>
  <c r="B19" i="6"/>
  <c r="C19" i="6"/>
  <c r="B20" i="6"/>
  <c r="C20" i="6"/>
  <c r="B21" i="6"/>
  <c r="C21" i="6"/>
  <c r="B22" i="6"/>
  <c r="C22" i="6"/>
  <c r="B23" i="6"/>
  <c r="C23" i="6"/>
  <c r="B24" i="6"/>
  <c r="C24" i="6"/>
  <c r="B25" i="6"/>
  <c r="C25" i="6"/>
  <c r="B26" i="6"/>
  <c r="C26" i="6"/>
  <c r="B27" i="6"/>
  <c r="C27" i="6"/>
  <c r="B28" i="6"/>
  <c r="C28" i="6"/>
  <c r="B29" i="6"/>
  <c r="C29" i="6"/>
  <c r="B30" i="6"/>
  <c r="C30" i="6"/>
  <c r="B31" i="6"/>
  <c r="C31" i="6"/>
  <c r="B32" i="6"/>
  <c r="C32" i="6"/>
  <c r="B33" i="6"/>
  <c r="C33" i="6"/>
  <c r="B34" i="6"/>
  <c r="C34" i="6"/>
  <c r="B35" i="6"/>
  <c r="C35" i="6"/>
  <c r="B36" i="6"/>
  <c r="C36" i="6"/>
  <c r="B37" i="6"/>
  <c r="C37" i="6"/>
  <c r="B38" i="6"/>
  <c r="C38" i="6"/>
  <c r="B39" i="6"/>
  <c r="C39" i="6"/>
  <c r="B40" i="6"/>
  <c r="C40" i="6"/>
  <c r="B41" i="6"/>
  <c r="C41" i="6"/>
  <c r="B42" i="6"/>
  <c r="C42" i="6"/>
  <c r="B43" i="6"/>
  <c r="C43" i="6"/>
  <c r="B44" i="6"/>
  <c r="C44" i="6"/>
  <c r="B45" i="6"/>
  <c r="C45" i="6"/>
  <c r="B46" i="6"/>
  <c r="C46" i="6"/>
  <c r="B47" i="6"/>
  <c r="C47" i="6"/>
  <c r="B48" i="6"/>
  <c r="C48" i="6"/>
  <c r="B49" i="6"/>
  <c r="C49" i="6"/>
  <c r="B50" i="6"/>
  <c r="C50" i="6"/>
  <c r="B51" i="6"/>
  <c r="C51" i="6"/>
  <c r="B52" i="6"/>
  <c r="C52" i="6"/>
  <c r="B53" i="6"/>
  <c r="C53" i="6"/>
  <c r="B54" i="6"/>
  <c r="C54" i="6"/>
  <c r="B55" i="6"/>
  <c r="C55" i="6"/>
  <c r="B56" i="6"/>
  <c r="C56" i="6"/>
  <c r="B57" i="6"/>
  <c r="C57" i="6"/>
  <c r="B58" i="6"/>
  <c r="C58" i="6"/>
  <c r="B59" i="6"/>
  <c r="C59" i="6"/>
  <c r="B60" i="6"/>
  <c r="C60" i="6"/>
  <c r="B61" i="6"/>
  <c r="C61" i="6"/>
  <c r="B62" i="6"/>
  <c r="C62" i="6"/>
  <c r="B63" i="6"/>
  <c r="C63" i="6"/>
  <c r="B64" i="6"/>
  <c r="C64" i="6"/>
  <c r="B65" i="6"/>
  <c r="C65" i="6"/>
  <c r="B66" i="6"/>
  <c r="C66" i="6"/>
  <c r="B67" i="6"/>
  <c r="C67" i="6"/>
  <c r="B68" i="6"/>
  <c r="C68" i="6"/>
  <c r="B69" i="6"/>
  <c r="C69" i="6"/>
  <c r="B70" i="6"/>
  <c r="C70" i="6"/>
  <c r="B71" i="6"/>
  <c r="C71" i="6"/>
  <c r="B72" i="6"/>
  <c r="C72" i="6"/>
  <c r="B73" i="6"/>
  <c r="C73" i="6"/>
  <c r="B74" i="6"/>
  <c r="C74" i="6"/>
  <c r="B75" i="6"/>
  <c r="C75" i="6"/>
  <c r="B76" i="6"/>
  <c r="C76" i="6"/>
  <c r="B77" i="6"/>
  <c r="C77" i="6"/>
  <c r="B78" i="6"/>
  <c r="C78" i="6"/>
  <c r="B79" i="6"/>
  <c r="C79" i="6"/>
  <c r="B80" i="6"/>
  <c r="C80" i="6"/>
  <c r="B81" i="6"/>
  <c r="C81" i="6"/>
  <c r="B82" i="6"/>
  <c r="C82" i="6"/>
  <c r="B83" i="6"/>
  <c r="C83" i="6"/>
  <c r="B84" i="6"/>
  <c r="C84" i="6"/>
  <c r="B85" i="6"/>
  <c r="C85" i="6"/>
  <c r="B86" i="6"/>
  <c r="C86" i="6"/>
  <c r="B87" i="6"/>
  <c r="C87" i="6"/>
  <c r="B88" i="6"/>
  <c r="C88" i="6"/>
  <c r="B89" i="6"/>
  <c r="C89" i="6"/>
  <c r="B90" i="6"/>
  <c r="C90" i="6"/>
  <c r="B91" i="6"/>
  <c r="C91" i="6"/>
  <c r="B92" i="6"/>
  <c r="C92" i="6"/>
  <c r="B93" i="6"/>
  <c r="C93" i="6"/>
  <c r="B94" i="6"/>
  <c r="C94" i="6"/>
  <c r="B95" i="6"/>
  <c r="C95" i="6"/>
  <c r="B96" i="6"/>
  <c r="C96" i="6"/>
  <c r="B97" i="6"/>
  <c r="C97" i="6"/>
  <c r="B98" i="6"/>
  <c r="C98" i="6"/>
  <c r="B99" i="6"/>
  <c r="C99" i="6"/>
  <c r="B100" i="6"/>
  <c r="C100" i="6"/>
  <c r="B101" i="6"/>
  <c r="C101" i="6"/>
  <c r="B102" i="6"/>
  <c r="C102" i="6"/>
  <c r="B103" i="6"/>
  <c r="C103" i="6"/>
  <c r="B104" i="6"/>
  <c r="C104" i="6"/>
  <c r="B105" i="6"/>
  <c r="C105" i="6"/>
  <c r="B106" i="6"/>
  <c r="C106" i="6"/>
  <c r="B107" i="6"/>
  <c r="C107" i="6"/>
  <c r="B108" i="6"/>
  <c r="C108" i="6"/>
  <c r="B109" i="6"/>
  <c r="C109" i="6"/>
  <c r="B110" i="6"/>
  <c r="C110" i="6"/>
  <c r="B111" i="6"/>
  <c r="C111" i="6"/>
  <c r="B112" i="6"/>
  <c r="C112" i="6"/>
  <c r="B113" i="6"/>
  <c r="C113" i="6"/>
  <c r="B114" i="6"/>
  <c r="C114" i="6"/>
  <c r="B115" i="6"/>
  <c r="C115" i="6"/>
  <c r="B116" i="6"/>
  <c r="C116" i="6"/>
  <c r="B117" i="6"/>
  <c r="C117" i="6"/>
  <c r="B118" i="6"/>
  <c r="C118" i="6"/>
  <c r="B119" i="6"/>
  <c r="C119" i="6"/>
  <c r="B120" i="6"/>
  <c r="C120" i="6"/>
  <c r="B121" i="6"/>
  <c r="C121" i="6"/>
  <c r="B122" i="6"/>
  <c r="C122" i="6"/>
  <c r="B123" i="6"/>
  <c r="C123" i="6"/>
  <c r="B124" i="6"/>
  <c r="C124" i="6"/>
  <c r="B125" i="6"/>
  <c r="C125" i="6"/>
  <c r="B126" i="6"/>
  <c r="C126" i="6"/>
  <c r="B127" i="6"/>
  <c r="C127" i="6"/>
  <c r="B128" i="6"/>
  <c r="C128" i="6"/>
  <c r="B129" i="6"/>
  <c r="C129" i="6"/>
  <c r="B130" i="6"/>
  <c r="C130" i="6"/>
  <c r="B131" i="6"/>
  <c r="C131" i="6"/>
  <c r="B132" i="6"/>
  <c r="C132" i="6"/>
  <c r="B133" i="6"/>
  <c r="C133" i="6"/>
  <c r="B134" i="6"/>
  <c r="C134" i="6"/>
  <c r="B135" i="6"/>
  <c r="C135" i="6"/>
  <c r="B136" i="6"/>
  <c r="C136" i="6"/>
  <c r="B137" i="6"/>
  <c r="C137" i="6"/>
  <c r="B138" i="6"/>
  <c r="C138" i="6"/>
  <c r="B139" i="6"/>
  <c r="C139" i="6"/>
  <c r="B140" i="6"/>
  <c r="C140" i="6"/>
  <c r="B141" i="6"/>
  <c r="C141" i="6"/>
  <c r="B142" i="6"/>
  <c r="C142" i="6"/>
  <c r="B143" i="6"/>
  <c r="C143" i="6"/>
  <c r="B144" i="6"/>
  <c r="C144" i="6"/>
  <c r="B145" i="6"/>
  <c r="C145" i="6"/>
  <c r="B146" i="6"/>
  <c r="C146" i="6"/>
  <c r="B147" i="6"/>
  <c r="C147" i="6"/>
  <c r="B148" i="6"/>
  <c r="C148" i="6"/>
  <c r="B149" i="6"/>
  <c r="C149" i="6"/>
  <c r="B150" i="6"/>
  <c r="C150" i="6"/>
  <c r="B151" i="6"/>
  <c r="C151" i="6"/>
  <c r="B152" i="6"/>
  <c r="C152" i="6"/>
  <c r="B153" i="6"/>
  <c r="C153" i="6"/>
  <c r="B154" i="6"/>
  <c r="C154" i="6"/>
  <c r="B155" i="6"/>
  <c r="C155" i="6"/>
  <c r="B156" i="6"/>
  <c r="C156" i="6"/>
  <c r="B157" i="6"/>
  <c r="C157" i="6"/>
  <c r="B158" i="6"/>
  <c r="C158" i="6"/>
  <c r="B159" i="6"/>
  <c r="C159" i="6"/>
  <c r="B160" i="6"/>
  <c r="C160" i="6"/>
  <c r="B161" i="6"/>
  <c r="C161" i="6"/>
  <c r="B162" i="6"/>
  <c r="C162" i="6"/>
  <c r="B163" i="6"/>
  <c r="C163" i="6"/>
  <c r="B164" i="6"/>
  <c r="C164" i="6"/>
  <c r="B165" i="6"/>
  <c r="C165" i="6"/>
  <c r="B166" i="6"/>
  <c r="C166" i="6"/>
  <c r="B167" i="6"/>
  <c r="C167" i="6"/>
  <c r="B168" i="6"/>
  <c r="C168" i="6"/>
  <c r="B169" i="6"/>
  <c r="C169" i="6"/>
  <c r="B170" i="6"/>
  <c r="C170" i="6"/>
  <c r="B171" i="6"/>
  <c r="C171" i="6"/>
  <c r="B172" i="6"/>
  <c r="C172" i="6"/>
  <c r="B173" i="6"/>
  <c r="C173" i="6"/>
  <c r="B174" i="6"/>
  <c r="C174" i="6"/>
  <c r="B175" i="6"/>
  <c r="C175" i="6"/>
  <c r="B176" i="6"/>
  <c r="C176" i="6"/>
  <c r="B177" i="6"/>
  <c r="C177" i="6"/>
  <c r="B178" i="6"/>
  <c r="C178" i="6"/>
  <c r="B179" i="6"/>
  <c r="C179" i="6"/>
  <c r="B180" i="6"/>
  <c r="C180" i="6"/>
  <c r="B181" i="6"/>
  <c r="C181" i="6"/>
  <c r="B182" i="6"/>
  <c r="C182" i="6"/>
  <c r="B183" i="6"/>
  <c r="C183" i="6"/>
  <c r="B184" i="6"/>
  <c r="C184" i="6"/>
  <c r="B185" i="6"/>
  <c r="C185" i="6"/>
  <c r="B6" i="6"/>
  <c r="C6" i="6"/>
  <c r="B7" i="6"/>
  <c r="C7" i="6"/>
  <c r="B8" i="6"/>
  <c r="C8" i="6"/>
  <c r="B9" i="6"/>
  <c r="C9" i="6"/>
  <c r="B10" i="6"/>
  <c r="C10" i="6"/>
  <c r="B11" i="6"/>
  <c r="C11" i="6"/>
  <c r="B12" i="6"/>
  <c r="C12" i="6"/>
  <c r="B3" i="6"/>
  <c r="C3" i="6"/>
  <c r="B4" i="6"/>
  <c r="C4" i="6"/>
  <c r="B5" i="6"/>
  <c r="C5" i="6"/>
  <c r="B2" i="6"/>
  <c r="C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2" i="6"/>
  <c r="B95" i="2"/>
  <c r="H89" i="1" l="1"/>
  <c r="I89" i="1"/>
  <c r="H90" i="1"/>
  <c r="I90" i="1"/>
  <c r="H91" i="1"/>
  <c r="I91" i="1"/>
  <c r="H92" i="1"/>
  <c r="I92" i="1"/>
  <c r="H93" i="1"/>
  <c r="I93" i="1"/>
  <c r="H94" i="1"/>
  <c r="I94" i="1"/>
  <c r="H95" i="1"/>
  <c r="I95" i="1"/>
  <c r="H96" i="1"/>
  <c r="I96" i="1"/>
  <c r="H97" i="1"/>
  <c r="I97" i="1"/>
  <c r="H98" i="1"/>
  <c r="I98" i="1"/>
  <c r="H99" i="1"/>
  <c r="I99" i="1"/>
  <c r="H100" i="1"/>
  <c r="I100" i="1"/>
  <c r="H101" i="1"/>
  <c r="I101" i="1"/>
  <c r="H795" i="1"/>
  <c r="I795" i="1"/>
  <c r="H796" i="1"/>
  <c r="I796" i="1"/>
  <c r="H797" i="1"/>
  <c r="I797" i="1"/>
  <c r="H798" i="1"/>
  <c r="I798" i="1"/>
  <c r="H799" i="1"/>
  <c r="I799" i="1"/>
  <c r="H800" i="1"/>
  <c r="I800" i="1"/>
  <c r="H801" i="1"/>
  <c r="I801" i="1"/>
  <c r="H65" i="2" l="1"/>
  <c r="J65" i="2" s="1"/>
  <c r="H66" i="2"/>
  <c r="J66" i="2" s="1"/>
  <c r="H67" i="2"/>
  <c r="J67" i="2" s="1"/>
  <c r="H68" i="2"/>
  <c r="H69" i="2"/>
  <c r="H70" i="2"/>
  <c r="H71" i="2"/>
  <c r="J71" i="2" s="1"/>
  <c r="H72" i="2"/>
  <c r="J72" i="2" s="1"/>
  <c r="H73" i="2"/>
  <c r="H74" i="2"/>
  <c r="J74" i="2" s="1"/>
  <c r="H75" i="2"/>
  <c r="H76" i="2"/>
  <c r="H77" i="2"/>
  <c r="H78" i="2"/>
  <c r="H79" i="2"/>
  <c r="H80" i="2"/>
  <c r="H81" i="2"/>
  <c r="H82" i="2"/>
  <c r="H83" i="2"/>
  <c r="H84" i="2"/>
  <c r="H85" i="2"/>
  <c r="H86" i="2"/>
  <c r="H87" i="2"/>
  <c r="H88" i="2"/>
  <c r="H89" i="2"/>
  <c r="H90" i="2"/>
  <c r="I90" i="2" s="1"/>
  <c r="K90" i="6" s="1"/>
  <c r="H91" i="2"/>
  <c r="H92" i="2"/>
  <c r="H93" i="2"/>
  <c r="H94" i="2"/>
  <c r="H95" i="2"/>
  <c r="H96" i="2"/>
  <c r="H97" i="2"/>
  <c r="H98" i="2"/>
  <c r="H99" i="2"/>
  <c r="H100" i="2"/>
  <c r="I100" i="2" s="1"/>
  <c r="K100" i="6" s="1"/>
  <c r="H101" i="2"/>
  <c r="H103" i="2"/>
  <c r="H104" i="2"/>
  <c r="H105" i="2"/>
  <c r="H106" i="2"/>
  <c r="H107" i="2"/>
  <c r="H108" i="2"/>
  <c r="H109" i="2"/>
  <c r="H110" i="2"/>
  <c r="I110" i="2" s="1"/>
  <c r="K110" i="6" s="1"/>
  <c r="H111" i="2"/>
  <c r="H112" i="2"/>
  <c r="H113" i="2"/>
  <c r="H114" i="2"/>
  <c r="H115" i="2"/>
  <c r="H116" i="2"/>
  <c r="H117" i="2"/>
  <c r="I117" i="2" s="1"/>
  <c r="K117" i="6" s="1"/>
  <c r="H118" i="2"/>
  <c r="H119" i="2"/>
  <c r="H120" i="2"/>
  <c r="H121" i="2"/>
  <c r="I121" i="2" s="1"/>
  <c r="K121" i="6" s="1"/>
  <c r="H122" i="2"/>
  <c r="H123" i="2"/>
  <c r="I123" i="2" s="1"/>
  <c r="K123" i="6" s="1"/>
  <c r="H124" i="2"/>
  <c r="H125" i="2"/>
  <c r="H126" i="2"/>
  <c r="H127" i="2"/>
  <c r="I127" i="2" s="1"/>
  <c r="K127" i="6" s="1"/>
  <c r="H128" i="2"/>
  <c r="H129" i="2"/>
  <c r="I129" i="2" s="1"/>
  <c r="K129" i="6" s="1"/>
  <c r="H130" i="2"/>
  <c r="H131" i="2"/>
  <c r="H132" i="2"/>
  <c r="H133" i="2"/>
  <c r="I133" i="2" s="1"/>
  <c r="K133" i="6" s="1"/>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I68" i="2"/>
  <c r="K68" i="6" s="1"/>
  <c r="I69" i="2"/>
  <c r="K69" i="6" s="1"/>
  <c r="I70" i="2"/>
  <c r="K70" i="6" s="1"/>
  <c r="I73" i="2"/>
  <c r="K73" i="6" s="1"/>
  <c r="I75" i="2"/>
  <c r="K75" i="6" s="1"/>
  <c r="I77" i="2"/>
  <c r="K77" i="6" s="1"/>
  <c r="I79" i="2"/>
  <c r="K79" i="6" s="1"/>
  <c r="I81" i="2"/>
  <c r="K81" i="6" s="1"/>
  <c r="I83" i="2"/>
  <c r="K83" i="6" s="1"/>
  <c r="I85" i="2"/>
  <c r="K85" i="6" s="1"/>
  <c r="I87" i="2"/>
  <c r="K87" i="6" s="1"/>
  <c r="I91" i="2"/>
  <c r="K91" i="6" s="1"/>
  <c r="I93" i="2"/>
  <c r="K93" i="6" s="1"/>
  <c r="I95" i="2"/>
  <c r="K95" i="6" s="1"/>
  <c r="I97" i="2"/>
  <c r="K97" i="6" s="1"/>
  <c r="I99" i="2"/>
  <c r="K99" i="6" s="1"/>
  <c r="I101" i="2"/>
  <c r="K101" i="6" s="1"/>
  <c r="K102" i="6"/>
  <c r="I104" i="2"/>
  <c r="K104" i="6" s="1"/>
  <c r="I108" i="2"/>
  <c r="K108" i="6" s="1"/>
  <c r="I111" i="2"/>
  <c r="K111" i="6" s="1"/>
  <c r="I112" i="2"/>
  <c r="K112" i="6" s="1"/>
  <c r="I113" i="2"/>
  <c r="K113" i="6" s="1"/>
  <c r="I114" i="2"/>
  <c r="K114" i="6" s="1"/>
  <c r="I115" i="2"/>
  <c r="K115" i="6" s="1"/>
  <c r="I118" i="2"/>
  <c r="K118" i="6" s="1"/>
  <c r="I120" i="2"/>
  <c r="K120" i="6" s="1"/>
  <c r="I122" i="2"/>
  <c r="K122" i="6" s="1"/>
  <c r="I124" i="2"/>
  <c r="K124" i="6" s="1"/>
  <c r="I126" i="2"/>
  <c r="K126" i="6" s="1"/>
  <c r="I128" i="2"/>
  <c r="K128" i="6" s="1"/>
  <c r="I130" i="2"/>
  <c r="K130" i="6" s="1"/>
  <c r="I132" i="2"/>
  <c r="K132" i="6" s="1"/>
  <c r="I134" i="2"/>
  <c r="K134" i="6" s="1"/>
  <c r="I135" i="2"/>
  <c r="K135" i="6" s="1"/>
  <c r="I136" i="2"/>
  <c r="K136" i="6" s="1"/>
  <c r="I137" i="2"/>
  <c r="K137" i="6" s="1"/>
  <c r="I138" i="2"/>
  <c r="K138" i="6" s="1"/>
  <c r="I139" i="2"/>
  <c r="K139" i="6" s="1"/>
  <c r="I140" i="2"/>
  <c r="K140" i="6" s="1"/>
  <c r="I141" i="2"/>
  <c r="K141" i="6" s="1"/>
  <c r="I142" i="2"/>
  <c r="K142" i="6" s="1"/>
  <c r="I143" i="2"/>
  <c r="K143" i="6" s="1"/>
  <c r="I144" i="2"/>
  <c r="K144" i="6" s="1"/>
  <c r="I145" i="2"/>
  <c r="K145" i="6" s="1"/>
  <c r="I146" i="2"/>
  <c r="K146" i="6" s="1"/>
  <c r="I147" i="2"/>
  <c r="K147" i="6" s="1"/>
  <c r="I148" i="2"/>
  <c r="K148" i="6" s="1"/>
  <c r="I149" i="2"/>
  <c r="K149" i="6" s="1"/>
  <c r="I150" i="2"/>
  <c r="K150" i="6" s="1"/>
  <c r="I151" i="2"/>
  <c r="K151" i="6" s="1"/>
  <c r="I152" i="2"/>
  <c r="K152" i="6" s="1"/>
  <c r="I153" i="2"/>
  <c r="K153" i="6" s="1"/>
  <c r="I154" i="2"/>
  <c r="K154" i="6" s="1"/>
  <c r="I155" i="2"/>
  <c r="K155" i="6" s="1"/>
  <c r="I156" i="2"/>
  <c r="K156" i="6" s="1"/>
  <c r="I157" i="2"/>
  <c r="K157" i="6" s="1"/>
  <c r="I158" i="2"/>
  <c r="K158" i="6" s="1"/>
  <c r="I159" i="2"/>
  <c r="K159" i="6" s="1"/>
  <c r="I160" i="2"/>
  <c r="K160" i="6" s="1"/>
  <c r="I161" i="2"/>
  <c r="K161" i="6" s="1"/>
  <c r="I162" i="2"/>
  <c r="K162" i="6" s="1"/>
  <c r="I163" i="2"/>
  <c r="K163" i="6" s="1"/>
  <c r="I164" i="2"/>
  <c r="K164" i="6" s="1"/>
  <c r="I165" i="2"/>
  <c r="K165" i="6" s="1"/>
  <c r="I166" i="2"/>
  <c r="K166" i="6" s="1"/>
  <c r="I167" i="2"/>
  <c r="K167" i="6" s="1"/>
  <c r="I168" i="2"/>
  <c r="K168" i="6" s="1"/>
  <c r="I169" i="2"/>
  <c r="K169" i="6" s="1"/>
  <c r="I170" i="2"/>
  <c r="K170" i="6" s="1"/>
  <c r="I171" i="2"/>
  <c r="K171" i="6" s="1"/>
  <c r="I172" i="2"/>
  <c r="K172" i="6" s="1"/>
  <c r="I173" i="2"/>
  <c r="K173" i="6" s="1"/>
  <c r="I174" i="2"/>
  <c r="K174" i="6" s="1"/>
  <c r="I175" i="2"/>
  <c r="K175" i="6" s="1"/>
  <c r="I176" i="2"/>
  <c r="K176" i="6" s="1"/>
  <c r="I177" i="2"/>
  <c r="K177" i="6" s="1"/>
  <c r="I178" i="2"/>
  <c r="K178" i="6" s="1"/>
  <c r="I179" i="2"/>
  <c r="K179" i="6" s="1"/>
  <c r="I180" i="2"/>
  <c r="K180" i="6" s="1"/>
  <c r="I181" i="2"/>
  <c r="K181" i="6" s="1"/>
  <c r="I182" i="2"/>
  <c r="K182" i="6" s="1"/>
  <c r="I183" i="2"/>
  <c r="K183" i="6" s="1"/>
  <c r="I184" i="2"/>
  <c r="K184" i="6" s="1"/>
  <c r="I185" i="2"/>
  <c r="K185" i="6" s="1"/>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H28" i="1"/>
  <c r="H55" i="2"/>
  <c r="H56" i="2"/>
  <c r="J56" i="2" s="1"/>
  <c r="H57" i="2"/>
  <c r="J57" i="2" s="1"/>
  <c r="H58" i="2"/>
  <c r="J58" i="2" s="1"/>
  <c r="H59" i="2"/>
  <c r="J59" i="2" s="1"/>
  <c r="H60" i="2"/>
  <c r="H61" i="2"/>
  <c r="J61" i="2" s="1"/>
  <c r="H62" i="2"/>
  <c r="H63" i="2"/>
  <c r="J63" i="2" s="1"/>
  <c r="H64" i="2"/>
  <c r="H43" i="2"/>
  <c r="H44" i="2"/>
  <c r="J44" i="2" s="1"/>
  <c r="H45" i="2"/>
  <c r="J45" i="2" s="1"/>
  <c r="H46" i="2"/>
  <c r="H47" i="2"/>
  <c r="H48" i="2"/>
  <c r="H49" i="2"/>
  <c r="J49" i="2" s="1"/>
  <c r="H50" i="2"/>
  <c r="J50" i="2" s="1"/>
  <c r="H51" i="2"/>
  <c r="J51" i="2" s="1"/>
  <c r="H52" i="2"/>
  <c r="H53" i="2"/>
  <c r="H54" i="2"/>
  <c r="H39" i="2"/>
  <c r="J39" i="2" s="1"/>
  <c r="H40" i="2"/>
  <c r="H41" i="2"/>
  <c r="H42" i="2"/>
  <c r="H38" i="2"/>
  <c r="J38" i="2" s="1"/>
  <c r="H36" i="2"/>
  <c r="H37" i="2"/>
  <c r="J37" i="2" s="1"/>
  <c r="H35" i="2"/>
  <c r="H34" i="2"/>
  <c r="H33" i="2"/>
  <c r="H32" i="2"/>
  <c r="H31" i="2"/>
  <c r="H30" i="2"/>
  <c r="H27" i="2"/>
  <c r="H28" i="2"/>
  <c r="H29" i="2"/>
  <c r="H26" i="2"/>
  <c r="J26" i="2" s="1"/>
  <c r="H25" i="2"/>
  <c r="J25" i="2" s="1"/>
  <c r="H24" i="2"/>
  <c r="H23" i="2"/>
  <c r="H22" i="2"/>
  <c r="J22" i="2" s="1"/>
  <c r="H21" i="2"/>
  <c r="H11" i="2"/>
  <c r="H12" i="2"/>
  <c r="H13" i="2"/>
  <c r="H14" i="2"/>
  <c r="H15" i="2"/>
  <c r="H16" i="2"/>
  <c r="H17" i="2"/>
  <c r="H18" i="2"/>
  <c r="H19" i="2"/>
  <c r="H20" i="2"/>
  <c r="H8" i="2"/>
  <c r="H9" i="2"/>
  <c r="H10" i="2"/>
  <c r="H7" i="2"/>
  <c r="H6" i="2"/>
  <c r="H3" i="2"/>
  <c r="H4" i="2"/>
  <c r="H2" i="2"/>
  <c r="J4" i="6" l="1"/>
  <c r="J4" i="2"/>
  <c r="J6" i="6"/>
  <c r="J6" i="2"/>
  <c r="J10" i="6"/>
  <c r="J10" i="2"/>
  <c r="J8" i="6"/>
  <c r="J8" i="2"/>
  <c r="J19" i="6"/>
  <c r="J19" i="2"/>
  <c r="J17" i="6"/>
  <c r="J17" i="2"/>
  <c r="J13" i="6"/>
  <c r="J13" i="2"/>
  <c r="J11" i="6"/>
  <c r="J11" i="2"/>
  <c r="J24" i="6"/>
  <c r="J24" i="2"/>
  <c r="J28" i="6"/>
  <c r="J28" i="2"/>
  <c r="J32" i="6"/>
  <c r="J32" i="2"/>
  <c r="J43" i="6"/>
  <c r="J43" i="2"/>
  <c r="J55" i="6"/>
  <c r="J55" i="2"/>
  <c r="J1115" i="2"/>
  <c r="J1113" i="2"/>
  <c r="J1111" i="2"/>
  <c r="J1109" i="2"/>
  <c r="J1107" i="2"/>
  <c r="J1105" i="2"/>
  <c r="J1103" i="2"/>
  <c r="J1101" i="2"/>
  <c r="J1099" i="2"/>
  <c r="J1097" i="2"/>
  <c r="J1095" i="2"/>
  <c r="J1093" i="2"/>
  <c r="J1091" i="2"/>
  <c r="J1089" i="2"/>
  <c r="J1087" i="2"/>
  <c r="J1085" i="2"/>
  <c r="J1083" i="2"/>
  <c r="J1081" i="2"/>
  <c r="J1079" i="2"/>
  <c r="J1077" i="2"/>
  <c r="J1075" i="2"/>
  <c r="J1073" i="2"/>
  <c r="J1071" i="2"/>
  <c r="J1069" i="2"/>
  <c r="J1067" i="2"/>
  <c r="J1065" i="2"/>
  <c r="J1063" i="2"/>
  <c r="J1061" i="2"/>
  <c r="J1059" i="2"/>
  <c r="J1057" i="2"/>
  <c r="J1055" i="2"/>
  <c r="J1053" i="2"/>
  <c r="J1051" i="2"/>
  <c r="J1049" i="2"/>
  <c r="J1047" i="2"/>
  <c r="J1045" i="2"/>
  <c r="J1043" i="2"/>
  <c r="J1041" i="2"/>
  <c r="J1039" i="2"/>
  <c r="J1037" i="2"/>
  <c r="J1035" i="2"/>
  <c r="J1033" i="2"/>
  <c r="J1031" i="2"/>
  <c r="J1029" i="2"/>
  <c r="J1027" i="2"/>
  <c r="J1025" i="2"/>
  <c r="J1023" i="2"/>
  <c r="J1021" i="2"/>
  <c r="J1019" i="2"/>
  <c r="J1017" i="2"/>
  <c r="J1015" i="2"/>
  <c r="J1013" i="2"/>
  <c r="J1011" i="2"/>
  <c r="J1009" i="2"/>
  <c r="J1007" i="2"/>
  <c r="J1005" i="2"/>
  <c r="J1003" i="2"/>
  <c r="J1001" i="2"/>
  <c r="J999" i="2"/>
  <c r="J997" i="2"/>
  <c r="J995" i="2"/>
  <c r="J993" i="2"/>
  <c r="J991" i="2"/>
  <c r="J989" i="2"/>
  <c r="J987" i="2"/>
  <c r="J985" i="2"/>
  <c r="J983" i="2"/>
  <c r="J981" i="2"/>
  <c r="J979" i="2"/>
  <c r="J977" i="2"/>
  <c r="J975" i="2"/>
  <c r="J973" i="2"/>
  <c r="J971" i="2"/>
  <c r="J969" i="2"/>
  <c r="J967" i="2"/>
  <c r="J965" i="2"/>
  <c r="J963" i="2"/>
  <c r="J961" i="2"/>
  <c r="J959" i="2"/>
  <c r="J957" i="2"/>
  <c r="J955" i="2"/>
  <c r="J953" i="2"/>
  <c r="J951" i="2"/>
  <c r="J949" i="2"/>
  <c r="J947" i="2"/>
  <c r="J945" i="2"/>
  <c r="J943" i="2"/>
  <c r="J941" i="2"/>
  <c r="J939" i="2"/>
  <c r="J937" i="2"/>
  <c r="J935" i="2"/>
  <c r="J933" i="2"/>
  <c r="J931" i="2"/>
  <c r="J929" i="2"/>
  <c r="J927" i="2"/>
  <c r="J925" i="2"/>
  <c r="J923" i="2"/>
  <c r="J921" i="2"/>
  <c r="J919" i="2"/>
  <c r="J917" i="2"/>
  <c r="J915" i="2"/>
  <c r="J913" i="2"/>
  <c r="J911" i="2"/>
  <c r="J909" i="2"/>
  <c r="J907" i="2"/>
  <c r="J905" i="2"/>
  <c r="J903" i="2"/>
  <c r="J901" i="2"/>
  <c r="J899" i="2"/>
  <c r="J897" i="2"/>
  <c r="J895" i="2"/>
  <c r="J893" i="2"/>
  <c r="J891" i="2"/>
  <c r="J889" i="2"/>
  <c r="J887" i="2"/>
  <c r="J885" i="2"/>
  <c r="J883" i="2"/>
  <c r="J881" i="2"/>
  <c r="J879" i="2"/>
  <c r="J877" i="2"/>
  <c r="J875" i="2"/>
  <c r="J873" i="2"/>
  <c r="J871" i="2"/>
  <c r="J869" i="2"/>
  <c r="J867" i="2"/>
  <c r="J865" i="2"/>
  <c r="J863" i="2"/>
  <c r="J861" i="2"/>
  <c r="J859" i="2"/>
  <c r="J857" i="2"/>
  <c r="J855" i="2"/>
  <c r="J853" i="2"/>
  <c r="J851" i="2"/>
  <c r="J849" i="2"/>
  <c r="J847" i="2"/>
  <c r="J845" i="2"/>
  <c r="J843" i="2"/>
  <c r="J841" i="2"/>
  <c r="J839" i="2"/>
  <c r="J837" i="2"/>
  <c r="J835" i="2"/>
  <c r="J833" i="2"/>
  <c r="J831" i="2"/>
  <c r="J829" i="2"/>
  <c r="J827" i="2"/>
  <c r="J825" i="2"/>
  <c r="J823" i="2"/>
  <c r="J821" i="2"/>
  <c r="J819" i="2"/>
  <c r="J817" i="2"/>
  <c r="J815" i="2"/>
  <c r="J813" i="2"/>
  <c r="J811" i="2"/>
  <c r="J809" i="2"/>
  <c r="J807" i="2"/>
  <c r="J805" i="2"/>
  <c r="J803" i="2"/>
  <c r="J801" i="2"/>
  <c r="J799" i="2"/>
  <c r="J797" i="2"/>
  <c r="J795" i="2"/>
  <c r="J793" i="2"/>
  <c r="J791" i="2"/>
  <c r="J789" i="2"/>
  <c r="J787" i="2"/>
  <c r="J785" i="2"/>
  <c r="J783" i="2"/>
  <c r="J781" i="2"/>
  <c r="J779" i="2"/>
  <c r="J777" i="2"/>
  <c r="J775" i="2"/>
  <c r="J773" i="2"/>
  <c r="J771" i="2"/>
  <c r="J769" i="2"/>
  <c r="J767" i="2"/>
  <c r="J765" i="2"/>
  <c r="J763" i="2"/>
  <c r="J761" i="2"/>
  <c r="J759" i="2"/>
  <c r="J757" i="2"/>
  <c r="J755" i="2"/>
  <c r="J753" i="2"/>
  <c r="J751" i="2"/>
  <c r="J749" i="2"/>
  <c r="J747" i="2"/>
  <c r="J745" i="2"/>
  <c r="J743" i="2"/>
  <c r="J741" i="2"/>
  <c r="J739" i="2"/>
  <c r="J737" i="2"/>
  <c r="J735" i="2"/>
  <c r="J733" i="2"/>
  <c r="J731" i="2"/>
  <c r="J729" i="2"/>
  <c r="J727" i="2"/>
  <c r="J725" i="2"/>
  <c r="J723" i="2"/>
  <c r="J721" i="2"/>
  <c r="J719" i="2"/>
  <c r="J717" i="2"/>
  <c r="J715" i="2"/>
  <c r="J713" i="2"/>
  <c r="J711" i="2"/>
  <c r="J709" i="2"/>
  <c r="J707" i="2"/>
  <c r="J705" i="2"/>
  <c r="J703" i="2"/>
  <c r="J701" i="2"/>
  <c r="J699" i="2"/>
  <c r="J697" i="2"/>
  <c r="J695" i="2"/>
  <c r="J693" i="2"/>
  <c r="J691" i="2"/>
  <c r="J689" i="2"/>
  <c r="J687" i="2"/>
  <c r="J685" i="2"/>
  <c r="J683" i="2"/>
  <c r="J681" i="2"/>
  <c r="J679" i="2"/>
  <c r="J677" i="2"/>
  <c r="J675" i="2"/>
  <c r="J673" i="2"/>
  <c r="J671" i="2"/>
  <c r="J669" i="2"/>
  <c r="J667" i="2"/>
  <c r="J665" i="2"/>
  <c r="J663" i="2"/>
  <c r="J661" i="2"/>
  <c r="J659" i="2"/>
  <c r="J657" i="2"/>
  <c r="J655" i="2"/>
  <c r="J653" i="2"/>
  <c r="J651" i="2"/>
  <c r="J649" i="2"/>
  <c r="J647" i="2"/>
  <c r="J645" i="2"/>
  <c r="J643" i="2"/>
  <c r="J641" i="2"/>
  <c r="J639" i="2"/>
  <c r="J637" i="2"/>
  <c r="J635" i="2"/>
  <c r="J633" i="2"/>
  <c r="J631" i="2"/>
  <c r="J629" i="2"/>
  <c r="J627" i="2"/>
  <c r="J625" i="2"/>
  <c r="J623" i="2"/>
  <c r="J621" i="2"/>
  <c r="J619" i="2"/>
  <c r="J617" i="2"/>
  <c r="J615" i="2"/>
  <c r="J613" i="2"/>
  <c r="J611" i="2"/>
  <c r="J609" i="2"/>
  <c r="J607" i="2"/>
  <c r="J605" i="2"/>
  <c r="J603" i="2"/>
  <c r="J601" i="2"/>
  <c r="J599" i="2"/>
  <c r="J597" i="2"/>
  <c r="J595" i="2"/>
  <c r="J593" i="2"/>
  <c r="J591" i="2"/>
  <c r="J589" i="2"/>
  <c r="J587" i="2"/>
  <c r="J585" i="2"/>
  <c r="J583" i="2"/>
  <c r="J581" i="2"/>
  <c r="J579" i="2"/>
  <c r="J577" i="2"/>
  <c r="J575" i="2"/>
  <c r="J573" i="2"/>
  <c r="J571" i="2"/>
  <c r="J569" i="2"/>
  <c r="J567" i="2"/>
  <c r="J565" i="2"/>
  <c r="J563" i="2"/>
  <c r="J561" i="2"/>
  <c r="J559" i="2"/>
  <c r="J557" i="2"/>
  <c r="J555" i="2"/>
  <c r="J553" i="2"/>
  <c r="J551" i="2"/>
  <c r="J549" i="2"/>
  <c r="J547" i="2"/>
  <c r="J545" i="2"/>
  <c r="J543" i="2"/>
  <c r="J541" i="2"/>
  <c r="J539" i="2"/>
  <c r="J537" i="2"/>
  <c r="J535" i="2"/>
  <c r="J533" i="2"/>
  <c r="J531" i="2"/>
  <c r="J529" i="2"/>
  <c r="J527" i="2"/>
  <c r="J525" i="2"/>
  <c r="J523" i="2"/>
  <c r="J521" i="2"/>
  <c r="J519" i="2"/>
  <c r="J517" i="2"/>
  <c r="J515" i="2"/>
  <c r="J513" i="2"/>
  <c r="J511" i="2"/>
  <c r="J509" i="2"/>
  <c r="J507" i="2"/>
  <c r="J505" i="2"/>
  <c r="J503" i="2"/>
  <c r="J501" i="2"/>
  <c r="J499" i="2"/>
  <c r="J497" i="2"/>
  <c r="J495" i="2"/>
  <c r="J493" i="2"/>
  <c r="J491" i="2"/>
  <c r="J489" i="2"/>
  <c r="J487" i="2"/>
  <c r="J485" i="2"/>
  <c r="J483" i="2"/>
  <c r="J481" i="2"/>
  <c r="J479" i="2"/>
  <c r="J477" i="2"/>
  <c r="J475" i="2"/>
  <c r="J473" i="2"/>
  <c r="J471" i="2"/>
  <c r="J469" i="2"/>
  <c r="J467" i="2"/>
  <c r="J465" i="2"/>
  <c r="J463" i="2"/>
  <c r="J461" i="2"/>
  <c r="J459" i="2"/>
  <c r="J457" i="2"/>
  <c r="J455" i="2"/>
  <c r="J453" i="2"/>
  <c r="J451" i="2"/>
  <c r="J449" i="2"/>
  <c r="J447" i="2"/>
  <c r="J445" i="2"/>
  <c r="J443" i="2"/>
  <c r="J441" i="2"/>
  <c r="J439" i="2"/>
  <c r="J437" i="2"/>
  <c r="J435" i="2"/>
  <c r="J433" i="2"/>
  <c r="J431" i="2"/>
  <c r="J429" i="2"/>
  <c r="J427" i="2"/>
  <c r="J425" i="2"/>
  <c r="J423" i="2"/>
  <c r="J421" i="2"/>
  <c r="J419" i="2"/>
  <c r="J417" i="2"/>
  <c r="J415" i="2"/>
  <c r="J413" i="2"/>
  <c r="J411" i="2"/>
  <c r="J409" i="2"/>
  <c r="J407" i="2"/>
  <c r="J405" i="2"/>
  <c r="J403" i="2"/>
  <c r="J401" i="2"/>
  <c r="J399" i="2"/>
  <c r="J397" i="2"/>
  <c r="J395" i="2"/>
  <c r="J393" i="2"/>
  <c r="J391" i="2"/>
  <c r="J389" i="2"/>
  <c r="J387" i="2"/>
  <c r="J385" i="2"/>
  <c r="J383" i="2"/>
  <c r="J381" i="2"/>
  <c r="J379" i="2"/>
  <c r="J377" i="2"/>
  <c r="J375" i="2"/>
  <c r="J373" i="2"/>
  <c r="J371" i="2"/>
  <c r="J369" i="2"/>
  <c r="J367" i="2"/>
  <c r="J365" i="2"/>
  <c r="J363" i="2"/>
  <c r="J361" i="2"/>
  <c r="J359" i="2"/>
  <c r="J357" i="2"/>
  <c r="J355" i="2"/>
  <c r="J353" i="2"/>
  <c r="J351" i="2"/>
  <c r="J349" i="2"/>
  <c r="J347" i="2"/>
  <c r="J345" i="2"/>
  <c r="J343" i="2"/>
  <c r="J341" i="2"/>
  <c r="J339" i="2"/>
  <c r="J337" i="2"/>
  <c r="J335" i="2"/>
  <c r="J333" i="2"/>
  <c r="J331" i="2"/>
  <c r="J329" i="2"/>
  <c r="J327" i="2"/>
  <c r="J325" i="2"/>
  <c r="J323" i="2"/>
  <c r="J321" i="2"/>
  <c r="J319" i="2"/>
  <c r="J317" i="2"/>
  <c r="J315" i="2"/>
  <c r="J313" i="2"/>
  <c r="J311" i="2"/>
  <c r="J309" i="2"/>
  <c r="J307" i="2"/>
  <c r="J305" i="2"/>
  <c r="J303" i="2"/>
  <c r="J301" i="2"/>
  <c r="J299" i="2"/>
  <c r="J297" i="2"/>
  <c r="J295" i="2"/>
  <c r="J293" i="2"/>
  <c r="J291" i="2"/>
  <c r="J289" i="2"/>
  <c r="J287" i="2"/>
  <c r="J285" i="2"/>
  <c r="J283" i="2"/>
  <c r="J281" i="2"/>
  <c r="J279" i="2"/>
  <c r="J277" i="2"/>
  <c r="J275" i="2"/>
  <c r="J273" i="2"/>
  <c r="J271" i="2"/>
  <c r="J269" i="2"/>
  <c r="J267" i="2"/>
  <c r="J265" i="2"/>
  <c r="J263" i="2"/>
  <c r="J261" i="2"/>
  <c r="J259" i="2"/>
  <c r="J257" i="2"/>
  <c r="J255" i="2"/>
  <c r="J253" i="2"/>
  <c r="J251" i="2"/>
  <c r="J249" i="2"/>
  <c r="J247" i="2"/>
  <c r="J245" i="2"/>
  <c r="J243" i="2"/>
  <c r="J241" i="2"/>
  <c r="J239" i="2"/>
  <c r="J237" i="2"/>
  <c r="J235" i="2"/>
  <c r="J233" i="2"/>
  <c r="J231" i="2"/>
  <c r="J229" i="2"/>
  <c r="J227" i="2"/>
  <c r="J225" i="2"/>
  <c r="J223" i="2"/>
  <c r="J221" i="2"/>
  <c r="J219" i="2"/>
  <c r="J217" i="2"/>
  <c r="J215" i="2"/>
  <c r="J213" i="2"/>
  <c r="J211" i="2"/>
  <c r="J209" i="2"/>
  <c r="J207" i="2"/>
  <c r="J205" i="2"/>
  <c r="J203" i="2"/>
  <c r="J201" i="2"/>
  <c r="J199" i="2"/>
  <c r="J197" i="2"/>
  <c r="J195" i="2"/>
  <c r="J193" i="2"/>
  <c r="J191" i="2"/>
  <c r="J189" i="2"/>
  <c r="J187" i="2"/>
  <c r="J185" i="6"/>
  <c r="J185" i="2"/>
  <c r="J183" i="6"/>
  <c r="J183" i="2"/>
  <c r="J181" i="6"/>
  <c r="J181" i="2"/>
  <c r="J179" i="6"/>
  <c r="J179" i="2"/>
  <c r="J177" i="6"/>
  <c r="J177" i="2"/>
  <c r="J175" i="6"/>
  <c r="J175" i="2"/>
  <c r="J173" i="6"/>
  <c r="J173" i="2"/>
  <c r="J171" i="6"/>
  <c r="J171" i="2"/>
  <c r="J169" i="6"/>
  <c r="J169" i="2"/>
  <c r="J167" i="6"/>
  <c r="J167" i="2"/>
  <c r="J165" i="6"/>
  <c r="J165" i="2"/>
  <c r="J163" i="6"/>
  <c r="J163" i="2"/>
  <c r="J161" i="6"/>
  <c r="J161" i="2"/>
  <c r="J159" i="6"/>
  <c r="J159" i="2"/>
  <c r="J157" i="6"/>
  <c r="J157" i="2"/>
  <c r="J155" i="6"/>
  <c r="J155" i="2"/>
  <c r="J153" i="6"/>
  <c r="J153" i="2"/>
  <c r="J151" i="6"/>
  <c r="J151" i="2"/>
  <c r="J149" i="6"/>
  <c r="J149" i="2"/>
  <c r="J143" i="6"/>
  <c r="J143" i="2"/>
  <c r="J135" i="6"/>
  <c r="J135" i="2"/>
  <c r="J131" i="6"/>
  <c r="J131" i="2"/>
  <c r="J125" i="6"/>
  <c r="J125" i="2"/>
  <c r="J119" i="6"/>
  <c r="J119" i="2"/>
  <c r="J113" i="6"/>
  <c r="J113" i="2"/>
  <c r="J109" i="6"/>
  <c r="J109" i="2"/>
  <c r="J107" i="6"/>
  <c r="J107" i="2"/>
  <c r="J103" i="6"/>
  <c r="J103" i="2"/>
  <c r="J98" i="6"/>
  <c r="J98" i="2"/>
  <c r="J96" i="6"/>
  <c r="J96" i="2"/>
  <c r="J94" i="6"/>
  <c r="J94" i="2"/>
  <c r="J92" i="6"/>
  <c r="J92" i="2"/>
  <c r="J88" i="6"/>
  <c r="J88" i="2"/>
  <c r="J86" i="6"/>
  <c r="J86" i="2"/>
  <c r="J84" i="6"/>
  <c r="J84" i="2"/>
  <c r="J82" i="6"/>
  <c r="J82" i="2"/>
  <c r="J78" i="6"/>
  <c r="J78" i="2"/>
  <c r="J76" i="6"/>
  <c r="J76" i="2"/>
  <c r="J70" i="6"/>
  <c r="J70" i="2"/>
  <c r="J68" i="6"/>
  <c r="J68" i="2"/>
  <c r="J15" i="6"/>
  <c r="J15" i="2"/>
  <c r="J30" i="6"/>
  <c r="J30" i="2"/>
  <c r="J34" i="6"/>
  <c r="J34" i="2"/>
  <c r="J41" i="6"/>
  <c r="J41" i="2"/>
  <c r="J53" i="6"/>
  <c r="J53" i="2"/>
  <c r="J2" i="6"/>
  <c r="J2" i="2"/>
  <c r="J3" i="6"/>
  <c r="J3" i="2"/>
  <c r="J7" i="6"/>
  <c r="J7" i="2"/>
  <c r="J9" i="6"/>
  <c r="J9" i="2"/>
  <c r="J20" i="6"/>
  <c r="J20" i="2"/>
  <c r="J18" i="6"/>
  <c r="J18" i="2"/>
  <c r="J16" i="6"/>
  <c r="J16" i="2"/>
  <c r="J14" i="6"/>
  <c r="J14" i="2"/>
  <c r="J12" i="6"/>
  <c r="J12" i="2"/>
  <c r="J21" i="6"/>
  <c r="J21" i="2"/>
  <c r="J23" i="6"/>
  <c r="J23" i="2"/>
  <c r="J29" i="6"/>
  <c r="J29" i="2"/>
  <c r="J27" i="6"/>
  <c r="J27" i="2"/>
  <c r="J31" i="6"/>
  <c r="J31" i="2"/>
  <c r="J33" i="6"/>
  <c r="J33" i="2"/>
  <c r="J35" i="6"/>
  <c r="J35" i="2"/>
  <c r="J36" i="6"/>
  <c r="J36" i="2"/>
  <c r="J42" i="6"/>
  <c r="J42" i="2"/>
  <c r="J40" i="6"/>
  <c r="J40" i="2"/>
  <c r="J54" i="6"/>
  <c r="J54" i="2"/>
  <c r="J52" i="6"/>
  <c r="J52" i="2"/>
  <c r="J48" i="6"/>
  <c r="J48" i="2"/>
  <c r="J46" i="6"/>
  <c r="J46" i="2"/>
  <c r="J64" i="6"/>
  <c r="J64" i="2"/>
  <c r="J62" i="6"/>
  <c r="J62" i="2"/>
  <c r="J60" i="6"/>
  <c r="J60" i="2"/>
  <c r="I131" i="2"/>
  <c r="K131" i="6" s="1"/>
  <c r="I125" i="2"/>
  <c r="K125" i="6" s="1"/>
  <c r="I119" i="2"/>
  <c r="K119" i="6" s="1"/>
  <c r="I109" i="2"/>
  <c r="K109" i="6" s="1"/>
  <c r="I107" i="2"/>
  <c r="K107" i="6" s="1"/>
  <c r="I98" i="2"/>
  <c r="K98" i="6" s="1"/>
  <c r="I96" i="2"/>
  <c r="K96" i="6" s="1"/>
  <c r="I94" i="2"/>
  <c r="K94" i="6" s="1"/>
  <c r="I92" i="2"/>
  <c r="K92" i="6" s="1"/>
  <c r="J1116" i="2"/>
  <c r="J1114" i="2"/>
  <c r="J1112" i="2"/>
  <c r="J1110" i="2"/>
  <c r="J1108" i="2"/>
  <c r="J1106" i="2"/>
  <c r="J1104" i="2"/>
  <c r="J1102" i="2"/>
  <c r="J1100" i="2"/>
  <c r="J1098" i="2"/>
  <c r="J1096" i="2"/>
  <c r="J1094" i="2"/>
  <c r="J1092" i="2"/>
  <c r="J1090" i="2"/>
  <c r="J1088" i="2"/>
  <c r="J1086" i="2"/>
  <c r="J1084" i="2"/>
  <c r="J1082" i="2"/>
  <c r="J1080" i="2"/>
  <c r="J1078" i="2"/>
  <c r="J1076" i="2"/>
  <c r="J1074" i="2"/>
  <c r="J1072" i="2"/>
  <c r="J1070" i="2"/>
  <c r="J1068" i="2"/>
  <c r="J1066" i="2"/>
  <c r="J1064" i="2"/>
  <c r="J1062" i="2"/>
  <c r="J1060" i="2"/>
  <c r="J1058" i="2"/>
  <c r="J1056" i="2"/>
  <c r="J1054" i="2"/>
  <c r="J1052" i="2"/>
  <c r="J1050" i="2"/>
  <c r="J1048" i="2"/>
  <c r="J1046" i="2"/>
  <c r="J1044" i="2"/>
  <c r="J1042" i="2"/>
  <c r="J1040" i="2"/>
  <c r="J1038" i="2"/>
  <c r="J1036" i="2"/>
  <c r="J1034" i="2"/>
  <c r="J1032" i="2"/>
  <c r="J1030" i="2"/>
  <c r="J1028" i="2"/>
  <c r="J1026" i="2"/>
  <c r="J1024" i="2"/>
  <c r="J1022" i="2"/>
  <c r="J1020" i="2"/>
  <c r="J1018" i="2"/>
  <c r="J1016" i="2"/>
  <c r="J1014" i="2"/>
  <c r="J1012" i="2"/>
  <c r="J1010" i="2"/>
  <c r="J1008" i="2"/>
  <c r="J1006" i="2"/>
  <c r="J1004" i="2"/>
  <c r="J1002" i="2"/>
  <c r="J1000" i="2"/>
  <c r="J998" i="2"/>
  <c r="J996" i="2"/>
  <c r="J994" i="2"/>
  <c r="J992" i="2"/>
  <c r="J990" i="2"/>
  <c r="J988" i="2"/>
  <c r="J986" i="2"/>
  <c r="J984" i="2"/>
  <c r="J982" i="2"/>
  <c r="J980" i="2"/>
  <c r="J978" i="2"/>
  <c r="J976" i="2"/>
  <c r="J974" i="2"/>
  <c r="J972" i="2"/>
  <c r="J970" i="2"/>
  <c r="J968" i="2"/>
  <c r="J966" i="2"/>
  <c r="J964" i="2"/>
  <c r="J962" i="2"/>
  <c r="J960" i="2"/>
  <c r="J958" i="2"/>
  <c r="J956" i="2"/>
  <c r="J954" i="2"/>
  <c r="J952" i="2"/>
  <c r="J950" i="2"/>
  <c r="J948" i="2"/>
  <c r="J946" i="2"/>
  <c r="J944" i="2"/>
  <c r="J942" i="2"/>
  <c r="J940" i="2"/>
  <c r="J938" i="2"/>
  <c r="J936" i="2"/>
  <c r="J934" i="2"/>
  <c r="J932" i="2"/>
  <c r="J930" i="2"/>
  <c r="J928" i="2"/>
  <c r="J926" i="2"/>
  <c r="J924" i="2"/>
  <c r="J922" i="2"/>
  <c r="J920" i="2"/>
  <c r="J918" i="2"/>
  <c r="J916" i="2"/>
  <c r="J914" i="2"/>
  <c r="J912" i="2"/>
  <c r="J910" i="2"/>
  <c r="J908" i="2"/>
  <c r="J906" i="2"/>
  <c r="J904" i="2"/>
  <c r="J902" i="2"/>
  <c r="J900" i="2"/>
  <c r="J898" i="2"/>
  <c r="J896" i="2"/>
  <c r="J894" i="2"/>
  <c r="J892" i="2"/>
  <c r="J890" i="2"/>
  <c r="J888" i="2"/>
  <c r="J886" i="2"/>
  <c r="J884" i="2"/>
  <c r="J882" i="2"/>
  <c r="J880" i="2"/>
  <c r="J878" i="2"/>
  <c r="J876" i="2"/>
  <c r="J874" i="2"/>
  <c r="J872" i="2"/>
  <c r="J870" i="2"/>
  <c r="J868" i="2"/>
  <c r="J866" i="2"/>
  <c r="J864" i="2"/>
  <c r="J862" i="2"/>
  <c r="J860" i="2"/>
  <c r="J858" i="2"/>
  <c r="J856" i="2"/>
  <c r="J854" i="2"/>
  <c r="J852" i="2"/>
  <c r="J850" i="2"/>
  <c r="J848" i="2"/>
  <c r="J846" i="2"/>
  <c r="J844" i="2"/>
  <c r="J842" i="2"/>
  <c r="J840" i="2"/>
  <c r="J838" i="2"/>
  <c r="J836" i="2"/>
  <c r="J834" i="2"/>
  <c r="J832" i="2"/>
  <c r="J830" i="2"/>
  <c r="J828" i="2"/>
  <c r="J826" i="2"/>
  <c r="J824" i="2"/>
  <c r="J822" i="2"/>
  <c r="J820" i="2"/>
  <c r="J818" i="2"/>
  <c r="J816" i="2"/>
  <c r="J814" i="2"/>
  <c r="J812" i="2"/>
  <c r="J810" i="2"/>
  <c r="J808" i="2"/>
  <c r="J806" i="2"/>
  <c r="J804" i="2"/>
  <c r="J802" i="2"/>
  <c r="J800" i="2"/>
  <c r="J798" i="2"/>
  <c r="J796" i="2"/>
  <c r="J794" i="2"/>
  <c r="J792" i="2"/>
  <c r="J790" i="2"/>
  <c r="J788" i="2"/>
  <c r="J786" i="2"/>
  <c r="J784" i="2"/>
  <c r="J782" i="2"/>
  <c r="J780" i="2"/>
  <c r="J778" i="2"/>
  <c r="J776" i="2"/>
  <c r="J774" i="2"/>
  <c r="J772" i="2"/>
  <c r="J770" i="2"/>
  <c r="J768" i="2"/>
  <c r="J766" i="2"/>
  <c r="J764" i="2"/>
  <c r="J762" i="2"/>
  <c r="J760" i="2"/>
  <c r="J758" i="2"/>
  <c r="J756" i="2"/>
  <c r="J754" i="2"/>
  <c r="J752" i="2"/>
  <c r="J750" i="2"/>
  <c r="J748" i="2"/>
  <c r="J746" i="2"/>
  <c r="J744" i="2"/>
  <c r="J742" i="2"/>
  <c r="J740" i="2"/>
  <c r="J738" i="2"/>
  <c r="J736" i="2"/>
  <c r="J734" i="2"/>
  <c r="J732" i="2"/>
  <c r="J730" i="2"/>
  <c r="J728" i="2"/>
  <c r="J726" i="2"/>
  <c r="J724" i="2"/>
  <c r="J722" i="2"/>
  <c r="J720" i="2"/>
  <c r="J718" i="2"/>
  <c r="J716" i="2"/>
  <c r="J714" i="2"/>
  <c r="J712" i="2"/>
  <c r="J710" i="2"/>
  <c r="J708" i="2"/>
  <c r="J706" i="2"/>
  <c r="J704" i="2"/>
  <c r="J702" i="2"/>
  <c r="J700" i="2"/>
  <c r="J698" i="2"/>
  <c r="J696" i="2"/>
  <c r="J694" i="2"/>
  <c r="J692" i="2"/>
  <c r="J690" i="2"/>
  <c r="J688" i="2"/>
  <c r="J686" i="2"/>
  <c r="J684" i="2"/>
  <c r="J682" i="2"/>
  <c r="J680" i="2"/>
  <c r="J678" i="2"/>
  <c r="J676" i="2"/>
  <c r="J674" i="2"/>
  <c r="J672" i="2"/>
  <c r="J670" i="2"/>
  <c r="J668" i="2"/>
  <c r="J666" i="2"/>
  <c r="J664" i="2"/>
  <c r="J662" i="2"/>
  <c r="J660" i="2"/>
  <c r="J658" i="2"/>
  <c r="J656" i="2"/>
  <c r="J654" i="2"/>
  <c r="J652" i="2"/>
  <c r="J650" i="2"/>
  <c r="J648" i="2"/>
  <c r="J646" i="2"/>
  <c r="J644" i="2"/>
  <c r="J642" i="2"/>
  <c r="J640" i="2"/>
  <c r="J638" i="2"/>
  <c r="J636" i="2"/>
  <c r="J634" i="2"/>
  <c r="J632" i="2"/>
  <c r="J630" i="2"/>
  <c r="J628" i="2"/>
  <c r="J626" i="2"/>
  <c r="J624" i="2"/>
  <c r="J622" i="2"/>
  <c r="J620" i="2"/>
  <c r="J618" i="2"/>
  <c r="J616" i="2"/>
  <c r="J614" i="2"/>
  <c r="J612" i="2"/>
  <c r="J610" i="2"/>
  <c r="J608" i="2"/>
  <c r="J606" i="2"/>
  <c r="J604" i="2"/>
  <c r="J602" i="2"/>
  <c r="J600" i="2"/>
  <c r="J598" i="2"/>
  <c r="J596" i="2"/>
  <c r="J594" i="2"/>
  <c r="J592" i="2"/>
  <c r="J590" i="2"/>
  <c r="J588" i="2"/>
  <c r="J586" i="2"/>
  <c r="J584" i="2"/>
  <c r="J582" i="2"/>
  <c r="J580" i="2"/>
  <c r="J578" i="2"/>
  <c r="J576" i="2"/>
  <c r="J574" i="2"/>
  <c r="J572" i="2"/>
  <c r="J570" i="2"/>
  <c r="J568" i="2"/>
  <c r="J566" i="2"/>
  <c r="J564" i="2"/>
  <c r="J562" i="2"/>
  <c r="J560" i="2"/>
  <c r="J558" i="2"/>
  <c r="J556" i="2"/>
  <c r="J554" i="2"/>
  <c r="J552" i="2"/>
  <c r="J550" i="2"/>
  <c r="J548" i="2"/>
  <c r="J546" i="2"/>
  <c r="J544" i="2"/>
  <c r="J542" i="2"/>
  <c r="J540" i="2"/>
  <c r="J538" i="2"/>
  <c r="J536" i="2"/>
  <c r="J534" i="2"/>
  <c r="J532" i="2"/>
  <c r="J530" i="2"/>
  <c r="J528" i="2"/>
  <c r="J526" i="2"/>
  <c r="J524" i="2"/>
  <c r="J522" i="2"/>
  <c r="J520" i="2"/>
  <c r="J518" i="2"/>
  <c r="J516" i="2"/>
  <c r="J514" i="2"/>
  <c r="J512" i="2"/>
  <c r="J510" i="2"/>
  <c r="J508" i="2"/>
  <c r="J506" i="2"/>
  <c r="J504" i="2"/>
  <c r="J502" i="2"/>
  <c r="J500" i="2"/>
  <c r="J498" i="2"/>
  <c r="J496" i="2"/>
  <c r="J494" i="2"/>
  <c r="J492" i="2"/>
  <c r="J490" i="2"/>
  <c r="J488" i="2"/>
  <c r="J486" i="2"/>
  <c r="J484" i="2"/>
  <c r="J482" i="2"/>
  <c r="J480" i="2"/>
  <c r="J478" i="2"/>
  <c r="J476" i="2"/>
  <c r="J474" i="2"/>
  <c r="J472" i="2"/>
  <c r="J470" i="2"/>
  <c r="J468" i="2"/>
  <c r="J466" i="2"/>
  <c r="J464" i="2"/>
  <c r="J462" i="2"/>
  <c r="J460" i="2"/>
  <c r="J458" i="2"/>
  <c r="J456" i="2"/>
  <c r="J454" i="2"/>
  <c r="J452" i="2"/>
  <c r="J450" i="2"/>
  <c r="J448" i="2"/>
  <c r="J446" i="2"/>
  <c r="J444" i="2"/>
  <c r="J442" i="2"/>
  <c r="J440" i="2"/>
  <c r="J438" i="2"/>
  <c r="J436" i="2"/>
  <c r="J434" i="2"/>
  <c r="J432" i="2"/>
  <c r="J430" i="2"/>
  <c r="J428" i="2"/>
  <c r="J426" i="2"/>
  <c r="J424" i="2"/>
  <c r="J422" i="2"/>
  <c r="J420" i="2"/>
  <c r="J418" i="2"/>
  <c r="J416" i="2"/>
  <c r="J414" i="2"/>
  <c r="J412" i="2"/>
  <c r="J410" i="2"/>
  <c r="J408" i="2"/>
  <c r="J406" i="2"/>
  <c r="J404" i="2"/>
  <c r="J402" i="2"/>
  <c r="J400" i="2"/>
  <c r="J398" i="2"/>
  <c r="J396" i="2"/>
  <c r="J394" i="2"/>
  <c r="J392" i="2"/>
  <c r="J390" i="2"/>
  <c r="J388" i="2"/>
  <c r="J386" i="2"/>
  <c r="J384" i="2"/>
  <c r="J382" i="2"/>
  <c r="J380" i="2"/>
  <c r="J378" i="2"/>
  <c r="J376" i="2"/>
  <c r="J374" i="2"/>
  <c r="J372" i="2"/>
  <c r="J370" i="2"/>
  <c r="J368" i="2"/>
  <c r="J366" i="2"/>
  <c r="J364" i="2"/>
  <c r="J362" i="2"/>
  <c r="J360" i="2"/>
  <c r="J358" i="2"/>
  <c r="J356" i="2"/>
  <c r="J354" i="2"/>
  <c r="J352" i="2"/>
  <c r="J350" i="2"/>
  <c r="J348" i="2"/>
  <c r="J346" i="2"/>
  <c r="J344" i="2"/>
  <c r="J342" i="2"/>
  <c r="J340" i="2"/>
  <c r="J338" i="2"/>
  <c r="J336" i="2"/>
  <c r="J334" i="2"/>
  <c r="J332" i="2"/>
  <c r="J330" i="2"/>
  <c r="J328" i="2"/>
  <c r="J326" i="2"/>
  <c r="J324" i="2"/>
  <c r="J322" i="2"/>
  <c r="J320" i="2"/>
  <c r="J318" i="2"/>
  <c r="J316" i="2"/>
  <c r="J314" i="2"/>
  <c r="J312" i="2"/>
  <c r="J310" i="2"/>
  <c r="J308" i="2"/>
  <c r="J306" i="2"/>
  <c r="J304" i="2"/>
  <c r="J302" i="2"/>
  <c r="J300" i="2"/>
  <c r="J298" i="2"/>
  <c r="J296" i="2"/>
  <c r="J294" i="2"/>
  <c r="J292" i="2"/>
  <c r="J290" i="2"/>
  <c r="J288" i="2"/>
  <c r="J286" i="2"/>
  <c r="J284" i="2"/>
  <c r="J282" i="2"/>
  <c r="J280" i="2"/>
  <c r="J278" i="2"/>
  <c r="J276" i="2"/>
  <c r="J274" i="2"/>
  <c r="J272" i="2"/>
  <c r="J270" i="2"/>
  <c r="J268" i="2"/>
  <c r="J266" i="2"/>
  <c r="J264" i="2"/>
  <c r="J262" i="2"/>
  <c r="J260" i="2"/>
  <c r="J258" i="2"/>
  <c r="J256" i="2"/>
  <c r="J254" i="2"/>
  <c r="J252" i="2"/>
  <c r="J250" i="2"/>
  <c r="J248" i="2"/>
  <c r="J246" i="2"/>
  <c r="J244" i="2"/>
  <c r="J242" i="2"/>
  <c r="J240" i="2"/>
  <c r="J238" i="2"/>
  <c r="J236" i="2"/>
  <c r="J234" i="2"/>
  <c r="J232" i="2"/>
  <c r="J230" i="2"/>
  <c r="J228" i="2"/>
  <c r="J226" i="2"/>
  <c r="J224" i="2"/>
  <c r="J222" i="2"/>
  <c r="J220" i="2"/>
  <c r="J218" i="2"/>
  <c r="J216" i="2"/>
  <c r="J214" i="2"/>
  <c r="J212" i="2"/>
  <c r="J210" i="2"/>
  <c r="J208" i="2"/>
  <c r="J206" i="2"/>
  <c r="J204" i="2"/>
  <c r="J202" i="2"/>
  <c r="J200" i="2"/>
  <c r="J198" i="2"/>
  <c r="J196" i="2"/>
  <c r="J194" i="2"/>
  <c r="J192" i="2"/>
  <c r="J190" i="2"/>
  <c r="J188" i="2"/>
  <c r="J186" i="2"/>
  <c r="J184" i="6"/>
  <c r="J184" i="2"/>
  <c r="J182" i="6"/>
  <c r="J182" i="2"/>
  <c r="J180" i="6"/>
  <c r="J180" i="2"/>
  <c r="J178" i="6"/>
  <c r="J178" i="2"/>
  <c r="J176" i="6"/>
  <c r="J176" i="2"/>
  <c r="J174" i="6"/>
  <c r="J174" i="2"/>
  <c r="J172" i="6"/>
  <c r="J172" i="2"/>
  <c r="J170" i="6"/>
  <c r="J170" i="2"/>
  <c r="J168" i="6"/>
  <c r="J168" i="2"/>
  <c r="J166" i="6"/>
  <c r="J166" i="2"/>
  <c r="J164" i="6"/>
  <c r="J164" i="2"/>
  <c r="J162" i="6"/>
  <c r="J162" i="2"/>
  <c r="J160" i="6"/>
  <c r="J160" i="2"/>
  <c r="J158" i="6"/>
  <c r="J158" i="2"/>
  <c r="J156" i="6"/>
  <c r="J156" i="2"/>
  <c r="J154" i="6"/>
  <c r="J154" i="2"/>
  <c r="J150" i="6"/>
  <c r="J150" i="2"/>
  <c r="J148" i="6"/>
  <c r="J148" i="2"/>
  <c r="J142" i="6"/>
  <c r="J142" i="2"/>
  <c r="J122" i="6"/>
  <c r="J122" i="2"/>
  <c r="J120" i="6"/>
  <c r="J120" i="2"/>
  <c r="J118" i="6"/>
  <c r="J118" i="2"/>
  <c r="J112" i="6"/>
  <c r="J112" i="2"/>
  <c r="J108" i="6"/>
  <c r="J108" i="2"/>
  <c r="J106" i="6"/>
  <c r="J106" i="2"/>
  <c r="J104" i="6"/>
  <c r="J104" i="2"/>
  <c r="J101" i="6"/>
  <c r="J101" i="2"/>
  <c r="J99" i="6"/>
  <c r="J99" i="2"/>
  <c r="J97" i="6"/>
  <c r="J97" i="2"/>
  <c r="J95" i="6"/>
  <c r="J95" i="2"/>
  <c r="J93" i="6"/>
  <c r="J93" i="2"/>
  <c r="J91" i="6"/>
  <c r="J91" i="2"/>
  <c r="J89" i="6"/>
  <c r="J89" i="2"/>
  <c r="J87" i="6"/>
  <c r="J87" i="2"/>
  <c r="J85" i="6"/>
  <c r="J85" i="2"/>
  <c r="J83" i="6"/>
  <c r="J83" i="2"/>
  <c r="J81" i="6"/>
  <c r="J81" i="2"/>
  <c r="J79" i="6"/>
  <c r="J79" i="2"/>
  <c r="J77" i="6"/>
  <c r="J77" i="2"/>
  <c r="J75" i="6"/>
  <c r="J75" i="2"/>
  <c r="J73" i="6"/>
  <c r="J73" i="2"/>
  <c r="J69" i="6"/>
  <c r="J69" i="2"/>
  <c r="J147" i="6"/>
  <c r="J147" i="2"/>
  <c r="J145" i="6"/>
  <c r="J145" i="2"/>
  <c r="J133" i="6"/>
  <c r="J133" i="2"/>
  <c r="J146" i="6"/>
  <c r="J146" i="2"/>
  <c r="J152" i="6"/>
  <c r="J152" i="2"/>
  <c r="J144" i="6"/>
  <c r="J144" i="2"/>
  <c r="J129" i="6"/>
  <c r="J129" i="2"/>
  <c r="J128" i="6"/>
  <c r="J128" i="2"/>
  <c r="J105" i="6"/>
  <c r="J105" i="2"/>
  <c r="J130" i="6"/>
  <c r="J130" i="2"/>
  <c r="J141" i="6"/>
  <c r="J141" i="2"/>
  <c r="J138" i="6"/>
  <c r="J138" i="2"/>
  <c r="J140" i="6"/>
  <c r="J140" i="2"/>
  <c r="J139" i="6"/>
  <c r="J139" i="2"/>
  <c r="J124" i="6"/>
  <c r="J124" i="2"/>
  <c r="J137" i="6"/>
  <c r="J137" i="2"/>
  <c r="J136" i="6"/>
  <c r="J136" i="2"/>
  <c r="J121" i="6"/>
  <c r="J121" i="2"/>
  <c r="J134" i="6"/>
  <c r="J134" i="2"/>
  <c r="J132" i="6"/>
  <c r="J132" i="2"/>
  <c r="J100" i="6"/>
  <c r="J100" i="2"/>
  <c r="J90" i="6"/>
  <c r="J90" i="2"/>
  <c r="J80" i="6"/>
  <c r="J80" i="2"/>
  <c r="J47" i="6"/>
  <c r="J47" i="2"/>
  <c r="J115" i="6"/>
  <c r="J115" i="2"/>
  <c r="J127" i="6"/>
  <c r="J127" i="2"/>
  <c r="J117" i="6"/>
  <c r="J117" i="2"/>
  <c r="J126" i="6"/>
  <c r="J126" i="2"/>
  <c r="J114" i="6"/>
  <c r="J114" i="2"/>
  <c r="J116" i="6"/>
  <c r="J116" i="2"/>
  <c r="I116" i="2"/>
  <c r="K116" i="6" s="1"/>
  <c r="J111" i="6"/>
  <c r="J111" i="2"/>
  <c r="J110" i="6"/>
  <c r="J110" i="2"/>
  <c r="J123" i="6"/>
  <c r="J123" i="2"/>
  <c r="I105" i="2"/>
  <c r="K105" i="6" s="1"/>
  <c r="I103" i="2"/>
  <c r="K103" i="6" s="1"/>
  <c r="I88" i="2"/>
  <c r="K88" i="6" s="1"/>
  <c r="I86" i="2"/>
  <c r="K86" i="6" s="1"/>
  <c r="I84" i="2"/>
  <c r="K84" i="6" s="1"/>
  <c r="I82" i="2"/>
  <c r="K82" i="6" s="1"/>
  <c r="I80" i="2"/>
  <c r="K80" i="6" s="1"/>
  <c r="I78" i="2"/>
  <c r="K78" i="6" s="1"/>
  <c r="I76" i="2"/>
  <c r="K76" i="6" s="1"/>
  <c r="I25" i="2"/>
  <c r="K25" i="6" s="1"/>
  <c r="J25" i="6"/>
  <c r="I50" i="2"/>
  <c r="K50" i="6" s="1"/>
  <c r="J50" i="6"/>
  <c r="I44" i="2"/>
  <c r="K44" i="6" s="1"/>
  <c r="J44" i="6"/>
  <c r="I58" i="2"/>
  <c r="K58" i="6" s="1"/>
  <c r="J58" i="6"/>
  <c r="I56" i="2"/>
  <c r="K56" i="6" s="1"/>
  <c r="J56" i="6"/>
  <c r="I4" i="2"/>
  <c r="K4" i="6" s="1"/>
  <c r="I7" i="2"/>
  <c r="K7" i="6" s="1"/>
  <c r="I9" i="2"/>
  <c r="K9" i="6" s="1"/>
  <c r="I12" i="2"/>
  <c r="K12" i="6" s="1"/>
  <c r="I10" i="2"/>
  <c r="K10" i="6" s="1"/>
  <c r="I13" i="2"/>
  <c r="K13" i="6" s="1"/>
  <c r="I15" i="2"/>
  <c r="K15" i="6" s="1"/>
  <c r="I19" i="2"/>
  <c r="K19" i="6" s="1"/>
  <c r="I17" i="2"/>
  <c r="K17" i="6" s="1"/>
  <c r="I23" i="2"/>
  <c r="K23" i="6" s="1"/>
  <c r="I27" i="2"/>
  <c r="K27" i="6" s="1"/>
  <c r="I29" i="2"/>
  <c r="K29" i="6" s="1"/>
  <c r="I31" i="2"/>
  <c r="K31" i="6" s="1"/>
  <c r="I33" i="2"/>
  <c r="K33" i="6" s="1"/>
  <c r="I36" i="2"/>
  <c r="K36" i="6" s="1"/>
  <c r="I43" i="2"/>
  <c r="K43" i="6" s="1"/>
  <c r="I41" i="2"/>
  <c r="K41" i="6" s="1"/>
  <c r="I62" i="2"/>
  <c r="K62" i="6" s="1"/>
  <c r="I55" i="2"/>
  <c r="K55" i="6" s="1"/>
  <c r="I53" i="2"/>
  <c r="K53" i="6" s="1"/>
  <c r="I48" i="2"/>
  <c r="K48" i="6" s="1"/>
  <c r="I46" i="2"/>
  <c r="K46" i="6" s="1"/>
  <c r="I74" i="2"/>
  <c r="K74" i="6" s="1"/>
  <c r="J74" i="6"/>
  <c r="I72" i="2"/>
  <c r="K72" i="6" s="1"/>
  <c r="J72" i="6"/>
  <c r="I66" i="2"/>
  <c r="K66" i="6" s="1"/>
  <c r="J66" i="6"/>
  <c r="I22" i="2"/>
  <c r="K22" i="6" s="1"/>
  <c r="J22" i="6"/>
  <c r="I26" i="2"/>
  <c r="K26" i="6" s="1"/>
  <c r="J26" i="6"/>
  <c r="I37" i="2"/>
  <c r="K37" i="6" s="1"/>
  <c r="J37" i="6"/>
  <c r="I38" i="2"/>
  <c r="K38" i="6" s="1"/>
  <c r="J38" i="6"/>
  <c r="I39" i="2"/>
  <c r="K39" i="6" s="1"/>
  <c r="J39" i="6"/>
  <c r="I51" i="2"/>
  <c r="K51" i="6" s="1"/>
  <c r="J51" i="6"/>
  <c r="I49" i="2"/>
  <c r="K49" i="6" s="1"/>
  <c r="J49" i="6"/>
  <c r="I45" i="2"/>
  <c r="K45" i="6" s="1"/>
  <c r="J45" i="6"/>
  <c r="I63" i="2"/>
  <c r="K63" i="6" s="1"/>
  <c r="J63" i="6"/>
  <c r="I61" i="2"/>
  <c r="K61" i="6" s="1"/>
  <c r="J61" i="6"/>
  <c r="I59" i="2"/>
  <c r="K59" i="6" s="1"/>
  <c r="J59" i="6"/>
  <c r="I57" i="2"/>
  <c r="K57" i="6" s="1"/>
  <c r="J57" i="6"/>
  <c r="I2" i="2"/>
  <c r="K2" i="6" s="1"/>
  <c r="I3" i="2"/>
  <c r="K3" i="6" s="1"/>
  <c r="I6" i="2"/>
  <c r="K6" i="6" s="1"/>
  <c r="I8" i="2"/>
  <c r="K8" i="6" s="1"/>
  <c r="I11" i="2"/>
  <c r="K11" i="6" s="1"/>
  <c r="I14" i="2"/>
  <c r="K14" i="6" s="1"/>
  <c r="I16" i="2"/>
  <c r="K16" i="6" s="1"/>
  <c r="I20" i="2"/>
  <c r="K20" i="6" s="1"/>
  <c r="I18" i="2"/>
  <c r="K18" i="6" s="1"/>
  <c r="I24" i="2"/>
  <c r="K24" i="6" s="1"/>
  <c r="I21" i="2"/>
  <c r="K21" i="6" s="1"/>
  <c r="I30" i="2"/>
  <c r="K30" i="6" s="1"/>
  <c r="I28" i="2"/>
  <c r="K28" i="6" s="1"/>
  <c r="I34" i="2"/>
  <c r="K34" i="6" s="1"/>
  <c r="I32" i="2"/>
  <c r="K32" i="6" s="1"/>
  <c r="I35" i="2"/>
  <c r="K35" i="6" s="1"/>
  <c r="I42" i="2"/>
  <c r="K42" i="6" s="1"/>
  <c r="I40" i="2"/>
  <c r="K40" i="6" s="1"/>
  <c r="I64" i="2"/>
  <c r="K64" i="6" s="1"/>
  <c r="I60" i="2"/>
  <c r="K60" i="6" s="1"/>
  <c r="I54" i="2"/>
  <c r="K54" i="6" s="1"/>
  <c r="I52" i="2"/>
  <c r="K52" i="6" s="1"/>
  <c r="I47" i="2"/>
  <c r="K47" i="6" s="1"/>
  <c r="I71" i="2"/>
  <c r="K71" i="6" s="1"/>
  <c r="J71" i="6"/>
  <c r="I67" i="2"/>
  <c r="K67" i="6" s="1"/>
  <c r="J67" i="6"/>
  <c r="I65" i="2"/>
  <c r="K65" i="6" s="1"/>
  <c r="J65" i="6"/>
  <c r="I106" i="2"/>
  <c r="K106" i="6" s="1"/>
  <c r="I89" i="2"/>
  <c r="K89" i="6" s="1"/>
  <c r="A47" i="3"/>
  <c r="B47" i="3"/>
  <c r="A47" i="2"/>
  <c r="B47" i="2"/>
  <c r="H47" i="1"/>
  <c r="I47" i="1"/>
  <c r="A41" i="4" l="1"/>
  <c r="B41" i="4"/>
  <c r="A40" i="4"/>
  <c r="A41" i="3" l="1"/>
  <c r="B41" i="3"/>
  <c r="A26" i="3"/>
  <c r="B26" i="3"/>
  <c r="A41" i="2"/>
  <c r="B41" i="2"/>
  <c r="A26" i="2"/>
  <c r="B26" i="2"/>
  <c r="H26" i="1"/>
  <c r="I26" i="1"/>
  <c r="H27" i="1"/>
  <c r="I27" i="1"/>
  <c r="I28" i="1"/>
  <c r="H29" i="1"/>
  <c r="H30" i="1"/>
  <c r="I30" i="1"/>
  <c r="H31" i="1"/>
  <c r="I31" i="1"/>
  <c r="H32" i="1"/>
  <c r="I32" i="1"/>
  <c r="H33" i="1"/>
  <c r="I33" i="1"/>
  <c r="H34" i="1"/>
  <c r="I34" i="1"/>
  <c r="H35" i="1"/>
  <c r="I35" i="1"/>
  <c r="H36" i="1"/>
  <c r="I36" i="1"/>
  <c r="H37" i="1"/>
  <c r="I37" i="1"/>
  <c r="H38" i="1"/>
  <c r="I38" i="1"/>
  <c r="H39" i="1"/>
  <c r="I39" i="1"/>
  <c r="H40" i="1"/>
  <c r="I40" i="1"/>
  <c r="H41" i="1"/>
  <c r="I41" i="1"/>
  <c r="H42" i="1"/>
  <c r="I42" i="1"/>
  <c r="H43" i="1"/>
  <c r="I43" i="1"/>
  <c r="H44" i="1"/>
  <c r="I44" i="1"/>
  <c r="H45" i="1"/>
  <c r="I45" i="1"/>
  <c r="H46" i="1"/>
  <c r="I46" i="1"/>
  <c r="H48" i="1"/>
  <c r="I48" i="1"/>
  <c r="H49" i="1"/>
  <c r="I49" i="1"/>
  <c r="H50" i="1"/>
  <c r="I50" i="1"/>
  <c r="H51" i="1"/>
  <c r="I51" i="1"/>
  <c r="H52" i="1"/>
  <c r="I52" i="1"/>
  <c r="H53" i="1"/>
  <c r="I53" i="1"/>
  <c r="H54" i="1"/>
  <c r="I54" i="1"/>
  <c r="H55" i="1"/>
  <c r="I55" i="1"/>
  <c r="H56" i="1"/>
  <c r="I56" i="1"/>
  <c r="H57" i="1"/>
  <c r="I57" i="1"/>
  <c r="H58" i="1"/>
  <c r="I58" i="1"/>
  <c r="H59" i="1"/>
  <c r="I59" i="1"/>
  <c r="H60" i="1"/>
  <c r="I60" i="1"/>
  <c r="H61" i="1"/>
  <c r="I61" i="1"/>
  <c r="H62" i="1"/>
  <c r="I62" i="1"/>
  <c r="H63" i="1"/>
  <c r="I63" i="1"/>
  <c r="H64" i="1"/>
  <c r="I64" i="1"/>
  <c r="H65" i="1"/>
  <c r="I65" i="1"/>
  <c r="H66" i="1"/>
  <c r="I66" i="1"/>
  <c r="H67" i="1"/>
  <c r="I67" i="1"/>
  <c r="H68" i="1"/>
  <c r="I68" i="1"/>
  <c r="H69" i="1"/>
  <c r="I69" i="1"/>
  <c r="H70" i="1"/>
  <c r="I70" i="1"/>
  <c r="H71" i="1"/>
  <c r="I71" i="1"/>
  <c r="H72" i="1"/>
  <c r="I72" i="1"/>
  <c r="H73" i="1"/>
  <c r="I73" i="1"/>
  <c r="H74" i="1"/>
  <c r="I74" i="1"/>
  <c r="H75" i="1"/>
  <c r="I75" i="1"/>
  <c r="H76" i="1"/>
  <c r="I76" i="1"/>
  <c r="H77" i="1"/>
  <c r="I77" i="1"/>
  <c r="H78" i="1"/>
  <c r="I78" i="1"/>
  <c r="H79" i="1"/>
  <c r="I79" i="1"/>
  <c r="H80" i="1"/>
  <c r="I80" i="1"/>
  <c r="H81" i="1"/>
  <c r="I81" i="1"/>
  <c r="H82" i="1"/>
  <c r="I82" i="1"/>
  <c r="H83" i="1"/>
  <c r="I83" i="1"/>
  <c r="H84" i="1"/>
  <c r="I84" i="1"/>
  <c r="H85" i="1"/>
  <c r="I85" i="1"/>
  <c r="H86" i="1"/>
  <c r="I86" i="1"/>
  <c r="H87" i="1"/>
  <c r="I87" i="1"/>
  <c r="H88" i="1"/>
  <c r="I88" i="1"/>
  <c r="H802" i="1" l="1"/>
  <c r="I802" i="1"/>
  <c r="H803" i="1"/>
  <c r="I803" i="1"/>
  <c r="H804" i="1"/>
  <c r="I804" i="1"/>
  <c r="H805" i="1"/>
  <c r="I805" i="1"/>
  <c r="H806" i="1"/>
  <c r="I806" i="1"/>
  <c r="H807" i="1"/>
  <c r="I807" i="1"/>
  <c r="H808" i="1"/>
  <c r="I808" i="1"/>
  <c r="H809" i="1"/>
  <c r="I809" i="1"/>
  <c r="H810" i="1"/>
  <c r="I810" i="1"/>
  <c r="H811" i="1"/>
  <c r="I811" i="1"/>
  <c r="H812" i="1"/>
  <c r="I812" i="1"/>
  <c r="H813" i="1"/>
  <c r="I813" i="1"/>
  <c r="H814" i="1"/>
  <c r="I814" i="1"/>
  <c r="H815" i="1"/>
  <c r="I815" i="1"/>
  <c r="H816" i="1"/>
  <c r="I816" i="1"/>
  <c r="H817" i="1"/>
  <c r="I817" i="1"/>
  <c r="H818" i="1"/>
  <c r="I818" i="1"/>
  <c r="H819" i="1"/>
  <c r="I819" i="1"/>
  <c r="H820" i="1"/>
  <c r="I820" i="1"/>
  <c r="H821" i="1"/>
  <c r="I821" i="1"/>
  <c r="H822" i="1"/>
  <c r="I822" i="1"/>
  <c r="H823" i="1"/>
  <c r="I823" i="1"/>
  <c r="H824" i="1"/>
  <c r="I824" i="1"/>
  <c r="H825" i="1"/>
  <c r="I825" i="1"/>
  <c r="H826" i="1"/>
  <c r="I826" i="1"/>
  <c r="H827" i="1"/>
  <c r="I827" i="1"/>
  <c r="H828" i="1"/>
  <c r="I828" i="1"/>
  <c r="H829" i="1"/>
  <c r="I829" i="1"/>
  <c r="H830" i="1"/>
  <c r="I830" i="1"/>
  <c r="H831" i="1"/>
  <c r="I831" i="1"/>
  <c r="H832" i="1"/>
  <c r="I832" i="1"/>
  <c r="H833" i="1"/>
  <c r="I833" i="1"/>
  <c r="H834" i="1"/>
  <c r="I834" i="1"/>
  <c r="H835" i="1"/>
  <c r="I835" i="1"/>
  <c r="H836" i="1"/>
  <c r="I836" i="1"/>
  <c r="H837" i="1"/>
  <c r="I837" i="1"/>
  <c r="H838" i="1"/>
  <c r="I838" i="1"/>
  <c r="H839" i="1"/>
  <c r="I839" i="1"/>
  <c r="H840" i="1"/>
  <c r="I840" i="1"/>
  <c r="H841" i="1"/>
  <c r="I841" i="1"/>
  <c r="H842" i="1"/>
  <c r="I842" i="1"/>
  <c r="H843" i="1"/>
  <c r="I843" i="1"/>
  <c r="H844" i="1"/>
  <c r="I844" i="1"/>
  <c r="H845" i="1"/>
  <c r="I845" i="1"/>
  <c r="H846" i="1"/>
  <c r="I846" i="1"/>
  <c r="H847" i="1"/>
  <c r="I847" i="1"/>
  <c r="H848" i="1"/>
  <c r="I848" i="1"/>
  <c r="H849" i="1"/>
  <c r="I849" i="1"/>
  <c r="H850" i="1"/>
  <c r="I850" i="1"/>
  <c r="H851" i="1"/>
  <c r="I851" i="1"/>
  <c r="H852" i="1"/>
  <c r="I852" i="1"/>
  <c r="H853" i="1"/>
  <c r="I853" i="1"/>
  <c r="H854" i="1"/>
  <c r="I854" i="1"/>
  <c r="H855" i="1"/>
  <c r="I855" i="1"/>
  <c r="H856" i="1"/>
  <c r="I856" i="1"/>
  <c r="H857" i="1"/>
  <c r="I857" i="1"/>
  <c r="H858" i="1"/>
  <c r="I858" i="1"/>
  <c r="H859" i="1"/>
  <c r="I859" i="1"/>
  <c r="H860" i="1"/>
  <c r="I860" i="1"/>
  <c r="H861" i="1"/>
  <c r="I861" i="1"/>
  <c r="H862" i="1"/>
  <c r="I862" i="1"/>
  <c r="H863" i="1"/>
  <c r="I863" i="1"/>
  <c r="H864" i="1"/>
  <c r="I864" i="1"/>
  <c r="H865" i="1"/>
  <c r="I865" i="1"/>
  <c r="H866" i="1"/>
  <c r="I866" i="1"/>
  <c r="H867" i="1"/>
  <c r="I867" i="1"/>
  <c r="H868" i="1"/>
  <c r="I868" i="1"/>
  <c r="H869" i="1"/>
  <c r="I869" i="1"/>
  <c r="H870" i="1"/>
  <c r="I870" i="1"/>
  <c r="H871" i="1"/>
  <c r="I871" i="1"/>
  <c r="H872" i="1"/>
  <c r="I872" i="1"/>
  <c r="H873" i="1"/>
  <c r="I873" i="1"/>
  <c r="H874" i="1"/>
  <c r="I874" i="1"/>
  <c r="H875" i="1"/>
  <c r="I875" i="1"/>
  <c r="H876" i="1"/>
  <c r="I876" i="1"/>
  <c r="H877" i="1"/>
  <c r="I877" i="1"/>
  <c r="H878" i="1"/>
  <c r="I878" i="1"/>
  <c r="H879" i="1"/>
  <c r="I879" i="1"/>
  <c r="H880" i="1"/>
  <c r="I880" i="1"/>
  <c r="H881" i="1"/>
  <c r="I881" i="1"/>
  <c r="H882" i="1"/>
  <c r="I882" i="1"/>
  <c r="H883" i="1"/>
  <c r="I883" i="1"/>
  <c r="H884" i="1"/>
  <c r="I884" i="1"/>
  <c r="H885" i="1"/>
  <c r="I885" i="1"/>
  <c r="H886" i="1"/>
  <c r="I886" i="1"/>
  <c r="H887" i="1"/>
  <c r="I887" i="1"/>
  <c r="H888" i="1"/>
  <c r="I888" i="1"/>
  <c r="H889" i="1"/>
  <c r="I889" i="1"/>
  <c r="H890" i="1"/>
  <c r="I890" i="1"/>
  <c r="H891" i="1"/>
  <c r="I891" i="1"/>
  <c r="H892" i="1"/>
  <c r="I892" i="1"/>
  <c r="H893" i="1"/>
  <c r="I893" i="1"/>
  <c r="H894" i="1"/>
  <c r="I894" i="1"/>
  <c r="H895" i="1"/>
  <c r="I895" i="1"/>
  <c r="H896" i="1"/>
  <c r="I896" i="1"/>
  <c r="H897" i="1"/>
  <c r="I897" i="1"/>
  <c r="H898" i="1"/>
  <c r="I898" i="1"/>
  <c r="H899" i="1"/>
  <c r="I899" i="1"/>
  <c r="H900" i="1"/>
  <c r="I900" i="1"/>
  <c r="H901" i="1"/>
  <c r="I901" i="1"/>
  <c r="H902" i="1"/>
  <c r="I902" i="1"/>
  <c r="H903" i="1"/>
  <c r="I903" i="1"/>
  <c r="H904" i="1"/>
  <c r="I904" i="1"/>
  <c r="H905" i="1"/>
  <c r="I905" i="1"/>
  <c r="H906" i="1"/>
  <c r="I906" i="1"/>
  <c r="H907" i="1"/>
  <c r="I907" i="1"/>
  <c r="H908" i="1"/>
  <c r="I908" i="1"/>
  <c r="H909" i="1"/>
  <c r="I909" i="1"/>
  <c r="H910" i="1"/>
  <c r="I910" i="1"/>
  <c r="H911" i="1"/>
  <c r="I911" i="1"/>
  <c r="H912" i="1"/>
  <c r="I912" i="1"/>
  <c r="H913" i="1"/>
  <c r="I913" i="1"/>
  <c r="H914" i="1"/>
  <c r="I914" i="1"/>
  <c r="H915" i="1"/>
  <c r="I915" i="1"/>
  <c r="H916" i="1"/>
  <c r="I916" i="1"/>
  <c r="H917" i="1"/>
  <c r="I917" i="1"/>
  <c r="H918" i="1"/>
  <c r="I918" i="1"/>
  <c r="H919" i="1"/>
  <c r="I919" i="1"/>
  <c r="H920" i="1"/>
  <c r="I920" i="1"/>
  <c r="H921" i="1"/>
  <c r="I921" i="1"/>
  <c r="H922" i="1"/>
  <c r="I922" i="1"/>
  <c r="H923" i="1"/>
  <c r="I923" i="1"/>
  <c r="H924" i="1"/>
  <c r="I924" i="1"/>
  <c r="H925" i="1"/>
  <c r="I925" i="1"/>
  <c r="H926" i="1"/>
  <c r="I926" i="1"/>
  <c r="H927" i="1"/>
  <c r="I927" i="1"/>
  <c r="H928" i="1"/>
  <c r="I928" i="1"/>
  <c r="H929" i="1"/>
  <c r="I929" i="1"/>
  <c r="H930" i="1"/>
  <c r="I930" i="1"/>
  <c r="H931" i="1"/>
  <c r="I931" i="1"/>
  <c r="H932" i="1"/>
  <c r="I932" i="1"/>
  <c r="H933" i="1"/>
  <c r="I933" i="1"/>
  <c r="H934" i="1"/>
  <c r="I934" i="1"/>
  <c r="H935" i="1"/>
  <c r="I935" i="1"/>
  <c r="H936" i="1"/>
  <c r="I936" i="1"/>
  <c r="H937" i="1"/>
  <c r="I937" i="1"/>
  <c r="H938" i="1"/>
  <c r="I938" i="1"/>
  <c r="H939" i="1"/>
  <c r="I939" i="1"/>
  <c r="H940" i="1"/>
  <c r="I940" i="1"/>
  <c r="H941" i="1"/>
  <c r="I941" i="1"/>
  <c r="H942" i="1"/>
  <c r="I942" i="1"/>
  <c r="H943" i="1"/>
  <c r="I943" i="1"/>
  <c r="H944" i="1"/>
  <c r="I944" i="1"/>
  <c r="H945" i="1"/>
  <c r="I945" i="1"/>
  <c r="H946" i="1"/>
  <c r="I946" i="1"/>
  <c r="H947" i="1"/>
  <c r="I947" i="1"/>
  <c r="H948" i="1"/>
  <c r="I948" i="1"/>
  <c r="H949" i="1"/>
  <c r="I949" i="1"/>
  <c r="H950" i="1"/>
  <c r="I950" i="1"/>
  <c r="H951" i="1"/>
  <c r="I951" i="1"/>
  <c r="H952" i="1"/>
  <c r="I952" i="1"/>
  <c r="H953" i="1"/>
  <c r="I953" i="1"/>
  <c r="H954" i="1"/>
  <c r="I954" i="1"/>
  <c r="H955" i="1"/>
  <c r="I955" i="1"/>
  <c r="H956" i="1"/>
  <c r="I956" i="1"/>
  <c r="H957" i="1"/>
  <c r="I957" i="1"/>
  <c r="H958" i="1"/>
  <c r="I958" i="1"/>
  <c r="H959" i="1"/>
  <c r="I959" i="1"/>
  <c r="H960" i="1"/>
  <c r="I960" i="1"/>
  <c r="H961" i="1"/>
  <c r="I961" i="1"/>
  <c r="H962" i="1"/>
  <c r="I962" i="1"/>
  <c r="H963" i="1"/>
  <c r="I963" i="1"/>
  <c r="H964" i="1"/>
  <c r="I964" i="1"/>
  <c r="H965" i="1"/>
  <c r="I965" i="1"/>
  <c r="H966" i="1"/>
  <c r="I966" i="1"/>
  <c r="H967" i="1"/>
  <c r="I967" i="1"/>
  <c r="H968" i="1"/>
  <c r="I968" i="1"/>
  <c r="H969" i="1"/>
  <c r="I969" i="1"/>
  <c r="H970" i="1"/>
  <c r="I970" i="1"/>
  <c r="H971" i="1"/>
  <c r="I971" i="1"/>
  <c r="H972" i="1"/>
  <c r="I972" i="1"/>
  <c r="H973" i="1"/>
  <c r="I973" i="1"/>
  <c r="H974" i="1"/>
  <c r="I974" i="1"/>
  <c r="H975" i="1"/>
  <c r="I975" i="1"/>
  <c r="H976" i="1"/>
  <c r="I976" i="1"/>
  <c r="H977" i="1"/>
  <c r="I977" i="1"/>
  <c r="H978" i="1"/>
  <c r="I978" i="1"/>
  <c r="H979" i="1"/>
  <c r="I979" i="1"/>
  <c r="H980" i="1"/>
  <c r="I980" i="1"/>
  <c r="H981" i="1"/>
  <c r="I981" i="1"/>
  <c r="H982" i="1"/>
  <c r="I982" i="1"/>
  <c r="H983" i="1"/>
  <c r="I983" i="1"/>
  <c r="H984" i="1"/>
  <c r="I984" i="1"/>
  <c r="H985" i="1"/>
  <c r="I985" i="1"/>
  <c r="H986" i="1"/>
  <c r="I986" i="1"/>
  <c r="H987" i="1"/>
  <c r="I987" i="1"/>
  <c r="H988" i="1"/>
  <c r="I988" i="1"/>
  <c r="H989" i="1"/>
  <c r="I989" i="1"/>
  <c r="H990" i="1"/>
  <c r="I990" i="1"/>
  <c r="H991" i="1"/>
  <c r="I991" i="1"/>
  <c r="H992" i="1"/>
  <c r="I992" i="1"/>
  <c r="H993" i="1"/>
  <c r="I993" i="1"/>
  <c r="H994" i="1"/>
  <c r="I994" i="1"/>
  <c r="H995" i="1"/>
  <c r="I995" i="1"/>
  <c r="H996" i="1"/>
  <c r="I996" i="1"/>
  <c r="H997" i="1"/>
  <c r="I997" i="1"/>
  <c r="H998" i="1"/>
  <c r="I998" i="1"/>
  <c r="H999" i="1"/>
  <c r="I999" i="1"/>
  <c r="H1000" i="1"/>
  <c r="I1000" i="1"/>
  <c r="H1001" i="1"/>
  <c r="I1001" i="1"/>
  <c r="H1002" i="1"/>
  <c r="I1002" i="1"/>
  <c r="H1003" i="1"/>
  <c r="I1003" i="1"/>
  <c r="H1004" i="1"/>
  <c r="I1004" i="1"/>
  <c r="H1005" i="1"/>
  <c r="I1005" i="1"/>
  <c r="H1006" i="1"/>
  <c r="I1006" i="1"/>
  <c r="H1007" i="1"/>
  <c r="I1007" i="1"/>
  <c r="H1008" i="1"/>
  <c r="I1008" i="1"/>
  <c r="H1009" i="1"/>
  <c r="I1009" i="1"/>
  <c r="H1010" i="1"/>
  <c r="I1010" i="1"/>
  <c r="H1011" i="1"/>
  <c r="I1011" i="1"/>
  <c r="H1012" i="1"/>
  <c r="I1012" i="1"/>
  <c r="H1013" i="1"/>
  <c r="I1013" i="1"/>
  <c r="H1014" i="1"/>
  <c r="I1014" i="1"/>
  <c r="H1015" i="1"/>
  <c r="I1015" i="1"/>
  <c r="H1016" i="1"/>
  <c r="I1016" i="1"/>
  <c r="H1017" i="1"/>
  <c r="I1017" i="1"/>
  <c r="H1018" i="1"/>
  <c r="I1018" i="1"/>
  <c r="H1019" i="1"/>
  <c r="I1019" i="1"/>
  <c r="H1020" i="1"/>
  <c r="I1020" i="1"/>
  <c r="H1021" i="1"/>
  <c r="I1021" i="1"/>
  <c r="H1022" i="1"/>
  <c r="I1022" i="1"/>
  <c r="H1023" i="1"/>
  <c r="I1023" i="1"/>
  <c r="H1024" i="1"/>
  <c r="I1024" i="1"/>
  <c r="H1025" i="1"/>
  <c r="I1025" i="1"/>
  <c r="H1026" i="1"/>
  <c r="I1026" i="1"/>
  <c r="H1027" i="1"/>
  <c r="I1027" i="1"/>
  <c r="H1028" i="1"/>
  <c r="I1028" i="1"/>
  <c r="H1029" i="1"/>
  <c r="I1029" i="1"/>
  <c r="H1030" i="1"/>
  <c r="I1030" i="1"/>
  <c r="H1031" i="1"/>
  <c r="I1031" i="1"/>
  <c r="H1032" i="1"/>
  <c r="I1032" i="1"/>
  <c r="H1033" i="1"/>
  <c r="I1033" i="1"/>
  <c r="H1034" i="1"/>
  <c r="I1034" i="1"/>
  <c r="H1035" i="1"/>
  <c r="I1035" i="1"/>
  <c r="H1036" i="1"/>
  <c r="I1036" i="1"/>
  <c r="H1037" i="1"/>
  <c r="I1037" i="1"/>
  <c r="H1038" i="1"/>
  <c r="I1038" i="1"/>
  <c r="H1039" i="1"/>
  <c r="I1039" i="1"/>
  <c r="H1040" i="1"/>
  <c r="I1040" i="1"/>
  <c r="H1041" i="1"/>
  <c r="I1041" i="1"/>
  <c r="H1042" i="1"/>
  <c r="I1042" i="1"/>
  <c r="H1043" i="1"/>
  <c r="I1043" i="1"/>
  <c r="H1044" i="1"/>
  <c r="I1044" i="1"/>
  <c r="H1045" i="1"/>
  <c r="I1045" i="1"/>
  <c r="H1046" i="1"/>
  <c r="I1046" i="1"/>
  <c r="H1047" i="1"/>
  <c r="I1047" i="1"/>
  <c r="H1048" i="1"/>
  <c r="I1048" i="1"/>
  <c r="H1049" i="1"/>
  <c r="I1049" i="1"/>
  <c r="H1050" i="1"/>
  <c r="I1050" i="1"/>
  <c r="H1051" i="1"/>
  <c r="I1051" i="1"/>
  <c r="H1052" i="1"/>
  <c r="I1052" i="1"/>
  <c r="H1053" i="1"/>
  <c r="I1053" i="1"/>
  <c r="H1054" i="1"/>
  <c r="I1054" i="1"/>
  <c r="H1055" i="1"/>
  <c r="I1055" i="1"/>
  <c r="H1056" i="1"/>
  <c r="I1056" i="1"/>
  <c r="H1057" i="1"/>
  <c r="I1057" i="1"/>
  <c r="H1058" i="1"/>
  <c r="I1058" i="1"/>
  <c r="H1059" i="1"/>
  <c r="I1059" i="1"/>
  <c r="A37" i="3" l="1"/>
  <c r="B37" i="3"/>
  <c r="A38" i="3"/>
  <c r="B38" i="3"/>
  <c r="A39" i="3"/>
  <c r="B39" i="3"/>
  <c r="A40" i="3"/>
  <c r="B40" i="3"/>
  <c r="A42" i="3"/>
  <c r="B42" i="3"/>
  <c r="A43" i="3"/>
  <c r="B43" i="3"/>
  <c r="A44" i="3"/>
  <c r="B44" i="3"/>
  <c r="A45" i="3"/>
  <c r="B45" i="3"/>
  <c r="A46" i="3"/>
  <c r="B46" i="3"/>
  <c r="A48" i="3"/>
  <c r="B48" i="3"/>
  <c r="A49" i="3"/>
  <c r="B49" i="3"/>
  <c r="A50" i="3"/>
  <c r="B50" i="3"/>
  <c r="A51" i="3"/>
  <c r="B51" i="3"/>
  <c r="A52" i="3"/>
  <c r="B52" i="3"/>
  <c r="A53" i="3"/>
  <c r="B53" i="3"/>
  <c r="A54" i="3"/>
  <c r="B54" i="3"/>
  <c r="A55" i="3"/>
  <c r="B55" i="3"/>
  <c r="A56" i="3"/>
  <c r="B56" i="3"/>
  <c r="A57" i="3"/>
  <c r="B57" i="3"/>
  <c r="A58" i="3"/>
  <c r="B58" i="3"/>
  <c r="A59" i="3"/>
  <c r="B59" i="3"/>
  <c r="A60" i="3"/>
  <c r="B60" i="3"/>
  <c r="A61" i="3"/>
  <c r="B61" i="3"/>
  <c r="A62" i="3"/>
  <c r="B62" i="3"/>
  <c r="A63" i="3"/>
  <c r="B63" i="3"/>
  <c r="A64" i="3"/>
  <c r="B64" i="3"/>
  <c r="A65" i="3"/>
  <c r="B65" i="3"/>
  <c r="A66" i="3"/>
  <c r="B66" i="3"/>
  <c r="A67" i="3"/>
  <c r="B67" i="3"/>
  <c r="A68" i="3"/>
  <c r="B68" i="3"/>
  <c r="A69" i="3"/>
  <c r="B69" i="3"/>
  <c r="A70" i="3"/>
  <c r="B70" i="3"/>
  <c r="A71" i="3"/>
  <c r="B71" i="3"/>
  <c r="A72" i="3"/>
  <c r="B72" i="3"/>
  <c r="A73" i="3"/>
  <c r="B73" i="3"/>
  <c r="A74" i="3"/>
  <c r="B74" i="3"/>
  <c r="A75" i="3"/>
  <c r="B75" i="3"/>
  <c r="A76" i="3"/>
  <c r="B76" i="3"/>
  <c r="A77" i="3"/>
  <c r="B77" i="3"/>
  <c r="A78" i="3"/>
  <c r="B78" i="3"/>
  <c r="A79" i="3"/>
  <c r="B79" i="3"/>
  <c r="A80" i="3"/>
  <c r="B80" i="3"/>
  <c r="A81" i="3"/>
  <c r="B81" i="3"/>
  <c r="A82" i="3"/>
  <c r="B82" i="3"/>
  <c r="A83" i="3"/>
  <c r="B83" i="3"/>
  <c r="A84" i="3"/>
  <c r="B84" i="3"/>
  <c r="A85" i="3"/>
  <c r="B85" i="3"/>
  <c r="A86" i="3"/>
  <c r="B86" i="3"/>
  <c r="A87" i="3"/>
  <c r="B87" i="3"/>
  <c r="A88" i="3"/>
  <c r="B88" i="3"/>
  <c r="A89" i="3"/>
  <c r="B89" i="3"/>
  <c r="A90" i="3"/>
  <c r="B90" i="3"/>
  <c r="A91" i="3"/>
  <c r="B91" i="3"/>
  <c r="A92" i="3"/>
  <c r="B92" i="3"/>
  <c r="A93" i="3"/>
  <c r="B93" i="3"/>
  <c r="A94" i="3"/>
  <c r="B94" i="3"/>
  <c r="A95" i="3"/>
  <c r="B95" i="3"/>
  <c r="A96" i="3"/>
  <c r="B96" i="3"/>
  <c r="A97" i="3"/>
  <c r="B97" i="3"/>
  <c r="A98" i="3"/>
  <c r="B98" i="3"/>
  <c r="A99" i="3"/>
  <c r="B99" i="3"/>
  <c r="A100" i="3"/>
  <c r="B100" i="3"/>
  <c r="A101" i="3"/>
  <c r="B101" i="3"/>
  <c r="A103" i="3"/>
  <c r="B103" i="3"/>
  <c r="A104" i="3"/>
  <c r="B104" i="3"/>
  <c r="A105" i="3"/>
  <c r="B105" i="3"/>
  <c r="A106" i="3"/>
  <c r="B106" i="3"/>
  <c r="A107" i="3"/>
  <c r="B107" i="3"/>
  <c r="A108" i="3"/>
  <c r="B108" i="3"/>
  <c r="A109" i="3"/>
  <c r="B109" i="3"/>
  <c r="A110" i="3"/>
  <c r="B110" i="3"/>
  <c r="A111" i="3"/>
  <c r="B111" i="3"/>
  <c r="A112" i="3"/>
  <c r="B112" i="3"/>
  <c r="A113" i="3"/>
  <c r="B113" i="3"/>
  <c r="A114" i="3"/>
  <c r="B114" i="3"/>
  <c r="A115" i="3"/>
  <c r="B115" i="3"/>
  <c r="A116" i="3"/>
  <c r="B116" i="3"/>
  <c r="A117" i="3"/>
  <c r="B117" i="3"/>
  <c r="A118" i="3"/>
  <c r="B118" i="3"/>
  <c r="A119" i="3"/>
  <c r="B119" i="3"/>
  <c r="A120" i="3"/>
  <c r="B120" i="3"/>
  <c r="A121" i="3"/>
  <c r="B121" i="3"/>
  <c r="A122" i="3"/>
  <c r="B122" i="3"/>
  <c r="A123" i="3"/>
  <c r="B123" i="3"/>
  <c r="A124" i="3"/>
  <c r="B124" i="3"/>
  <c r="A125" i="3"/>
  <c r="B125" i="3"/>
  <c r="A126" i="3"/>
  <c r="B126" i="3"/>
  <c r="A127" i="3"/>
  <c r="B127" i="3"/>
  <c r="A128" i="3"/>
  <c r="B128" i="3"/>
  <c r="A129" i="3"/>
  <c r="B129" i="3"/>
  <c r="A130" i="3"/>
  <c r="B130" i="3"/>
  <c r="A131" i="3"/>
  <c r="B131" i="3"/>
  <c r="A132" i="3"/>
  <c r="B132" i="3"/>
  <c r="A133" i="3"/>
  <c r="B133" i="3"/>
  <c r="A134" i="3"/>
  <c r="B134" i="3"/>
  <c r="A135" i="3"/>
  <c r="B135" i="3"/>
  <c r="A136" i="3"/>
  <c r="B136" i="3"/>
  <c r="A137" i="3"/>
  <c r="B137" i="3"/>
  <c r="A138" i="3"/>
  <c r="B138" i="3"/>
  <c r="A139" i="3"/>
  <c r="B139" i="3"/>
  <c r="A140" i="3"/>
  <c r="B140" i="3"/>
  <c r="A141" i="3"/>
  <c r="B141" i="3"/>
  <c r="A142" i="3"/>
  <c r="B142" i="3"/>
  <c r="A143" i="3"/>
  <c r="B143" i="3"/>
  <c r="A144" i="3"/>
  <c r="B144" i="3"/>
  <c r="A145" i="3"/>
  <c r="B145" i="3"/>
  <c r="A146" i="3"/>
  <c r="B146" i="3"/>
  <c r="A147" i="3"/>
  <c r="B147" i="3"/>
  <c r="A148" i="3"/>
  <c r="B148" i="3"/>
  <c r="A149" i="3"/>
  <c r="B149" i="3"/>
  <c r="A150" i="3"/>
  <c r="B150" i="3"/>
  <c r="A151" i="3"/>
  <c r="B151" i="3"/>
  <c r="A152" i="3"/>
  <c r="B152" i="3"/>
  <c r="A153" i="3"/>
  <c r="B153" i="3"/>
  <c r="A154" i="3"/>
  <c r="B154" i="3"/>
  <c r="A155" i="3"/>
  <c r="B155" i="3"/>
  <c r="A156" i="3"/>
  <c r="B156" i="3"/>
  <c r="A157" i="3"/>
  <c r="B157" i="3"/>
  <c r="A158" i="3"/>
  <c r="B158" i="3"/>
  <c r="A160" i="3"/>
  <c r="B160" i="3"/>
  <c r="A161" i="3"/>
  <c r="B161" i="3"/>
  <c r="A162" i="3"/>
  <c r="B162" i="3"/>
  <c r="A163" i="3"/>
  <c r="B163" i="3"/>
  <c r="A164" i="3"/>
  <c r="B164" i="3"/>
  <c r="A165" i="3"/>
  <c r="B165" i="3"/>
  <c r="A166" i="3"/>
  <c r="B166" i="3"/>
  <c r="A167" i="3"/>
  <c r="B167" i="3"/>
  <c r="A168" i="3"/>
  <c r="B168" i="3"/>
  <c r="A169" i="3"/>
  <c r="B169" i="3"/>
  <c r="A170" i="3"/>
  <c r="B170" i="3"/>
  <c r="A171" i="3"/>
  <c r="B171" i="3"/>
  <c r="A172" i="3"/>
  <c r="B172" i="3"/>
  <c r="A173" i="3"/>
  <c r="B173" i="3"/>
  <c r="A174" i="3"/>
  <c r="B174" i="3"/>
  <c r="A175" i="3"/>
  <c r="B175" i="3"/>
  <c r="A176" i="3"/>
  <c r="B176" i="3"/>
  <c r="A177" i="3"/>
  <c r="B177" i="3"/>
  <c r="A178" i="3"/>
  <c r="B178" i="3"/>
  <c r="A179" i="3"/>
  <c r="B179" i="3"/>
  <c r="A180" i="3"/>
  <c r="B180" i="3"/>
  <c r="A181" i="3"/>
  <c r="B181" i="3"/>
  <c r="A182" i="3"/>
  <c r="B182" i="3"/>
  <c r="A183" i="3"/>
  <c r="B183" i="3"/>
  <c r="A184" i="3"/>
  <c r="B184" i="3"/>
  <c r="A185" i="3"/>
  <c r="B185" i="3"/>
  <c r="A186" i="3"/>
  <c r="B186" i="3"/>
  <c r="A187" i="3"/>
  <c r="B187" i="3"/>
  <c r="A188" i="3"/>
  <c r="B188" i="3"/>
  <c r="A189" i="3"/>
  <c r="B189" i="3"/>
  <c r="A190" i="3"/>
  <c r="B190" i="3"/>
  <c r="A191" i="3"/>
  <c r="B191" i="3"/>
  <c r="A192" i="3"/>
  <c r="B192" i="3"/>
  <c r="A193" i="3"/>
  <c r="B193" i="3"/>
  <c r="A194" i="3"/>
  <c r="B194" i="3"/>
  <c r="A195" i="3"/>
  <c r="B195" i="3"/>
  <c r="A196" i="3"/>
  <c r="B196" i="3"/>
  <c r="A197" i="3"/>
  <c r="B197" i="3"/>
  <c r="A198" i="3"/>
  <c r="B198" i="3"/>
  <c r="A199" i="3"/>
  <c r="B199" i="3"/>
  <c r="A200" i="3"/>
  <c r="B200" i="3"/>
  <c r="A201" i="3"/>
  <c r="B201" i="3"/>
  <c r="A202" i="3"/>
  <c r="B202" i="3"/>
  <c r="A203" i="3"/>
  <c r="B203" i="3"/>
  <c r="A204" i="3"/>
  <c r="B204" i="3"/>
  <c r="A205" i="3"/>
  <c r="B205" i="3"/>
  <c r="A206" i="3"/>
  <c r="B206" i="3"/>
  <c r="A207" i="3"/>
  <c r="B207" i="3"/>
  <c r="A208" i="3"/>
  <c r="B208" i="3"/>
  <c r="A209" i="3"/>
  <c r="B209" i="3"/>
  <c r="A210" i="3"/>
  <c r="B210" i="3"/>
  <c r="A211" i="3"/>
  <c r="B211" i="3"/>
  <c r="A212" i="3"/>
  <c r="B212" i="3"/>
  <c r="A213" i="3"/>
  <c r="B213" i="3"/>
  <c r="A214" i="3"/>
  <c r="B214" i="3"/>
  <c r="A215" i="3"/>
  <c r="B215" i="3"/>
  <c r="A216" i="3"/>
  <c r="B216" i="3"/>
  <c r="A217" i="3"/>
  <c r="B217" i="3"/>
  <c r="A218" i="3"/>
  <c r="B218" i="3"/>
  <c r="A219" i="3"/>
  <c r="B219" i="3"/>
  <c r="A220" i="3"/>
  <c r="B220" i="3"/>
  <c r="A221" i="3"/>
  <c r="B221" i="3"/>
  <c r="A222" i="3"/>
  <c r="B222" i="3"/>
  <c r="A223" i="3"/>
  <c r="B223" i="3"/>
  <c r="A224" i="3"/>
  <c r="B224" i="3"/>
  <c r="A225" i="3"/>
  <c r="B225" i="3"/>
  <c r="A226" i="3"/>
  <c r="B226" i="3"/>
  <c r="A227" i="3"/>
  <c r="B227" i="3"/>
  <c r="A228" i="3"/>
  <c r="B228" i="3"/>
  <c r="A229" i="3"/>
  <c r="B229" i="3"/>
  <c r="A230" i="3"/>
  <c r="B230" i="3"/>
  <c r="A231" i="3"/>
  <c r="B231" i="3"/>
  <c r="A232" i="3"/>
  <c r="B232" i="3"/>
  <c r="A233" i="3"/>
  <c r="B233"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47" i="3"/>
  <c r="B247" i="3"/>
  <c r="A248" i="3"/>
  <c r="B248" i="3"/>
  <c r="A249" i="3"/>
  <c r="B249" i="3"/>
  <c r="A250" i="3"/>
  <c r="B250" i="3"/>
  <c r="A251" i="3"/>
  <c r="B251" i="3"/>
  <c r="A252" i="3"/>
  <c r="B252" i="3"/>
  <c r="A253" i="3"/>
  <c r="B253" i="3"/>
  <c r="A254" i="3"/>
  <c r="B254" i="3"/>
  <c r="A255" i="3"/>
  <c r="B255" i="3"/>
  <c r="A256" i="3"/>
  <c r="B256" i="3"/>
  <c r="A257" i="3"/>
  <c r="B257" i="3"/>
  <c r="A258" i="3"/>
  <c r="B258" i="3"/>
  <c r="A259" i="3"/>
  <c r="B259" i="3"/>
  <c r="A260" i="3"/>
  <c r="B26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A281" i="3"/>
  <c r="B281" i="3"/>
  <c r="A282" i="3"/>
  <c r="B282" i="3"/>
  <c r="A283" i="3"/>
  <c r="B283" i="3"/>
  <c r="A284" i="3"/>
  <c r="B284" i="3"/>
  <c r="A285" i="3"/>
  <c r="B285" i="3"/>
  <c r="A286" i="3"/>
  <c r="B286" i="3"/>
  <c r="A287" i="3"/>
  <c r="B287" i="3"/>
  <c r="A288" i="3"/>
  <c r="B288" i="3"/>
  <c r="A289" i="3"/>
  <c r="B289" i="3"/>
  <c r="A290" i="3"/>
  <c r="B290" i="3"/>
  <c r="A291" i="3"/>
  <c r="B291" i="3"/>
  <c r="A292" i="3"/>
  <c r="B292" i="3"/>
  <c r="A293" i="3"/>
  <c r="B293" i="3"/>
  <c r="A294" i="3"/>
  <c r="B294" i="3"/>
  <c r="A295" i="3"/>
  <c r="B295" i="3"/>
  <c r="A296" i="3"/>
  <c r="B296" i="3"/>
  <c r="A297" i="3"/>
  <c r="B297" i="3"/>
  <c r="A298" i="3"/>
  <c r="B298" i="3"/>
  <c r="A299" i="3"/>
  <c r="B299" i="3"/>
  <c r="A300" i="3"/>
  <c r="B300" i="3"/>
  <c r="A301" i="3"/>
  <c r="B301" i="3"/>
  <c r="A302" i="3"/>
  <c r="B302" i="3"/>
  <c r="A303" i="3"/>
  <c r="B303" i="3"/>
  <c r="A304" i="3"/>
  <c r="B304" i="3"/>
  <c r="A305" i="3"/>
  <c r="B305" i="3"/>
  <c r="A306" i="3"/>
  <c r="B306" i="3"/>
  <c r="A307" i="3"/>
  <c r="B307" i="3"/>
  <c r="A308" i="3"/>
  <c r="B308" i="3"/>
  <c r="A309" i="3"/>
  <c r="B309" i="3"/>
  <c r="A310" i="3"/>
  <c r="B310" i="3"/>
  <c r="A311" i="3"/>
  <c r="B311" i="3"/>
  <c r="A312" i="3"/>
  <c r="B312" i="3"/>
  <c r="A313" i="3"/>
  <c r="B313" i="3"/>
  <c r="A314" i="3"/>
  <c r="B314" i="3"/>
  <c r="A315" i="3"/>
  <c r="B315" i="3"/>
  <c r="A316" i="3"/>
  <c r="B316" i="3"/>
  <c r="A317" i="3"/>
  <c r="B317" i="3"/>
  <c r="A318" i="3"/>
  <c r="B318" i="3"/>
  <c r="A319" i="3"/>
  <c r="B319" i="3"/>
  <c r="A320" i="3"/>
  <c r="B320" i="3"/>
  <c r="A321" i="3"/>
  <c r="B321" i="3"/>
  <c r="A322" i="3"/>
  <c r="B322" i="3"/>
  <c r="A323" i="3"/>
  <c r="B323" i="3"/>
  <c r="A324" i="3"/>
  <c r="B324" i="3"/>
  <c r="A325" i="3"/>
  <c r="B325" i="3"/>
  <c r="A326" i="3"/>
  <c r="B326" i="3"/>
  <c r="A327" i="3"/>
  <c r="B327" i="3"/>
  <c r="A328" i="3"/>
  <c r="B328" i="3"/>
  <c r="A329" i="3"/>
  <c r="B329" i="3"/>
  <c r="A330" i="3"/>
  <c r="B330" i="3"/>
  <c r="A331" i="3"/>
  <c r="B331" i="3"/>
  <c r="A332" i="3"/>
  <c r="B332" i="3"/>
  <c r="A333" i="3"/>
  <c r="B333" i="3"/>
  <c r="A334" i="3"/>
  <c r="B334" i="3"/>
  <c r="A335" i="3"/>
  <c r="B335" i="3"/>
  <c r="A336" i="3"/>
  <c r="B336" i="3"/>
  <c r="A337" i="3"/>
  <c r="B337" i="3"/>
  <c r="A338" i="3"/>
  <c r="B338" i="3"/>
  <c r="A339" i="3"/>
  <c r="B339" i="3"/>
  <c r="A340" i="3"/>
  <c r="B340" i="3"/>
  <c r="A341" i="3"/>
  <c r="B341" i="3"/>
  <c r="A342" i="3"/>
  <c r="B342" i="3"/>
  <c r="A343" i="3"/>
  <c r="B343" i="3"/>
  <c r="A344" i="3"/>
  <c r="B344" i="3"/>
  <c r="A345" i="3"/>
  <c r="B345" i="3"/>
  <c r="A346" i="3"/>
  <c r="B346" i="3"/>
  <c r="A347" i="3"/>
  <c r="B347" i="3"/>
  <c r="A348" i="3"/>
  <c r="B348" i="3"/>
  <c r="A349" i="3"/>
  <c r="B349" i="3"/>
  <c r="A350" i="3"/>
  <c r="B350" i="3"/>
  <c r="A351" i="3"/>
  <c r="B351" i="3"/>
  <c r="A352" i="3"/>
  <c r="B352" i="3"/>
  <c r="A353" i="3"/>
  <c r="B353" i="3"/>
  <c r="A354" i="3"/>
  <c r="B354" i="3"/>
  <c r="A355" i="3"/>
  <c r="B355" i="3"/>
  <c r="A356" i="3"/>
  <c r="B356" i="3"/>
  <c r="A357" i="3"/>
  <c r="B357" i="3"/>
  <c r="A358" i="3"/>
  <c r="B358" i="3"/>
  <c r="A359" i="3"/>
  <c r="B359" i="3"/>
  <c r="A360" i="3"/>
  <c r="B360" i="3"/>
  <c r="A361" i="3"/>
  <c r="B361" i="3"/>
  <c r="A362" i="3"/>
  <c r="B362" i="3"/>
  <c r="A363" i="3"/>
  <c r="B363" i="3"/>
  <c r="A364" i="3"/>
  <c r="B364" i="3"/>
  <c r="A365" i="3"/>
  <c r="B365" i="3"/>
  <c r="A366" i="3"/>
  <c r="B366" i="3"/>
  <c r="A367" i="3"/>
  <c r="B367" i="3"/>
  <c r="A368" i="3"/>
  <c r="B368" i="3"/>
  <c r="A369" i="3"/>
  <c r="B369" i="3"/>
  <c r="A370" i="3"/>
  <c r="B370" i="3"/>
  <c r="A371" i="3"/>
  <c r="B371" i="3"/>
  <c r="A372" i="3"/>
  <c r="B372" i="3"/>
  <c r="A373" i="3"/>
  <c r="B373" i="3"/>
  <c r="A374" i="3"/>
  <c r="B374" i="3"/>
  <c r="A375" i="3"/>
  <c r="B375" i="3"/>
  <c r="A376" i="3"/>
  <c r="B376" i="3"/>
  <c r="A377" i="3"/>
  <c r="B377" i="3"/>
  <c r="A378" i="3"/>
  <c r="B378" i="3"/>
  <c r="A379" i="3"/>
  <c r="B379" i="3"/>
  <c r="A380" i="3"/>
  <c r="B380" i="3"/>
  <c r="A381" i="3"/>
  <c r="B381" i="3"/>
  <c r="A382" i="3"/>
  <c r="B382" i="3"/>
  <c r="A383" i="3"/>
  <c r="B383" i="3"/>
  <c r="A384" i="3"/>
  <c r="B384" i="3"/>
  <c r="A385" i="3"/>
  <c r="B385" i="3"/>
  <c r="A386" i="3"/>
  <c r="B386" i="3"/>
  <c r="A387" i="3"/>
  <c r="B387" i="3"/>
  <c r="A388" i="3"/>
  <c r="B388" i="3"/>
  <c r="A389" i="3"/>
  <c r="B389" i="3"/>
  <c r="A390" i="3"/>
  <c r="B390" i="3"/>
  <c r="A391" i="3"/>
  <c r="B391" i="3"/>
  <c r="A392" i="3"/>
  <c r="B392" i="3"/>
  <c r="A393" i="3"/>
  <c r="B393" i="3"/>
  <c r="A394" i="3"/>
  <c r="B394" i="3"/>
  <c r="A395" i="3"/>
  <c r="B395" i="3"/>
  <c r="A396" i="3"/>
  <c r="B396" i="3"/>
  <c r="A397" i="3"/>
  <c r="B397" i="3"/>
  <c r="A398" i="3"/>
  <c r="B398" i="3"/>
  <c r="A399" i="3"/>
  <c r="B399" i="3"/>
  <c r="A400" i="3"/>
  <c r="B400" i="3"/>
  <c r="A401" i="3"/>
  <c r="B401" i="3"/>
  <c r="A402" i="3"/>
  <c r="B402" i="3"/>
  <c r="A403" i="3"/>
  <c r="B403" i="3"/>
  <c r="A404" i="3"/>
  <c r="B404" i="3"/>
  <c r="A405" i="3"/>
  <c r="B405" i="3"/>
  <c r="A406" i="3"/>
  <c r="B406" i="3"/>
  <c r="A407" i="3"/>
  <c r="B407" i="3"/>
  <c r="A408" i="3"/>
  <c r="B408" i="3"/>
  <c r="A409" i="3"/>
  <c r="B409" i="3"/>
  <c r="A410" i="3"/>
  <c r="B410" i="3"/>
  <c r="A411" i="3"/>
  <c r="B411" i="3"/>
  <c r="A412" i="3"/>
  <c r="B412" i="3"/>
  <c r="A413" i="3"/>
  <c r="B413" i="3"/>
  <c r="A414" i="3"/>
  <c r="B414" i="3"/>
  <c r="A415" i="3"/>
  <c r="B415" i="3"/>
  <c r="A416" i="3"/>
  <c r="B416" i="3"/>
  <c r="A417" i="3"/>
  <c r="B417" i="3"/>
  <c r="A418" i="3"/>
  <c r="B418" i="3"/>
  <c r="A419" i="3"/>
  <c r="B419" i="3"/>
  <c r="A420" i="3"/>
  <c r="B420" i="3"/>
  <c r="A421" i="3"/>
  <c r="B421" i="3"/>
  <c r="A422" i="3"/>
  <c r="B422" i="3"/>
  <c r="A423" i="3"/>
  <c r="B423" i="3"/>
  <c r="A424" i="3"/>
  <c r="B424" i="3"/>
  <c r="A425" i="3"/>
  <c r="B425" i="3"/>
  <c r="A426" i="3"/>
  <c r="B426" i="3"/>
  <c r="A427" i="3"/>
  <c r="B427" i="3"/>
  <c r="A428" i="3"/>
  <c r="B428" i="3"/>
  <c r="A429" i="3"/>
  <c r="B429" i="3"/>
  <c r="A430" i="3"/>
  <c r="B430" i="3"/>
  <c r="A431" i="3"/>
  <c r="B431" i="3"/>
  <c r="A432" i="3"/>
  <c r="B432" i="3"/>
  <c r="A433" i="3"/>
  <c r="B433" i="3"/>
  <c r="A434" i="3"/>
  <c r="B434" i="3"/>
  <c r="A435" i="3"/>
  <c r="B435" i="3"/>
  <c r="A436" i="3"/>
  <c r="B436" i="3"/>
  <c r="A437" i="3"/>
  <c r="B437" i="3"/>
  <c r="A438" i="3"/>
  <c r="B438" i="3"/>
  <c r="A439" i="3"/>
  <c r="B439" i="3"/>
  <c r="A440" i="3"/>
  <c r="B440" i="3"/>
  <c r="A441" i="3"/>
  <c r="B441" i="3"/>
  <c r="A442" i="3"/>
  <c r="B442" i="3"/>
  <c r="A443" i="3"/>
  <c r="B443" i="3"/>
  <c r="A444" i="3"/>
  <c r="B444" i="3"/>
  <c r="A445" i="3"/>
  <c r="B445" i="3"/>
  <c r="A446" i="3"/>
  <c r="B446" i="3"/>
  <c r="A447" i="3"/>
  <c r="B447" i="3"/>
  <c r="A448" i="3"/>
  <c r="B448" i="3"/>
  <c r="A449" i="3"/>
  <c r="B449" i="3"/>
  <c r="A450" i="3"/>
  <c r="B450" i="3"/>
  <c r="A451" i="3"/>
  <c r="B451" i="3"/>
  <c r="A452" i="3"/>
  <c r="B452" i="3"/>
  <c r="A453" i="3"/>
  <c r="B453" i="3"/>
  <c r="A454" i="3"/>
  <c r="B454" i="3"/>
  <c r="A455" i="3"/>
  <c r="B455" i="3"/>
  <c r="A456" i="3"/>
  <c r="B456" i="3"/>
  <c r="A457" i="3"/>
  <c r="B457" i="3"/>
  <c r="A458" i="3"/>
  <c r="B458" i="3"/>
  <c r="A459" i="3"/>
  <c r="B459" i="3"/>
  <c r="A460" i="3"/>
  <c r="B460" i="3"/>
  <c r="A461" i="3"/>
  <c r="B461" i="3"/>
  <c r="A462" i="3"/>
  <c r="B462" i="3"/>
  <c r="A463" i="3"/>
  <c r="B463" i="3"/>
  <c r="A464" i="3"/>
  <c r="B464" i="3"/>
  <c r="A465" i="3"/>
  <c r="B465" i="3"/>
  <c r="A466" i="3"/>
  <c r="B466" i="3"/>
  <c r="A467" i="3"/>
  <c r="B467" i="3"/>
  <c r="A468" i="3"/>
  <c r="B468" i="3"/>
  <c r="A469" i="3"/>
  <c r="B469" i="3"/>
  <c r="A470" i="3"/>
  <c r="B470" i="3"/>
  <c r="A471" i="3"/>
  <c r="B471" i="3"/>
  <c r="A472" i="3"/>
  <c r="B472" i="3"/>
  <c r="A473" i="3"/>
  <c r="B473" i="3"/>
  <c r="A474" i="3"/>
  <c r="B474" i="3"/>
  <c r="A475" i="3"/>
  <c r="B475" i="3"/>
  <c r="A476" i="3"/>
  <c r="B476" i="3"/>
  <c r="A477" i="3"/>
  <c r="B477" i="3"/>
  <c r="A478" i="3"/>
  <c r="B478" i="3"/>
  <c r="A479" i="3"/>
  <c r="B479" i="3"/>
  <c r="A480" i="3"/>
  <c r="B480" i="3"/>
  <c r="A481" i="3"/>
  <c r="B481" i="3"/>
  <c r="A482" i="3"/>
  <c r="B482" i="3"/>
  <c r="A483" i="3"/>
  <c r="B483" i="3"/>
  <c r="A484" i="3"/>
  <c r="B484" i="3"/>
  <c r="A485" i="3"/>
  <c r="B485" i="3"/>
  <c r="A486" i="3"/>
  <c r="B486" i="3"/>
  <c r="A487" i="3"/>
  <c r="B487" i="3"/>
  <c r="A488" i="3"/>
  <c r="B488" i="3"/>
  <c r="A489" i="3"/>
  <c r="B489" i="3"/>
  <c r="A490" i="3"/>
  <c r="B490" i="3"/>
  <c r="A491" i="3"/>
  <c r="B491" i="3"/>
  <c r="A492" i="3"/>
  <c r="B492" i="3"/>
  <c r="A493" i="3"/>
  <c r="B493" i="3"/>
  <c r="A494" i="3"/>
  <c r="B494" i="3"/>
  <c r="A495" i="3"/>
  <c r="B495" i="3"/>
  <c r="A496" i="3"/>
  <c r="B496" i="3"/>
  <c r="A497" i="3"/>
  <c r="B497" i="3"/>
  <c r="A498" i="3"/>
  <c r="B498" i="3"/>
  <c r="A499" i="3"/>
  <c r="B499" i="3"/>
  <c r="A500" i="3"/>
  <c r="B500" i="3"/>
  <c r="A501" i="3"/>
  <c r="B501" i="3"/>
  <c r="A502" i="3"/>
  <c r="B502" i="3"/>
  <c r="A503" i="3"/>
  <c r="B503" i="3"/>
  <c r="A504" i="3"/>
  <c r="B504" i="3"/>
  <c r="A505" i="3"/>
  <c r="B505" i="3"/>
  <c r="A506" i="3"/>
  <c r="B506" i="3"/>
  <c r="A507" i="3"/>
  <c r="B507" i="3"/>
  <c r="A508" i="3"/>
  <c r="B508" i="3"/>
  <c r="A509" i="3"/>
  <c r="B509" i="3"/>
  <c r="A510" i="3"/>
  <c r="B510" i="3"/>
  <c r="A511" i="3"/>
  <c r="B511" i="3"/>
  <c r="A512" i="3"/>
  <c r="B512" i="3"/>
  <c r="A513" i="3"/>
  <c r="B513" i="3"/>
  <c r="A514" i="3"/>
  <c r="B514" i="3"/>
  <c r="A515" i="3"/>
  <c r="B515" i="3"/>
  <c r="A516" i="3"/>
  <c r="B516" i="3"/>
  <c r="A517" i="3"/>
  <c r="B517" i="3"/>
  <c r="A518" i="3"/>
  <c r="B518" i="3"/>
  <c r="A519" i="3"/>
  <c r="B519" i="3"/>
  <c r="A520" i="3"/>
  <c r="B520" i="3"/>
  <c r="A521" i="3"/>
  <c r="B521" i="3"/>
  <c r="A522" i="3"/>
  <c r="B522" i="3"/>
  <c r="A523" i="3"/>
  <c r="B523" i="3"/>
  <c r="A524" i="3"/>
  <c r="B524" i="3"/>
  <c r="A525" i="3"/>
  <c r="B525" i="3"/>
  <c r="A526" i="3"/>
  <c r="B526" i="3"/>
  <c r="A527" i="3"/>
  <c r="B527" i="3"/>
  <c r="A528" i="3"/>
  <c r="B528" i="3"/>
  <c r="A529" i="3"/>
  <c r="B529" i="3"/>
  <c r="A530" i="3"/>
  <c r="B530" i="3"/>
  <c r="A531" i="3"/>
  <c r="B531" i="3"/>
  <c r="A532" i="3"/>
  <c r="B532" i="3"/>
  <c r="A533" i="3"/>
  <c r="B533" i="3"/>
  <c r="A534" i="3"/>
  <c r="B534" i="3"/>
  <c r="A535" i="3"/>
  <c r="B535" i="3"/>
  <c r="A536" i="3"/>
  <c r="B536" i="3"/>
  <c r="A537" i="3"/>
  <c r="B537" i="3"/>
  <c r="A538" i="3"/>
  <c r="B538" i="3"/>
  <c r="A539" i="3"/>
  <c r="B539" i="3"/>
  <c r="A540" i="3"/>
  <c r="B540" i="3"/>
  <c r="A541" i="3"/>
  <c r="B541" i="3"/>
  <c r="A542" i="3"/>
  <c r="B542" i="3"/>
  <c r="A543" i="3"/>
  <c r="B543" i="3"/>
  <c r="A544" i="3"/>
  <c r="B544" i="3"/>
  <c r="A545" i="3"/>
  <c r="B545" i="3"/>
  <c r="A546" i="3"/>
  <c r="B546" i="3"/>
  <c r="A547" i="3"/>
  <c r="B547" i="3"/>
  <c r="A548" i="3"/>
  <c r="B548" i="3"/>
  <c r="A549" i="3"/>
  <c r="B549" i="3"/>
  <c r="A550" i="3"/>
  <c r="B550" i="3"/>
  <c r="A551" i="3"/>
  <c r="B551" i="3"/>
  <c r="A552" i="3"/>
  <c r="B552" i="3"/>
  <c r="A553" i="3"/>
  <c r="B553" i="3"/>
  <c r="A554" i="3"/>
  <c r="B554" i="3"/>
  <c r="A555" i="3"/>
  <c r="B555" i="3"/>
  <c r="A556" i="3"/>
  <c r="B556" i="3"/>
  <c r="A557" i="3"/>
  <c r="B557" i="3"/>
  <c r="A558" i="3"/>
  <c r="B558" i="3"/>
  <c r="A559" i="3"/>
  <c r="B559" i="3"/>
  <c r="A560" i="3"/>
  <c r="B560" i="3"/>
  <c r="A561" i="3"/>
  <c r="B561" i="3"/>
  <c r="A562" i="3"/>
  <c r="B562" i="3"/>
  <c r="A563" i="3"/>
  <c r="B563" i="3"/>
  <c r="A564" i="3"/>
  <c r="B564" i="3"/>
  <c r="A565" i="3"/>
  <c r="B565" i="3"/>
  <c r="A566" i="3"/>
  <c r="B566" i="3"/>
  <c r="A567" i="3"/>
  <c r="B567" i="3"/>
  <c r="A568" i="3"/>
  <c r="B568" i="3"/>
  <c r="A569" i="3"/>
  <c r="B569" i="3"/>
  <c r="A570" i="3"/>
  <c r="B570" i="3"/>
  <c r="A571" i="3"/>
  <c r="B571" i="3"/>
  <c r="A572" i="3"/>
  <c r="B572" i="3"/>
  <c r="A573" i="3"/>
  <c r="B573" i="3"/>
  <c r="A574" i="3"/>
  <c r="B574" i="3"/>
  <c r="A575" i="3"/>
  <c r="B575" i="3"/>
  <c r="A576" i="3"/>
  <c r="B576" i="3"/>
  <c r="A577" i="3"/>
  <c r="B577" i="3"/>
  <c r="A578" i="3"/>
  <c r="B578" i="3"/>
  <c r="A579" i="3"/>
  <c r="B579" i="3"/>
  <c r="A580" i="3"/>
  <c r="B580" i="3"/>
  <c r="A581" i="3"/>
  <c r="B581" i="3"/>
  <c r="A582" i="3"/>
  <c r="B582" i="3"/>
  <c r="A583" i="3"/>
  <c r="B583" i="3"/>
  <c r="A584" i="3"/>
  <c r="B584" i="3"/>
  <c r="A585" i="3"/>
  <c r="B585" i="3"/>
  <c r="A586" i="3"/>
  <c r="B586" i="3"/>
  <c r="A587" i="3"/>
  <c r="B587" i="3"/>
  <c r="A588" i="3"/>
  <c r="B588" i="3"/>
  <c r="A589" i="3"/>
  <c r="B589" i="3"/>
  <c r="A590" i="3"/>
  <c r="B590" i="3"/>
  <c r="A591" i="3"/>
  <c r="B591" i="3"/>
  <c r="A592" i="3"/>
  <c r="B592" i="3"/>
  <c r="A593" i="3"/>
  <c r="B593" i="3"/>
  <c r="A594" i="3"/>
  <c r="B594" i="3"/>
  <c r="A595" i="3"/>
  <c r="B595" i="3"/>
  <c r="A596" i="3"/>
  <c r="B596" i="3"/>
  <c r="A597" i="3"/>
  <c r="B597" i="3"/>
  <c r="A598" i="3"/>
  <c r="B598" i="3"/>
  <c r="A599" i="3"/>
  <c r="B599" i="3"/>
  <c r="A600" i="3"/>
  <c r="B600" i="3"/>
  <c r="A601" i="3"/>
  <c r="B601" i="3"/>
  <c r="A602" i="3"/>
  <c r="B602" i="3"/>
  <c r="A603" i="3"/>
  <c r="B603" i="3"/>
  <c r="A604" i="3"/>
  <c r="B604" i="3"/>
  <c r="A605" i="3"/>
  <c r="B605" i="3"/>
  <c r="A606" i="3"/>
  <c r="B606" i="3"/>
  <c r="A607" i="3"/>
  <c r="B607" i="3"/>
  <c r="A608" i="3"/>
  <c r="B608" i="3"/>
  <c r="A609" i="3"/>
  <c r="B609" i="3"/>
  <c r="A610" i="3"/>
  <c r="B610" i="3"/>
  <c r="A611" i="3"/>
  <c r="B611" i="3"/>
  <c r="A612" i="3"/>
  <c r="B612" i="3"/>
  <c r="A613" i="3"/>
  <c r="B613" i="3"/>
  <c r="A614" i="3"/>
  <c r="B614" i="3"/>
  <c r="A615" i="3"/>
  <c r="B615" i="3"/>
  <c r="A616" i="3"/>
  <c r="B616" i="3"/>
  <c r="A617" i="3"/>
  <c r="B617" i="3"/>
  <c r="A618" i="3"/>
  <c r="B618" i="3"/>
  <c r="A619" i="3"/>
  <c r="B619" i="3"/>
  <c r="A620" i="3"/>
  <c r="B620" i="3"/>
  <c r="A621" i="3"/>
  <c r="B621" i="3"/>
  <c r="A622" i="3"/>
  <c r="B622" i="3"/>
  <c r="A623" i="3"/>
  <c r="B623" i="3"/>
  <c r="A624" i="3"/>
  <c r="B624" i="3"/>
  <c r="A625" i="3"/>
  <c r="B625" i="3"/>
  <c r="A626" i="3"/>
  <c r="B626" i="3"/>
  <c r="A37" i="2"/>
  <c r="B37" i="2"/>
  <c r="A38" i="2"/>
  <c r="B38" i="2"/>
  <c r="A39" i="2"/>
  <c r="B39" i="2"/>
  <c r="A40" i="2"/>
  <c r="B40" i="2"/>
  <c r="A42" i="2"/>
  <c r="B42" i="2"/>
  <c r="A43" i="2"/>
  <c r="B43" i="2"/>
  <c r="A44" i="2"/>
  <c r="B44" i="2"/>
  <c r="A45" i="2"/>
  <c r="B45" i="2"/>
  <c r="A46" i="2"/>
  <c r="B46" i="2"/>
  <c r="A48" i="2"/>
  <c r="B48" i="2"/>
  <c r="A49" i="2"/>
  <c r="B49" i="2"/>
  <c r="A50" i="2"/>
  <c r="B50" i="2"/>
  <c r="A51" i="2"/>
  <c r="B51" i="2"/>
  <c r="A52" i="2"/>
  <c r="B52" i="2"/>
  <c r="A53" i="2"/>
  <c r="B53" i="2"/>
  <c r="A54" i="2"/>
  <c r="B54" i="2"/>
  <c r="A55" i="2"/>
  <c r="B55" i="2"/>
  <c r="A56" i="2"/>
  <c r="B56" i="2"/>
  <c r="A57" i="2"/>
  <c r="B57" i="2"/>
  <c r="A58" i="2"/>
  <c r="B58" i="2"/>
  <c r="A59" i="2"/>
  <c r="B59" i="2"/>
  <c r="A60" i="2"/>
  <c r="B60" i="2"/>
  <c r="A61" i="2"/>
  <c r="B61" i="2"/>
  <c r="A62" i="2"/>
  <c r="B62" i="2"/>
  <c r="A63" i="2"/>
  <c r="B63" i="2"/>
  <c r="A64" i="2"/>
  <c r="B64" i="2"/>
  <c r="A65" i="2"/>
  <c r="B65" i="2"/>
  <c r="A66" i="2"/>
  <c r="B66" i="2"/>
  <c r="A67" i="2"/>
  <c r="B67" i="2"/>
  <c r="A68" i="2"/>
  <c r="B68" i="2"/>
  <c r="A69" i="2"/>
  <c r="B69" i="2"/>
  <c r="A70" i="2"/>
  <c r="B70" i="2"/>
  <c r="A71" i="2"/>
  <c r="B71" i="2"/>
  <c r="A72" i="2"/>
  <c r="B72" i="2"/>
  <c r="A73" i="2"/>
  <c r="B73" i="2"/>
  <c r="A74" i="2"/>
  <c r="B74" i="2"/>
  <c r="A75" i="2"/>
  <c r="B75" i="2"/>
  <c r="A76" i="2"/>
  <c r="B76" i="2"/>
  <c r="A77" i="2"/>
  <c r="B77" i="2"/>
  <c r="A78" i="2"/>
  <c r="B78" i="2"/>
  <c r="A79" i="2"/>
  <c r="B79" i="2"/>
  <c r="A80" i="2"/>
  <c r="B80" i="2"/>
  <c r="A81" i="2"/>
  <c r="B81" i="2"/>
  <c r="A82" i="2"/>
  <c r="B82" i="2"/>
  <c r="A83" i="2"/>
  <c r="B83" i="2"/>
  <c r="A84" i="2"/>
  <c r="B84" i="2"/>
  <c r="A85" i="2"/>
  <c r="B85" i="2"/>
  <c r="A86" i="2"/>
  <c r="B86" i="2"/>
  <c r="A87" i="2"/>
  <c r="B87" i="2"/>
  <c r="A88" i="2"/>
  <c r="B88" i="2"/>
  <c r="A89" i="2"/>
  <c r="B89" i="2"/>
  <c r="A90" i="2"/>
  <c r="B90" i="2"/>
  <c r="A91" i="2"/>
  <c r="B91" i="2"/>
  <c r="A92" i="2"/>
  <c r="B92" i="2"/>
  <c r="A93" i="2"/>
  <c r="B93" i="2"/>
  <c r="A94" i="2"/>
  <c r="B94" i="2"/>
  <c r="A95" i="2"/>
  <c r="A96" i="2"/>
  <c r="B96" i="2"/>
  <c r="A97" i="2"/>
  <c r="B97" i="2"/>
  <c r="A98" i="2"/>
  <c r="B98" i="2"/>
  <c r="A99" i="2"/>
  <c r="B99" i="2"/>
  <c r="A100" i="2"/>
  <c r="B100" i="2"/>
  <c r="A101" i="2"/>
  <c r="B101" i="2"/>
  <c r="A103" i="2"/>
  <c r="B103" i="2"/>
  <c r="A104" i="2"/>
  <c r="B104" i="2"/>
  <c r="A105" i="2"/>
  <c r="B105" i="2"/>
  <c r="A106" i="2"/>
  <c r="B106" i="2"/>
  <c r="A107" i="2"/>
  <c r="B107" i="2"/>
  <c r="A108" i="2"/>
  <c r="B108" i="2"/>
  <c r="A109" i="2"/>
  <c r="B109" i="2"/>
  <c r="A110" i="2"/>
  <c r="B110" i="2"/>
  <c r="A111" i="2"/>
  <c r="B111" i="2"/>
  <c r="A112" i="2"/>
  <c r="B112" i="2"/>
  <c r="A113" i="2"/>
  <c r="B113" i="2"/>
  <c r="A114" i="2"/>
  <c r="B114" i="2"/>
  <c r="A115" i="2"/>
  <c r="B115" i="2"/>
  <c r="A116" i="2"/>
  <c r="B116" i="2"/>
  <c r="A117" i="2"/>
  <c r="B117" i="2"/>
  <c r="A118" i="2"/>
  <c r="B118" i="2"/>
  <c r="A119" i="2"/>
  <c r="B119" i="2"/>
  <c r="A120" i="2"/>
  <c r="B120" i="2"/>
  <c r="A121" i="2"/>
  <c r="B121" i="2"/>
  <c r="A122" i="2"/>
  <c r="B122" i="2"/>
  <c r="A123" i="2"/>
  <c r="B123" i="2"/>
  <c r="A124" i="2"/>
  <c r="B124" i="2"/>
  <c r="A125" i="2"/>
  <c r="B125" i="2"/>
  <c r="A126" i="2"/>
  <c r="B126" i="2"/>
  <c r="A127" i="2"/>
  <c r="B127" i="2"/>
  <c r="A128" i="2"/>
  <c r="B128" i="2"/>
  <c r="A129" i="2"/>
  <c r="B129" i="2"/>
  <c r="A130" i="2"/>
  <c r="B130" i="2"/>
  <c r="A131" i="2"/>
  <c r="B131" i="2"/>
  <c r="A132" i="2"/>
  <c r="B132" i="2"/>
  <c r="A133" i="2"/>
  <c r="B133" i="2"/>
  <c r="A134" i="2"/>
  <c r="B134" i="2"/>
  <c r="A135" i="2"/>
  <c r="B135" i="2"/>
  <c r="A136" i="2"/>
  <c r="B136" i="2"/>
  <c r="A137" i="2"/>
  <c r="B137" i="2"/>
  <c r="A138" i="2"/>
  <c r="B138" i="2"/>
  <c r="A139" i="2"/>
  <c r="B139" i="2"/>
  <c r="A140" i="2"/>
  <c r="B140" i="2"/>
  <c r="A141" i="2"/>
  <c r="B141" i="2"/>
  <c r="A142" i="2"/>
  <c r="B142" i="2"/>
  <c r="A143" i="2"/>
  <c r="B143" i="2"/>
  <c r="A144" i="2"/>
  <c r="B144" i="2"/>
  <c r="A145" i="2"/>
  <c r="B145" i="2"/>
  <c r="A146" i="2"/>
  <c r="B146" i="2"/>
  <c r="A147" i="2"/>
  <c r="B147" i="2"/>
  <c r="A148" i="2"/>
  <c r="B148" i="2"/>
  <c r="A149" i="2"/>
  <c r="B149" i="2"/>
  <c r="A150" i="2"/>
  <c r="B150" i="2"/>
  <c r="A151" i="2"/>
  <c r="B151" i="2"/>
  <c r="A152" i="2"/>
  <c r="B152" i="2"/>
  <c r="A153" i="2"/>
  <c r="B153" i="2"/>
  <c r="A154" i="2"/>
  <c r="B154" i="2"/>
  <c r="A155" i="2"/>
  <c r="B155" i="2"/>
  <c r="A156" i="2"/>
  <c r="B156" i="2"/>
  <c r="A157" i="2"/>
  <c r="B157" i="2"/>
  <c r="A158" i="2"/>
  <c r="B158" i="2"/>
  <c r="A159" i="2"/>
  <c r="B159" i="2"/>
  <c r="A160" i="2"/>
  <c r="B160" i="2"/>
  <c r="A161" i="2"/>
  <c r="B161" i="2"/>
  <c r="A162" i="2"/>
  <c r="B162" i="2"/>
  <c r="A163" i="2"/>
  <c r="B163" i="2"/>
  <c r="A164" i="2"/>
  <c r="B164" i="2"/>
  <c r="A165" i="2"/>
  <c r="B165" i="2"/>
  <c r="A166" i="2"/>
  <c r="B166" i="2"/>
  <c r="A167" i="2"/>
  <c r="B167" i="2"/>
  <c r="A168" i="2"/>
  <c r="B168" i="2"/>
  <c r="B169" i="2"/>
  <c r="A170" i="2"/>
  <c r="B170" i="2"/>
  <c r="A171" i="2"/>
  <c r="B171" i="2"/>
  <c r="A172" i="2"/>
  <c r="B172" i="2"/>
  <c r="A173" i="2"/>
  <c r="B173" i="2"/>
  <c r="A174" i="2"/>
  <c r="B174" i="2"/>
  <c r="A175" i="2"/>
  <c r="B175" i="2"/>
  <c r="A176" i="2"/>
  <c r="B176" i="2"/>
  <c r="A177" i="2"/>
  <c r="B177" i="2"/>
  <c r="A178" i="2"/>
  <c r="B178" i="2"/>
  <c r="A179" i="2"/>
  <c r="B179" i="2"/>
  <c r="A180" i="2"/>
  <c r="B180" i="2"/>
  <c r="A181" i="2"/>
  <c r="B181" i="2"/>
  <c r="A182" i="2"/>
  <c r="B182" i="2"/>
  <c r="A183" i="2"/>
  <c r="B183" i="2"/>
  <c r="A184" i="2"/>
  <c r="B184" i="2"/>
  <c r="A185" i="2"/>
  <c r="B185" i="2"/>
  <c r="A186" i="2"/>
  <c r="B186" i="2"/>
  <c r="A187" i="2"/>
  <c r="B187" i="2"/>
  <c r="A188" i="2"/>
  <c r="B188" i="2"/>
  <c r="A189" i="2"/>
  <c r="B189" i="2"/>
  <c r="A190" i="2"/>
  <c r="B190" i="2"/>
  <c r="A191" i="2"/>
  <c r="B191" i="2"/>
  <c r="A192" i="2"/>
  <c r="B192" i="2"/>
  <c r="A193" i="2"/>
  <c r="B193" i="2"/>
  <c r="A194" i="2"/>
  <c r="B194" i="2"/>
  <c r="A195" i="2"/>
  <c r="B195" i="2"/>
  <c r="A196" i="2"/>
  <c r="B196" i="2"/>
  <c r="A197" i="2"/>
  <c r="B197" i="2"/>
  <c r="A198" i="2"/>
  <c r="B198" i="2"/>
  <c r="A199" i="2"/>
  <c r="B199" i="2"/>
  <c r="A200" i="2"/>
  <c r="B200" i="2"/>
  <c r="A201" i="2"/>
  <c r="B201" i="2"/>
  <c r="A202" i="2"/>
  <c r="B202" i="2"/>
  <c r="A203" i="2"/>
  <c r="B203" i="2"/>
  <c r="A204" i="2"/>
  <c r="B204" i="2"/>
  <c r="A205" i="2"/>
  <c r="B205" i="2"/>
  <c r="A206" i="2"/>
  <c r="B206" i="2"/>
  <c r="A207" i="2"/>
  <c r="B207" i="2"/>
  <c r="A208" i="2"/>
  <c r="B208" i="2"/>
  <c r="A209" i="2"/>
  <c r="B209" i="2"/>
  <c r="A210" i="2"/>
  <c r="B210" i="2"/>
  <c r="A211" i="2"/>
  <c r="B211" i="2"/>
  <c r="A212" i="2"/>
  <c r="B212" i="2"/>
  <c r="A213" i="2"/>
  <c r="B213" i="2"/>
  <c r="A214" i="2"/>
  <c r="B214" i="2"/>
  <c r="A215" i="2"/>
  <c r="B215" i="2"/>
  <c r="A216" i="2"/>
  <c r="B216" i="2"/>
  <c r="A217" i="2"/>
  <c r="B217" i="2"/>
  <c r="A218" i="2"/>
  <c r="B218" i="2"/>
  <c r="A219" i="2"/>
  <c r="B219" i="2"/>
  <c r="A220" i="2"/>
  <c r="B220" i="2"/>
  <c r="A221" i="2"/>
  <c r="B221" i="2"/>
  <c r="A222" i="2"/>
  <c r="B222" i="2"/>
  <c r="A223" i="2"/>
  <c r="B223" i="2"/>
  <c r="A224" i="2"/>
  <c r="B224" i="2"/>
  <c r="A225" i="2"/>
  <c r="B225" i="2"/>
  <c r="A226" i="2"/>
  <c r="B226" i="2"/>
  <c r="A227" i="2"/>
  <c r="B227" i="2"/>
  <c r="A228" i="2"/>
  <c r="B228" i="2"/>
  <c r="A229" i="2"/>
  <c r="B229" i="2"/>
  <c r="A230" i="2"/>
  <c r="B230" i="2"/>
  <c r="A231" i="2"/>
  <c r="B231" i="2"/>
  <c r="A232" i="2"/>
  <c r="B232" i="2"/>
  <c r="A233" i="2"/>
  <c r="B233" i="2"/>
  <c r="A234" i="2"/>
  <c r="B234" i="2"/>
  <c r="A235" i="2"/>
  <c r="B235" i="2"/>
  <c r="A236" i="2"/>
  <c r="B236" i="2"/>
  <c r="A237" i="2"/>
  <c r="B237" i="2"/>
  <c r="A238" i="2"/>
  <c r="B238" i="2"/>
  <c r="A239" i="2"/>
  <c r="B239" i="2"/>
  <c r="A240" i="2"/>
  <c r="B240" i="2"/>
  <c r="A241" i="2"/>
  <c r="B241" i="2"/>
  <c r="A242" i="2"/>
  <c r="B242" i="2"/>
  <c r="A243" i="2"/>
  <c r="B243" i="2"/>
  <c r="A244" i="2"/>
  <c r="B244" i="2"/>
  <c r="A245" i="2"/>
  <c r="B245" i="2"/>
  <c r="A246" i="2"/>
  <c r="B246" i="2"/>
  <c r="A247" i="2"/>
  <c r="B247" i="2"/>
  <c r="A248" i="2"/>
  <c r="B248" i="2"/>
  <c r="A249" i="2"/>
  <c r="B249" i="2"/>
  <c r="A250" i="2"/>
  <c r="B250" i="2"/>
  <c r="A251" i="2"/>
  <c r="B251" i="2"/>
  <c r="A252" i="2"/>
  <c r="B252" i="2"/>
  <c r="A253" i="2"/>
  <c r="B253" i="2"/>
  <c r="A254" i="2"/>
  <c r="B254" i="2"/>
  <c r="A255" i="2"/>
  <c r="B255" i="2"/>
  <c r="A256" i="2"/>
  <c r="B256" i="2"/>
  <c r="A257" i="2"/>
  <c r="B257" i="2"/>
  <c r="A258" i="2"/>
  <c r="B258" i="2"/>
  <c r="A259" i="2"/>
  <c r="B259" i="2"/>
  <c r="A260" i="2"/>
  <c r="B260" i="2"/>
  <c r="A261" i="2"/>
  <c r="B261" i="2"/>
  <c r="A262" i="2"/>
  <c r="B262" i="2"/>
  <c r="A263" i="2"/>
  <c r="B263" i="2"/>
  <c r="A264" i="2"/>
  <c r="B264" i="2"/>
  <c r="A265" i="2"/>
  <c r="B265" i="2"/>
  <c r="A266" i="2"/>
  <c r="B266" i="2"/>
  <c r="A267" i="2"/>
  <c r="B267" i="2"/>
  <c r="A268" i="2"/>
  <c r="B268" i="2"/>
  <c r="A269" i="2"/>
  <c r="B269" i="2"/>
  <c r="A270" i="2"/>
  <c r="B270" i="2"/>
  <c r="A271" i="2"/>
  <c r="B271" i="2"/>
  <c r="A272" i="2"/>
  <c r="B272" i="2"/>
  <c r="A273" i="2"/>
  <c r="B273" i="2"/>
  <c r="A274" i="2"/>
  <c r="B274" i="2"/>
  <c r="A275" i="2"/>
  <c r="B275" i="2"/>
  <c r="A276" i="2"/>
  <c r="B276" i="2"/>
  <c r="A277" i="2"/>
  <c r="B277" i="2"/>
  <c r="A278" i="2"/>
  <c r="B278" i="2"/>
  <c r="A279" i="2"/>
  <c r="B279" i="2"/>
  <c r="A280" i="2"/>
  <c r="B280" i="2"/>
  <c r="A281" i="2"/>
  <c r="B281" i="2"/>
  <c r="A282" i="2"/>
  <c r="B282" i="2"/>
  <c r="A283" i="2"/>
  <c r="B283" i="2"/>
  <c r="A284" i="2"/>
  <c r="B284" i="2"/>
  <c r="A285" i="2"/>
  <c r="B285" i="2"/>
  <c r="A286" i="2"/>
  <c r="B286" i="2"/>
  <c r="A287" i="2"/>
  <c r="B287" i="2"/>
  <c r="A288" i="2"/>
  <c r="B288" i="2"/>
  <c r="A289" i="2"/>
  <c r="B289" i="2"/>
  <c r="A290" i="2"/>
  <c r="B290" i="2"/>
  <c r="A291" i="2"/>
  <c r="B291" i="2"/>
  <c r="A292" i="2"/>
  <c r="B292" i="2"/>
  <c r="A293" i="2"/>
  <c r="B293" i="2"/>
  <c r="A294" i="2"/>
  <c r="B294" i="2"/>
  <c r="A295" i="2"/>
  <c r="B295" i="2"/>
  <c r="A296" i="2"/>
  <c r="B296" i="2"/>
  <c r="A297" i="2"/>
  <c r="B297" i="2"/>
  <c r="A298" i="2"/>
  <c r="B298" i="2"/>
  <c r="A299" i="2"/>
  <c r="B299" i="2"/>
  <c r="A300" i="2"/>
  <c r="B300" i="2"/>
  <c r="A301" i="2"/>
  <c r="B301" i="2"/>
  <c r="A302" i="2"/>
  <c r="B302" i="2"/>
  <c r="A303" i="2"/>
  <c r="B303" i="2"/>
  <c r="A304" i="2"/>
  <c r="B304" i="2"/>
  <c r="A305" i="2"/>
  <c r="B305" i="2"/>
  <c r="A306" i="2"/>
  <c r="B306" i="2"/>
  <c r="A307" i="2"/>
  <c r="B307" i="2"/>
  <c r="A308" i="2"/>
  <c r="B308" i="2"/>
  <c r="A309" i="2"/>
  <c r="B309" i="2"/>
  <c r="A310" i="2"/>
  <c r="B310" i="2"/>
  <c r="A311" i="2"/>
  <c r="B311" i="2"/>
  <c r="A312" i="2"/>
  <c r="B312" i="2"/>
  <c r="A313" i="2"/>
  <c r="B313" i="2"/>
  <c r="A314" i="2"/>
  <c r="B314" i="2"/>
  <c r="A315" i="2"/>
  <c r="B315" i="2"/>
  <c r="A316" i="2"/>
  <c r="B316" i="2"/>
  <c r="A317" i="2"/>
  <c r="B317" i="2"/>
  <c r="A318" i="2"/>
  <c r="B318" i="2"/>
  <c r="A319" i="2"/>
  <c r="B319" i="2"/>
  <c r="A320" i="2"/>
  <c r="B320" i="2"/>
  <c r="A321" i="2"/>
  <c r="B321" i="2"/>
  <c r="A322" i="2"/>
  <c r="B322" i="2"/>
  <c r="A323" i="2"/>
  <c r="B323" i="2"/>
  <c r="A324" i="2"/>
  <c r="B324" i="2"/>
  <c r="A325" i="2"/>
  <c r="B325" i="2"/>
  <c r="A326" i="2"/>
  <c r="B326" i="2"/>
  <c r="A327" i="2"/>
  <c r="B327" i="2"/>
  <c r="A328" i="2"/>
  <c r="B328" i="2"/>
  <c r="A329" i="2"/>
  <c r="B329" i="2"/>
  <c r="A330" i="2"/>
  <c r="B330" i="2"/>
  <c r="A331" i="2"/>
  <c r="B331" i="2"/>
  <c r="A332" i="2"/>
  <c r="B332" i="2"/>
  <c r="A333" i="2"/>
  <c r="B333" i="2"/>
  <c r="A334" i="2"/>
  <c r="B334" i="2"/>
  <c r="A335" i="2"/>
  <c r="B335" i="2"/>
  <c r="A336" i="2"/>
  <c r="B336" i="2"/>
  <c r="A337" i="2"/>
  <c r="B337" i="2"/>
  <c r="A338" i="2"/>
  <c r="B338" i="2"/>
  <c r="A339" i="2"/>
  <c r="B339" i="2"/>
  <c r="A340" i="2"/>
  <c r="B340" i="2"/>
  <c r="A341" i="2"/>
  <c r="B341" i="2"/>
  <c r="A342" i="2"/>
  <c r="B342" i="2"/>
  <c r="A343" i="2"/>
  <c r="B343" i="2"/>
  <c r="A344" i="2"/>
  <c r="B344" i="2"/>
  <c r="A345" i="2"/>
  <c r="B345" i="2"/>
  <c r="A346" i="2"/>
  <c r="B346" i="2"/>
  <c r="A347" i="2"/>
  <c r="B347" i="2"/>
  <c r="A348" i="2"/>
  <c r="B348" i="2"/>
  <c r="A349" i="2"/>
  <c r="B349" i="2"/>
  <c r="A350" i="2"/>
  <c r="B350" i="2"/>
  <c r="A351" i="2"/>
  <c r="B351" i="2"/>
  <c r="A352" i="2"/>
  <c r="B352" i="2"/>
  <c r="A353" i="2"/>
  <c r="B353" i="2"/>
  <c r="A354" i="2"/>
  <c r="B354" i="2"/>
  <c r="A355" i="2"/>
  <c r="B355" i="2"/>
  <c r="A356" i="2"/>
  <c r="B356" i="2"/>
  <c r="A357" i="2"/>
  <c r="B357" i="2"/>
  <c r="A358" i="2"/>
  <c r="B358" i="2"/>
  <c r="A359" i="2"/>
  <c r="B359" i="2"/>
  <c r="A360" i="2"/>
  <c r="B360" i="2"/>
  <c r="A361" i="2"/>
  <c r="B361" i="2"/>
  <c r="A362" i="2"/>
  <c r="B362" i="2"/>
  <c r="A363" i="2"/>
  <c r="B363" i="2"/>
  <c r="A364" i="2"/>
  <c r="B364" i="2"/>
  <c r="A365" i="2"/>
  <c r="B365" i="2"/>
  <c r="A366" i="2"/>
  <c r="B366" i="2"/>
  <c r="A367" i="2"/>
  <c r="B367" i="2"/>
  <c r="A368" i="2"/>
  <c r="B368" i="2"/>
  <c r="A369" i="2"/>
  <c r="B369" i="2"/>
  <c r="A370" i="2"/>
  <c r="B370" i="2"/>
  <c r="A371" i="2"/>
  <c r="B371" i="2"/>
  <c r="A372" i="2"/>
  <c r="B372" i="2"/>
  <c r="A373" i="2"/>
  <c r="B373" i="2"/>
  <c r="A374" i="2"/>
  <c r="B374" i="2"/>
  <c r="A375" i="2"/>
  <c r="B375" i="2"/>
  <c r="A376" i="2"/>
  <c r="B376" i="2"/>
  <c r="A377" i="2"/>
  <c r="B377" i="2"/>
  <c r="A378" i="2"/>
  <c r="B378" i="2"/>
  <c r="A379" i="2"/>
  <c r="B379" i="2"/>
  <c r="A380" i="2"/>
  <c r="B380" i="2"/>
  <c r="A381" i="2"/>
  <c r="B381" i="2"/>
  <c r="A382" i="2"/>
  <c r="B382" i="2"/>
  <c r="A383" i="2"/>
  <c r="B383" i="2"/>
  <c r="A384" i="2"/>
  <c r="B384" i="2"/>
  <c r="A385" i="2"/>
  <c r="B385" i="2"/>
  <c r="A386" i="2"/>
  <c r="B386" i="2"/>
  <c r="A387" i="2"/>
  <c r="B387" i="2"/>
  <c r="A388" i="2"/>
  <c r="B388" i="2"/>
  <c r="A389" i="2"/>
  <c r="B389" i="2"/>
  <c r="A390" i="2"/>
  <c r="B390" i="2"/>
  <c r="A391" i="2"/>
  <c r="B391" i="2"/>
  <c r="A392" i="2"/>
  <c r="B392" i="2"/>
  <c r="A393" i="2"/>
  <c r="B393" i="2"/>
  <c r="A394" i="2"/>
  <c r="B394" i="2"/>
  <c r="A395" i="2"/>
  <c r="B395" i="2"/>
  <c r="A396" i="2"/>
  <c r="B396" i="2"/>
  <c r="A397" i="2"/>
  <c r="B397" i="2"/>
  <c r="A398" i="2"/>
  <c r="B398" i="2"/>
  <c r="A399" i="2"/>
  <c r="B399" i="2"/>
  <c r="A400" i="2"/>
  <c r="B400" i="2"/>
  <c r="A401" i="2"/>
  <c r="B401" i="2"/>
  <c r="A402" i="2"/>
  <c r="B402" i="2"/>
  <c r="A403" i="2"/>
  <c r="B403" i="2"/>
  <c r="A404" i="2"/>
  <c r="B404" i="2"/>
  <c r="A405" i="2"/>
  <c r="B405" i="2"/>
  <c r="A406" i="2"/>
  <c r="B406" i="2"/>
  <c r="A407" i="2"/>
  <c r="B407" i="2"/>
  <c r="A408" i="2"/>
  <c r="B408" i="2"/>
  <c r="A409" i="2"/>
  <c r="B409" i="2"/>
  <c r="A410" i="2"/>
  <c r="B410" i="2"/>
  <c r="A411" i="2"/>
  <c r="B411" i="2"/>
  <c r="A412" i="2"/>
  <c r="B412" i="2"/>
  <c r="A413" i="2"/>
  <c r="B413" i="2"/>
  <c r="A414" i="2"/>
  <c r="B414" i="2"/>
  <c r="A415" i="2"/>
  <c r="B415" i="2"/>
  <c r="A416" i="2"/>
  <c r="B416" i="2"/>
  <c r="A417" i="2"/>
  <c r="B417" i="2"/>
  <c r="A418" i="2"/>
  <c r="B418" i="2"/>
  <c r="A419" i="2"/>
  <c r="B419" i="2"/>
  <c r="A420" i="2"/>
  <c r="B420" i="2"/>
  <c r="A421" i="2"/>
  <c r="B421" i="2"/>
  <c r="A422" i="2"/>
  <c r="B422" i="2"/>
  <c r="A423" i="2"/>
  <c r="B423" i="2"/>
  <c r="A424" i="2"/>
  <c r="B424" i="2"/>
  <c r="A425" i="2"/>
  <c r="B425" i="2"/>
  <c r="A426" i="2"/>
  <c r="B426" i="2"/>
  <c r="A427" i="2"/>
  <c r="B427" i="2"/>
  <c r="A428" i="2"/>
  <c r="B428" i="2"/>
  <c r="A429" i="2"/>
  <c r="B429" i="2"/>
  <c r="A430" i="2"/>
  <c r="B430" i="2"/>
  <c r="A431" i="2"/>
  <c r="B431" i="2"/>
  <c r="A432" i="2"/>
  <c r="B432" i="2"/>
  <c r="A433" i="2"/>
  <c r="B433" i="2"/>
  <c r="A434" i="2"/>
  <c r="B434" i="2"/>
  <c r="A435" i="2"/>
  <c r="B435" i="2"/>
  <c r="A436" i="2"/>
  <c r="B436" i="2"/>
  <c r="A437" i="2"/>
  <c r="B437" i="2"/>
  <c r="A438" i="2"/>
  <c r="B438" i="2"/>
  <c r="A439" i="2"/>
  <c r="B439" i="2"/>
  <c r="A440" i="2"/>
  <c r="B440" i="2"/>
  <c r="A441" i="2"/>
  <c r="B441" i="2"/>
  <c r="A442" i="2"/>
  <c r="B442" i="2"/>
  <c r="A443" i="2"/>
  <c r="B443" i="2"/>
  <c r="A444" i="2"/>
  <c r="B444" i="2"/>
  <c r="A445" i="2"/>
  <c r="B445" i="2"/>
  <c r="A446" i="2"/>
  <c r="B446" i="2"/>
  <c r="A447" i="2"/>
  <c r="B447" i="2"/>
  <c r="A448" i="2"/>
  <c r="B448" i="2"/>
  <c r="A449" i="2"/>
  <c r="B449" i="2"/>
  <c r="A450" i="2"/>
  <c r="B450" i="2"/>
  <c r="A451" i="2"/>
  <c r="B451" i="2"/>
  <c r="A452" i="2"/>
  <c r="B452" i="2"/>
  <c r="A453" i="2"/>
  <c r="B453" i="2"/>
  <c r="A454" i="2"/>
  <c r="B454" i="2"/>
  <c r="A455" i="2"/>
  <c r="B455" i="2"/>
  <c r="A456" i="2"/>
  <c r="B456" i="2"/>
  <c r="A457" i="2"/>
  <c r="B457" i="2"/>
  <c r="A458" i="2"/>
  <c r="B458" i="2"/>
  <c r="A459" i="2"/>
  <c r="B459" i="2"/>
  <c r="A460" i="2"/>
  <c r="B460" i="2"/>
  <c r="A461" i="2"/>
  <c r="B461" i="2"/>
  <c r="A462" i="2"/>
  <c r="B462" i="2"/>
  <c r="A463" i="2"/>
  <c r="B463" i="2"/>
  <c r="A464" i="2"/>
  <c r="B464" i="2"/>
  <c r="A465" i="2"/>
  <c r="B465" i="2"/>
  <c r="A466" i="2"/>
  <c r="B466" i="2"/>
  <c r="A467" i="2"/>
  <c r="B467" i="2"/>
  <c r="A468" i="2"/>
  <c r="B468" i="2"/>
  <c r="A469" i="2"/>
  <c r="B469" i="2"/>
  <c r="A470" i="2"/>
  <c r="B470" i="2"/>
  <c r="A471" i="2"/>
  <c r="B471" i="2"/>
  <c r="A472" i="2"/>
  <c r="B472" i="2"/>
  <c r="A473" i="2"/>
  <c r="B473" i="2"/>
  <c r="A474" i="2"/>
  <c r="B474" i="2"/>
  <c r="A475" i="2"/>
  <c r="B475" i="2"/>
  <c r="A476" i="2"/>
  <c r="B476" i="2"/>
  <c r="A477" i="2"/>
  <c r="B477" i="2"/>
  <c r="A478" i="2"/>
  <c r="B478" i="2"/>
  <c r="A479" i="2"/>
  <c r="B479" i="2"/>
  <c r="A480" i="2"/>
  <c r="B480" i="2"/>
  <c r="A481" i="2"/>
  <c r="B481" i="2"/>
  <c r="A482" i="2"/>
  <c r="B482" i="2"/>
  <c r="A483" i="2"/>
  <c r="B483" i="2"/>
  <c r="A484" i="2"/>
  <c r="B484" i="2"/>
  <c r="A485" i="2"/>
  <c r="B485" i="2"/>
  <c r="A486" i="2"/>
  <c r="B486" i="2"/>
  <c r="A487" i="2"/>
  <c r="B487" i="2"/>
  <c r="A488" i="2"/>
  <c r="B488" i="2"/>
  <c r="A489" i="2"/>
  <c r="B489" i="2"/>
  <c r="A490" i="2"/>
  <c r="B490" i="2"/>
  <c r="A491" i="2"/>
  <c r="B491" i="2"/>
  <c r="A492" i="2"/>
  <c r="B492" i="2"/>
  <c r="A493" i="2"/>
  <c r="B493" i="2"/>
  <c r="A494" i="2"/>
  <c r="B494" i="2"/>
  <c r="A495" i="2"/>
  <c r="B495" i="2"/>
  <c r="A496" i="2"/>
  <c r="B496" i="2"/>
  <c r="A497" i="2"/>
  <c r="B497" i="2"/>
  <c r="A498" i="2"/>
  <c r="B498" i="2"/>
  <c r="A499" i="2"/>
  <c r="B499" i="2"/>
  <c r="A500" i="2"/>
  <c r="B500" i="2"/>
  <c r="A501" i="2"/>
  <c r="B501" i="2"/>
  <c r="A502" i="2"/>
  <c r="B502" i="2"/>
  <c r="A503" i="2"/>
  <c r="B503" i="2"/>
  <c r="A504" i="2"/>
  <c r="B504" i="2"/>
  <c r="A505" i="2"/>
  <c r="B505" i="2"/>
  <c r="A506" i="2"/>
  <c r="B506" i="2"/>
  <c r="A507" i="2"/>
  <c r="B507" i="2"/>
  <c r="A508" i="2"/>
  <c r="B508" i="2"/>
  <c r="A509" i="2"/>
  <c r="B509" i="2"/>
  <c r="A510" i="2"/>
  <c r="B510" i="2"/>
  <c r="A511" i="2"/>
  <c r="B511" i="2"/>
  <c r="A512" i="2"/>
  <c r="B512" i="2"/>
  <c r="A513" i="2"/>
  <c r="B513" i="2"/>
  <c r="A514" i="2"/>
  <c r="B514" i="2"/>
  <c r="A515" i="2"/>
  <c r="B515" i="2"/>
  <c r="A516" i="2"/>
  <c r="B516" i="2"/>
  <c r="A517" i="2"/>
  <c r="B517" i="2"/>
  <c r="A518" i="2"/>
  <c r="B518" i="2"/>
  <c r="A519" i="2"/>
  <c r="B519" i="2"/>
  <c r="A520" i="2"/>
  <c r="B520" i="2"/>
  <c r="A521" i="2"/>
  <c r="B521" i="2"/>
  <c r="A522" i="2"/>
  <c r="B522" i="2"/>
  <c r="A523" i="2"/>
  <c r="B523" i="2"/>
  <c r="A524" i="2"/>
  <c r="B524" i="2"/>
  <c r="A525" i="2"/>
  <c r="B525" i="2"/>
  <c r="A526" i="2"/>
  <c r="B526" i="2"/>
  <c r="A527" i="2"/>
  <c r="B527" i="2"/>
  <c r="A528" i="2"/>
  <c r="B528" i="2"/>
  <c r="A529" i="2"/>
  <c r="B529" i="2"/>
  <c r="A530" i="2"/>
  <c r="B530" i="2"/>
  <c r="A531" i="2"/>
  <c r="B531" i="2"/>
  <c r="A532" i="2"/>
  <c r="B532" i="2"/>
  <c r="A533" i="2"/>
  <c r="B533" i="2"/>
  <c r="A534" i="2"/>
  <c r="B534" i="2"/>
  <c r="A535" i="2"/>
  <c r="B535" i="2"/>
  <c r="A536" i="2"/>
  <c r="B536" i="2"/>
  <c r="A537" i="2"/>
  <c r="B537" i="2"/>
  <c r="A538" i="2"/>
  <c r="B538" i="2"/>
  <c r="A539" i="2"/>
  <c r="B539" i="2"/>
  <c r="A540" i="2"/>
  <c r="B540" i="2"/>
  <c r="A541" i="2"/>
  <c r="B541" i="2"/>
  <c r="A542" i="2"/>
  <c r="B542" i="2"/>
  <c r="A543" i="2"/>
  <c r="B543" i="2"/>
  <c r="A544" i="2"/>
  <c r="B544" i="2"/>
  <c r="A545" i="2"/>
  <c r="B545" i="2"/>
  <c r="A546" i="2"/>
  <c r="B546" i="2"/>
  <c r="A547" i="2"/>
  <c r="B547" i="2"/>
  <c r="A548" i="2"/>
  <c r="B548" i="2"/>
  <c r="A549" i="2"/>
  <c r="B549" i="2"/>
  <c r="A550" i="2"/>
  <c r="B550" i="2"/>
  <c r="A551" i="2"/>
  <c r="B551" i="2"/>
  <c r="A552" i="2"/>
  <c r="B552" i="2"/>
  <c r="A553" i="2"/>
  <c r="B553" i="2"/>
  <c r="A554" i="2"/>
  <c r="B554" i="2"/>
  <c r="A555" i="2"/>
  <c r="B555" i="2"/>
  <c r="A556" i="2"/>
  <c r="B556" i="2"/>
  <c r="A557" i="2"/>
  <c r="B557" i="2"/>
  <c r="A558" i="2"/>
  <c r="B558" i="2"/>
  <c r="A559" i="2"/>
  <c r="B559" i="2"/>
  <c r="A560" i="2"/>
  <c r="B560" i="2"/>
  <c r="A561" i="2"/>
  <c r="B561" i="2"/>
  <c r="A562" i="2"/>
  <c r="B562" i="2"/>
  <c r="A563" i="2"/>
  <c r="B563" i="2"/>
  <c r="A564" i="2"/>
  <c r="B564" i="2"/>
  <c r="A565" i="2"/>
  <c r="B565" i="2"/>
  <c r="A566" i="2"/>
  <c r="B566" i="2"/>
  <c r="A567" i="2"/>
  <c r="B567" i="2"/>
  <c r="A568" i="2"/>
  <c r="B568" i="2"/>
  <c r="A569" i="2"/>
  <c r="B569" i="2"/>
  <c r="A570" i="2"/>
  <c r="B570" i="2"/>
  <c r="A571" i="2"/>
  <c r="B571" i="2"/>
  <c r="A572" i="2"/>
  <c r="B572" i="2"/>
  <c r="A573" i="2"/>
  <c r="B573" i="2"/>
  <c r="A574" i="2"/>
  <c r="B574" i="2"/>
  <c r="A575" i="2"/>
  <c r="B575" i="2"/>
  <c r="A576" i="2"/>
  <c r="B576" i="2"/>
  <c r="A577" i="2"/>
  <c r="B577" i="2"/>
  <c r="A578" i="2"/>
  <c r="B578" i="2"/>
  <c r="A579" i="2"/>
  <c r="B579" i="2"/>
  <c r="A580" i="2"/>
  <c r="B580" i="2"/>
  <c r="A581" i="2"/>
  <c r="B581" i="2"/>
  <c r="A582" i="2"/>
  <c r="B582" i="2"/>
  <c r="A583" i="2"/>
  <c r="B583" i="2"/>
  <c r="A584" i="2"/>
  <c r="B584" i="2"/>
  <c r="A585" i="2"/>
  <c r="B585" i="2"/>
  <c r="A586" i="2"/>
  <c r="B586" i="2"/>
  <c r="A587" i="2"/>
  <c r="B587" i="2"/>
  <c r="A588" i="2"/>
  <c r="B588" i="2"/>
  <c r="A589" i="2"/>
  <c r="B589" i="2"/>
  <c r="A590" i="2"/>
  <c r="B590" i="2"/>
  <c r="A591" i="2"/>
  <c r="B591" i="2"/>
  <c r="A592" i="2"/>
  <c r="B592" i="2"/>
  <c r="A593" i="2"/>
  <c r="B593" i="2"/>
  <c r="A594" i="2"/>
  <c r="B594" i="2"/>
  <c r="A595" i="2"/>
  <c r="B595" i="2"/>
  <c r="A596" i="2"/>
  <c r="B596" i="2"/>
  <c r="A597" i="2"/>
  <c r="B597" i="2"/>
  <c r="A598" i="2"/>
  <c r="B598" i="2"/>
  <c r="A599" i="2"/>
  <c r="B599" i="2"/>
  <c r="A600" i="2"/>
  <c r="B600" i="2"/>
  <c r="A601" i="2"/>
  <c r="B601" i="2"/>
  <c r="A602" i="2"/>
  <c r="B602" i="2"/>
  <c r="A603" i="2"/>
  <c r="B603" i="2"/>
  <c r="A604" i="2"/>
  <c r="B604" i="2"/>
  <c r="A605" i="2"/>
  <c r="B605" i="2"/>
  <c r="A606" i="2"/>
  <c r="B606" i="2"/>
  <c r="A607" i="2"/>
  <c r="B607" i="2"/>
  <c r="A608" i="2"/>
  <c r="B608" i="2"/>
  <c r="A609" i="2"/>
  <c r="B609" i="2"/>
  <c r="A610" i="2"/>
  <c r="B610" i="2"/>
  <c r="A611" i="2"/>
  <c r="B611" i="2"/>
  <c r="A612" i="2"/>
  <c r="B612" i="2"/>
  <c r="A613" i="2"/>
  <c r="B613" i="2"/>
  <c r="A614" i="2"/>
  <c r="B614" i="2"/>
  <c r="A615" i="2"/>
  <c r="B615" i="2"/>
  <c r="A616" i="2"/>
  <c r="B616" i="2"/>
  <c r="A617" i="2"/>
  <c r="B617" i="2"/>
  <c r="A618" i="2"/>
  <c r="B618" i="2"/>
  <c r="A619" i="2"/>
  <c r="B619" i="2"/>
  <c r="A620" i="2"/>
  <c r="B620" i="2"/>
  <c r="A621" i="2"/>
  <c r="B621" i="2"/>
  <c r="A622" i="2"/>
  <c r="B622" i="2"/>
  <c r="A623" i="2"/>
  <c r="B623" i="2"/>
  <c r="A624" i="2"/>
  <c r="B624" i="2"/>
  <c r="A625" i="2"/>
  <c r="B625" i="2"/>
  <c r="A626" i="2"/>
  <c r="B626" i="2"/>
  <c r="A627" i="2"/>
  <c r="B627" i="2"/>
  <c r="A628" i="2"/>
  <c r="B628" i="2"/>
  <c r="A629" i="2"/>
  <c r="B629" i="2"/>
  <c r="A630" i="2"/>
  <c r="B630" i="2"/>
  <c r="A631" i="2"/>
  <c r="B631" i="2"/>
  <c r="A632" i="2"/>
  <c r="B632" i="2"/>
  <c r="A633" i="2"/>
  <c r="B633" i="2"/>
  <c r="A634" i="2"/>
  <c r="B634" i="2"/>
  <c r="A635" i="2"/>
  <c r="B635" i="2"/>
  <c r="A636" i="2"/>
  <c r="B636" i="2"/>
  <c r="A637" i="2"/>
  <c r="B637" i="2"/>
  <c r="A638" i="2"/>
  <c r="B638" i="2"/>
  <c r="A639" i="2"/>
  <c r="B639" i="2"/>
  <c r="A640" i="2"/>
  <c r="B640" i="2"/>
  <c r="A641" i="2"/>
  <c r="B641" i="2"/>
  <c r="A642" i="2"/>
  <c r="B642" i="2"/>
  <c r="A643" i="2"/>
  <c r="B643" i="2"/>
  <c r="A644" i="2"/>
  <c r="B644" i="2"/>
  <c r="A645" i="2"/>
  <c r="B645" i="2"/>
  <c r="A646" i="2"/>
  <c r="B646" i="2"/>
  <c r="A647" i="2"/>
  <c r="B647" i="2"/>
  <c r="A648" i="2"/>
  <c r="B648" i="2"/>
  <c r="A649" i="2"/>
  <c r="B649" i="2"/>
  <c r="A650" i="2"/>
  <c r="B650" i="2"/>
  <c r="A651" i="2"/>
  <c r="B651" i="2"/>
  <c r="A652" i="2"/>
  <c r="B652" i="2"/>
  <c r="A653" i="2"/>
  <c r="B653" i="2"/>
  <c r="A654" i="2"/>
  <c r="B654" i="2"/>
  <c r="A655" i="2"/>
  <c r="B655" i="2"/>
  <c r="A656" i="2"/>
  <c r="B656" i="2"/>
  <c r="A657" i="2"/>
  <c r="B657" i="2"/>
  <c r="A658" i="2"/>
  <c r="B658" i="2"/>
  <c r="A659" i="2"/>
  <c r="B659" i="2"/>
  <c r="A660" i="2"/>
  <c r="B660" i="2"/>
  <c r="A661" i="2"/>
  <c r="B661" i="2"/>
  <c r="A662" i="2"/>
  <c r="B662" i="2"/>
  <c r="A663" i="2"/>
  <c r="B663" i="2"/>
  <c r="A664" i="2"/>
  <c r="B664" i="2"/>
  <c r="A665" i="2"/>
  <c r="B665" i="2"/>
  <c r="A666" i="2"/>
  <c r="B666" i="2"/>
  <c r="A667" i="2"/>
  <c r="B667" i="2"/>
  <c r="A668" i="2"/>
  <c r="B668" i="2"/>
  <c r="A669" i="2"/>
  <c r="B669" i="2"/>
  <c r="A670" i="2"/>
  <c r="B670" i="2"/>
  <c r="A671" i="2"/>
  <c r="B671" i="2"/>
  <c r="A672" i="2"/>
  <c r="B672" i="2"/>
  <c r="A673" i="2"/>
  <c r="B673" i="2"/>
  <c r="A674" i="2"/>
  <c r="B674" i="2"/>
  <c r="A675" i="2"/>
  <c r="B675" i="2"/>
  <c r="A676" i="2"/>
  <c r="B676" i="2"/>
  <c r="A677" i="2"/>
  <c r="B677" i="2"/>
  <c r="A678" i="2"/>
  <c r="B678" i="2"/>
  <c r="A679" i="2"/>
  <c r="B679" i="2"/>
  <c r="A680" i="2"/>
  <c r="B680" i="2"/>
  <c r="A681" i="2"/>
  <c r="B681" i="2"/>
  <c r="A682" i="2"/>
  <c r="B682" i="2"/>
  <c r="A683" i="2"/>
  <c r="B683" i="2"/>
  <c r="A684" i="2"/>
  <c r="B684" i="2"/>
  <c r="A685" i="2"/>
  <c r="B685" i="2"/>
  <c r="A686" i="2"/>
  <c r="B686" i="2"/>
  <c r="A687" i="2"/>
  <c r="B687" i="2"/>
  <c r="A688" i="2"/>
  <c r="B688" i="2"/>
  <c r="H20" i="1" l="1"/>
  <c r="I20" i="1"/>
  <c r="H21" i="1"/>
  <c r="I21" i="1"/>
  <c r="H22" i="1"/>
  <c r="I22" i="1"/>
  <c r="H23" i="1"/>
  <c r="I23" i="1"/>
  <c r="H24" i="1"/>
  <c r="I24" i="1"/>
  <c r="H25" i="1"/>
  <c r="I25" i="1"/>
  <c r="I19" i="1"/>
  <c r="H19" i="1"/>
  <c r="A17" i="3" l="1"/>
  <c r="A16" i="2"/>
  <c r="A15" i="2"/>
  <c r="B219" i="5" l="1"/>
  <c r="A219" i="5"/>
  <c r="B218" i="5"/>
  <c r="A218" i="5"/>
  <c r="B217" i="5"/>
  <c r="A217" i="5"/>
  <c r="B216" i="5"/>
  <c r="A216" i="5"/>
  <c r="B215" i="5"/>
  <c r="A215" i="5"/>
  <c r="B214" i="5"/>
  <c r="A214" i="5"/>
  <c r="B213" i="5"/>
  <c r="A213" i="5"/>
  <c r="B212" i="5"/>
  <c r="A212" i="5"/>
  <c r="B211" i="5"/>
  <c r="A211" i="5"/>
  <c r="B210" i="5"/>
  <c r="A210" i="5"/>
  <c r="B209" i="5"/>
  <c r="A209" i="5"/>
  <c r="B208" i="5"/>
  <c r="A208" i="5"/>
  <c r="B207" i="5"/>
  <c r="A207" i="5"/>
  <c r="B206" i="5"/>
  <c r="A206" i="5"/>
  <c r="B205" i="5"/>
  <c r="A205" i="5"/>
  <c r="B204" i="5"/>
  <c r="A204" i="5"/>
  <c r="B203" i="5"/>
  <c r="A203" i="5"/>
  <c r="B202" i="5"/>
  <c r="A202" i="5"/>
  <c r="B201" i="5"/>
  <c r="A201" i="5"/>
  <c r="B200" i="5"/>
  <c r="A200" i="5"/>
  <c r="B199" i="5"/>
  <c r="A199" i="5"/>
  <c r="B198" i="5"/>
  <c r="A198" i="5"/>
  <c r="B197" i="5"/>
  <c r="A197" i="5"/>
  <c r="B196" i="5"/>
  <c r="A196" i="5"/>
  <c r="B195" i="5"/>
  <c r="A195" i="5"/>
  <c r="B194" i="5"/>
  <c r="A194" i="5"/>
  <c r="B193" i="5"/>
  <c r="A193" i="5"/>
  <c r="B192" i="5"/>
  <c r="A192" i="5"/>
  <c r="B191" i="5"/>
  <c r="A191" i="5"/>
  <c r="B190" i="5"/>
  <c r="A190" i="5"/>
  <c r="B189" i="5"/>
  <c r="A189" i="5"/>
  <c r="B188" i="5"/>
  <c r="A188" i="5"/>
  <c r="B187" i="5"/>
  <c r="A187" i="5"/>
  <c r="B186" i="5"/>
  <c r="A186" i="5"/>
  <c r="B185" i="5"/>
  <c r="A185" i="5"/>
  <c r="B184" i="5"/>
  <c r="A184" i="5"/>
  <c r="B183" i="5"/>
  <c r="A183" i="5"/>
  <c r="B182" i="5"/>
  <c r="A182" i="5"/>
  <c r="B181" i="5"/>
  <c r="A181" i="5"/>
  <c r="B180" i="5"/>
  <c r="A180" i="5"/>
  <c r="B179" i="5"/>
  <c r="A179" i="5"/>
  <c r="B178" i="5"/>
  <c r="A178" i="5"/>
  <c r="B177" i="5"/>
  <c r="A177" i="5"/>
  <c r="B176" i="5"/>
  <c r="A176" i="5"/>
  <c r="B175" i="5"/>
  <c r="A175" i="5"/>
  <c r="B174" i="5"/>
  <c r="A174" i="5"/>
  <c r="B173" i="5"/>
  <c r="A173" i="5"/>
  <c r="B172" i="5"/>
  <c r="A172" i="5"/>
  <c r="B171" i="5"/>
  <c r="A171" i="5"/>
  <c r="B170" i="5"/>
  <c r="A170" i="5"/>
  <c r="B169" i="5"/>
  <c r="A169" i="5"/>
  <c r="B168" i="5"/>
  <c r="A168" i="5"/>
  <c r="B167" i="5"/>
  <c r="A167" i="5"/>
  <c r="B166" i="5"/>
  <c r="A166" i="5"/>
  <c r="B165" i="5"/>
  <c r="A165" i="5"/>
  <c r="B164" i="5"/>
  <c r="A164" i="5"/>
  <c r="B163" i="5"/>
  <c r="A163" i="5"/>
  <c r="B162" i="5"/>
  <c r="A162" i="5"/>
  <c r="B161" i="5"/>
  <c r="A161" i="5"/>
  <c r="B160" i="5"/>
  <c r="A160" i="5"/>
  <c r="B159" i="5"/>
  <c r="A159" i="5"/>
  <c r="B158" i="5"/>
  <c r="A158" i="5"/>
  <c r="B157" i="5"/>
  <c r="A157" i="5"/>
  <c r="B156" i="5"/>
  <c r="A156" i="5"/>
  <c r="B155" i="5"/>
  <c r="A155" i="5"/>
  <c r="B154" i="5"/>
  <c r="A154" i="5"/>
  <c r="B153" i="5"/>
  <c r="A153" i="5"/>
  <c r="B152" i="5"/>
  <c r="A152" i="5"/>
  <c r="B151" i="5"/>
  <c r="A151" i="5"/>
  <c r="B150" i="5"/>
  <c r="A150" i="5"/>
  <c r="B149" i="5"/>
  <c r="A149" i="5"/>
  <c r="B148" i="5"/>
  <c r="A148" i="5"/>
  <c r="B147" i="5"/>
  <c r="A147" i="5"/>
  <c r="B146" i="5"/>
  <c r="A146" i="5"/>
  <c r="B145" i="5"/>
  <c r="A145" i="5"/>
  <c r="B144" i="5"/>
  <c r="A144" i="5"/>
  <c r="B143" i="5"/>
  <c r="A143" i="5"/>
  <c r="B142" i="5"/>
  <c r="A142" i="5"/>
  <c r="B141" i="5"/>
  <c r="A141" i="5"/>
  <c r="B140" i="5"/>
  <c r="A140" i="5"/>
  <c r="B139" i="5"/>
  <c r="A139" i="5"/>
  <c r="B138" i="5"/>
  <c r="A138" i="5"/>
  <c r="B137" i="5"/>
  <c r="A137" i="5"/>
  <c r="B136" i="5"/>
  <c r="A136" i="5"/>
  <c r="B135" i="5"/>
  <c r="A135" i="5"/>
  <c r="B134" i="5"/>
  <c r="A134" i="5"/>
  <c r="B133" i="5"/>
  <c r="A133" i="5"/>
  <c r="B132" i="5"/>
  <c r="A132" i="5"/>
  <c r="B131" i="5"/>
  <c r="A131" i="5"/>
  <c r="B130" i="5"/>
  <c r="A130" i="5"/>
  <c r="B129" i="5"/>
  <c r="A129" i="5"/>
  <c r="B128" i="5"/>
  <c r="A128" i="5"/>
  <c r="B127" i="5"/>
  <c r="A127" i="5"/>
  <c r="B126" i="5"/>
  <c r="A126" i="5"/>
  <c r="B125" i="5"/>
  <c r="A125" i="5"/>
  <c r="B124" i="5"/>
  <c r="A124" i="5"/>
  <c r="B123" i="5"/>
  <c r="A123" i="5"/>
  <c r="B122" i="5"/>
  <c r="A122" i="5"/>
  <c r="B121" i="5"/>
  <c r="A121" i="5"/>
  <c r="B120" i="5"/>
  <c r="A120" i="5"/>
  <c r="B119" i="5"/>
  <c r="A119" i="5"/>
  <c r="B118" i="5"/>
  <c r="A118" i="5"/>
  <c r="B117" i="5"/>
  <c r="A117" i="5"/>
  <c r="B116" i="5"/>
  <c r="A116" i="5"/>
  <c r="B115" i="5"/>
  <c r="A115" i="5"/>
  <c r="B114" i="5"/>
  <c r="A114" i="5"/>
  <c r="B113" i="5"/>
  <c r="A113" i="5"/>
  <c r="B112" i="5"/>
  <c r="A112" i="5"/>
  <c r="B111" i="5"/>
  <c r="A111" i="5"/>
  <c r="B110" i="5"/>
  <c r="A110" i="5"/>
  <c r="B109" i="5"/>
  <c r="A109" i="5"/>
  <c r="B108" i="5"/>
  <c r="A108" i="5"/>
  <c r="B107" i="5"/>
  <c r="A107" i="5"/>
  <c r="B106" i="5"/>
  <c r="A106" i="5"/>
  <c r="B105" i="5"/>
  <c r="A105" i="5"/>
  <c r="B104" i="5"/>
  <c r="A104" i="5"/>
  <c r="B103" i="5"/>
  <c r="A103" i="5"/>
  <c r="B102" i="5"/>
  <c r="A102" i="5"/>
  <c r="B101" i="5"/>
  <c r="A101" i="5"/>
  <c r="B100" i="5"/>
  <c r="A100" i="5"/>
  <c r="B99" i="5"/>
  <c r="A99" i="5"/>
  <c r="B98" i="5"/>
  <c r="A98" i="5"/>
  <c r="B97" i="5"/>
  <c r="A97" i="5"/>
  <c r="B96" i="5"/>
  <c r="A96" i="5"/>
  <c r="B95" i="5"/>
  <c r="A95" i="5"/>
  <c r="B94" i="5"/>
  <c r="A94" i="5"/>
  <c r="B93" i="5"/>
  <c r="A93" i="5"/>
  <c r="B92" i="5"/>
  <c r="A92" i="5"/>
  <c r="B91" i="5"/>
  <c r="A91" i="5"/>
  <c r="B90" i="5"/>
  <c r="A90" i="5"/>
  <c r="B89" i="5"/>
  <c r="A89" i="5"/>
  <c r="B88" i="5"/>
  <c r="A88" i="5"/>
  <c r="B87" i="5"/>
  <c r="A87" i="5"/>
  <c r="B86" i="5"/>
  <c r="A86" i="5"/>
  <c r="B85" i="5"/>
  <c r="A85" i="5"/>
  <c r="B84" i="5"/>
  <c r="A84" i="5"/>
  <c r="B83" i="5"/>
  <c r="A83" i="5"/>
  <c r="B82" i="5"/>
  <c r="A82" i="5"/>
  <c r="B81" i="5"/>
  <c r="A81" i="5"/>
  <c r="B80" i="5"/>
  <c r="A80" i="5"/>
  <c r="B79" i="5"/>
  <c r="A79" i="5"/>
  <c r="B78" i="5"/>
  <c r="A78" i="5"/>
  <c r="B77" i="5"/>
  <c r="A77" i="5"/>
  <c r="B76" i="5"/>
  <c r="A76" i="5"/>
  <c r="B75" i="5"/>
  <c r="A75" i="5"/>
  <c r="B74" i="5"/>
  <c r="A74" i="5"/>
  <c r="B73" i="5"/>
  <c r="A73" i="5"/>
  <c r="B72" i="5"/>
  <c r="A72" i="5"/>
  <c r="B71" i="5"/>
  <c r="A71" i="5"/>
  <c r="B70" i="5"/>
  <c r="A70" i="5"/>
  <c r="B69" i="5"/>
  <c r="A69" i="5"/>
  <c r="B68" i="5"/>
  <c r="A68" i="5"/>
  <c r="B67" i="5"/>
  <c r="A67" i="5"/>
  <c r="B66" i="5"/>
  <c r="A66" i="5"/>
  <c r="B65" i="5"/>
  <c r="A65" i="5"/>
  <c r="B64" i="5"/>
  <c r="A64" i="5"/>
  <c r="B63" i="5"/>
  <c r="A63" i="5"/>
  <c r="B62" i="5"/>
  <c r="A62" i="5"/>
  <c r="B61" i="5"/>
  <c r="A61" i="5"/>
  <c r="B60" i="5"/>
  <c r="A60" i="5"/>
  <c r="B59" i="5"/>
  <c r="A59" i="5"/>
  <c r="B58" i="5"/>
  <c r="A58" i="5"/>
  <c r="B57" i="5"/>
  <c r="A57" i="5"/>
  <c r="B56" i="5"/>
  <c r="A56" i="5"/>
  <c r="B55" i="5"/>
  <c r="A55" i="5"/>
  <c r="B54" i="5"/>
  <c r="A54" i="5"/>
  <c r="B53" i="5"/>
  <c r="A53" i="5"/>
  <c r="B52" i="5"/>
  <c r="A52" i="5"/>
  <c r="B51" i="5"/>
  <c r="A51" i="5"/>
  <c r="B50" i="5"/>
  <c r="A50" i="5"/>
  <c r="B49" i="5"/>
  <c r="A49" i="5"/>
  <c r="B48" i="5"/>
  <c r="A48" i="5"/>
  <c r="B47" i="5"/>
  <c r="A47" i="5"/>
  <c r="B46" i="5"/>
  <c r="A46" i="5"/>
  <c r="B45" i="5"/>
  <c r="A45" i="5"/>
  <c r="B44" i="5"/>
  <c r="A44" i="5"/>
  <c r="B43" i="5"/>
  <c r="A43" i="5"/>
  <c r="B42" i="5"/>
  <c r="A42" i="5"/>
  <c r="B41" i="5"/>
  <c r="A41" i="5"/>
  <c r="B40" i="5"/>
  <c r="A40" i="5"/>
  <c r="B39" i="5"/>
  <c r="A39" i="5"/>
  <c r="B38" i="5"/>
  <c r="A38" i="5"/>
  <c r="B37" i="5"/>
  <c r="A37" i="5"/>
  <c r="B36" i="5"/>
  <c r="A36" i="5"/>
  <c r="B35" i="5"/>
  <c r="A35" i="5"/>
  <c r="B34" i="5"/>
  <c r="A34" i="5"/>
  <c r="B33" i="5"/>
  <c r="A33" i="5"/>
  <c r="B32" i="5"/>
  <c r="A32" i="5"/>
  <c r="B31" i="5"/>
  <c r="A31" i="5"/>
  <c r="B30" i="5"/>
  <c r="A30" i="5"/>
  <c r="B29" i="5"/>
  <c r="A29" i="5"/>
  <c r="B28" i="5"/>
  <c r="A28" i="5"/>
  <c r="B27" i="5"/>
  <c r="A27" i="5"/>
  <c r="B26" i="5"/>
  <c r="A26" i="5"/>
  <c r="B25" i="5"/>
  <c r="A25" i="5"/>
  <c r="B24" i="5"/>
  <c r="A24" i="5"/>
  <c r="B23" i="5"/>
  <c r="A23" i="5"/>
  <c r="B22" i="5"/>
  <c r="A22" i="5"/>
  <c r="B21" i="5"/>
  <c r="A21" i="5"/>
  <c r="B20" i="5"/>
  <c r="A20" i="5"/>
  <c r="B19" i="5"/>
  <c r="A19" i="5"/>
  <c r="B18" i="5"/>
  <c r="A18" i="5"/>
  <c r="B17" i="5"/>
  <c r="A17" i="5"/>
  <c r="B16" i="5"/>
  <c r="A16" i="5"/>
  <c r="B15" i="5"/>
  <c r="A15" i="5"/>
  <c r="B14" i="5"/>
  <c r="A14" i="5"/>
  <c r="B13" i="5"/>
  <c r="A13" i="5"/>
  <c r="B12" i="5"/>
  <c r="A12" i="5"/>
  <c r="B11" i="5"/>
  <c r="A11" i="5"/>
  <c r="B10" i="5"/>
  <c r="A10" i="5"/>
  <c r="B9" i="5"/>
  <c r="A9" i="5"/>
  <c r="B8" i="5"/>
  <c r="A8" i="5"/>
  <c r="B7" i="5"/>
  <c r="A7" i="5"/>
  <c r="B6" i="5"/>
  <c r="A6" i="5"/>
  <c r="B5" i="5"/>
  <c r="A5" i="5"/>
  <c r="B4" i="5"/>
  <c r="A4" i="5"/>
  <c r="B3" i="5"/>
  <c r="A3" i="5"/>
  <c r="B2" i="5"/>
  <c r="A2" i="5"/>
  <c r="B36" i="2"/>
  <c r="A36" i="2"/>
  <c r="B35" i="2"/>
  <c r="A35" i="2"/>
  <c r="B34" i="2"/>
  <c r="A34" i="2"/>
  <c r="B33" i="2"/>
  <c r="A33" i="2"/>
  <c r="B32" i="2"/>
  <c r="A32" i="2"/>
  <c r="B31" i="2"/>
  <c r="A31" i="2"/>
  <c r="B30" i="2"/>
  <c r="A30" i="2"/>
  <c r="B29" i="2"/>
  <c r="A29" i="2"/>
  <c r="B28" i="2"/>
  <c r="A28" i="2"/>
  <c r="B27" i="2"/>
  <c r="A27" i="2"/>
  <c r="B25" i="2"/>
  <c r="A25" i="2"/>
  <c r="B24" i="2"/>
  <c r="A24" i="2"/>
  <c r="B23" i="2"/>
  <c r="A23" i="2"/>
  <c r="B22" i="2"/>
  <c r="A22" i="2"/>
  <c r="B21" i="2"/>
  <c r="A21" i="2"/>
  <c r="B20" i="2"/>
  <c r="A20" i="2"/>
  <c r="B19" i="2"/>
  <c r="A19" i="2"/>
  <c r="B18" i="2"/>
  <c r="A18" i="2"/>
  <c r="B17" i="2"/>
  <c r="A17" i="2"/>
  <c r="B16" i="2"/>
  <c r="B15" i="2"/>
  <c r="B14" i="2"/>
  <c r="A14" i="2"/>
  <c r="B13" i="2"/>
  <c r="A13" i="2"/>
  <c r="B12" i="2"/>
  <c r="A12" i="2"/>
  <c r="B11" i="2"/>
  <c r="A11" i="2"/>
  <c r="B10" i="2"/>
  <c r="A10" i="2"/>
  <c r="B9" i="2"/>
  <c r="A9" i="2"/>
  <c r="B8" i="2"/>
  <c r="A8" i="2"/>
  <c r="B7" i="2"/>
  <c r="A7" i="2"/>
  <c r="B6" i="2"/>
  <c r="A6" i="2"/>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A2" i="2"/>
  <c r="A8" i="3"/>
  <c r="B8" i="3"/>
  <c r="A9" i="3"/>
  <c r="B9" i="3"/>
  <c r="A10" i="3"/>
  <c r="B10" i="3"/>
  <c r="A11" i="3"/>
  <c r="B11" i="3"/>
  <c r="A12" i="3"/>
  <c r="B12" i="3"/>
  <c r="A13" i="3"/>
  <c r="B13" i="3"/>
  <c r="A14" i="3"/>
  <c r="B14" i="3"/>
  <c r="A15" i="3"/>
  <c r="B15" i="3"/>
  <c r="A16" i="3"/>
  <c r="B16" i="3"/>
  <c r="B17" i="3"/>
  <c r="A18" i="3"/>
  <c r="B18" i="3"/>
  <c r="A19" i="3"/>
  <c r="B19" i="3"/>
  <c r="A20" i="3"/>
  <c r="B20" i="3"/>
  <c r="A21" i="3"/>
  <c r="B21" i="3"/>
  <c r="A22" i="3"/>
  <c r="B22" i="3"/>
  <c r="A23" i="3"/>
  <c r="B23" i="3"/>
  <c r="A24" i="3"/>
  <c r="B24" i="3"/>
  <c r="A25" i="3"/>
  <c r="B25" i="3"/>
  <c r="A27" i="3"/>
  <c r="B27" i="3"/>
  <c r="A28" i="3"/>
  <c r="B28" i="3"/>
  <c r="A29" i="3"/>
  <c r="B29" i="3"/>
  <c r="A30" i="3"/>
  <c r="B30" i="3"/>
  <c r="A31" i="3"/>
  <c r="B31" i="3"/>
  <c r="A32" i="3"/>
  <c r="B32" i="3"/>
  <c r="A33" i="3"/>
  <c r="B33" i="3"/>
  <c r="A34" i="3"/>
  <c r="B34" i="3"/>
  <c r="A35" i="3"/>
  <c r="B35" i="3"/>
  <c r="A36" i="3"/>
  <c r="B36" i="3"/>
  <c r="B7" i="3"/>
  <c r="A7" i="3"/>
  <c r="B6" i="3"/>
  <c r="A6" i="3"/>
  <c r="B4" i="3"/>
  <c r="A4" i="3"/>
  <c r="B3" i="3"/>
  <c r="A3" i="3"/>
  <c r="B2" i="3"/>
  <c r="A2" i="3"/>
  <c r="A4"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4" i="2"/>
  <c r="B3" i="2"/>
  <c r="B2" i="2"/>
  <c r="A3" i="2"/>
  <c r="I744" i="2" l="1"/>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A220" i="5" l="1"/>
  <c r="B220" i="5"/>
  <c r="A221" i="5"/>
  <c r="B221" i="5"/>
  <c r="A222" i="5"/>
  <c r="B222" i="5"/>
  <c r="A223" i="5"/>
  <c r="B223" i="5"/>
  <c r="A224" i="5"/>
  <c r="B224" i="5"/>
  <c r="A225" i="5"/>
  <c r="B225" i="5"/>
  <c r="A226" i="5"/>
  <c r="B226" i="5"/>
  <c r="A227" i="5"/>
  <c r="B227" i="5"/>
  <c r="A228" i="5"/>
  <c r="B228" i="5"/>
  <c r="A229" i="5"/>
  <c r="B229" i="5"/>
  <c r="A230" i="5"/>
  <c r="B230" i="5"/>
  <c r="A231" i="5"/>
  <c r="B231" i="5"/>
  <c r="A232" i="5"/>
  <c r="B232" i="5"/>
  <c r="A233" i="5"/>
  <c r="B233" i="5"/>
  <c r="A234" i="5"/>
  <c r="B234" i="5"/>
  <c r="A235" i="5"/>
  <c r="B235" i="5"/>
  <c r="A236" i="5"/>
  <c r="B236" i="5"/>
  <c r="A237" i="5"/>
  <c r="B237" i="5"/>
  <c r="A238" i="5"/>
  <c r="B238" i="5"/>
  <c r="A239" i="5"/>
  <c r="B239" i="5"/>
  <c r="A240" i="5"/>
  <c r="B240" i="5"/>
  <c r="A241" i="5"/>
  <c r="B241" i="5"/>
  <c r="A242" i="5"/>
  <c r="B242" i="5"/>
  <c r="A243" i="5"/>
  <c r="B243" i="5"/>
  <c r="A244" i="5"/>
  <c r="B244" i="5"/>
  <c r="A245" i="5"/>
  <c r="B245" i="5"/>
  <c r="A246" i="5"/>
  <c r="B246" i="5"/>
  <c r="A247" i="5"/>
  <c r="B247" i="5"/>
  <c r="A248" i="5"/>
  <c r="B248" i="5"/>
  <c r="A249" i="5"/>
  <c r="B249" i="5"/>
  <c r="A250" i="5"/>
  <c r="B250" i="5"/>
  <c r="A251" i="5"/>
  <c r="B251" i="5"/>
  <c r="A252" i="5"/>
  <c r="B252" i="5"/>
  <c r="A253" i="5"/>
  <c r="B253" i="5"/>
  <c r="A254" i="5"/>
  <c r="B254" i="5"/>
  <c r="A255" i="5"/>
  <c r="B255" i="5"/>
  <c r="A256" i="5"/>
  <c r="B256" i="5"/>
  <c r="A257" i="5"/>
  <c r="B257" i="5"/>
  <c r="A258" i="5"/>
  <c r="B258" i="5"/>
  <c r="A259" i="5"/>
  <c r="B259" i="5"/>
  <c r="A260" i="5"/>
  <c r="B260" i="5"/>
  <c r="A261" i="5"/>
  <c r="B261" i="5"/>
  <c r="A262" i="5"/>
  <c r="B262" i="5"/>
  <c r="A263" i="5"/>
  <c r="B263" i="5"/>
  <c r="A264" i="5"/>
  <c r="B264" i="5"/>
  <c r="A265" i="5"/>
  <c r="B265" i="5"/>
  <c r="A266" i="5"/>
  <c r="B266" i="5"/>
  <c r="A267" i="5"/>
  <c r="B267" i="5"/>
  <c r="A268" i="5"/>
  <c r="B268" i="5"/>
  <c r="A269" i="5"/>
  <c r="B269" i="5"/>
  <c r="A270" i="5"/>
  <c r="B270" i="5"/>
  <c r="A271" i="5"/>
  <c r="B271" i="5"/>
  <c r="A272" i="5"/>
  <c r="B272" i="5"/>
  <c r="A273" i="5"/>
  <c r="B273" i="5"/>
  <c r="A274" i="5"/>
  <c r="B274" i="5"/>
  <c r="A275" i="5"/>
  <c r="B275" i="5"/>
  <c r="A276" i="5"/>
  <c r="B276" i="5"/>
  <c r="A277" i="5"/>
  <c r="B277" i="5"/>
  <c r="A278" i="5"/>
  <c r="B278" i="5"/>
  <c r="A279" i="5"/>
  <c r="B279" i="5"/>
  <c r="A280" i="5"/>
  <c r="B280" i="5"/>
  <c r="A281" i="5"/>
  <c r="B281" i="5"/>
  <c r="A282" i="5"/>
  <c r="B282" i="5"/>
  <c r="A283" i="5"/>
  <c r="B283" i="5"/>
  <c r="A284" i="5"/>
  <c r="B284" i="5"/>
  <c r="A285" i="5"/>
  <c r="B285" i="5"/>
  <c r="A286" i="5"/>
  <c r="B286" i="5"/>
  <c r="A287" i="5"/>
  <c r="B287" i="5"/>
  <c r="A288" i="5"/>
  <c r="B288" i="5"/>
  <c r="A289" i="5"/>
  <c r="B289" i="5"/>
  <c r="A290" i="5"/>
  <c r="B290" i="5"/>
  <c r="A291" i="5"/>
  <c r="B291" i="5"/>
  <c r="A292" i="5"/>
  <c r="B292" i="5"/>
  <c r="A293" i="5"/>
  <c r="B293" i="5"/>
  <c r="A294" i="5"/>
  <c r="B294" i="5"/>
  <c r="A295" i="5"/>
  <c r="B295" i="5"/>
  <c r="A296" i="5"/>
  <c r="B296" i="5"/>
  <c r="A297" i="5"/>
  <c r="B297" i="5"/>
  <c r="A298" i="5"/>
  <c r="B298" i="5"/>
  <c r="A299" i="5"/>
  <c r="B299" i="5"/>
  <c r="A300" i="5"/>
  <c r="B300" i="5"/>
  <c r="A301" i="5"/>
  <c r="B301" i="5"/>
  <c r="A302" i="5"/>
  <c r="B302" i="5"/>
  <c r="A303" i="5"/>
  <c r="B303" i="5"/>
  <c r="A304" i="5"/>
  <c r="B304" i="5"/>
  <c r="A305" i="5"/>
  <c r="B305" i="5"/>
  <c r="A306" i="5"/>
  <c r="B306" i="5"/>
  <c r="A307" i="5"/>
  <c r="B307" i="5"/>
  <c r="A308" i="5"/>
  <c r="B308" i="5"/>
  <c r="A309" i="5"/>
  <c r="B309" i="5"/>
  <c r="A310" i="5"/>
  <c r="B310" i="5"/>
  <c r="A311" i="5"/>
  <c r="B311" i="5"/>
  <c r="A312" i="5"/>
  <c r="B312" i="5"/>
  <c r="A313" i="5"/>
  <c r="B313" i="5"/>
  <c r="A314" i="5"/>
  <c r="B314" i="5"/>
  <c r="A315" i="5"/>
  <c r="B315" i="5"/>
  <c r="A316" i="5"/>
  <c r="B316" i="5"/>
  <c r="A317" i="5"/>
  <c r="B317" i="5"/>
  <c r="A318" i="5"/>
  <c r="B318" i="5"/>
  <c r="A319" i="5"/>
  <c r="B319" i="5"/>
  <c r="A320" i="5"/>
  <c r="B320" i="5"/>
  <c r="A321" i="5"/>
  <c r="B321" i="5"/>
  <c r="A322" i="5"/>
  <c r="B322" i="5"/>
  <c r="A323" i="5"/>
  <c r="B323" i="5"/>
  <c r="A324" i="5"/>
  <c r="B324" i="5"/>
  <c r="A325" i="5"/>
  <c r="B325" i="5"/>
  <c r="A326" i="5"/>
  <c r="B326" i="5"/>
  <c r="A327" i="5"/>
  <c r="B327" i="5"/>
  <c r="A328" i="5"/>
  <c r="B328" i="5"/>
  <c r="A329" i="5"/>
  <c r="B329" i="5"/>
  <c r="A330" i="5"/>
  <c r="B330" i="5"/>
  <c r="A331" i="5"/>
  <c r="B331" i="5"/>
  <c r="A332" i="5"/>
  <c r="B332" i="5"/>
  <c r="A333" i="5"/>
  <c r="B333" i="5"/>
  <c r="A334" i="5"/>
  <c r="B334" i="5"/>
  <c r="A335" i="5"/>
  <c r="B335" i="5"/>
  <c r="A336" i="5"/>
  <c r="B336" i="5"/>
  <c r="A337" i="5"/>
  <c r="B337" i="5"/>
  <c r="A338" i="5"/>
  <c r="B338" i="5"/>
  <c r="A339" i="5"/>
  <c r="B339" i="5"/>
  <c r="A340" i="5"/>
  <c r="B340" i="5"/>
  <c r="A341" i="5"/>
  <c r="B341" i="5"/>
  <c r="A342" i="5"/>
  <c r="B342" i="5"/>
  <c r="A343" i="5"/>
  <c r="B343" i="5"/>
  <c r="A344" i="5"/>
  <c r="B344" i="5"/>
  <c r="A345" i="5"/>
  <c r="B345" i="5"/>
  <c r="A346" i="5"/>
  <c r="B346" i="5"/>
  <c r="A347" i="5"/>
  <c r="B347" i="5"/>
  <c r="A348" i="5"/>
  <c r="B348" i="5"/>
  <c r="A349" i="5"/>
  <c r="B349" i="5"/>
  <c r="A350" i="5"/>
  <c r="B350" i="5"/>
  <c r="A351" i="5"/>
  <c r="B351" i="5"/>
  <c r="A352" i="5"/>
  <c r="B352" i="5"/>
  <c r="A353" i="5"/>
  <c r="B353" i="5"/>
  <c r="A354" i="5"/>
  <c r="B354" i="5"/>
  <c r="A355" i="5"/>
  <c r="B355" i="5"/>
  <c r="A356" i="5"/>
  <c r="B356" i="5"/>
  <c r="A357" i="5"/>
  <c r="B357" i="5"/>
  <c r="A358" i="5"/>
  <c r="B358" i="5"/>
  <c r="A359" i="5"/>
  <c r="B359" i="5"/>
  <c r="A360" i="5"/>
  <c r="B360" i="5"/>
  <c r="A361" i="5"/>
  <c r="B361" i="5"/>
  <c r="A362" i="5"/>
  <c r="B362" i="5"/>
  <c r="A363" i="5"/>
  <c r="B363" i="5"/>
  <c r="A364" i="5"/>
  <c r="B364" i="5"/>
  <c r="A365" i="5"/>
  <c r="B365" i="5"/>
  <c r="A366" i="5"/>
  <c r="B366" i="5"/>
  <c r="A367" i="5"/>
  <c r="B367" i="5"/>
  <c r="A368" i="5"/>
  <c r="B368" i="5"/>
  <c r="A369" i="5"/>
  <c r="B369" i="5"/>
  <c r="A370" i="5"/>
  <c r="B370" i="5"/>
  <c r="A371" i="5"/>
  <c r="B371" i="5"/>
  <c r="A372" i="5"/>
  <c r="B372" i="5"/>
  <c r="A373" i="5"/>
  <c r="B373" i="5"/>
  <c r="A374" i="5"/>
  <c r="B374" i="5"/>
  <c r="A375" i="5"/>
  <c r="B375" i="5"/>
  <c r="A376" i="5"/>
  <c r="B376" i="5"/>
  <c r="A377" i="5"/>
  <c r="B377" i="5"/>
  <c r="A378" i="5"/>
  <c r="B378" i="5"/>
  <c r="A379" i="5"/>
  <c r="B379" i="5"/>
  <c r="A380" i="5"/>
  <c r="B380" i="5"/>
  <c r="A381" i="5"/>
  <c r="B381" i="5"/>
  <c r="A382" i="5"/>
  <c r="B382" i="5"/>
  <c r="A383" i="5"/>
  <c r="B383" i="5"/>
  <c r="A384" i="5"/>
  <c r="B384" i="5"/>
  <c r="A385" i="5"/>
  <c r="B385" i="5"/>
  <c r="A386" i="5"/>
  <c r="B386" i="5"/>
  <c r="A387" i="5"/>
  <c r="B387" i="5"/>
  <c r="A388" i="5"/>
  <c r="B388" i="5"/>
  <c r="A389" i="5"/>
  <c r="B389" i="5"/>
  <c r="A390" i="5"/>
  <c r="B390" i="5"/>
  <c r="A391" i="5"/>
  <c r="B391" i="5"/>
  <c r="A392" i="5"/>
  <c r="B392" i="5"/>
  <c r="A393" i="5"/>
  <c r="B393" i="5"/>
  <c r="A394" i="5"/>
  <c r="B394" i="5"/>
  <c r="A395" i="5"/>
  <c r="B395" i="5"/>
  <c r="A396" i="5"/>
  <c r="B396" i="5"/>
  <c r="A397" i="5"/>
  <c r="B397" i="5"/>
  <c r="A398" i="5"/>
  <c r="B398" i="5"/>
  <c r="A399" i="5"/>
  <c r="B399" i="5"/>
  <c r="A400" i="5"/>
  <c r="B400" i="5"/>
  <c r="A401" i="5"/>
  <c r="B401" i="5"/>
  <c r="A402" i="5"/>
  <c r="B402" i="5"/>
  <c r="A403" i="5"/>
  <c r="B403" i="5"/>
  <c r="A404" i="5"/>
  <c r="B404" i="5"/>
  <c r="A405" i="5"/>
  <c r="B405" i="5"/>
  <c r="A406" i="5"/>
  <c r="B406" i="5"/>
  <c r="A407" i="5"/>
  <c r="B407" i="5"/>
  <c r="A408" i="5"/>
  <c r="B408" i="5"/>
  <c r="A409" i="5"/>
  <c r="B409" i="5"/>
  <c r="A410" i="5"/>
  <c r="B410" i="5"/>
  <c r="A411" i="5"/>
  <c r="B411" i="5"/>
  <c r="A412" i="5"/>
  <c r="B412" i="5"/>
  <c r="A413" i="5"/>
  <c r="B413" i="5"/>
  <c r="A414" i="5"/>
  <c r="B414" i="5"/>
  <c r="A415" i="5"/>
  <c r="B415" i="5"/>
  <c r="A416" i="5"/>
  <c r="B416" i="5"/>
  <c r="A417" i="5"/>
  <c r="B417" i="5"/>
  <c r="A418" i="5"/>
  <c r="B418" i="5"/>
  <c r="A419" i="5"/>
  <c r="B419" i="5"/>
  <c r="A420" i="5"/>
  <c r="B420" i="5"/>
  <c r="A421" i="5"/>
  <c r="B421" i="5"/>
  <c r="A422" i="5"/>
  <c r="B422" i="5"/>
  <c r="A423" i="5"/>
  <c r="B423" i="5"/>
  <c r="A424" i="5"/>
  <c r="B424" i="5"/>
  <c r="A425" i="5"/>
  <c r="B425" i="5"/>
  <c r="A426" i="5"/>
  <c r="B426" i="5"/>
  <c r="A427" i="5"/>
  <c r="B427" i="5"/>
  <c r="A428" i="5"/>
  <c r="B428" i="5"/>
  <c r="A429" i="5"/>
  <c r="B429" i="5"/>
  <c r="A430" i="5"/>
  <c r="B430" i="5"/>
  <c r="A431" i="5"/>
  <c r="B431" i="5"/>
  <c r="A432" i="5"/>
  <c r="B432" i="5"/>
  <c r="A433" i="5"/>
  <c r="B433" i="5"/>
  <c r="A434" i="5"/>
  <c r="B434" i="5"/>
  <c r="A435" i="5"/>
  <c r="B435" i="5"/>
  <c r="A436" i="5"/>
  <c r="B436" i="5"/>
  <c r="A437" i="5"/>
  <c r="B437" i="5"/>
  <c r="A438" i="5"/>
  <c r="B438" i="5"/>
  <c r="A439" i="5"/>
  <c r="B439" i="5"/>
  <c r="A440" i="5"/>
  <c r="B440" i="5"/>
  <c r="A441" i="5"/>
  <c r="B441" i="5"/>
  <c r="A442" i="5"/>
  <c r="B442" i="5"/>
  <c r="A443" i="5"/>
  <c r="B443" i="5"/>
  <c r="A444" i="5"/>
  <c r="B444" i="5"/>
  <c r="A445" i="5"/>
  <c r="B445" i="5"/>
  <c r="A446" i="5"/>
  <c r="B446" i="5"/>
  <c r="A447" i="5"/>
  <c r="B447" i="5"/>
  <c r="A448" i="5"/>
  <c r="B448" i="5"/>
  <c r="A449" i="5"/>
  <c r="B449" i="5"/>
  <c r="A450" i="5"/>
  <c r="B450" i="5"/>
  <c r="A451" i="5"/>
  <c r="B451" i="5"/>
  <c r="A452" i="5"/>
  <c r="B452" i="5"/>
  <c r="A453" i="5"/>
  <c r="B453" i="5"/>
  <c r="A454" i="5"/>
  <c r="B454" i="5"/>
  <c r="A455" i="5"/>
  <c r="B455" i="5"/>
  <c r="A456" i="5"/>
  <c r="B456" i="5"/>
  <c r="A457" i="5"/>
  <c r="B457" i="5"/>
  <c r="A458" i="5"/>
  <c r="B458" i="5"/>
  <c r="A459" i="5"/>
  <c r="B459" i="5"/>
  <c r="A460" i="5"/>
  <c r="B460" i="5"/>
  <c r="A461" i="5"/>
  <c r="B461" i="5"/>
  <c r="A462" i="5"/>
  <c r="B462" i="5"/>
  <c r="A463" i="5"/>
  <c r="B463" i="5"/>
  <c r="A464" i="5"/>
  <c r="B464" i="5"/>
  <c r="A465" i="5"/>
  <c r="B465" i="5"/>
  <c r="A466" i="5"/>
  <c r="B466" i="5"/>
  <c r="A467" i="5"/>
  <c r="B467" i="5"/>
  <c r="A468" i="5"/>
  <c r="B468" i="5"/>
  <c r="A469" i="5"/>
  <c r="B469" i="5"/>
  <c r="A470" i="5"/>
  <c r="B470" i="5"/>
  <c r="A471" i="5"/>
  <c r="B471" i="5"/>
  <c r="A472" i="5"/>
  <c r="B472" i="5"/>
  <c r="A473" i="5"/>
  <c r="B473" i="5"/>
  <c r="A474" i="5"/>
  <c r="B474" i="5"/>
  <c r="A475" i="5"/>
  <c r="B475" i="5"/>
  <c r="A476" i="5"/>
  <c r="B476" i="5"/>
  <c r="A477" i="5"/>
  <c r="B477" i="5"/>
  <c r="A478" i="5"/>
  <c r="B478" i="5"/>
  <c r="A479" i="5"/>
  <c r="B479" i="5"/>
  <c r="A480" i="5"/>
  <c r="B480" i="5"/>
  <c r="A481" i="5"/>
  <c r="B481" i="5"/>
  <c r="A482" i="5"/>
  <c r="B482" i="5"/>
  <c r="A483" i="5"/>
  <c r="B483" i="5"/>
  <c r="A484" i="5"/>
  <c r="B484" i="5"/>
  <c r="A485" i="5"/>
  <c r="B485" i="5"/>
  <c r="A486" i="5"/>
  <c r="B486" i="5"/>
  <c r="A487" i="5"/>
  <c r="B487" i="5"/>
  <c r="A488" i="5"/>
  <c r="B488" i="5"/>
  <c r="A489" i="5"/>
  <c r="B489" i="5"/>
  <c r="A490" i="5"/>
  <c r="B490" i="5"/>
  <c r="A491" i="5"/>
  <c r="B491" i="5"/>
  <c r="A492" i="5"/>
  <c r="B492" i="5"/>
  <c r="A493" i="5"/>
  <c r="B493" i="5"/>
  <c r="A494" i="5"/>
  <c r="B494" i="5"/>
  <c r="A495" i="5"/>
  <c r="B495" i="5"/>
  <c r="A496" i="5"/>
  <c r="B496" i="5"/>
  <c r="A497" i="5"/>
  <c r="B497" i="5"/>
  <c r="A498" i="5"/>
  <c r="B498" i="5"/>
  <c r="A499" i="5"/>
  <c r="B499" i="5"/>
  <c r="A500" i="5"/>
  <c r="B500" i="5"/>
  <c r="A501" i="5"/>
  <c r="B501" i="5"/>
  <c r="A502" i="5"/>
  <c r="B502" i="5"/>
  <c r="A503" i="5"/>
  <c r="B503" i="5"/>
  <c r="A504" i="5"/>
  <c r="B504" i="5"/>
  <c r="A505" i="5"/>
  <c r="B505" i="5"/>
  <c r="A506" i="5"/>
  <c r="B506" i="5"/>
  <c r="A507" i="5"/>
  <c r="B507" i="5"/>
  <c r="A508" i="5"/>
  <c r="B508" i="5"/>
  <c r="A509" i="5"/>
  <c r="B509" i="5"/>
  <c r="A510" i="5"/>
  <c r="B510" i="5"/>
  <c r="A511" i="5"/>
  <c r="B511" i="5"/>
  <c r="A512" i="5"/>
  <c r="B512" i="5"/>
  <c r="A513" i="5"/>
  <c r="B513" i="5"/>
  <c r="A514" i="5"/>
  <c r="B514" i="5"/>
  <c r="A515" i="5"/>
  <c r="B515" i="5"/>
  <c r="A516" i="5"/>
  <c r="B516" i="5"/>
  <c r="A517" i="5"/>
  <c r="B517" i="5"/>
  <c r="A518" i="5"/>
  <c r="B518" i="5"/>
  <c r="A519" i="5"/>
  <c r="B519" i="5"/>
  <c r="A520" i="5"/>
  <c r="B520" i="5"/>
  <c r="A521" i="5"/>
  <c r="B521" i="5"/>
  <c r="A522" i="5"/>
  <c r="B522" i="5"/>
  <c r="A523" i="5"/>
  <c r="B523" i="5"/>
  <c r="A524" i="5"/>
  <c r="B524" i="5"/>
  <c r="A525" i="5"/>
  <c r="B525" i="5"/>
  <c r="A526" i="5"/>
  <c r="B526" i="5"/>
  <c r="A527" i="5"/>
  <c r="B527" i="5"/>
  <c r="A528" i="5"/>
  <c r="B528" i="5"/>
  <c r="A529" i="5"/>
  <c r="B529" i="5"/>
  <c r="A530" i="5"/>
  <c r="B530" i="5"/>
  <c r="A531" i="5"/>
  <c r="B531" i="5"/>
  <c r="A532" i="5"/>
  <c r="B532" i="5"/>
  <c r="A533" i="5"/>
  <c r="B533" i="5"/>
  <c r="A534" i="5"/>
  <c r="B534" i="5"/>
  <c r="A535" i="5"/>
  <c r="B535" i="5"/>
  <c r="A536" i="5"/>
  <c r="B536" i="5"/>
  <c r="A537" i="5"/>
  <c r="B537" i="5"/>
  <c r="A538" i="5"/>
  <c r="B538" i="5"/>
  <c r="A539" i="5"/>
  <c r="B539" i="5"/>
  <c r="A540" i="5"/>
  <c r="B540" i="5"/>
  <c r="A541" i="5"/>
  <c r="B541" i="5"/>
  <c r="A542" i="5"/>
  <c r="B542" i="5"/>
  <c r="A543" i="5"/>
  <c r="B543" i="5"/>
  <c r="A544" i="5"/>
  <c r="B544" i="5"/>
  <c r="A545" i="5"/>
  <c r="B545" i="5"/>
  <c r="A546" i="5"/>
  <c r="B546" i="5"/>
  <c r="A547" i="5"/>
  <c r="B547" i="5"/>
  <c r="A548" i="5"/>
  <c r="B548" i="5"/>
  <c r="A549" i="5"/>
  <c r="B549" i="5"/>
  <c r="A550" i="5"/>
  <c r="B550" i="5"/>
  <c r="A551" i="5"/>
  <c r="B551" i="5"/>
  <c r="A552" i="5"/>
  <c r="B552" i="5"/>
  <c r="A553" i="5"/>
  <c r="B553" i="5"/>
  <c r="A554" i="5"/>
  <c r="B554" i="5"/>
  <c r="A555" i="5"/>
  <c r="B555" i="5"/>
  <c r="A556" i="5"/>
  <c r="B556" i="5"/>
  <c r="A557" i="5"/>
  <c r="B557" i="5"/>
  <c r="A558" i="5"/>
  <c r="B558" i="5"/>
  <c r="A559" i="5"/>
  <c r="B559" i="5"/>
  <c r="A560" i="5"/>
  <c r="B560" i="5"/>
  <c r="A561" i="5"/>
  <c r="B561" i="5"/>
  <c r="A562" i="5"/>
  <c r="B562" i="5"/>
  <c r="A563" i="5"/>
  <c r="B563" i="5"/>
  <c r="A564" i="5"/>
  <c r="B564" i="5"/>
  <c r="A565" i="5"/>
  <c r="B565" i="5"/>
  <c r="A566" i="5"/>
  <c r="B566" i="5"/>
  <c r="A567" i="5"/>
  <c r="B567" i="5"/>
  <c r="A568" i="5"/>
  <c r="B568" i="5"/>
  <c r="A569" i="5"/>
  <c r="B569" i="5"/>
  <c r="A570" i="5"/>
  <c r="B570" i="5"/>
  <c r="A571" i="5"/>
  <c r="B571" i="5"/>
  <c r="A572" i="5"/>
  <c r="B572" i="5"/>
  <c r="A573" i="5"/>
  <c r="B573" i="5"/>
  <c r="A574" i="5"/>
  <c r="B574" i="5"/>
  <c r="A575" i="5"/>
  <c r="B575" i="5"/>
  <c r="A576" i="5"/>
  <c r="B576" i="5"/>
  <c r="A577" i="5"/>
  <c r="B577" i="5"/>
  <c r="A578" i="5"/>
  <c r="B578" i="5"/>
  <c r="A579" i="5"/>
  <c r="B579" i="5"/>
  <c r="A580" i="5"/>
  <c r="B580" i="5"/>
  <c r="A581" i="5"/>
  <c r="B581" i="5"/>
  <c r="A582" i="5"/>
  <c r="B582" i="5"/>
  <c r="A583" i="5"/>
  <c r="B583" i="5"/>
  <c r="A584" i="5"/>
  <c r="B584" i="5"/>
  <c r="A585" i="5"/>
  <c r="B585" i="5"/>
  <c r="A586" i="5"/>
  <c r="B586" i="5"/>
  <c r="A587" i="5"/>
  <c r="B587" i="5"/>
  <c r="A588" i="5"/>
  <c r="B588" i="5"/>
  <c r="A589" i="5"/>
  <c r="B589" i="5"/>
  <c r="A590" i="5"/>
  <c r="B590" i="5"/>
  <c r="A591" i="5"/>
  <c r="B591" i="5"/>
  <c r="A592" i="5"/>
  <c r="B592" i="5"/>
  <c r="A593" i="5"/>
  <c r="B593" i="5"/>
  <c r="A594" i="5"/>
  <c r="B594" i="5"/>
  <c r="A595" i="5"/>
  <c r="B595" i="5"/>
  <c r="A596" i="5"/>
  <c r="B596" i="5"/>
  <c r="A597" i="5"/>
  <c r="B597" i="5"/>
  <c r="A598" i="5"/>
  <c r="B598" i="5"/>
  <c r="A599" i="5"/>
  <c r="B599" i="5"/>
  <c r="A600" i="5"/>
  <c r="B600" i="5"/>
  <c r="A601" i="5"/>
  <c r="B601" i="5"/>
  <c r="A602" i="5"/>
  <c r="B602" i="5"/>
  <c r="A603" i="5"/>
  <c r="B603" i="5"/>
  <c r="A604" i="5"/>
  <c r="B604" i="5"/>
  <c r="A605" i="5"/>
  <c r="B605" i="5"/>
  <c r="A606" i="5"/>
  <c r="B606" i="5"/>
  <c r="A607" i="5"/>
  <c r="B607" i="5"/>
  <c r="A608" i="5"/>
  <c r="B608" i="5"/>
  <c r="A609" i="5"/>
  <c r="B609" i="5"/>
  <c r="A610" i="5"/>
  <c r="B610" i="5"/>
  <c r="A611" i="5"/>
  <c r="B611" i="5"/>
  <c r="A612" i="5"/>
  <c r="B612" i="5"/>
  <c r="A613" i="5"/>
  <c r="B613" i="5"/>
  <c r="A614" i="5"/>
  <c r="B614" i="5"/>
  <c r="A615" i="5"/>
  <c r="B615" i="5"/>
  <c r="A616" i="5"/>
  <c r="B616" i="5"/>
  <c r="A617" i="5"/>
  <c r="B617" i="5"/>
  <c r="A618" i="5"/>
  <c r="B618" i="5"/>
  <c r="A619" i="5"/>
  <c r="B619" i="5"/>
  <c r="A620" i="5"/>
  <c r="B620" i="5"/>
  <c r="A621" i="5"/>
  <c r="B621" i="5"/>
  <c r="A622" i="5"/>
  <c r="B622" i="5"/>
  <c r="A623" i="5"/>
  <c r="B623" i="5"/>
  <c r="A624" i="5"/>
  <c r="B624" i="5"/>
  <c r="A625" i="5"/>
  <c r="B625" i="5"/>
  <c r="A626" i="5"/>
  <c r="B626" i="5"/>
  <c r="A627" i="5"/>
  <c r="B627" i="5"/>
  <c r="A628" i="5"/>
  <c r="B628" i="5"/>
  <c r="A629" i="5"/>
  <c r="B629" i="5"/>
  <c r="A630" i="5"/>
  <c r="B630" i="5"/>
  <c r="A631" i="5"/>
  <c r="B631" i="5"/>
  <c r="A632" i="5"/>
  <c r="B632" i="5"/>
  <c r="A633" i="5"/>
  <c r="B633" i="5"/>
  <c r="A634" i="5"/>
  <c r="B634" i="5"/>
  <c r="A635" i="5"/>
  <c r="B635" i="5"/>
  <c r="A636" i="5"/>
  <c r="B636" i="5"/>
  <c r="A637" i="5"/>
  <c r="B637" i="5"/>
  <c r="A638" i="5"/>
  <c r="B638" i="5"/>
  <c r="A639" i="5"/>
  <c r="B639" i="5"/>
  <c r="A640" i="5"/>
  <c r="B640" i="5"/>
  <c r="A641" i="5"/>
  <c r="B641" i="5"/>
  <c r="A642" i="5"/>
  <c r="B642" i="5"/>
  <c r="A643" i="5"/>
  <c r="B643" i="5"/>
  <c r="A644" i="5"/>
  <c r="B644" i="5"/>
  <c r="A645" i="5"/>
  <c r="B645" i="5"/>
  <c r="A646" i="5"/>
  <c r="B646" i="5"/>
  <c r="A647" i="5"/>
  <c r="B647" i="5"/>
  <c r="A648" i="5"/>
  <c r="B648" i="5"/>
  <c r="A649" i="5"/>
  <c r="B649" i="5"/>
  <c r="A650" i="5"/>
  <c r="B650" i="5"/>
  <c r="A651" i="5"/>
  <c r="B651" i="5"/>
  <c r="A652" i="5"/>
  <c r="B652" i="5"/>
  <c r="A653" i="5"/>
  <c r="B653" i="5"/>
  <c r="A654" i="5"/>
  <c r="B654" i="5"/>
  <c r="A655" i="5"/>
  <c r="B655" i="5"/>
  <c r="A656" i="5"/>
  <c r="B656" i="5"/>
  <c r="A657" i="5"/>
  <c r="B657" i="5"/>
  <c r="A658" i="5"/>
  <c r="B658" i="5"/>
  <c r="A659" i="5"/>
  <c r="B659" i="5"/>
  <c r="A660" i="5"/>
  <c r="B660" i="5"/>
  <c r="A661" i="5"/>
  <c r="B661" i="5"/>
  <c r="A662" i="5"/>
  <c r="B662" i="5"/>
  <c r="A663" i="5"/>
  <c r="B663" i="5"/>
  <c r="A664" i="5"/>
  <c r="B664" i="5"/>
  <c r="A665" i="5"/>
  <c r="B665" i="5"/>
  <c r="A666" i="5"/>
  <c r="B666" i="5"/>
  <c r="A667" i="5"/>
  <c r="B667" i="5"/>
  <c r="A668" i="5"/>
  <c r="B668" i="5"/>
  <c r="A669" i="5"/>
  <c r="B669" i="5"/>
  <c r="A670" i="5"/>
  <c r="B670" i="5"/>
  <c r="A671" i="5"/>
  <c r="B671" i="5"/>
  <c r="A672" i="5"/>
  <c r="B672" i="5"/>
  <c r="A673" i="5"/>
  <c r="B673" i="5"/>
  <c r="A674" i="5"/>
  <c r="B674" i="5"/>
  <c r="A675" i="5"/>
  <c r="B675" i="5"/>
  <c r="A676" i="5"/>
  <c r="B676" i="5"/>
  <c r="A677" i="5"/>
  <c r="B677" i="5"/>
  <c r="A678" i="5"/>
  <c r="B678" i="5"/>
  <c r="A679" i="5"/>
  <c r="B679" i="5"/>
  <c r="A680" i="5"/>
  <c r="B680" i="5"/>
  <c r="A681" i="5"/>
  <c r="B681" i="5"/>
  <c r="A682" i="5"/>
  <c r="B682" i="5"/>
  <c r="A683" i="5"/>
  <c r="B683" i="5"/>
  <c r="A684" i="5"/>
  <c r="B684" i="5"/>
  <c r="A685" i="5"/>
  <c r="B685" i="5"/>
  <c r="A686" i="5"/>
  <c r="B686" i="5"/>
  <c r="A687" i="5"/>
  <c r="B687" i="5"/>
  <c r="A688" i="5"/>
  <c r="B688" i="5"/>
  <c r="A689" i="5"/>
  <c r="B689" i="5"/>
  <c r="A690" i="5"/>
  <c r="B690" i="5"/>
  <c r="A691" i="5"/>
  <c r="B691" i="5"/>
  <c r="A692" i="5"/>
  <c r="B692" i="5"/>
  <c r="A693" i="5"/>
  <c r="B693" i="5"/>
  <c r="A694" i="5"/>
  <c r="B694" i="5"/>
  <c r="A695" i="5"/>
  <c r="B695" i="5"/>
  <c r="A696" i="5"/>
  <c r="B696" i="5"/>
  <c r="A697" i="5"/>
  <c r="B697" i="5"/>
  <c r="A698" i="5"/>
  <c r="B698" i="5"/>
  <c r="A699" i="5"/>
  <c r="B699" i="5"/>
  <c r="A700" i="5"/>
  <c r="B700" i="5"/>
  <c r="A701" i="5"/>
  <c r="B701" i="5"/>
  <c r="A702" i="5"/>
  <c r="B702" i="5"/>
  <c r="A703" i="5"/>
  <c r="B703" i="5"/>
  <c r="A704" i="5"/>
  <c r="B704" i="5"/>
  <c r="A705" i="5"/>
  <c r="B705" i="5"/>
  <c r="A706" i="5"/>
  <c r="B706" i="5"/>
  <c r="A707" i="5"/>
  <c r="B707" i="5"/>
  <c r="A708" i="5"/>
  <c r="B708" i="5"/>
  <c r="A709" i="5"/>
  <c r="B709" i="5"/>
  <c r="A710" i="5"/>
  <c r="B710" i="5"/>
  <c r="A711" i="5"/>
  <c r="B711" i="5"/>
  <c r="A712" i="5"/>
  <c r="B712" i="5"/>
  <c r="A713" i="5"/>
  <c r="B713" i="5"/>
  <c r="A714" i="5"/>
  <c r="B714" i="5"/>
  <c r="A715" i="5"/>
  <c r="B715" i="5"/>
  <c r="A716" i="5"/>
  <c r="B716" i="5"/>
  <c r="A717" i="5"/>
  <c r="B717" i="5"/>
  <c r="A718" i="5"/>
  <c r="B718" i="5"/>
  <c r="A719" i="5"/>
  <c r="B719" i="5"/>
  <c r="A720" i="5"/>
  <c r="B720" i="5"/>
  <c r="A721" i="5"/>
  <c r="B721" i="5"/>
  <c r="A722" i="5"/>
  <c r="B722" i="5"/>
  <c r="A723" i="5"/>
  <c r="B723" i="5"/>
  <c r="A724" i="5"/>
  <c r="B724" i="5"/>
  <c r="A725" i="5"/>
  <c r="B725" i="5"/>
  <c r="A726" i="5"/>
  <c r="B726" i="5"/>
  <c r="A727" i="5"/>
  <c r="B727" i="5"/>
  <c r="A728" i="5"/>
  <c r="B728" i="5"/>
  <c r="A729" i="5"/>
  <c r="B729" i="5"/>
  <c r="A730" i="5"/>
  <c r="B730" i="5"/>
  <c r="A731" i="5"/>
  <c r="B731" i="5"/>
  <c r="A732" i="5"/>
  <c r="B732" i="5"/>
  <c r="A733" i="5"/>
  <c r="B733" i="5"/>
  <c r="A734" i="5"/>
  <c r="B734" i="5"/>
  <c r="A735" i="5"/>
  <c r="B735" i="5"/>
  <c r="A736" i="5"/>
  <c r="B736" i="5"/>
  <c r="A737" i="5"/>
  <c r="B737" i="5"/>
  <c r="A738" i="5"/>
  <c r="B738" i="5"/>
  <c r="A739" i="5"/>
  <c r="B739" i="5"/>
  <c r="A740" i="5"/>
  <c r="B740" i="5"/>
  <c r="A741" i="5"/>
  <c r="B741" i="5"/>
  <c r="A742" i="5"/>
  <c r="B742" i="5"/>
  <c r="A743" i="5"/>
  <c r="B743" i="5"/>
  <c r="A744" i="5"/>
  <c r="B744" i="5"/>
  <c r="A745" i="5"/>
  <c r="B745" i="5"/>
  <c r="A746" i="5"/>
  <c r="B746" i="5"/>
  <c r="A747" i="5"/>
  <c r="B747" i="5"/>
  <c r="A748" i="5"/>
  <c r="B748" i="5"/>
  <c r="A749" i="5"/>
  <c r="B749" i="5"/>
  <c r="A750" i="5"/>
  <c r="B750" i="5"/>
  <c r="A751" i="5"/>
  <c r="B751" i="5"/>
  <c r="A752" i="5"/>
  <c r="B752" i="5"/>
  <c r="A753" i="5"/>
  <c r="B753" i="5"/>
  <c r="A754" i="5"/>
  <c r="B754" i="5"/>
  <c r="A755" i="5"/>
  <c r="B755" i="5"/>
  <c r="A756" i="5"/>
  <c r="B756" i="5"/>
  <c r="A757" i="5"/>
  <c r="B757" i="5"/>
  <c r="A758" i="5"/>
  <c r="B758" i="5"/>
  <c r="A759" i="5"/>
  <c r="B759" i="5"/>
  <c r="A760" i="5"/>
  <c r="B760" i="5"/>
  <c r="A761" i="5"/>
  <c r="B761" i="5"/>
  <c r="A762" i="5"/>
  <c r="B762" i="5"/>
  <c r="A763" i="5"/>
  <c r="B763" i="5"/>
  <c r="A764" i="5"/>
  <c r="B764" i="5"/>
  <c r="A765" i="5"/>
  <c r="B765" i="5"/>
  <c r="A766" i="5"/>
  <c r="B766" i="5"/>
  <c r="A767" i="5"/>
  <c r="B767" i="5"/>
  <c r="A768" i="5"/>
  <c r="B768" i="5"/>
  <c r="A769" i="5"/>
  <c r="B769" i="5"/>
  <c r="A770" i="5"/>
  <c r="B770" i="5"/>
  <c r="A771" i="5"/>
  <c r="B771" i="5"/>
  <c r="A772" i="5"/>
  <c r="B772" i="5"/>
  <c r="A773" i="5"/>
  <c r="B773" i="5"/>
  <c r="A774" i="5"/>
  <c r="B774" i="5"/>
  <c r="A775" i="5"/>
  <c r="B775" i="5"/>
  <c r="A776" i="5"/>
  <c r="B776" i="5"/>
  <c r="A777" i="5"/>
  <c r="B777" i="5"/>
  <c r="A778" i="5"/>
  <c r="B778" i="5"/>
  <c r="A779" i="5"/>
  <c r="B779" i="5"/>
  <c r="A780" i="5"/>
  <c r="B780" i="5"/>
  <c r="A781" i="5"/>
  <c r="B781" i="5"/>
  <c r="A782" i="5"/>
  <c r="B782" i="5"/>
  <c r="A783" i="5"/>
  <c r="B783" i="5"/>
  <c r="A784" i="5"/>
  <c r="B784" i="5"/>
  <c r="A785" i="5"/>
  <c r="B785" i="5"/>
  <c r="A786" i="5"/>
  <c r="B786" i="5"/>
  <c r="A787" i="5"/>
  <c r="B787" i="5"/>
  <c r="A788" i="5"/>
  <c r="B788" i="5"/>
  <c r="A789" i="5"/>
  <c r="B789" i="5"/>
  <c r="A790" i="5"/>
  <c r="B790" i="5"/>
  <c r="A791" i="5"/>
  <c r="B791" i="5"/>
  <c r="A792" i="5"/>
  <c r="B792" i="5"/>
  <c r="A793" i="5"/>
  <c r="B793" i="5"/>
  <c r="A794" i="5"/>
  <c r="B794" i="5"/>
  <c r="A795" i="5"/>
  <c r="B795" i="5"/>
  <c r="A796" i="5"/>
  <c r="B796" i="5"/>
  <c r="A797" i="5"/>
  <c r="B797" i="5"/>
  <c r="A798" i="5"/>
  <c r="B798" i="5"/>
  <c r="A799" i="5"/>
  <c r="B799" i="5"/>
  <c r="A800" i="5"/>
  <c r="B800" i="5"/>
  <c r="A801" i="5"/>
  <c r="B801" i="5"/>
  <c r="A802" i="5"/>
  <c r="B802" i="5"/>
  <c r="A803" i="5"/>
  <c r="B803" i="5"/>
  <c r="A804" i="5"/>
  <c r="B804" i="5"/>
  <c r="A805" i="5"/>
  <c r="B805" i="5"/>
  <c r="A806" i="5"/>
  <c r="B806" i="5"/>
  <c r="A807" i="5"/>
  <c r="B807" i="5"/>
  <c r="A808" i="5"/>
  <c r="B808" i="5"/>
  <c r="A809" i="5"/>
  <c r="B809" i="5"/>
  <c r="A810" i="5"/>
  <c r="B810" i="5"/>
  <c r="A811" i="5"/>
  <c r="B811" i="5"/>
  <c r="A812" i="5"/>
  <c r="B812" i="5"/>
  <c r="A813" i="5"/>
  <c r="B813" i="5"/>
  <c r="A814" i="5"/>
  <c r="B814" i="5"/>
  <c r="A815" i="5"/>
  <c r="B815" i="5"/>
  <c r="A816" i="5"/>
  <c r="B816" i="5"/>
  <c r="A817" i="5"/>
  <c r="B817" i="5"/>
  <c r="A818" i="5"/>
  <c r="B818" i="5"/>
  <c r="A819" i="5"/>
  <c r="B819" i="5"/>
  <c r="A820" i="5"/>
  <c r="B820" i="5"/>
  <c r="A821" i="5"/>
  <c r="B821" i="5"/>
  <c r="A822" i="5"/>
  <c r="B822" i="5"/>
  <c r="A823" i="5"/>
  <c r="B823" i="5"/>
  <c r="A824" i="5"/>
  <c r="B824" i="5"/>
  <c r="A825" i="5"/>
  <c r="B825" i="5"/>
  <c r="A826" i="5"/>
  <c r="B826" i="5"/>
  <c r="A827" i="5"/>
  <c r="B827" i="5"/>
  <c r="A828" i="5"/>
  <c r="B828" i="5"/>
  <c r="A829" i="5"/>
  <c r="B829" i="5"/>
  <c r="A830" i="5"/>
  <c r="B830" i="5"/>
  <c r="A831" i="5"/>
  <c r="B831" i="5"/>
  <c r="A832" i="5"/>
  <c r="B832" i="5"/>
  <c r="A833" i="5"/>
  <c r="B833" i="5"/>
  <c r="A834" i="5"/>
  <c r="B834" i="5"/>
  <c r="A835" i="5"/>
  <c r="B835" i="5"/>
  <c r="A836" i="5"/>
  <c r="B836" i="5"/>
  <c r="A837" i="5"/>
  <c r="B837" i="5"/>
  <c r="A838" i="5"/>
  <c r="B838" i="5"/>
  <c r="A839" i="5"/>
  <c r="B839" i="5"/>
  <c r="A840" i="5"/>
  <c r="B840" i="5"/>
  <c r="A841" i="5"/>
  <c r="B841" i="5"/>
  <c r="A842" i="5"/>
  <c r="B842" i="5"/>
  <c r="A843" i="5"/>
  <c r="B843" i="5"/>
  <c r="A844" i="5"/>
  <c r="B844" i="5"/>
  <c r="A845" i="5"/>
  <c r="B845" i="5"/>
  <c r="A846" i="5"/>
  <c r="B846" i="5"/>
  <c r="A847" i="5"/>
  <c r="B847" i="5"/>
  <c r="A848" i="5"/>
  <c r="B848" i="5"/>
  <c r="A849" i="5"/>
  <c r="B849" i="5"/>
  <c r="A850" i="5"/>
  <c r="B850" i="5"/>
  <c r="A851" i="5"/>
  <c r="B851" i="5"/>
  <c r="A852" i="5"/>
  <c r="B852" i="5"/>
  <c r="A853" i="5"/>
  <c r="B853" i="5"/>
  <c r="A854" i="5"/>
  <c r="B854" i="5"/>
  <c r="A855" i="5"/>
  <c r="B855" i="5"/>
  <c r="A856" i="5"/>
  <c r="B856" i="5"/>
  <c r="A857" i="5"/>
  <c r="B857" i="5"/>
  <c r="A858" i="5"/>
  <c r="B858" i="5"/>
  <c r="A859" i="5"/>
  <c r="B859" i="5"/>
  <c r="A860" i="5"/>
  <c r="B860" i="5"/>
  <c r="A861" i="5"/>
  <c r="B861" i="5"/>
  <c r="A862" i="5"/>
  <c r="B862" i="5"/>
  <c r="A863" i="5"/>
  <c r="B863" i="5"/>
  <c r="A864" i="5"/>
  <c r="B864" i="5"/>
  <c r="A865" i="5"/>
  <c r="B865" i="5"/>
  <c r="A866" i="5"/>
  <c r="B866" i="5"/>
  <c r="A867" i="5"/>
  <c r="B867" i="5"/>
  <c r="A868" i="5"/>
  <c r="B868" i="5"/>
  <c r="A869" i="5"/>
  <c r="B869" i="5"/>
  <c r="A870" i="5"/>
  <c r="B870" i="5"/>
  <c r="A871" i="5"/>
  <c r="B871" i="5"/>
  <c r="A872" i="5"/>
  <c r="B872" i="5"/>
  <c r="A873" i="5"/>
  <c r="B873" i="5"/>
  <c r="A874" i="5"/>
  <c r="B874" i="5"/>
  <c r="A875" i="5"/>
  <c r="B875" i="5"/>
  <c r="A876" i="5"/>
  <c r="B876" i="5"/>
  <c r="A877" i="5"/>
  <c r="B877" i="5"/>
  <c r="A878" i="5"/>
  <c r="B878" i="5"/>
  <c r="A879" i="5"/>
  <c r="B879" i="5"/>
  <c r="A880" i="5"/>
  <c r="B880" i="5"/>
  <c r="A881" i="5"/>
  <c r="B881" i="5"/>
  <c r="A882" i="5"/>
  <c r="B882" i="5"/>
  <c r="A883" i="5"/>
  <c r="B883" i="5"/>
  <c r="A884" i="5"/>
  <c r="B884" i="5"/>
  <c r="A885" i="5"/>
  <c r="B885" i="5"/>
  <c r="A886" i="5"/>
  <c r="B886" i="5"/>
  <c r="A887" i="5"/>
  <c r="B887" i="5"/>
  <c r="A888" i="5"/>
  <c r="B888" i="5"/>
  <c r="A889" i="5"/>
  <c r="B889" i="5"/>
  <c r="A890" i="5"/>
  <c r="B890" i="5"/>
  <c r="A891" i="5"/>
  <c r="B891" i="5"/>
  <c r="A892" i="5"/>
  <c r="B892" i="5"/>
  <c r="A893" i="5"/>
  <c r="B893" i="5"/>
  <c r="A894" i="5"/>
  <c r="B894" i="5"/>
  <c r="A895" i="5"/>
  <c r="B895" i="5"/>
  <c r="A896" i="5"/>
  <c r="B896" i="5"/>
  <c r="A897" i="5"/>
  <c r="B897" i="5"/>
  <c r="A898" i="5"/>
  <c r="B898" i="5"/>
  <c r="A899" i="5"/>
  <c r="B899" i="5"/>
  <c r="A900" i="5"/>
  <c r="B900" i="5"/>
  <c r="A901" i="5"/>
  <c r="B901" i="5"/>
  <c r="A902" i="5"/>
  <c r="B902" i="5"/>
  <c r="A903" i="5"/>
  <c r="B903" i="5"/>
  <c r="A904" i="5"/>
  <c r="B904" i="5"/>
  <c r="A905" i="5"/>
  <c r="B905" i="5"/>
  <c r="A906" i="5"/>
  <c r="B906" i="5"/>
  <c r="A907" i="5"/>
  <c r="B907" i="5"/>
  <c r="A908" i="5"/>
  <c r="B908" i="5"/>
  <c r="A909" i="5"/>
  <c r="B909" i="5"/>
  <c r="A910" i="5"/>
  <c r="B910" i="5"/>
  <c r="A911" i="5"/>
  <c r="B911" i="5"/>
  <c r="A912" i="5"/>
  <c r="B912" i="5"/>
  <c r="A913" i="5"/>
  <c r="B913" i="5"/>
  <c r="A914" i="5"/>
  <c r="B914" i="5"/>
  <c r="A915" i="5"/>
  <c r="B915" i="5"/>
  <c r="A916" i="5"/>
  <c r="B916" i="5"/>
  <c r="A917" i="5"/>
  <c r="B917" i="5"/>
  <c r="A918" i="5"/>
  <c r="B918" i="5"/>
  <c r="A919" i="5"/>
  <c r="B919" i="5"/>
  <c r="A920" i="5"/>
  <c r="B920" i="5"/>
  <c r="A921" i="5"/>
  <c r="B921" i="5"/>
  <c r="A922" i="5"/>
  <c r="B922" i="5"/>
  <c r="A923" i="5"/>
  <c r="B923" i="5"/>
  <c r="A924" i="5"/>
  <c r="B924" i="5"/>
  <c r="A925" i="5"/>
  <c r="B925" i="5"/>
  <c r="A926" i="5"/>
  <c r="B926" i="5"/>
  <c r="A927" i="5"/>
  <c r="B927" i="5"/>
  <c r="A928" i="5"/>
  <c r="B928" i="5"/>
  <c r="A929" i="5"/>
  <c r="B929" i="5"/>
  <c r="A930" i="5"/>
  <c r="B930" i="5"/>
  <c r="A931" i="5"/>
  <c r="B931" i="5"/>
  <c r="A932" i="5"/>
  <c r="B932" i="5"/>
  <c r="A933" i="5"/>
  <c r="B933" i="5"/>
  <c r="A934" i="5"/>
  <c r="B934" i="5"/>
  <c r="A935" i="5"/>
  <c r="B935" i="5"/>
  <c r="A936" i="5"/>
  <c r="B936" i="5"/>
  <c r="A937" i="5"/>
  <c r="B937" i="5"/>
  <c r="A938" i="5"/>
  <c r="B938" i="5"/>
  <c r="A939" i="5"/>
  <c r="B939" i="5"/>
  <c r="A940" i="5"/>
  <c r="B940" i="5"/>
  <c r="A941" i="5"/>
  <c r="B941" i="5"/>
  <c r="A942" i="5"/>
  <c r="B942" i="5"/>
  <c r="A943" i="5"/>
  <c r="B943" i="5"/>
  <c r="A944" i="5"/>
  <c r="B944" i="5"/>
  <c r="A945" i="5"/>
  <c r="B945" i="5"/>
  <c r="A946" i="5"/>
  <c r="B946" i="5"/>
  <c r="A947" i="5"/>
  <c r="B947" i="5"/>
  <c r="A948" i="5"/>
  <c r="B948" i="5"/>
  <c r="A949" i="5"/>
  <c r="B949" i="5"/>
  <c r="A950" i="5"/>
  <c r="B950" i="5"/>
  <c r="A951" i="5"/>
  <c r="B951" i="5"/>
  <c r="A952" i="5"/>
  <c r="B952" i="5"/>
  <c r="A953" i="5"/>
  <c r="B953" i="5"/>
  <c r="A954" i="5"/>
  <c r="B954" i="5"/>
  <c r="A955" i="5"/>
  <c r="B955" i="5"/>
  <c r="A956" i="5"/>
  <c r="B956" i="5"/>
  <c r="A957" i="5"/>
  <c r="B957" i="5"/>
  <c r="A958" i="5"/>
  <c r="B958" i="5"/>
  <c r="A959" i="5"/>
  <c r="B959" i="5"/>
  <c r="A960" i="5"/>
  <c r="B960" i="5"/>
  <c r="A961" i="5"/>
  <c r="B961" i="5"/>
  <c r="A962" i="5"/>
  <c r="B962" i="5"/>
  <c r="A963" i="5"/>
  <c r="B963" i="5"/>
  <c r="A964" i="5"/>
  <c r="B964" i="5"/>
  <c r="A965" i="5"/>
  <c r="B965" i="5"/>
  <c r="A966" i="5"/>
  <c r="B966" i="5"/>
  <c r="A967" i="5"/>
  <c r="B967" i="5"/>
  <c r="A968" i="5"/>
  <c r="B968" i="5"/>
  <c r="A969" i="5"/>
  <c r="B969" i="5"/>
  <c r="A970" i="5"/>
  <c r="B970" i="5"/>
  <c r="A971" i="5"/>
  <c r="B971" i="5"/>
  <c r="A972" i="5"/>
  <c r="B972" i="5"/>
  <c r="A973" i="5"/>
  <c r="B973" i="5"/>
  <c r="A974" i="5"/>
  <c r="B974" i="5"/>
  <c r="A975" i="5"/>
  <c r="B975" i="5"/>
  <c r="A976" i="5"/>
  <c r="B976" i="5"/>
  <c r="A977" i="5"/>
  <c r="B977" i="5"/>
  <c r="A978" i="5"/>
  <c r="B978" i="5"/>
  <c r="A979" i="5"/>
  <c r="B979" i="5"/>
  <c r="A980" i="5"/>
  <c r="B980" i="5"/>
  <c r="A981" i="5"/>
  <c r="B981" i="5"/>
  <c r="A982" i="5"/>
  <c r="B982" i="5"/>
  <c r="A983" i="5"/>
  <c r="B983" i="5"/>
  <c r="A984" i="5"/>
  <c r="B984" i="5"/>
  <c r="A985" i="5"/>
  <c r="B985" i="5"/>
  <c r="A986" i="5"/>
  <c r="B986" i="5"/>
  <c r="A987" i="5"/>
  <c r="B987" i="5"/>
  <c r="A988" i="5"/>
  <c r="B988" i="5"/>
  <c r="A989" i="5"/>
  <c r="B989" i="5"/>
  <c r="A990" i="5"/>
  <c r="B990" i="5"/>
  <c r="A991" i="5"/>
  <c r="B991" i="5"/>
  <c r="A992" i="5"/>
  <c r="B992" i="5"/>
  <c r="A993" i="5"/>
  <c r="B993" i="5"/>
  <c r="A994" i="5"/>
  <c r="B994" i="5"/>
  <c r="A995" i="5"/>
  <c r="B995" i="5"/>
  <c r="A996" i="5"/>
  <c r="B996" i="5"/>
  <c r="A997" i="5"/>
  <c r="B997" i="5"/>
  <c r="A998" i="5"/>
  <c r="B998" i="5"/>
  <c r="A999" i="5"/>
  <c r="B999" i="5"/>
  <c r="A1000" i="5"/>
  <c r="B1000" i="5"/>
  <c r="A1001" i="5"/>
  <c r="B1001" i="5"/>
  <c r="A1002" i="5"/>
  <c r="B1002" i="5"/>
  <c r="A1003" i="5"/>
  <c r="B1003" i="5"/>
  <c r="A1004" i="5"/>
  <c r="B1004" i="5"/>
  <c r="A1005" i="5"/>
  <c r="B1005" i="5"/>
  <c r="A1006" i="5"/>
  <c r="B1006" i="5"/>
  <c r="A1007" i="5"/>
  <c r="B1007" i="5"/>
  <c r="A1008" i="5"/>
  <c r="B1008" i="5"/>
  <c r="A1009" i="5"/>
  <c r="B1009" i="5"/>
  <c r="A1010" i="5"/>
  <c r="B1010" i="5"/>
  <c r="A1011" i="5"/>
  <c r="B1011" i="5"/>
  <c r="A1012" i="5"/>
  <c r="B1012" i="5"/>
  <c r="A1013" i="5"/>
  <c r="B1013" i="5"/>
  <c r="A1014" i="5"/>
  <c r="B1014" i="5"/>
  <c r="A1015" i="5"/>
  <c r="B1015" i="5"/>
  <c r="A1016" i="5"/>
  <c r="B1016" i="5"/>
  <c r="A1017" i="5"/>
  <c r="B1017" i="5"/>
  <c r="A1018" i="5"/>
  <c r="B1018" i="5"/>
  <c r="A1019" i="5"/>
  <c r="B1019" i="5"/>
  <c r="A1020" i="5"/>
  <c r="B1020" i="5"/>
  <c r="A1021" i="5"/>
  <c r="B1021" i="5"/>
  <c r="A1022" i="5"/>
  <c r="B1022" i="5"/>
  <c r="A1023" i="5"/>
  <c r="B1023" i="5"/>
  <c r="A1024" i="5"/>
  <c r="B1024" i="5"/>
  <c r="A1025" i="5"/>
  <c r="B1025" i="5"/>
  <c r="A1026" i="5"/>
  <c r="B1026" i="5"/>
  <c r="A1027" i="5"/>
  <c r="B1027" i="5"/>
  <c r="A1028" i="5"/>
  <c r="B1028" i="5"/>
  <c r="A1029" i="5"/>
  <c r="B1029" i="5"/>
  <c r="A1030" i="5"/>
  <c r="B1030" i="5"/>
  <c r="A1031" i="5"/>
  <c r="B1031" i="5"/>
  <c r="A1032" i="5"/>
  <c r="B1032" i="5"/>
  <c r="A1033" i="5"/>
  <c r="B1033" i="5"/>
  <c r="A1034" i="5"/>
  <c r="B1034" i="5"/>
  <c r="A1035" i="5"/>
  <c r="B1035" i="5"/>
  <c r="A1036" i="5"/>
  <c r="B1036" i="5"/>
  <c r="A1037" i="5"/>
  <c r="B1037" i="5"/>
  <c r="A1038" i="5"/>
  <c r="B1038" i="5"/>
  <c r="A1039" i="5"/>
  <c r="B1039" i="5"/>
  <c r="A1040" i="5"/>
  <c r="B1040" i="5"/>
  <c r="A1041" i="5"/>
  <c r="B1041" i="5"/>
  <c r="A1042" i="5"/>
  <c r="B1042" i="5"/>
  <c r="A1043" i="5"/>
  <c r="B1043" i="5"/>
  <c r="A1044" i="5"/>
  <c r="B1044" i="5"/>
  <c r="A1045" i="5"/>
  <c r="B1045" i="5"/>
  <c r="A1046" i="5"/>
  <c r="B1046" i="5"/>
  <c r="A1047" i="5"/>
  <c r="B1047" i="5"/>
  <c r="A1048" i="5"/>
  <c r="B1048" i="5"/>
  <c r="A1049" i="5"/>
  <c r="B1049" i="5"/>
  <c r="A1050" i="5"/>
  <c r="B1050" i="5"/>
  <c r="A1051" i="5"/>
  <c r="B1051" i="5"/>
  <c r="A1052" i="5"/>
  <c r="B1052" i="5"/>
  <c r="A1053" i="5"/>
  <c r="B1053" i="5"/>
  <c r="A1054" i="5"/>
  <c r="B1054" i="5"/>
  <c r="A1055" i="5"/>
  <c r="B1055" i="5"/>
  <c r="A1056" i="5"/>
  <c r="B1056" i="5"/>
  <c r="A1057" i="5"/>
  <c r="B1057" i="5"/>
  <c r="A1058" i="5"/>
  <c r="B1058" i="5"/>
  <c r="A1059" i="5"/>
  <c r="B1059" i="5"/>
  <c r="A1060" i="5"/>
  <c r="B1060" i="5"/>
  <c r="A1061" i="5"/>
  <c r="B1061" i="5"/>
  <c r="A1062" i="5"/>
  <c r="B1062" i="5"/>
  <c r="A1063" i="5"/>
  <c r="B1063" i="5"/>
  <c r="A1064" i="5"/>
  <c r="B1064" i="5"/>
  <c r="A1065" i="5"/>
  <c r="B1065" i="5"/>
  <c r="A1066" i="5"/>
  <c r="B1066" i="5"/>
  <c r="A1067" i="5"/>
  <c r="B1067" i="5"/>
  <c r="A1068" i="5"/>
  <c r="B1068" i="5"/>
  <c r="A1069" i="5"/>
  <c r="B1069" i="5"/>
  <c r="A1070" i="5"/>
  <c r="B1070" i="5"/>
  <c r="A1071" i="5"/>
  <c r="B1071" i="5"/>
  <c r="A1072" i="5"/>
  <c r="B1072" i="5"/>
  <c r="A1073" i="5"/>
  <c r="B1073" i="5"/>
  <c r="A1074" i="5"/>
  <c r="B1074" i="5"/>
  <c r="A1075" i="5"/>
  <c r="B1075" i="5"/>
  <c r="A1076" i="5"/>
  <c r="B1076" i="5"/>
  <c r="A1077" i="5"/>
  <c r="B1077" i="5"/>
  <c r="A1078" i="5"/>
  <c r="B1078" i="5"/>
  <c r="A1079" i="5"/>
  <c r="B1079" i="5"/>
  <c r="A1080" i="5"/>
  <c r="B1080" i="5"/>
  <c r="A1081" i="5"/>
  <c r="B1081" i="5"/>
  <c r="A1082" i="5"/>
  <c r="B1082" i="5"/>
  <c r="A1083" i="5"/>
  <c r="B1083" i="5"/>
  <c r="A1084" i="5"/>
  <c r="B1084" i="5"/>
  <c r="A1085" i="5"/>
  <c r="B1085" i="5"/>
  <c r="A1086" i="5"/>
  <c r="B1086" i="5"/>
  <c r="A1087" i="5"/>
  <c r="B1087" i="5"/>
  <c r="A1088" i="5"/>
  <c r="B1088" i="5"/>
  <c r="A1089" i="5"/>
  <c r="B1089" i="5"/>
  <c r="A1090" i="5"/>
  <c r="B1090" i="5"/>
  <c r="A1091" i="5"/>
  <c r="B1091" i="5"/>
  <c r="A1092" i="5"/>
  <c r="B1092" i="5"/>
  <c r="A1093" i="5"/>
  <c r="B1093" i="5"/>
  <c r="A1094" i="5"/>
  <c r="B1094" i="5"/>
  <c r="A1095" i="5"/>
  <c r="B1095" i="5"/>
  <c r="A1096" i="5"/>
  <c r="B1096" i="5"/>
  <c r="A1097" i="5"/>
  <c r="B1097" i="5"/>
  <c r="A1098" i="5"/>
  <c r="B1098" i="5"/>
  <c r="A1099" i="5"/>
  <c r="B1099" i="5"/>
  <c r="A1100" i="5"/>
  <c r="B1100" i="5"/>
  <c r="A1101" i="5"/>
  <c r="B1101" i="5"/>
  <c r="A1102" i="5"/>
  <c r="B1102" i="5"/>
  <c r="A1103" i="5"/>
  <c r="B1103" i="5"/>
  <c r="A1104" i="5"/>
  <c r="B1104" i="5"/>
  <c r="A1105" i="5"/>
  <c r="B1105" i="5"/>
  <c r="A1106" i="5"/>
  <c r="B1106" i="5"/>
  <c r="A1107" i="5"/>
  <c r="B1107" i="5"/>
  <c r="A1108" i="5"/>
  <c r="B1108" i="5"/>
  <c r="A1109" i="5"/>
  <c r="B1109" i="5"/>
  <c r="A1110" i="5"/>
  <c r="B1110" i="5"/>
  <c r="A1111" i="5"/>
  <c r="B1111" i="5"/>
  <c r="A1112" i="5"/>
  <c r="B1112" i="5"/>
  <c r="A1113" i="5"/>
  <c r="B1113" i="5"/>
  <c r="A1114" i="5"/>
  <c r="B1114" i="5"/>
  <c r="A1115" i="5"/>
  <c r="B1115" i="5"/>
  <c r="A1116" i="5"/>
  <c r="B1116" i="5"/>
  <c r="A1117" i="5"/>
  <c r="B1117" i="5"/>
  <c r="A1118" i="5"/>
  <c r="B1118" i="5"/>
  <c r="A1119" i="5"/>
  <c r="B1119" i="5"/>
  <c r="A1120" i="5"/>
  <c r="B1120" i="5"/>
  <c r="A1121" i="5"/>
  <c r="B1121" i="5"/>
  <c r="A1122" i="5"/>
  <c r="B1122" i="5"/>
  <c r="A1123" i="5"/>
  <c r="B1123" i="5"/>
  <c r="A1124" i="5"/>
  <c r="B1124" i="5"/>
  <c r="A1125" i="5"/>
  <c r="B1125" i="5"/>
  <c r="A1126" i="5"/>
  <c r="B1126" i="5"/>
  <c r="A1127" i="5"/>
  <c r="B1127" i="5"/>
  <c r="A1128" i="5"/>
  <c r="B1128" i="5"/>
  <c r="A1129" i="5"/>
  <c r="B1129" i="5"/>
  <c r="A1130" i="5"/>
  <c r="B1130" i="5"/>
  <c r="A1131" i="5"/>
  <c r="B1131" i="5"/>
  <c r="A1132" i="5"/>
  <c r="B1132" i="5"/>
  <c r="A1133" i="5"/>
  <c r="B1133" i="5"/>
  <c r="A1134" i="5"/>
  <c r="B1134" i="5"/>
  <c r="A1135" i="5"/>
  <c r="B1135" i="5"/>
  <c r="A1136" i="5"/>
  <c r="B1136" i="5"/>
  <c r="A1137" i="5"/>
  <c r="B1137" i="5"/>
  <c r="A1138" i="5"/>
  <c r="B1138" i="5"/>
  <c r="A1139" i="5"/>
  <c r="B1139" i="5"/>
  <c r="A1140" i="5"/>
  <c r="B1140" i="5"/>
  <c r="A1141" i="5"/>
  <c r="B1141" i="5"/>
  <c r="A1142" i="5"/>
  <c r="B1142" i="5"/>
  <c r="A1143" i="5"/>
  <c r="B1143" i="5"/>
  <c r="A1144" i="5"/>
  <c r="B1144" i="5"/>
  <c r="A1145" i="5"/>
  <c r="B1145" i="5"/>
  <c r="A1146" i="5"/>
  <c r="B1146" i="5"/>
  <c r="A1147" i="5"/>
  <c r="B1147" i="5"/>
  <c r="A1148" i="5"/>
  <c r="B1148" i="5"/>
  <c r="A1149" i="5"/>
  <c r="B1149" i="5"/>
  <c r="A1150" i="5"/>
  <c r="B1150" i="5"/>
  <c r="A1151" i="5"/>
  <c r="B1151" i="5"/>
  <c r="A1152" i="5"/>
  <c r="B1152" i="5"/>
  <c r="A1153" i="5"/>
  <c r="B1153" i="5"/>
  <c r="A1154" i="5"/>
  <c r="B1154" i="5"/>
  <c r="A1155" i="5"/>
  <c r="B1155" i="5"/>
  <c r="A1156" i="5"/>
  <c r="B1156" i="5"/>
  <c r="A1157" i="5"/>
  <c r="B1157" i="5"/>
  <c r="A1158" i="5"/>
  <c r="B1158" i="5"/>
  <c r="A1159" i="5"/>
  <c r="B1159" i="5"/>
  <c r="A1160" i="5"/>
  <c r="B1160" i="5"/>
  <c r="A1161" i="5"/>
  <c r="B1161" i="5"/>
  <c r="A1162" i="5"/>
  <c r="B1162" i="5"/>
  <c r="A1163" i="5"/>
  <c r="B1163" i="5"/>
  <c r="A1164" i="5"/>
  <c r="B1164" i="5"/>
  <c r="A1165" i="5"/>
  <c r="B1165" i="5"/>
  <c r="A1166" i="5"/>
  <c r="B1166" i="5"/>
  <c r="A1167" i="5"/>
  <c r="B1167" i="5"/>
  <c r="A1168" i="5"/>
  <c r="B1168" i="5"/>
  <c r="A1169" i="5"/>
  <c r="B1169" i="5"/>
  <c r="A1170" i="5"/>
  <c r="B1170" i="5"/>
  <c r="A1171" i="5"/>
  <c r="B1171" i="5"/>
  <c r="A1172" i="5"/>
  <c r="B1172" i="5"/>
  <c r="A1173" i="5"/>
  <c r="B1173" i="5"/>
  <c r="A1174" i="5"/>
  <c r="B1174" i="5"/>
  <c r="A1175" i="5"/>
  <c r="B1175" i="5"/>
  <c r="A1176" i="5"/>
  <c r="B1176" i="5"/>
  <c r="A1177" i="5"/>
  <c r="B1177" i="5"/>
  <c r="A1178" i="5"/>
  <c r="B1178" i="5"/>
  <c r="A1179" i="5"/>
  <c r="B1179" i="5"/>
  <c r="A1180" i="5"/>
  <c r="B1180" i="5"/>
  <c r="A1181" i="5"/>
  <c r="B1181" i="5"/>
  <c r="A1182" i="5"/>
  <c r="B1182" i="5"/>
  <c r="A1183" i="5"/>
  <c r="B1183" i="5"/>
  <c r="A1184" i="5"/>
  <c r="B1184" i="5"/>
  <c r="A1185" i="5"/>
  <c r="B1185" i="5"/>
  <c r="A1186" i="5"/>
  <c r="B1186" i="5"/>
  <c r="A1187" i="5"/>
  <c r="B1187" i="5"/>
  <c r="A1188" i="5"/>
  <c r="B1188" i="5"/>
  <c r="A1189" i="5"/>
  <c r="B1189" i="5"/>
  <c r="A1190" i="5"/>
  <c r="B1190" i="5"/>
  <c r="A1191" i="5"/>
  <c r="B1191" i="5"/>
  <c r="A1192" i="5"/>
  <c r="B1192" i="5"/>
  <c r="A1193" i="5"/>
  <c r="B1193" i="5"/>
  <c r="A1194" i="5"/>
  <c r="B1194" i="5"/>
  <c r="A1195" i="5"/>
  <c r="B1195" i="5"/>
  <c r="A1196" i="5"/>
  <c r="B1196" i="5"/>
  <c r="A1197" i="5"/>
  <c r="B1197" i="5"/>
  <c r="A1198" i="5"/>
  <c r="B1198" i="5"/>
  <c r="A1199" i="5"/>
  <c r="B1199" i="5"/>
  <c r="A1200" i="5"/>
  <c r="B1200" i="5"/>
  <c r="A1201" i="5"/>
  <c r="B1201" i="5"/>
  <c r="A1202" i="5"/>
  <c r="B1202" i="5"/>
  <c r="A1203" i="5"/>
  <c r="B1203" i="5"/>
  <c r="A1204" i="5"/>
  <c r="B1204" i="5"/>
  <c r="A1205" i="5"/>
  <c r="B1205" i="5"/>
  <c r="A1206" i="5"/>
  <c r="B1206" i="5"/>
  <c r="A1207" i="5"/>
  <c r="B1207" i="5"/>
  <c r="A1208" i="5"/>
  <c r="B1208" i="5"/>
  <c r="A1209" i="5"/>
  <c r="B1209" i="5"/>
  <c r="A1210" i="5"/>
  <c r="B1210" i="5"/>
  <c r="A1211" i="5"/>
  <c r="B1211" i="5"/>
  <c r="A1212" i="5"/>
  <c r="B1212" i="5"/>
  <c r="A1213" i="5"/>
  <c r="B1213" i="5"/>
  <c r="A1214" i="5"/>
  <c r="B1214" i="5"/>
  <c r="A1215" i="5"/>
  <c r="B1215" i="5"/>
  <c r="A1216" i="5"/>
  <c r="B1216" i="5"/>
  <c r="A1217" i="5"/>
  <c r="B1217" i="5"/>
  <c r="A1218" i="5"/>
  <c r="B1218" i="5"/>
  <c r="A1219" i="5"/>
  <c r="B1219" i="5"/>
  <c r="A1220" i="5"/>
  <c r="B1220" i="5"/>
  <c r="A1221" i="5"/>
  <c r="B1221" i="5"/>
  <c r="A1222" i="5"/>
  <c r="B1222" i="5"/>
  <c r="A1223" i="5"/>
  <c r="B1223" i="5"/>
  <c r="A1224" i="5"/>
  <c r="B1224" i="5"/>
  <c r="A1225" i="5"/>
  <c r="B1225" i="5"/>
  <c r="A1226" i="5"/>
  <c r="B1226" i="5"/>
  <c r="A1227" i="5"/>
  <c r="B1227" i="5"/>
  <c r="A1228" i="5"/>
  <c r="B1228" i="5"/>
  <c r="A1229" i="5"/>
  <c r="B1229" i="5"/>
  <c r="A1230" i="5"/>
  <c r="B1230" i="5"/>
  <c r="A1231" i="5"/>
  <c r="B1231" i="5"/>
  <c r="A1232" i="5"/>
  <c r="B1232" i="5"/>
  <c r="A1233" i="5"/>
  <c r="B1233" i="5"/>
  <c r="A1234" i="5"/>
  <c r="B1234" i="5"/>
  <c r="A1235" i="5"/>
  <c r="B1235" i="5"/>
  <c r="A1236" i="5"/>
  <c r="B1236" i="5"/>
  <c r="A1237" i="5"/>
  <c r="B1237" i="5"/>
  <c r="A1238" i="5"/>
  <c r="B1238" i="5"/>
  <c r="A1239" i="5"/>
  <c r="B1239" i="5"/>
  <c r="A1240" i="5"/>
  <c r="B1240" i="5"/>
  <c r="A1241" i="5"/>
  <c r="B1241" i="5"/>
  <c r="A1242" i="5"/>
  <c r="B1242" i="5"/>
  <c r="A1243" i="5"/>
  <c r="B1243" i="5"/>
  <c r="A1244" i="5"/>
  <c r="B1244" i="5"/>
  <c r="A1245" i="5"/>
  <c r="B1245" i="5"/>
  <c r="A1246" i="5"/>
  <c r="B1246" i="5"/>
  <c r="A1247" i="5"/>
  <c r="B1247" i="5"/>
  <c r="A1248" i="5"/>
  <c r="B1248" i="5"/>
  <c r="A1249" i="5"/>
  <c r="B1249" i="5"/>
  <c r="A1250" i="5"/>
  <c r="B1250" i="5"/>
  <c r="A1251" i="5"/>
  <c r="B1251" i="5"/>
  <c r="A1252" i="5"/>
  <c r="B1252" i="5"/>
  <c r="A1253" i="5"/>
  <c r="B1253" i="5"/>
  <c r="A1254" i="5"/>
  <c r="B1254" i="5"/>
  <c r="A1255" i="5"/>
  <c r="B1255" i="5"/>
  <c r="A1256" i="5"/>
  <c r="B1256" i="5"/>
  <c r="A1257" i="5"/>
  <c r="B1257" i="5"/>
  <c r="A1258" i="5"/>
  <c r="B1258" i="5"/>
  <c r="A1259" i="5"/>
  <c r="B1259" i="5"/>
  <c r="A1260" i="5"/>
  <c r="B1260" i="5"/>
  <c r="A1261" i="5"/>
  <c r="B1261" i="5"/>
  <c r="A1262" i="5"/>
  <c r="B1262" i="5"/>
  <c r="A1263" i="5"/>
  <c r="B1263" i="5"/>
  <c r="A1264" i="5"/>
  <c r="B1264" i="5"/>
  <c r="A1265" i="5"/>
  <c r="B1265" i="5"/>
  <c r="A1266" i="5"/>
  <c r="B1266" i="5"/>
  <c r="A1267" i="5"/>
  <c r="B1267" i="5"/>
  <c r="A1268" i="5"/>
  <c r="B1268" i="5"/>
  <c r="A1269" i="5"/>
  <c r="B1269" i="5"/>
  <c r="A1270" i="5"/>
  <c r="B1270" i="5"/>
  <c r="A1271" i="5"/>
  <c r="B1271" i="5"/>
  <c r="A1272" i="5"/>
  <c r="B1272" i="5"/>
  <c r="A1273" i="5"/>
  <c r="B1273" i="5"/>
  <c r="A1274" i="5"/>
  <c r="B1274" i="5"/>
  <c r="A1275" i="5"/>
  <c r="B1275" i="5"/>
  <c r="A1276" i="5"/>
  <c r="B1276" i="5"/>
  <c r="A1277" i="5"/>
  <c r="B1277" i="5"/>
  <c r="A1278" i="5"/>
  <c r="B1278" i="5"/>
  <c r="A1279" i="5"/>
  <c r="B1279" i="5"/>
  <c r="A1280" i="5"/>
  <c r="B1280" i="5"/>
  <c r="A1281" i="5"/>
  <c r="B1281" i="5"/>
  <c r="A1282" i="5"/>
  <c r="B1282" i="5"/>
  <c r="A1283" i="5"/>
  <c r="B1283" i="5"/>
  <c r="A1284" i="5"/>
  <c r="B1284" i="5"/>
  <c r="A1285" i="5"/>
  <c r="B1285" i="5"/>
  <c r="A1286" i="5"/>
  <c r="B1286" i="5"/>
  <c r="A1287" i="5"/>
  <c r="B1287" i="5"/>
  <c r="A1288" i="5"/>
  <c r="B1288" i="5"/>
  <c r="A1289" i="5"/>
  <c r="B1289" i="5"/>
  <c r="A1290" i="5"/>
  <c r="B1290" i="5"/>
  <c r="A1291" i="5"/>
  <c r="B1291" i="5"/>
  <c r="A1292" i="5"/>
  <c r="B1292" i="5"/>
  <c r="A1293" i="5"/>
  <c r="B1293" i="5"/>
  <c r="A1294" i="5"/>
  <c r="B1294" i="5"/>
  <c r="A1295" i="5"/>
  <c r="B1295" i="5"/>
  <c r="A1296" i="5"/>
  <c r="B1296" i="5"/>
  <c r="A1297" i="5"/>
  <c r="B1297" i="5"/>
  <c r="A1298" i="5"/>
  <c r="B1298" i="5"/>
  <c r="A1299" i="5"/>
  <c r="B1299" i="5"/>
  <c r="A1300" i="5"/>
  <c r="B1300" i="5"/>
  <c r="A1301" i="5"/>
  <c r="B1301" i="5"/>
  <c r="A1302" i="5"/>
  <c r="B1302" i="5"/>
  <c r="A1303" i="5"/>
  <c r="B1303" i="5"/>
  <c r="A1304" i="5"/>
  <c r="B1304" i="5"/>
  <c r="A1305" i="5"/>
  <c r="B1305" i="5"/>
  <c r="A1306" i="5"/>
  <c r="B1306" i="5"/>
  <c r="A1307" i="5"/>
  <c r="B1307" i="5"/>
  <c r="A1308" i="5"/>
  <c r="B1308" i="5"/>
  <c r="A1309" i="5"/>
  <c r="B1309" i="5"/>
  <c r="A1310" i="5"/>
  <c r="B1310" i="5"/>
  <c r="A1311" i="5"/>
  <c r="B1311" i="5"/>
  <c r="A1312" i="5"/>
  <c r="B1312" i="5"/>
  <c r="A1313" i="5"/>
  <c r="B1313" i="5"/>
  <c r="A1314" i="5"/>
  <c r="B1314" i="5"/>
  <c r="A1315" i="5"/>
  <c r="B1315" i="5"/>
  <c r="A1316" i="5"/>
  <c r="B1316" i="5"/>
  <c r="A1317" i="5"/>
  <c r="B1317" i="5"/>
  <c r="A1318" i="5"/>
  <c r="B1318" i="5"/>
  <c r="A1319" i="5"/>
  <c r="B1319" i="5"/>
  <c r="A1320" i="5"/>
  <c r="B1320" i="5"/>
  <c r="A1321" i="5"/>
  <c r="B1321" i="5"/>
  <c r="A1322" i="5"/>
  <c r="B1322" i="5"/>
  <c r="A1323" i="5"/>
  <c r="B1323" i="5"/>
  <c r="A1324" i="5"/>
  <c r="B1324" i="5"/>
  <c r="A1325" i="5"/>
  <c r="B1325" i="5"/>
  <c r="A1326" i="5"/>
  <c r="B1326" i="5"/>
  <c r="A1327" i="5"/>
  <c r="B1327" i="5"/>
  <c r="A1328" i="5"/>
  <c r="B1328" i="5"/>
  <c r="A1329" i="5"/>
  <c r="B1329" i="5"/>
  <c r="A1330" i="5"/>
  <c r="B1330" i="5"/>
  <c r="A1331" i="5"/>
  <c r="B1331" i="5"/>
  <c r="A1332" i="5"/>
  <c r="B1332" i="5"/>
  <c r="A1333" i="5"/>
  <c r="B1333" i="5"/>
  <c r="A1334" i="5"/>
  <c r="B1334" i="5"/>
  <c r="A1335" i="5"/>
  <c r="B1335" i="5"/>
  <c r="A1336" i="5"/>
  <c r="B1336" i="5"/>
  <c r="A1337" i="5"/>
  <c r="B1337" i="5"/>
  <c r="A1338" i="5"/>
  <c r="B1338" i="5"/>
  <c r="A1339" i="5"/>
  <c r="B1339" i="5"/>
  <c r="A1340" i="5"/>
  <c r="B1340" i="5"/>
  <c r="A1341" i="5"/>
  <c r="B1341" i="5"/>
  <c r="A1342" i="5"/>
  <c r="B1342" i="5"/>
  <c r="A1343" i="5"/>
  <c r="B1343" i="5"/>
  <c r="A1344" i="5"/>
  <c r="B1344" i="5"/>
  <c r="A1345" i="5"/>
  <c r="B1345" i="5"/>
  <c r="A1346" i="5"/>
  <c r="B1346" i="5"/>
  <c r="A1347" i="5"/>
  <c r="B1347" i="5"/>
  <c r="A1348" i="5"/>
  <c r="B1348" i="5"/>
  <c r="A1349" i="5"/>
  <c r="B1349" i="5"/>
  <c r="A1350" i="5"/>
  <c r="B1350" i="5"/>
  <c r="A1351" i="5"/>
  <c r="B1351" i="5"/>
  <c r="A1352" i="5"/>
  <c r="B1352" i="5"/>
  <c r="A1353" i="5"/>
  <c r="B1353" i="5"/>
  <c r="A1354" i="5"/>
  <c r="B1354" i="5"/>
  <c r="A1355" i="5"/>
  <c r="B1355" i="5"/>
  <c r="A1356" i="5"/>
  <c r="B1356" i="5"/>
  <c r="A1357" i="5"/>
  <c r="B1357" i="5"/>
  <c r="A1358" i="5"/>
  <c r="B1358" i="5"/>
  <c r="A1359" i="5"/>
  <c r="B1359" i="5"/>
  <c r="A1360" i="5"/>
  <c r="B1360" i="5"/>
  <c r="A1361" i="5"/>
  <c r="B1361" i="5"/>
  <c r="A1362" i="5"/>
  <c r="B1362" i="5"/>
  <c r="A1363" i="5"/>
  <c r="B1363" i="5"/>
  <c r="A1364" i="5"/>
  <c r="B1364" i="5"/>
  <c r="A1365" i="5"/>
  <c r="B1365" i="5"/>
  <c r="A1366" i="5"/>
  <c r="B1366" i="5"/>
  <c r="A1367" i="5"/>
  <c r="B1367" i="5"/>
  <c r="A1368" i="5"/>
  <c r="B1368" i="5"/>
  <c r="A1369" i="5"/>
  <c r="B1369" i="5"/>
  <c r="A1370" i="5"/>
  <c r="B1370" i="5"/>
  <c r="A1371" i="5"/>
  <c r="B1371" i="5"/>
  <c r="A1372" i="5"/>
  <c r="B1372" i="5"/>
  <c r="A1373" i="5"/>
  <c r="B1373" i="5"/>
  <c r="A1374" i="5"/>
  <c r="B1374" i="5"/>
  <c r="A1375" i="5"/>
  <c r="B1375" i="5"/>
  <c r="A1376" i="5"/>
  <c r="B1376" i="5"/>
  <c r="A1377" i="5"/>
  <c r="B1377" i="5"/>
  <c r="A1378" i="5"/>
  <c r="B1378" i="5"/>
  <c r="A1379" i="5"/>
  <c r="B1379" i="5"/>
  <c r="A1380" i="5"/>
  <c r="B1380" i="5"/>
  <c r="A1381" i="5"/>
  <c r="B1381" i="5"/>
  <c r="A1382" i="5"/>
  <c r="B1382" i="5"/>
  <c r="A1383" i="5"/>
  <c r="B1383" i="5"/>
  <c r="A1384" i="5"/>
  <c r="B1384" i="5"/>
  <c r="A1385" i="5"/>
  <c r="B1385" i="5"/>
  <c r="A1386" i="5"/>
  <c r="B1386" i="5"/>
  <c r="A1387" i="5"/>
  <c r="B1387" i="5"/>
  <c r="A1388" i="5"/>
  <c r="B1388" i="5"/>
  <c r="A1389" i="5"/>
  <c r="B1389" i="5"/>
  <c r="A1390" i="5"/>
  <c r="B1390" i="5"/>
  <c r="A1391" i="5"/>
  <c r="B1391" i="5"/>
  <c r="A1392" i="5"/>
  <c r="B1392" i="5"/>
  <c r="A1393" i="5"/>
  <c r="B1393" i="5"/>
  <c r="A1394" i="5"/>
  <c r="B1394" i="5"/>
  <c r="A1395" i="5"/>
  <c r="B1395" i="5"/>
  <c r="A1396" i="5"/>
  <c r="B1396" i="5"/>
  <c r="A1397" i="5"/>
  <c r="B1397" i="5"/>
  <c r="A1398" i="5"/>
  <c r="B1398" i="5"/>
  <c r="A1399" i="5"/>
  <c r="B1399" i="5"/>
  <c r="A1400" i="5"/>
  <c r="B1400" i="5"/>
  <c r="A1401" i="5"/>
  <c r="B1401" i="5"/>
  <c r="A1402" i="5"/>
  <c r="B1402" i="5"/>
  <c r="A1403" i="5"/>
  <c r="B1403" i="5"/>
  <c r="A1404" i="5"/>
  <c r="B1404" i="5"/>
  <c r="A1405" i="5"/>
  <c r="B1405" i="5"/>
  <c r="A1406" i="5"/>
  <c r="B1406" i="5"/>
  <c r="A1407" i="5"/>
  <c r="B1407" i="5"/>
  <c r="A1408" i="5"/>
  <c r="B1408" i="5"/>
  <c r="A1409" i="5"/>
  <c r="B1409" i="5"/>
  <c r="A1410" i="5"/>
  <c r="B1410" i="5"/>
  <c r="A1411" i="5"/>
  <c r="B1411" i="5"/>
  <c r="A1412" i="5"/>
  <c r="B1412" i="5"/>
  <c r="A1413" i="5"/>
  <c r="B1413" i="5"/>
  <c r="A1414" i="5"/>
  <c r="B1414" i="5"/>
  <c r="A1415" i="5"/>
  <c r="B1415" i="5"/>
  <c r="A1416" i="5"/>
  <c r="B1416" i="5"/>
  <c r="A1417" i="5"/>
  <c r="B1417" i="5"/>
  <c r="A1418" i="5"/>
  <c r="B1418" i="5"/>
  <c r="A1419" i="5"/>
  <c r="B1419" i="5"/>
  <c r="A1420" i="5"/>
  <c r="B1420" i="5"/>
  <c r="A1421" i="5"/>
  <c r="B1421" i="5"/>
  <c r="A1422" i="5"/>
  <c r="B1422" i="5"/>
  <c r="A1423" i="5"/>
  <c r="B1423" i="5"/>
  <c r="A1424" i="5"/>
  <c r="B1424" i="5"/>
  <c r="A1425" i="5"/>
  <c r="B1425" i="5"/>
  <c r="A1426" i="5"/>
  <c r="B1426" i="5"/>
  <c r="A1427" i="5"/>
  <c r="B1427" i="5"/>
  <c r="A1428" i="5"/>
  <c r="B1428" i="5"/>
  <c r="A1429" i="5"/>
  <c r="B1429" i="5"/>
  <c r="A1430" i="5"/>
  <c r="B1430" i="5"/>
  <c r="A1431" i="5"/>
  <c r="B1431" i="5"/>
  <c r="A1432" i="5"/>
  <c r="B1432" i="5"/>
  <c r="A1433" i="5"/>
  <c r="B1433" i="5"/>
  <c r="A1434" i="5"/>
  <c r="B1434" i="5"/>
  <c r="A1435" i="5"/>
  <c r="B1435" i="5"/>
  <c r="A1436" i="5"/>
  <c r="B1436" i="5"/>
  <c r="A1437" i="5"/>
  <c r="B1437" i="5"/>
  <c r="A1438" i="5"/>
  <c r="B1438" i="5"/>
  <c r="A1439" i="5"/>
  <c r="B1439" i="5"/>
  <c r="A1440" i="5"/>
  <c r="B1440" i="5"/>
  <c r="A1441" i="5"/>
  <c r="B1441" i="5"/>
  <c r="A1442" i="5"/>
  <c r="B1442" i="5"/>
  <c r="A1443" i="5"/>
  <c r="B1443" i="5"/>
  <c r="A1444" i="5"/>
  <c r="B1444" i="5"/>
  <c r="A1445" i="5"/>
  <c r="B1445" i="5"/>
  <c r="A1446" i="5"/>
  <c r="B1446" i="5"/>
  <c r="A1447" i="5"/>
  <c r="B1447" i="5"/>
  <c r="A1448" i="5"/>
  <c r="B1448" i="5"/>
  <c r="A1449" i="5"/>
  <c r="B1449" i="5"/>
  <c r="A1450" i="5"/>
  <c r="B1450" i="5"/>
  <c r="A1451" i="5"/>
  <c r="B1451" i="5"/>
  <c r="A1452" i="5"/>
  <c r="B1452" i="5"/>
  <c r="A1453" i="5"/>
  <c r="B1453" i="5"/>
  <c r="A1454" i="5"/>
  <c r="B1454" i="5"/>
  <c r="A1455" i="5"/>
  <c r="B1455" i="5"/>
  <c r="A1456" i="5"/>
  <c r="B1456" i="5"/>
  <c r="A1457" i="5"/>
  <c r="B1457" i="5"/>
  <c r="A1458" i="5"/>
  <c r="B1458" i="5"/>
  <c r="A1459" i="5"/>
  <c r="B1459" i="5"/>
  <c r="A1460" i="5"/>
  <c r="B1460" i="5"/>
  <c r="A1461" i="5"/>
  <c r="B1461" i="5"/>
  <c r="A1462" i="5"/>
  <c r="B1462" i="5"/>
  <c r="A1463" i="5"/>
  <c r="B1463" i="5"/>
  <c r="A1464" i="5"/>
  <c r="B1464" i="5"/>
  <c r="A1465" i="5"/>
  <c r="B1465" i="5"/>
  <c r="A1466" i="5"/>
  <c r="B1466" i="5"/>
  <c r="A1467" i="5"/>
  <c r="B1467" i="5"/>
  <c r="A1468" i="5"/>
  <c r="B1468" i="5"/>
  <c r="A1469" i="5"/>
  <c r="B1469" i="5"/>
  <c r="A1470" i="5"/>
  <c r="B1470" i="5"/>
  <c r="A1471" i="5"/>
  <c r="B1471" i="5"/>
  <c r="A1472" i="5"/>
  <c r="B1472" i="5"/>
  <c r="A1473" i="5"/>
  <c r="B1473" i="5"/>
  <c r="A1474" i="5"/>
  <c r="B1474" i="5"/>
  <c r="A1475" i="5"/>
  <c r="B1475" i="5"/>
  <c r="A1476" i="5"/>
  <c r="B1476" i="5"/>
  <c r="A1477" i="5"/>
  <c r="B1477" i="5"/>
  <c r="A1478" i="5"/>
  <c r="B1478" i="5"/>
  <c r="A1479" i="5"/>
  <c r="B1479" i="5"/>
  <c r="A1480" i="5"/>
  <c r="B1480" i="5"/>
  <c r="A1481" i="5"/>
  <c r="B1481" i="5"/>
  <c r="A1482" i="5"/>
  <c r="B1482" i="5"/>
  <c r="A1483" i="5"/>
  <c r="B1483" i="5"/>
  <c r="A1484" i="5"/>
  <c r="B1484" i="5"/>
  <c r="A1485" i="5"/>
  <c r="B1485" i="5"/>
  <c r="A1486" i="5"/>
  <c r="B1486" i="5"/>
  <c r="A1487" i="5"/>
  <c r="B1487" i="5"/>
  <c r="A1488" i="5"/>
  <c r="B1488" i="5"/>
  <c r="A1489" i="5"/>
  <c r="B1489" i="5"/>
  <c r="A1490" i="5"/>
  <c r="B1490" i="5"/>
  <c r="A1491" i="5"/>
  <c r="B1491" i="5"/>
  <c r="A1492" i="5"/>
  <c r="B1492" i="5"/>
  <c r="A1493" i="5"/>
  <c r="B1493" i="5"/>
  <c r="A1494" i="5"/>
  <c r="B1494" i="5"/>
  <c r="A1495" i="5"/>
  <c r="B1495" i="5"/>
  <c r="A1496" i="5"/>
  <c r="B1496" i="5"/>
  <c r="A1497" i="5"/>
  <c r="B1497" i="5"/>
  <c r="A1498" i="5"/>
  <c r="B1498" i="5"/>
  <c r="A1499" i="5"/>
  <c r="B1499" i="5"/>
  <c r="A1500" i="5"/>
  <c r="B1500" i="5"/>
  <c r="A1501" i="5"/>
  <c r="B1501" i="5"/>
  <c r="A1502" i="5"/>
  <c r="B1502" i="5"/>
  <c r="A1503" i="5"/>
  <c r="B1503" i="5"/>
  <c r="A1504" i="5"/>
  <c r="B1504" i="5"/>
  <c r="A1505" i="5"/>
  <c r="B1505" i="5"/>
  <c r="A1506" i="5"/>
  <c r="B1506" i="5"/>
  <c r="A1507" i="5"/>
  <c r="B1507" i="5"/>
  <c r="A1508" i="5"/>
  <c r="B1508" i="5"/>
  <c r="A1509" i="5"/>
  <c r="B1509" i="5"/>
  <c r="A1510" i="5"/>
  <c r="B1510" i="5"/>
  <c r="A1511" i="5"/>
  <c r="B1511" i="5"/>
  <c r="A1512" i="5"/>
  <c r="B1512" i="5"/>
  <c r="A1513" i="5"/>
  <c r="B1513" i="5"/>
  <c r="A1514" i="5"/>
  <c r="B1514" i="5"/>
  <c r="A1515" i="5"/>
  <c r="B1515" i="5"/>
  <c r="A1516" i="5"/>
  <c r="B1516" i="5"/>
  <c r="A1517" i="5"/>
  <c r="B1517" i="5"/>
  <c r="A1518" i="5"/>
  <c r="B1518" i="5"/>
  <c r="A1519" i="5"/>
  <c r="B1519" i="5"/>
  <c r="A1520" i="5"/>
  <c r="B1520" i="5"/>
  <c r="A1521" i="5"/>
  <c r="B1521" i="5"/>
  <c r="A1522" i="5"/>
  <c r="B1522" i="5"/>
  <c r="A1523" i="5"/>
  <c r="B1523" i="5"/>
  <c r="A1524" i="5"/>
  <c r="B1524" i="5"/>
  <c r="A1525" i="5"/>
  <c r="B1525" i="5"/>
  <c r="A1526" i="5"/>
  <c r="B1526" i="5"/>
  <c r="A1527" i="5"/>
  <c r="B1527" i="5"/>
  <c r="A1528" i="5"/>
  <c r="B1528" i="5"/>
  <c r="A1529" i="5"/>
  <c r="B1529" i="5"/>
  <c r="A1530" i="5"/>
  <c r="B1530" i="5"/>
  <c r="A1531" i="5"/>
  <c r="B1531" i="5"/>
  <c r="A1532" i="5"/>
  <c r="B1532" i="5"/>
  <c r="A1533" i="5"/>
  <c r="B1533" i="5"/>
  <c r="A1534" i="5"/>
  <c r="B1534" i="5"/>
  <c r="A1535" i="5"/>
  <c r="B1535" i="5"/>
  <c r="A1536" i="5"/>
  <c r="B1536" i="5"/>
  <c r="A1537" i="5"/>
  <c r="B1537" i="5"/>
  <c r="A1538" i="5"/>
  <c r="B1538" i="5"/>
  <c r="A1539" i="5"/>
  <c r="B1539" i="5"/>
  <c r="A1540" i="5"/>
  <c r="B1540" i="5"/>
  <c r="A1541" i="5"/>
  <c r="B1541" i="5"/>
  <c r="A1542" i="5"/>
  <c r="B1542" i="5"/>
  <c r="A1543" i="5"/>
  <c r="B1543" i="5"/>
  <c r="A1544" i="5"/>
  <c r="B1544" i="5"/>
  <c r="A1545" i="5"/>
  <c r="B1545" i="5"/>
  <c r="A1546" i="5"/>
  <c r="B1546" i="5"/>
  <c r="A1547" i="5"/>
  <c r="B1547" i="5"/>
  <c r="A1548" i="5"/>
  <c r="B1548" i="5"/>
  <c r="A1549" i="5"/>
  <c r="B1549" i="5"/>
  <c r="A1550" i="5"/>
  <c r="B1550" i="5"/>
  <c r="A1551" i="5"/>
  <c r="B1551" i="5"/>
  <c r="A1552" i="5"/>
  <c r="B1552" i="5"/>
  <c r="A1553" i="5"/>
  <c r="B1553" i="5"/>
  <c r="A1554" i="5"/>
  <c r="B1554" i="5"/>
  <c r="A1555" i="5"/>
  <c r="B1555" i="5"/>
  <c r="A1556" i="5"/>
  <c r="B1556" i="5"/>
  <c r="A1557" i="5"/>
  <c r="B1557" i="5"/>
  <c r="A1558" i="5"/>
  <c r="B1558" i="5"/>
  <c r="A1559" i="5"/>
  <c r="B1559" i="5"/>
  <c r="A1560" i="5"/>
  <c r="B1560" i="5"/>
  <c r="A1561" i="5"/>
  <c r="B1561" i="5"/>
  <c r="A1562" i="5"/>
  <c r="B1562" i="5"/>
  <c r="A1563" i="5"/>
  <c r="B1563" i="5"/>
  <c r="A1564" i="5"/>
  <c r="B1564" i="5"/>
  <c r="A1565" i="5"/>
  <c r="B1565" i="5"/>
  <c r="A1566" i="5"/>
  <c r="B1566" i="5"/>
  <c r="A1567" i="5"/>
  <c r="B1567" i="5"/>
  <c r="A1568" i="5"/>
  <c r="B1568" i="5"/>
  <c r="A1569" i="5"/>
  <c r="B1569" i="5"/>
  <c r="A1570" i="5"/>
  <c r="B1570" i="5"/>
  <c r="A1571" i="5"/>
  <c r="B1571" i="5"/>
  <c r="A1572" i="5"/>
  <c r="B1572" i="5"/>
  <c r="A1573" i="5"/>
  <c r="B1573" i="5"/>
  <c r="A1574" i="5"/>
  <c r="B1574" i="5"/>
  <c r="A1575" i="5"/>
  <c r="B1575" i="5"/>
  <c r="A1576" i="5"/>
  <c r="B1576" i="5"/>
  <c r="A1577" i="5"/>
  <c r="B1577" i="5"/>
  <c r="A1578" i="5"/>
  <c r="B1578" i="5"/>
  <c r="A1579" i="5"/>
  <c r="B1579" i="5"/>
  <c r="A1580" i="5"/>
  <c r="B1580" i="5"/>
  <c r="A1581" i="5"/>
  <c r="B1581" i="5"/>
  <c r="A1582" i="5"/>
  <c r="B1582" i="5"/>
  <c r="A1583" i="5"/>
  <c r="B1583" i="5"/>
  <c r="A1584" i="5"/>
  <c r="B1584" i="5"/>
  <c r="A1585" i="5"/>
  <c r="B1585" i="5"/>
  <c r="A1586" i="5"/>
  <c r="B1586" i="5"/>
  <c r="A1587" i="5"/>
  <c r="B1587" i="5"/>
  <c r="A1588" i="5"/>
  <c r="B1588" i="5"/>
  <c r="A1589" i="5"/>
  <c r="B1589" i="5"/>
  <c r="A1590" i="5"/>
  <c r="B1590" i="5"/>
  <c r="A1591" i="5"/>
  <c r="B1591" i="5"/>
  <c r="A1592" i="5"/>
  <c r="B1592" i="5"/>
  <c r="A1593" i="5"/>
  <c r="B1593" i="5"/>
  <c r="A1594" i="5"/>
  <c r="B1594" i="5"/>
  <c r="A1595" i="5"/>
  <c r="B1595" i="5"/>
  <c r="A1596" i="5"/>
  <c r="B1596" i="5"/>
  <c r="A1597" i="5"/>
  <c r="B1597" i="5"/>
  <c r="A1598" i="5"/>
  <c r="B1598" i="5"/>
  <c r="A1599" i="5"/>
  <c r="B1599" i="5"/>
  <c r="A1600" i="5"/>
  <c r="B1600" i="5"/>
  <c r="A1601" i="5"/>
  <c r="B1601" i="5"/>
  <c r="A1602" i="5"/>
  <c r="B1602" i="5"/>
  <c r="A1603" i="5"/>
  <c r="B1603" i="5"/>
  <c r="A1604" i="5"/>
  <c r="B1604" i="5"/>
  <c r="A1605" i="5"/>
  <c r="B1605" i="5"/>
  <c r="A1606" i="5"/>
  <c r="B1606" i="5"/>
  <c r="A1607" i="5"/>
  <c r="B1607" i="5"/>
  <c r="A1608" i="5"/>
  <c r="B1608" i="5"/>
  <c r="A1609" i="5"/>
  <c r="B1609" i="5"/>
  <c r="A1610" i="5"/>
  <c r="B1610" i="5"/>
  <c r="A1611" i="5"/>
  <c r="B1611" i="5"/>
  <c r="A1612" i="5"/>
  <c r="B1612" i="5"/>
  <c r="A1613" i="5"/>
  <c r="B1613" i="5"/>
  <c r="A1614" i="5"/>
  <c r="B1614" i="5"/>
  <c r="A1615" i="5"/>
  <c r="B1615" i="5"/>
  <c r="A1616" i="5"/>
  <c r="B1616" i="5"/>
  <c r="A1617" i="5"/>
  <c r="B1617" i="5"/>
  <c r="A1618" i="5"/>
  <c r="B1618" i="5"/>
  <c r="A1619" i="5"/>
  <c r="B1619" i="5"/>
  <c r="A1620" i="5"/>
  <c r="B1620" i="5"/>
  <c r="A1621" i="5"/>
  <c r="B1621" i="5"/>
  <c r="A1622" i="5"/>
  <c r="B1622" i="5"/>
  <c r="A1623" i="5"/>
  <c r="B1623" i="5"/>
  <c r="A1624" i="5"/>
  <c r="B1624" i="5"/>
  <c r="A1625" i="5"/>
  <c r="B1625" i="5"/>
  <c r="A1626" i="5"/>
  <c r="B1626" i="5"/>
  <c r="A1627" i="5"/>
  <c r="B1627" i="5"/>
  <c r="A1628" i="5"/>
  <c r="B1628" i="5"/>
  <c r="A1629" i="5"/>
  <c r="B1629" i="5"/>
  <c r="A1630" i="5"/>
  <c r="B1630" i="5"/>
  <c r="A1631" i="5"/>
  <c r="B1631" i="5"/>
  <c r="A1632" i="5"/>
  <c r="B1632" i="5"/>
  <c r="A1633" i="5"/>
  <c r="B1633" i="5"/>
  <c r="A1634" i="5"/>
  <c r="B1634" i="5"/>
  <c r="A1635" i="5"/>
  <c r="B1635" i="5"/>
  <c r="A1636" i="5"/>
  <c r="B1636" i="5"/>
  <c r="A1637" i="5"/>
  <c r="B1637" i="5"/>
  <c r="A1638" i="5"/>
  <c r="B1638" i="5"/>
  <c r="A1639" i="5"/>
  <c r="B1639" i="5"/>
  <c r="A1640" i="5"/>
  <c r="B1640" i="5"/>
  <c r="A1641" i="5"/>
  <c r="B1641" i="5"/>
  <c r="A1642" i="5"/>
  <c r="B1642" i="5"/>
  <c r="A1643" i="5"/>
  <c r="B1643" i="5"/>
  <c r="A1644" i="5"/>
  <c r="B1644" i="5"/>
  <c r="A1645" i="5"/>
  <c r="B1645" i="5"/>
  <c r="A1646" i="5"/>
  <c r="B1646" i="5"/>
  <c r="A1647" i="5"/>
  <c r="B1647" i="5"/>
  <c r="A1648" i="5"/>
  <c r="B1648" i="5"/>
  <c r="A1649" i="5"/>
  <c r="B1649" i="5"/>
  <c r="A1650" i="5"/>
  <c r="B1650" i="5"/>
  <c r="A1651" i="5"/>
  <c r="B1651" i="5"/>
  <c r="A1652" i="5"/>
  <c r="B1652" i="5"/>
  <c r="A1653" i="5"/>
  <c r="B1653" i="5"/>
  <c r="A1654" i="5"/>
  <c r="B1654" i="5"/>
  <c r="A1655" i="5"/>
  <c r="B1655" i="5"/>
  <c r="A1656" i="5"/>
  <c r="B1656" i="5"/>
  <c r="A1657" i="5"/>
  <c r="B1657" i="5"/>
  <c r="A1658" i="5"/>
  <c r="B1658" i="5"/>
  <c r="A1659" i="5"/>
  <c r="B1659" i="5"/>
  <c r="A1660" i="5"/>
  <c r="B1660" i="5"/>
  <c r="A1661" i="5"/>
  <c r="B1661" i="5"/>
  <c r="A1662" i="5"/>
  <c r="B1662" i="5"/>
  <c r="A1663" i="5"/>
  <c r="B1663" i="5"/>
  <c r="A1664" i="5"/>
  <c r="B1664" i="5"/>
  <c r="A1665" i="5"/>
  <c r="B1665" i="5"/>
  <c r="A1666" i="5"/>
  <c r="B1666" i="5"/>
  <c r="A1667" i="5"/>
  <c r="B1667" i="5"/>
  <c r="A1668" i="5"/>
  <c r="B1668" i="5"/>
  <c r="A1669" i="5"/>
  <c r="B1669" i="5"/>
  <c r="A1670" i="5"/>
  <c r="B1670" i="5"/>
  <c r="A1671" i="5"/>
  <c r="B1671" i="5"/>
  <c r="A1672" i="5"/>
  <c r="B1672" i="5"/>
  <c r="A1673" i="5"/>
  <c r="B1673" i="5"/>
  <c r="A1674" i="5"/>
  <c r="B1674" i="5"/>
  <c r="A1675" i="5"/>
  <c r="B1675" i="5"/>
  <c r="A1676" i="5"/>
  <c r="B1676" i="5"/>
  <c r="A1677" i="5"/>
  <c r="B1677" i="5"/>
  <c r="A1678" i="5"/>
  <c r="B1678" i="5"/>
  <c r="A1679" i="5"/>
  <c r="B1679" i="5"/>
  <c r="A1680" i="5"/>
  <c r="B1680" i="5"/>
  <c r="A1681" i="5"/>
  <c r="B1681" i="5"/>
  <c r="A1682" i="5"/>
  <c r="B1682" i="5"/>
  <c r="A1683" i="5"/>
  <c r="B1683" i="5"/>
  <c r="A1684" i="5"/>
  <c r="B1684" i="5"/>
  <c r="A1685" i="5"/>
  <c r="B1685" i="5"/>
  <c r="A1686" i="5"/>
  <c r="B1686" i="5"/>
  <c r="A1687" i="5"/>
  <c r="B1687" i="5"/>
  <c r="A1688" i="5"/>
  <c r="B1688" i="5"/>
  <c r="A1689" i="5"/>
  <c r="B1689" i="5"/>
  <c r="A1690" i="5"/>
  <c r="B1690" i="5"/>
  <c r="A1691" i="5"/>
  <c r="B1691" i="5"/>
  <c r="A1692" i="5"/>
  <c r="B1692" i="5"/>
  <c r="A1693" i="5"/>
  <c r="B1693" i="5"/>
  <c r="A1694" i="5"/>
  <c r="B1694" i="5"/>
  <c r="A1695" i="5"/>
  <c r="B1695" i="5"/>
  <c r="A1696" i="5"/>
  <c r="B1696" i="5"/>
  <c r="A1697" i="5"/>
  <c r="B1697" i="5"/>
  <c r="A1698" i="5"/>
  <c r="B1698" i="5"/>
  <c r="A1699" i="5"/>
  <c r="B1699" i="5"/>
  <c r="A1700" i="5"/>
  <c r="B1700" i="5"/>
  <c r="A1701" i="5"/>
  <c r="B1701" i="5"/>
  <c r="A1702" i="5"/>
  <c r="B1702" i="5"/>
  <c r="A1703" i="5"/>
  <c r="B1703" i="5"/>
  <c r="A1704" i="5"/>
  <c r="B1704" i="5"/>
  <c r="A1705" i="5"/>
  <c r="B1705" i="5"/>
  <c r="A1706" i="5"/>
  <c r="B1706" i="5"/>
  <c r="A1707" i="5"/>
  <c r="B1707" i="5"/>
  <c r="A1708" i="5"/>
  <c r="B1708" i="5"/>
  <c r="A1709" i="5"/>
  <c r="B1709" i="5"/>
  <c r="A1710" i="5"/>
  <c r="B1710" i="5"/>
  <c r="A1711" i="5"/>
  <c r="B1711" i="5"/>
  <c r="A1712" i="5"/>
  <c r="B1712" i="5"/>
  <c r="A1713" i="5"/>
  <c r="B1713" i="5"/>
  <c r="A1714" i="5"/>
  <c r="B1714" i="5"/>
  <c r="A1715" i="5"/>
  <c r="B1715" i="5"/>
  <c r="A1716" i="5"/>
  <c r="B1716" i="5"/>
  <c r="A1717" i="5"/>
  <c r="B1717" i="5"/>
  <c r="A1718" i="5"/>
  <c r="B1718" i="5"/>
  <c r="A1719" i="5"/>
  <c r="B1719" i="5"/>
  <c r="A1720" i="5"/>
  <c r="B1720" i="5"/>
  <c r="A1721" i="5"/>
  <c r="B1721" i="5"/>
  <c r="A1722" i="5"/>
  <c r="B1722" i="5"/>
  <c r="A1723" i="5"/>
  <c r="B1723" i="5"/>
  <c r="A1724" i="5"/>
  <c r="B1724" i="5"/>
  <c r="A1725" i="5"/>
  <c r="B1725" i="5"/>
  <c r="A1726" i="5"/>
  <c r="B1726" i="5"/>
  <c r="A1727" i="5"/>
  <c r="B1727" i="5"/>
  <c r="A1728" i="5"/>
  <c r="B1728" i="5"/>
  <c r="A1729" i="5"/>
  <c r="B1729" i="5"/>
  <c r="A1730" i="5"/>
  <c r="B1730" i="5"/>
  <c r="A1731" i="5"/>
  <c r="B1731" i="5"/>
  <c r="A1732" i="5"/>
  <c r="B1732" i="5"/>
  <c r="A1733" i="5"/>
  <c r="B1733" i="5"/>
  <c r="A1734" i="5"/>
  <c r="B1734" i="5"/>
  <c r="A1735" i="5"/>
  <c r="B1735" i="5"/>
  <c r="A1736" i="5"/>
  <c r="B1736" i="5"/>
  <c r="A1737" i="5"/>
  <c r="B1737" i="5"/>
  <c r="A1738" i="5"/>
  <c r="B1738" i="5"/>
  <c r="A1739" i="5"/>
  <c r="B1739" i="5"/>
  <c r="A1740" i="5"/>
  <c r="B1740" i="5"/>
  <c r="A1741" i="5"/>
  <c r="B1741" i="5"/>
  <c r="A1742" i="5"/>
  <c r="B1742" i="5"/>
  <c r="A1743" i="5"/>
  <c r="B1743" i="5"/>
  <c r="A1744" i="5"/>
  <c r="B1744" i="5"/>
  <c r="A1745" i="5"/>
  <c r="B1745" i="5"/>
  <c r="A1746" i="5"/>
  <c r="B1746" i="5"/>
  <c r="A1747" i="5"/>
  <c r="B1747" i="5"/>
  <c r="A1748" i="5"/>
  <c r="B1748" i="5"/>
  <c r="A1749" i="5"/>
  <c r="B1749" i="5"/>
  <c r="A1750" i="5"/>
  <c r="B1750" i="5"/>
  <c r="A1751" i="5"/>
  <c r="B1751" i="5"/>
  <c r="A1752" i="5"/>
  <c r="B1752" i="5"/>
  <c r="A1753" i="5"/>
  <c r="B1753" i="5"/>
  <c r="A1754" i="5"/>
  <c r="B1754" i="5"/>
  <c r="A1755" i="5"/>
  <c r="B1755" i="5"/>
  <c r="A1756" i="5"/>
  <c r="B1756" i="5"/>
  <c r="A1757" i="5"/>
  <c r="B1757" i="5"/>
  <c r="A1758" i="5"/>
  <c r="B1758" i="5"/>
  <c r="A1759" i="5"/>
  <c r="B1759" i="5"/>
  <c r="A1760" i="5"/>
  <c r="B1760" i="5"/>
  <c r="A1761" i="5"/>
  <c r="B1761" i="5"/>
  <c r="A1762" i="5"/>
  <c r="B1762" i="5"/>
  <c r="A1763" i="5"/>
  <c r="B1763" i="5"/>
  <c r="A1764" i="5"/>
  <c r="B1764" i="5"/>
  <c r="A1765" i="5"/>
  <c r="B1765" i="5"/>
  <c r="A1766" i="5"/>
  <c r="B1766" i="5"/>
  <c r="A1767" i="5"/>
  <c r="B1767" i="5"/>
  <c r="A1768" i="5"/>
  <c r="B1768" i="5"/>
  <c r="A1769" i="5"/>
  <c r="B1769" i="5"/>
  <c r="A1770" i="5"/>
  <c r="B1770" i="5"/>
  <c r="A1771" i="5"/>
  <c r="B1771" i="5"/>
  <c r="A1772" i="5"/>
  <c r="B1772" i="5"/>
  <c r="A1773" i="5"/>
  <c r="B1773" i="5"/>
  <c r="A1774" i="5"/>
  <c r="B1774" i="5"/>
  <c r="A1775" i="5"/>
  <c r="B1775" i="5"/>
  <c r="A1776" i="5"/>
  <c r="B1776" i="5"/>
  <c r="A1777" i="5"/>
  <c r="B1777" i="5"/>
  <c r="A1778" i="5"/>
  <c r="B1778" i="5"/>
  <c r="A1779" i="5"/>
  <c r="B1779" i="5"/>
  <c r="A1780" i="5"/>
  <c r="B1780" i="5"/>
  <c r="A1781" i="5"/>
  <c r="B1781" i="5"/>
  <c r="A1782" i="5"/>
  <c r="B1782" i="5"/>
  <c r="A1783" i="5"/>
  <c r="B1783" i="5"/>
  <c r="A1784" i="5"/>
  <c r="B1784" i="5"/>
  <c r="A1785" i="5"/>
  <c r="B1785" i="5"/>
  <c r="A1786" i="5"/>
  <c r="B1786" i="5"/>
  <c r="A1787" i="5"/>
  <c r="B1787" i="5"/>
  <c r="A1788" i="5"/>
  <c r="B1788" i="5"/>
  <c r="A1789" i="5"/>
  <c r="B1789" i="5"/>
  <c r="A1790" i="5"/>
  <c r="B1790" i="5"/>
  <c r="A1791" i="5"/>
  <c r="B1791" i="5"/>
  <c r="A1792" i="5"/>
  <c r="B1792" i="5"/>
  <c r="A1793" i="5"/>
  <c r="B1793" i="5"/>
  <c r="A1794" i="5"/>
  <c r="B1794" i="5"/>
  <c r="A1795" i="5"/>
  <c r="B1795" i="5"/>
  <c r="A1796" i="5"/>
  <c r="B1796" i="5"/>
  <c r="A1797" i="5"/>
  <c r="B1797" i="5"/>
  <c r="A1798" i="5"/>
  <c r="B1798" i="5"/>
  <c r="A1799" i="5"/>
  <c r="B1799" i="5"/>
  <c r="A1800" i="5"/>
  <c r="B1800" i="5"/>
  <c r="A1801" i="5"/>
  <c r="B1801" i="5"/>
  <c r="A1802" i="5"/>
  <c r="B1802" i="5"/>
  <c r="A1803" i="5"/>
  <c r="B1803" i="5"/>
  <c r="A1804" i="5"/>
  <c r="B1804" i="5"/>
  <c r="A1805" i="5"/>
  <c r="B1805" i="5"/>
  <c r="A1806" i="5"/>
  <c r="B1806" i="5"/>
  <c r="A1807" i="5"/>
  <c r="B1807" i="5"/>
  <c r="A1808" i="5"/>
  <c r="B1808" i="5"/>
  <c r="A1809" i="5"/>
  <c r="B1809" i="5"/>
  <c r="A1810" i="5"/>
  <c r="B1810" i="5"/>
  <c r="A1811" i="5"/>
  <c r="B1811" i="5"/>
  <c r="A1812" i="5"/>
  <c r="B1812" i="5"/>
  <c r="A1813" i="5"/>
  <c r="B1813" i="5"/>
  <c r="A1814" i="5"/>
  <c r="B1814" i="5"/>
  <c r="A1815" i="5"/>
  <c r="B1815" i="5"/>
  <c r="A1816" i="5"/>
  <c r="B1816" i="5"/>
  <c r="A1817" i="5"/>
  <c r="B1817" i="5"/>
  <c r="A1818" i="5"/>
  <c r="B1818" i="5"/>
  <c r="A1819" i="5"/>
  <c r="B1819" i="5"/>
  <c r="A1820" i="5"/>
  <c r="B1820" i="5"/>
  <c r="A1821" i="5"/>
  <c r="B1821" i="5"/>
  <c r="A1822" i="5"/>
  <c r="B1822" i="5"/>
  <c r="A1823" i="5"/>
  <c r="B1823" i="5"/>
  <c r="A1824" i="5"/>
  <c r="B1824" i="5"/>
  <c r="A1825" i="5"/>
  <c r="B1825" i="5"/>
  <c r="A1826" i="5"/>
  <c r="B1826" i="5"/>
  <c r="A1827" i="5"/>
  <c r="B1827" i="5"/>
  <c r="A1828" i="5"/>
  <c r="B1828" i="5"/>
  <c r="A1829" i="5"/>
  <c r="B1829" i="5"/>
  <c r="A1830" i="5"/>
  <c r="B1830" i="5"/>
  <c r="A1831" i="5"/>
  <c r="B1831" i="5"/>
  <c r="A1832" i="5"/>
  <c r="B1832" i="5"/>
  <c r="A1833" i="5"/>
  <c r="B1833" i="5"/>
  <c r="A1834" i="5"/>
  <c r="B1834" i="5"/>
  <c r="A1835" i="5"/>
  <c r="B1835" i="5"/>
  <c r="A1836" i="5"/>
  <c r="B1836" i="5"/>
  <c r="A1837" i="5"/>
  <c r="B1837" i="5"/>
  <c r="A1838" i="5"/>
  <c r="B1838" i="5"/>
  <c r="A1839" i="5"/>
  <c r="B1839" i="5"/>
  <c r="A1840" i="5"/>
  <c r="B1840" i="5"/>
  <c r="A1841" i="5"/>
  <c r="B1841" i="5"/>
  <c r="A1842" i="5"/>
  <c r="B1842" i="5"/>
  <c r="A1843" i="5"/>
  <c r="B1843" i="5"/>
  <c r="A1844" i="5"/>
  <c r="B1844" i="5"/>
  <c r="A1845" i="5"/>
  <c r="B1845" i="5"/>
  <c r="A1846" i="5"/>
  <c r="B1846" i="5"/>
  <c r="A1847" i="5"/>
  <c r="B1847" i="5"/>
  <c r="A1848" i="5"/>
  <c r="B1848" i="5"/>
  <c r="A1849" i="5"/>
  <c r="B1849" i="5"/>
  <c r="A1850" i="5"/>
  <c r="B1850" i="5"/>
  <c r="A1851" i="5"/>
  <c r="B1851" i="5"/>
  <c r="A1852" i="5"/>
  <c r="B1852" i="5"/>
  <c r="A1853" i="5"/>
  <c r="B1853" i="5"/>
  <c r="A1854" i="5"/>
  <c r="B1854" i="5"/>
  <c r="A1855" i="5"/>
  <c r="B1855" i="5"/>
  <c r="A1856" i="5"/>
  <c r="B1856" i="5"/>
  <c r="A1857" i="5"/>
  <c r="B1857" i="5"/>
  <c r="A1858" i="5"/>
  <c r="B1858" i="5"/>
  <c r="A1859" i="5"/>
  <c r="B1859" i="5"/>
  <c r="A1860" i="5"/>
  <c r="B1860" i="5"/>
  <c r="A1861" i="5"/>
  <c r="B1861" i="5"/>
  <c r="A1862" i="5"/>
  <c r="B1862" i="5"/>
  <c r="A1863" i="5"/>
  <c r="B1863" i="5"/>
  <c r="A1864" i="5"/>
  <c r="B1864" i="5"/>
  <c r="A1865" i="5"/>
  <c r="B1865" i="5"/>
  <c r="A1866" i="5"/>
  <c r="B1866" i="5"/>
  <c r="A1867" i="5"/>
  <c r="B1867" i="5"/>
  <c r="A1868" i="5"/>
  <c r="B1868" i="5"/>
  <c r="A1869" i="5"/>
  <c r="B1869" i="5"/>
  <c r="A1870" i="5"/>
  <c r="B1870" i="5"/>
  <c r="A1871" i="5"/>
  <c r="B1871" i="5"/>
  <c r="A1872" i="5"/>
  <c r="B1872" i="5"/>
  <c r="A1873" i="5"/>
  <c r="B1873" i="5"/>
  <c r="A1874" i="5"/>
  <c r="B1874" i="5"/>
  <c r="A1875" i="5"/>
  <c r="B1875" i="5"/>
  <c r="A1876" i="5"/>
  <c r="B1876" i="5"/>
  <c r="A1877" i="5"/>
  <c r="B1877" i="5"/>
  <c r="A1878" i="5"/>
  <c r="B1878" i="5"/>
  <c r="A1879" i="5"/>
  <c r="B1879" i="5"/>
  <c r="A1880" i="5"/>
  <c r="B1880" i="5"/>
  <c r="A1881" i="5"/>
  <c r="B1881" i="5"/>
  <c r="A1882" i="5"/>
  <c r="B1882" i="5"/>
  <c r="A1883" i="5"/>
  <c r="B1883" i="5"/>
  <c r="A1884" i="5"/>
  <c r="B1884" i="5"/>
  <c r="A1885" i="5"/>
  <c r="B1885" i="5"/>
  <c r="A1886" i="5"/>
  <c r="B1886" i="5"/>
  <c r="A1887" i="5"/>
  <c r="B1887" i="5"/>
  <c r="A1888" i="5"/>
  <c r="B1888" i="5"/>
  <c r="A1889" i="5"/>
  <c r="B1889" i="5"/>
  <c r="A1890" i="5"/>
  <c r="B1890" i="5"/>
  <c r="A1891" i="5"/>
  <c r="B1891" i="5"/>
  <c r="A1892" i="5"/>
  <c r="B1892" i="5"/>
  <c r="A1893" i="5"/>
  <c r="B1893" i="5"/>
  <c r="A1894" i="5"/>
  <c r="B1894" i="5"/>
  <c r="A1895" i="5"/>
  <c r="B1895" i="5"/>
  <c r="A1896" i="5"/>
  <c r="B1896" i="5"/>
  <c r="A1897" i="5"/>
  <c r="B1897" i="5"/>
  <c r="A1898" i="5"/>
  <c r="B1898" i="5"/>
  <c r="A1899" i="5"/>
  <c r="B1899" i="5"/>
  <c r="A1900" i="5"/>
  <c r="B1900" i="5"/>
  <c r="A1901" i="5"/>
  <c r="B1901" i="5"/>
  <c r="A1902" i="5"/>
  <c r="B1902" i="5"/>
  <c r="A1903" i="5"/>
  <c r="B1903" i="5"/>
  <c r="A1904" i="5"/>
  <c r="B1904" i="5"/>
  <c r="A1905" i="5"/>
  <c r="B1905" i="5"/>
  <c r="A1906" i="5"/>
  <c r="B1906" i="5"/>
  <c r="A1907" i="5"/>
  <c r="B1907" i="5"/>
  <c r="A1908" i="5"/>
  <c r="B1908" i="5"/>
  <c r="A1909" i="5"/>
  <c r="B1909" i="5"/>
  <c r="A1910" i="5"/>
  <c r="B1910" i="5"/>
  <c r="A1911" i="5"/>
  <c r="B1911" i="5"/>
  <c r="A1912" i="5"/>
  <c r="B1912" i="5"/>
  <c r="A1913" i="5"/>
  <c r="B1913" i="5"/>
  <c r="A1914" i="5"/>
  <c r="B1914" i="5"/>
  <c r="A1915" i="5"/>
  <c r="B1915" i="5"/>
  <c r="A1916" i="5"/>
  <c r="B1916" i="5"/>
  <c r="A1917" i="5"/>
  <c r="B1917" i="5"/>
  <c r="A1918" i="5"/>
  <c r="B1918" i="5"/>
  <c r="A1919" i="5"/>
  <c r="B1919" i="5"/>
  <c r="A1920" i="5"/>
  <c r="B1920" i="5"/>
  <c r="A1921" i="5"/>
  <c r="B1921" i="5"/>
  <c r="A1922" i="5"/>
  <c r="B1922" i="5"/>
  <c r="A1923" i="5"/>
  <c r="B1923" i="5"/>
  <c r="A1924" i="5"/>
  <c r="B1924" i="5"/>
  <c r="A1925" i="5"/>
  <c r="B1925" i="5"/>
  <c r="A1926" i="5"/>
  <c r="B1926" i="5"/>
  <c r="A1927" i="5"/>
  <c r="B1927" i="5"/>
  <c r="A1928" i="5"/>
  <c r="B1928" i="5"/>
  <c r="A1929" i="5"/>
  <c r="B1929" i="5"/>
  <c r="A1930" i="5"/>
  <c r="B1930" i="5"/>
  <c r="A1931" i="5"/>
  <c r="B1931" i="5"/>
  <c r="A1932" i="5"/>
  <c r="B1932" i="5"/>
  <c r="A1933" i="5"/>
  <c r="B1933" i="5"/>
  <c r="A1934" i="5"/>
  <c r="B1934" i="5"/>
  <c r="A1935" i="5"/>
  <c r="B1935" i="5"/>
  <c r="A1936" i="5"/>
  <c r="B1936" i="5"/>
  <c r="A1937" i="5"/>
  <c r="B1937" i="5"/>
  <c r="A1938" i="5"/>
  <c r="B1938" i="5"/>
  <c r="A1939" i="5"/>
  <c r="B1939" i="5"/>
  <c r="A1940" i="5"/>
  <c r="B1940" i="5"/>
  <c r="A1941" i="5"/>
  <c r="B1941" i="5"/>
  <c r="A1942" i="5"/>
  <c r="B1942" i="5"/>
  <c r="A1943" i="5"/>
  <c r="B1943" i="5"/>
  <c r="A1944" i="5"/>
  <c r="B1944" i="5"/>
  <c r="A1945" i="5"/>
  <c r="B1945" i="5"/>
  <c r="A1946" i="5"/>
  <c r="B1946" i="5"/>
  <c r="A1947" i="5"/>
  <c r="B1947" i="5"/>
  <c r="A1948" i="5"/>
  <c r="B1948" i="5"/>
  <c r="A1949" i="5"/>
  <c r="B1949" i="5"/>
  <c r="A1950" i="5"/>
  <c r="B1950" i="5"/>
  <c r="A1951" i="5"/>
  <c r="B1951" i="5"/>
  <c r="A1952" i="5"/>
  <c r="B1952" i="5"/>
  <c r="A1953" i="5"/>
  <c r="B1953" i="5"/>
  <c r="A1954" i="5"/>
  <c r="B1954" i="5"/>
  <c r="A1955" i="5"/>
  <c r="B1955" i="5"/>
  <c r="A1956" i="5"/>
  <c r="B1956" i="5"/>
  <c r="A1957" i="5"/>
  <c r="B1957" i="5"/>
  <c r="A1958" i="5"/>
  <c r="B1958" i="5"/>
  <c r="A1959" i="5"/>
  <c r="B1959" i="5"/>
  <c r="A1960" i="5"/>
  <c r="B1960" i="5"/>
  <c r="A1961" i="5"/>
  <c r="B1961" i="5"/>
  <c r="A1962" i="5"/>
  <c r="B1962" i="5"/>
  <c r="A1963" i="5"/>
  <c r="B1963" i="5"/>
  <c r="A1964" i="5"/>
  <c r="B1964" i="5"/>
  <c r="A1965" i="5"/>
  <c r="B1965" i="5"/>
  <c r="A1966" i="5"/>
  <c r="B1966" i="5"/>
  <c r="A1967" i="5"/>
  <c r="B1967" i="5"/>
  <c r="A1968" i="5"/>
  <c r="B1968" i="5"/>
  <c r="A1969" i="5"/>
  <c r="B1969" i="5"/>
  <c r="A1970" i="5"/>
  <c r="B1970" i="5"/>
  <c r="A1971" i="5"/>
  <c r="B1971" i="5"/>
  <c r="A1972" i="5"/>
  <c r="B1972" i="5"/>
  <c r="A1973" i="5"/>
  <c r="B1973" i="5"/>
  <c r="A1974" i="5"/>
  <c r="B1974" i="5"/>
  <c r="A1975" i="5"/>
  <c r="B1975" i="5"/>
  <c r="A1976" i="5"/>
  <c r="B1976" i="5"/>
  <c r="A1977" i="5"/>
  <c r="B1977" i="5"/>
  <c r="A1978" i="5"/>
  <c r="B1978" i="5"/>
  <c r="A1979" i="5"/>
  <c r="B1979" i="5"/>
  <c r="A1980" i="5"/>
  <c r="B1980" i="5"/>
  <c r="A1981" i="5"/>
  <c r="B1981" i="5"/>
  <c r="A1982" i="5"/>
  <c r="B1982" i="5"/>
  <c r="A1983" i="5"/>
  <c r="B1983" i="5"/>
  <c r="A1984" i="5"/>
  <c r="B1984" i="5"/>
  <c r="A1985" i="5"/>
  <c r="B1985" i="5"/>
  <c r="A1986" i="5"/>
  <c r="B1986" i="5"/>
  <c r="A1987" i="5"/>
  <c r="B1987" i="5"/>
  <c r="A1988" i="5"/>
  <c r="B1988" i="5"/>
  <c r="A1989" i="5"/>
  <c r="B1989" i="5"/>
  <c r="A1990" i="5"/>
  <c r="B1990" i="5"/>
  <c r="A1991" i="5"/>
  <c r="B1991" i="5"/>
  <c r="A1992" i="5"/>
  <c r="B1992" i="5"/>
  <c r="A1993" i="5"/>
  <c r="B1993" i="5"/>
  <c r="A1994" i="5"/>
  <c r="B1994" i="5"/>
  <c r="A1995" i="5"/>
  <c r="B1995" i="5"/>
  <c r="A1996" i="5"/>
  <c r="B1996" i="5"/>
  <c r="A1997" i="5"/>
  <c r="B1997" i="5"/>
  <c r="A1998" i="5"/>
  <c r="B1998" i="5"/>
  <c r="A1999" i="5"/>
  <c r="B1999" i="5"/>
  <c r="A2000" i="5"/>
  <c r="B2000" i="5"/>
  <c r="A2001" i="5"/>
  <c r="B2001" i="5"/>
  <c r="A2002" i="5"/>
  <c r="B2002" i="5"/>
  <c r="A2003" i="5"/>
  <c r="B2003" i="5"/>
  <c r="A2004" i="5"/>
  <c r="B2004" i="5"/>
  <c r="A2005" i="5"/>
  <c r="B2005" i="5"/>
  <c r="A2006" i="5"/>
  <c r="B2006" i="5"/>
  <c r="A2007" i="5"/>
  <c r="B2007" i="5"/>
  <c r="A2008" i="5"/>
  <c r="B2008" i="5"/>
  <c r="A2009" i="5"/>
  <c r="B2009" i="5"/>
  <c r="A2010" i="5"/>
  <c r="B2010" i="5"/>
  <c r="A2011" i="5"/>
  <c r="B2011" i="5"/>
  <c r="A2012" i="5"/>
  <c r="B2012" i="5"/>
  <c r="A2013" i="5"/>
  <c r="B2013" i="5"/>
  <c r="A2014" i="5"/>
  <c r="B2014" i="5"/>
  <c r="A2015" i="5"/>
  <c r="B2015" i="5"/>
  <c r="A2016" i="5"/>
  <c r="B2016" i="5"/>
  <c r="A2017" i="5"/>
  <c r="B2017" i="5"/>
  <c r="A2018" i="5"/>
  <c r="B2018" i="5"/>
  <c r="A2019" i="5"/>
  <c r="B2019" i="5"/>
  <c r="A2020" i="5"/>
  <c r="B2020" i="5"/>
  <c r="A2021" i="5"/>
  <c r="B2021" i="5"/>
  <c r="A2022" i="5"/>
  <c r="B2022" i="5"/>
  <c r="A2023" i="5"/>
  <c r="B2023" i="5"/>
  <c r="A2024" i="5"/>
  <c r="B2024" i="5"/>
  <c r="A2025" i="5"/>
  <c r="B2025" i="5"/>
  <c r="A2026" i="5"/>
  <c r="B2026" i="5"/>
  <c r="A2027" i="5"/>
  <c r="B2027" i="5"/>
  <c r="A2028" i="5"/>
  <c r="B2028" i="5"/>
  <c r="A2029" i="5"/>
  <c r="B2029" i="5"/>
  <c r="A2030" i="5"/>
  <c r="B2030" i="5"/>
  <c r="A2031" i="5"/>
  <c r="B2031" i="5"/>
  <c r="A2032" i="5"/>
  <c r="B2032" i="5"/>
  <c r="A2033" i="5"/>
  <c r="B2033" i="5"/>
  <c r="A2034" i="5"/>
  <c r="B2034" i="5"/>
  <c r="A2035" i="5"/>
  <c r="B2035" i="5"/>
  <c r="A2036" i="5"/>
  <c r="B2036" i="5"/>
  <c r="A2037" i="5"/>
  <c r="B2037" i="5"/>
  <c r="A2038" i="5"/>
  <c r="B2038" i="5"/>
  <c r="A2039" i="5"/>
  <c r="B2039" i="5"/>
  <c r="A2040" i="5"/>
  <c r="B2040" i="5"/>
  <c r="A2041" i="5"/>
  <c r="B2041" i="5"/>
  <c r="A2042" i="5"/>
  <c r="B2042" i="5"/>
  <c r="A2043" i="5"/>
  <c r="B2043" i="5"/>
  <c r="A2044" i="5"/>
  <c r="B2044" i="5"/>
  <c r="A2045" i="5"/>
  <c r="B2045" i="5"/>
  <c r="A2046" i="5"/>
  <c r="B2046" i="5"/>
  <c r="A2047" i="5"/>
  <c r="B2047" i="5"/>
  <c r="A2048" i="5"/>
  <c r="B2048" i="5"/>
  <c r="A2049" i="5"/>
  <c r="B2049" i="5"/>
  <c r="A2050" i="5"/>
  <c r="B2050" i="5"/>
  <c r="A2051" i="5"/>
  <c r="B2051" i="5"/>
  <c r="A2052" i="5"/>
  <c r="B2052" i="5"/>
  <c r="A2053" i="5"/>
  <c r="B2053" i="5"/>
  <c r="A2054" i="5"/>
  <c r="B2054" i="5"/>
  <c r="A2055" i="5"/>
  <c r="B2055" i="5"/>
  <c r="A2056" i="5"/>
  <c r="B2056" i="5"/>
  <c r="A2057" i="5"/>
  <c r="B2057" i="5"/>
  <c r="A2058" i="5"/>
  <c r="B2058" i="5"/>
  <c r="A2059" i="5"/>
  <c r="B2059" i="5"/>
  <c r="A2060" i="5"/>
  <c r="B2060" i="5"/>
  <c r="A2061" i="5"/>
  <c r="B2061" i="5"/>
  <c r="A2062" i="5"/>
  <c r="B2062" i="5"/>
  <c r="A2063" i="5"/>
  <c r="B2063" i="5"/>
  <c r="A2064" i="5"/>
  <c r="B2064" i="5"/>
  <c r="A2065" i="5"/>
  <c r="B2065" i="5"/>
  <c r="A2066" i="5"/>
  <c r="B2066" i="5"/>
  <c r="A2067" i="5"/>
  <c r="B2067" i="5"/>
  <c r="A2068" i="5"/>
  <c r="B2068" i="5"/>
  <c r="A2069" i="5"/>
  <c r="B2069" i="5"/>
  <c r="A2070" i="5"/>
  <c r="B2070" i="5"/>
  <c r="A2071" i="5"/>
  <c r="B2071" i="5"/>
  <c r="A2072" i="5"/>
  <c r="B2072" i="5"/>
  <c r="A2073" i="5"/>
  <c r="B2073" i="5"/>
  <c r="A2074" i="5"/>
  <c r="B2074" i="5"/>
  <c r="A2075" i="5"/>
  <c r="B2075" i="5"/>
  <c r="A2076" i="5"/>
  <c r="B2076" i="5"/>
  <c r="A2077" i="5"/>
  <c r="B2077" i="5"/>
  <c r="A2078" i="5"/>
  <c r="B2078" i="5"/>
  <c r="A2079" i="5"/>
  <c r="B2079" i="5"/>
  <c r="A2080" i="5"/>
  <c r="B2080" i="5"/>
  <c r="A2081" i="5"/>
  <c r="B2081" i="5"/>
  <c r="A2082" i="5"/>
  <c r="B2082" i="5"/>
  <c r="A2083" i="5"/>
  <c r="B2083" i="5"/>
  <c r="A2084" i="5"/>
  <c r="B2084" i="5"/>
  <c r="A2085" i="5"/>
  <c r="B2085" i="5"/>
  <c r="A2086" i="5"/>
  <c r="B2086" i="5"/>
  <c r="A2087" i="5"/>
  <c r="B2087" i="5"/>
  <c r="A2088" i="5"/>
  <c r="B2088" i="5"/>
  <c r="A2089" i="5"/>
  <c r="B2089" i="5"/>
  <c r="A2090" i="5"/>
  <c r="B2090" i="5"/>
  <c r="A2091" i="5"/>
  <c r="B2091" i="5"/>
  <c r="A2092" i="5"/>
  <c r="B2092" i="5"/>
  <c r="A2093" i="5"/>
  <c r="B2093" i="5"/>
  <c r="A2094" i="5"/>
  <c r="B2094" i="5"/>
  <c r="A2095" i="5"/>
  <c r="B2095" i="5"/>
  <c r="A2096" i="5"/>
  <c r="B2096" i="5"/>
  <c r="A2097" i="5"/>
  <c r="B2097" i="5"/>
  <c r="A2098" i="5"/>
  <c r="B2098" i="5"/>
  <c r="A2099" i="5"/>
  <c r="B2099" i="5"/>
  <c r="A2100" i="5"/>
  <c r="B2100" i="5"/>
  <c r="A2101" i="5"/>
  <c r="B2101" i="5"/>
  <c r="A2102" i="5"/>
  <c r="B2102" i="5"/>
  <c r="A2103" i="5"/>
  <c r="B2103" i="5"/>
  <c r="A2104" i="5"/>
  <c r="B2104" i="5"/>
  <c r="A2105" i="5"/>
  <c r="B2105" i="5"/>
  <c r="A2106" i="5"/>
  <c r="B2106" i="5"/>
  <c r="A2107" i="5"/>
  <c r="B2107" i="5"/>
  <c r="A2108" i="5"/>
  <c r="B2108" i="5"/>
  <c r="A2109" i="5"/>
  <c r="B2109" i="5"/>
  <c r="A2110" i="5"/>
  <c r="B2110" i="5"/>
  <c r="A2111" i="5"/>
  <c r="B2111" i="5"/>
  <c r="A2112" i="5"/>
  <c r="B2112" i="5"/>
  <c r="A2113" i="5"/>
  <c r="B2113" i="5"/>
  <c r="A2114" i="5"/>
  <c r="B2114" i="5"/>
  <c r="A2115" i="5"/>
  <c r="B2115" i="5"/>
  <c r="A2116" i="5"/>
  <c r="B2116" i="5"/>
  <c r="A2117" i="5"/>
  <c r="B2117" i="5"/>
  <c r="A2118" i="5"/>
  <c r="B2118" i="5"/>
  <c r="A2119" i="5"/>
  <c r="B2119" i="5"/>
  <c r="A2120" i="5"/>
  <c r="B2120" i="5"/>
  <c r="A2121" i="5"/>
  <c r="B2121" i="5"/>
  <c r="A2122" i="5"/>
  <c r="B2122" i="5"/>
  <c r="A2123" i="5"/>
  <c r="B2123" i="5"/>
  <c r="A2124" i="5"/>
  <c r="B2124" i="5"/>
  <c r="A2125" i="5"/>
  <c r="B2125" i="5"/>
  <c r="A2126" i="5"/>
  <c r="B2126" i="5"/>
  <c r="A2127" i="5"/>
  <c r="B2127" i="5"/>
  <c r="A2128" i="5"/>
  <c r="B2128" i="5"/>
  <c r="A2129" i="5"/>
  <c r="B2129" i="5"/>
  <c r="A2130" i="5"/>
  <c r="B2130" i="5"/>
  <c r="A2131" i="5"/>
  <c r="B2131" i="5"/>
  <c r="A2132" i="5"/>
  <c r="B2132" i="5"/>
  <c r="A2133" i="5"/>
  <c r="B2133" i="5"/>
  <c r="A2134" i="5"/>
  <c r="B2134" i="5"/>
  <c r="A2135" i="5"/>
  <c r="B2135" i="5"/>
  <c r="A2136" i="5"/>
  <c r="B2136" i="5"/>
  <c r="A2137" i="5"/>
  <c r="B2137" i="5"/>
  <c r="A2138" i="5"/>
  <c r="B2138" i="5"/>
  <c r="A2139" i="5"/>
  <c r="B2139" i="5"/>
  <c r="A2140" i="5"/>
  <c r="B2140" i="5"/>
  <c r="A2141" i="5"/>
  <c r="B2141" i="5"/>
  <c r="A2142" i="5"/>
  <c r="B2142" i="5"/>
  <c r="A2143" i="5"/>
  <c r="B2143" i="5"/>
  <c r="A2144" i="5"/>
  <c r="B2144" i="5"/>
  <c r="A2145" i="5"/>
  <c r="B2145" i="5"/>
  <c r="A2146" i="5"/>
  <c r="B2146" i="5"/>
  <c r="A2147" i="5"/>
  <c r="B2147" i="5"/>
  <c r="A2148" i="5"/>
  <c r="B2148" i="5"/>
  <c r="A2149" i="5"/>
  <c r="B2149" i="5"/>
  <c r="A2150" i="5"/>
  <c r="B2150" i="5"/>
  <c r="A2151" i="5"/>
  <c r="B2151" i="5"/>
  <c r="A2152" i="5"/>
  <c r="B2152" i="5"/>
  <c r="A2153" i="5"/>
  <c r="B2153" i="5"/>
  <c r="A2154" i="5"/>
  <c r="B2154" i="5"/>
  <c r="A2155" i="5"/>
  <c r="B2155" i="5"/>
  <c r="A2156" i="5"/>
  <c r="B2156" i="5"/>
  <c r="A2157" i="5"/>
  <c r="B2157" i="5"/>
  <c r="A2158" i="5"/>
  <c r="B2158" i="5"/>
  <c r="A2159" i="5"/>
  <c r="B2159" i="5"/>
  <c r="A2160" i="5"/>
  <c r="B2160" i="5"/>
  <c r="A2161" i="5"/>
  <c r="B2161" i="5"/>
  <c r="A2162" i="5"/>
  <c r="B2162" i="5"/>
  <c r="A2163" i="5"/>
  <c r="B2163" i="5"/>
  <c r="A2164" i="5"/>
  <c r="B2164" i="5"/>
  <c r="A2165" i="5"/>
  <c r="B2165" i="5"/>
  <c r="A2166" i="5"/>
  <c r="B2166" i="5"/>
  <c r="A2167" i="5"/>
  <c r="B2167" i="5"/>
  <c r="A2168" i="5"/>
  <c r="B2168" i="5"/>
  <c r="A2169" i="5"/>
  <c r="B2169" i="5"/>
  <c r="A2170" i="5"/>
  <c r="B2170" i="5"/>
  <c r="A2171" i="5"/>
  <c r="B2171" i="5"/>
  <c r="A2172" i="5"/>
  <c r="B2172" i="5"/>
  <c r="A2173" i="5"/>
  <c r="B2173" i="5"/>
  <c r="A2174" i="5"/>
  <c r="B2174" i="5"/>
  <c r="A2175" i="5"/>
  <c r="B2175" i="5"/>
  <c r="A2176" i="5"/>
  <c r="B2176" i="5"/>
  <c r="A2177" i="5"/>
  <c r="B2177" i="5"/>
  <c r="A2178" i="5"/>
  <c r="B2178" i="5"/>
  <c r="A2179" i="5"/>
  <c r="B2179" i="5"/>
  <c r="A2180" i="5"/>
  <c r="B2180" i="5"/>
  <c r="A2181" i="5"/>
  <c r="B2181" i="5"/>
  <c r="A2182" i="5"/>
  <c r="B2182" i="5"/>
  <c r="A2183" i="5"/>
  <c r="B2183" i="5"/>
  <c r="A2184" i="5"/>
  <c r="B2184" i="5"/>
  <c r="A2185" i="5"/>
  <c r="B2185" i="5"/>
  <c r="A2186" i="5"/>
  <c r="B2186" i="5"/>
  <c r="A2187" i="5"/>
  <c r="B2187" i="5"/>
  <c r="A2188" i="5"/>
  <c r="B2188" i="5"/>
  <c r="A2189" i="5"/>
  <c r="B2189" i="5"/>
  <c r="A2190" i="5"/>
  <c r="B2190" i="5"/>
  <c r="A2191" i="5"/>
  <c r="B2191" i="5"/>
  <c r="A2192" i="5"/>
  <c r="B2192" i="5"/>
  <c r="A2193" i="5"/>
  <c r="B2193" i="5"/>
  <c r="A2194" i="5"/>
  <c r="B2194" i="5"/>
  <c r="A2195" i="5"/>
  <c r="B2195" i="5"/>
  <c r="A2196" i="5"/>
  <c r="B2196" i="5"/>
  <c r="A2197" i="5"/>
  <c r="B2197" i="5"/>
  <c r="A2198" i="5"/>
  <c r="B2198" i="5"/>
  <c r="A2199" i="5"/>
  <c r="B2199" i="5"/>
  <c r="A2200" i="5"/>
  <c r="B2200" i="5"/>
  <c r="A2201" i="5"/>
  <c r="B2201" i="5"/>
  <c r="A2202" i="5"/>
  <c r="B2202" i="5"/>
  <c r="A2203" i="5"/>
  <c r="B2203" i="5"/>
  <c r="A2204" i="5"/>
  <c r="B2204" i="5"/>
  <c r="A2205" i="5"/>
  <c r="B2205" i="5"/>
  <c r="A2206" i="5"/>
  <c r="B2206" i="5"/>
  <c r="A2207" i="5"/>
  <c r="B2207" i="5"/>
  <c r="A2208" i="5"/>
  <c r="B2208" i="5"/>
  <c r="A2209" i="5"/>
  <c r="B2209" i="5"/>
  <c r="A2210" i="5"/>
  <c r="B2210" i="5"/>
  <c r="A2211" i="5"/>
  <c r="B2211" i="5"/>
  <c r="A2212" i="5"/>
  <c r="B2212" i="5"/>
  <c r="A2213" i="5"/>
  <c r="B2213" i="5"/>
  <c r="A2214" i="5"/>
  <c r="B2214" i="5"/>
  <c r="A2215" i="5"/>
  <c r="B2215" i="5"/>
  <c r="A2216" i="5"/>
  <c r="B2216" i="5"/>
  <c r="A2217" i="5"/>
  <c r="B2217" i="5"/>
  <c r="A2218" i="5"/>
  <c r="B2218" i="5"/>
  <c r="A2219" i="5"/>
  <c r="B2219" i="5"/>
  <c r="A2220" i="5"/>
  <c r="B2220" i="5"/>
  <c r="A2221" i="5"/>
  <c r="B2221" i="5"/>
  <c r="A2222" i="5"/>
  <c r="B2222" i="5"/>
  <c r="A2223" i="5"/>
  <c r="B2223" i="5"/>
  <c r="A2224" i="5"/>
  <c r="B2224" i="5"/>
  <c r="A2225" i="5"/>
  <c r="B2225" i="5"/>
  <c r="A2226" i="5"/>
  <c r="B2226" i="5"/>
  <c r="A2227" i="5"/>
  <c r="B2227" i="5"/>
  <c r="A2228" i="5"/>
  <c r="B2228" i="5"/>
  <c r="A2229" i="5"/>
  <c r="B2229" i="5"/>
  <c r="A2230" i="5"/>
  <c r="B2230" i="5"/>
  <c r="A2231" i="5"/>
  <c r="B2231" i="5"/>
  <c r="A2232" i="5"/>
  <c r="B2232" i="5"/>
  <c r="A2233" i="5"/>
  <c r="B2233" i="5"/>
  <c r="A2234" i="5"/>
  <c r="B2234" i="5"/>
  <c r="A2235" i="5"/>
  <c r="B2235" i="5"/>
  <c r="A2236" i="5"/>
  <c r="B2236" i="5"/>
  <c r="A2237" i="5"/>
  <c r="B2237" i="5"/>
  <c r="A2238" i="5"/>
  <c r="B2238" i="5"/>
  <c r="A2239" i="5"/>
  <c r="B2239" i="5"/>
  <c r="A2240" i="5"/>
  <c r="B2240" i="5"/>
  <c r="A2241" i="5"/>
  <c r="B2241" i="5"/>
  <c r="A2242" i="5"/>
  <c r="B2242" i="5"/>
  <c r="A2243" i="5"/>
  <c r="B2243" i="5"/>
  <c r="A2244" i="5"/>
  <c r="B2244" i="5"/>
  <c r="A2245" i="5"/>
  <c r="B2245" i="5"/>
  <c r="A2246" i="5"/>
  <c r="B2246" i="5"/>
  <c r="A2247" i="5"/>
  <c r="B2247" i="5"/>
  <c r="A2248" i="5"/>
  <c r="B2248" i="5"/>
  <c r="A2249" i="5"/>
  <c r="B2249" i="5"/>
  <c r="A2250" i="5"/>
  <c r="B2250" i="5"/>
  <c r="A2251" i="5"/>
  <c r="B2251" i="5"/>
  <c r="A2252" i="5"/>
  <c r="B2252" i="5"/>
  <c r="A2253" i="5"/>
  <c r="B2253" i="5"/>
  <c r="A2254" i="5"/>
  <c r="B2254" i="5"/>
  <c r="A2255" i="5"/>
  <c r="B2255" i="5"/>
  <c r="A2256" i="5"/>
  <c r="B2256" i="5"/>
  <c r="A2257" i="5"/>
  <c r="B2257" i="5"/>
  <c r="A2258" i="5"/>
  <c r="B2258" i="5"/>
  <c r="A2259" i="5"/>
  <c r="B2259" i="5"/>
  <c r="A2260" i="5"/>
  <c r="B2260" i="5"/>
  <c r="A2261" i="5"/>
  <c r="B2261" i="5"/>
  <c r="A2262" i="5"/>
  <c r="B2262" i="5"/>
  <c r="A2263" i="5"/>
  <c r="B2263" i="5"/>
  <c r="A2264" i="5"/>
  <c r="B2264" i="5"/>
  <c r="A2265" i="5"/>
  <c r="B2265" i="5"/>
  <c r="A2266" i="5"/>
  <c r="B2266" i="5"/>
  <c r="A2267" i="5"/>
  <c r="B2267" i="5"/>
  <c r="A2268" i="5"/>
  <c r="B2268" i="5"/>
  <c r="A2269" i="5"/>
  <c r="B2269" i="5"/>
  <c r="A2270" i="5"/>
  <c r="B2270" i="5"/>
  <c r="A2271" i="5"/>
  <c r="B2271" i="5"/>
  <c r="A2272" i="5"/>
  <c r="B2272" i="5"/>
  <c r="A2273" i="5"/>
  <c r="B2273" i="5"/>
  <c r="A2274" i="5"/>
  <c r="B2274" i="5"/>
  <c r="A2275" i="5"/>
  <c r="B2275" i="5"/>
  <c r="A2276" i="5"/>
  <c r="B2276" i="5"/>
  <c r="A2277" i="5"/>
  <c r="B2277" i="5"/>
  <c r="A2278" i="5"/>
  <c r="B2278" i="5"/>
  <c r="A2279" i="5"/>
  <c r="B2279" i="5"/>
  <c r="A2280" i="5"/>
  <c r="B2280" i="5"/>
  <c r="A2281" i="5"/>
  <c r="B2281" i="5"/>
  <c r="A2282" i="5"/>
  <c r="B2282" i="5"/>
  <c r="A2283" i="5"/>
  <c r="B2283" i="5"/>
  <c r="A2284" i="5"/>
  <c r="B2284" i="5"/>
  <c r="A2285" i="5"/>
  <c r="B2285" i="5"/>
  <c r="A2286" i="5"/>
  <c r="B2286" i="5"/>
  <c r="A2287" i="5"/>
  <c r="B2287" i="5"/>
  <c r="A2288" i="5"/>
  <c r="B2288" i="5"/>
  <c r="A2289" i="5"/>
  <c r="B2289" i="5"/>
  <c r="A2290" i="5"/>
  <c r="B2290" i="5"/>
  <c r="A2291" i="5"/>
  <c r="B2291" i="5"/>
  <c r="A2292" i="5"/>
  <c r="B2292" i="5"/>
  <c r="A2293" i="5"/>
  <c r="B2293" i="5"/>
  <c r="A2294" i="5"/>
  <c r="B2294" i="5"/>
  <c r="A2295" i="5"/>
  <c r="B2295" i="5"/>
  <c r="A2296" i="5"/>
  <c r="B2296" i="5"/>
  <c r="A2297" i="5"/>
  <c r="B2297" i="5"/>
  <c r="A2298" i="5"/>
  <c r="B2298" i="5"/>
  <c r="A2299" i="5"/>
  <c r="B2299" i="5"/>
  <c r="A2300" i="5"/>
  <c r="B2300" i="5"/>
  <c r="A2301" i="5"/>
  <c r="B2301" i="5"/>
  <c r="A2302" i="5"/>
  <c r="B2302" i="5"/>
  <c r="A2303" i="5"/>
  <c r="B2303" i="5"/>
  <c r="A2304" i="5"/>
  <c r="B2304" i="5"/>
  <c r="A2305" i="5"/>
  <c r="B2305" i="5"/>
  <c r="A2306" i="5"/>
  <c r="B2306" i="5"/>
  <c r="A2307" i="5"/>
  <c r="B2307" i="5"/>
  <c r="A2308" i="5"/>
  <c r="B2308" i="5"/>
  <c r="A2309" i="5"/>
  <c r="B2309" i="5"/>
  <c r="A2310" i="5"/>
  <c r="B2310" i="5"/>
  <c r="A2311" i="5"/>
  <c r="B2311" i="5"/>
  <c r="A2312" i="5"/>
  <c r="B2312" i="5"/>
  <c r="A2313" i="5"/>
  <c r="B2313" i="5"/>
  <c r="A2314" i="5"/>
  <c r="B2314" i="5"/>
  <c r="A2315" i="5"/>
  <c r="B2315" i="5"/>
  <c r="A2316" i="5"/>
  <c r="B2316" i="5"/>
  <c r="A2317" i="5"/>
  <c r="B2317" i="5"/>
  <c r="A2318" i="5"/>
  <c r="B2318" i="5"/>
  <c r="A2319" i="5"/>
  <c r="B2319" i="5"/>
  <c r="A2320" i="5"/>
  <c r="B2320" i="5"/>
  <c r="A2321" i="5"/>
  <c r="B2321" i="5"/>
  <c r="A2322" i="5"/>
  <c r="B2322" i="5"/>
  <c r="A2323" i="5"/>
  <c r="B2323" i="5"/>
  <c r="A2324" i="5"/>
  <c r="B2324" i="5"/>
  <c r="A2325" i="5"/>
  <c r="B2325" i="5"/>
  <c r="A2326" i="5"/>
  <c r="B2326" i="5"/>
  <c r="A2327" i="5"/>
  <c r="B2327" i="5"/>
  <c r="A2328" i="5"/>
  <c r="B2328" i="5"/>
  <c r="A2329" i="5"/>
  <c r="B2329" i="5"/>
  <c r="A2330" i="5"/>
  <c r="B2330" i="5"/>
  <c r="A2331" i="5"/>
  <c r="B2331" i="5"/>
  <c r="A2332" i="5"/>
  <c r="B2332" i="5"/>
  <c r="A2333" i="5"/>
  <c r="B2333" i="5"/>
  <c r="A2334" i="5"/>
  <c r="B2334" i="5"/>
  <c r="A2335" i="5"/>
  <c r="B2335" i="5"/>
  <c r="A2336" i="5"/>
  <c r="B2336" i="5"/>
  <c r="A2337" i="5"/>
  <c r="B2337" i="5"/>
  <c r="A2338" i="5"/>
  <c r="B2338" i="5"/>
  <c r="A2339" i="5"/>
  <c r="B2339" i="5"/>
  <c r="A2340" i="5"/>
  <c r="B2340" i="5"/>
  <c r="A2341" i="5"/>
  <c r="B2341" i="5"/>
  <c r="A2342" i="5"/>
  <c r="B2342" i="5"/>
  <c r="A2343" i="5"/>
  <c r="B2343" i="5"/>
  <c r="A2344" i="5"/>
  <c r="B2344" i="5"/>
  <c r="A2345" i="5"/>
  <c r="B2345" i="5"/>
  <c r="A2346" i="5"/>
  <c r="B2346" i="5"/>
  <c r="A2347" i="5"/>
  <c r="B2347" i="5"/>
  <c r="A2348" i="5"/>
  <c r="B2348" i="5"/>
  <c r="A2349" i="5"/>
  <c r="B2349" i="5"/>
  <c r="A2350" i="5"/>
  <c r="B2350" i="5"/>
  <c r="A2351" i="5"/>
  <c r="B2351" i="5"/>
  <c r="A2352" i="5"/>
  <c r="B2352" i="5"/>
  <c r="A2353" i="5"/>
  <c r="B2353" i="5"/>
  <c r="A2354" i="5"/>
  <c r="B2354" i="5"/>
  <c r="A2355" i="5"/>
  <c r="B2355" i="5"/>
  <c r="A2356" i="5"/>
  <c r="B2356" i="5"/>
  <c r="A2357" i="5"/>
  <c r="B2357" i="5"/>
  <c r="A2358" i="5"/>
  <c r="B2358" i="5"/>
  <c r="A2359" i="5"/>
  <c r="B2359" i="5"/>
  <c r="A2360" i="5"/>
  <c r="B2360" i="5"/>
  <c r="A2361" i="5"/>
  <c r="B2361" i="5"/>
  <c r="A2362" i="5"/>
  <c r="B2362" i="5"/>
  <c r="A2363" i="5"/>
  <c r="B2363" i="5"/>
  <c r="A2364" i="5"/>
  <c r="B2364" i="5"/>
  <c r="A2365" i="5"/>
  <c r="B2365" i="5"/>
  <c r="A2366" i="5"/>
  <c r="B2366" i="5"/>
  <c r="A2367" i="5"/>
  <c r="B2367" i="5"/>
  <c r="A2368" i="5"/>
  <c r="B2368" i="5"/>
  <c r="A2369" i="5"/>
  <c r="B2369" i="5"/>
  <c r="A2370" i="5"/>
  <c r="B2370" i="5"/>
  <c r="A2371" i="5"/>
  <c r="B2371" i="5"/>
  <c r="A2372" i="5"/>
  <c r="B2372" i="5"/>
  <c r="A2373" i="5"/>
  <c r="B2373" i="5"/>
  <c r="A2374" i="5"/>
  <c r="B2374" i="5"/>
  <c r="A2375" i="5"/>
  <c r="B2375" i="5"/>
  <c r="A2376" i="5"/>
  <c r="B2376" i="5"/>
  <c r="A2377" i="5"/>
  <c r="B2377" i="5"/>
  <c r="A2378" i="5"/>
  <c r="B2378" i="5"/>
  <c r="A2379" i="5"/>
  <c r="B2379" i="5"/>
  <c r="A2380" i="5"/>
  <c r="B2380" i="5"/>
  <c r="A2381" i="5"/>
  <c r="B2381" i="5"/>
  <c r="A2382" i="5"/>
  <c r="B2382" i="5"/>
  <c r="A2383" i="5"/>
  <c r="B2383" i="5"/>
  <c r="A2384" i="5"/>
  <c r="B2384" i="5"/>
  <c r="A2385" i="5"/>
  <c r="B2385" i="5"/>
  <c r="A2386" i="5"/>
  <c r="B2386" i="5"/>
  <c r="A2387" i="5"/>
  <c r="B2387" i="5"/>
  <c r="A2388" i="5"/>
  <c r="B2388" i="5"/>
  <c r="A2389" i="5"/>
  <c r="B2389" i="5"/>
  <c r="A2390" i="5"/>
  <c r="B2390" i="5"/>
  <c r="A2391" i="5"/>
  <c r="B2391" i="5"/>
  <c r="A2392" i="5"/>
  <c r="B2392" i="5"/>
  <c r="A2393" i="5"/>
  <c r="B2393" i="5"/>
  <c r="A2394" i="5"/>
  <c r="B2394" i="5"/>
  <c r="A2395" i="5"/>
  <c r="B2395" i="5"/>
  <c r="A2396" i="5"/>
  <c r="B2396" i="5"/>
  <c r="A2397" i="5"/>
  <c r="B2397" i="5"/>
  <c r="A2398" i="5"/>
  <c r="B2398" i="5"/>
  <c r="A2399" i="5"/>
  <c r="B2399" i="5"/>
  <c r="A2400" i="5"/>
  <c r="B2400" i="5"/>
  <c r="A2401" i="5"/>
  <c r="B2401" i="5"/>
  <c r="A2402" i="5"/>
  <c r="B2402" i="5"/>
  <c r="A2403" i="5"/>
  <c r="B2403" i="5"/>
  <c r="A2404" i="5"/>
  <c r="B2404" i="5"/>
  <c r="A2405" i="5"/>
  <c r="B2405" i="5"/>
  <c r="A2406" i="5"/>
  <c r="B2406" i="5"/>
  <c r="A2407" i="5"/>
  <c r="B2407" i="5"/>
  <c r="A2408" i="5"/>
  <c r="B2408" i="5"/>
  <c r="A2409" i="5"/>
  <c r="B2409" i="5"/>
  <c r="A2410" i="5"/>
  <c r="B2410" i="5"/>
  <c r="A2411" i="5"/>
  <c r="B2411" i="5"/>
  <c r="A2412" i="5"/>
  <c r="B2412" i="5"/>
  <c r="A2413" i="5"/>
  <c r="B2413" i="5"/>
  <c r="A2414" i="5"/>
  <c r="B2414" i="5"/>
  <c r="A2415" i="5"/>
  <c r="B2415" i="5"/>
  <c r="A2416" i="5"/>
  <c r="B2416" i="5"/>
  <c r="A2417" i="5"/>
  <c r="B2417" i="5"/>
  <c r="A2418" i="5"/>
  <c r="B2418" i="5"/>
  <c r="A2419" i="5"/>
  <c r="B2419" i="5"/>
  <c r="A2420" i="5"/>
  <c r="B2420" i="5"/>
  <c r="A2421" i="5"/>
  <c r="B2421" i="5"/>
  <c r="A2422" i="5"/>
  <c r="B2422" i="5"/>
  <c r="A2423" i="5"/>
  <c r="B2423" i="5"/>
  <c r="A2424" i="5"/>
  <c r="B2424" i="5"/>
  <c r="A2425" i="5"/>
  <c r="B2425" i="5"/>
  <c r="A2426" i="5"/>
  <c r="B2426" i="5"/>
  <c r="A2427" i="5"/>
  <c r="B2427" i="5"/>
  <c r="A2428" i="5"/>
  <c r="B2428" i="5"/>
  <c r="A2429" i="5"/>
  <c r="B2429" i="5"/>
  <c r="A2430" i="5"/>
  <c r="B2430" i="5"/>
  <c r="A2431" i="5"/>
  <c r="B2431" i="5"/>
  <c r="A2432" i="5"/>
  <c r="B2432" i="5"/>
  <c r="A2433" i="5"/>
  <c r="B2433" i="5"/>
  <c r="A2434" i="5"/>
  <c r="B2434" i="5"/>
  <c r="A2435" i="5"/>
  <c r="B2435" i="5"/>
  <c r="A2436" i="5"/>
  <c r="B2436" i="5"/>
  <c r="A2437" i="5"/>
  <c r="B2437" i="5"/>
  <c r="A2438" i="5"/>
  <c r="B2438" i="5"/>
  <c r="A2439" i="5"/>
  <c r="B2439" i="5"/>
  <c r="A2440" i="5"/>
  <c r="B2440" i="5"/>
  <c r="A2441" i="5"/>
  <c r="B2441" i="5"/>
  <c r="A2442" i="5"/>
  <c r="B2442" i="5"/>
  <c r="A2443" i="5"/>
  <c r="B2443" i="5"/>
  <c r="A2444" i="5"/>
  <c r="B2444" i="5"/>
  <c r="A2445" i="5"/>
  <c r="B2445" i="5"/>
  <c r="A2446" i="5"/>
  <c r="B2446" i="5"/>
  <c r="A2447" i="5"/>
  <c r="B2447" i="5"/>
  <c r="A2448" i="5"/>
  <c r="B2448" i="5"/>
  <c r="A2449" i="5"/>
  <c r="B2449" i="5"/>
  <c r="A2450" i="5"/>
  <c r="B2450" i="5"/>
  <c r="A2451" i="5"/>
  <c r="B2451" i="5"/>
  <c r="A2452" i="5"/>
  <c r="B2452" i="5"/>
  <c r="A2453" i="5"/>
  <c r="B2453" i="5"/>
  <c r="A2454" i="5"/>
  <c r="B2454" i="5"/>
  <c r="A2455" i="5"/>
  <c r="B2455" i="5"/>
  <c r="A2456" i="5"/>
  <c r="B2456" i="5"/>
  <c r="A2457" i="5"/>
  <c r="B2457" i="5"/>
  <c r="A2458" i="5"/>
  <c r="B2458" i="5"/>
  <c r="A2459" i="5"/>
  <c r="B2459" i="5"/>
  <c r="A2460" i="5"/>
  <c r="B2460" i="5"/>
  <c r="A2461" i="5"/>
  <c r="B2461" i="5"/>
  <c r="A2462" i="5"/>
  <c r="B2462" i="5"/>
  <c r="A2463" i="5"/>
  <c r="B2463" i="5"/>
  <c r="A2464" i="5"/>
  <c r="B2464" i="5"/>
  <c r="A2465" i="5"/>
  <c r="B2465" i="5"/>
  <c r="A2466" i="5"/>
  <c r="B2466" i="5"/>
  <c r="A2467" i="5"/>
  <c r="B2467" i="5"/>
  <c r="A2468" i="5"/>
  <c r="B2468" i="5"/>
  <c r="A2469" i="5"/>
  <c r="B2469" i="5"/>
  <c r="A2470" i="5"/>
  <c r="B2470" i="5"/>
  <c r="A2471" i="5"/>
  <c r="B2471" i="5"/>
  <c r="A2472" i="5"/>
  <c r="B2472" i="5"/>
  <c r="A2473" i="5"/>
  <c r="B2473" i="5"/>
  <c r="A2474" i="5"/>
  <c r="B2474" i="5"/>
  <c r="A2475" i="5"/>
  <c r="B2475" i="5"/>
  <c r="A2476" i="5"/>
  <c r="B2476" i="5"/>
  <c r="A2477" i="5"/>
  <c r="B2477" i="5"/>
  <c r="A2478" i="5"/>
  <c r="B2478" i="5"/>
  <c r="A2479" i="5"/>
  <c r="B2479" i="5"/>
  <c r="A2480" i="5"/>
  <c r="B2480" i="5"/>
  <c r="A2481" i="5"/>
  <c r="B2481" i="5"/>
  <c r="A2482" i="5"/>
  <c r="B2482" i="5"/>
  <c r="A2483" i="5"/>
  <c r="B2483" i="5"/>
  <c r="A2484" i="5"/>
  <c r="B2484" i="5"/>
  <c r="A2485" i="5"/>
  <c r="B2485" i="5"/>
  <c r="A2486" i="5"/>
  <c r="B2486" i="5"/>
  <c r="A2487" i="5"/>
  <c r="B2487" i="5"/>
  <c r="A2488" i="5"/>
  <c r="B2488" i="5"/>
  <c r="A2489" i="5"/>
  <c r="B2489" i="5"/>
  <c r="A2490" i="5"/>
  <c r="B2490" i="5"/>
  <c r="A2491" i="5"/>
  <c r="B2491" i="5"/>
  <c r="A2492" i="5"/>
  <c r="B2492" i="5"/>
  <c r="A2493" i="5"/>
  <c r="B2493" i="5"/>
  <c r="A2494" i="5"/>
  <c r="B2494" i="5"/>
  <c r="A2495" i="5"/>
  <c r="B2495" i="5"/>
  <c r="A2496" i="5"/>
  <c r="B2496" i="5"/>
  <c r="A2497" i="5"/>
  <c r="B2497" i="5"/>
  <c r="A2498" i="5"/>
  <c r="B2498" i="5"/>
  <c r="A2499" i="5"/>
  <c r="B2499" i="5"/>
  <c r="A2500" i="5"/>
  <c r="B2500" i="5"/>
  <c r="A2501" i="5"/>
  <c r="B2501" i="5"/>
  <c r="A2502" i="5"/>
  <c r="B2502" i="5"/>
  <c r="A2503" i="5"/>
  <c r="B2503" i="5"/>
  <c r="A2504" i="5"/>
  <c r="B2504" i="5"/>
  <c r="A2505" i="5"/>
  <c r="B2505" i="5"/>
  <c r="A2506" i="5"/>
  <c r="B2506" i="5"/>
  <c r="A2507" i="5"/>
  <c r="B2507" i="5"/>
  <c r="A2508" i="5"/>
  <c r="B2508" i="5"/>
  <c r="A2509" i="5"/>
  <c r="B2509" i="5"/>
  <c r="A2510" i="5"/>
  <c r="B2510" i="5"/>
  <c r="A2511" i="5"/>
  <c r="B2511" i="5"/>
  <c r="A2512" i="5"/>
  <c r="B2512" i="5"/>
  <c r="A2513" i="5"/>
  <c r="B2513" i="5"/>
  <c r="A2514" i="5"/>
  <c r="B2514" i="5"/>
  <c r="A2515" i="5"/>
  <c r="B2515" i="5"/>
  <c r="A2516" i="5"/>
  <c r="B2516" i="5"/>
  <c r="A2517" i="5"/>
  <c r="B2517" i="5"/>
  <c r="A2518" i="5"/>
  <c r="B2518" i="5"/>
  <c r="A2519" i="5"/>
  <c r="B2519" i="5"/>
  <c r="A2520" i="5"/>
  <c r="B2520" i="5"/>
  <c r="A2521" i="5"/>
  <c r="B2521" i="5"/>
  <c r="A2522" i="5"/>
  <c r="B2522" i="5"/>
  <c r="A2523" i="5"/>
  <c r="B2523" i="5"/>
  <c r="A2524" i="5"/>
  <c r="B2524" i="5"/>
  <c r="A2525" i="5"/>
  <c r="B2525" i="5"/>
  <c r="A2526" i="5"/>
  <c r="B2526" i="5"/>
  <c r="A2527" i="5"/>
  <c r="B2527" i="5"/>
  <c r="A2528" i="5"/>
  <c r="B2528" i="5"/>
  <c r="A2529" i="5"/>
  <c r="B2529" i="5"/>
  <c r="A2530" i="5"/>
  <c r="B2530" i="5"/>
  <c r="A2531" i="5"/>
  <c r="B2531" i="5"/>
  <c r="A2532" i="5"/>
  <c r="B2532" i="5"/>
  <c r="A2533" i="5"/>
  <c r="B2533" i="5"/>
  <c r="A2534" i="5"/>
  <c r="B2534" i="5"/>
  <c r="A2535" i="5"/>
  <c r="B2535" i="5"/>
  <c r="A2536" i="5"/>
  <c r="B2536" i="5"/>
  <c r="A2537" i="5"/>
  <c r="B2537" i="5"/>
  <c r="A2538" i="5"/>
  <c r="B2538" i="5"/>
  <c r="A2539" i="5"/>
  <c r="B2539" i="5"/>
  <c r="A2540" i="5"/>
  <c r="B2540" i="5"/>
  <c r="A2541" i="5"/>
  <c r="B2541" i="5"/>
  <c r="A2542" i="5"/>
  <c r="B2542" i="5"/>
  <c r="A2543" i="5"/>
  <c r="B2543" i="5"/>
  <c r="A2544" i="5"/>
  <c r="B2544" i="5"/>
  <c r="A2545" i="5"/>
  <c r="B2545" i="5"/>
  <c r="A2546" i="5"/>
  <c r="B2546" i="5"/>
  <c r="A2547" i="5"/>
  <c r="B2547" i="5"/>
  <c r="A2548" i="5"/>
  <c r="B2548" i="5"/>
  <c r="A2549" i="5"/>
  <c r="B2549" i="5"/>
  <c r="A2550" i="5"/>
  <c r="B2550" i="5"/>
  <c r="A2551" i="5"/>
  <c r="B2551" i="5"/>
  <c r="A2552" i="5"/>
  <c r="B2552" i="5"/>
  <c r="A2553" i="5"/>
  <c r="B2553" i="5"/>
  <c r="A2554" i="5"/>
  <c r="B2554" i="5"/>
  <c r="A2555" i="5"/>
  <c r="B2555" i="5"/>
  <c r="A2556" i="5"/>
  <c r="B2556" i="5"/>
  <c r="A2557" i="5"/>
  <c r="B2557" i="5"/>
  <c r="A2558" i="5"/>
  <c r="B2558" i="5"/>
  <c r="A2559" i="5"/>
  <c r="B2559" i="5"/>
  <c r="A2560" i="5"/>
  <c r="B2560" i="5"/>
  <c r="A2561" i="5"/>
  <c r="B2561" i="5"/>
  <c r="A2562" i="5"/>
  <c r="B2562" i="5"/>
  <c r="A2563" i="5"/>
  <c r="B2563" i="5"/>
  <c r="A2564" i="5"/>
  <c r="B2564" i="5"/>
  <c r="A2565" i="5"/>
  <c r="B2565" i="5"/>
  <c r="A2566" i="5"/>
  <c r="B2566" i="5"/>
  <c r="A2567" i="5"/>
  <c r="B2567" i="5"/>
  <c r="A2568" i="5"/>
  <c r="B2568" i="5"/>
  <c r="A2569" i="5"/>
  <c r="B2569" i="5"/>
  <c r="A2570" i="5"/>
  <c r="B2570" i="5"/>
  <c r="A2571" i="5"/>
  <c r="B2571" i="5"/>
  <c r="A2572" i="5"/>
  <c r="B2572" i="5"/>
  <c r="A2573" i="5"/>
  <c r="B2573" i="5"/>
  <c r="A2574" i="5"/>
  <c r="B2574" i="5"/>
  <c r="A2575" i="5"/>
  <c r="B2575" i="5"/>
  <c r="A2576" i="5"/>
  <c r="B2576" i="5"/>
  <c r="A2577" i="5"/>
  <c r="B2577" i="5"/>
  <c r="A2578" i="5"/>
  <c r="B2578" i="5"/>
  <c r="A2579" i="5"/>
  <c r="B2579" i="5"/>
  <c r="A2580" i="5"/>
  <c r="B2580" i="5"/>
  <c r="A2581" i="5"/>
  <c r="B2581" i="5"/>
  <c r="A2582" i="5"/>
  <c r="B2582" i="5"/>
  <c r="A2583" i="5"/>
  <c r="B2583" i="5"/>
  <c r="A2584" i="5"/>
  <c r="B2584" i="5"/>
  <c r="A2585" i="5"/>
  <c r="B2585" i="5"/>
  <c r="A2586" i="5"/>
  <c r="B2586" i="5"/>
  <c r="A2587" i="5"/>
  <c r="B2587" i="5"/>
  <c r="A2588" i="5"/>
  <c r="B2588" i="5"/>
  <c r="A2589" i="5"/>
  <c r="B2589" i="5"/>
  <c r="A2590" i="5"/>
  <c r="B2590" i="5"/>
  <c r="A2591" i="5"/>
  <c r="B2591" i="5"/>
  <c r="A2592" i="5"/>
  <c r="B2592" i="5"/>
  <c r="A2593" i="5"/>
  <c r="B2593" i="5"/>
  <c r="A2594" i="5"/>
  <c r="B2594" i="5"/>
  <c r="A2595" i="5"/>
  <c r="B2595" i="5"/>
  <c r="A2596" i="5"/>
  <c r="B2596" i="5"/>
  <c r="A2597" i="5"/>
  <c r="B2597" i="5"/>
  <c r="A2598" i="5"/>
  <c r="B2598" i="5"/>
  <c r="A2599" i="5"/>
  <c r="B2599" i="5"/>
  <c r="A2600" i="5"/>
  <c r="B2600" i="5"/>
  <c r="A2601" i="5"/>
  <c r="B2601" i="5"/>
  <c r="A2602" i="5"/>
  <c r="B2602" i="5"/>
  <c r="A2603" i="5"/>
  <c r="B2603" i="5"/>
  <c r="A2604" i="5"/>
  <c r="B2604" i="5"/>
  <c r="A2605" i="5"/>
  <c r="B2605" i="5"/>
  <c r="A2606" i="5"/>
  <c r="B2606" i="5"/>
  <c r="A2607" i="5"/>
  <c r="B2607" i="5"/>
  <c r="A2608" i="5"/>
  <c r="B2608" i="5"/>
  <c r="A2609" i="5"/>
  <c r="B2609" i="5"/>
  <c r="A2610" i="5"/>
  <c r="B2610" i="5"/>
  <c r="A2611" i="5"/>
  <c r="B2611" i="5"/>
  <c r="A2612" i="5"/>
  <c r="B2612" i="5"/>
  <c r="A2613" i="5"/>
  <c r="B2613" i="5"/>
  <c r="A2614" i="5"/>
  <c r="B2614" i="5"/>
  <c r="A2615" i="5"/>
  <c r="B2615" i="5"/>
  <c r="A2616" i="5"/>
  <c r="B2616" i="5"/>
  <c r="A2617" i="5"/>
  <c r="B2617" i="5"/>
  <c r="A2618" i="5"/>
  <c r="B2618" i="5"/>
  <c r="A2619" i="5"/>
  <c r="B2619" i="5"/>
  <c r="A2620" i="5"/>
  <c r="B2620" i="5"/>
  <c r="A2621" i="5"/>
  <c r="B2621" i="5"/>
  <c r="A2622" i="5"/>
  <c r="B2622" i="5"/>
  <c r="A2623" i="5"/>
  <c r="B2623" i="5"/>
  <c r="A2624" i="5"/>
  <c r="B2624" i="5"/>
  <c r="A2625" i="5"/>
  <c r="B2625" i="5"/>
  <c r="A2626" i="5"/>
  <c r="B2626" i="5"/>
  <c r="A2627" i="5"/>
  <c r="B2627" i="5"/>
  <c r="A2628" i="5"/>
  <c r="B2628" i="5"/>
  <c r="A2629" i="5"/>
  <c r="B2629" i="5"/>
  <c r="A2630" i="5"/>
  <c r="B2630" i="5"/>
  <c r="A2631" i="5"/>
  <c r="B2631" i="5"/>
  <c r="A2632" i="5"/>
  <c r="B2632" i="5"/>
  <c r="A2633" i="5"/>
  <c r="B2633" i="5"/>
  <c r="A2634" i="5"/>
  <c r="B2634" i="5"/>
  <c r="A2635" i="5"/>
  <c r="B2635" i="5"/>
  <c r="A2636" i="5"/>
  <c r="B2636" i="5"/>
  <c r="A2637" i="5"/>
  <c r="B2637" i="5"/>
  <c r="A2638" i="5"/>
  <c r="B2638" i="5"/>
  <c r="A2639" i="5"/>
  <c r="B2639" i="5"/>
  <c r="A2640" i="5"/>
  <c r="B2640" i="5"/>
  <c r="A2641" i="5"/>
  <c r="B2641" i="5"/>
  <c r="A2642" i="5"/>
  <c r="B2642" i="5"/>
  <c r="A2643" i="5"/>
  <c r="B2643" i="5"/>
  <c r="A2644" i="5"/>
  <c r="B2644" i="5"/>
  <c r="A2645" i="5"/>
  <c r="B2645" i="5"/>
  <c r="A2646" i="5"/>
  <c r="B2646" i="5"/>
  <c r="A2647" i="5"/>
  <c r="B2647" i="5"/>
  <c r="A2648" i="5"/>
  <c r="B2648" i="5"/>
  <c r="A2649" i="5"/>
  <c r="B2649" i="5"/>
  <c r="A2650" i="5"/>
  <c r="B2650" i="5"/>
  <c r="A2651" i="5"/>
  <c r="B2651" i="5"/>
  <c r="A2652" i="5"/>
  <c r="B2652" i="5"/>
  <c r="A2653" i="5"/>
  <c r="B2653" i="5"/>
  <c r="A2654" i="5"/>
  <c r="B2654" i="5"/>
  <c r="A2655" i="5"/>
  <c r="B2655" i="5"/>
  <c r="A2656" i="5"/>
  <c r="B2656" i="5"/>
  <c r="A2657" i="5"/>
  <c r="B2657" i="5"/>
  <c r="A2658" i="5"/>
  <c r="B2658" i="5"/>
  <c r="A2659" i="5"/>
  <c r="B2659" i="5"/>
  <c r="A2660" i="5"/>
  <c r="B2660" i="5"/>
  <c r="A2661" i="5"/>
  <c r="B2661" i="5"/>
  <c r="A2662" i="5"/>
  <c r="B2662" i="5"/>
  <c r="A2663" i="5"/>
  <c r="B2663" i="5"/>
  <c r="A2664" i="5"/>
  <c r="B2664" i="5"/>
  <c r="A2665" i="5"/>
  <c r="B2665" i="5"/>
  <c r="A2666" i="5"/>
  <c r="B2666" i="5"/>
  <c r="A2667" i="5"/>
  <c r="B2667" i="5"/>
  <c r="A2668" i="5"/>
  <c r="B2668" i="5"/>
  <c r="A2669" i="5"/>
  <c r="B2669" i="5"/>
  <c r="A2670" i="5"/>
  <c r="B2670" i="5"/>
  <c r="A2671" i="5"/>
  <c r="B2671" i="5"/>
  <c r="A2672" i="5"/>
  <c r="B2672" i="5"/>
  <c r="A2673" i="5"/>
  <c r="B2673" i="5"/>
  <c r="A2674" i="5"/>
  <c r="B2674" i="5"/>
  <c r="A2675" i="5"/>
  <c r="B2675" i="5"/>
  <c r="A2676" i="5"/>
  <c r="B2676" i="5"/>
  <c r="A2677" i="5"/>
  <c r="B2677" i="5"/>
  <c r="A2678" i="5"/>
  <c r="B2678" i="5"/>
  <c r="A2679" i="5"/>
  <c r="B2679" i="5"/>
  <c r="A2680" i="5"/>
  <c r="B2680" i="5"/>
  <c r="A2681" i="5"/>
  <c r="B2681" i="5"/>
  <c r="A2682" i="5"/>
  <c r="B2682" i="5"/>
  <c r="A2683" i="5"/>
  <c r="B2683" i="5"/>
  <c r="A2684" i="5"/>
  <c r="B2684" i="5"/>
  <c r="A2685" i="5"/>
  <c r="B2685" i="5"/>
  <c r="A2686" i="5"/>
  <c r="B2686" i="5"/>
  <c r="A2687" i="5"/>
  <c r="B2687" i="5"/>
  <c r="A2688" i="5"/>
  <c r="B2688" i="5"/>
  <c r="A2689" i="5"/>
  <c r="B2689" i="5"/>
  <c r="A2690" i="5"/>
  <c r="B2690" i="5"/>
  <c r="A2691" i="5"/>
  <c r="B2691" i="5"/>
  <c r="A2692" i="5"/>
  <c r="B2692" i="5"/>
  <c r="A2693" i="5"/>
  <c r="B2693" i="5"/>
  <c r="A2694" i="5"/>
  <c r="B2694" i="5"/>
  <c r="A2695" i="5"/>
  <c r="B2695" i="5"/>
  <c r="A2696" i="5"/>
  <c r="B2696" i="5"/>
  <c r="A2697" i="5"/>
  <c r="B2697" i="5"/>
  <c r="A2698" i="5"/>
  <c r="B2698" i="5"/>
  <c r="A2699" i="5"/>
  <c r="B2699" i="5"/>
  <c r="A2700" i="5"/>
  <c r="B2700" i="5"/>
  <c r="A2701" i="5"/>
  <c r="B2701" i="5"/>
  <c r="A2702" i="5"/>
  <c r="B2702" i="5"/>
  <c r="A2703" i="5"/>
  <c r="B2703" i="5"/>
  <c r="A2704" i="5"/>
  <c r="B2704" i="5"/>
  <c r="A2705" i="5"/>
  <c r="B2705" i="5"/>
  <c r="A2706" i="5"/>
  <c r="B2706" i="5"/>
  <c r="A2707" i="5"/>
  <c r="B2707" i="5"/>
  <c r="A2708" i="5"/>
  <c r="B2708" i="5"/>
  <c r="A2709" i="5"/>
  <c r="B2709" i="5"/>
  <c r="A2710" i="5"/>
  <c r="B2710" i="5"/>
  <c r="A2711" i="5"/>
  <c r="B2711" i="5"/>
  <c r="A2712" i="5"/>
  <c r="B2712" i="5"/>
  <c r="A2713" i="5"/>
  <c r="B2713" i="5"/>
  <c r="A2714" i="5"/>
  <c r="B2714" i="5"/>
  <c r="A2715" i="5"/>
  <c r="B2715" i="5"/>
  <c r="A2716" i="5"/>
  <c r="B2716" i="5"/>
  <c r="A2717" i="5"/>
  <c r="B2717" i="5"/>
  <c r="A2718" i="5"/>
  <c r="B2718" i="5"/>
  <c r="A2719" i="5"/>
  <c r="B2719" i="5"/>
  <c r="A2720" i="5"/>
  <c r="B2720" i="5"/>
  <c r="A2721" i="5"/>
  <c r="B2721" i="5"/>
  <c r="A2722" i="5"/>
  <c r="B2722" i="5"/>
  <c r="A2723" i="5"/>
  <c r="B2723" i="5"/>
  <c r="A2724" i="5"/>
  <c r="B2724" i="5"/>
  <c r="A2725" i="5"/>
  <c r="B2725" i="5"/>
  <c r="A2726" i="5"/>
  <c r="B2726" i="5"/>
  <c r="A2727" i="5"/>
  <c r="B2727" i="5"/>
  <c r="A2728" i="5"/>
  <c r="B2728" i="5"/>
  <c r="A2729" i="5"/>
  <c r="B2729" i="5"/>
  <c r="A2730" i="5"/>
  <c r="B2730" i="5"/>
  <c r="A2731" i="5"/>
  <c r="B2731" i="5"/>
  <c r="A2732" i="5"/>
  <c r="B2732" i="5"/>
  <c r="A2733" i="5"/>
  <c r="B2733" i="5"/>
  <c r="A2734" i="5"/>
  <c r="B2734" i="5"/>
  <c r="A2735" i="5"/>
  <c r="B2735" i="5"/>
  <c r="A2736" i="5"/>
  <c r="B2736" i="5"/>
  <c r="A2737" i="5"/>
  <c r="B2737" i="5"/>
  <c r="A2738" i="5"/>
  <c r="B2738" i="5"/>
  <c r="A2739" i="5"/>
  <c r="B2739" i="5"/>
  <c r="A2740" i="5"/>
  <c r="B2740" i="5"/>
  <c r="A2741" i="5"/>
  <c r="B2741" i="5"/>
  <c r="A2742" i="5"/>
  <c r="B2742" i="5"/>
  <c r="A2743" i="5"/>
  <c r="B2743" i="5"/>
  <c r="A2744" i="5"/>
  <c r="B2744" i="5"/>
  <c r="A2745" i="5"/>
  <c r="B2745" i="5"/>
  <c r="A2746" i="5"/>
  <c r="B2746" i="5"/>
  <c r="A2747" i="5"/>
  <c r="B2747" i="5"/>
  <c r="A2748" i="5"/>
  <c r="B2748" i="5"/>
  <c r="A2749" i="5"/>
  <c r="B2749" i="5"/>
  <c r="A2750" i="5"/>
  <c r="B2750" i="5"/>
  <c r="A2751" i="5"/>
  <c r="B2751" i="5"/>
  <c r="A2752" i="5"/>
  <c r="B2752" i="5"/>
  <c r="A2753" i="5"/>
  <c r="B2753" i="5"/>
  <c r="A2754" i="5"/>
  <c r="B2754" i="5"/>
  <c r="A2755" i="5"/>
  <c r="B2755" i="5"/>
  <c r="A2756" i="5"/>
  <c r="B2756" i="5"/>
  <c r="A2757" i="5"/>
  <c r="B2757" i="5"/>
  <c r="A2758" i="5"/>
  <c r="B2758" i="5"/>
  <c r="A2759" i="5"/>
  <c r="B2759" i="5"/>
  <c r="A2760" i="5"/>
  <c r="B2760" i="5"/>
  <c r="A2761" i="5"/>
  <c r="B2761" i="5"/>
  <c r="A2762" i="5"/>
  <c r="B2762" i="5"/>
  <c r="A2763" i="5"/>
  <c r="B2763" i="5"/>
  <c r="A2764" i="5"/>
  <c r="B2764" i="5"/>
  <c r="A2765" i="5"/>
  <c r="B2765" i="5"/>
  <c r="A2766" i="5"/>
  <c r="B2766" i="5"/>
  <c r="A2767" i="5"/>
  <c r="B2767" i="5"/>
  <c r="A2768" i="5"/>
  <c r="B2768" i="5"/>
  <c r="A2769" i="5"/>
  <c r="B2769" i="5"/>
  <c r="A2770" i="5"/>
  <c r="B2770" i="5"/>
  <c r="A2771" i="5"/>
  <c r="B2771" i="5"/>
  <c r="A2772" i="5"/>
  <c r="B2772" i="5"/>
  <c r="A2773" i="5"/>
  <c r="B2773" i="5"/>
  <c r="A2774" i="5"/>
  <c r="B2774" i="5"/>
  <c r="A2775" i="5"/>
  <c r="B2775" i="5"/>
  <c r="A2776" i="5"/>
  <c r="B2776" i="5"/>
  <c r="A2777" i="5"/>
  <c r="B2777" i="5"/>
  <c r="A2778" i="5"/>
  <c r="B2778" i="5"/>
  <c r="A2779" i="5"/>
  <c r="B2779" i="5"/>
  <c r="A2780" i="5"/>
  <c r="B2780" i="5"/>
  <c r="A2781" i="5"/>
  <c r="B2781" i="5"/>
  <c r="A2782" i="5"/>
  <c r="B2782" i="5"/>
  <c r="A2783" i="5"/>
  <c r="B2783" i="5"/>
  <c r="A2784" i="5"/>
  <c r="B2784" i="5"/>
  <c r="A2785" i="5"/>
  <c r="B2785" i="5"/>
  <c r="A2786" i="5"/>
  <c r="B2786" i="5"/>
  <c r="A2787" i="5"/>
  <c r="B2787" i="5"/>
  <c r="A2788" i="5"/>
  <c r="B2788" i="5"/>
  <c r="A2789" i="5"/>
  <c r="B2789" i="5"/>
  <c r="A2790" i="5"/>
  <c r="B2790" i="5"/>
  <c r="A2791" i="5"/>
  <c r="B2791" i="5"/>
  <c r="A2792" i="5"/>
  <c r="B2792" i="5"/>
  <c r="A2793" i="5"/>
  <c r="B2793" i="5"/>
  <c r="A2794" i="5"/>
  <c r="B2794" i="5"/>
  <c r="A2795" i="5"/>
  <c r="B2795" i="5"/>
  <c r="A2796" i="5"/>
  <c r="B2796" i="5"/>
  <c r="A2797" i="5"/>
  <c r="B2797" i="5"/>
  <c r="A2798" i="5"/>
  <c r="B2798" i="5"/>
  <c r="A2799" i="5"/>
  <c r="B2799" i="5"/>
  <c r="A2800" i="5"/>
  <c r="B2800" i="5"/>
  <c r="A2801" i="5"/>
  <c r="B2801" i="5"/>
  <c r="A2802" i="5"/>
  <c r="B2802" i="5"/>
  <c r="A2803" i="5"/>
  <c r="B2803" i="5"/>
  <c r="A2804" i="5"/>
  <c r="B2804" i="5"/>
  <c r="A2805" i="5"/>
  <c r="B2805" i="5"/>
  <c r="A2806" i="5"/>
  <c r="B2806" i="5"/>
  <c r="A2807" i="5"/>
  <c r="B2807" i="5"/>
  <c r="A2808" i="5"/>
  <c r="B2808" i="5"/>
  <c r="A2809" i="5"/>
  <c r="B2809" i="5"/>
  <c r="A2810" i="5"/>
  <c r="B2810" i="5"/>
  <c r="A2811" i="5"/>
  <c r="B2811" i="5"/>
  <c r="A2812" i="5"/>
  <c r="B2812" i="5"/>
  <c r="A2813" i="5"/>
  <c r="B2813" i="5"/>
  <c r="A2814" i="5"/>
  <c r="B2814" i="5"/>
  <c r="A2815" i="5"/>
  <c r="B2815" i="5"/>
  <c r="A2816" i="5"/>
  <c r="B2816" i="5"/>
  <c r="A2817" i="5"/>
  <c r="B2817" i="5"/>
  <c r="A2818" i="5"/>
  <c r="B2818" i="5"/>
  <c r="A2819" i="5"/>
  <c r="B2819" i="5"/>
  <c r="A2820" i="5"/>
  <c r="B2820" i="5"/>
  <c r="A2821" i="5"/>
  <c r="B2821" i="5"/>
  <c r="A2822" i="5"/>
  <c r="B2822" i="5"/>
  <c r="A2823" i="5"/>
  <c r="B2823" i="5"/>
  <c r="A2824" i="5"/>
  <c r="B2824" i="5"/>
  <c r="A2825" i="5"/>
  <c r="B2825" i="5"/>
  <c r="A2826" i="5"/>
  <c r="B2826" i="5"/>
  <c r="A2827" i="5"/>
  <c r="B2827" i="5"/>
  <c r="A2828" i="5"/>
  <c r="B2828" i="5"/>
  <c r="A2829" i="5"/>
  <c r="B2829" i="5"/>
  <c r="A2830" i="5"/>
  <c r="B2830" i="5"/>
  <c r="A2831" i="5"/>
  <c r="B2831" i="5"/>
  <c r="A2832" i="5"/>
  <c r="B2832" i="5"/>
  <c r="A2833" i="5"/>
  <c r="B2833" i="5"/>
  <c r="A2834" i="5"/>
  <c r="B2834" i="5"/>
  <c r="A2835" i="5"/>
  <c r="B2835" i="5"/>
  <c r="A2836" i="5"/>
  <c r="B2836" i="5"/>
  <c r="A2837" i="5"/>
  <c r="B2837" i="5"/>
  <c r="A2838" i="5"/>
  <c r="B2838" i="5"/>
  <c r="A2839" i="5"/>
  <c r="B2839" i="5"/>
  <c r="A2840" i="5"/>
  <c r="B2840" i="5"/>
  <c r="A2841" i="5"/>
  <c r="B2841" i="5"/>
  <c r="A2842" i="5"/>
  <c r="B2842" i="5"/>
  <c r="A2843" i="5"/>
  <c r="B2843" i="5"/>
  <c r="A2844" i="5"/>
  <c r="B2844" i="5"/>
  <c r="A2845" i="5"/>
  <c r="B2845" i="5"/>
  <c r="A2846" i="5"/>
  <c r="B2846" i="5"/>
  <c r="A2847" i="5"/>
  <c r="B2847" i="5"/>
  <c r="A2848" i="5"/>
  <c r="B2848" i="5"/>
  <c r="A2849" i="5"/>
  <c r="B2849" i="5"/>
  <c r="A2850" i="5"/>
  <c r="B2850" i="5"/>
  <c r="A2851" i="5"/>
  <c r="B2851" i="5"/>
  <c r="A2852" i="5"/>
  <c r="B2852" i="5"/>
  <c r="A2853" i="5"/>
  <c r="B2853" i="5"/>
  <c r="A2854" i="5"/>
  <c r="B2854" i="5"/>
  <c r="A2855" i="5"/>
  <c r="B2855" i="5"/>
  <c r="A2856" i="5"/>
  <c r="B2856" i="5"/>
  <c r="A2857" i="5"/>
  <c r="B2857" i="5"/>
  <c r="A2858" i="5"/>
  <c r="B2858" i="5"/>
  <c r="A2859" i="5"/>
  <c r="B2859" i="5"/>
  <c r="A2860" i="5"/>
  <c r="B2860" i="5"/>
  <c r="A2861" i="5"/>
  <c r="B2861" i="5"/>
  <c r="A2862" i="5"/>
  <c r="B2862" i="5"/>
  <c r="A2863" i="5"/>
  <c r="B2863" i="5"/>
  <c r="A2864" i="5"/>
  <c r="B2864" i="5"/>
  <c r="A2865" i="5"/>
  <c r="B2865" i="5"/>
  <c r="A2866" i="5"/>
  <c r="B2866" i="5"/>
  <c r="A2867" i="5"/>
  <c r="B2867" i="5"/>
  <c r="A2868" i="5"/>
  <c r="B2868" i="5"/>
  <c r="A2869" i="5"/>
  <c r="B2869" i="5"/>
  <c r="A2870" i="5"/>
  <c r="B2870" i="5"/>
  <c r="A2871" i="5"/>
  <c r="B2871" i="5"/>
  <c r="A2872" i="5"/>
  <c r="B2872" i="5"/>
  <c r="A2873" i="5"/>
  <c r="B2873" i="5"/>
  <c r="A2874" i="5"/>
  <c r="B2874" i="5"/>
  <c r="A2875" i="5"/>
  <c r="B2875" i="5"/>
  <c r="A2876" i="5"/>
  <c r="B2876" i="5"/>
  <c r="A2877" i="5"/>
  <c r="B2877" i="5"/>
  <c r="A2878" i="5"/>
  <c r="B2878" i="5"/>
  <c r="A2879" i="5"/>
  <c r="B2879" i="5"/>
  <c r="A2880" i="5"/>
  <c r="B2880" i="5"/>
  <c r="A2881" i="5"/>
  <c r="B2881" i="5"/>
  <c r="A2882" i="5"/>
  <c r="B2882" i="5"/>
  <c r="A2883" i="5"/>
  <c r="B2883" i="5"/>
  <c r="A2884" i="5"/>
  <c r="B2884" i="5"/>
  <c r="A2885" i="5"/>
  <c r="B2885" i="5"/>
  <c r="A2886" i="5"/>
  <c r="B2886" i="5"/>
  <c r="A2887" i="5"/>
  <c r="B2887" i="5"/>
  <c r="A2888" i="5"/>
  <c r="B2888" i="5"/>
  <c r="A2889" i="5"/>
  <c r="B2889" i="5"/>
  <c r="A2890" i="5"/>
  <c r="B2890" i="5"/>
  <c r="A2891" i="5"/>
  <c r="B2891" i="5"/>
  <c r="A2892" i="5"/>
  <c r="B2892" i="5"/>
  <c r="A2893" i="5"/>
  <c r="B2893" i="5"/>
  <c r="A2894" i="5"/>
  <c r="B2894" i="5"/>
  <c r="A2895" i="5"/>
  <c r="B2895" i="5"/>
  <c r="A2896" i="5"/>
  <c r="B2896" i="5"/>
  <c r="A2897" i="5"/>
  <c r="B2897" i="5"/>
  <c r="A2898" i="5"/>
  <c r="B2898" i="5"/>
  <c r="A2899" i="5"/>
  <c r="B2899" i="5"/>
  <c r="A2900" i="5"/>
  <c r="B2900" i="5"/>
  <c r="A2901" i="5"/>
  <c r="B2901" i="5"/>
  <c r="A2902" i="5"/>
  <c r="B2902" i="5"/>
  <c r="A2903" i="5"/>
  <c r="B2903" i="5"/>
  <c r="A2904" i="5"/>
  <c r="B2904" i="5"/>
  <c r="A2905" i="5"/>
  <c r="B2905" i="5"/>
  <c r="A2906" i="5"/>
  <c r="B2906" i="5"/>
  <c r="A2907" i="5"/>
  <c r="B2907" i="5"/>
  <c r="A2908" i="5"/>
  <c r="B2908" i="5"/>
  <c r="A2909" i="5"/>
  <c r="B2909" i="5"/>
  <c r="A2910" i="5"/>
  <c r="B2910" i="5"/>
  <c r="A2911" i="5"/>
  <c r="B2911" i="5"/>
  <c r="A2912" i="5"/>
  <c r="B2912" i="5"/>
  <c r="A2913" i="5"/>
  <c r="B2913" i="5"/>
  <c r="A2914" i="5"/>
  <c r="B2914" i="5"/>
  <c r="A2915" i="5"/>
  <c r="B2915" i="5"/>
  <c r="A2916" i="5"/>
  <c r="B2916" i="5"/>
  <c r="A2917" i="5"/>
  <c r="B2917" i="5"/>
  <c r="A2918" i="5"/>
  <c r="B2918" i="5"/>
  <c r="A2919" i="5"/>
  <c r="B2919" i="5"/>
  <c r="A2920" i="5"/>
  <c r="B2920" i="5"/>
  <c r="A2921" i="5"/>
  <c r="B2921" i="5"/>
  <c r="A2922" i="5"/>
  <c r="B2922" i="5"/>
  <c r="A2923" i="5"/>
  <c r="B2923" i="5"/>
  <c r="A2924" i="5"/>
  <c r="B2924" i="5"/>
  <c r="A2925" i="5"/>
  <c r="B2925" i="5"/>
  <c r="A2926" i="5"/>
  <c r="B2926" i="5"/>
  <c r="A2927" i="5"/>
  <c r="B2927" i="5"/>
  <c r="A2928" i="5"/>
  <c r="B2928" i="5"/>
  <c r="A2929" i="5"/>
  <c r="B2929" i="5"/>
  <c r="A2930" i="5"/>
  <c r="B2930" i="5"/>
  <c r="A2931" i="5"/>
  <c r="B2931" i="5"/>
  <c r="A2932" i="5"/>
  <c r="B2932" i="5"/>
  <c r="A2933" i="5"/>
  <c r="B2933" i="5"/>
  <c r="A2934" i="5"/>
  <c r="B2934" i="5"/>
  <c r="A2935" i="5"/>
  <c r="B2935" i="5"/>
  <c r="A2936" i="5"/>
  <c r="B2936" i="5"/>
  <c r="A2937" i="5"/>
  <c r="B2937" i="5"/>
  <c r="A2938" i="5"/>
  <c r="B2938" i="5"/>
  <c r="A2939" i="5"/>
  <c r="B2939" i="5"/>
  <c r="A2940" i="5"/>
  <c r="B2940" i="5"/>
  <c r="A2941" i="5"/>
  <c r="B2941" i="5"/>
  <c r="A2942" i="5"/>
  <c r="B2942" i="5"/>
  <c r="A2943" i="5"/>
  <c r="B2943" i="5"/>
  <c r="A2944" i="5"/>
  <c r="B2944" i="5"/>
  <c r="A2945" i="5"/>
  <c r="B2945" i="5"/>
  <c r="A2946" i="5"/>
  <c r="B2946" i="5"/>
  <c r="A2947" i="5"/>
  <c r="B2947" i="5"/>
  <c r="A2948" i="5"/>
  <c r="B2948" i="5"/>
  <c r="A2949" i="5"/>
  <c r="B2949" i="5"/>
  <c r="A2950" i="5"/>
  <c r="B2950" i="5"/>
  <c r="A2951" i="5"/>
  <c r="B2951" i="5"/>
  <c r="A2952" i="5"/>
  <c r="B2952" i="5"/>
  <c r="A2953" i="5"/>
  <c r="B2953" i="5"/>
  <c r="A2954" i="5"/>
  <c r="B2954" i="5"/>
  <c r="A2955" i="5"/>
  <c r="B2955" i="5"/>
  <c r="A2956" i="5"/>
  <c r="B2956" i="5"/>
  <c r="A2957" i="5"/>
  <c r="B2957" i="5"/>
  <c r="A2958" i="5"/>
  <c r="B2958" i="5"/>
  <c r="A2959" i="5"/>
  <c r="B2959" i="5"/>
  <c r="A2960" i="5"/>
  <c r="B2960" i="5"/>
  <c r="A2961" i="5"/>
  <c r="B2961" i="5"/>
  <c r="A2962" i="5"/>
  <c r="B2962" i="5"/>
  <c r="A2963" i="5"/>
  <c r="B2963" i="5"/>
  <c r="A2964" i="5"/>
  <c r="B2964" i="5"/>
  <c r="A2965" i="5"/>
  <c r="B2965" i="5"/>
  <c r="A2966" i="5"/>
  <c r="B2966" i="5"/>
  <c r="A2967" i="5"/>
  <c r="B2967" i="5"/>
  <c r="A2968" i="5"/>
  <c r="B2968" i="5"/>
  <c r="A2969" i="5"/>
  <c r="B2969" i="5"/>
  <c r="A2970" i="5"/>
  <c r="B2970" i="5"/>
  <c r="A2971" i="5"/>
  <c r="B2971" i="5"/>
  <c r="A2972" i="5"/>
  <c r="B2972" i="5"/>
  <c r="A2973" i="5"/>
  <c r="B2973" i="5"/>
  <c r="A2974" i="5"/>
  <c r="B2974" i="5"/>
  <c r="A2975" i="5"/>
  <c r="B2975" i="5"/>
  <c r="A2976" i="5"/>
  <c r="B2976" i="5"/>
  <c r="A2977" i="5"/>
  <c r="B2977" i="5"/>
  <c r="A2978" i="5"/>
  <c r="B2978" i="5"/>
  <c r="A2979" i="5"/>
  <c r="B2979" i="5"/>
  <c r="A2980" i="5"/>
  <c r="B2980" i="5"/>
  <c r="A2981" i="5"/>
  <c r="B2981" i="5"/>
  <c r="A2982" i="5"/>
  <c r="B2982" i="5"/>
  <c r="A2983" i="5"/>
  <c r="B2983" i="5"/>
  <c r="A2984" i="5"/>
  <c r="B2984" i="5"/>
  <c r="A2985" i="5"/>
  <c r="B2985" i="5"/>
  <c r="A2986" i="5"/>
  <c r="B2986" i="5"/>
  <c r="A2987" i="5"/>
  <c r="B2987" i="5"/>
  <c r="A2988" i="5"/>
  <c r="B2988" i="5"/>
  <c r="A2989" i="5"/>
  <c r="B2989" i="5"/>
  <c r="A2990" i="5"/>
  <c r="B2990" i="5"/>
  <c r="A2991" i="5"/>
  <c r="B2991" i="5"/>
  <c r="A2992" i="5"/>
  <c r="B2992" i="5"/>
  <c r="A2993" i="5"/>
  <c r="B2993" i="5"/>
  <c r="A2994" i="5"/>
  <c r="B2994" i="5"/>
  <c r="A2995" i="5"/>
  <c r="B2995" i="5"/>
  <c r="A2996" i="5"/>
  <c r="B2996" i="5"/>
  <c r="A2997" i="5"/>
  <c r="B2997" i="5"/>
  <c r="A2998" i="5"/>
  <c r="B2998" i="5"/>
  <c r="A2999" i="5"/>
  <c r="B2999" i="5"/>
  <c r="A3000" i="5"/>
  <c r="B3000" i="5"/>
  <c r="A3001" i="5"/>
  <c r="B3001" i="5"/>
  <c r="A3002" i="5"/>
  <c r="B3002" i="5"/>
  <c r="A304" i="4"/>
  <c r="B304" i="4"/>
  <c r="A305" i="4"/>
  <c r="B305" i="4"/>
  <c r="A306" i="4"/>
  <c r="B306" i="4"/>
  <c r="A307" i="4"/>
  <c r="B307" i="4"/>
  <c r="A308" i="4"/>
  <c r="B308" i="4"/>
  <c r="A309" i="4"/>
  <c r="B309" i="4"/>
  <c r="A310" i="4"/>
  <c r="B310" i="4"/>
  <c r="A311" i="4"/>
  <c r="B311" i="4"/>
  <c r="A312" i="4"/>
  <c r="B312" i="4"/>
  <c r="A313" i="4"/>
  <c r="B313" i="4"/>
  <c r="A314" i="4"/>
  <c r="B314" i="4"/>
  <c r="A315" i="4"/>
  <c r="B315" i="4"/>
  <c r="A316" i="4"/>
  <c r="B316" i="4"/>
  <c r="A317" i="4"/>
  <c r="B317" i="4"/>
  <c r="A318" i="4"/>
  <c r="B318" i="4"/>
  <c r="A319" i="4"/>
  <c r="B319" i="4"/>
  <c r="A320" i="4"/>
  <c r="B320" i="4"/>
  <c r="A321" i="4"/>
  <c r="B321" i="4"/>
  <c r="A322" i="4"/>
  <c r="B322" i="4"/>
  <c r="A323" i="4"/>
  <c r="B323" i="4"/>
  <c r="A324" i="4"/>
  <c r="B324" i="4"/>
  <c r="A325" i="4"/>
  <c r="B325" i="4"/>
  <c r="A326" i="4"/>
  <c r="B326" i="4"/>
  <c r="A327" i="4"/>
  <c r="B327" i="4"/>
  <c r="A328" i="4"/>
  <c r="B328" i="4"/>
  <c r="A329" i="4"/>
  <c r="B329" i="4"/>
  <c r="A330" i="4"/>
  <c r="B330" i="4"/>
  <c r="A331" i="4"/>
  <c r="B331" i="4"/>
  <c r="A332" i="4"/>
  <c r="B332" i="4"/>
  <c r="A333" i="4"/>
  <c r="B333" i="4"/>
  <c r="A334" i="4"/>
  <c r="B334" i="4"/>
  <c r="A335" i="4"/>
  <c r="B335" i="4"/>
  <c r="A336" i="4"/>
  <c r="B336" i="4"/>
  <c r="A337" i="4"/>
  <c r="B337" i="4"/>
  <c r="A338" i="4"/>
  <c r="B338" i="4"/>
  <c r="A339" i="4"/>
  <c r="B339" i="4"/>
  <c r="A340" i="4"/>
  <c r="B340" i="4"/>
  <c r="A341" i="4"/>
  <c r="B341" i="4"/>
  <c r="A342" i="4"/>
  <c r="B342" i="4"/>
  <c r="A343" i="4"/>
  <c r="B343" i="4"/>
  <c r="A344" i="4"/>
  <c r="B344" i="4"/>
  <c r="A345" i="4"/>
  <c r="B345" i="4"/>
  <c r="A346" i="4"/>
  <c r="B346" i="4"/>
  <c r="A347" i="4"/>
  <c r="B347" i="4"/>
  <c r="A348" i="4"/>
  <c r="B348" i="4"/>
  <c r="A349" i="4"/>
  <c r="B349" i="4"/>
  <c r="A350" i="4"/>
  <c r="B350" i="4"/>
  <c r="A351" i="4"/>
  <c r="B351" i="4"/>
  <c r="A352" i="4"/>
  <c r="B352" i="4"/>
  <c r="A353" i="4"/>
  <c r="B353" i="4"/>
  <c r="A354" i="4"/>
  <c r="B354" i="4"/>
  <c r="A355" i="4"/>
  <c r="B355" i="4"/>
  <c r="A356" i="4"/>
  <c r="B356" i="4"/>
  <c r="A357" i="4"/>
  <c r="B357" i="4"/>
  <c r="A358" i="4"/>
  <c r="B358" i="4"/>
  <c r="A359" i="4"/>
  <c r="B359" i="4"/>
  <c r="A360" i="4"/>
  <c r="B360" i="4"/>
  <c r="A361" i="4"/>
  <c r="B361" i="4"/>
  <c r="A362" i="4"/>
  <c r="B362" i="4"/>
  <c r="A363" i="4"/>
  <c r="B363" i="4"/>
  <c r="A364" i="4"/>
  <c r="B364" i="4"/>
  <c r="A365" i="4"/>
  <c r="B365" i="4"/>
  <c r="A366" i="4"/>
  <c r="B366" i="4"/>
  <c r="A367" i="4"/>
  <c r="B367" i="4"/>
  <c r="A368" i="4"/>
  <c r="B368" i="4"/>
  <c r="A369" i="4"/>
  <c r="B369" i="4"/>
  <c r="A370" i="4"/>
  <c r="B370" i="4"/>
  <c r="A371" i="4"/>
  <c r="B371" i="4"/>
  <c r="A372" i="4"/>
  <c r="B372" i="4"/>
  <c r="A373" i="4"/>
  <c r="B373" i="4"/>
  <c r="A374" i="4"/>
  <c r="B374" i="4"/>
  <c r="A375" i="4"/>
  <c r="B375" i="4"/>
  <c r="A376" i="4"/>
  <c r="B376" i="4"/>
  <c r="A377" i="4"/>
  <c r="B377" i="4"/>
  <c r="A378" i="4"/>
  <c r="B378" i="4"/>
  <c r="A379" i="4"/>
  <c r="B379" i="4"/>
  <c r="A380" i="4"/>
  <c r="B380" i="4"/>
  <c r="A381" i="4"/>
  <c r="B381" i="4"/>
  <c r="A382" i="4"/>
  <c r="B382" i="4"/>
  <c r="A383" i="4"/>
  <c r="B383" i="4"/>
  <c r="A384" i="4"/>
  <c r="B384" i="4"/>
  <c r="A385" i="4"/>
  <c r="B385" i="4"/>
  <c r="A386" i="4"/>
  <c r="B386" i="4"/>
  <c r="A387" i="4"/>
  <c r="B387" i="4"/>
  <c r="A388" i="4"/>
  <c r="B388" i="4"/>
  <c r="A389" i="4"/>
  <c r="B389" i="4"/>
  <c r="A390" i="4"/>
  <c r="B390" i="4"/>
  <c r="A391" i="4"/>
  <c r="B391" i="4"/>
  <c r="A392" i="4"/>
  <c r="B392" i="4"/>
  <c r="A393" i="4"/>
  <c r="B393" i="4"/>
  <c r="A394" i="4"/>
  <c r="B394" i="4"/>
  <c r="A395" i="4"/>
  <c r="B395" i="4"/>
  <c r="A396" i="4"/>
  <c r="B396" i="4"/>
  <c r="A397" i="4"/>
  <c r="B397" i="4"/>
  <c r="A398" i="4"/>
  <c r="B398" i="4"/>
  <c r="A399" i="4"/>
  <c r="B399" i="4"/>
  <c r="A400" i="4"/>
  <c r="B400" i="4"/>
  <c r="A401" i="4"/>
  <c r="B401" i="4"/>
  <c r="A402" i="4"/>
  <c r="B402" i="4"/>
  <c r="A403" i="4"/>
  <c r="B403" i="4"/>
  <c r="A404" i="4"/>
  <c r="B404" i="4"/>
  <c r="A405" i="4"/>
  <c r="B405" i="4"/>
  <c r="A406" i="4"/>
  <c r="B406" i="4"/>
  <c r="A407" i="4"/>
  <c r="B407" i="4"/>
  <c r="A408" i="4"/>
  <c r="B408" i="4"/>
  <c r="A409" i="4"/>
  <c r="B409" i="4"/>
  <c r="A410" i="4"/>
  <c r="B410" i="4"/>
  <c r="A411" i="4"/>
  <c r="B411" i="4"/>
  <c r="A412" i="4"/>
  <c r="B412" i="4"/>
  <c r="A413" i="4"/>
  <c r="B413" i="4"/>
  <c r="A414" i="4"/>
  <c r="B414" i="4"/>
  <c r="A415" i="4"/>
  <c r="B415" i="4"/>
  <c r="A416" i="4"/>
  <c r="B416" i="4"/>
  <c r="A417" i="4"/>
  <c r="B417" i="4"/>
  <c r="A418" i="4"/>
  <c r="B418" i="4"/>
  <c r="A419" i="4"/>
  <c r="B419" i="4"/>
  <c r="A420" i="4"/>
  <c r="B420" i="4"/>
  <c r="A421" i="4"/>
  <c r="B421" i="4"/>
  <c r="A422" i="4"/>
  <c r="B422" i="4"/>
  <c r="A423" i="4"/>
  <c r="B423" i="4"/>
  <c r="A424" i="4"/>
  <c r="B424" i="4"/>
  <c r="A425" i="4"/>
  <c r="B425" i="4"/>
  <c r="A426" i="4"/>
  <c r="B426" i="4"/>
  <c r="A427" i="4"/>
  <c r="B427" i="4"/>
  <c r="A428" i="4"/>
  <c r="B428" i="4"/>
  <c r="A429" i="4"/>
  <c r="B429" i="4"/>
  <c r="A430" i="4"/>
  <c r="B430" i="4"/>
  <c r="A431" i="4"/>
  <c r="B431" i="4"/>
  <c r="A432" i="4"/>
  <c r="B432" i="4"/>
  <c r="A433" i="4"/>
  <c r="B433" i="4"/>
  <c r="A434" i="4"/>
  <c r="B434" i="4"/>
  <c r="A435" i="4"/>
  <c r="B435" i="4"/>
  <c r="A436" i="4"/>
  <c r="B436" i="4"/>
  <c r="A437" i="4"/>
  <c r="B437" i="4"/>
  <c r="A438" i="4"/>
  <c r="B438" i="4"/>
  <c r="A439" i="4"/>
  <c r="B439" i="4"/>
  <c r="A440" i="4"/>
  <c r="B440" i="4"/>
  <c r="A441" i="4"/>
  <c r="B441" i="4"/>
  <c r="A442" i="4"/>
  <c r="B442" i="4"/>
  <c r="A443" i="4"/>
  <c r="B443" i="4"/>
  <c r="A444" i="4"/>
  <c r="B444" i="4"/>
  <c r="A445" i="4"/>
  <c r="B445" i="4"/>
  <c r="A446" i="4"/>
  <c r="B446" i="4"/>
  <c r="A447" i="4"/>
  <c r="B447" i="4"/>
  <c r="A448" i="4"/>
  <c r="B448" i="4"/>
  <c r="A449" i="4"/>
  <c r="B449" i="4"/>
  <c r="A450" i="4"/>
  <c r="B450" i="4"/>
  <c r="A451" i="4"/>
  <c r="B451" i="4"/>
  <c r="A452" i="4"/>
  <c r="B452" i="4"/>
  <c r="A453" i="4"/>
  <c r="B453" i="4"/>
  <c r="A454" i="4"/>
  <c r="B454" i="4"/>
  <c r="A455" i="4"/>
  <c r="B455" i="4"/>
  <c r="A456" i="4"/>
  <c r="B456" i="4"/>
  <c r="A457" i="4"/>
  <c r="B457" i="4"/>
  <c r="A458" i="4"/>
  <c r="B458" i="4"/>
  <c r="A459" i="4"/>
  <c r="B459" i="4"/>
  <c r="A460" i="4"/>
  <c r="B460" i="4"/>
  <c r="A461" i="4"/>
  <c r="B461" i="4"/>
  <c r="A462" i="4"/>
  <c r="B462" i="4"/>
  <c r="A463" i="4"/>
  <c r="B463" i="4"/>
  <c r="A464" i="4"/>
  <c r="B464" i="4"/>
  <c r="A465" i="4"/>
  <c r="B465" i="4"/>
  <c r="A466" i="4"/>
  <c r="B466" i="4"/>
  <c r="A467" i="4"/>
  <c r="B467" i="4"/>
  <c r="A468" i="4"/>
  <c r="B468" i="4"/>
  <c r="A469" i="4"/>
  <c r="B469" i="4"/>
  <c r="A470" i="4"/>
  <c r="B470" i="4"/>
  <c r="A471" i="4"/>
  <c r="B471" i="4"/>
  <c r="A472" i="4"/>
  <c r="B472" i="4"/>
  <c r="A473" i="4"/>
  <c r="B473" i="4"/>
  <c r="A474" i="4"/>
  <c r="B474" i="4"/>
  <c r="A475" i="4"/>
  <c r="B475" i="4"/>
  <c r="A476" i="4"/>
  <c r="B476" i="4"/>
  <c r="A477" i="4"/>
  <c r="B477" i="4"/>
  <c r="A478" i="4"/>
  <c r="B478" i="4"/>
  <c r="A479" i="4"/>
  <c r="B479" i="4"/>
  <c r="A480" i="4"/>
  <c r="B480" i="4"/>
  <c r="A481" i="4"/>
  <c r="B481" i="4"/>
  <c r="A482" i="4"/>
  <c r="B482" i="4"/>
  <c r="A483" i="4"/>
  <c r="B483" i="4"/>
  <c r="A484" i="4"/>
  <c r="B484" i="4"/>
  <c r="A485" i="4"/>
  <c r="B485" i="4"/>
  <c r="A486" i="4"/>
  <c r="B486" i="4"/>
  <c r="A487" i="4"/>
  <c r="B487" i="4"/>
  <c r="A488" i="4"/>
  <c r="B488" i="4"/>
  <c r="A489" i="4"/>
  <c r="B489" i="4"/>
  <c r="A490" i="4"/>
  <c r="B490" i="4"/>
  <c r="A491" i="4"/>
  <c r="B491" i="4"/>
  <c r="A492" i="4"/>
  <c r="B492" i="4"/>
  <c r="A493" i="4"/>
  <c r="B493" i="4"/>
  <c r="A494" i="4"/>
  <c r="B494" i="4"/>
  <c r="A495" i="4"/>
  <c r="B495" i="4"/>
  <c r="A496" i="4"/>
  <c r="B496" i="4"/>
  <c r="A497" i="4"/>
  <c r="B497" i="4"/>
  <c r="A498" i="4"/>
  <c r="B498" i="4"/>
  <c r="A499" i="4"/>
  <c r="B499" i="4"/>
  <c r="A500" i="4"/>
  <c r="B500" i="4"/>
  <c r="A501" i="4"/>
  <c r="B501" i="4"/>
  <c r="A502" i="4"/>
  <c r="B502" i="4"/>
  <c r="A503" i="4"/>
  <c r="B503" i="4"/>
  <c r="A504" i="4"/>
  <c r="B504" i="4"/>
  <c r="A505" i="4"/>
  <c r="B505" i="4"/>
  <c r="A506" i="4"/>
  <c r="B506" i="4"/>
  <c r="A507" i="4"/>
  <c r="B507" i="4"/>
  <c r="A508" i="4"/>
  <c r="B508" i="4"/>
  <c r="A509" i="4"/>
  <c r="B509" i="4"/>
  <c r="A510" i="4"/>
  <c r="B510" i="4"/>
  <c r="A511" i="4"/>
  <c r="B511" i="4"/>
  <c r="A512" i="4"/>
  <c r="B512" i="4"/>
  <c r="A513" i="4"/>
  <c r="B513" i="4"/>
  <c r="A514" i="4"/>
  <c r="B514" i="4"/>
  <c r="A515" i="4"/>
  <c r="B515" i="4"/>
  <c r="A516" i="4"/>
  <c r="B516" i="4"/>
  <c r="A517" i="4"/>
  <c r="B517" i="4"/>
  <c r="A518" i="4"/>
  <c r="B518" i="4"/>
  <c r="A519" i="4"/>
  <c r="B519" i="4"/>
  <c r="A520" i="4"/>
  <c r="B520" i="4"/>
  <c r="A521" i="4"/>
  <c r="B521" i="4"/>
  <c r="A522" i="4"/>
  <c r="B522" i="4"/>
  <c r="A523" i="4"/>
  <c r="B523" i="4"/>
  <c r="A524" i="4"/>
  <c r="B524" i="4"/>
  <c r="A525" i="4"/>
  <c r="B525" i="4"/>
  <c r="A526" i="4"/>
  <c r="B526" i="4"/>
  <c r="A527" i="4"/>
  <c r="B527" i="4"/>
  <c r="A528" i="4"/>
  <c r="B528" i="4"/>
  <c r="A529" i="4"/>
  <c r="B529" i="4"/>
  <c r="A530" i="4"/>
  <c r="B530" i="4"/>
  <c r="A531" i="4"/>
  <c r="B531" i="4"/>
  <c r="A532" i="4"/>
  <c r="B532" i="4"/>
  <c r="A533" i="4"/>
  <c r="B533" i="4"/>
  <c r="A534" i="4"/>
  <c r="B534" i="4"/>
  <c r="A535" i="4"/>
  <c r="B535" i="4"/>
  <c r="A536" i="4"/>
  <c r="B536" i="4"/>
  <c r="A537" i="4"/>
  <c r="B537" i="4"/>
  <c r="A538" i="4"/>
  <c r="B538" i="4"/>
  <c r="A539" i="4"/>
  <c r="B539" i="4"/>
  <c r="A540" i="4"/>
  <c r="B540" i="4"/>
  <c r="A541" i="4"/>
  <c r="B541" i="4"/>
  <c r="A542" i="4"/>
  <c r="B542" i="4"/>
  <c r="A543" i="4"/>
  <c r="B543" i="4"/>
  <c r="A544" i="4"/>
  <c r="B544" i="4"/>
  <c r="A545" i="4"/>
  <c r="B545" i="4"/>
  <c r="A546" i="4"/>
  <c r="B546" i="4"/>
  <c r="A547" i="4"/>
  <c r="B547" i="4"/>
  <c r="A548" i="4"/>
  <c r="B548" i="4"/>
  <c r="A549" i="4"/>
  <c r="B549" i="4"/>
  <c r="A550" i="4"/>
  <c r="B550" i="4"/>
  <c r="A551" i="4"/>
  <c r="B551" i="4"/>
  <c r="A552" i="4"/>
  <c r="B552" i="4"/>
  <c r="A553" i="4"/>
  <c r="B553" i="4"/>
  <c r="A554" i="4"/>
  <c r="B554" i="4"/>
  <c r="A555" i="4"/>
  <c r="B555" i="4"/>
  <c r="A556" i="4"/>
  <c r="B556" i="4"/>
  <c r="A557" i="4"/>
  <c r="B557" i="4"/>
  <c r="A558" i="4"/>
  <c r="B558" i="4"/>
  <c r="A559" i="4"/>
  <c r="B559" i="4"/>
  <c r="A560" i="4"/>
  <c r="B560" i="4"/>
  <c r="A561" i="4"/>
  <c r="B561" i="4"/>
  <c r="A562" i="4"/>
  <c r="B562" i="4"/>
  <c r="A563" i="4"/>
  <c r="B563" i="4"/>
  <c r="A564" i="4"/>
  <c r="B564" i="4"/>
  <c r="A565" i="4"/>
  <c r="B565" i="4"/>
  <c r="A566" i="4"/>
  <c r="B566" i="4"/>
  <c r="A567" i="4"/>
  <c r="B567" i="4"/>
  <c r="A568" i="4"/>
  <c r="B568" i="4"/>
  <c r="A569" i="4"/>
  <c r="B569" i="4"/>
  <c r="A570" i="4"/>
  <c r="B570" i="4"/>
  <c r="A571" i="4"/>
  <c r="B571" i="4"/>
  <c r="A572" i="4"/>
  <c r="B572" i="4"/>
  <c r="A573" i="4"/>
  <c r="B573" i="4"/>
  <c r="A574" i="4"/>
  <c r="B574" i="4"/>
  <c r="A575" i="4"/>
  <c r="B575" i="4"/>
  <c r="A576" i="4"/>
  <c r="B576" i="4"/>
  <c r="A577" i="4"/>
  <c r="B577" i="4"/>
  <c r="A578" i="4"/>
  <c r="B578" i="4"/>
  <c r="A579" i="4"/>
  <c r="B579" i="4"/>
  <c r="A580" i="4"/>
  <c r="B580" i="4"/>
  <c r="A581" i="4"/>
  <c r="B581" i="4"/>
  <c r="A582" i="4"/>
  <c r="B582" i="4"/>
  <c r="A583" i="4"/>
  <c r="B583" i="4"/>
  <c r="A584" i="4"/>
  <c r="B584" i="4"/>
  <c r="A585" i="4"/>
  <c r="B585" i="4"/>
  <c r="A586" i="4"/>
  <c r="B586" i="4"/>
  <c r="A587" i="4"/>
  <c r="B587" i="4"/>
  <c r="A588" i="4"/>
  <c r="B588" i="4"/>
  <c r="A589" i="4"/>
  <c r="B589" i="4"/>
  <c r="A590" i="4"/>
  <c r="B590" i="4"/>
  <c r="A591" i="4"/>
  <c r="B591" i="4"/>
  <c r="A592" i="4"/>
  <c r="B592" i="4"/>
  <c r="A593" i="4"/>
  <c r="B593" i="4"/>
  <c r="A594" i="4"/>
  <c r="B594" i="4"/>
  <c r="A595" i="4"/>
  <c r="B595" i="4"/>
  <c r="A596" i="4"/>
  <c r="B596" i="4"/>
  <c r="A597" i="4"/>
  <c r="B597" i="4"/>
  <c r="A598" i="4"/>
  <c r="B598" i="4"/>
  <c r="A599" i="4"/>
  <c r="B599" i="4"/>
  <c r="A600" i="4"/>
  <c r="B600" i="4"/>
  <c r="A601" i="4"/>
  <c r="B601" i="4"/>
  <c r="A602" i="4"/>
  <c r="B602" i="4"/>
  <c r="A603" i="4"/>
  <c r="B603" i="4"/>
  <c r="A604" i="4"/>
  <c r="B604" i="4"/>
  <c r="A605" i="4"/>
  <c r="B605" i="4"/>
  <c r="A606" i="4"/>
  <c r="B606" i="4"/>
  <c r="A607" i="4"/>
  <c r="B607" i="4"/>
  <c r="A608" i="4"/>
  <c r="B608" i="4"/>
  <c r="A609" i="4"/>
  <c r="B609" i="4"/>
  <c r="A610" i="4"/>
  <c r="B610" i="4"/>
  <c r="A611" i="4"/>
  <c r="B611" i="4"/>
  <c r="A612" i="4"/>
  <c r="B612" i="4"/>
  <c r="A613" i="4"/>
  <c r="B613" i="4"/>
  <c r="A614" i="4"/>
  <c r="B614" i="4"/>
  <c r="A615" i="4"/>
  <c r="B615" i="4"/>
  <c r="A616" i="4"/>
  <c r="B616" i="4"/>
  <c r="A617" i="4"/>
  <c r="B617" i="4"/>
  <c r="A618" i="4"/>
  <c r="B618" i="4"/>
  <c r="A619" i="4"/>
  <c r="B619" i="4"/>
  <c r="A620" i="4"/>
  <c r="B620" i="4"/>
  <c r="A621" i="4"/>
  <c r="B621" i="4"/>
  <c r="A622" i="4"/>
  <c r="B622" i="4"/>
  <c r="A623" i="4"/>
  <c r="B623" i="4"/>
  <c r="A624" i="4"/>
  <c r="B624" i="4"/>
  <c r="A625" i="4"/>
  <c r="B625" i="4"/>
  <c r="A626" i="4"/>
  <c r="B626" i="4"/>
  <c r="A627" i="4"/>
  <c r="B627" i="4"/>
  <c r="A628" i="4"/>
  <c r="B628" i="4"/>
  <c r="A629" i="4"/>
  <c r="B629" i="4"/>
  <c r="A630" i="4"/>
  <c r="B630" i="4"/>
  <c r="A631" i="4"/>
  <c r="B631" i="4"/>
  <c r="A632" i="4"/>
  <c r="B632" i="4"/>
  <c r="A633" i="4"/>
  <c r="B633" i="4"/>
  <c r="A634" i="4"/>
  <c r="B634" i="4"/>
  <c r="A635" i="4"/>
  <c r="B635" i="4"/>
  <c r="A636" i="4"/>
  <c r="B636" i="4"/>
  <c r="A637" i="4"/>
  <c r="B637" i="4"/>
  <c r="A638" i="4"/>
  <c r="B638" i="4"/>
  <c r="A639" i="4"/>
  <c r="B639" i="4"/>
  <c r="A640" i="4"/>
  <c r="B640" i="4"/>
  <c r="A641" i="4"/>
  <c r="B641" i="4"/>
  <c r="A642" i="4"/>
  <c r="B642" i="4"/>
  <c r="A643" i="4"/>
  <c r="B643" i="4"/>
  <c r="A644" i="4"/>
  <c r="B644" i="4"/>
  <c r="A645" i="4"/>
  <c r="B645" i="4"/>
  <c r="A646" i="4"/>
  <c r="B646" i="4"/>
  <c r="A647" i="4"/>
  <c r="B647" i="4"/>
  <c r="A648" i="4"/>
  <c r="B648" i="4"/>
  <c r="A649" i="4"/>
  <c r="B649" i="4"/>
  <c r="A650" i="4"/>
  <c r="B650" i="4"/>
  <c r="A651" i="4"/>
  <c r="B651" i="4"/>
  <c r="A652" i="4"/>
  <c r="B652" i="4"/>
  <c r="A653" i="4"/>
  <c r="B653" i="4"/>
  <c r="A654" i="4"/>
  <c r="B654" i="4"/>
  <c r="A655" i="4"/>
  <c r="B655" i="4"/>
  <c r="A656" i="4"/>
  <c r="B656" i="4"/>
  <c r="A657" i="4"/>
  <c r="B657" i="4"/>
  <c r="A658" i="4"/>
  <c r="B658" i="4"/>
  <c r="A659" i="4"/>
  <c r="B659" i="4"/>
  <c r="A660" i="4"/>
  <c r="B660" i="4"/>
  <c r="A661" i="4"/>
  <c r="B661" i="4"/>
  <c r="A662" i="4"/>
  <c r="B662" i="4"/>
  <c r="A663" i="4"/>
  <c r="B663" i="4"/>
  <c r="A664" i="4"/>
  <c r="B664" i="4"/>
  <c r="A665" i="4"/>
  <c r="B665" i="4"/>
  <c r="A666" i="4"/>
  <c r="B666" i="4"/>
  <c r="A667" i="4"/>
  <c r="B667" i="4"/>
  <c r="A668" i="4"/>
  <c r="B668" i="4"/>
  <c r="A669" i="4"/>
  <c r="B669" i="4"/>
  <c r="A670" i="4"/>
  <c r="B670" i="4"/>
  <c r="A671" i="4"/>
  <c r="B671" i="4"/>
  <c r="A672" i="4"/>
  <c r="B672" i="4"/>
  <c r="A673" i="4"/>
  <c r="B673" i="4"/>
  <c r="A674" i="4"/>
  <c r="B674" i="4"/>
  <c r="A675" i="4"/>
  <c r="B675" i="4"/>
  <c r="A676" i="4"/>
  <c r="B676" i="4"/>
  <c r="A677" i="4"/>
  <c r="B677" i="4"/>
  <c r="A678" i="4"/>
  <c r="B678" i="4"/>
  <c r="A679" i="4"/>
  <c r="B679" i="4"/>
  <c r="A680" i="4"/>
  <c r="B680" i="4"/>
  <c r="A681" i="4"/>
  <c r="B681" i="4"/>
  <c r="A682" i="4"/>
  <c r="B682" i="4"/>
  <c r="A683" i="4"/>
  <c r="B683" i="4"/>
  <c r="A684" i="4"/>
  <c r="B684" i="4"/>
  <c r="A685" i="4"/>
  <c r="B685" i="4"/>
  <c r="A686" i="4"/>
  <c r="B686" i="4"/>
  <c r="A687" i="4"/>
  <c r="B687" i="4"/>
  <c r="A688" i="4"/>
  <c r="B688" i="4"/>
  <c r="A689" i="4"/>
  <c r="B689" i="4"/>
  <c r="A690" i="4"/>
  <c r="B690" i="4"/>
  <c r="A691" i="4"/>
  <c r="B691" i="4"/>
  <c r="A692" i="4"/>
  <c r="B692" i="4"/>
  <c r="A693" i="4"/>
  <c r="B693" i="4"/>
  <c r="A694" i="4"/>
  <c r="B694" i="4"/>
  <c r="A695" i="4"/>
  <c r="B695" i="4"/>
  <c r="A696" i="4"/>
  <c r="B696" i="4"/>
  <c r="A697" i="4"/>
  <c r="B697" i="4"/>
  <c r="A698" i="4"/>
  <c r="B698" i="4"/>
  <c r="A699" i="4"/>
  <c r="B699" i="4"/>
  <c r="A700" i="4"/>
  <c r="B700" i="4"/>
  <c r="A701" i="4"/>
  <c r="B701" i="4"/>
  <c r="A702" i="4"/>
  <c r="B702" i="4"/>
  <c r="A703" i="4"/>
  <c r="B703" i="4"/>
  <c r="A704" i="4"/>
  <c r="B704" i="4"/>
  <c r="A705" i="4"/>
  <c r="B705" i="4"/>
  <c r="A706" i="4"/>
  <c r="B706" i="4"/>
  <c r="A707" i="4"/>
  <c r="B707" i="4"/>
  <c r="A708" i="4"/>
  <c r="B708" i="4"/>
  <c r="A709" i="4"/>
  <c r="B709" i="4"/>
  <c r="A710" i="4"/>
  <c r="B710" i="4"/>
  <c r="A711" i="4"/>
  <c r="B711" i="4"/>
  <c r="A712" i="4"/>
  <c r="B712" i="4"/>
  <c r="A713" i="4"/>
  <c r="B713" i="4"/>
  <c r="A714" i="4"/>
  <c r="B714" i="4"/>
  <c r="A715" i="4"/>
  <c r="B715" i="4"/>
  <c r="A716" i="4"/>
  <c r="B716" i="4"/>
  <c r="A717" i="4"/>
  <c r="B717" i="4"/>
  <c r="A718" i="4"/>
  <c r="B718" i="4"/>
  <c r="A719" i="4"/>
  <c r="B719" i="4"/>
  <c r="A720" i="4"/>
  <c r="B720" i="4"/>
  <c r="A721" i="4"/>
  <c r="B721" i="4"/>
  <c r="A722" i="4"/>
  <c r="B722" i="4"/>
  <c r="A723" i="4"/>
  <c r="B723" i="4"/>
  <c r="A724" i="4"/>
  <c r="B724" i="4"/>
  <c r="A725" i="4"/>
  <c r="B725" i="4"/>
  <c r="A726" i="4"/>
  <c r="B726" i="4"/>
  <c r="A727" i="4"/>
  <c r="B727" i="4"/>
  <c r="A728" i="4"/>
  <c r="B728" i="4"/>
  <c r="A729" i="4"/>
  <c r="B729" i="4"/>
  <c r="A730" i="4"/>
  <c r="B730" i="4"/>
  <c r="A731" i="4"/>
  <c r="B731" i="4"/>
  <c r="A732" i="4"/>
  <c r="B732" i="4"/>
  <c r="A733" i="4"/>
  <c r="B733" i="4"/>
  <c r="A734" i="4"/>
  <c r="B734" i="4"/>
  <c r="A735" i="4"/>
  <c r="B735" i="4"/>
  <c r="A736" i="4"/>
  <c r="B736" i="4"/>
  <c r="A737" i="4"/>
  <c r="B737" i="4"/>
  <c r="A738" i="4"/>
  <c r="B738" i="4"/>
  <c r="A739" i="4"/>
  <c r="B739" i="4"/>
  <c r="A740" i="4"/>
  <c r="B740" i="4"/>
  <c r="A741" i="4"/>
  <c r="B741" i="4"/>
  <c r="A742" i="4"/>
  <c r="B742" i="4"/>
  <c r="A743" i="4"/>
  <c r="B743" i="4"/>
  <c r="A744" i="4"/>
  <c r="B744" i="4"/>
  <c r="A745" i="4"/>
  <c r="B745" i="4"/>
  <c r="A746" i="4"/>
  <c r="B746" i="4"/>
  <c r="A747" i="4"/>
  <c r="B747" i="4"/>
  <c r="A748" i="4"/>
  <c r="B748" i="4"/>
  <c r="A749" i="4"/>
  <c r="B749" i="4"/>
  <c r="A750" i="4"/>
  <c r="B750" i="4"/>
  <c r="A751" i="4"/>
  <c r="B751" i="4"/>
  <c r="A752" i="4"/>
  <c r="B752" i="4"/>
  <c r="A753" i="4"/>
  <c r="B753" i="4"/>
  <c r="A754" i="4"/>
  <c r="B754" i="4"/>
  <c r="A755" i="4"/>
  <c r="B755" i="4"/>
  <c r="A756" i="4"/>
  <c r="B756" i="4"/>
  <c r="A757" i="4"/>
  <c r="B757" i="4"/>
  <c r="A758" i="4"/>
  <c r="B758" i="4"/>
  <c r="A759" i="4"/>
  <c r="B759" i="4"/>
  <c r="A760" i="4"/>
  <c r="B760" i="4"/>
  <c r="A761" i="4"/>
  <c r="B761" i="4"/>
  <c r="A762" i="4"/>
  <c r="B762" i="4"/>
  <c r="A763" i="4"/>
  <c r="B763" i="4"/>
  <c r="A764" i="4"/>
  <c r="B764" i="4"/>
  <c r="A765" i="4"/>
  <c r="B765" i="4"/>
  <c r="A766" i="4"/>
  <c r="B766" i="4"/>
  <c r="A767" i="4"/>
  <c r="B767" i="4"/>
  <c r="A768" i="4"/>
  <c r="B768" i="4"/>
  <c r="A769" i="4"/>
  <c r="B769" i="4"/>
  <c r="A770" i="4"/>
  <c r="B770" i="4"/>
  <c r="A771" i="4"/>
  <c r="B771" i="4"/>
  <c r="A772" i="4"/>
  <c r="B772" i="4"/>
  <c r="A773" i="4"/>
  <c r="B773" i="4"/>
  <c r="A774" i="4"/>
  <c r="B774" i="4"/>
  <c r="A775" i="4"/>
  <c r="B775" i="4"/>
  <c r="A776" i="4"/>
  <c r="B776" i="4"/>
  <c r="A777" i="4"/>
  <c r="B777" i="4"/>
  <c r="A778" i="4"/>
  <c r="B778" i="4"/>
  <c r="A779" i="4"/>
  <c r="B779" i="4"/>
  <c r="A780" i="4"/>
  <c r="B780" i="4"/>
  <c r="A781" i="4"/>
  <c r="B781" i="4"/>
  <c r="A782" i="4"/>
  <c r="B782" i="4"/>
  <c r="A783" i="4"/>
  <c r="B783" i="4"/>
  <c r="A784" i="4"/>
  <c r="B784" i="4"/>
  <c r="A785" i="4"/>
  <c r="B785" i="4"/>
  <c r="A786" i="4"/>
  <c r="B786" i="4"/>
  <c r="A787" i="4"/>
  <c r="B787" i="4"/>
  <c r="A788" i="4"/>
  <c r="B788" i="4"/>
  <c r="A789" i="4"/>
  <c r="B789" i="4"/>
  <c r="A790" i="4"/>
  <c r="B790" i="4"/>
  <c r="A791" i="4"/>
  <c r="B791" i="4"/>
  <c r="A792" i="4"/>
  <c r="B792" i="4"/>
  <c r="A793" i="4"/>
  <c r="B793" i="4"/>
  <c r="A794" i="4"/>
  <c r="B794" i="4"/>
  <c r="A795" i="4"/>
  <c r="B795" i="4"/>
  <c r="A796" i="4"/>
  <c r="B796" i="4"/>
  <c r="A797" i="4"/>
  <c r="B797" i="4"/>
  <c r="A798" i="4"/>
  <c r="B798" i="4"/>
  <c r="A799" i="4"/>
  <c r="B799" i="4"/>
  <c r="A800" i="4"/>
  <c r="B800" i="4"/>
  <c r="A801" i="4"/>
  <c r="B801" i="4"/>
  <c r="A802" i="4"/>
  <c r="B802" i="4"/>
  <c r="A803" i="4"/>
  <c r="B803" i="4"/>
  <c r="A804" i="4"/>
  <c r="B804" i="4"/>
  <c r="A805" i="4"/>
  <c r="B805" i="4"/>
  <c r="A806" i="4"/>
  <c r="B806" i="4"/>
  <c r="A807" i="4"/>
  <c r="B807" i="4"/>
  <c r="A808" i="4"/>
  <c r="B808" i="4"/>
  <c r="A809" i="4"/>
  <c r="B809" i="4"/>
  <c r="A810" i="4"/>
  <c r="B810" i="4"/>
  <c r="A811" i="4"/>
  <c r="B811" i="4"/>
  <c r="A812" i="4"/>
  <c r="B812" i="4"/>
  <c r="A813" i="4"/>
  <c r="B813" i="4"/>
  <c r="A814" i="4"/>
  <c r="B814" i="4"/>
  <c r="A815" i="4"/>
  <c r="B815" i="4"/>
  <c r="A816" i="4"/>
  <c r="B816" i="4"/>
  <c r="A817" i="4"/>
  <c r="B817" i="4"/>
  <c r="A818" i="4"/>
  <c r="B818" i="4"/>
  <c r="A819" i="4"/>
  <c r="B819" i="4"/>
  <c r="A820" i="4"/>
  <c r="B820" i="4"/>
  <c r="A821" i="4"/>
  <c r="B821" i="4"/>
  <c r="A822" i="4"/>
  <c r="B822" i="4"/>
  <c r="A823" i="4"/>
  <c r="B823" i="4"/>
  <c r="A824" i="4"/>
  <c r="B824" i="4"/>
  <c r="A825" i="4"/>
  <c r="B825" i="4"/>
  <c r="A826" i="4"/>
  <c r="B826" i="4"/>
  <c r="A827" i="4"/>
  <c r="B827" i="4"/>
  <c r="A828" i="4"/>
  <c r="B828" i="4"/>
  <c r="A829" i="4"/>
  <c r="B829" i="4"/>
  <c r="A830" i="4"/>
  <c r="B830" i="4"/>
  <c r="A831" i="4"/>
  <c r="B831" i="4"/>
  <c r="A832" i="4"/>
  <c r="B832" i="4"/>
  <c r="A833" i="4"/>
  <c r="B833" i="4"/>
  <c r="A834" i="4"/>
  <c r="B834" i="4"/>
  <c r="A835" i="4"/>
  <c r="B835" i="4"/>
  <c r="A836" i="4"/>
  <c r="B836" i="4"/>
  <c r="A837" i="4"/>
  <c r="B837" i="4"/>
  <c r="A838" i="4"/>
  <c r="B838" i="4"/>
  <c r="A839" i="4"/>
  <c r="B839" i="4"/>
  <c r="A840" i="4"/>
  <c r="B840" i="4"/>
  <c r="A841" i="4"/>
  <c r="B841" i="4"/>
  <c r="A842" i="4"/>
  <c r="B842" i="4"/>
  <c r="A843" i="4"/>
  <c r="B843" i="4"/>
  <c r="A844" i="4"/>
  <c r="B844" i="4"/>
  <c r="A845" i="4"/>
  <c r="B845" i="4"/>
  <c r="A846" i="4"/>
  <c r="B846" i="4"/>
  <c r="A847" i="4"/>
  <c r="B847" i="4"/>
  <c r="A848" i="4"/>
  <c r="B848" i="4"/>
  <c r="A849" i="4"/>
  <c r="B849" i="4"/>
  <c r="A850" i="4"/>
  <c r="B850" i="4"/>
  <c r="A851" i="4"/>
  <c r="B851" i="4"/>
  <c r="A852" i="4"/>
  <c r="B852" i="4"/>
  <c r="A853" i="4"/>
  <c r="B853" i="4"/>
  <c r="A854" i="4"/>
  <c r="B854" i="4"/>
  <c r="A855" i="4"/>
  <c r="B855" i="4"/>
  <c r="A856" i="4"/>
  <c r="B856" i="4"/>
  <c r="A857" i="4"/>
  <c r="B857" i="4"/>
  <c r="A858" i="4"/>
  <c r="B858" i="4"/>
  <c r="A859" i="4"/>
  <c r="B859" i="4"/>
  <c r="A860" i="4"/>
  <c r="B860" i="4"/>
  <c r="A861" i="4"/>
  <c r="B861" i="4"/>
  <c r="A862" i="4"/>
  <c r="B862" i="4"/>
  <c r="A863" i="4"/>
  <c r="B863" i="4"/>
  <c r="A864" i="4"/>
  <c r="B864" i="4"/>
  <c r="A865" i="4"/>
  <c r="B865" i="4"/>
  <c r="A866" i="4"/>
  <c r="B866" i="4"/>
  <c r="A867" i="4"/>
  <c r="B867" i="4"/>
  <c r="A868" i="4"/>
  <c r="B868" i="4"/>
  <c r="A869" i="4"/>
  <c r="B869" i="4"/>
  <c r="A870" i="4"/>
  <c r="B870" i="4"/>
  <c r="A871" i="4"/>
  <c r="B871" i="4"/>
  <c r="A872" i="4"/>
  <c r="B872" i="4"/>
  <c r="A873" i="4"/>
  <c r="B873" i="4"/>
  <c r="A874" i="4"/>
  <c r="B874" i="4"/>
  <c r="A875" i="4"/>
  <c r="B875" i="4"/>
  <c r="A876" i="4"/>
  <c r="B876" i="4"/>
  <c r="A877" i="4"/>
  <c r="B877" i="4"/>
  <c r="A878" i="4"/>
  <c r="B878" i="4"/>
  <c r="A879" i="4"/>
  <c r="B879" i="4"/>
  <c r="A880" i="4"/>
  <c r="B880" i="4"/>
  <c r="A881" i="4"/>
  <c r="B881" i="4"/>
  <c r="A882" i="4"/>
  <c r="B882" i="4"/>
  <c r="A883" i="4"/>
  <c r="B883" i="4"/>
  <c r="A884" i="4"/>
  <c r="B884" i="4"/>
  <c r="A885" i="4"/>
  <c r="B885" i="4"/>
  <c r="A886" i="4"/>
  <c r="B886" i="4"/>
  <c r="A887" i="4"/>
  <c r="B887" i="4"/>
  <c r="A888" i="4"/>
  <c r="B888" i="4"/>
  <c r="A889" i="4"/>
  <c r="B889" i="4"/>
  <c r="A890" i="4"/>
  <c r="B890" i="4"/>
  <c r="A891" i="4"/>
  <c r="B891" i="4"/>
  <c r="A892" i="4"/>
  <c r="B892" i="4"/>
  <c r="A893" i="4"/>
  <c r="B893" i="4"/>
  <c r="A894" i="4"/>
  <c r="B894" i="4"/>
  <c r="A895" i="4"/>
  <c r="B895" i="4"/>
  <c r="A896" i="4"/>
  <c r="B896" i="4"/>
  <c r="A897" i="4"/>
  <c r="B897" i="4"/>
  <c r="A898" i="4"/>
  <c r="B898" i="4"/>
  <c r="A899" i="4"/>
  <c r="B899" i="4"/>
  <c r="A900" i="4"/>
  <c r="B900" i="4"/>
  <c r="A901" i="4"/>
  <c r="B901" i="4"/>
  <c r="A902" i="4"/>
  <c r="B902" i="4"/>
  <c r="A903" i="4"/>
  <c r="B903" i="4"/>
  <c r="A904" i="4"/>
  <c r="B904" i="4"/>
  <c r="A905" i="4"/>
  <c r="B905" i="4"/>
  <c r="A906" i="4"/>
  <c r="B906" i="4"/>
  <c r="A907" i="4"/>
  <c r="B907" i="4"/>
  <c r="A908" i="4"/>
  <c r="B908" i="4"/>
  <c r="A909" i="4"/>
  <c r="B909" i="4"/>
  <c r="A910" i="4"/>
  <c r="B910" i="4"/>
  <c r="A911" i="4"/>
  <c r="B911" i="4"/>
  <c r="A912" i="4"/>
  <c r="B912" i="4"/>
  <c r="A913" i="4"/>
  <c r="B913" i="4"/>
  <c r="A914" i="4"/>
  <c r="B914" i="4"/>
  <c r="A915" i="4"/>
  <c r="B915" i="4"/>
  <c r="A916" i="4"/>
  <c r="B916" i="4"/>
  <c r="A917" i="4"/>
  <c r="B917" i="4"/>
  <c r="A918" i="4"/>
  <c r="B918" i="4"/>
  <c r="A919" i="4"/>
  <c r="B919" i="4"/>
  <c r="A920" i="4"/>
  <c r="B920" i="4"/>
  <c r="A921" i="4"/>
  <c r="B921" i="4"/>
  <c r="A922" i="4"/>
  <c r="B922" i="4"/>
  <c r="A923" i="4"/>
  <c r="B923" i="4"/>
  <c r="A924" i="4"/>
  <c r="B924" i="4"/>
  <c r="A925" i="4"/>
  <c r="B925" i="4"/>
  <c r="A926" i="4"/>
  <c r="B926" i="4"/>
  <c r="A927" i="4"/>
  <c r="B927" i="4"/>
  <c r="A928" i="4"/>
  <c r="B928" i="4"/>
  <c r="A929" i="4"/>
  <c r="B929" i="4"/>
  <c r="A930" i="4"/>
  <c r="B930" i="4"/>
  <c r="A931" i="4"/>
  <c r="B931" i="4"/>
  <c r="A932" i="4"/>
  <c r="B932" i="4"/>
  <c r="A933" i="4"/>
  <c r="B933" i="4"/>
  <c r="A934" i="4"/>
  <c r="B934" i="4"/>
  <c r="A935" i="4"/>
  <c r="B935" i="4"/>
  <c r="A936" i="4"/>
  <c r="B936" i="4"/>
  <c r="A937" i="4"/>
  <c r="B937" i="4"/>
  <c r="A938" i="4"/>
  <c r="B938" i="4"/>
  <c r="A939" i="4"/>
  <c r="B939" i="4"/>
  <c r="A940" i="4"/>
  <c r="B940" i="4"/>
  <c r="A941" i="4"/>
  <c r="B941" i="4"/>
  <c r="A942" i="4"/>
  <c r="B942" i="4"/>
  <c r="A943" i="4"/>
  <c r="B943" i="4"/>
  <c r="A944" i="4"/>
  <c r="B944" i="4"/>
  <c r="A945" i="4"/>
  <c r="B945" i="4"/>
  <c r="A946" i="4"/>
  <c r="B946" i="4"/>
  <c r="A947" i="4"/>
  <c r="B947" i="4"/>
  <c r="A948" i="4"/>
  <c r="B948" i="4"/>
  <c r="A949" i="4"/>
  <c r="B949" i="4"/>
  <c r="A950" i="4"/>
  <c r="B950" i="4"/>
  <c r="A951" i="4"/>
  <c r="B951" i="4"/>
  <c r="A952" i="4"/>
  <c r="B952" i="4"/>
  <c r="A953" i="4"/>
  <c r="B953" i="4"/>
  <c r="A954" i="4"/>
  <c r="B954" i="4"/>
  <c r="A955" i="4"/>
  <c r="B955" i="4"/>
  <c r="A956" i="4"/>
  <c r="B956" i="4"/>
  <c r="A957" i="4"/>
  <c r="B957" i="4"/>
  <c r="A958" i="4"/>
  <c r="B958" i="4"/>
  <c r="A959" i="4"/>
  <c r="B959" i="4"/>
  <c r="A960" i="4"/>
  <c r="B960" i="4"/>
  <c r="A961" i="4"/>
  <c r="B961" i="4"/>
  <c r="A962" i="4"/>
  <c r="B962" i="4"/>
  <c r="A963" i="4"/>
  <c r="B963" i="4"/>
  <c r="A964" i="4"/>
  <c r="B964" i="4"/>
  <c r="A965" i="4"/>
  <c r="B965" i="4"/>
  <c r="A966" i="4"/>
  <c r="B966" i="4"/>
  <c r="A967" i="4"/>
  <c r="B967" i="4"/>
  <c r="A968" i="4"/>
  <c r="B968" i="4"/>
  <c r="A969" i="4"/>
  <c r="B969" i="4"/>
  <c r="A970" i="4"/>
  <c r="B970" i="4"/>
  <c r="A971" i="4"/>
  <c r="B971" i="4"/>
  <c r="A972" i="4"/>
  <c r="B972" i="4"/>
  <c r="A973" i="4"/>
  <c r="B973" i="4"/>
  <c r="A974" i="4"/>
  <c r="B974" i="4"/>
  <c r="A975" i="4"/>
  <c r="B975" i="4"/>
  <c r="A976" i="4"/>
  <c r="B976" i="4"/>
  <c r="A977" i="4"/>
  <c r="B977" i="4"/>
  <c r="A978" i="4"/>
  <c r="B978" i="4"/>
  <c r="A979" i="4"/>
  <c r="B979" i="4"/>
  <c r="A980" i="4"/>
  <c r="B980" i="4"/>
  <c r="A981" i="4"/>
  <c r="B981" i="4"/>
  <c r="A982" i="4"/>
  <c r="B982" i="4"/>
  <c r="A983" i="4"/>
  <c r="B983" i="4"/>
  <c r="A984" i="4"/>
  <c r="B984" i="4"/>
  <c r="A985" i="4"/>
  <c r="B985" i="4"/>
  <c r="A986" i="4"/>
  <c r="B986" i="4"/>
  <c r="A987" i="4"/>
  <c r="B987" i="4"/>
  <c r="A988" i="4"/>
  <c r="B988" i="4"/>
  <c r="A989" i="4"/>
  <c r="B989" i="4"/>
  <c r="A990" i="4"/>
  <c r="B990" i="4"/>
  <c r="A991" i="4"/>
  <c r="B991" i="4"/>
  <c r="A992" i="4"/>
  <c r="B992" i="4"/>
  <c r="A993" i="4"/>
  <c r="B993" i="4"/>
  <c r="A994" i="4"/>
  <c r="B994" i="4"/>
  <c r="A995" i="4"/>
  <c r="B995" i="4"/>
  <c r="A996" i="4"/>
  <c r="B996" i="4"/>
  <c r="A997" i="4"/>
  <c r="B997" i="4"/>
  <c r="A998" i="4"/>
  <c r="B998" i="4"/>
  <c r="A999" i="4"/>
  <c r="B999" i="4"/>
  <c r="A1000" i="4"/>
  <c r="B1000" i="4"/>
  <c r="A1001" i="4"/>
  <c r="B1001" i="4"/>
  <c r="A1002" i="4"/>
  <c r="B1002" i="4"/>
  <c r="A1003" i="4"/>
  <c r="B1003" i="4"/>
  <c r="A1004" i="4"/>
  <c r="B1004" i="4"/>
  <c r="A1005" i="4"/>
  <c r="B1005" i="4"/>
  <c r="A1006" i="4"/>
  <c r="B1006" i="4"/>
  <c r="A1007" i="4"/>
  <c r="B1007" i="4"/>
  <c r="A1008" i="4"/>
  <c r="B1008" i="4"/>
  <c r="A1009" i="4"/>
  <c r="B1009" i="4"/>
  <c r="A1010" i="4"/>
  <c r="B1010" i="4"/>
  <c r="A1011" i="4"/>
  <c r="B1011" i="4"/>
  <c r="A1012" i="4"/>
  <c r="B1012" i="4"/>
  <c r="A1013" i="4"/>
  <c r="B1013" i="4"/>
  <c r="A1014" i="4"/>
  <c r="B1014" i="4"/>
  <c r="A1015" i="4"/>
  <c r="B1015" i="4"/>
  <c r="A1016" i="4"/>
  <c r="B1016" i="4"/>
  <c r="A1017" i="4"/>
  <c r="B1017" i="4"/>
  <c r="A1018" i="4"/>
  <c r="B1018" i="4"/>
  <c r="A1019" i="4"/>
  <c r="B1019" i="4"/>
  <c r="A1020" i="4"/>
  <c r="B1020" i="4"/>
  <c r="A1021" i="4"/>
  <c r="B1021" i="4"/>
  <c r="A1022" i="4"/>
  <c r="B1022" i="4"/>
  <c r="A1023" i="4"/>
  <c r="B1023" i="4"/>
  <c r="A1024" i="4"/>
  <c r="B1024" i="4"/>
  <c r="A1025" i="4"/>
  <c r="B1025" i="4"/>
  <c r="A1026" i="4"/>
  <c r="B1026" i="4"/>
  <c r="A1027" i="4"/>
  <c r="B1027" i="4"/>
  <c r="A1028" i="4"/>
  <c r="B1028" i="4"/>
  <c r="A1029" i="4"/>
  <c r="B1029" i="4"/>
  <c r="A1030" i="4"/>
  <c r="B1030" i="4"/>
  <c r="A1031" i="4"/>
  <c r="B1031" i="4"/>
  <c r="A1032" i="4"/>
  <c r="B1032" i="4"/>
  <c r="A1033" i="4"/>
  <c r="B1033" i="4"/>
  <c r="A1034" i="4"/>
  <c r="B1034" i="4"/>
  <c r="A1035" i="4"/>
  <c r="B1035" i="4"/>
  <c r="A1036" i="4"/>
  <c r="B1036" i="4"/>
  <c r="A1037" i="4"/>
  <c r="B1037" i="4"/>
  <c r="A1038" i="4"/>
  <c r="B1038" i="4"/>
  <c r="A1039" i="4"/>
  <c r="B1039" i="4"/>
  <c r="A1040" i="4"/>
  <c r="B1040" i="4"/>
  <c r="A1041" i="4"/>
  <c r="B1041" i="4"/>
  <c r="A1042" i="4"/>
  <c r="B1042" i="4"/>
  <c r="A1043" i="4"/>
  <c r="B1043" i="4"/>
  <c r="A1044" i="4"/>
  <c r="B1044" i="4"/>
  <c r="A1045" i="4"/>
  <c r="B1045" i="4"/>
  <c r="A1046" i="4"/>
  <c r="B1046" i="4"/>
  <c r="A1047" i="4"/>
  <c r="B1047" i="4"/>
  <c r="A1048" i="4"/>
  <c r="B1048" i="4"/>
  <c r="A1049" i="4"/>
  <c r="B1049" i="4"/>
  <c r="A1050" i="4"/>
  <c r="B1050" i="4"/>
  <c r="A1051" i="4"/>
  <c r="B1051" i="4"/>
  <c r="A1052" i="4"/>
  <c r="B1052" i="4"/>
  <c r="A1053" i="4"/>
  <c r="B1053" i="4"/>
  <c r="A1054" i="4"/>
  <c r="B1054" i="4"/>
  <c r="A1055" i="4"/>
  <c r="B1055" i="4"/>
  <c r="A1056" i="4"/>
  <c r="B1056" i="4"/>
  <c r="A1057" i="4"/>
  <c r="B1057" i="4"/>
  <c r="A1058" i="4"/>
  <c r="B1058" i="4"/>
  <c r="A1059" i="4"/>
  <c r="B1059" i="4"/>
  <c r="A1060" i="4"/>
  <c r="B1060" i="4"/>
  <c r="A1061" i="4"/>
  <c r="B1061" i="4"/>
  <c r="A1062" i="4"/>
  <c r="B1062" i="4"/>
  <c r="A1063" i="4"/>
  <c r="B1063" i="4"/>
  <c r="A1064" i="4"/>
  <c r="B1064" i="4"/>
  <c r="A1065" i="4"/>
  <c r="B1065" i="4"/>
  <c r="A1066" i="4"/>
  <c r="B1066" i="4"/>
  <c r="A1067" i="4"/>
  <c r="B1067" i="4"/>
  <c r="A1068" i="4"/>
  <c r="B1068" i="4"/>
  <c r="A1069" i="4"/>
  <c r="B1069" i="4"/>
  <c r="A1070" i="4"/>
  <c r="B1070" i="4"/>
  <c r="A1071" i="4"/>
  <c r="B1071" i="4"/>
  <c r="A1072" i="4"/>
  <c r="B1072" i="4"/>
  <c r="A1073" i="4"/>
  <c r="B1073" i="4"/>
  <c r="A1074" i="4"/>
  <c r="B1074" i="4"/>
  <c r="A1075" i="4"/>
  <c r="B1075" i="4"/>
  <c r="A1076" i="4"/>
  <c r="B1076" i="4"/>
  <c r="A1077" i="4"/>
  <c r="B1077" i="4"/>
  <c r="A1078" i="4"/>
  <c r="B1078" i="4"/>
  <c r="A1079" i="4"/>
  <c r="B1079" i="4"/>
  <c r="A1080" i="4"/>
  <c r="B1080" i="4"/>
  <c r="A1081" i="4"/>
  <c r="B1081" i="4"/>
  <c r="A1082" i="4"/>
  <c r="B1082" i="4"/>
  <c r="A1083" i="4"/>
  <c r="B1083" i="4"/>
  <c r="A1084" i="4"/>
  <c r="B1084" i="4"/>
  <c r="A1085" i="4"/>
  <c r="B1085" i="4"/>
  <c r="A1086" i="4"/>
  <c r="B1086" i="4"/>
  <c r="A1087" i="4"/>
  <c r="B1087" i="4"/>
  <c r="A1088" i="4"/>
  <c r="B1088" i="4"/>
  <c r="A1089" i="4"/>
  <c r="B1089" i="4"/>
  <c r="A1090" i="4"/>
  <c r="B1090" i="4"/>
  <c r="A1091" i="4"/>
  <c r="B1091" i="4"/>
  <c r="A1092" i="4"/>
  <c r="B1092" i="4"/>
  <c r="A1093" i="4"/>
  <c r="B1093" i="4"/>
  <c r="A1094" i="4"/>
  <c r="B1094" i="4"/>
  <c r="A1095" i="4"/>
  <c r="B1095" i="4"/>
  <c r="A1096" i="4"/>
  <c r="B1096" i="4"/>
  <c r="A1097" i="4"/>
  <c r="B1097" i="4"/>
  <c r="A1098" i="4"/>
  <c r="B1098" i="4"/>
  <c r="A1099" i="4"/>
  <c r="B1099" i="4"/>
  <c r="A1100" i="4"/>
  <c r="B1100" i="4"/>
  <c r="A1101" i="4"/>
  <c r="B1101" i="4"/>
  <c r="A1102" i="4"/>
  <c r="B1102" i="4"/>
  <c r="A1103" i="4"/>
  <c r="B1103" i="4"/>
  <c r="A1104" i="4"/>
  <c r="B1104" i="4"/>
  <c r="A1105" i="4"/>
  <c r="B1105" i="4"/>
  <c r="A1106" i="4"/>
  <c r="B1106" i="4"/>
  <c r="A1107" i="4"/>
  <c r="B1107" i="4"/>
  <c r="A1108" i="4"/>
  <c r="B1108" i="4"/>
  <c r="A1109" i="4"/>
  <c r="B1109" i="4"/>
  <c r="A1110" i="4"/>
  <c r="B1110" i="4"/>
  <c r="A1111" i="4"/>
  <c r="B1111" i="4"/>
  <c r="A1112" i="4"/>
  <c r="B1112" i="4"/>
  <c r="A1113" i="4"/>
  <c r="B1113" i="4"/>
  <c r="A1114" i="4"/>
  <c r="B1114" i="4"/>
  <c r="A1115" i="4"/>
  <c r="B1115" i="4"/>
  <c r="A1116" i="4"/>
  <c r="B1116" i="4"/>
  <c r="A1117" i="4"/>
  <c r="B1117" i="4"/>
  <c r="A1118" i="4"/>
  <c r="B1118" i="4"/>
  <c r="A1119" i="4"/>
  <c r="B1119" i="4"/>
  <c r="A1120" i="4"/>
  <c r="B1120" i="4"/>
  <c r="A1121" i="4"/>
  <c r="B1121" i="4"/>
  <c r="A1122" i="4"/>
  <c r="B1122" i="4"/>
  <c r="A1123" i="4"/>
  <c r="B1123" i="4"/>
  <c r="A1124" i="4"/>
  <c r="B1124" i="4"/>
  <c r="A1125" i="4"/>
  <c r="B1125" i="4"/>
  <c r="A1126" i="4"/>
  <c r="B1126" i="4"/>
  <c r="A1127" i="4"/>
  <c r="B1127" i="4"/>
  <c r="A1128" i="4"/>
  <c r="B1128" i="4"/>
  <c r="A1129" i="4"/>
  <c r="B1129" i="4"/>
  <c r="A1130" i="4"/>
  <c r="B1130" i="4"/>
  <c r="A1131" i="4"/>
  <c r="B1131" i="4"/>
  <c r="A1132" i="4"/>
  <c r="B1132" i="4"/>
  <c r="A1133" i="4"/>
  <c r="B1133" i="4"/>
  <c r="A1134" i="4"/>
  <c r="B1134" i="4"/>
  <c r="A1135" i="4"/>
  <c r="B1135" i="4"/>
  <c r="A1136" i="4"/>
  <c r="B1136" i="4"/>
  <c r="A1137" i="4"/>
  <c r="B1137" i="4"/>
  <c r="A1138" i="4"/>
  <c r="B1138" i="4"/>
  <c r="A1139" i="4"/>
  <c r="B1139" i="4"/>
  <c r="A1140" i="4"/>
  <c r="B1140" i="4"/>
  <c r="A1141" i="4"/>
  <c r="B1141" i="4"/>
  <c r="A1142" i="4"/>
  <c r="B1142" i="4"/>
  <c r="A1143" i="4"/>
  <c r="B1143" i="4"/>
  <c r="A1144" i="4"/>
  <c r="B1144" i="4"/>
  <c r="A1145" i="4"/>
  <c r="B1145" i="4"/>
  <c r="A1146" i="4"/>
  <c r="B1146" i="4"/>
  <c r="A1147" i="4"/>
  <c r="B1147" i="4"/>
  <c r="A1148" i="4"/>
  <c r="B1148" i="4"/>
  <c r="A1149" i="4"/>
  <c r="B1149" i="4"/>
  <c r="A1150" i="4"/>
  <c r="B1150" i="4"/>
  <c r="A1151" i="4"/>
  <c r="B1151" i="4"/>
  <c r="A1152" i="4"/>
  <c r="B1152" i="4"/>
  <c r="A1153" i="4"/>
  <c r="B1153" i="4"/>
  <c r="A1154" i="4"/>
  <c r="B1154" i="4"/>
  <c r="A1155" i="4"/>
  <c r="B1155" i="4"/>
  <c r="A1156" i="4"/>
  <c r="B1156" i="4"/>
  <c r="A1157" i="4"/>
  <c r="B1157" i="4"/>
  <c r="A1158" i="4"/>
  <c r="B1158" i="4"/>
  <c r="A1159" i="4"/>
  <c r="B1159" i="4"/>
  <c r="A1160" i="4"/>
  <c r="B1160" i="4"/>
  <c r="A1161" i="4"/>
  <c r="B1161" i="4"/>
  <c r="A1162" i="4"/>
  <c r="B1162" i="4"/>
  <c r="A1163" i="4"/>
  <c r="B1163" i="4"/>
  <c r="A1164" i="4"/>
  <c r="B1164" i="4"/>
  <c r="A1165" i="4"/>
  <c r="B1165" i="4"/>
  <c r="A1166" i="4"/>
  <c r="B1166" i="4"/>
  <c r="A1167" i="4"/>
  <c r="B1167" i="4"/>
  <c r="A1168" i="4"/>
  <c r="B1168" i="4"/>
  <c r="A1169" i="4"/>
  <c r="B1169" i="4"/>
  <c r="A1170" i="4"/>
  <c r="B1170" i="4"/>
  <c r="A1171" i="4"/>
  <c r="B1171" i="4"/>
  <c r="A1172" i="4"/>
  <c r="B1172" i="4"/>
  <c r="A1173" i="4"/>
  <c r="B1173" i="4"/>
  <c r="A1174" i="4"/>
  <c r="B1174" i="4"/>
  <c r="A1175" i="4"/>
  <c r="B1175" i="4"/>
  <c r="A1176" i="4"/>
  <c r="B1176" i="4"/>
  <c r="A1177" i="4"/>
  <c r="B1177" i="4"/>
  <c r="A1178" i="4"/>
  <c r="B1178" i="4"/>
  <c r="A1179" i="4"/>
  <c r="B1179" i="4"/>
  <c r="A1180" i="4"/>
  <c r="B1180" i="4"/>
  <c r="A1181" i="4"/>
  <c r="B1181" i="4"/>
  <c r="A1182" i="4"/>
  <c r="B1182" i="4"/>
  <c r="A1183" i="4"/>
  <c r="B1183" i="4"/>
  <c r="A1184" i="4"/>
  <c r="B1184" i="4"/>
  <c r="A1185" i="4"/>
  <c r="B1185" i="4"/>
  <c r="A1186" i="4"/>
  <c r="B1186" i="4"/>
  <c r="A1187" i="4"/>
  <c r="B1187" i="4"/>
  <c r="A1188" i="4"/>
  <c r="B1188" i="4"/>
  <c r="A1189" i="4"/>
  <c r="B1189" i="4"/>
  <c r="A1190" i="4"/>
  <c r="B1190" i="4"/>
  <c r="A1191" i="4"/>
  <c r="B1191" i="4"/>
  <c r="A1192" i="4"/>
  <c r="B1192" i="4"/>
  <c r="A1193" i="4"/>
  <c r="B1193" i="4"/>
  <c r="A1194" i="4"/>
  <c r="B1194" i="4"/>
  <c r="A1195" i="4"/>
  <c r="B1195" i="4"/>
  <c r="A1196" i="4"/>
  <c r="B1196" i="4"/>
  <c r="A1197" i="4"/>
  <c r="B1197" i="4"/>
  <c r="A1198" i="4"/>
  <c r="B1198" i="4"/>
  <c r="A1199" i="4"/>
  <c r="B1199" i="4"/>
  <c r="A1200" i="4"/>
  <c r="B1200" i="4"/>
  <c r="A1201" i="4"/>
  <c r="B1201" i="4"/>
  <c r="A1202" i="4"/>
  <c r="B1202" i="4"/>
  <c r="A1203" i="4"/>
  <c r="B1203" i="4"/>
  <c r="A1204" i="4"/>
  <c r="B1204" i="4"/>
  <c r="A1205" i="4"/>
  <c r="B1205" i="4"/>
  <c r="A1206" i="4"/>
  <c r="B1206" i="4"/>
  <c r="A1207" i="4"/>
  <c r="B1207" i="4"/>
  <c r="A1208" i="4"/>
  <c r="B1208" i="4"/>
  <c r="A1209" i="4"/>
  <c r="B1209" i="4"/>
  <c r="A1210" i="4"/>
  <c r="B1210" i="4"/>
  <c r="A1211" i="4"/>
  <c r="B1211" i="4"/>
  <c r="A1212" i="4"/>
  <c r="B1212" i="4"/>
  <c r="A1213" i="4"/>
  <c r="B1213" i="4"/>
  <c r="A1214" i="4"/>
  <c r="B1214" i="4"/>
  <c r="A1215" i="4"/>
  <c r="B1215" i="4"/>
  <c r="A1216" i="4"/>
  <c r="B1216" i="4"/>
  <c r="A1217" i="4"/>
  <c r="B1217" i="4"/>
  <c r="A1218" i="4"/>
  <c r="B1218" i="4"/>
  <c r="A1219" i="4"/>
  <c r="B1219" i="4"/>
  <c r="A1220" i="4"/>
  <c r="B1220" i="4"/>
  <c r="A1221" i="4"/>
  <c r="B1221" i="4"/>
  <c r="A1222" i="4"/>
  <c r="B1222" i="4"/>
  <c r="A1223" i="4"/>
  <c r="B1223" i="4"/>
  <c r="A1224" i="4"/>
  <c r="B1224" i="4"/>
  <c r="A1225" i="4"/>
  <c r="B1225" i="4"/>
  <c r="A1226" i="4"/>
  <c r="B1226" i="4"/>
  <c r="A1227" i="4"/>
  <c r="B1227" i="4"/>
  <c r="A1228" i="4"/>
  <c r="B1228" i="4"/>
  <c r="A1229" i="4"/>
  <c r="B1229" i="4"/>
  <c r="A1230" i="4"/>
  <c r="B1230" i="4"/>
  <c r="A1231" i="4"/>
  <c r="B1231" i="4"/>
  <c r="A1232" i="4"/>
  <c r="B1232" i="4"/>
  <c r="A1233" i="4"/>
  <c r="B1233" i="4"/>
  <c r="A1234" i="4"/>
  <c r="B1234" i="4"/>
  <c r="A1235" i="4"/>
  <c r="B1235" i="4"/>
  <c r="A1236" i="4"/>
  <c r="B1236" i="4"/>
  <c r="A1237" i="4"/>
  <c r="B1237" i="4"/>
  <c r="A1238" i="4"/>
  <c r="B1238" i="4"/>
  <c r="A1239" i="4"/>
  <c r="B1239" i="4"/>
  <c r="A1240" i="4"/>
  <c r="B1240" i="4"/>
  <c r="A1241" i="4"/>
  <c r="B1241" i="4"/>
  <c r="A1242" i="4"/>
  <c r="B1242" i="4"/>
  <c r="A1243" i="4"/>
  <c r="B1243" i="4"/>
  <c r="A1244" i="4"/>
  <c r="B1244" i="4"/>
  <c r="A1245" i="4"/>
  <c r="B1245" i="4"/>
  <c r="A1246" i="4"/>
  <c r="B1246" i="4"/>
  <c r="A1247" i="4"/>
  <c r="B1247" i="4"/>
  <c r="A1248" i="4"/>
  <c r="B1248" i="4"/>
  <c r="A1249" i="4"/>
  <c r="B1249" i="4"/>
  <c r="A1250" i="4"/>
  <c r="B1250" i="4"/>
  <c r="A1251" i="4"/>
  <c r="B1251" i="4"/>
  <c r="A1252" i="4"/>
  <c r="B1252" i="4"/>
  <c r="A1253" i="4"/>
  <c r="B1253" i="4"/>
  <c r="A1254" i="4"/>
  <c r="B1254" i="4"/>
  <c r="A1255" i="4"/>
  <c r="B1255" i="4"/>
  <c r="A1256" i="4"/>
  <c r="B1256" i="4"/>
  <c r="A1257" i="4"/>
  <c r="B1257" i="4"/>
  <c r="A1258" i="4"/>
  <c r="B1258" i="4"/>
  <c r="A1259" i="4"/>
  <c r="B1259" i="4"/>
  <c r="A1260" i="4"/>
  <c r="B1260" i="4"/>
  <c r="A1261" i="4"/>
  <c r="B1261" i="4"/>
  <c r="A1262" i="4"/>
  <c r="B1262" i="4"/>
  <c r="A1263" i="4"/>
  <c r="B1263" i="4"/>
  <c r="A1264" i="4"/>
  <c r="B1264" i="4"/>
  <c r="A1265" i="4"/>
  <c r="B1265" i="4"/>
  <c r="A1266" i="4"/>
  <c r="B1266" i="4"/>
  <c r="A1267" i="4"/>
  <c r="B1267" i="4"/>
  <c r="A1268" i="4"/>
  <c r="B1268" i="4"/>
  <c r="A1269" i="4"/>
  <c r="B1269" i="4"/>
  <c r="A1270" i="4"/>
  <c r="B1270" i="4"/>
  <c r="A1271" i="4"/>
  <c r="B1271" i="4"/>
  <c r="A1272" i="4"/>
  <c r="B1272" i="4"/>
  <c r="A1273" i="4"/>
  <c r="B1273" i="4"/>
  <c r="A1274" i="4"/>
  <c r="B1274" i="4"/>
  <c r="A1275" i="4"/>
  <c r="B1275" i="4"/>
  <c r="A1276" i="4"/>
  <c r="B1276" i="4"/>
  <c r="A1277" i="4"/>
  <c r="B1277" i="4"/>
  <c r="A1278" i="4"/>
  <c r="B1278" i="4"/>
  <c r="A1279" i="4"/>
  <c r="B1279" i="4"/>
  <c r="A1280" i="4"/>
  <c r="B1280" i="4"/>
  <c r="A1281" i="4"/>
  <c r="B1281" i="4"/>
  <c r="A1282" i="4"/>
  <c r="B1282" i="4"/>
  <c r="A1283" i="4"/>
  <c r="B1283" i="4"/>
  <c r="A1284" i="4"/>
  <c r="B1284" i="4"/>
  <c r="A1285" i="4"/>
  <c r="B1285" i="4"/>
  <c r="A1286" i="4"/>
  <c r="B1286" i="4"/>
  <c r="A1287" i="4"/>
  <c r="B1287" i="4"/>
  <c r="A1288" i="4"/>
  <c r="B1288" i="4"/>
  <c r="A1289" i="4"/>
  <c r="B1289" i="4"/>
  <c r="A1290" i="4"/>
  <c r="B1290" i="4"/>
  <c r="A1291" i="4"/>
  <c r="B1291" i="4"/>
  <c r="A1292" i="4"/>
  <c r="B1292" i="4"/>
  <c r="A1293" i="4"/>
  <c r="B1293" i="4"/>
  <c r="A1294" i="4"/>
  <c r="B1294" i="4"/>
  <c r="A1295" i="4"/>
  <c r="B1295" i="4"/>
  <c r="A1296" i="4"/>
  <c r="B1296" i="4"/>
  <c r="A1297" i="4"/>
  <c r="B1297" i="4"/>
  <c r="A1298" i="4"/>
  <c r="B1298" i="4"/>
  <c r="A1299" i="4"/>
  <c r="B1299" i="4"/>
  <c r="A1300" i="4"/>
  <c r="B1300" i="4"/>
  <c r="A1301" i="4"/>
  <c r="B1301" i="4"/>
  <c r="A1302" i="4"/>
  <c r="B1302" i="4"/>
  <c r="A1303" i="4"/>
  <c r="B1303" i="4"/>
  <c r="A1304" i="4"/>
  <c r="B1304" i="4"/>
  <c r="A1305" i="4"/>
  <c r="B1305" i="4"/>
  <c r="A1306" i="4"/>
  <c r="B1306" i="4"/>
  <c r="A1307" i="4"/>
  <c r="B1307" i="4"/>
  <c r="A1308" i="4"/>
  <c r="B1308" i="4"/>
  <c r="A1309" i="4"/>
  <c r="B1309" i="4"/>
  <c r="A1310" i="4"/>
  <c r="B1310" i="4"/>
  <c r="A1311" i="4"/>
  <c r="B1311" i="4"/>
  <c r="A1312" i="4"/>
  <c r="B1312" i="4"/>
  <c r="A1313" i="4"/>
  <c r="B1313" i="4"/>
  <c r="A1314" i="4"/>
  <c r="B1314" i="4"/>
  <c r="A1315" i="4"/>
  <c r="B1315" i="4"/>
  <c r="A1316" i="4"/>
  <c r="B1316" i="4"/>
  <c r="A1317" i="4"/>
  <c r="B1317" i="4"/>
  <c r="A1318" i="4"/>
  <c r="B1318" i="4"/>
  <c r="A1319" i="4"/>
  <c r="B1319" i="4"/>
  <c r="A1320" i="4"/>
  <c r="B1320" i="4"/>
  <c r="A1321" i="4"/>
  <c r="B1321" i="4"/>
  <c r="A1322" i="4"/>
  <c r="B1322" i="4"/>
  <c r="A1323" i="4"/>
  <c r="B1323" i="4"/>
  <c r="A1324" i="4"/>
  <c r="B1324" i="4"/>
  <c r="A1325" i="4"/>
  <c r="B1325" i="4"/>
  <c r="A1326" i="4"/>
  <c r="B1326" i="4"/>
  <c r="A1327" i="4"/>
  <c r="B1327" i="4"/>
  <c r="A1328" i="4"/>
  <c r="B1328" i="4"/>
  <c r="A1329" i="4"/>
  <c r="B1329" i="4"/>
  <c r="A1330" i="4"/>
  <c r="B1330" i="4"/>
  <c r="A1331" i="4"/>
  <c r="B1331" i="4"/>
  <c r="A1332" i="4"/>
  <c r="B1332" i="4"/>
  <c r="A1333" i="4"/>
  <c r="B1333" i="4"/>
  <c r="A1334" i="4"/>
  <c r="B1334" i="4"/>
  <c r="A1335" i="4"/>
  <c r="B1335" i="4"/>
  <c r="A1336" i="4"/>
  <c r="B1336" i="4"/>
  <c r="A1337" i="4"/>
  <c r="B1337" i="4"/>
  <c r="A1338" i="4"/>
  <c r="B1338" i="4"/>
  <c r="A1339" i="4"/>
  <c r="B1339" i="4"/>
  <c r="A1340" i="4"/>
  <c r="B1340" i="4"/>
  <c r="A1341" i="4"/>
  <c r="B1341" i="4"/>
  <c r="A1342" i="4"/>
  <c r="B1342" i="4"/>
  <c r="A1343" i="4"/>
  <c r="B1343" i="4"/>
  <c r="A1344" i="4"/>
  <c r="B1344" i="4"/>
  <c r="A1345" i="4"/>
  <c r="B1345" i="4"/>
  <c r="A1346" i="4"/>
  <c r="B1346" i="4"/>
  <c r="A1347" i="4"/>
  <c r="B1347" i="4"/>
  <c r="A1348" i="4"/>
  <c r="B1348" i="4"/>
  <c r="A1349" i="4"/>
  <c r="B1349" i="4"/>
  <c r="A1350" i="4"/>
  <c r="B1350" i="4"/>
  <c r="A1351" i="4"/>
  <c r="B1351" i="4"/>
  <c r="A1352" i="4"/>
  <c r="B1352" i="4"/>
  <c r="A1353" i="4"/>
  <c r="B1353" i="4"/>
  <c r="A1354" i="4"/>
  <c r="B1354" i="4"/>
  <c r="A1355" i="4"/>
  <c r="B1355" i="4"/>
  <c r="A1356" i="4"/>
  <c r="B1356" i="4"/>
  <c r="A1357" i="4"/>
  <c r="B1357" i="4"/>
  <c r="A1358" i="4"/>
  <c r="B1358" i="4"/>
  <c r="A1359" i="4"/>
  <c r="B1359" i="4"/>
  <c r="A1360" i="4"/>
  <c r="B1360" i="4"/>
  <c r="A1361" i="4"/>
  <c r="B1361" i="4"/>
  <c r="A1362" i="4"/>
  <c r="B1362" i="4"/>
  <c r="A1363" i="4"/>
  <c r="B1363" i="4"/>
  <c r="A1364" i="4"/>
  <c r="B1364" i="4"/>
  <c r="A1365" i="4"/>
  <c r="B1365" i="4"/>
  <c r="A1366" i="4"/>
  <c r="B1366" i="4"/>
  <c r="A1367" i="4"/>
  <c r="B1367" i="4"/>
  <c r="A1368" i="4"/>
  <c r="B1368" i="4"/>
  <c r="A1369" i="4"/>
  <c r="B1369" i="4"/>
  <c r="A1370" i="4"/>
  <c r="B1370" i="4"/>
  <c r="A1371" i="4"/>
  <c r="B1371" i="4"/>
  <c r="A1372" i="4"/>
  <c r="B1372" i="4"/>
  <c r="A1373" i="4"/>
  <c r="B1373" i="4"/>
  <c r="A1374" i="4"/>
  <c r="B1374" i="4"/>
  <c r="A1375" i="4"/>
  <c r="B1375" i="4"/>
  <c r="A1376" i="4"/>
  <c r="B1376" i="4"/>
  <c r="A1377" i="4"/>
  <c r="B1377" i="4"/>
  <c r="A1378" i="4"/>
  <c r="B1378" i="4"/>
  <c r="A1379" i="4"/>
  <c r="B1379" i="4"/>
  <c r="A1380" i="4"/>
  <c r="B1380" i="4"/>
  <c r="A1381" i="4"/>
  <c r="B1381" i="4"/>
  <c r="A1382" i="4"/>
  <c r="B1382" i="4"/>
  <c r="A1383" i="4"/>
  <c r="B1383" i="4"/>
  <c r="A1384" i="4"/>
  <c r="B1384" i="4"/>
  <c r="A1385" i="4"/>
  <c r="B1385" i="4"/>
  <c r="A1386" i="4"/>
  <c r="B1386" i="4"/>
  <c r="A1387" i="4"/>
  <c r="B1387" i="4"/>
  <c r="A1388" i="4"/>
  <c r="B1388" i="4"/>
  <c r="A1389" i="4"/>
  <c r="B1389" i="4"/>
  <c r="A1390" i="4"/>
  <c r="B1390" i="4"/>
  <c r="A1391" i="4"/>
  <c r="B1391" i="4"/>
  <c r="A1392" i="4"/>
  <c r="B1392" i="4"/>
  <c r="A1393" i="4"/>
  <c r="B1393" i="4"/>
  <c r="A1394" i="4"/>
  <c r="B1394" i="4"/>
  <c r="A1395" i="4"/>
  <c r="B1395" i="4"/>
  <c r="A1396" i="4"/>
  <c r="B1396" i="4"/>
  <c r="A1397" i="4"/>
  <c r="B1397" i="4"/>
  <c r="A1398" i="4"/>
  <c r="B1398" i="4"/>
  <c r="A1399" i="4"/>
  <c r="B1399" i="4"/>
  <c r="A1400" i="4"/>
  <c r="B1400" i="4"/>
  <c r="A1401" i="4"/>
  <c r="B1401" i="4"/>
  <c r="A1402" i="4"/>
  <c r="B1402" i="4"/>
  <c r="A1403" i="4"/>
  <c r="B1403" i="4"/>
  <c r="A1404" i="4"/>
  <c r="B1404" i="4"/>
  <c r="A1405" i="4"/>
  <c r="B1405" i="4"/>
  <c r="A1406" i="4"/>
  <c r="B1406" i="4"/>
  <c r="A1407" i="4"/>
  <c r="B1407" i="4"/>
  <c r="A1408" i="4"/>
  <c r="B1408" i="4"/>
  <c r="A1409" i="4"/>
  <c r="B1409" i="4"/>
  <c r="A1410" i="4"/>
  <c r="B1410" i="4"/>
  <c r="A1411" i="4"/>
  <c r="B1411" i="4"/>
  <c r="A1412" i="4"/>
  <c r="B1412" i="4"/>
  <c r="A1413" i="4"/>
  <c r="B1413" i="4"/>
  <c r="A1414" i="4"/>
  <c r="B1414" i="4"/>
  <c r="A1415" i="4"/>
  <c r="B1415" i="4"/>
  <c r="A1416" i="4"/>
  <c r="B1416" i="4"/>
  <c r="A1417" i="4"/>
  <c r="B1417" i="4"/>
  <c r="A1418" i="4"/>
  <c r="B1418" i="4"/>
  <c r="A1419" i="4"/>
  <c r="B1419" i="4"/>
  <c r="A1420" i="4"/>
  <c r="B1420" i="4"/>
  <c r="A1421" i="4"/>
  <c r="B1421" i="4"/>
  <c r="A1422" i="4"/>
  <c r="B1422" i="4"/>
  <c r="A1423" i="4"/>
  <c r="B1423" i="4"/>
  <c r="A1424" i="4"/>
  <c r="B1424" i="4"/>
  <c r="A1425" i="4"/>
  <c r="B1425" i="4"/>
  <c r="A1426" i="4"/>
  <c r="B1426" i="4"/>
  <c r="A1427" i="4"/>
  <c r="B1427" i="4"/>
  <c r="A1428" i="4"/>
  <c r="B1428" i="4"/>
  <c r="A1429" i="4"/>
  <c r="B1429" i="4"/>
  <c r="A1430" i="4"/>
  <c r="B1430" i="4"/>
  <c r="A1431" i="4"/>
  <c r="B1431" i="4"/>
  <c r="A1432" i="4"/>
  <c r="B1432" i="4"/>
  <c r="A1433" i="4"/>
  <c r="B1433" i="4"/>
  <c r="A1434" i="4"/>
  <c r="B1434" i="4"/>
  <c r="A1435" i="4"/>
  <c r="B1435" i="4"/>
  <c r="A1436" i="4"/>
  <c r="B1436" i="4"/>
  <c r="A1437" i="4"/>
  <c r="B1437" i="4"/>
  <c r="A1438" i="4"/>
  <c r="B1438" i="4"/>
  <c r="A1439" i="4"/>
  <c r="B1439" i="4"/>
  <c r="A1440" i="4"/>
  <c r="B1440" i="4"/>
  <c r="A1441" i="4"/>
  <c r="B1441" i="4"/>
  <c r="A1442" i="4"/>
  <c r="B1442" i="4"/>
  <c r="A1443" i="4"/>
  <c r="B1443" i="4"/>
  <c r="A1444" i="4"/>
  <c r="B1444" i="4"/>
  <c r="A1445" i="4"/>
  <c r="B1445" i="4"/>
  <c r="A1446" i="4"/>
  <c r="B1446" i="4"/>
  <c r="A1447" i="4"/>
  <c r="B1447" i="4"/>
  <c r="A1448" i="4"/>
  <c r="B1448" i="4"/>
  <c r="A1449" i="4"/>
  <c r="B1449" i="4"/>
  <c r="A1450" i="4"/>
  <c r="B1450" i="4"/>
  <c r="A1451" i="4"/>
  <c r="B1451" i="4"/>
  <c r="A1452" i="4"/>
  <c r="B1452" i="4"/>
  <c r="A1453" i="4"/>
  <c r="B1453" i="4"/>
  <c r="A1454" i="4"/>
  <c r="B1454" i="4"/>
  <c r="A1455" i="4"/>
  <c r="B1455" i="4"/>
  <c r="A1456" i="4"/>
  <c r="B1456" i="4"/>
  <c r="A1457" i="4"/>
  <c r="B1457" i="4"/>
  <c r="A1458" i="4"/>
  <c r="B1458" i="4"/>
  <c r="A1459" i="4"/>
  <c r="B1459" i="4"/>
  <c r="A1460" i="4"/>
  <c r="B1460" i="4"/>
  <c r="A1461" i="4"/>
  <c r="B1461" i="4"/>
  <c r="A1462" i="4"/>
  <c r="B1462" i="4"/>
  <c r="A1463" i="4"/>
  <c r="B1463" i="4"/>
  <c r="A1464" i="4"/>
  <c r="B1464" i="4"/>
  <c r="A1465" i="4"/>
  <c r="B1465" i="4"/>
  <c r="A1466" i="4"/>
  <c r="B1466" i="4"/>
  <c r="A1467" i="4"/>
  <c r="B1467" i="4"/>
  <c r="A1468" i="4"/>
  <c r="B1468" i="4"/>
  <c r="A1469" i="4"/>
  <c r="B1469" i="4"/>
  <c r="A1470" i="4"/>
  <c r="B1470" i="4"/>
  <c r="A1471" i="4"/>
  <c r="B1471" i="4"/>
  <c r="A1472" i="4"/>
  <c r="B1472" i="4"/>
  <c r="A1473" i="4"/>
  <c r="B1473" i="4"/>
  <c r="A1474" i="4"/>
  <c r="B1474" i="4"/>
  <c r="A1475" i="4"/>
  <c r="B1475" i="4"/>
  <c r="A1476" i="4"/>
  <c r="B1476" i="4"/>
  <c r="A1477" i="4"/>
  <c r="B1477" i="4"/>
  <c r="A1478" i="4"/>
  <c r="B1478" i="4"/>
  <c r="A1479" i="4"/>
  <c r="B1479" i="4"/>
  <c r="A1480" i="4"/>
  <c r="B1480" i="4"/>
  <c r="A1481" i="4"/>
  <c r="B1481" i="4"/>
  <c r="A1482" i="4"/>
  <c r="B1482" i="4"/>
  <c r="A1483" i="4"/>
  <c r="B1483" i="4"/>
  <c r="A1484" i="4"/>
  <c r="B1484" i="4"/>
  <c r="A1485" i="4"/>
  <c r="B1485" i="4"/>
  <c r="A1486" i="4"/>
  <c r="B1486" i="4"/>
  <c r="A1487" i="4"/>
  <c r="B1487" i="4"/>
  <c r="A1488" i="4"/>
  <c r="B1488" i="4"/>
  <c r="A1489" i="4"/>
  <c r="B1489" i="4"/>
  <c r="A1490" i="4"/>
  <c r="B1490" i="4"/>
  <c r="A1491" i="4"/>
  <c r="B1491" i="4"/>
  <c r="A1492" i="4"/>
  <c r="B1492" i="4"/>
  <c r="A1493" i="4"/>
  <c r="B1493" i="4"/>
  <c r="A1494" i="4"/>
  <c r="B1494" i="4"/>
  <c r="A1495" i="4"/>
  <c r="B1495" i="4"/>
  <c r="A1496" i="4"/>
  <c r="B1496" i="4"/>
  <c r="A1497" i="4"/>
  <c r="B1497" i="4"/>
  <c r="A1498" i="4"/>
  <c r="B1498" i="4"/>
  <c r="A1499" i="4"/>
  <c r="B1499" i="4"/>
  <c r="A1500" i="4"/>
  <c r="B1500" i="4"/>
  <c r="A1501" i="4"/>
  <c r="B1501" i="4"/>
  <c r="A1502" i="4"/>
  <c r="B1502" i="4"/>
  <c r="A1503" i="4"/>
  <c r="B1503" i="4"/>
  <c r="A1504" i="4"/>
  <c r="B1504" i="4"/>
  <c r="A1505" i="4"/>
  <c r="B1505" i="4"/>
  <c r="A1506" i="4"/>
  <c r="B1506" i="4"/>
  <c r="A1507" i="4"/>
  <c r="B1507" i="4"/>
  <c r="A1508" i="4"/>
  <c r="B1508" i="4"/>
  <c r="A1509" i="4"/>
  <c r="B1509" i="4"/>
  <c r="A1510" i="4"/>
  <c r="B1510" i="4"/>
  <c r="A1511" i="4"/>
  <c r="B1511" i="4"/>
  <c r="A1512" i="4"/>
  <c r="B1512" i="4"/>
  <c r="A1513" i="4"/>
  <c r="B1513" i="4"/>
  <c r="A1514" i="4"/>
  <c r="B1514" i="4"/>
  <c r="A1515" i="4"/>
  <c r="B1515" i="4"/>
  <c r="A1516" i="4"/>
  <c r="B1516" i="4"/>
  <c r="A1517" i="4"/>
  <c r="B1517" i="4"/>
  <c r="A1518" i="4"/>
  <c r="B1518" i="4"/>
  <c r="A1519" i="4"/>
  <c r="B1519" i="4"/>
  <c r="A1520" i="4"/>
  <c r="B1520" i="4"/>
  <c r="A1521" i="4"/>
  <c r="B1521" i="4"/>
  <c r="A1522" i="4"/>
  <c r="B1522" i="4"/>
  <c r="A1523" i="4"/>
  <c r="B1523" i="4"/>
  <c r="A1524" i="4"/>
  <c r="B1524" i="4"/>
  <c r="A1525" i="4"/>
  <c r="B1525" i="4"/>
  <c r="A1526" i="4"/>
  <c r="B1526" i="4"/>
  <c r="A1527" i="4"/>
  <c r="B1527" i="4"/>
  <c r="A1528" i="4"/>
  <c r="B1528" i="4"/>
  <c r="A1529" i="4"/>
  <c r="B1529" i="4"/>
  <c r="A1530" i="4"/>
  <c r="B1530" i="4"/>
  <c r="A1531" i="4"/>
  <c r="B1531" i="4"/>
  <c r="A1532" i="4"/>
  <c r="B1532" i="4"/>
  <c r="A1533" i="4"/>
  <c r="B1533" i="4"/>
  <c r="A1534" i="4"/>
  <c r="B1534" i="4"/>
  <c r="A1535" i="4"/>
  <c r="B1535" i="4"/>
  <c r="A1536" i="4"/>
  <c r="B1536" i="4"/>
  <c r="A1537" i="4"/>
  <c r="B1537" i="4"/>
  <c r="A1538" i="4"/>
  <c r="B1538" i="4"/>
  <c r="A1539" i="4"/>
  <c r="B1539" i="4"/>
  <c r="A1540" i="4"/>
  <c r="B1540" i="4"/>
  <c r="A1541" i="4"/>
  <c r="B1541" i="4"/>
  <c r="A1542" i="4"/>
  <c r="B1542" i="4"/>
  <c r="A1543" i="4"/>
  <c r="B1543" i="4"/>
  <c r="A1544" i="4"/>
  <c r="B1544" i="4"/>
  <c r="A1545" i="4"/>
  <c r="B1545" i="4"/>
  <c r="A1546" i="4"/>
  <c r="B1546" i="4"/>
  <c r="A1547" i="4"/>
  <c r="B1547" i="4"/>
  <c r="A1548" i="4"/>
  <c r="B1548" i="4"/>
  <c r="A1549" i="4"/>
  <c r="B1549" i="4"/>
  <c r="A1550" i="4"/>
  <c r="B1550" i="4"/>
  <c r="A1551" i="4"/>
  <c r="B1551" i="4"/>
  <c r="A1552" i="4"/>
  <c r="B1552" i="4"/>
  <c r="A1553" i="4"/>
  <c r="B1553" i="4"/>
  <c r="A1554" i="4"/>
  <c r="B1554" i="4"/>
  <c r="A1555" i="4"/>
  <c r="B1555" i="4"/>
  <c r="A1556" i="4"/>
  <c r="B1556" i="4"/>
  <c r="A1557" i="4"/>
  <c r="B1557" i="4"/>
  <c r="A1558" i="4"/>
  <c r="B1558" i="4"/>
  <c r="A1559" i="4"/>
  <c r="B1559" i="4"/>
  <c r="A1560" i="4"/>
  <c r="B1560" i="4"/>
  <c r="A1561" i="4"/>
  <c r="B1561" i="4"/>
  <c r="A1562" i="4"/>
  <c r="B1562" i="4"/>
  <c r="A1563" i="4"/>
  <c r="B1563" i="4"/>
  <c r="A1564" i="4"/>
  <c r="B1564" i="4"/>
  <c r="A1565" i="4"/>
  <c r="B1565" i="4"/>
  <c r="A1566" i="4"/>
  <c r="B1566" i="4"/>
  <c r="A1567" i="4"/>
  <c r="B1567" i="4"/>
  <c r="A1568" i="4"/>
  <c r="B1568" i="4"/>
  <c r="A1569" i="4"/>
  <c r="B1569" i="4"/>
  <c r="A1570" i="4"/>
  <c r="B1570" i="4"/>
  <c r="A1571" i="4"/>
  <c r="B1571" i="4"/>
  <c r="A1572" i="4"/>
  <c r="B1572" i="4"/>
  <c r="A1573" i="4"/>
  <c r="B1573" i="4"/>
  <c r="A1574" i="4"/>
  <c r="B1574" i="4"/>
  <c r="A1575" i="4"/>
  <c r="B1575" i="4"/>
  <c r="A1576" i="4"/>
  <c r="B1576" i="4"/>
  <c r="A1577" i="4"/>
  <c r="B1577" i="4"/>
  <c r="A1578" i="4"/>
  <c r="B1578" i="4"/>
  <c r="A1579" i="4"/>
  <c r="B1579" i="4"/>
  <c r="A1580" i="4"/>
  <c r="B1580" i="4"/>
  <c r="A1581" i="4"/>
  <c r="B1581" i="4"/>
  <c r="A1582" i="4"/>
  <c r="B1582" i="4"/>
  <c r="A1583" i="4"/>
  <c r="B1583" i="4"/>
  <c r="A1584" i="4"/>
  <c r="B1584" i="4"/>
  <c r="A1585" i="4"/>
  <c r="B1585" i="4"/>
  <c r="A1586" i="4"/>
  <c r="B1586" i="4"/>
  <c r="A1587" i="4"/>
  <c r="B1587" i="4"/>
  <c r="A1588" i="4"/>
  <c r="B1588" i="4"/>
  <c r="A1589" i="4"/>
  <c r="B1589" i="4"/>
  <c r="A1590" i="4"/>
  <c r="B1590" i="4"/>
  <c r="A1591" i="4"/>
  <c r="B1591" i="4"/>
  <c r="A1592" i="4"/>
  <c r="B1592" i="4"/>
  <c r="A1593" i="4"/>
  <c r="B1593" i="4"/>
  <c r="A1594" i="4"/>
  <c r="B1594" i="4"/>
  <c r="A1595" i="4"/>
  <c r="B1595" i="4"/>
  <c r="A1596" i="4"/>
  <c r="B1596" i="4"/>
  <c r="A1597" i="4"/>
  <c r="B1597" i="4"/>
  <c r="A1598" i="4"/>
  <c r="B1598" i="4"/>
  <c r="A1599" i="4"/>
  <c r="B1599" i="4"/>
  <c r="A1600" i="4"/>
  <c r="B1600" i="4"/>
  <c r="A1601" i="4"/>
  <c r="B1601" i="4"/>
  <c r="A1602" i="4"/>
  <c r="B1602" i="4"/>
  <c r="A1603" i="4"/>
  <c r="B1603" i="4"/>
  <c r="A1604" i="4"/>
  <c r="B1604" i="4"/>
  <c r="A1605" i="4"/>
  <c r="B1605" i="4"/>
  <c r="A1606" i="4"/>
  <c r="B1606" i="4"/>
  <c r="A1607" i="4"/>
  <c r="B1607" i="4"/>
  <c r="A1608" i="4"/>
  <c r="B1608" i="4"/>
  <c r="A1609" i="4"/>
  <c r="B1609" i="4"/>
  <c r="A1610" i="4"/>
  <c r="B1610" i="4"/>
  <c r="A1611" i="4"/>
  <c r="B1611" i="4"/>
  <c r="A1612" i="4"/>
  <c r="B1612" i="4"/>
  <c r="A1613" i="4"/>
  <c r="B1613" i="4"/>
  <c r="A1614" i="4"/>
  <c r="B1614" i="4"/>
  <c r="A1615" i="4"/>
  <c r="B1615" i="4"/>
  <c r="A1616" i="4"/>
  <c r="B1616" i="4"/>
  <c r="A1617" i="4"/>
  <c r="B1617" i="4"/>
  <c r="A1618" i="4"/>
  <c r="B1618" i="4"/>
  <c r="A1619" i="4"/>
  <c r="B1619" i="4"/>
  <c r="A1620" i="4"/>
  <c r="B1620" i="4"/>
  <c r="A1621" i="4"/>
  <c r="B1621" i="4"/>
  <c r="A1622" i="4"/>
  <c r="B1622" i="4"/>
  <c r="A1623" i="4"/>
  <c r="B1623" i="4"/>
  <c r="A1624" i="4"/>
  <c r="B1624" i="4"/>
  <c r="A1625" i="4"/>
  <c r="B1625" i="4"/>
  <c r="A1626" i="4"/>
  <c r="B1626" i="4"/>
  <c r="A1627" i="4"/>
  <c r="B1627" i="4"/>
  <c r="A1628" i="4"/>
  <c r="B1628" i="4"/>
  <c r="A1629" i="4"/>
  <c r="B1629" i="4"/>
  <c r="A1630" i="4"/>
  <c r="B1630" i="4"/>
  <c r="A1631" i="4"/>
  <c r="B1631" i="4"/>
  <c r="A1632" i="4"/>
  <c r="B1632" i="4"/>
  <c r="A1633" i="4"/>
  <c r="B1633" i="4"/>
  <c r="A1634" i="4"/>
  <c r="B1634" i="4"/>
  <c r="A1635" i="4"/>
  <c r="B1635" i="4"/>
  <c r="A1636" i="4"/>
  <c r="B1636" i="4"/>
  <c r="A1637" i="4"/>
  <c r="B1637" i="4"/>
  <c r="A1638" i="4"/>
  <c r="B1638" i="4"/>
  <c r="A1639" i="4"/>
  <c r="B1639" i="4"/>
  <c r="A1640" i="4"/>
  <c r="B1640" i="4"/>
  <c r="A1641" i="4"/>
  <c r="B1641" i="4"/>
  <c r="A1642" i="4"/>
  <c r="B1642" i="4"/>
  <c r="A1643" i="4"/>
  <c r="B1643" i="4"/>
  <c r="A1644" i="4"/>
  <c r="B1644" i="4"/>
  <c r="A1645" i="4"/>
  <c r="B1645" i="4"/>
  <c r="A1646" i="4"/>
  <c r="B1646" i="4"/>
  <c r="A1647" i="4"/>
  <c r="B1647" i="4"/>
  <c r="A1648" i="4"/>
  <c r="B1648" i="4"/>
  <c r="A1649" i="4"/>
  <c r="B1649" i="4"/>
  <c r="A1650" i="4"/>
  <c r="B1650" i="4"/>
  <c r="A1651" i="4"/>
  <c r="B1651" i="4"/>
  <c r="A1652" i="4"/>
  <c r="B1652" i="4"/>
  <c r="A1653" i="4"/>
  <c r="B1653" i="4"/>
  <c r="A1654" i="4"/>
  <c r="B1654" i="4"/>
  <c r="A1655" i="4"/>
  <c r="B1655" i="4"/>
  <c r="A1656" i="4"/>
  <c r="B1656" i="4"/>
  <c r="A1657" i="4"/>
  <c r="B1657" i="4"/>
  <c r="A1658" i="4"/>
  <c r="B1658" i="4"/>
  <c r="A1659" i="4"/>
  <c r="B1659" i="4"/>
  <c r="A1660" i="4"/>
  <c r="B1660" i="4"/>
  <c r="A1661" i="4"/>
  <c r="B1661" i="4"/>
  <c r="A1662" i="4"/>
  <c r="B1662" i="4"/>
  <c r="A1663" i="4"/>
  <c r="B1663" i="4"/>
  <c r="A1664" i="4"/>
  <c r="B1664" i="4"/>
  <c r="A1665" i="4"/>
  <c r="B1665" i="4"/>
  <c r="A1666" i="4"/>
  <c r="B1666" i="4"/>
  <c r="A1667" i="4"/>
  <c r="B1667" i="4"/>
  <c r="A1668" i="4"/>
  <c r="B1668" i="4"/>
  <c r="A1669" i="4"/>
  <c r="B1669" i="4"/>
  <c r="A1670" i="4"/>
  <c r="B1670" i="4"/>
  <c r="A1671" i="4"/>
  <c r="B1671" i="4"/>
  <c r="A1672" i="4"/>
  <c r="B1672" i="4"/>
  <c r="A1673" i="4"/>
  <c r="B1673" i="4"/>
  <c r="A1674" i="4"/>
  <c r="B1674" i="4"/>
  <c r="A1675" i="4"/>
  <c r="B1675" i="4"/>
  <c r="A1676" i="4"/>
  <c r="B1676" i="4"/>
  <c r="A1677" i="4"/>
  <c r="B1677" i="4"/>
  <c r="A1678" i="4"/>
  <c r="B1678" i="4"/>
  <c r="A1679" i="4"/>
  <c r="B1679" i="4"/>
  <c r="A1680" i="4"/>
  <c r="B1680" i="4"/>
  <c r="A1681" i="4"/>
  <c r="B1681" i="4"/>
  <c r="A1682" i="4"/>
  <c r="B1682" i="4"/>
  <c r="A1683" i="4"/>
  <c r="B1683" i="4"/>
  <c r="A1684" i="4"/>
  <c r="B1684" i="4"/>
  <c r="A1685" i="4"/>
  <c r="B1685" i="4"/>
  <c r="A1686" i="4"/>
  <c r="B1686" i="4"/>
  <c r="A1687" i="4"/>
  <c r="B1687" i="4"/>
  <c r="A1688" i="4"/>
  <c r="B1688" i="4"/>
  <c r="A1689" i="4"/>
  <c r="B1689" i="4"/>
  <c r="A1690" i="4"/>
  <c r="B1690" i="4"/>
  <c r="A1691" i="4"/>
  <c r="B1691" i="4"/>
  <c r="A1692" i="4"/>
  <c r="B1692" i="4"/>
  <c r="A1693" i="4"/>
  <c r="B1693" i="4"/>
  <c r="A1694" i="4"/>
  <c r="B1694" i="4"/>
  <c r="A1695" i="4"/>
  <c r="B1695" i="4"/>
  <c r="A1696" i="4"/>
  <c r="B1696" i="4"/>
  <c r="A1697" i="4"/>
  <c r="B1697" i="4"/>
  <c r="A1698" i="4"/>
  <c r="B1698" i="4"/>
  <c r="A1699" i="4"/>
  <c r="B1699" i="4"/>
  <c r="A1700" i="4"/>
  <c r="B1700" i="4"/>
  <c r="A1701" i="4"/>
  <c r="B1701" i="4"/>
  <c r="A1702" i="4"/>
  <c r="B1702" i="4"/>
  <c r="A1703" i="4"/>
  <c r="B1703" i="4"/>
  <c r="A1704" i="4"/>
  <c r="B1704" i="4"/>
  <c r="A1705" i="4"/>
  <c r="B1705" i="4"/>
  <c r="A1706" i="4"/>
  <c r="B1706" i="4"/>
  <c r="A1707" i="4"/>
  <c r="B1707" i="4"/>
  <c r="A1708" i="4"/>
  <c r="B1708" i="4"/>
  <c r="A1709" i="4"/>
  <c r="B1709" i="4"/>
  <c r="A1710" i="4"/>
  <c r="B1710" i="4"/>
  <c r="A1711" i="4"/>
  <c r="B1711" i="4"/>
  <c r="A1712" i="4"/>
  <c r="B1712" i="4"/>
  <c r="A1713" i="4"/>
  <c r="B1713" i="4"/>
  <c r="A1714" i="4"/>
  <c r="B1714" i="4"/>
  <c r="A1715" i="4"/>
  <c r="B1715" i="4"/>
  <c r="A1716" i="4"/>
  <c r="B1716" i="4"/>
  <c r="A1717" i="4"/>
  <c r="B1717" i="4"/>
  <c r="A1718" i="4"/>
  <c r="B1718" i="4"/>
  <c r="A1719" i="4"/>
  <c r="B1719" i="4"/>
  <c r="A1720" i="4"/>
  <c r="B1720" i="4"/>
  <c r="A1721" i="4"/>
  <c r="B1721" i="4"/>
  <c r="A1722" i="4"/>
  <c r="B1722" i="4"/>
  <c r="A1723" i="4"/>
  <c r="B1723" i="4"/>
  <c r="A1724" i="4"/>
  <c r="B1724" i="4"/>
  <c r="A1725" i="4"/>
  <c r="B1725" i="4"/>
  <c r="A1726" i="4"/>
  <c r="B1726" i="4"/>
  <c r="A1727" i="4"/>
  <c r="B1727" i="4"/>
  <c r="A1728" i="4"/>
  <c r="B1728" i="4"/>
  <c r="A1729" i="4"/>
  <c r="B1729" i="4"/>
  <c r="A1730" i="4"/>
  <c r="B1730" i="4"/>
  <c r="A1731" i="4"/>
  <c r="B1731" i="4"/>
  <c r="A1732" i="4"/>
  <c r="B1732" i="4"/>
  <c r="A1733" i="4"/>
  <c r="B1733" i="4"/>
  <c r="A1734" i="4"/>
  <c r="B1734" i="4"/>
  <c r="A1735" i="4"/>
  <c r="B1735" i="4"/>
  <c r="A1736" i="4"/>
  <c r="B1736" i="4"/>
  <c r="A1737" i="4"/>
  <c r="B1737" i="4"/>
  <c r="A1738" i="4"/>
  <c r="B1738" i="4"/>
  <c r="A1739" i="4"/>
  <c r="B1739" i="4"/>
  <c r="A1740" i="4"/>
  <c r="B1740" i="4"/>
  <c r="A1741" i="4"/>
  <c r="B1741" i="4"/>
  <c r="A1742" i="4"/>
  <c r="B1742" i="4"/>
  <c r="A1743" i="4"/>
  <c r="B1743" i="4"/>
  <c r="A1744" i="4"/>
  <c r="B1744" i="4"/>
  <c r="A1745" i="4"/>
  <c r="B1745" i="4"/>
  <c r="A1746" i="4"/>
  <c r="B1746" i="4"/>
  <c r="A1747" i="4"/>
  <c r="B1747" i="4"/>
  <c r="A1748" i="4"/>
  <c r="B1748" i="4"/>
  <c r="A1749" i="4"/>
  <c r="B1749" i="4"/>
  <c r="A1750" i="4"/>
  <c r="B1750" i="4"/>
  <c r="A1751" i="4"/>
  <c r="B1751" i="4"/>
  <c r="A1752" i="4"/>
  <c r="B1752" i="4"/>
  <c r="A1753" i="4"/>
  <c r="B1753" i="4"/>
  <c r="A1754" i="4"/>
  <c r="B1754" i="4"/>
  <c r="A1755" i="4"/>
  <c r="B1755" i="4"/>
  <c r="A1756" i="4"/>
  <c r="B1756" i="4"/>
  <c r="A1757" i="4"/>
  <c r="B1757" i="4"/>
  <c r="A1758" i="4"/>
  <c r="B1758" i="4"/>
  <c r="A1759" i="4"/>
  <c r="B1759" i="4"/>
  <c r="A1760" i="4"/>
  <c r="B1760" i="4"/>
  <c r="A1761" i="4"/>
  <c r="B1761" i="4"/>
  <c r="A1762" i="4"/>
  <c r="B1762" i="4"/>
  <c r="A1763" i="4"/>
  <c r="B1763" i="4"/>
  <c r="A1764" i="4"/>
  <c r="B1764" i="4"/>
  <c r="A1765" i="4"/>
  <c r="B1765" i="4"/>
  <c r="A1766" i="4"/>
  <c r="B1766" i="4"/>
  <c r="A1767" i="4"/>
  <c r="B1767" i="4"/>
  <c r="A1768" i="4"/>
  <c r="B1768" i="4"/>
  <c r="A1769" i="4"/>
  <c r="B1769" i="4"/>
  <c r="A1770" i="4"/>
  <c r="B1770" i="4"/>
  <c r="A1771" i="4"/>
  <c r="B1771" i="4"/>
  <c r="A1772" i="4"/>
  <c r="B1772" i="4"/>
  <c r="A1773" i="4"/>
  <c r="B1773" i="4"/>
  <c r="A1774" i="4"/>
  <c r="B1774" i="4"/>
  <c r="A1775" i="4"/>
  <c r="B1775" i="4"/>
  <c r="A1776" i="4"/>
  <c r="B1776" i="4"/>
  <c r="A1777" i="4"/>
  <c r="B1777" i="4"/>
  <c r="A1778" i="4"/>
  <c r="B1778" i="4"/>
  <c r="A1779" i="4"/>
  <c r="B1779" i="4"/>
  <c r="A1780" i="4"/>
  <c r="B1780" i="4"/>
  <c r="A1781" i="4"/>
  <c r="B1781" i="4"/>
  <c r="A1782" i="4"/>
  <c r="B1782" i="4"/>
  <c r="A1783" i="4"/>
  <c r="B1783" i="4"/>
  <c r="A1784" i="4"/>
  <c r="B1784" i="4"/>
  <c r="A1785" i="4"/>
  <c r="B1785" i="4"/>
  <c r="A1786" i="4"/>
  <c r="B1786" i="4"/>
  <c r="A1787" i="4"/>
  <c r="B1787" i="4"/>
  <c r="A1788" i="4"/>
  <c r="B1788" i="4"/>
  <c r="A1789" i="4"/>
  <c r="B1789" i="4"/>
  <c r="A1790" i="4"/>
  <c r="B1790" i="4"/>
  <c r="A1791" i="4"/>
  <c r="B1791" i="4"/>
  <c r="A1792" i="4"/>
  <c r="B1792" i="4"/>
  <c r="A1793" i="4"/>
  <c r="B1793" i="4"/>
  <c r="A1794" i="4"/>
  <c r="B1794" i="4"/>
  <c r="A1795" i="4"/>
  <c r="B1795" i="4"/>
  <c r="A1796" i="4"/>
  <c r="B1796" i="4"/>
  <c r="A1797" i="4"/>
  <c r="B1797" i="4"/>
  <c r="A1798" i="4"/>
  <c r="B1798" i="4"/>
  <c r="A1799" i="4"/>
  <c r="B1799" i="4"/>
  <c r="A1800" i="4"/>
  <c r="B1800" i="4"/>
  <c r="A1801" i="4"/>
  <c r="B1801" i="4"/>
  <c r="A1802" i="4"/>
  <c r="B1802" i="4"/>
  <c r="A1803" i="4"/>
  <c r="B1803" i="4"/>
  <c r="A1804" i="4"/>
  <c r="B1804" i="4"/>
  <c r="A1805" i="4"/>
  <c r="B1805" i="4"/>
  <c r="A1806" i="4"/>
  <c r="B1806" i="4"/>
  <c r="A1807" i="4"/>
  <c r="B1807" i="4"/>
  <c r="A1808" i="4"/>
  <c r="B1808" i="4"/>
  <c r="A1809" i="4"/>
  <c r="B1809" i="4"/>
  <c r="A1810" i="4"/>
  <c r="B1810" i="4"/>
  <c r="A1811" i="4"/>
  <c r="B1811" i="4"/>
  <c r="A1812" i="4"/>
  <c r="B1812" i="4"/>
  <c r="A1813" i="4"/>
  <c r="B1813" i="4"/>
  <c r="A1814" i="4"/>
  <c r="B1814" i="4"/>
  <c r="A1815" i="4"/>
  <c r="B1815" i="4"/>
  <c r="A1816" i="4"/>
  <c r="B1816" i="4"/>
  <c r="A1817" i="4"/>
  <c r="B1817" i="4"/>
  <c r="A1818" i="4"/>
  <c r="B1818" i="4"/>
  <c r="A1819" i="4"/>
  <c r="B1819" i="4"/>
  <c r="A1820" i="4"/>
  <c r="B1820" i="4"/>
  <c r="A1821" i="4"/>
  <c r="B1821" i="4"/>
  <c r="A1822" i="4"/>
  <c r="B1822" i="4"/>
  <c r="A1823" i="4"/>
  <c r="B1823" i="4"/>
  <c r="A1824" i="4"/>
  <c r="B1824" i="4"/>
  <c r="A1825" i="4"/>
  <c r="B1825" i="4"/>
  <c r="A1826" i="4"/>
  <c r="B1826" i="4"/>
  <c r="A1827" i="4"/>
  <c r="B1827" i="4"/>
  <c r="A1828" i="4"/>
  <c r="B1828" i="4"/>
  <c r="A1829" i="4"/>
  <c r="B1829" i="4"/>
  <c r="A1830" i="4"/>
  <c r="B1830" i="4"/>
  <c r="A1831" i="4"/>
  <c r="B1831" i="4"/>
  <c r="A1832" i="4"/>
  <c r="B1832" i="4"/>
  <c r="A1833" i="4"/>
  <c r="B1833" i="4"/>
  <c r="A1834" i="4"/>
  <c r="B1834" i="4"/>
  <c r="A1835" i="4"/>
  <c r="B1835" i="4"/>
  <c r="A1836" i="4"/>
  <c r="B1836" i="4"/>
  <c r="A1837" i="4"/>
  <c r="B1837" i="4"/>
  <c r="A1838" i="4"/>
  <c r="B1838" i="4"/>
  <c r="A1839" i="4"/>
  <c r="B1839" i="4"/>
  <c r="A1840" i="4"/>
  <c r="B1840" i="4"/>
  <c r="A1841" i="4"/>
  <c r="B1841" i="4"/>
  <c r="A1842" i="4"/>
  <c r="B1842" i="4"/>
  <c r="A1843" i="4"/>
  <c r="B1843" i="4"/>
  <c r="A1844" i="4"/>
  <c r="B1844" i="4"/>
  <c r="A1845" i="4"/>
  <c r="B1845" i="4"/>
  <c r="A1846" i="4"/>
  <c r="B1846" i="4"/>
  <c r="A1847" i="4"/>
  <c r="B1847" i="4"/>
  <c r="A1848" i="4"/>
  <c r="B1848" i="4"/>
  <c r="A1849" i="4"/>
  <c r="B1849" i="4"/>
  <c r="A1850" i="4"/>
  <c r="B1850" i="4"/>
  <c r="A1851" i="4"/>
  <c r="B1851" i="4"/>
  <c r="A1852" i="4"/>
  <c r="B1852" i="4"/>
  <c r="A1853" i="4"/>
  <c r="B1853" i="4"/>
  <c r="A1854" i="4"/>
  <c r="B1854" i="4"/>
  <c r="A1855" i="4"/>
  <c r="B1855" i="4"/>
  <c r="A1856" i="4"/>
  <c r="B1856" i="4"/>
  <c r="A1857" i="4"/>
  <c r="B1857" i="4"/>
  <c r="A1858" i="4"/>
  <c r="B1858" i="4"/>
  <c r="A1859" i="4"/>
  <c r="B1859" i="4"/>
  <c r="A1860" i="4"/>
  <c r="B1860" i="4"/>
  <c r="A1861" i="4"/>
  <c r="B1861" i="4"/>
  <c r="A1862" i="4"/>
  <c r="B1862" i="4"/>
  <c r="A1863" i="4"/>
  <c r="B1863" i="4"/>
  <c r="A1864" i="4"/>
  <c r="B1864" i="4"/>
  <c r="A1865" i="4"/>
  <c r="B1865" i="4"/>
  <c r="A1866" i="4"/>
  <c r="B1866" i="4"/>
  <c r="A1867" i="4"/>
  <c r="B1867" i="4"/>
  <c r="A1868" i="4"/>
  <c r="B1868" i="4"/>
  <c r="A1869" i="4"/>
  <c r="B1869" i="4"/>
  <c r="A1870" i="4"/>
  <c r="B1870" i="4"/>
  <c r="A1871" i="4"/>
  <c r="B1871" i="4"/>
  <c r="A1872" i="4"/>
  <c r="B1872" i="4"/>
  <c r="A1873" i="4"/>
  <c r="B1873" i="4"/>
  <c r="A1874" i="4"/>
  <c r="B1874" i="4"/>
  <c r="A1875" i="4"/>
  <c r="B1875" i="4"/>
  <c r="A1876" i="4"/>
  <c r="B1876" i="4"/>
  <c r="A1877" i="4"/>
  <c r="B1877" i="4"/>
  <c r="A1878" i="4"/>
  <c r="B1878" i="4"/>
  <c r="A1879" i="4"/>
  <c r="B1879" i="4"/>
  <c r="A1880" i="4"/>
  <c r="B1880" i="4"/>
  <c r="A1881" i="4"/>
  <c r="B1881" i="4"/>
  <c r="A1882" i="4"/>
  <c r="B1882" i="4"/>
  <c r="A1883" i="4"/>
  <c r="B1883" i="4"/>
  <c r="A1884" i="4"/>
  <c r="B1884" i="4"/>
  <c r="A1885" i="4"/>
  <c r="B1885" i="4"/>
  <c r="A1886" i="4"/>
  <c r="B1886" i="4"/>
  <c r="A1887" i="4"/>
  <c r="B1887" i="4"/>
  <c r="A1888" i="4"/>
  <c r="B1888" i="4"/>
  <c r="A1889" i="4"/>
  <c r="B1889" i="4"/>
  <c r="A1890" i="4"/>
  <c r="B1890" i="4"/>
  <c r="A1891" i="4"/>
  <c r="B1891" i="4"/>
  <c r="A1892" i="4"/>
  <c r="B1892" i="4"/>
  <c r="A1893" i="4"/>
  <c r="B1893" i="4"/>
  <c r="A1894" i="4"/>
  <c r="B1894" i="4"/>
  <c r="A1895" i="4"/>
  <c r="B1895" i="4"/>
  <c r="A1896" i="4"/>
  <c r="B1896" i="4"/>
  <c r="A1897" i="4"/>
  <c r="B1897" i="4"/>
  <c r="A1898" i="4"/>
  <c r="B1898" i="4"/>
  <c r="A1899" i="4"/>
  <c r="B1899" i="4"/>
  <c r="A1900" i="4"/>
  <c r="B1900" i="4"/>
  <c r="A1901" i="4"/>
  <c r="B1901" i="4"/>
  <c r="A1902" i="4"/>
  <c r="B1902" i="4"/>
  <c r="A1903" i="4"/>
  <c r="B1903" i="4"/>
  <c r="A1904" i="4"/>
  <c r="B1904" i="4"/>
  <c r="A1905" i="4"/>
  <c r="B1905" i="4"/>
  <c r="A1906" i="4"/>
  <c r="B1906" i="4"/>
  <c r="A1907" i="4"/>
  <c r="B1907" i="4"/>
  <c r="A1908" i="4"/>
  <c r="B1908" i="4"/>
  <c r="A1909" i="4"/>
  <c r="B1909" i="4"/>
  <c r="A1910" i="4"/>
  <c r="B1910" i="4"/>
  <c r="A1911" i="4"/>
  <c r="B1911" i="4"/>
  <c r="A1912" i="4"/>
  <c r="B1912" i="4"/>
  <c r="A1913" i="4"/>
  <c r="B1913" i="4"/>
  <c r="A1914" i="4"/>
  <c r="B1914" i="4"/>
  <c r="A1915" i="4"/>
  <c r="B1915" i="4"/>
  <c r="A1916" i="4"/>
  <c r="B1916" i="4"/>
  <c r="A1917" i="4"/>
  <c r="B1917" i="4"/>
  <c r="A1918" i="4"/>
  <c r="B1918" i="4"/>
  <c r="A1919" i="4"/>
  <c r="B1919" i="4"/>
  <c r="A1920" i="4"/>
  <c r="B1920" i="4"/>
  <c r="A1921" i="4"/>
  <c r="B1921" i="4"/>
  <c r="A1922" i="4"/>
  <c r="B1922" i="4"/>
  <c r="A1923" i="4"/>
  <c r="B1923" i="4"/>
  <c r="A1924" i="4"/>
  <c r="B1924" i="4"/>
  <c r="A1925" i="4"/>
  <c r="B1925" i="4"/>
  <c r="A1926" i="4"/>
  <c r="B1926" i="4"/>
  <c r="A1927" i="4"/>
  <c r="B1927" i="4"/>
  <c r="A1928" i="4"/>
  <c r="B1928" i="4"/>
  <c r="A1929" i="4"/>
  <c r="B1929" i="4"/>
  <c r="A1930" i="4"/>
  <c r="B1930" i="4"/>
  <c r="A1931" i="4"/>
  <c r="B1931" i="4"/>
  <c r="A1932" i="4"/>
  <c r="B1932" i="4"/>
  <c r="A1933" i="4"/>
  <c r="B1933" i="4"/>
  <c r="A1934" i="4"/>
  <c r="B1934" i="4"/>
  <c r="A1935" i="4"/>
  <c r="B1935" i="4"/>
  <c r="A1936" i="4"/>
  <c r="B1936" i="4"/>
  <c r="A1937" i="4"/>
  <c r="B1937" i="4"/>
  <c r="A1938" i="4"/>
  <c r="B1938" i="4"/>
  <c r="A1939" i="4"/>
  <c r="B1939" i="4"/>
  <c r="A1940" i="4"/>
  <c r="B1940" i="4"/>
  <c r="A1941" i="4"/>
  <c r="B1941" i="4"/>
  <c r="A1942" i="4"/>
  <c r="B1942" i="4"/>
  <c r="A1943" i="4"/>
  <c r="B1943" i="4"/>
  <c r="A1944" i="4"/>
  <c r="B1944" i="4"/>
  <c r="A1945" i="4"/>
  <c r="B1945" i="4"/>
  <c r="A1946" i="4"/>
  <c r="B1946" i="4"/>
  <c r="A1947" i="4"/>
  <c r="B1947" i="4"/>
  <c r="A1948" i="4"/>
  <c r="B1948" i="4"/>
  <c r="A1949" i="4"/>
  <c r="B1949" i="4"/>
  <c r="A1950" i="4"/>
  <c r="B1950" i="4"/>
  <c r="A1951" i="4"/>
  <c r="B1951" i="4"/>
  <c r="A1952" i="4"/>
  <c r="B1952" i="4"/>
  <c r="A1953" i="4"/>
  <c r="B1953" i="4"/>
  <c r="A1954" i="4"/>
  <c r="B1954" i="4"/>
  <c r="A1955" i="4"/>
  <c r="B1955" i="4"/>
  <c r="A1956" i="4"/>
  <c r="B1956" i="4"/>
  <c r="A1957" i="4"/>
  <c r="B1957" i="4"/>
  <c r="A1958" i="4"/>
  <c r="B1958" i="4"/>
  <c r="A1959" i="4"/>
  <c r="B1959" i="4"/>
  <c r="A1960" i="4"/>
  <c r="B1960" i="4"/>
  <c r="A1961" i="4"/>
  <c r="B1961" i="4"/>
  <c r="A1962" i="4"/>
  <c r="B1962" i="4"/>
  <c r="A1963" i="4"/>
  <c r="B1963" i="4"/>
  <c r="A1964" i="4"/>
  <c r="B1964" i="4"/>
  <c r="A1965" i="4"/>
  <c r="B1965" i="4"/>
  <c r="A1966" i="4"/>
  <c r="B1966" i="4"/>
  <c r="A1967" i="4"/>
  <c r="B1967" i="4"/>
  <c r="A1968" i="4"/>
  <c r="B1968" i="4"/>
  <c r="A1969" i="4"/>
  <c r="B1969" i="4"/>
  <c r="A1970" i="4"/>
  <c r="B1970" i="4"/>
  <c r="A1971" i="4"/>
  <c r="B1971" i="4"/>
  <c r="A1972" i="4"/>
  <c r="B1972" i="4"/>
  <c r="A1973" i="4"/>
  <c r="B1973" i="4"/>
  <c r="A1974" i="4"/>
  <c r="B1974" i="4"/>
  <c r="A1975" i="4"/>
  <c r="B1975" i="4"/>
  <c r="A1976" i="4"/>
  <c r="B1976" i="4"/>
  <c r="A1977" i="4"/>
  <c r="B1977" i="4"/>
  <c r="A1978" i="4"/>
  <c r="B1978" i="4"/>
  <c r="A1979" i="4"/>
  <c r="B1979" i="4"/>
  <c r="A1980" i="4"/>
  <c r="B1980" i="4"/>
  <c r="A1981" i="4"/>
  <c r="B1981" i="4"/>
  <c r="A1982" i="4"/>
  <c r="B1982" i="4"/>
  <c r="A1983" i="4"/>
  <c r="B1983" i="4"/>
  <c r="A1984" i="4"/>
  <c r="B1984" i="4"/>
  <c r="A1985" i="4"/>
  <c r="B1985" i="4"/>
  <c r="A1986" i="4"/>
  <c r="B1986" i="4"/>
  <c r="A1987" i="4"/>
  <c r="B1987" i="4"/>
  <c r="A1988" i="4"/>
  <c r="B1988" i="4"/>
  <c r="A1989" i="4"/>
  <c r="B1989" i="4"/>
  <c r="A1990" i="4"/>
  <c r="B1990" i="4"/>
  <c r="A1991" i="4"/>
  <c r="B1991" i="4"/>
  <c r="A1992" i="4"/>
  <c r="B1992" i="4"/>
  <c r="A1993" i="4"/>
  <c r="B1993" i="4"/>
  <c r="A1994" i="4"/>
  <c r="B1994" i="4"/>
  <c r="A1995" i="4"/>
  <c r="B1995" i="4"/>
  <c r="A1996" i="4"/>
  <c r="B1996" i="4"/>
  <c r="A1997" i="4"/>
  <c r="B1997" i="4"/>
  <c r="A1998" i="4"/>
  <c r="B1998" i="4"/>
  <c r="A1999" i="4"/>
  <c r="B1999" i="4"/>
  <c r="A2000" i="4"/>
  <c r="B2000" i="4"/>
  <c r="A2001" i="4"/>
  <c r="B2001" i="4"/>
  <c r="A2002" i="4"/>
  <c r="B2002" i="4"/>
  <c r="A2003" i="4"/>
  <c r="B2003" i="4"/>
  <c r="A2004" i="4"/>
  <c r="B2004" i="4"/>
  <c r="A2005" i="4"/>
  <c r="B2005" i="4"/>
  <c r="A2006" i="4"/>
  <c r="B2006" i="4"/>
  <c r="A2007" i="4"/>
  <c r="B2007" i="4"/>
  <c r="A2008" i="4"/>
  <c r="B2008" i="4"/>
  <c r="A2009" i="4"/>
  <c r="B2009" i="4"/>
  <c r="A2010" i="4"/>
  <c r="B2010" i="4"/>
  <c r="A2011" i="4"/>
  <c r="B2011" i="4"/>
  <c r="A2012" i="4"/>
  <c r="B2012" i="4"/>
  <c r="A2013" i="4"/>
  <c r="B2013" i="4"/>
  <c r="A2014" i="4"/>
  <c r="B2014" i="4"/>
  <c r="A2015" i="4"/>
  <c r="B2015" i="4"/>
  <c r="A2016" i="4"/>
  <c r="B2016" i="4"/>
  <c r="A2017" i="4"/>
  <c r="B2017" i="4"/>
  <c r="A2018" i="4"/>
  <c r="B2018" i="4"/>
  <c r="A2019" i="4"/>
  <c r="B2019" i="4"/>
  <c r="A2020" i="4"/>
  <c r="B2020" i="4"/>
  <c r="A2021" i="4"/>
  <c r="B2021" i="4"/>
  <c r="A2022" i="4"/>
  <c r="B2022" i="4"/>
  <c r="A2023" i="4"/>
  <c r="B2023" i="4"/>
  <c r="A2024" i="4"/>
  <c r="B2024" i="4"/>
  <c r="A2025" i="4"/>
  <c r="B2025" i="4"/>
  <c r="A2026" i="4"/>
  <c r="B2026" i="4"/>
  <c r="A2027" i="4"/>
  <c r="B2027" i="4"/>
  <c r="A2028" i="4"/>
  <c r="B2028" i="4"/>
  <c r="A2029" i="4"/>
  <c r="B2029" i="4"/>
  <c r="A2030" i="4"/>
  <c r="B2030" i="4"/>
  <c r="A2031" i="4"/>
  <c r="B2031" i="4"/>
  <c r="A2032" i="4"/>
  <c r="B2032" i="4"/>
  <c r="A2033" i="4"/>
  <c r="B2033" i="4"/>
  <c r="A2034" i="4"/>
  <c r="B2034" i="4"/>
  <c r="A2035" i="4"/>
  <c r="B2035" i="4"/>
  <c r="A2036" i="4"/>
  <c r="B2036" i="4"/>
  <c r="A2037" i="4"/>
  <c r="B2037" i="4"/>
  <c r="A2038" i="4"/>
  <c r="B2038" i="4"/>
  <c r="A2039" i="4"/>
  <c r="B2039" i="4"/>
  <c r="A2040" i="4"/>
  <c r="B2040" i="4"/>
  <c r="A2041" i="4"/>
  <c r="B2041" i="4"/>
  <c r="A2042" i="4"/>
  <c r="B2042" i="4"/>
  <c r="A2043" i="4"/>
  <c r="B2043" i="4"/>
  <c r="A2044" i="4"/>
  <c r="B2044" i="4"/>
  <c r="A2045" i="4"/>
  <c r="B2045" i="4"/>
  <c r="A2046" i="4"/>
  <c r="B2046" i="4"/>
  <c r="A2047" i="4"/>
  <c r="B2047" i="4"/>
  <c r="A2048" i="4"/>
  <c r="B2048" i="4"/>
  <c r="A2049" i="4"/>
  <c r="B2049" i="4"/>
  <c r="A2050" i="4"/>
  <c r="B2050" i="4"/>
  <c r="A2051" i="4"/>
  <c r="B2051" i="4"/>
  <c r="A2052" i="4"/>
  <c r="B2052" i="4"/>
  <c r="A2053" i="4"/>
  <c r="B2053" i="4"/>
  <c r="A2054" i="4"/>
  <c r="B2054" i="4"/>
  <c r="A2055" i="4"/>
  <c r="B2055" i="4"/>
  <c r="A2056" i="4"/>
  <c r="B2056" i="4"/>
  <c r="A2057" i="4"/>
  <c r="B2057" i="4"/>
  <c r="A2058" i="4"/>
  <c r="B2058" i="4"/>
  <c r="A2059" i="4"/>
  <c r="B2059" i="4"/>
  <c r="A2060" i="4"/>
  <c r="B2060" i="4"/>
  <c r="A2061" i="4"/>
  <c r="B2061" i="4"/>
  <c r="A2062" i="4"/>
  <c r="B2062" i="4"/>
  <c r="A2063" i="4"/>
  <c r="B2063" i="4"/>
  <c r="A2064" i="4"/>
  <c r="B2064" i="4"/>
  <c r="A2065" i="4"/>
  <c r="B2065" i="4"/>
  <c r="A2066" i="4"/>
  <c r="B2066" i="4"/>
  <c r="A2067" i="4"/>
  <c r="B2067" i="4"/>
  <c r="A2068" i="4"/>
  <c r="B2068" i="4"/>
  <c r="A2069" i="4"/>
  <c r="B2069" i="4"/>
  <c r="A2070" i="4"/>
  <c r="B2070" i="4"/>
  <c r="A2071" i="4"/>
  <c r="B2071" i="4"/>
  <c r="A2072" i="4"/>
  <c r="B2072" i="4"/>
  <c r="A2073" i="4"/>
  <c r="B2073" i="4"/>
  <c r="A2074" i="4"/>
  <c r="B2074" i="4"/>
  <c r="A2075" i="4"/>
  <c r="B2075" i="4"/>
  <c r="A2076" i="4"/>
  <c r="B2076" i="4"/>
  <c r="A2077" i="4"/>
  <c r="B2077" i="4"/>
  <c r="A2078" i="4"/>
  <c r="B2078" i="4"/>
  <c r="A2079" i="4"/>
  <c r="B2079" i="4"/>
  <c r="A2080" i="4"/>
  <c r="B2080" i="4"/>
  <c r="A2081" i="4"/>
  <c r="B2081" i="4"/>
  <c r="A2082" i="4"/>
  <c r="B2082" i="4"/>
  <c r="A2083" i="4"/>
  <c r="B2083" i="4"/>
  <c r="A2084" i="4"/>
  <c r="B2084" i="4"/>
  <c r="A2085" i="4"/>
  <c r="B2085" i="4"/>
  <c r="A2086" i="4"/>
  <c r="B2086" i="4"/>
  <c r="A2087" i="4"/>
  <c r="B2087" i="4"/>
  <c r="A2088" i="4"/>
  <c r="B2088" i="4"/>
  <c r="A2089" i="4"/>
  <c r="B2089" i="4"/>
  <c r="A2090" i="4"/>
  <c r="B2090" i="4"/>
  <c r="A2091" i="4"/>
  <c r="B2091" i="4"/>
  <c r="A2092" i="4"/>
  <c r="B2092" i="4"/>
  <c r="A2093" i="4"/>
  <c r="B2093" i="4"/>
  <c r="A2094" i="4"/>
  <c r="B2094" i="4"/>
  <c r="A2095" i="4"/>
  <c r="B2095" i="4"/>
  <c r="A2096" i="4"/>
  <c r="B2096" i="4"/>
  <c r="A2097" i="4"/>
  <c r="B2097" i="4"/>
  <c r="A2098" i="4"/>
  <c r="B2098" i="4"/>
  <c r="A2099" i="4"/>
  <c r="B2099" i="4"/>
  <c r="A2100" i="4"/>
  <c r="B2100" i="4"/>
  <c r="A2101" i="4"/>
  <c r="B2101" i="4"/>
  <c r="A2102" i="4"/>
  <c r="B2102" i="4"/>
  <c r="A2103" i="4"/>
  <c r="B2103" i="4"/>
  <c r="A2104" i="4"/>
  <c r="B2104" i="4"/>
  <c r="A2105" i="4"/>
  <c r="B2105" i="4"/>
  <c r="A2106" i="4"/>
  <c r="B2106" i="4"/>
  <c r="A2107" i="4"/>
  <c r="B2107" i="4"/>
  <c r="A2108" i="4"/>
  <c r="B2108" i="4"/>
  <c r="A2109" i="4"/>
  <c r="B2109" i="4"/>
  <c r="A2110" i="4"/>
  <c r="B2110" i="4"/>
  <c r="A2111" i="4"/>
  <c r="B2111" i="4"/>
  <c r="A2112" i="4"/>
  <c r="B2112" i="4"/>
  <c r="A2113" i="4"/>
  <c r="B2113" i="4"/>
  <c r="A2114" i="4"/>
  <c r="B2114" i="4"/>
  <c r="A2115" i="4"/>
  <c r="B2115" i="4"/>
  <c r="A2116" i="4"/>
  <c r="B2116" i="4"/>
  <c r="A2117" i="4"/>
  <c r="B2117" i="4"/>
  <c r="A2118" i="4"/>
  <c r="B2118" i="4"/>
  <c r="A2119" i="4"/>
  <c r="B2119" i="4"/>
  <c r="A2120" i="4"/>
  <c r="B2120" i="4"/>
  <c r="A2121" i="4"/>
  <c r="B2121" i="4"/>
  <c r="A2122" i="4"/>
  <c r="B2122" i="4"/>
  <c r="A2123" i="4"/>
  <c r="B2123" i="4"/>
  <c r="A2124" i="4"/>
  <c r="B2124" i="4"/>
  <c r="A2125" i="4"/>
  <c r="B2125" i="4"/>
  <c r="A2126" i="4"/>
  <c r="B2126" i="4"/>
  <c r="A2127" i="4"/>
  <c r="B2127" i="4"/>
  <c r="A2128" i="4"/>
  <c r="B2128" i="4"/>
  <c r="A2129" i="4"/>
  <c r="B2129" i="4"/>
  <c r="A2130" i="4"/>
  <c r="B2130" i="4"/>
  <c r="A2131" i="4"/>
  <c r="B2131" i="4"/>
  <c r="A2132" i="4"/>
  <c r="B2132" i="4"/>
  <c r="A2133" i="4"/>
  <c r="B2133" i="4"/>
  <c r="A2134" i="4"/>
  <c r="B2134" i="4"/>
  <c r="A2135" i="4"/>
  <c r="B2135" i="4"/>
  <c r="A2136" i="4"/>
  <c r="B2136" i="4"/>
  <c r="A2137" i="4"/>
  <c r="B2137" i="4"/>
  <c r="A2138" i="4"/>
  <c r="B2138" i="4"/>
  <c r="A2139" i="4"/>
  <c r="B2139" i="4"/>
  <c r="A2140" i="4"/>
  <c r="B2140" i="4"/>
  <c r="A2141" i="4"/>
  <c r="B2141" i="4"/>
  <c r="A2142" i="4"/>
  <c r="B2142" i="4"/>
  <c r="A2143" i="4"/>
  <c r="B2143" i="4"/>
  <c r="A2144" i="4"/>
  <c r="B2144" i="4"/>
  <c r="A2145" i="4"/>
  <c r="B2145" i="4"/>
  <c r="A2146" i="4"/>
  <c r="B2146" i="4"/>
  <c r="A2147" i="4"/>
  <c r="B2147" i="4"/>
  <c r="A2148" i="4"/>
  <c r="B2148" i="4"/>
  <c r="A2149" i="4"/>
  <c r="B2149" i="4"/>
  <c r="A2150" i="4"/>
  <c r="B2150" i="4"/>
  <c r="A2151" i="4"/>
  <c r="B2151" i="4"/>
  <c r="A2152" i="4"/>
  <c r="B2152" i="4"/>
  <c r="A2153" i="4"/>
  <c r="B2153" i="4"/>
  <c r="A2154" i="4"/>
  <c r="B2154" i="4"/>
  <c r="A2155" i="4"/>
  <c r="B2155" i="4"/>
  <c r="A2156" i="4"/>
  <c r="B2156" i="4"/>
  <c r="A2157" i="4"/>
  <c r="B2157" i="4"/>
  <c r="A2158" i="4"/>
  <c r="B2158" i="4"/>
  <c r="A2159" i="4"/>
  <c r="B2159" i="4"/>
  <c r="A2160" i="4"/>
  <c r="B2160" i="4"/>
  <c r="A2161" i="4"/>
  <c r="B2161" i="4"/>
  <c r="A2162" i="4"/>
  <c r="B2162" i="4"/>
  <c r="A2163" i="4"/>
  <c r="B2163" i="4"/>
  <c r="A2164" i="4"/>
  <c r="B2164" i="4"/>
  <c r="A2165" i="4"/>
  <c r="B2165" i="4"/>
  <c r="A2166" i="4"/>
  <c r="B2166" i="4"/>
  <c r="A2167" i="4"/>
  <c r="B2167" i="4"/>
  <c r="A2168" i="4"/>
  <c r="B2168" i="4"/>
  <c r="A2169" i="4"/>
  <c r="B2169" i="4"/>
  <c r="A2170" i="4"/>
  <c r="B2170" i="4"/>
  <c r="A2171" i="4"/>
  <c r="B2171" i="4"/>
  <c r="A2172" i="4"/>
  <c r="B2172" i="4"/>
  <c r="A2173" i="4"/>
  <c r="B2173" i="4"/>
  <c r="A2174" i="4"/>
  <c r="B2174" i="4"/>
  <c r="A2175" i="4"/>
  <c r="B2175" i="4"/>
  <c r="A2176" i="4"/>
  <c r="B2176" i="4"/>
  <c r="A2177" i="4"/>
  <c r="B2177" i="4"/>
  <c r="A2178" i="4"/>
  <c r="B2178" i="4"/>
  <c r="A2179" i="4"/>
  <c r="B2179" i="4"/>
  <c r="A2180" i="4"/>
  <c r="B2180" i="4"/>
  <c r="A2181" i="4"/>
  <c r="B2181" i="4"/>
  <c r="A2182" i="4"/>
  <c r="B2182" i="4"/>
  <c r="A2183" i="4"/>
  <c r="B2183" i="4"/>
  <c r="A2184" i="4"/>
  <c r="B2184" i="4"/>
  <c r="A2185" i="4"/>
  <c r="B2185" i="4"/>
  <c r="A2186" i="4"/>
  <c r="B2186" i="4"/>
  <c r="A2187" i="4"/>
  <c r="B2187" i="4"/>
  <c r="A2188" i="4"/>
  <c r="B2188" i="4"/>
  <c r="A2189" i="4"/>
  <c r="B2189" i="4"/>
  <c r="A2190" i="4"/>
  <c r="B2190" i="4"/>
  <c r="A2191" i="4"/>
  <c r="B2191" i="4"/>
  <c r="A2192" i="4"/>
  <c r="B2192" i="4"/>
  <c r="A2193" i="4"/>
  <c r="B2193" i="4"/>
  <c r="A2194" i="4"/>
  <c r="B2194" i="4"/>
  <c r="A2195" i="4"/>
  <c r="B2195" i="4"/>
  <c r="A2196" i="4"/>
  <c r="B2196" i="4"/>
  <c r="A2197" i="4"/>
  <c r="B2197" i="4"/>
  <c r="A2198" i="4"/>
  <c r="B2198" i="4"/>
  <c r="A2199" i="4"/>
  <c r="B2199" i="4"/>
  <c r="A2200" i="4"/>
  <c r="B2200" i="4"/>
  <c r="A2201" i="4"/>
  <c r="B2201" i="4"/>
  <c r="A2202" i="4"/>
  <c r="B2202" i="4"/>
  <c r="A2203" i="4"/>
  <c r="B2203" i="4"/>
  <c r="A2204" i="4"/>
  <c r="B2204" i="4"/>
  <c r="A2205" i="4"/>
  <c r="B2205" i="4"/>
  <c r="A2206" i="4"/>
  <c r="B2206" i="4"/>
  <c r="A2207" i="4"/>
  <c r="B2207" i="4"/>
  <c r="A2208" i="4"/>
  <c r="B2208" i="4"/>
  <c r="A2209" i="4"/>
  <c r="B2209" i="4"/>
  <c r="A2210" i="4"/>
  <c r="B2210" i="4"/>
  <c r="A2211" i="4"/>
  <c r="B2211" i="4"/>
  <c r="A2212" i="4"/>
  <c r="B2212" i="4"/>
  <c r="A2213" i="4"/>
  <c r="B2213" i="4"/>
  <c r="A2214" i="4"/>
  <c r="B2214" i="4"/>
  <c r="A2215" i="4"/>
  <c r="B2215" i="4"/>
  <c r="A2216" i="4"/>
  <c r="B2216" i="4"/>
  <c r="A2217" i="4"/>
  <c r="B2217" i="4"/>
  <c r="A2218" i="4"/>
  <c r="B2218" i="4"/>
  <c r="A2219" i="4"/>
  <c r="B2219" i="4"/>
  <c r="A2220" i="4"/>
  <c r="B2220" i="4"/>
  <c r="A2221" i="4"/>
  <c r="B2221" i="4"/>
  <c r="A2222" i="4"/>
  <c r="B2222" i="4"/>
  <c r="A2223" i="4"/>
  <c r="B2223" i="4"/>
  <c r="A2224" i="4"/>
  <c r="B2224" i="4"/>
  <c r="A2225" i="4"/>
  <c r="B2225" i="4"/>
  <c r="A2226" i="4"/>
  <c r="B2226" i="4"/>
  <c r="A2227" i="4"/>
  <c r="B2227" i="4"/>
  <c r="A2228" i="4"/>
  <c r="B2228" i="4"/>
  <c r="A2229" i="4"/>
  <c r="B2229" i="4"/>
  <c r="A2230" i="4"/>
  <c r="B2230" i="4"/>
  <c r="A2231" i="4"/>
  <c r="B2231" i="4"/>
  <c r="A2232" i="4"/>
  <c r="B2232" i="4"/>
  <c r="A2233" i="4"/>
  <c r="B2233" i="4"/>
  <c r="A2234" i="4"/>
  <c r="B2234" i="4"/>
  <c r="A2235" i="4"/>
  <c r="B2235" i="4"/>
  <c r="A2236" i="4"/>
  <c r="B2236" i="4"/>
  <c r="A2237" i="4"/>
  <c r="B2237" i="4"/>
  <c r="A2238" i="4"/>
  <c r="B2238" i="4"/>
  <c r="A2239" i="4"/>
  <c r="B2239" i="4"/>
  <c r="A2240" i="4"/>
  <c r="B2240" i="4"/>
  <c r="A2241" i="4"/>
  <c r="B2241" i="4"/>
  <c r="A2242" i="4"/>
  <c r="B2242" i="4"/>
  <c r="A2243" i="4"/>
  <c r="B2243" i="4"/>
  <c r="A2244" i="4"/>
  <c r="B2244" i="4"/>
  <c r="A2245" i="4"/>
  <c r="B2245" i="4"/>
  <c r="A2246" i="4"/>
  <c r="B2246" i="4"/>
  <c r="A2247" i="4"/>
  <c r="B2247" i="4"/>
  <c r="A2248" i="4"/>
  <c r="B2248" i="4"/>
  <c r="A2249" i="4"/>
  <c r="B2249" i="4"/>
  <c r="A2250" i="4"/>
  <c r="B2250" i="4"/>
  <c r="A2251" i="4"/>
  <c r="B2251" i="4"/>
  <c r="A2252" i="4"/>
  <c r="B2252" i="4"/>
  <c r="A2253" i="4"/>
  <c r="B2253" i="4"/>
  <c r="A2254" i="4"/>
  <c r="B2254" i="4"/>
  <c r="A2255" i="4"/>
  <c r="B2255" i="4"/>
  <c r="A2256" i="4"/>
  <c r="B2256" i="4"/>
  <c r="A2257" i="4"/>
  <c r="B2257" i="4"/>
  <c r="A2258" i="4"/>
  <c r="B2258" i="4"/>
  <c r="A2259" i="4"/>
  <c r="B2259" i="4"/>
  <c r="A2260" i="4"/>
  <c r="B2260" i="4"/>
  <c r="A2261" i="4"/>
  <c r="B2261" i="4"/>
  <c r="A2262" i="4"/>
  <c r="B2262" i="4"/>
  <c r="A2263" i="4"/>
  <c r="B2263" i="4"/>
  <c r="A2264" i="4"/>
  <c r="B2264" i="4"/>
  <c r="A2265" i="4"/>
  <c r="B2265" i="4"/>
  <c r="A2266" i="4"/>
  <c r="B2266" i="4"/>
  <c r="A2267" i="4"/>
  <c r="B2267" i="4"/>
  <c r="A2268" i="4"/>
  <c r="B2268" i="4"/>
  <c r="A2269" i="4"/>
  <c r="B2269" i="4"/>
  <c r="A2270" i="4"/>
  <c r="B2270" i="4"/>
  <c r="A2271" i="4"/>
  <c r="B2271" i="4"/>
  <c r="A2272" i="4"/>
  <c r="B2272" i="4"/>
  <c r="A2273" i="4"/>
  <c r="B2273" i="4"/>
  <c r="A2274" i="4"/>
  <c r="B2274" i="4"/>
  <c r="A2275" i="4"/>
  <c r="B2275" i="4"/>
  <c r="A2276" i="4"/>
  <c r="B2276" i="4"/>
  <c r="A2277" i="4"/>
  <c r="B2277" i="4"/>
  <c r="A2278" i="4"/>
  <c r="B2278" i="4"/>
  <c r="A2279" i="4"/>
  <c r="B2279" i="4"/>
  <c r="A2280" i="4"/>
  <c r="B2280" i="4"/>
  <c r="A2281" i="4"/>
  <c r="B2281" i="4"/>
  <c r="A2282" i="4"/>
  <c r="B2282" i="4"/>
  <c r="A2283" i="4"/>
  <c r="B2283" i="4"/>
  <c r="A2284" i="4"/>
  <c r="B2284" i="4"/>
  <c r="A2285" i="4"/>
  <c r="B2285" i="4"/>
  <c r="A2286" i="4"/>
  <c r="B2286" i="4"/>
  <c r="A2287" i="4"/>
  <c r="B2287" i="4"/>
  <c r="A2288" i="4"/>
  <c r="B2288" i="4"/>
  <c r="A2289" i="4"/>
  <c r="B2289" i="4"/>
  <c r="A2290" i="4"/>
  <c r="B2290" i="4"/>
  <c r="A2291" i="4"/>
  <c r="B2291" i="4"/>
  <c r="A2292" i="4"/>
  <c r="B2292" i="4"/>
  <c r="A2293" i="4"/>
  <c r="B2293" i="4"/>
  <c r="A2294" i="4"/>
  <c r="B2294" i="4"/>
  <c r="A2295" i="4"/>
  <c r="B2295" i="4"/>
  <c r="A2296" i="4"/>
  <c r="B2296" i="4"/>
  <c r="A2297" i="4"/>
  <c r="B2297" i="4"/>
  <c r="A2298" i="4"/>
  <c r="B2298" i="4"/>
  <c r="A2299" i="4"/>
  <c r="B2299" i="4"/>
  <c r="A2300" i="4"/>
  <c r="B2300" i="4"/>
  <c r="A2301" i="4"/>
  <c r="B2301" i="4"/>
  <c r="A2302" i="4"/>
  <c r="B2302" i="4"/>
  <c r="A2303" i="4"/>
  <c r="B2303" i="4"/>
  <c r="A2304" i="4"/>
  <c r="B2304" i="4"/>
  <c r="A2305" i="4"/>
  <c r="B2305" i="4"/>
  <c r="A2306" i="4"/>
  <c r="B2306" i="4"/>
  <c r="A2307" i="4"/>
  <c r="B2307" i="4"/>
  <c r="A2308" i="4"/>
  <c r="B2308" i="4"/>
  <c r="A2309" i="4"/>
  <c r="B2309" i="4"/>
  <c r="A2310" i="4"/>
  <c r="B2310" i="4"/>
  <c r="A2311" i="4"/>
  <c r="B2311" i="4"/>
  <c r="A2312" i="4"/>
  <c r="B2312" i="4"/>
  <c r="A2313" i="4"/>
  <c r="B2313" i="4"/>
  <c r="A2314" i="4"/>
  <c r="B2314" i="4"/>
  <c r="A2315" i="4"/>
  <c r="B2315" i="4"/>
  <c r="A2316" i="4"/>
  <c r="B2316" i="4"/>
  <c r="A2317" i="4"/>
  <c r="B2317" i="4"/>
  <c r="A2318" i="4"/>
  <c r="B2318" i="4"/>
  <c r="A2319" i="4"/>
  <c r="B2319" i="4"/>
  <c r="A2320" i="4"/>
  <c r="B2320" i="4"/>
  <c r="A2321" i="4"/>
  <c r="B2321" i="4"/>
  <c r="A2322" i="4"/>
  <c r="B2322" i="4"/>
  <c r="A2323" i="4"/>
  <c r="B2323" i="4"/>
  <c r="A2324" i="4"/>
  <c r="B2324" i="4"/>
  <c r="A2325" i="4"/>
  <c r="B2325" i="4"/>
  <c r="A2326" i="4"/>
  <c r="B2326" i="4"/>
  <c r="A2327" i="4"/>
  <c r="B2327" i="4"/>
  <c r="A2328" i="4"/>
  <c r="B2328" i="4"/>
  <c r="A2329" i="4"/>
  <c r="B2329" i="4"/>
  <c r="A2330" i="4"/>
  <c r="B2330" i="4"/>
  <c r="A2331" i="4"/>
  <c r="B2331" i="4"/>
  <c r="A2332" i="4"/>
  <c r="B2332" i="4"/>
  <c r="A2333" i="4"/>
  <c r="B2333" i="4"/>
  <c r="A2334" i="4"/>
  <c r="B2334" i="4"/>
  <c r="A2335" i="4"/>
  <c r="B2335" i="4"/>
  <c r="A2336" i="4"/>
  <c r="B2336" i="4"/>
  <c r="A2337" i="4"/>
  <c r="B2337" i="4"/>
  <c r="A2338" i="4"/>
  <c r="B2338" i="4"/>
  <c r="A2339" i="4"/>
  <c r="B2339" i="4"/>
  <c r="A2340" i="4"/>
  <c r="B2340" i="4"/>
  <c r="A2341" i="4"/>
  <c r="B2341" i="4"/>
  <c r="A2342" i="4"/>
  <c r="B2342" i="4"/>
  <c r="A2343" i="4"/>
  <c r="B2343" i="4"/>
  <c r="A2344" i="4"/>
  <c r="B2344" i="4"/>
  <c r="A2345" i="4"/>
  <c r="B2345" i="4"/>
  <c r="A2346" i="4"/>
  <c r="B2346" i="4"/>
  <c r="A2347" i="4"/>
  <c r="B2347" i="4"/>
  <c r="A2348" i="4"/>
  <c r="B2348" i="4"/>
  <c r="A2349" i="4"/>
  <c r="B2349" i="4"/>
  <c r="A2350" i="4"/>
  <c r="B2350" i="4"/>
  <c r="A2351" i="4"/>
  <c r="B2351" i="4"/>
  <c r="A2352" i="4"/>
  <c r="B2352" i="4"/>
  <c r="A2353" i="4"/>
  <c r="B2353" i="4"/>
  <c r="A2354" i="4"/>
  <c r="B2354" i="4"/>
  <c r="A2355" i="4"/>
  <c r="B2355" i="4"/>
  <c r="A2356" i="4"/>
  <c r="B2356" i="4"/>
  <c r="A2357" i="4"/>
  <c r="B2357" i="4"/>
  <c r="A2358" i="4"/>
  <c r="B2358" i="4"/>
  <c r="A2359" i="4"/>
  <c r="B2359" i="4"/>
  <c r="A2360" i="4"/>
  <c r="B2360" i="4"/>
  <c r="A2361" i="4"/>
  <c r="B2361" i="4"/>
  <c r="A2362" i="4"/>
  <c r="B2362" i="4"/>
  <c r="A2363" i="4"/>
  <c r="B2363" i="4"/>
  <c r="A2364" i="4"/>
  <c r="B2364" i="4"/>
  <c r="A2365" i="4"/>
  <c r="B2365" i="4"/>
  <c r="A2366" i="4"/>
  <c r="B2366" i="4"/>
  <c r="A2367" i="4"/>
  <c r="B2367" i="4"/>
  <c r="A2368" i="4"/>
  <c r="B2368" i="4"/>
  <c r="A2369" i="4"/>
  <c r="B2369" i="4"/>
  <c r="A2370" i="4"/>
  <c r="B2370" i="4"/>
  <c r="A2371" i="4"/>
  <c r="B2371" i="4"/>
  <c r="A2372" i="4"/>
  <c r="B2372" i="4"/>
  <c r="A2373" i="4"/>
  <c r="B2373" i="4"/>
  <c r="A2374" i="4"/>
  <c r="B2374" i="4"/>
  <c r="A2375" i="4"/>
  <c r="B2375" i="4"/>
  <c r="A2376" i="4"/>
  <c r="B2376" i="4"/>
  <c r="A2377" i="4"/>
  <c r="B2377" i="4"/>
  <c r="A2378" i="4"/>
  <c r="B2378" i="4"/>
  <c r="A2379" i="4"/>
  <c r="B2379" i="4"/>
  <c r="A2380" i="4"/>
  <c r="B2380" i="4"/>
  <c r="A2381" i="4"/>
  <c r="B2381" i="4"/>
  <c r="A2382" i="4"/>
  <c r="B2382" i="4"/>
  <c r="A2383" i="4"/>
  <c r="B2383" i="4"/>
  <c r="A2384" i="4"/>
  <c r="B2384" i="4"/>
  <c r="A2385" i="4"/>
  <c r="B2385" i="4"/>
  <c r="A2386" i="4"/>
  <c r="B2386" i="4"/>
  <c r="A2387" i="4"/>
  <c r="B2387" i="4"/>
  <c r="A2388" i="4"/>
  <c r="B2388" i="4"/>
  <c r="A2389" i="4"/>
  <c r="B2389" i="4"/>
  <c r="A2390" i="4"/>
  <c r="B2390" i="4"/>
  <c r="A2391" i="4"/>
  <c r="B2391" i="4"/>
  <c r="A2392" i="4"/>
  <c r="B2392" i="4"/>
  <c r="A2393" i="4"/>
  <c r="B2393" i="4"/>
  <c r="A2394" i="4"/>
  <c r="B2394" i="4"/>
  <c r="A2395" i="4"/>
  <c r="B2395" i="4"/>
  <c r="A2396" i="4"/>
  <c r="B2396" i="4"/>
  <c r="A2397" i="4"/>
  <c r="B2397" i="4"/>
  <c r="A2398" i="4"/>
  <c r="B2398" i="4"/>
  <c r="A2399" i="4"/>
  <c r="B2399" i="4"/>
  <c r="A2400" i="4"/>
  <c r="B2400" i="4"/>
  <c r="A2401" i="4"/>
  <c r="B2401" i="4"/>
  <c r="A2402" i="4"/>
  <c r="B2402" i="4"/>
  <c r="A2403" i="4"/>
  <c r="B2403" i="4"/>
  <c r="A2404" i="4"/>
  <c r="B2404" i="4"/>
  <c r="A2405" i="4"/>
  <c r="B2405" i="4"/>
  <c r="A2406" i="4"/>
  <c r="B2406" i="4"/>
  <c r="A2407" i="4"/>
  <c r="B2407" i="4"/>
  <c r="A2408" i="4"/>
  <c r="B2408" i="4"/>
  <c r="A2409" i="4"/>
  <c r="B2409" i="4"/>
  <c r="A2410" i="4"/>
  <c r="B2410" i="4"/>
  <c r="A2411" i="4"/>
  <c r="B2411" i="4"/>
  <c r="A2412" i="4"/>
  <c r="B2412" i="4"/>
  <c r="A2413" i="4"/>
  <c r="B2413" i="4"/>
  <c r="A2414" i="4"/>
  <c r="B2414" i="4"/>
  <c r="A2415" i="4"/>
  <c r="B2415" i="4"/>
  <c r="A2416" i="4"/>
  <c r="B2416" i="4"/>
  <c r="A2417" i="4"/>
  <c r="B2417" i="4"/>
  <c r="A2418" i="4"/>
  <c r="B2418" i="4"/>
  <c r="A2419" i="4"/>
  <c r="B2419" i="4"/>
  <c r="A2420" i="4"/>
  <c r="B2420" i="4"/>
  <c r="A2421" i="4"/>
  <c r="B2421" i="4"/>
  <c r="A2422" i="4"/>
  <c r="B2422" i="4"/>
  <c r="A2423" i="4"/>
  <c r="B2423" i="4"/>
  <c r="A2424" i="4"/>
  <c r="B2424" i="4"/>
  <c r="A2425" i="4"/>
  <c r="B2425" i="4"/>
  <c r="A2426" i="4"/>
  <c r="B2426" i="4"/>
  <c r="A2427" i="4"/>
  <c r="B2427" i="4"/>
  <c r="A2428" i="4"/>
  <c r="B2428" i="4"/>
  <c r="A2429" i="4"/>
  <c r="B2429" i="4"/>
  <c r="A2430" i="4"/>
  <c r="B2430" i="4"/>
  <c r="A2431" i="4"/>
  <c r="B2431" i="4"/>
  <c r="A2432" i="4"/>
  <c r="B2432" i="4"/>
  <c r="A2433" i="4"/>
  <c r="B2433" i="4"/>
  <c r="A2434" i="4"/>
  <c r="B2434" i="4"/>
  <c r="A2435" i="4"/>
  <c r="B2435" i="4"/>
  <c r="A2436" i="4"/>
  <c r="B2436" i="4"/>
  <c r="A2437" i="4"/>
  <c r="B2437" i="4"/>
  <c r="A2438" i="4"/>
  <c r="B2438" i="4"/>
  <c r="A2439" i="4"/>
  <c r="B2439" i="4"/>
  <c r="A2440" i="4"/>
  <c r="B2440" i="4"/>
  <c r="A2441" i="4"/>
  <c r="B2441" i="4"/>
  <c r="A2442" i="4"/>
  <c r="B2442" i="4"/>
  <c r="A2443" i="4"/>
  <c r="B2443" i="4"/>
  <c r="A2444" i="4"/>
  <c r="B2444" i="4"/>
  <c r="A2445" i="4"/>
  <c r="B2445" i="4"/>
  <c r="A2446" i="4"/>
  <c r="B2446" i="4"/>
  <c r="A2447" i="4"/>
  <c r="B2447" i="4"/>
  <c r="A2448" i="4"/>
  <c r="B2448" i="4"/>
  <c r="A2449" i="4"/>
  <c r="B2449" i="4"/>
  <c r="A2450" i="4"/>
  <c r="B2450" i="4"/>
  <c r="A2451" i="4"/>
  <c r="B2451" i="4"/>
  <c r="A2452" i="4"/>
  <c r="B2452" i="4"/>
  <c r="A2453" i="4"/>
  <c r="B2453" i="4"/>
  <c r="A2454" i="4"/>
  <c r="B2454" i="4"/>
  <c r="A2455" i="4"/>
  <c r="B2455" i="4"/>
  <c r="A2456" i="4"/>
  <c r="B2456" i="4"/>
  <c r="A2457" i="4"/>
  <c r="B2457" i="4"/>
  <c r="A2458" i="4"/>
  <c r="B2458" i="4"/>
  <c r="A2459" i="4"/>
  <c r="B2459" i="4"/>
  <c r="A2460" i="4"/>
  <c r="B2460" i="4"/>
  <c r="A2461" i="4"/>
  <c r="B2461" i="4"/>
  <c r="A2462" i="4"/>
  <c r="B2462" i="4"/>
  <c r="A2463" i="4"/>
  <c r="B2463" i="4"/>
  <c r="A2464" i="4"/>
  <c r="B2464" i="4"/>
  <c r="A2465" i="4"/>
  <c r="B2465" i="4"/>
  <c r="A2466" i="4"/>
  <c r="B2466" i="4"/>
  <c r="A2467" i="4"/>
  <c r="B2467" i="4"/>
  <c r="A2468" i="4"/>
  <c r="B2468" i="4"/>
  <c r="A2469" i="4"/>
  <c r="B2469" i="4"/>
  <c r="A2470" i="4"/>
  <c r="B2470" i="4"/>
  <c r="A2471" i="4"/>
  <c r="B2471" i="4"/>
  <c r="A2472" i="4"/>
  <c r="B2472" i="4"/>
  <c r="A2473" i="4"/>
  <c r="B2473" i="4"/>
  <c r="A2474" i="4"/>
  <c r="B2474" i="4"/>
  <c r="A2475" i="4"/>
  <c r="B2475" i="4"/>
  <c r="A2476" i="4"/>
  <c r="B2476" i="4"/>
  <c r="A2477" i="4"/>
  <c r="B2477" i="4"/>
  <c r="A2478" i="4"/>
  <c r="B2478" i="4"/>
  <c r="A2479" i="4"/>
  <c r="B2479" i="4"/>
  <c r="A2480" i="4"/>
  <c r="B2480" i="4"/>
  <c r="A2481" i="4"/>
  <c r="B2481" i="4"/>
  <c r="A2482" i="4"/>
  <c r="B2482" i="4"/>
  <c r="A2483" i="4"/>
  <c r="B2483" i="4"/>
  <c r="A2484" i="4"/>
  <c r="B2484" i="4"/>
  <c r="A2485" i="4"/>
  <c r="B2485" i="4"/>
  <c r="A2486" i="4"/>
  <c r="B2486" i="4"/>
  <c r="A2487" i="4"/>
  <c r="B2487" i="4"/>
  <c r="A2488" i="4"/>
  <c r="B2488" i="4"/>
  <c r="A2489" i="4"/>
  <c r="B2489" i="4"/>
  <c r="A2490" i="4"/>
  <c r="B2490" i="4"/>
  <c r="A2491" i="4"/>
  <c r="B2491" i="4"/>
  <c r="A2492" i="4"/>
  <c r="B2492" i="4"/>
  <c r="A2493" i="4"/>
  <c r="B2493" i="4"/>
  <c r="A2494" i="4"/>
  <c r="B2494" i="4"/>
  <c r="A2495" i="4"/>
  <c r="B2495" i="4"/>
  <c r="A2496" i="4"/>
  <c r="B2496" i="4"/>
  <c r="A2497" i="4"/>
  <c r="B2497" i="4"/>
  <c r="A2498" i="4"/>
  <c r="B2498" i="4"/>
  <c r="A2499" i="4"/>
  <c r="B2499" i="4"/>
  <c r="A2500" i="4"/>
  <c r="B2500" i="4"/>
  <c r="A2501" i="4"/>
  <c r="B2501" i="4"/>
  <c r="A2502" i="4"/>
  <c r="B2502" i="4"/>
  <c r="A2503" i="4"/>
  <c r="B2503" i="4"/>
  <c r="A2504" i="4"/>
  <c r="B2504" i="4"/>
  <c r="A2505" i="4"/>
  <c r="B2505" i="4"/>
  <c r="A2506" i="4"/>
  <c r="B2506" i="4"/>
  <c r="A2507" i="4"/>
  <c r="B2507" i="4"/>
  <c r="A2508" i="4"/>
  <c r="B2508" i="4"/>
  <c r="A2509" i="4"/>
  <c r="B2509" i="4"/>
  <c r="A2510" i="4"/>
  <c r="B2510" i="4"/>
  <c r="A2511" i="4"/>
  <c r="B2511" i="4"/>
  <c r="A2512" i="4"/>
  <c r="B2512" i="4"/>
  <c r="A2513" i="4"/>
  <c r="B2513" i="4"/>
  <c r="A2514" i="4"/>
  <c r="B2514" i="4"/>
  <c r="A2515" i="4"/>
  <c r="B2515" i="4"/>
  <c r="A2516" i="4"/>
  <c r="B2516" i="4"/>
  <c r="A2517" i="4"/>
  <c r="B2517" i="4"/>
  <c r="A2518" i="4"/>
  <c r="B2518" i="4"/>
  <c r="A2519" i="4"/>
  <c r="B2519" i="4"/>
  <c r="A2520" i="4"/>
  <c r="B2520" i="4"/>
  <c r="A2521" i="4"/>
  <c r="B2521" i="4"/>
  <c r="A2522" i="4"/>
  <c r="B2522" i="4"/>
  <c r="A2523" i="4"/>
  <c r="B2523" i="4"/>
  <c r="A2524" i="4"/>
  <c r="B2524" i="4"/>
  <c r="A2525" i="4"/>
  <c r="B2525" i="4"/>
  <c r="A2526" i="4"/>
  <c r="B2526" i="4"/>
  <c r="A2527" i="4"/>
  <c r="B2527" i="4"/>
  <c r="A2528" i="4"/>
  <c r="B2528" i="4"/>
  <c r="A2529" i="4"/>
  <c r="B2529" i="4"/>
  <c r="A2530" i="4"/>
  <c r="B2530" i="4"/>
  <c r="A2531" i="4"/>
  <c r="B2531" i="4"/>
  <c r="A2532" i="4"/>
  <c r="B2532" i="4"/>
  <c r="A2533" i="4"/>
  <c r="B2533" i="4"/>
  <c r="A2534" i="4"/>
  <c r="B2534" i="4"/>
  <c r="A2535" i="4"/>
  <c r="B2535" i="4"/>
  <c r="A2536" i="4"/>
  <c r="B2536" i="4"/>
  <c r="A2537" i="4"/>
  <c r="B2537" i="4"/>
  <c r="A2538" i="4"/>
  <c r="B2538" i="4"/>
  <c r="A2539" i="4"/>
  <c r="B2539" i="4"/>
  <c r="A2540" i="4"/>
  <c r="B2540" i="4"/>
  <c r="A2541" i="4"/>
  <c r="B2541" i="4"/>
  <c r="A2542" i="4"/>
  <c r="B2542" i="4"/>
  <c r="A2543" i="4"/>
  <c r="B2543" i="4"/>
  <c r="A2544" i="4"/>
  <c r="B2544" i="4"/>
  <c r="A2545" i="4"/>
  <c r="B2545" i="4"/>
  <c r="A2546" i="4"/>
  <c r="B2546" i="4"/>
  <c r="A2547" i="4"/>
  <c r="B2547" i="4"/>
  <c r="A2548" i="4"/>
  <c r="B2548" i="4"/>
  <c r="A2549" i="4"/>
  <c r="B2549" i="4"/>
  <c r="A2550" i="4"/>
  <c r="B2550" i="4"/>
  <c r="A2551" i="4"/>
  <c r="B2551" i="4"/>
  <c r="A2552" i="4"/>
  <c r="B2552" i="4"/>
  <c r="A2553" i="4"/>
  <c r="B2553" i="4"/>
  <c r="A2554" i="4"/>
  <c r="B2554" i="4"/>
  <c r="A2555" i="4"/>
  <c r="B2555" i="4"/>
  <c r="A2556" i="4"/>
  <c r="B2556" i="4"/>
  <c r="A2557" i="4"/>
  <c r="B2557" i="4"/>
  <c r="A2558" i="4"/>
  <c r="B2558" i="4"/>
  <c r="A2559" i="4"/>
  <c r="B2559" i="4"/>
  <c r="A2560" i="4"/>
  <c r="B2560" i="4"/>
  <c r="A2561" i="4"/>
  <c r="B2561" i="4"/>
  <c r="A2562" i="4"/>
  <c r="B2562" i="4"/>
  <c r="A2563" i="4"/>
  <c r="B2563" i="4"/>
  <c r="A2564" i="4"/>
  <c r="B2564" i="4"/>
  <c r="A2565" i="4"/>
  <c r="B2565" i="4"/>
  <c r="A2566" i="4"/>
  <c r="B2566" i="4"/>
  <c r="A2567" i="4"/>
  <c r="B2567" i="4"/>
  <c r="A2568" i="4"/>
  <c r="B2568" i="4"/>
  <c r="A2569" i="4"/>
  <c r="B2569" i="4"/>
  <c r="A2570" i="4"/>
  <c r="B2570" i="4"/>
  <c r="A2571" i="4"/>
  <c r="B2571" i="4"/>
  <c r="A2572" i="4"/>
  <c r="B2572" i="4"/>
  <c r="A2573" i="4"/>
  <c r="B2573" i="4"/>
  <c r="A2574" i="4"/>
  <c r="B2574" i="4"/>
  <c r="A2575" i="4"/>
  <c r="B2575" i="4"/>
  <c r="A2576" i="4"/>
  <c r="B2576" i="4"/>
  <c r="A2577" i="4"/>
  <c r="B2577" i="4"/>
  <c r="A2578" i="4"/>
  <c r="B2578" i="4"/>
  <c r="A2579" i="4"/>
  <c r="B2579" i="4"/>
  <c r="A2580" i="4"/>
  <c r="B2580" i="4"/>
  <c r="A2581" i="4"/>
  <c r="B2581" i="4"/>
  <c r="A2582" i="4"/>
  <c r="B2582" i="4"/>
  <c r="A2583" i="4"/>
  <c r="B2583" i="4"/>
  <c r="A2584" i="4"/>
  <c r="B2584" i="4"/>
  <c r="A2585" i="4"/>
  <c r="B2585" i="4"/>
  <c r="A2586" i="4"/>
  <c r="B2586" i="4"/>
  <c r="A2587" i="4"/>
  <c r="B2587" i="4"/>
  <c r="A2588" i="4"/>
  <c r="B2588" i="4"/>
  <c r="A2589" i="4"/>
  <c r="B2589" i="4"/>
  <c r="A2590" i="4"/>
  <c r="B2590" i="4"/>
  <c r="A2591" i="4"/>
  <c r="B2591" i="4"/>
  <c r="A2592" i="4"/>
  <c r="B2592" i="4"/>
  <c r="A2593" i="4"/>
  <c r="B2593" i="4"/>
  <c r="A2594" i="4"/>
  <c r="B2594" i="4"/>
  <c r="A2595" i="4"/>
  <c r="B2595" i="4"/>
  <c r="A2596" i="4"/>
  <c r="B2596" i="4"/>
  <c r="A2597" i="4"/>
  <c r="B2597" i="4"/>
  <c r="A2598" i="4"/>
  <c r="B2598" i="4"/>
  <c r="A2599" i="4"/>
  <c r="B2599" i="4"/>
  <c r="A2600" i="4"/>
  <c r="B2600" i="4"/>
  <c r="A2601" i="4"/>
  <c r="B2601" i="4"/>
  <c r="A2602" i="4"/>
  <c r="B2602" i="4"/>
  <c r="A2603" i="4"/>
  <c r="B2603" i="4"/>
  <c r="A2604" i="4"/>
  <c r="B2604" i="4"/>
  <c r="A2605" i="4"/>
  <c r="B2605" i="4"/>
  <c r="A2606" i="4"/>
  <c r="B2606" i="4"/>
  <c r="A2607" i="4"/>
  <c r="B2607" i="4"/>
  <c r="A2608" i="4"/>
  <c r="B2608" i="4"/>
  <c r="A2609" i="4"/>
  <c r="B2609" i="4"/>
  <c r="A2610" i="4"/>
  <c r="B2610" i="4"/>
  <c r="A2611" i="4"/>
  <c r="B2611" i="4"/>
  <c r="A2612" i="4"/>
  <c r="B2612" i="4"/>
  <c r="A2613" i="4"/>
  <c r="B2613" i="4"/>
  <c r="A2614" i="4"/>
  <c r="B2614" i="4"/>
  <c r="A2615" i="4"/>
  <c r="B2615" i="4"/>
  <c r="A2616" i="4"/>
  <c r="B2616" i="4"/>
  <c r="A2617" i="4"/>
  <c r="B2617" i="4"/>
  <c r="A2618" i="4"/>
  <c r="B2618" i="4"/>
  <c r="A2619" i="4"/>
  <c r="B2619" i="4"/>
  <c r="A2620" i="4"/>
  <c r="B2620" i="4"/>
  <c r="A2621" i="4"/>
  <c r="B2621" i="4"/>
  <c r="A2622" i="4"/>
  <c r="B2622" i="4"/>
  <c r="A2623" i="4"/>
  <c r="B2623" i="4"/>
  <c r="A2624" i="4"/>
  <c r="B2624" i="4"/>
  <c r="A2625" i="4"/>
  <c r="B2625" i="4"/>
  <c r="A2626" i="4"/>
  <c r="B2626" i="4"/>
  <c r="A2627" i="4"/>
  <c r="B2627" i="4"/>
  <c r="A2628" i="4"/>
  <c r="B2628" i="4"/>
  <c r="A2629" i="4"/>
  <c r="B2629" i="4"/>
  <c r="A2630" i="4"/>
  <c r="B2630" i="4"/>
  <c r="A2631" i="4"/>
  <c r="B2631" i="4"/>
  <c r="A2632" i="4"/>
  <c r="B2632" i="4"/>
  <c r="A2633" i="4"/>
  <c r="B2633" i="4"/>
  <c r="A2634" i="4"/>
  <c r="B2634" i="4"/>
  <c r="A2635" i="4"/>
  <c r="B2635" i="4"/>
  <c r="A2636" i="4"/>
  <c r="B2636" i="4"/>
  <c r="A2637" i="4"/>
  <c r="B2637" i="4"/>
  <c r="A2638" i="4"/>
  <c r="B2638" i="4"/>
  <c r="A2639" i="4"/>
  <c r="B2639" i="4"/>
  <c r="A2640" i="4"/>
  <c r="B2640" i="4"/>
  <c r="A2641" i="4"/>
  <c r="B2641" i="4"/>
  <c r="A2642" i="4"/>
  <c r="B2642" i="4"/>
  <c r="A2643" i="4"/>
  <c r="B2643" i="4"/>
  <c r="A2644" i="4"/>
  <c r="B2644" i="4"/>
  <c r="A2645" i="4"/>
  <c r="B2645" i="4"/>
  <c r="A2646" i="4"/>
  <c r="B2646" i="4"/>
  <c r="A2647" i="4"/>
  <c r="B2647" i="4"/>
  <c r="A2648" i="4"/>
  <c r="B2648" i="4"/>
  <c r="A2649" i="4"/>
  <c r="B2649" i="4"/>
  <c r="A2650" i="4"/>
  <c r="B2650" i="4"/>
  <c r="A2651" i="4"/>
  <c r="B2651" i="4"/>
  <c r="A2652" i="4"/>
  <c r="B2652" i="4"/>
  <c r="A2653" i="4"/>
  <c r="B2653" i="4"/>
  <c r="A2654" i="4"/>
  <c r="B2654" i="4"/>
  <c r="A2655" i="4"/>
  <c r="B2655" i="4"/>
  <c r="A2656" i="4"/>
  <c r="B2656" i="4"/>
  <c r="A2657" i="4"/>
  <c r="B2657" i="4"/>
  <c r="A2658" i="4"/>
  <c r="B2658" i="4"/>
  <c r="A2659" i="4"/>
  <c r="B2659" i="4"/>
  <c r="A2660" i="4"/>
  <c r="B2660" i="4"/>
  <c r="A2661" i="4"/>
  <c r="B2661" i="4"/>
  <c r="A2662" i="4"/>
  <c r="B2662" i="4"/>
  <c r="A2663" i="4"/>
  <c r="B2663" i="4"/>
  <c r="A2664" i="4"/>
  <c r="B2664" i="4"/>
  <c r="A2665" i="4"/>
  <c r="B2665" i="4"/>
  <c r="A2666" i="4"/>
  <c r="B2666" i="4"/>
  <c r="A2667" i="4"/>
  <c r="B2667" i="4"/>
  <c r="A2668" i="4"/>
  <c r="B2668" i="4"/>
  <c r="A2669" i="4"/>
  <c r="B2669" i="4"/>
  <c r="A2670" i="4"/>
  <c r="B2670" i="4"/>
  <c r="A2671" i="4"/>
  <c r="B2671" i="4"/>
  <c r="A2672" i="4"/>
  <c r="B2672" i="4"/>
  <c r="A2673" i="4"/>
  <c r="B2673" i="4"/>
  <c r="A2674" i="4"/>
  <c r="B2674" i="4"/>
  <c r="A2675" i="4"/>
  <c r="B2675" i="4"/>
  <c r="A2676" i="4"/>
  <c r="B2676" i="4"/>
  <c r="A2677" i="4"/>
  <c r="B2677" i="4"/>
  <c r="A2678" i="4"/>
  <c r="B2678" i="4"/>
  <c r="A2679" i="4"/>
  <c r="B2679" i="4"/>
  <c r="A2680" i="4"/>
  <c r="B2680" i="4"/>
  <c r="A2681" i="4"/>
  <c r="B2681" i="4"/>
  <c r="A2682" i="4"/>
  <c r="B2682" i="4"/>
  <c r="A2683" i="4"/>
  <c r="B2683" i="4"/>
  <c r="A2684" i="4"/>
  <c r="B2684" i="4"/>
  <c r="A2685" i="4"/>
  <c r="B2685" i="4"/>
  <c r="A2686" i="4"/>
  <c r="B2686" i="4"/>
  <c r="A2687" i="4"/>
  <c r="B2687" i="4"/>
  <c r="A2688" i="4"/>
  <c r="B2688" i="4"/>
  <c r="A2689" i="4"/>
  <c r="B2689" i="4"/>
  <c r="A2690" i="4"/>
  <c r="B2690" i="4"/>
  <c r="A2691" i="4"/>
  <c r="B2691" i="4"/>
  <c r="A2692" i="4"/>
  <c r="B2692" i="4"/>
  <c r="A2693" i="4"/>
  <c r="B2693" i="4"/>
  <c r="A2694" i="4"/>
  <c r="B2694" i="4"/>
  <c r="A2695" i="4"/>
  <c r="B2695" i="4"/>
  <c r="A2696" i="4"/>
  <c r="B2696" i="4"/>
  <c r="A2697" i="4"/>
  <c r="B2697" i="4"/>
  <c r="A2698" i="4"/>
  <c r="B2698" i="4"/>
  <c r="A2699" i="4"/>
  <c r="B2699" i="4"/>
  <c r="A2700" i="4"/>
  <c r="B2700" i="4"/>
  <c r="A2701" i="4"/>
  <c r="B2701" i="4"/>
  <c r="A2702" i="4"/>
  <c r="B2702" i="4"/>
  <c r="A2703" i="4"/>
  <c r="B2703" i="4"/>
  <c r="A2704" i="4"/>
  <c r="B2704" i="4"/>
  <c r="A2705" i="4"/>
  <c r="B2705" i="4"/>
  <c r="A2706" i="4"/>
  <c r="B2706" i="4"/>
  <c r="A2707" i="4"/>
  <c r="B2707" i="4"/>
  <c r="A2708" i="4"/>
  <c r="B2708" i="4"/>
  <c r="A2709" i="4"/>
  <c r="B2709" i="4"/>
  <c r="A2710" i="4"/>
  <c r="B2710" i="4"/>
  <c r="A2711" i="4"/>
  <c r="B2711" i="4"/>
  <c r="A2712" i="4"/>
  <c r="B2712" i="4"/>
  <c r="A2713" i="4"/>
  <c r="B2713" i="4"/>
  <c r="A2714" i="4"/>
  <c r="B2714" i="4"/>
  <c r="A2715" i="4"/>
  <c r="B2715" i="4"/>
  <c r="A2716" i="4"/>
  <c r="B2716" i="4"/>
  <c r="A2717" i="4"/>
  <c r="B2717" i="4"/>
  <c r="A2718" i="4"/>
  <c r="B2718" i="4"/>
  <c r="A2719" i="4"/>
  <c r="B2719" i="4"/>
  <c r="A2720" i="4"/>
  <c r="B2720" i="4"/>
  <c r="A2721" i="4"/>
  <c r="B2721" i="4"/>
  <c r="A2722" i="4"/>
  <c r="B2722" i="4"/>
  <c r="A2723" i="4"/>
  <c r="B2723" i="4"/>
  <c r="A2724" i="4"/>
  <c r="B2724" i="4"/>
  <c r="A2725" i="4"/>
  <c r="B2725" i="4"/>
  <c r="A2726" i="4"/>
  <c r="B2726" i="4"/>
  <c r="A2727" i="4"/>
  <c r="B2727" i="4"/>
  <c r="A2728" i="4"/>
  <c r="B2728" i="4"/>
  <c r="A2729" i="4"/>
  <c r="B2729" i="4"/>
  <c r="A2730" i="4"/>
  <c r="B2730" i="4"/>
  <c r="A2731" i="4"/>
  <c r="B2731" i="4"/>
  <c r="A2732" i="4"/>
  <c r="B2732" i="4"/>
  <c r="A2733" i="4"/>
  <c r="B2733" i="4"/>
  <c r="A2734" i="4"/>
  <c r="B2734" i="4"/>
  <c r="A2735" i="4"/>
  <c r="B2735" i="4"/>
  <c r="A2736" i="4"/>
  <c r="B2736" i="4"/>
  <c r="A2737" i="4"/>
  <c r="B2737" i="4"/>
  <c r="A2738" i="4"/>
  <c r="B2738" i="4"/>
  <c r="A2739" i="4"/>
  <c r="B2739" i="4"/>
  <c r="A2740" i="4"/>
  <c r="B2740" i="4"/>
  <c r="A2741" i="4"/>
  <c r="B2741" i="4"/>
  <c r="A2742" i="4"/>
  <c r="B2742" i="4"/>
  <c r="A2743" i="4"/>
  <c r="B2743" i="4"/>
  <c r="A2744" i="4"/>
  <c r="B2744" i="4"/>
  <c r="A2745" i="4"/>
  <c r="B2745" i="4"/>
  <c r="A2746" i="4"/>
  <c r="B2746" i="4"/>
  <c r="A2747" i="4"/>
  <c r="B2747" i="4"/>
  <c r="A2748" i="4"/>
  <c r="B2748" i="4"/>
  <c r="A2749" i="4"/>
  <c r="B2749" i="4"/>
  <c r="A2750" i="4"/>
  <c r="B2750" i="4"/>
  <c r="A2751" i="4"/>
  <c r="B2751" i="4"/>
  <c r="A2752" i="4"/>
  <c r="B2752" i="4"/>
  <c r="A2753" i="4"/>
  <c r="B2753" i="4"/>
  <c r="A2754" i="4"/>
  <c r="B2754" i="4"/>
  <c r="A2755" i="4"/>
  <c r="B2755" i="4"/>
  <c r="A2756" i="4"/>
  <c r="B2756" i="4"/>
  <c r="A2757" i="4"/>
  <c r="B2757" i="4"/>
  <c r="A2758" i="4"/>
  <c r="B2758" i="4"/>
  <c r="A2759" i="4"/>
  <c r="B2759" i="4"/>
  <c r="A2760" i="4"/>
  <c r="B2760" i="4"/>
  <c r="A2761" i="4"/>
  <c r="B2761" i="4"/>
  <c r="A2762" i="4"/>
  <c r="B2762" i="4"/>
  <c r="A2763" i="4"/>
  <c r="B2763" i="4"/>
  <c r="A2764" i="4"/>
  <c r="B2764" i="4"/>
  <c r="A2765" i="4"/>
  <c r="B2765" i="4"/>
  <c r="A2766" i="4"/>
  <c r="B2766" i="4"/>
  <c r="A2767" i="4"/>
  <c r="B2767" i="4"/>
  <c r="A2768" i="4"/>
  <c r="B2768" i="4"/>
  <c r="A2769" i="4"/>
  <c r="B2769" i="4"/>
  <c r="A2770" i="4"/>
  <c r="B2770" i="4"/>
  <c r="A2771" i="4"/>
  <c r="B2771" i="4"/>
  <c r="A2772" i="4"/>
  <c r="B2772" i="4"/>
  <c r="A2773" i="4"/>
  <c r="B2773" i="4"/>
  <c r="A2774" i="4"/>
  <c r="B2774" i="4"/>
  <c r="A2775" i="4"/>
  <c r="B2775" i="4"/>
  <c r="A2776" i="4"/>
  <c r="B2776" i="4"/>
  <c r="A2777" i="4"/>
  <c r="B2777" i="4"/>
  <c r="A2778" i="4"/>
  <c r="B2778" i="4"/>
  <c r="A2779" i="4"/>
  <c r="B2779" i="4"/>
  <c r="A2780" i="4"/>
  <c r="B2780" i="4"/>
  <c r="A2781" i="4"/>
  <c r="B2781" i="4"/>
  <c r="A2782" i="4"/>
  <c r="B2782" i="4"/>
  <c r="A2783" i="4"/>
  <c r="B2783" i="4"/>
  <c r="A2784" i="4"/>
  <c r="B2784" i="4"/>
  <c r="A2785" i="4"/>
  <c r="B2785" i="4"/>
  <c r="A2786" i="4"/>
  <c r="B2786" i="4"/>
  <c r="A2787" i="4"/>
  <c r="B2787" i="4"/>
  <c r="A2788" i="4"/>
  <c r="B2788" i="4"/>
  <c r="A2789" i="4"/>
  <c r="B2789" i="4"/>
  <c r="A2790" i="4"/>
  <c r="B2790" i="4"/>
  <c r="A2791" i="4"/>
  <c r="B2791" i="4"/>
  <c r="A2792" i="4"/>
  <c r="B2792" i="4"/>
  <c r="A2793" i="4"/>
  <c r="B2793" i="4"/>
  <c r="A2794" i="4"/>
  <c r="B2794" i="4"/>
  <c r="A2795" i="4"/>
  <c r="B2795" i="4"/>
  <c r="A2796" i="4"/>
  <c r="B2796" i="4"/>
  <c r="A2797" i="4"/>
  <c r="B2797" i="4"/>
  <c r="A2798" i="4"/>
  <c r="B2798" i="4"/>
  <c r="A2799" i="4"/>
  <c r="B2799" i="4"/>
  <c r="A2800" i="4"/>
  <c r="B2800" i="4"/>
  <c r="A2801" i="4"/>
  <c r="B2801" i="4"/>
  <c r="A2802" i="4"/>
  <c r="B2802" i="4"/>
  <c r="A2803" i="4"/>
  <c r="B2803" i="4"/>
  <c r="A2804" i="4"/>
  <c r="B2804" i="4"/>
  <c r="A2805" i="4"/>
  <c r="B2805" i="4"/>
  <c r="A2806" i="4"/>
  <c r="B2806" i="4"/>
  <c r="A2807" i="4"/>
  <c r="B2807" i="4"/>
  <c r="A2808" i="4"/>
  <c r="B2808" i="4"/>
  <c r="A2809" i="4"/>
  <c r="B2809" i="4"/>
  <c r="A2810" i="4"/>
  <c r="B2810" i="4"/>
  <c r="A2811" i="4"/>
  <c r="B2811" i="4"/>
  <c r="A2812" i="4"/>
  <c r="B2812" i="4"/>
  <c r="A2813" i="4"/>
  <c r="B2813" i="4"/>
  <c r="A2814" i="4"/>
  <c r="B2814" i="4"/>
  <c r="A2815" i="4"/>
  <c r="B2815" i="4"/>
  <c r="A2816" i="4"/>
  <c r="B2816" i="4"/>
  <c r="A2817" i="4"/>
  <c r="B2817" i="4"/>
  <c r="A2818" i="4"/>
  <c r="B2818" i="4"/>
  <c r="A2819" i="4"/>
  <c r="B2819" i="4"/>
  <c r="A2820" i="4"/>
  <c r="B2820" i="4"/>
  <c r="A2821" i="4"/>
  <c r="B2821" i="4"/>
  <c r="A2822" i="4"/>
  <c r="B2822" i="4"/>
  <c r="A2823" i="4"/>
  <c r="B2823" i="4"/>
  <c r="A2824" i="4"/>
  <c r="B2824" i="4"/>
  <c r="A2825" i="4"/>
  <c r="B2825" i="4"/>
  <c r="A2826" i="4"/>
  <c r="B2826" i="4"/>
  <c r="A2827" i="4"/>
  <c r="B2827" i="4"/>
  <c r="A2828" i="4"/>
  <c r="B2828" i="4"/>
  <c r="A2829" i="4"/>
  <c r="B2829" i="4"/>
  <c r="A2830" i="4"/>
  <c r="B2830" i="4"/>
  <c r="A2831" i="4"/>
  <c r="B2831" i="4"/>
  <c r="A2832" i="4"/>
  <c r="B2832" i="4"/>
  <c r="A2833" i="4"/>
  <c r="B2833" i="4"/>
  <c r="A2834" i="4"/>
  <c r="B2834" i="4"/>
  <c r="A2835" i="4"/>
  <c r="B2835" i="4"/>
  <c r="A2836" i="4"/>
  <c r="B2836" i="4"/>
  <c r="A2837" i="4"/>
  <c r="B2837" i="4"/>
  <c r="A2838" i="4"/>
  <c r="B2838" i="4"/>
  <c r="A2839" i="4"/>
  <c r="B2839" i="4"/>
  <c r="A2840" i="4"/>
  <c r="B2840" i="4"/>
  <c r="A2841" i="4"/>
  <c r="B2841" i="4"/>
  <c r="A2842" i="4"/>
  <c r="B2842" i="4"/>
  <c r="A2843" i="4"/>
  <c r="B2843" i="4"/>
  <c r="A2844" i="4"/>
  <c r="B2844" i="4"/>
  <c r="A2845" i="4"/>
  <c r="B2845" i="4"/>
  <c r="A2846" i="4"/>
  <c r="B2846" i="4"/>
  <c r="A2847" i="4"/>
  <c r="B2847" i="4"/>
  <c r="A2848" i="4"/>
  <c r="B2848" i="4"/>
  <c r="A2849" i="4"/>
  <c r="B2849" i="4"/>
  <c r="A2850" i="4"/>
  <c r="B2850" i="4"/>
  <c r="A2851" i="4"/>
  <c r="B2851" i="4"/>
  <c r="A2852" i="4"/>
  <c r="B2852" i="4"/>
  <c r="A2853" i="4"/>
  <c r="B2853" i="4"/>
  <c r="A2854" i="4"/>
  <c r="B2854" i="4"/>
  <c r="A2855" i="4"/>
  <c r="B2855" i="4"/>
  <c r="A2856" i="4"/>
  <c r="B2856" i="4"/>
  <c r="A2857" i="4"/>
  <c r="B2857" i="4"/>
  <c r="A2858" i="4"/>
  <c r="B2858" i="4"/>
  <c r="A2859" i="4"/>
  <c r="B2859" i="4"/>
  <c r="A2860" i="4"/>
  <c r="B2860" i="4"/>
  <c r="A2861" i="4"/>
  <c r="B2861" i="4"/>
  <c r="A2862" i="4"/>
  <c r="B2862" i="4"/>
  <c r="A2863" i="4"/>
  <c r="B2863" i="4"/>
  <c r="A2864" i="4"/>
  <c r="B2864" i="4"/>
  <c r="A2865" i="4"/>
  <c r="B2865" i="4"/>
  <c r="A2866" i="4"/>
  <c r="B2866" i="4"/>
  <c r="A2867" i="4"/>
  <c r="B2867" i="4"/>
  <c r="A2868" i="4"/>
  <c r="B2868" i="4"/>
  <c r="A2869" i="4"/>
  <c r="B2869" i="4"/>
  <c r="A2870" i="4"/>
  <c r="B2870" i="4"/>
  <c r="A2871" i="4"/>
  <c r="B2871" i="4"/>
  <c r="A2872" i="4"/>
  <c r="B2872" i="4"/>
  <c r="A2873" i="4"/>
  <c r="B2873" i="4"/>
  <c r="A2874" i="4"/>
  <c r="B2874" i="4"/>
  <c r="A2875" i="4"/>
  <c r="B2875" i="4"/>
  <c r="A2876" i="4"/>
  <c r="B2876" i="4"/>
  <c r="A2877" i="4"/>
  <c r="B2877" i="4"/>
  <c r="A2878" i="4"/>
  <c r="B2878" i="4"/>
  <c r="A2879" i="4"/>
  <c r="B2879" i="4"/>
  <c r="A2880" i="4"/>
  <c r="B2880" i="4"/>
  <c r="A2881" i="4"/>
  <c r="B2881" i="4"/>
  <c r="A2882" i="4"/>
  <c r="B2882" i="4"/>
  <c r="A2883" i="4"/>
  <c r="B2883" i="4"/>
  <c r="A2884" i="4"/>
  <c r="B2884" i="4"/>
  <c r="A2885" i="4"/>
  <c r="B2885" i="4"/>
  <c r="A2886" i="4"/>
  <c r="B2886" i="4"/>
  <c r="A2887" i="4"/>
  <c r="B2887" i="4"/>
  <c r="A2888" i="4"/>
  <c r="B2888" i="4"/>
  <c r="A2889" i="4"/>
  <c r="B2889" i="4"/>
  <c r="A2890" i="4"/>
  <c r="B2890" i="4"/>
  <c r="A2891" i="4"/>
  <c r="B2891" i="4"/>
  <c r="A2892" i="4"/>
  <c r="B2892" i="4"/>
  <c r="A2893" i="4"/>
  <c r="B2893" i="4"/>
  <c r="A2894" i="4"/>
  <c r="B2894" i="4"/>
  <c r="A2895" i="4"/>
  <c r="B2895" i="4"/>
  <c r="A2896" i="4"/>
  <c r="B2896" i="4"/>
  <c r="A2897" i="4"/>
  <c r="B2897" i="4"/>
  <c r="A2898" i="4"/>
  <c r="B2898" i="4"/>
  <c r="A2899" i="4"/>
  <c r="B2899" i="4"/>
  <c r="A2900" i="4"/>
  <c r="B2900" i="4"/>
  <c r="A2901" i="4"/>
  <c r="B2901" i="4"/>
  <c r="A2902" i="4"/>
  <c r="B2902" i="4"/>
  <c r="A2903" i="4"/>
  <c r="B2903" i="4"/>
  <c r="A2904" i="4"/>
  <c r="B2904" i="4"/>
  <c r="A2905" i="4"/>
  <c r="B2905" i="4"/>
  <c r="A2906" i="4"/>
  <c r="B2906" i="4"/>
  <c r="A2907" i="4"/>
  <c r="B2907" i="4"/>
  <c r="A2908" i="4"/>
  <c r="B2908" i="4"/>
  <c r="A2909" i="4"/>
  <c r="B2909" i="4"/>
  <c r="A2910" i="4"/>
  <c r="B2910" i="4"/>
  <c r="A2911" i="4"/>
  <c r="B2911" i="4"/>
  <c r="A2912" i="4"/>
  <c r="B2912" i="4"/>
  <c r="A2913" i="4"/>
  <c r="B2913" i="4"/>
  <c r="A2914" i="4"/>
  <c r="B2914" i="4"/>
  <c r="A2915" i="4"/>
  <c r="B2915" i="4"/>
  <c r="A2916" i="4"/>
  <c r="B2916" i="4"/>
  <c r="A2917" i="4"/>
  <c r="B2917" i="4"/>
  <c r="A2918" i="4"/>
  <c r="B2918" i="4"/>
  <c r="A2919" i="4"/>
  <c r="B2919" i="4"/>
  <c r="A2920" i="4"/>
  <c r="B2920" i="4"/>
  <c r="A2921" i="4"/>
  <c r="B2921" i="4"/>
  <c r="A2922" i="4"/>
  <c r="B2922" i="4"/>
  <c r="A2923" i="4"/>
  <c r="B2923" i="4"/>
  <c r="A2924" i="4"/>
  <c r="B2924" i="4"/>
  <c r="A2925" i="4"/>
  <c r="B2925" i="4"/>
  <c r="A2926" i="4"/>
  <c r="B2926" i="4"/>
  <c r="A2927" i="4"/>
  <c r="B2927" i="4"/>
  <c r="A2928" i="4"/>
  <c r="B2928" i="4"/>
  <c r="A2929" i="4"/>
  <c r="B2929" i="4"/>
  <c r="A2930" i="4"/>
  <c r="B2930" i="4"/>
  <c r="A2931" i="4"/>
  <c r="B2931" i="4"/>
  <c r="A2932" i="4"/>
  <c r="B2932" i="4"/>
  <c r="A2933" i="4"/>
  <c r="B2933" i="4"/>
  <c r="A2934" i="4"/>
  <c r="B2934" i="4"/>
  <c r="A2935" i="4"/>
  <c r="B2935" i="4"/>
  <c r="A2936" i="4"/>
  <c r="B2936" i="4"/>
  <c r="A2937" i="4"/>
  <c r="B2937" i="4"/>
  <c r="A2938" i="4"/>
  <c r="B2938" i="4"/>
  <c r="A2939" i="4"/>
  <c r="B2939" i="4"/>
  <c r="A2940" i="4"/>
  <c r="B2940" i="4"/>
  <c r="A2941" i="4"/>
  <c r="B2941" i="4"/>
  <c r="A2942" i="4"/>
  <c r="B2942" i="4"/>
  <c r="A2943" i="4"/>
  <c r="B2943" i="4"/>
  <c r="A2944" i="4"/>
  <c r="B2944" i="4"/>
  <c r="A2945" i="4"/>
  <c r="B2945" i="4"/>
  <c r="A2946" i="4"/>
  <c r="B2946" i="4"/>
  <c r="A2947" i="4"/>
  <c r="B2947" i="4"/>
  <c r="A2948" i="4"/>
  <c r="B2948" i="4"/>
  <c r="A2949" i="4"/>
  <c r="B2949" i="4"/>
  <c r="A2950" i="4"/>
  <c r="B2950" i="4"/>
  <c r="A2951" i="4"/>
  <c r="B2951" i="4"/>
  <c r="A2952" i="4"/>
  <c r="B2952" i="4"/>
  <c r="A2953" i="4"/>
  <c r="B2953" i="4"/>
  <c r="A2954" i="4"/>
  <c r="B2954" i="4"/>
  <c r="A2955" i="4"/>
  <c r="B2955" i="4"/>
  <c r="A2956" i="4"/>
  <c r="B2956" i="4"/>
  <c r="A2957" i="4"/>
  <c r="B2957" i="4"/>
  <c r="A2958" i="4"/>
  <c r="B2958" i="4"/>
  <c r="A2959" i="4"/>
  <c r="B2959" i="4"/>
  <c r="A2960" i="4"/>
  <c r="B2960" i="4"/>
  <c r="A2961" i="4"/>
  <c r="B2961" i="4"/>
  <c r="A2962" i="4"/>
  <c r="B2962" i="4"/>
  <c r="A2963" i="4"/>
  <c r="B2963" i="4"/>
  <c r="A2964" i="4"/>
  <c r="B2964" i="4"/>
  <c r="A2965" i="4"/>
  <c r="B2965" i="4"/>
  <c r="A2966" i="4"/>
  <c r="B2966" i="4"/>
  <c r="A2967" i="4"/>
  <c r="B2967" i="4"/>
  <c r="A2968" i="4"/>
  <c r="B2968" i="4"/>
  <c r="A2969" i="4"/>
  <c r="B2969" i="4"/>
  <c r="A2970" i="4"/>
  <c r="B2970" i="4"/>
  <c r="A2971" i="4"/>
  <c r="B2971" i="4"/>
  <c r="A2972" i="4"/>
  <c r="B2972" i="4"/>
  <c r="A2973" i="4"/>
  <c r="B2973" i="4"/>
  <c r="A2974" i="4"/>
  <c r="B2974" i="4"/>
  <c r="A2975" i="4"/>
  <c r="B2975" i="4"/>
  <c r="A2976" i="4"/>
  <c r="B2976" i="4"/>
  <c r="A2977" i="4"/>
  <c r="B2977" i="4"/>
  <c r="A2978" i="4"/>
  <c r="B2978" i="4"/>
  <c r="A2979" i="4"/>
  <c r="B2979" i="4"/>
  <c r="A2980" i="4"/>
  <c r="B2980" i="4"/>
  <c r="A2981" i="4"/>
  <c r="B2981" i="4"/>
  <c r="A2982" i="4"/>
  <c r="B2982" i="4"/>
  <c r="A2983" i="4"/>
  <c r="B2983" i="4"/>
  <c r="A2984" i="4"/>
  <c r="B2984" i="4"/>
  <c r="A2985" i="4"/>
  <c r="B2985" i="4"/>
  <c r="A2986" i="4"/>
  <c r="B2986" i="4"/>
  <c r="A2987" i="4"/>
  <c r="B2987" i="4"/>
  <c r="A2988" i="4"/>
  <c r="B2988" i="4"/>
  <c r="A2989" i="4"/>
  <c r="B2989" i="4"/>
  <c r="A2990" i="4"/>
  <c r="B2990" i="4"/>
  <c r="A2991" i="4"/>
  <c r="B2991" i="4"/>
  <c r="A2992" i="4"/>
  <c r="B2992" i="4"/>
  <c r="A2993" i="4"/>
  <c r="B2993" i="4"/>
  <c r="A2994" i="4"/>
  <c r="B2994" i="4"/>
  <c r="A2995" i="4"/>
  <c r="B2995" i="4"/>
  <c r="A2996" i="4"/>
  <c r="B2996" i="4"/>
  <c r="A2997" i="4"/>
  <c r="B2997" i="4"/>
  <c r="A2998" i="4"/>
  <c r="B2998" i="4"/>
  <c r="A2999" i="4"/>
  <c r="B2999" i="4"/>
  <c r="A3000" i="4"/>
  <c r="B3000" i="4"/>
  <c r="A3001" i="4"/>
  <c r="B3001" i="4"/>
  <c r="A3002" i="4"/>
  <c r="B3002" i="4"/>
  <c r="A627" i="3"/>
  <c r="B627" i="3"/>
  <c r="A628" i="3"/>
  <c r="B628" i="3"/>
  <c r="A629" i="3"/>
  <c r="B629" i="3"/>
  <c r="A630" i="3"/>
  <c r="B630" i="3"/>
  <c r="A631" i="3"/>
  <c r="B631" i="3"/>
  <c r="A632" i="3"/>
  <c r="B632" i="3"/>
  <c r="A633" i="3"/>
  <c r="B633" i="3"/>
  <c r="A634" i="3"/>
  <c r="B634" i="3"/>
  <c r="A635" i="3"/>
  <c r="B635" i="3"/>
  <c r="A636" i="3"/>
  <c r="B636" i="3"/>
  <c r="A637" i="3"/>
  <c r="B637" i="3"/>
  <c r="A638" i="3"/>
  <c r="B638" i="3"/>
  <c r="A639" i="3"/>
  <c r="B639" i="3"/>
  <c r="A640" i="3"/>
  <c r="B640" i="3"/>
  <c r="A641" i="3"/>
  <c r="B641" i="3"/>
  <c r="A642" i="3"/>
  <c r="B642" i="3"/>
  <c r="A643" i="3"/>
  <c r="B643" i="3"/>
  <c r="A644" i="3"/>
  <c r="B644" i="3"/>
  <c r="A645" i="3"/>
  <c r="B645" i="3"/>
  <c r="A646" i="3"/>
  <c r="B646" i="3"/>
  <c r="A647" i="3"/>
  <c r="B647" i="3"/>
  <c r="A648" i="3"/>
  <c r="B648" i="3"/>
  <c r="A649" i="3"/>
  <c r="B649" i="3"/>
  <c r="A650" i="3"/>
  <c r="B650" i="3"/>
  <c r="A651" i="3"/>
  <c r="B651" i="3"/>
  <c r="A652" i="3"/>
  <c r="B652" i="3"/>
  <c r="A653" i="3"/>
  <c r="B653" i="3"/>
  <c r="A654" i="3"/>
  <c r="B654" i="3"/>
  <c r="A655" i="3"/>
  <c r="B655" i="3"/>
  <c r="A656" i="3"/>
  <c r="B656" i="3"/>
  <c r="A657" i="3"/>
  <c r="B657" i="3"/>
  <c r="A658" i="3"/>
  <c r="B658" i="3"/>
  <c r="A659" i="3"/>
  <c r="B659" i="3"/>
  <c r="A660" i="3"/>
  <c r="B660" i="3"/>
  <c r="A661" i="3"/>
  <c r="B661" i="3"/>
  <c r="A662" i="3"/>
  <c r="B662" i="3"/>
  <c r="A663" i="3"/>
  <c r="B663" i="3"/>
  <c r="A664" i="3"/>
  <c r="B664" i="3"/>
  <c r="A665" i="3"/>
  <c r="B665" i="3"/>
  <c r="A666" i="3"/>
  <c r="B666" i="3"/>
  <c r="A667" i="3"/>
  <c r="B667" i="3"/>
  <c r="A668" i="3"/>
  <c r="B668" i="3"/>
  <c r="A669" i="3"/>
  <c r="B669" i="3"/>
  <c r="A670" i="3"/>
  <c r="B670" i="3"/>
  <c r="A671" i="3"/>
  <c r="B671" i="3"/>
  <c r="A672" i="3"/>
  <c r="B672" i="3"/>
  <c r="A673" i="3"/>
  <c r="B673" i="3"/>
  <c r="A674" i="3"/>
  <c r="B674" i="3"/>
  <c r="A675" i="3"/>
  <c r="B675" i="3"/>
  <c r="A676" i="3"/>
  <c r="B676" i="3"/>
  <c r="A677" i="3"/>
  <c r="B677" i="3"/>
  <c r="A678" i="3"/>
  <c r="B678" i="3"/>
  <c r="A679" i="3"/>
  <c r="B679" i="3"/>
  <c r="A680" i="3"/>
  <c r="B680" i="3"/>
  <c r="A681" i="3"/>
  <c r="B681" i="3"/>
  <c r="A682" i="3"/>
  <c r="B682" i="3"/>
  <c r="A683" i="3"/>
  <c r="B683" i="3"/>
  <c r="A684" i="3"/>
  <c r="B684" i="3"/>
  <c r="A685" i="3"/>
  <c r="B685" i="3"/>
  <c r="A686" i="3"/>
  <c r="B686" i="3"/>
  <c r="A687" i="3"/>
  <c r="B687" i="3"/>
  <c r="A688" i="3"/>
  <c r="B688" i="3"/>
  <c r="A689" i="3"/>
  <c r="B689" i="3"/>
  <c r="A690" i="3"/>
  <c r="B690" i="3"/>
  <c r="A691" i="3"/>
  <c r="B691" i="3"/>
  <c r="A692" i="3"/>
  <c r="B692" i="3"/>
  <c r="A693" i="3"/>
  <c r="B693" i="3"/>
  <c r="A694" i="3"/>
  <c r="B694" i="3"/>
  <c r="A695" i="3"/>
  <c r="B695" i="3"/>
  <c r="A696" i="3"/>
  <c r="B696" i="3"/>
  <c r="A697" i="3"/>
  <c r="B697" i="3"/>
  <c r="A698" i="3"/>
  <c r="B698" i="3"/>
  <c r="A699" i="3"/>
  <c r="B699" i="3"/>
  <c r="A700" i="3"/>
  <c r="B700" i="3"/>
  <c r="A701" i="3"/>
  <c r="B701" i="3"/>
  <c r="A702" i="3"/>
  <c r="B702" i="3"/>
  <c r="A703" i="3"/>
  <c r="B703" i="3"/>
  <c r="A704" i="3"/>
  <c r="B704" i="3"/>
  <c r="A705" i="3"/>
  <c r="B705" i="3"/>
  <c r="A706" i="3"/>
  <c r="B706" i="3"/>
  <c r="A707" i="3"/>
  <c r="B707" i="3"/>
  <c r="A708" i="3"/>
  <c r="B708" i="3"/>
  <c r="A709" i="3"/>
  <c r="B709" i="3"/>
  <c r="A710" i="3"/>
  <c r="B710" i="3"/>
  <c r="A711" i="3"/>
  <c r="B711" i="3"/>
  <c r="A712" i="3"/>
  <c r="B712" i="3"/>
  <c r="A713" i="3"/>
  <c r="B713" i="3"/>
  <c r="A714" i="3"/>
  <c r="B714" i="3"/>
  <c r="A715" i="3"/>
  <c r="B715" i="3"/>
  <c r="A716" i="3"/>
  <c r="B716" i="3"/>
  <c r="A717" i="3"/>
  <c r="B717" i="3"/>
  <c r="A718" i="3"/>
  <c r="B718" i="3"/>
  <c r="A719" i="3"/>
  <c r="B719" i="3"/>
  <c r="A720" i="3"/>
  <c r="B720" i="3"/>
  <c r="A721" i="3"/>
  <c r="B721" i="3"/>
  <c r="A722" i="3"/>
  <c r="B722" i="3"/>
  <c r="A723" i="3"/>
  <c r="B723" i="3"/>
  <c r="A724" i="3"/>
  <c r="B724" i="3"/>
  <c r="A725" i="3"/>
  <c r="B725" i="3"/>
  <c r="A726" i="3"/>
  <c r="B726" i="3"/>
  <c r="A727" i="3"/>
  <c r="B727" i="3"/>
  <c r="A728" i="3"/>
  <c r="B728" i="3"/>
  <c r="A729" i="3"/>
  <c r="B729" i="3"/>
  <c r="A730" i="3"/>
  <c r="B730" i="3"/>
  <c r="A731" i="3"/>
  <c r="B731" i="3"/>
  <c r="A732" i="3"/>
  <c r="B732" i="3"/>
  <c r="A733" i="3"/>
  <c r="B733" i="3"/>
  <c r="A734" i="3"/>
  <c r="B734" i="3"/>
  <c r="A735" i="3"/>
  <c r="B735" i="3"/>
  <c r="A736" i="3"/>
  <c r="B736" i="3"/>
  <c r="A737" i="3"/>
  <c r="B737" i="3"/>
  <c r="A738" i="3"/>
  <c r="B738" i="3"/>
  <c r="A739" i="3"/>
  <c r="B739" i="3"/>
  <c r="A740" i="3"/>
  <c r="B740" i="3"/>
  <c r="A741" i="3"/>
  <c r="B741" i="3"/>
  <c r="A742" i="3"/>
  <c r="B742" i="3"/>
  <c r="A743" i="3"/>
  <c r="B743" i="3"/>
  <c r="A744" i="3"/>
  <c r="B744" i="3"/>
  <c r="A745" i="3"/>
  <c r="B745" i="3"/>
  <c r="A746" i="3"/>
  <c r="B746" i="3"/>
  <c r="A747" i="3"/>
  <c r="B747" i="3"/>
  <c r="A748" i="3"/>
  <c r="B748" i="3"/>
  <c r="A749" i="3"/>
  <c r="B749" i="3"/>
  <c r="A750" i="3"/>
  <c r="B750" i="3"/>
  <c r="A751" i="3"/>
  <c r="B751" i="3"/>
  <c r="A752" i="3"/>
  <c r="B752" i="3"/>
  <c r="A753" i="3"/>
  <c r="B753" i="3"/>
  <c r="A754" i="3"/>
  <c r="B754" i="3"/>
  <c r="A755" i="3"/>
  <c r="B755" i="3"/>
  <c r="A756" i="3"/>
  <c r="B756" i="3"/>
  <c r="A757" i="3"/>
  <c r="B757" i="3"/>
  <c r="A758" i="3"/>
  <c r="B758" i="3"/>
  <c r="A759" i="3"/>
  <c r="B759" i="3"/>
  <c r="A760" i="3"/>
  <c r="B760" i="3"/>
  <c r="A761" i="3"/>
  <c r="B761" i="3"/>
  <c r="A762" i="3"/>
  <c r="B762" i="3"/>
  <c r="A763" i="3"/>
  <c r="B763" i="3"/>
  <c r="A764" i="3"/>
  <c r="B764" i="3"/>
  <c r="A765" i="3"/>
  <c r="B765" i="3"/>
  <c r="A766" i="3"/>
  <c r="B766" i="3"/>
  <c r="A767" i="3"/>
  <c r="B767" i="3"/>
  <c r="A768" i="3"/>
  <c r="B768" i="3"/>
  <c r="A769" i="3"/>
  <c r="B769" i="3"/>
  <c r="A770" i="3"/>
  <c r="B770" i="3"/>
  <c r="A771" i="3"/>
  <c r="B771" i="3"/>
  <c r="A772" i="3"/>
  <c r="B772" i="3"/>
  <c r="A773" i="3"/>
  <c r="B773" i="3"/>
  <c r="A774" i="3"/>
  <c r="B774" i="3"/>
  <c r="A775" i="3"/>
  <c r="B775" i="3"/>
  <c r="A776" i="3"/>
  <c r="B776" i="3"/>
  <c r="A777" i="3"/>
  <c r="B777" i="3"/>
  <c r="A778" i="3"/>
  <c r="B778" i="3"/>
  <c r="A779" i="3"/>
  <c r="B779" i="3"/>
  <c r="A780" i="3"/>
  <c r="B780" i="3"/>
  <c r="A781" i="3"/>
  <c r="B781" i="3"/>
  <c r="A782" i="3"/>
  <c r="B782" i="3"/>
  <c r="A783" i="3"/>
  <c r="B783" i="3"/>
  <c r="A784" i="3"/>
  <c r="B784" i="3"/>
  <c r="A785" i="3"/>
  <c r="B785" i="3"/>
  <c r="A786" i="3"/>
  <c r="B786" i="3"/>
  <c r="A787" i="3"/>
  <c r="B787" i="3"/>
  <c r="A788" i="3"/>
  <c r="B788" i="3"/>
  <c r="A789" i="3"/>
  <c r="B789" i="3"/>
  <c r="A790" i="3"/>
  <c r="B790" i="3"/>
  <c r="A791" i="3"/>
  <c r="B791" i="3"/>
  <c r="A792" i="3"/>
  <c r="B792" i="3"/>
  <c r="A793" i="3"/>
  <c r="B793" i="3"/>
  <c r="A794" i="3"/>
  <c r="B794" i="3"/>
  <c r="A795" i="3"/>
  <c r="B795" i="3"/>
  <c r="A796" i="3"/>
  <c r="B796" i="3"/>
  <c r="A797" i="3"/>
  <c r="B797" i="3"/>
  <c r="A798" i="3"/>
  <c r="B798" i="3"/>
  <c r="A799" i="3"/>
  <c r="B799" i="3"/>
  <c r="A800" i="3"/>
  <c r="B800" i="3"/>
  <c r="A801" i="3"/>
  <c r="B801" i="3"/>
  <c r="A802" i="3"/>
  <c r="B802" i="3"/>
  <c r="A803" i="3"/>
  <c r="B803" i="3"/>
  <c r="A804" i="3"/>
  <c r="B804" i="3"/>
  <c r="A805" i="3"/>
  <c r="B805" i="3"/>
  <c r="A806" i="3"/>
  <c r="B806" i="3"/>
  <c r="A807" i="3"/>
  <c r="B807" i="3"/>
  <c r="A808" i="3"/>
  <c r="B808" i="3"/>
  <c r="A809" i="3"/>
  <c r="B809" i="3"/>
  <c r="A810" i="3"/>
  <c r="B810" i="3"/>
  <c r="A811" i="3"/>
  <c r="B811" i="3"/>
  <c r="A812" i="3"/>
  <c r="B812" i="3"/>
  <c r="A813" i="3"/>
  <c r="B813" i="3"/>
  <c r="A814" i="3"/>
  <c r="B814" i="3"/>
  <c r="A815" i="3"/>
  <c r="B815" i="3"/>
  <c r="A816" i="3"/>
  <c r="B816" i="3"/>
  <c r="A817" i="3"/>
  <c r="B817" i="3"/>
  <c r="A818" i="3"/>
  <c r="B818" i="3"/>
  <c r="A819" i="3"/>
  <c r="B819" i="3"/>
  <c r="A820" i="3"/>
  <c r="B820" i="3"/>
  <c r="A821" i="3"/>
  <c r="B821" i="3"/>
  <c r="A822" i="3"/>
  <c r="B822" i="3"/>
  <c r="A823" i="3"/>
  <c r="B823" i="3"/>
  <c r="A824" i="3"/>
  <c r="B824" i="3"/>
  <c r="A825" i="3"/>
  <c r="B825" i="3"/>
  <c r="A826" i="3"/>
  <c r="B826" i="3"/>
  <c r="A827" i="3"/>
  <c r="B827" i="3"/>
  <c r="A828" i="3"/>
  <c r="B828" i="3"/>
  <c r="A829" i="3"/>
  <c r="B829" i="3"/>
  <c r="A830" i="3"/>
  <c r="B830" i="3"/>
  <c r="A831" i="3"/>
  <c r="B831" i="3"/>
  <c r="A832" i="3"/>
  <c r="B832" i="3"/>
  <c r="A833" i="3"/>
  <c r="B833" i="3"/>
  <c r="A834" i="3"/>
  <c r="B834" i="3"/>
  <c r="A835" i="3"/>
  <c r="B835" i="3"/>
  <c r="A836" i="3"/>
  <c r="B836" i="3"/>
  <c r="A837" i="3"/>
  <c r="B837" i="3"/>
  <c r="A838" i="3"/>
  <c r="B838" i="3"/>
  <c r="A839" i="3"/>
  <c r="B839" i="3"/>
  <c r="A840" i="3"/>
  <c r="B840" i="3"/>
  <c r="A841" i="3"/>
  <c r="B841" i="3"/>
  <c r="A842" i="3"/>
  <c r="B842" i="3"/>
  <c r="A843" i="3"/>
  <c r="B843" i="3"/>
  <c r="A844" i="3"/>
  <c r="B844" i="3"/>
  <c r="A845" i="3"/>
  <c r="B845" i="3"/>
  <c r="A846" i="3"/>
  <c r="B846" i="3"/>
  <c r="A847" i="3"/>
  <c r="B847" i="3"/>
  <c r="A848" i="3"/>
  <c r="B848" i="3"/>
  <c r="A849" i="3"/>
  <c r="B849" i="3"/>
  <c r="A850" i="3"/>
  <c r="B850" i="3"/>
  <c r="A851" i="3"/>
  <c r="B851" i="3"/>
  <c r="A852" i="3"/>
  <c r="B852" i="3"/>
  <c r="A853" i="3"/>
  <c r="B853" i="3"/>
  <c r="A854" i="3"/>
  <c r="B854" i="3"/>
  <c r="A855" i="3"/>
  <c r="B855" i="3"/>
  <c r="A856" i="3"/>
  <c r="B856" i="3"/>
  <c r="A857" i="3"/>
  <c r="B857" i="3"/>
  <c r="A858" i="3"/>
  <c r="B858" i="3"/>
  <c r="A859" i="3"/>
  <c r="B859" i="3"/>
  <c r="A860" i="3"/>
  <c r="B860" i="3"/>
  <c r="A861" i="3"/>
  <c r="B861" i="3"/>
  <c r="A862" i="3"/>
  <c r="B862" i="3"/>
  <c r="A863" i="3"/>
  <c r="B863" i="3"/>
  <c r="A864" i="3"/>
  <c r="B864" i="3"/>
  <c r="A865" i="3"/>
  <c r="B865" i="3"/>
  <c r="A866" i="3"/>
  <c r="B866" i="3"/>
  <c r="A867" i="3"/>
  <c r="B867" i="3"/>
  <c r="A868" i="3"/>
  <c r="B868" i="3"/>
  <c r="A869" i="3"/>
  <c r="B869" i="3"/>
  <c r="A870" i="3"/>
  <c r="B870" i="3"/>
  <c r="A871" i="3"/>
  <c r="B871" i="3"/>
  <c r="A872" i="3"/>
  <c r="B872" i="3"/>
  <c r="A873" i="3"/>
  <c r="B873" i="3"/>
  <c r="A874" i="3"/>
  <c r="B874" i="3"/>
  <c r="A875" i="3"/>
  <c r="B875" i="3"/>
  <c r="A876" i="3"/>
  <c r="B876" i="3"/>
  <c r="A877" i="3"/>
  <c r="B877" i="3"/>
  <c r="A878" i="3"/>
  <c r="B878" i="3"/>
  <c r="A879" i="3"/>
  <c r="B879" i="3"/>
  <c r="A880" i="3"/>
  <c r="B880" i="3"/>
  <c r="A881" i="3"/>
  <c r="B881" i="3"/>
  <c r="A882" i="3"/>
  <c r="B882" i="3"/>
  <c r="A883" i="3"/>
  <c r="B883" i="3"/>
  <c r="A884" i="3"/>
  <c r="B884" i="3"/>
  <c r="A885" i="3"/>
  <c r="B885" i="3"/>
  <c r="A886" i="3"/>
  <c r="B886" i="3"/>
  <c r="A887" i="3"/>
  <c r="B887" i="3"/>
  <c r="A888" i="3"/>
  <c r="B888" i="3"/>
  <c r="A889" i="3"/>
  <c r="B889" i="3"/>
  <c r="A890" i="3"/>
  <c r="B890" i="3"/>
  <c r="A891" i="3"/>
  <c r="B891" i="3"/>
  <c r="A892" i="3"/>
  <c r="B892" i="3"/>
  <c r="A893" i="3"/>
  <c r="B893" i="3"/>
  <c r="A894" i="3"/>
  <c r="B894" i="3"/>
  <c r="A895" i="3"/>
  <c r="B895" i="3"/>
  <c r="A896" i="3"/>
  <c r="B896" i="3"/>
  <c r="A897" i="3"/>
  <c r="B897" i="3"/>
  <c r="A898" i="3"/>
  <c r="B898" i="3"/>
  <c r="A899" i="3"/>
  <c r="B899" i="3"/>
  <c r="A900" i="3"/>
  <c r="B900" i="3"/>
  <c r="A901" i="3"/>
  <c r="B901" i="3"/>
  <c r="A902" i="3"/>
  <c r="B902" i="3"/>
  <c r="A903" i="3"/>
  <c r="B903" i="3"/>
  <c r="A904" i="3"/>
  <c r="B904" i="3"/>
  <c r="A905" i="3"/>
  <c r="B905" i="3"/>
  <c r="A906" i="3"/>
  <c r="B906" i="3"/>
  <c r="A907" i="3"/>
  <c r="B907" i="3"/>
  <c r="A908" i="3"/>
  <c r="B908" i="3"/>
  <c r="A909" i="3"/>
  <c r="B909" i="3"/>
  <c r="A910" i="3"/>
  <c r="B910" i="3"/>
  <c r="A911" i="3"/>
  <c r="B911" i="3"/>
  <c r="A912" i="3"/>
  <c r="B912" i="3"/>
  <c r="A913" i="3"/>
  <c r="B913" i="3"/>
  <c r="A914" i="3"/>
  <c r="B914" i="3"/>
  <c r="A915" i="3"/>
  <c r="B915" i="3"/>
  <c r="A916" i="3"/>
  <c r="B916" i="3"/>
  <c r="A917" i="3"/>
  <c r="B917" i="3"/>
  <c r="A918" i="3"/>
  <c r="B918" i="3"/>
  <c r="A919" i="3"/>
  <c r="B919" i="3"/>
  <c r="A920" i="3"/>
  <c r="B920" i="3"/>
  <c r="A921" i="3"/>
  <c r="B921" i="3"/>
  <c r="A922" i="3"/>
  <c r="B922" i="3"/>
  <c r="A923" i="3"/>
  <c r="B923" i="3"/>
  <c r="A924" i="3"/>
  <c r="B924" i="3"/>
  <c r="A925" i="3"/>
  <c r="B925" i="3"/>
  <c r="A926" i="3"/>
  <c r="B926" i="3"/>
  <c r="A927" i="3"/>
  <c r="B927" i="3"/>
  <c r="A928" i="3"/>
  <c r="B928" i="3"/>
  <c r="A929" i="3"/>
  <c r="B929" i="3"/>
  <c r="A930" i="3"/>
  <c r="B930" i="3"/>
  <c r="A931" i="3"/>
  <c r="B931" i="3"/>
  <c r="A932" i="3"/>
  <c r="B932" i="3"/>
  <c r="A933" i="3"/>
  <c r="B933" i="3"/>
  <c r="A934" i="3"/>
  <c r="B934" i="3"/>
  <c r="A935" i="3"/>
  <c r="B935" i="3"/>
  <c r="A936" i="3"/>
  <c r="B936" i="3"/>
  <c r="A937" i="3"/>
  <c r="B937" i="3"/>
  <c r="A938" i="3"/>
  <c r="B938" i="3"/>
  <c r="A939" i="3"/>
  <c r="B939" i="3"/>
  <c r="A940" i="3"/>
  <c r="B940" i="3"/>
  <c r="A941" i="3"/>
  <c r="B941" i="3"/>
  <c r="A942" i="3"/>
  <c r="B942" i="3"/>
  <c r="A943" i="3"/>
  <c r="B943" i="3"/>
  <c r="A944" i="3"/>
  <c r="B944" i="3"/>
  <c r="A945" i="3"/>
  <c r="B945" i="3"/>
  <c r="A946" i="3"/>
  <c r="B946" i="3"/>
  <c r="A947" i="3"/>
  <c r="B947" i="3"/>
  <c r="A948" i="3"/>
  <c r="B948" i="3"/>
  <c r="A949" i="3"/>
  <c r="B949" i="3"/>
  <c r="A950" i="3"/>
  <c r="B950" i="3"/>
  <c r="A951" i="3"/>
  <c r="B951" i="3"/>
  <c r="A952" i="3"/>
  <c r="B952" i="3"/>
  <c r="A953" i="3"/>
  <c r="B953" i="3"/>
  <c r="A954" i="3"/>
  <c r="B954" i="3"/>
  <c r="A955" i="3"/>
  <c r="B955" i="3"/>
  <c r="A956" i="3"/>
  <c r="B956" i="3"/>
  <c r="A957" i="3"/>
  <c r="B957" i="3"/>
  <c r="A958" i="3"/>
  <c r="B958" i="3"/>
  <c r="A959" i="3"/>
  <c r="B959" i="3"/>
  <c r="A960" i="3"/>
  <c r="B960" i="3"/>
  <c r="A961" i="3"/>
  <c r="B961" i="3"/>
  <c r="A962" i="3"/>
  <c r="B962" i="3"/>
  <c r="A963" i="3"/>
  <c r="B963" i="3"/>
  <c r="A964" i="3"/>
  <c r="B964" i="3"/>
  <c r="A965" i="3"/>
  <c r="B965" i="3"/>
  <c r="A966" i="3"/>
  <c r="B966" i="3"/>
  <c r="A967" i="3"/>
  <c r="B967" i="3"/>
  <c r="A968" i="3"/>
  <c r="B968" i="3"/>
  <c r="A969" i="3"/>
  <c r="B969" i="3"/>
  <c r="A970" i="3"/>
  <c r="B970" i="3"/>
  <c r="A971" i="3"/>
  <c r="B971" i="3"/>
  <c r="A972" i="3"/>
  <c r="B972" i="3"/>
  <c r="A973" i="3"/>
  <c r="B973" i="3"/>
  <c r="A974" i="3"/>
  <c r="B974" i="3"/>
  <c r="A975" i="3"/>
  <c r="B975" i="3"/>
  <c r="A976" i="3"/>
  <c r="B976" i="3"/>
  <c r="A977" i="3"/>
  <c r="B977" i="3"/>
  <c r="A978" i="3"/>
  <c r="B978" i="3"/>
  <c r="A979" i="3"/>
  <c r="B979" i="3"/>
  <c r="A980" i="3"/>
  <c r="B980" i="3"/>
  <c r="A981" i="3"/>
  <c r="B981" i="3"/>
  <c r="A982" i="3"/>
  <c r="B982" i="3"/>
  <c r="A983" i="3"/>
  <c r="B983" i="3"/>
  <c r="A984" i="3"/>
  <c r="B984" i="3"/>
  <c r="A985" i="3"/>
  <c r="B985" i="3"/>
  <c r="A986" i="3"/>
  <c r="B986" i="3"/>
  <c r="A987" i="3"/>
  <c r="B987" i="3"/>
  <c r="A988" i="3"/>
  <c r="B988" i="3"/>
  <c r="A989" i="3"/>
  <c r="B989" i="3"/>
  <c r="A990" i="3"/>
  <c r="B990" i="3"/>
  <c r="A991" i="3"/>
  <c r="B991" i="3"/>
  <c r="A992" i="3"/>
  <c r="B992" i="3"/>
  <c r="A993" i="3"/>
  <c r="B993" i="3"/>
  <c r="A994" i="3"/>
  <c r="B994" i="3"/>
  <c r="A995" i="3"/>
  <c r="B995" i="3"/>
  <c r="A996" i="3"/>
  <c r="B996" i="3"/>
  <c r="A997" i="3"/>
  <c r="B997" i="3"/>
  <c r="A998" i="3"/>
  <c r="B998" i="3"/>
  <c r="A999" i="3"/>
  <c r="B999" i="3"/>
  <c r="A1000" i="3"/>
  <c r="B1000" i="3"/>
  <c r="A1001" i="3"/>
  <c r="B1001" i="3"/>
  <c r="A1002" i="3"/>
  <c r="B1002" i="3"/>
  <c r="A1003" i="3"/>
  <c r="B1003" i="3"/>
  <c r="A1004" i="3"/>
  <c r="B1004" i="3"/>
  <c r="A1005" i="3"/>
  <c r="B1005" i="3"/>
  <c r="A1006" i="3"/>
  <c r="B1006" i="3"/>
  <c r="A1007" i="3"/>
  <c r="B1007" i="3"/>
  <c r="A1008" i="3"/>
  <c r="B1008" i="3"/>
  <c r="A1009" i="3"/>
  <c r="B1009" i="3"/>
  <c r="A1010" i="3"/>
  <c r="B1010" i="3"/>
  <c r="A1011" i="3"/>
  <c r="B1011" i="3"/>
  <c r="A1012" i="3"/>
  <c r="B1012" i="3"/>
  <c r="A1013" i="3"/>
  <c r="B1013" i="3"/>
  <c r="A1014" i="3"/>
  <c r="B1014" i="3"/>
  <c r="A1015" i="3"/>
  <c r="B1015" i="3"/>
  <c r="A1016" i="3"/>
  <c r="B1016" i="3"/>
  <c r="A1017" i="3"/>
  <c r="B1017" i="3"/>
  <c r="A1018" i="3"/>
  <c r="B1018" i="3"/>
  <c r="A1019" i="3"/>
  <c r="B1019" i="3"/>
  <c r="A1020" i="3"/>
  <c r="B1020" i="3"/>
  <c r="A1021" i="3"/>
  <c r="B1021" i="3"/>
  <c r="A1022" i="3"/>
  <c r="B1022" i="3"/>
  <c r="A1023" i="3"/>
  <c r="B1023" i="3"/>
  <c r="A1024" i="3"/>
  <c r="B1024" i="3"/>
  <c r="A1025" i="3"/>
  <c r="B1025" i="3"/>
  <c r="A1026" i="3"/>
  <c r="B1026" i="3"/>
  <c r="A1027" i="3"/>
  <c r="B1027" i="3"/>
  <c r="A1028" i="3"/>
  <c r="B1028" i="3"/>
  <c r="A1029" i="3"/>
  <c r="B1029" i="3"/>
  <c r="A1030" i="3"/>
  <c r="B1030" i="3"/>
  <c r="A1031" i="3"/>
  <c r="B1031" i="3"/>
  <c r="A1032" i="3"/>
  <c r="B1032" i="3"/>
  <c r="A1033" i="3"/>
  <c r="B1033" i="3"/>
  <c r="A1034" i="3"/>
  <c r="B1034" i="3"/>
  <c r="A1035" i="3"/>
  <c r="B1035" i="3"/>
  <c r="A1036" i="3"/>
  <c r="B1036" i="3"/>
  <c r="A1037" i="3"/>
  <c r="B1037" i="3"/>
  <c r="A1038" i="3"/>
  <c r="B1038" i="3"/>
  <c r="A1039" i="3"/>
  <c r="B1039" i="3"/>
  <c r="A1040" i="3"/>
  <c r="B1040" i="3"/>
  <c r="A1041" i="3"/>
  <c r="B1041" i="3"/>
  <c r="A1042" i="3"/>
  <c r="B1042" i="3"/>
  <c r="A1043" i="3"/>
  <c r="B1043" i="3"/>
  <c r="A1044" i="3"/>
  <c r="B1044" i="3"/>
  <c r="A1045" i="3"/>
  <c r="B1045" i="3"/>
  <c r="A1046" i="3"/>
  <c r="B1046" i="3"/>
  <c r="A1047" i="3"/>
  <c r="B1047" i="3"/>
  <c r="A1048" i="3"/>
  <c r="B1048" i="3"/>
  <c r="A1049" i="3"/>
  <c r="B1049" i="3"/>
  <c r="A1050" i="3"/>
  <c r="B1050" i="3"/>
  <c r="A1051" i="3"/>
  <c r="B1051" i="3"/>
  <c r="A1052" i="3"/>
  <c r="B1052" i="3"/>
  <c r="A1053" i="3"/>
  <c r="B1053" i="3"/>
  <c r="A1054" i="3"/>
  <c r="B1054" i="3"/>
  <c r="A1055" i="3"/>
  <c r="B1055" i="3"/>
  <c r="A1056" i="3"/>
  <c r="B1056" i="3"/>
  <c r="A1057" i="3"/>
  <c r="B1057" i="3"/>
  <c r="A1058" i="3"/>
  <c r="B1058" i="3"/>
  <c r="A1059" i="3"/>
  <c r="B1059" i="3"/>
  <c r="A1060" i="3"/>
  <c r="B1060" i="3"/>
  <c r="A1061" i="3"/>
  <c r="B1061" i="3"/>
  <c r="A1062" i="3"/>
  <c r="B1062" i="3"/>
  <c r="A1063" i="3"/>
  <c r="B1063" i="3"/>
  <c r="A1064" i="3"/>
  <c r="B1064" i="3"/>
  <c r="A1065" i="3"/>
  <c r="B1065" i="3"/>
  <c r="A1066" i="3"/>
  <c r="B1066" i="3"/>
  <c r="A1067" i="3"/>
  <c r="B1067" i="3"/>
  <c r="A1068" i="3"/>
  <c r="B1068" i="3"/>
  <c r="A1069" i="3"/>
  <c r="B1069" i="3"/>
  <c r="A1070" i="3"/>
  <c r="B1070" i="3"/>
  <c r="A1071" i="3"/>
  <c r="B1071" i="3"/>
  <c r="A1072" i="3"/>
  <c r="B1072" i="3"/>
  <c r="A1073" i="3"/>
  <c r="B1073" i="3"/>
  <c r="A1074" i="3"/>
  <c r="B1074" i="3"/>
  <c r="A1075" i="3"/>
  <c r="B1075" i="3"/>
  <c r="A1076" i="3"/>
  <c r="B1076" i="3"/>
  <c r="A1077" i="3"/>
  <c r="B1077" i="3"/>
  <c r="A1078" i="3"/>
  <c r="B1078" i="3"/>
  <c r="A1079" i="3"/>
  <c r="B1079" i="3"/>
  <c r="A1080" i="3"/>
  <c r="B1080" i="3"/>
  <c r="A1081" i="3"/>
  <c r="B1081" i="3"/>
  <c r="A1082" i="3"/>
  <c r="B1082" i="3"/>
  <c r="A1083" i="3"/>
  <c r="B1083" i="3"/>
  <c r="A1084" i="3"/>
  <c r="B1084" i="3"/>
  <c r="A1085" i="3"/>
  <c r="B1085" i="3"/>
  <c r="A1086" i="3"/>
  <c r="B1086" i="3"/>
  <c r="A1087" i="3"/>
  <c r="B1087" i="3"/>
  <c r="A1088" i="3"/>
  <c r="B1088" i="3"/>
  <c r="A1089" i="3"/>
  <c r="B1089" i="3"/>
  <c r="A1090" i="3"/>
  <c r="B1090" i="3"/>
  <c r="A1091" i="3"/>
  <c r="B1091" i="3"/>
  <c r="A1092" i="3"/>
  <c r="B1092" i="3"/>
  <c r="A1093" i="3"/>
  <c r="B1093" i="3"/>
  <c r="A1094" i="3"/>
  <c r="B1094" i="3"/>
  <c r="A1095" i="3"/>
  <c r="B1095" i="3"/>
  <c r="A1096" i="3"/>
  <c r="B1096" i="3"/>
  <c r="A1097" i="3"/>
  <c r="B1097" i="3"/>
  <c r="A1098" i="3"/>
  <c r="B1098" i="3"/>
  <c r="A1099" i="3"/>
  <c r="B1099" i="3"/>
  <c r="A1100" i="3"/>
  <c r="B1100" i="3"/>
  <c r="A1101" i="3"/>
  <c r="B1101" i="3"/>
  <c r="A1102" i="3"/>
  <c r="B1102" i="3"/>
  <c r="A1103" i="3"/>
  <c r="B1103" i="3"/>
  <c r="A1104" i="3"/>
  <c r="B1104" i="3"/>
  <c r="A1105" i="3"/>
  <c r="B1105" i="3"/>
  <c r="A1106" i="3"/>
  <c r="B1106" i="3"/>
  <c r="A1107" i="3"/>
  <c r="B1107" i="3"/>
  <c r="A1108" i="3"/>
  <c r="B1108" i="3"/>
  <c r="A1109" i="3"/>
  <c r="B1109" i="3"/>
  <c r="A1110" i="3"/>
  <c r="B1110" i="3"/>
  <c r="A1111" i="3"/>
  <c r="B1111" i="3"/>
  <c r="A1112" i="3"/>
  <c r="B1112" i="3"/>
  <c r="A1113" i="3"/>
  <c r="B1113" i="3"/>
  <c r="A1114" i="3"/>
  <c r="B1114" i="3"/>
  <c r="A1115" i="3"/>
  <c r="B1115" i="3"/>
  <c r="A1116" i="3"/>
  <c r="B1116" i="3"/>
  <c r="A1117" i="3"/>
  <c r="B1117" i="3"/>
  <c r="A1118" i="3"/>
  <c r="B1118" i="3"/>
  <c r="A1119" i="3"/>
  <c r="B1119" i="3"/>
  <c r="A1120" i="3"/>
  <c r="B1120" i="3"/>
  <c r="A1121" i="3"/>
  <c r="B1121" i="3"/>
  <c r="A1122" i="3"/>
  <c r="B1122" i="3"/>
  <c r="A1123" i="3"/>
  <c r="B1123" i="3"/>
  <c r="A1124" i="3"/>
  <c r="B1124" i="3"/>
  <c r="A1125" i="3"/>
  <c r="B1125" i="3"/>
  <c r="A1126" i="3"/>
  <c r="B1126" i="3"/>
  <c r="A1127" i="3"/>
  <c r="B1127" i="3"/>
  <c r="A1128" i="3"/>
  <c r="B1128" i="3"/>
  <c r="A1129" i="3"/>
  <c r="B1129" i="3"/>
  <c r="A1130" i="3"/>
  <c r="B1130" i="3"/>
  <c r="A1131" i="3"/>
  <c r="B1131" i="3"/>
  <c r="A1132" i="3"/>
  <c r="B1132" i="3"/>
  <c r="A1133" i="3"/>
  <c r="B1133" i="3"/>
  <c r="A1134" i="3"/>
  <c r="B1134" i="3"/>
  <c r="A1135" i="3"/>
  <c r="B1135" i="3"/>
  <c r="A1136" i="3"/>
  <c r="B1136" i="3"/>
  <c r="A1137" i="3"/>
  <c r="B1137" i="3"/>
  <c r="A1138" i="3"/>
  <c r="B1138" i="3"/>
  <c r="A1139" i="3"/>
  <c r="B1139" i="3"/>
  <c r="A1140" i="3"/>
  <c r="B1140" i="3"/>
  <c r="A1141" i="3"/>
  <c r="B1141" i="3"/>
  <c r="A1142" i="3"/>
  <c r="B1142" i="3"/>
  <c r="A1143" i="3"/>
  <c r="B1143" i="3"/>
  <c r="A1144" i="3"/>
  <c r="B1144" i="3"/>
  <c r="A1145" i="3"/>
  <c r="B1145" i="3"/>
  <c r="A1146" i="3"/>
  <c r="B1146" i="3"/>
  <c r="A1147" i="3"/>
  <c r="B1147" i="3"/>
  <c r="A1148" i="3"/>
  <c r="B1148" i="3"/>
  <c r="A1149" i="3"/>
  <c r="B1149" i="3"/>
  <c r="A1150" i="3"/>
  <c r="B1150" i="3"/>
  <c r="A1151" i="3"/>
  <c r="B1151" i="3"/>
  <c r="A1152" i="3"/>
  <c r="B1152" i="3"/>
  <c r="A1153" i="3"/>
  <c r="B1153" i="3"/>
  <c r="A1154" i="3"/>
  <c r="B1154" i="3"/>
  <c r="A1155" i="3"/>
  <c r="B1155" i="3"/>
  <c r="A1156" i="3"/>
  <c r="B1156" i="3"/>
  <c r="A1157" i="3"/>
  <c r="B1157" i="3"/>
  <c r="A1158" i="3"/>
  <c r="B1158" i="3"/>
  <c r="A1159" i="3"/>
  <c r="B1159" i="3"/>
  <c r="A1160" i="3"/>
  <c r="B1160" i="3"/>
  <c r="A1161" i="3"/>
  <c r="B1161" i="3"/>
  <c r="A1162" i="3"/>
  <c r="B1162" i="3"/>
  <c r="A1163" i="3"/>
  <c r="B1163" i="3"/>
  <c r="A1164" i="3"/>
  <c r="B1164" i="3"/>
  <c r="A1165" i="3"/>
  <c r="B1165" i="3"/>
  <c r="A1166" i="3"/>
  <c r="B1166" i="3"/>
  <c r="A1167" i="3"/>
  <c r="B1167" i="3"/>
  <c r="A1168" i="3"/>
  <c r="B1168" i="3"/>
  <c r="A1169" i="3"/>
  <c r="B1169" i="3"/>
  <c r="A1170" i="3"/>
  <c r="B1170" i="3"/>
  <c r="A1171" i="3"/>
  <c r="B1171" i="3"/>
  <c r="A1172" i="3"/>
  <c r="B1172" i="3"/>
  <c r="A1173" i="3"/>
  <c r="B1173" i="3"/>
  <c r="A1174" i="3"/>
  <c r="B1174" i="3"/>
  <c r="A1175" i="3"/>
  <c r="B1175" i="3"/>
  <c r="A1176" i="3"/>
  <c r="B1176" i="3"/>
  <c r="A1177" i="3"/>
  <c r="B1177" i="3"/>
  <c r="A1178" i="3"/>
  <c r="B1178" i="3"/>
  <c r="A1179" i="3"/>
  <c r="B1179" i="3"/>
  <c r="A1180" i="3"/>
  <c r="B1180" i="3"/>
  <c r="A1181" i="3"/>
  <c r="B1181" i="3"/>
  <c r="A1182" i="3"/>
  <c r="B1182" i="3"/>
  <c r="A1183" i="3"/>
  <c r="B1183" i="3"/>
  <c r="A1184" i="3"/>
  <c r="B1184" i="3"/>
  <c r="A1185" i="3"/>
  <c r="B1185" i="3"/>
  <c r="A1186" i="3"/>
  <c r="B1186" i="3"/>
  <c r="A1187" i="3"/>
  <c r="B1187" i="3"/>
  <c r="A1188" i="3"/>
  <c r="B1188" i="3"/>
  <c r="A1189" i="3"/>
  <c r="B1189" i="3"/>
  <c r="A1190" i="3"/>
  <c r="B1190" i="3"/>
  <c r="A1191" i="3"/>
  <c r="B1191" i="3"/>
  <c r="A1192" i="3"/>
  <c r="B1192" i="3"/>
  <c r="A1193" i="3"/>
  <c r="B1193" i="3"/>
  <c r="A1194" i="3"/>
  <c r="B1194" i="3"/>
  <c r="A1195" i="3"/>
  <c r="B1195" i="3"/>
  <c r="A1196" i="3"/>
  <c r="B1196" i="3"/>
  <c r="A1197" i="3"/>
  <c r="B1197" i="3"/>
  <c r="A1198" i="3"/>
  <c r="B1198" i="3"/>
  <c r="A1199" i="3"/>
  <c r="B1199" i="3"/>
  <c r="A1200" i="3"/>
  <c r="B1200" i="3"/>
  <c r="A1201" i="3"/>
  <c r="B1201" i="3"/>
  <c r="A1202" i="3"/>
  <c r="B1202" i="3"/>
  <c r="A1203" i="3"/>
  <c r="B1203" i="3"/>
  <c r="A1204" i="3"/>
  <c r="B1204" i="3"/>
  <c r="A1205" i="3"/>
  <c r="B1205" i="3"/>
  <c r="A1206" i="3"/>
  <c r="B1206" i="3"/>
  <c r="A1207" i="3"/>
  <c r="B1207" i="3"/>
  <c r="A1208" i="3"/>
  <c r="B1208" i="3"/>
  <c r="A1209" i="3"/>
  <c r="B1209" i="3"/>
  <c r="A1210" i="3"/>
  <c r="B1210" i="3"/>
  <c r="A1211" i="3"/>
  <c r="B1211" i="3"/>
  <c r="A1212" i="3"/>
  <c r="B1212" i="3"/>
  <c r="A1213" i="3"/>
  <c r="B1213" i="3"/>
  <c r="A1214" i="3"/>
  <c r="B1214" i="3"/>
  <c r="A1215" i="3"/>
  <c r="B1215" i="3"/>
  <c r="A1216" i="3"/>
  <c r="B1216" i="3"/>
  <c r="A1217" i="3"/>
  <c r="B1217" i="3"/>
  <c r="A1218" i="3"/>
  <c r="B1218" i="3"/>
  <c r="A1219" i="3"/>
  <c r="B1219" i="3"/>
  <c r="A1220" i="3"/>
  <c r="B1220" i="3"/>
  <c r="A1221" i="3"/>
  <c r="B1221" i="3"/>
  <c r="A1222" i="3"/>
  <c r="B1222" i="3"/>
  <c r="A1223" i="3"/>
  <c r="B1223" i="3"/>
  <c r="A1224" i="3"/>
  <c r="B1224" i="3"/>
  <c r="A1225" i="3"/>
  <c r="B1225" i="3"/>
  <c r="A1226" i="3"/>
  <c r="B1226" i="3"/>
  <c r="A1227" i="3"/>
  <c r="B1227" i="3"/>
  <c r="A1228" i="3"/>
  <c r="B1228" i="3"/>
  <c r="A1229" i="3"/>
  <c r="B1229" i="3"/>
  <c r="A1230" i="3"/>
  <c r="B1230" i="3"/>
  <c r="A1231" i="3"/>
  <c r="B1231" i="3"/>
  <c r="A1232" i="3"/>
  <c r="B1232" i="3"/>
  <c r="A1233" i="3"/>
  <c r="B1233" i="3"/>
  <c r="A1234" i="3"/>
  <c r="B1234" i="3"/>
  <c r="A1235" i="3"/>
  <c r="B1235" i="3"/>
  <c r="A1236" i="3"/>
  <c r="B1236" i="3"/>
  <c r="A1237" i="3"/>
  <c r="B1237" i="3"/>
  <c r="A1238" i="3"/>
  <c r="B1238" i="3"/>
  <c r="A1239" i="3"/>
  <c r="B1239" i="3"/>
  <c r="A1240" i="3"/>
  <c r="B1240" i="3"/>
  <c r="A1241" i="3"/>
  <c r="B1241" i="3"/>
  <c r="A1242" i="3"/>
  <c r="B1242" i="3"/>
  <c r="A1243" i="3"/>
  <c r="B1243" i="3"/>
  <c r="A1244" i="3"/>
  <c r="B1244" i="3"/>
  <c r="A1245" i="3"/>
  <c r="B1245" i="3"/>
  <c r="A1246" i="3"/>
  <c r="B1246" i="3"/>
  <c r="A1247" i="3"/>
  <c r="B1247" i="3"/>
  <c r="A1248" i="3"/>
  <c r="B1248" i="3"/>
  <c r="A1249" i="3"/>
  <c r="B1249" i="3"/>
  <c r="A1250" i="3"/>
  <c r="B1250" i="3"/>
  <c r="A1251" i="3"/>
  <c r="B1251" i="3"/>
  <c r="A1252" i="3"/>
  <c r="B1252" i="3"/>
  <c r="A1253" i="3"/>
  <c r="B1253" i="3"/>
  <c r="A1254" i="3"/>
  <c r="B1254" i="3"/>
  <c r="A1255" i="3"/>
  <c r="B1255" i="3"/>
  <c r="A1256" i="3"/>
  <c r="B1256" i="3"/>
  <c r="A1257" i="3"/>
  <c r="B1257" i="3"/>
  <c r="A1258" i="3"/>
  <c r="B1258" i="3"/>
  <c r="A1259" i="3"/>
  <c r="B1259" i="3"/>
  <c r="A1260" i="3"/>
  <c r="B1260" i="3"/>
  <c r="A1261" i="3"/>
  <c r="B1261" i="3"/>
  <c r="A1262" i="3"/>
  <c r="B1262" i="3"/>
  <c r="A1263" i="3"/>
  <c r="B1263" i="3"/>
  <c r="A1264" i="3"/>
  <c r="B1264" i="3"/>
  <c r="A1265" i="3"/>
  <c r="B1265" i="3"/>
  <c r="A1266" i="3"/>
  <c r="B1266" i="3"/>
  <c r="A1267" i="3"/>
  <c r="B1267" i="3"/>
  <c r="A1268" i="3"/>
  <c r="B1268" i="3"/>
  <c r="A1269" i="3"/>
  <c r="B1269" i="3"/>
  <c r="A1270" i="3"/>
  <c r="B1270" i="3"/>
  <c r="A1271" i="3"/>
  <c r="B1271" i="3"/>
  <c r="A1272" i="3"/>
  <c r="B1272" i="3"/>
  <c r="A1273" i="3"/>
  <c r="B1273" i="3"/>
  <c r="A1274" i="3"/>
  <c r="B1274" i="3"/>
  <c r="A1275" i="3"/>
  <c r="B1275" i="3"/>
  <c r="A1276" i="3"/>
  <c r="B1276" i="3"/>
  <c r="A1277" i="3"/>
  <c r="B1277" i="3"/>
  <c r="A1278" i="3"/>
  <c r="B1278" i="3"/>
  <c r="A1279" i="3"/>
  <c r="B1279" i="3"/>
  <c r="A1280" i="3"/>
  <c r="B1280" i="3"/>
  <c r="A1281" i="3"/>
  <c r="B1281" i="3"/>
  <c r="A1282" i="3"/>
  <c r="B1282" i="3"/>
  <c r="A1283" i="3"/>
  <c r="B1283" i="3"/>
  <c r="A1284" i="3"/>
  <c r="B1284" i="3"/>
  <c r="A1285" i="3"/>
  <c r="B1285" i="3"/>
  <c r="A1286" i="3"/>
  <c r="B1286" i="3"/>
  <c r="A1287" i="3"/>
  <c r="B1287" i="3"/>
  <c r="A1288" i="3"/>
  <c r="B1288" i="3"/>
  <c r="A1289" i="3"/>
  <c r="B1289" i="3"/>
  <c r="A1290" i="3"/>
  <c r="B1290" i="3"/>
  <c r="A1291" i="3"/>
  <c r="B1291" i="3"/>
  <c r="A1292" i="3"/>
  <c r="B1292" i="3"/>
  <c r="A1293" i="3"/>
  <c r="B1293" i="3"/>
  <c r="A1294" i="3"/>
  <c r="B1294" i="3"/>
  <c r="A1295" i="3"/>
  <c r="B1295" i="3"/>
  <c r="A1296" i="3"/>
  <c r="B1296" i="3"/>
  <c r="A1297" i="3"/>
  <c r="B1297" i="3"/>
  <c r="A1298" i="3"/>
  <c r="B1298" i="3"/>
  <c r="A1299" i="3"/>
  <c r="B1299" i="3"/>
  <c r="A1300" i="3"/>
  <c r="B1300" i="3"/>
  <c r="A1301" i="3"/>
  <c r="B1301" i="3"/>
  <c r="A1302" i="3"/>
  <c r="B1302" i="3"/>
  <c r="A1303" i="3"/>
  <c r="B1303" i="3"/>
  <c r="A1304" i="3"/>
  <c r="B1304" i="3"/>
  <c r="A1305" i="3"/>
  <c r="B1305" i="3"/>
  <c r="A1306" i="3"/>
  <c r="B1306" i="3"/>
  <c r="A1307" i="3"/>
  <c r="B1307" i="3"/>
  <c r="A1308" i="3"/>
  <c r="B1308" i="3"/>
  <c r="A1309" i="3"/>
  <c r="B1309" i="3"/>
  <c r="A1310" i="3"/>
  <c r="B1310" i="3"/>
  <c r="A1311" i="3"/>
  <c r="B1311" i="3"/>
  <c r="A1312" i="3"/>
  <c r="B1312" i="3"/>
  <c r="A1313" i="3"/>
  <c r="B1313" i="3"/>
  <c r="A1314" i="3"/>
  <c r="B1314" i="3"/>
  <c r="A1315" i="3"/>
  <c r="B1315" i="3"/>
  <c r="A1316" i="3"/>
  <c r="B1316" i="3"/>
  <c r="A1317" i="3"/>
  <c r="B1317" i="3"/>
  <c r="A1318" i="3"/>
  <c r="B1318" i="3"/>
  <c r="A1319" i="3"/>
  <c r="B1319" i="3"/>
  <c r="A1320" i="3"/>
  <c r="B1320" i="3"/>
  <c r="A1321" i="3"/>
  <c r="B1321" i="3"/>
  <c r="A1322" i="3"/>
  <c r="B1322" i="3"/>
  <c r="A1323" i="3"/>
  <c r="B1323" i="3"/>
  <c r="A1324" i="3"/>
  <c r="B1324" i="3"/>
  <c r="A1325" i="3"/>
  <c r="B1325" i="3"/>
  <c r="A1326" i="3"/>
  <c r="B1326" i="3"/>
  <c r="A1327" i="3"/>
  <c r="B1327" i="3"/>
  <c r="A1328" i="3"/>
  <c r="B1328" i="3"/>
  <c r="A1329" i="3"/>
  <c r="B1329" i="3"/>
  <c r="A1330" i="3"/>
  <c r="B1330" i="3"/>
  <c r="A1331" i="3"/>
  <c r="B1331" i="3"/>
  <c r="A1332" i="3"/>
  <c r="B1332" i="3"/>
  <c r="A1333" i="3"/>
  <c r="B1333" i="3"/>
  <c r="A1334" i="3"/>
  <c r="B1334" i="3"/>
  <c r="A1335" i="3"/>
  <c r="B1335" i="3"/>
  <c r="A1336" i="3"/>
  <c r="B1336" i="3"/>
  <c r="A1337" i="3"/>
  <c r="B1337" i="3"/>
  <c r="A1338" i="3"/>
  <c r="B1338" i="3"/>
  <c r="A1339" i="3"/>
  <c r="B1339" i="3"/>
  <c r="A1340" i="3"/>
  <c r="B1340" i="3"/>
  <c r="A1341" i="3"/>
  <c r="B1341" i="3"/>
  <c r="A1342" i="3"/>
  <c r="B1342" i="3"/>
  <c r="A1343" i="3"/>
  <c r="B1343" i="3"/>
  <c r="A1344" i="3"/>
  <c r="B1344" i="3"/>
  <c r="A1345" i="3"/>
  <c r="B1345" i="3"/>
  <c r="A1346" i="3"/>
  <c r="B1346" i="3"/>
  <c r="A1347" i="3"/>
  <c r="B1347" i="3"/>
  <c r="A1348" i="3"/>
  <c r="B1348" i="3"/>
  <c r="A1349" i="3"/>
  <c r="B1349" i="3"/>
  <c r="A1350" i="3"/>
  <c r="B1350" i="3"/>
  <c r="A1351" i="3"/>
  <c r="B1351" i="3"/>
  <c r="A1352" i="3"/>
  <c r="B1352" i="3"/>
  <c r="A1353" i="3"/>
  <c r="B1353" i="3"/>
  <c r="A1354" i="3"/>
  <c r="B1354" i="3"/>
  <c r="A1355" i="3"/>
  <c r="B1355" i="3"/>
  <c r="A1356" i="3"/>
  <c r="B1356" i="3"/>
  <c r="A1357" i="3"/>
  <c r="B1357" i="3"/>
  <c r="A1358" i="3"/>
  <c r="B1358" i="3"/>
  <c r="A1359" i="3"/>
  <c r="B1359" i="3"/>
  <c r="A1360" i="3"/>
  <c r="B1360" i="3"/>
  <c r="A1361" i="3"/>
  <c r="B1361" i="3"/>
  <c r="A1362" i="3"/>
  <c r="B1362" i="3"/>
  <c r="A1363" i="3"/>
  <c r="B1363" i="3"/>
  <c r="A1364" i="3"/>
  <c r="B1364" i="3"/>
  <c r="A1365" i="3"/>
  <c r="B1365" i="3"/>
  <c r="A1366" i="3"/>
  <c r="B1366" i="3"/>
  <c r="A1367" i="3"/>
  <c r="B1367" i="3"/>
  <c r="A1368" i="3"/>
  <c r="B1368" i="3"/>
  <c r="A1369" i="3"/>
  <c r="B1369" i="3"/>
  <c r="A1370" i="3"/>
  <c r="B1370" i="3"/>
  <c r="A1371" i="3"/>
  <c r="B1371" i="3"/>
  <c r="A1372" i="3"/>
  <c r="B1372" i="3"/>
  <c r="A1373" i="3"/>
  <c r="B1373" i="3"/>
  <c r="A1374" i="3"/>
  <c r="B1374" i="3"/>
  <c r="A1375" i="3"/>
  <c r="B1375" i="3"/>
  <c r="A1376" i="3"/>
  <c r="B1376" i="3"/>
  <c r="A1377" i="3"/>
  <c r="B1377" i="3"/>
  <c r="A1378" i="3"/>
  <c r="B1378" i="3"/>
  <c r="A1379" i="3"/>
  <c r="B1379" i="3"/>
  <c r="A1380" i="3"/>
  <c r="B1380" i="3"/>
  <c r="A1381" i="3"/>
  <c r="B1381" i="3"/>
  <c r="A1382" i="3"/>
  <c r="B1382" i="3"/>
  <c r="A1383" i="3"/>
  <c r="B1383" i="3"/>
  <c r="A1384" i="3"/>
  <c r="B1384" i="3"/>
  <c r="A1385" i="3"/>
  <c r="B1385" i="3"/>
  <c r="A1386" i="3"/>
  <c r="B1386" i="3"/>
  <c r="A1387" i="3"/>
  <c r="B1387" i="3"/>
  <c r="A1388" i="3"/>
  <c r="B1388" i="3"/>
  <c r="A1389" i="3"/>
  <c r="B1389" i="3"/>
  <c r="A1390" i="3"/>
  <c r="B1390" i="3"/>
  <c r="A1391" i="3"/>
  <c r="B1391" i="3"/>
  <c r="A1392" i="3"/>
  <c r="B1392" i="3"/>
  <c r="A1393" i="3"/>
  <c r="B1393" i="3"/>
  <c r="A1394" i="3"/>
  <c r="B1394" i="3"/>
  <c r="A1395" i="3"/>
  <c r="B1395" i="3"/>
  <c r="A1396" i="3"/>
  <c r="B1396" i="3"/>
  <c r="A1397" i="3"/>
  <c r="B1397" i="3"/>
  <c r="A1398" i="3"/>
  <c r="B1398" i="3"/>
  <c r="A1399" i="3"/>
  <c r="B1399" i="3"/>
  <c r="A1400" i="3"/>
  <c r="B1400" i="3"/>
  <c r="A1401" i="3"/>
  <c r="B1401" i="3"/>
  <c r="A1402" i="3"/>
  <c r="B1402" i="3"/>
  <c r="A1403" i="3"/>
  <c r="B1403" i="3"/>
  <c r="A1404" i="3"/>
  <c r="B1404" i="3"/>
  <c r="A1405" i="3"/>
  <c r="B1405" i="3"/>
  <c r="A1406" i="3"/>
  <c r="B1406" i="3"/>
  <c r="A1407" i="3"/>
  <c r="B1407" i="3"/>
  <c r="A1408" i="3"/>
  <c r="B1408" i="3"/>
  <c r="A1409" i="3"/>
  <c r="B1409" i="3"/>
  <c r="A1410" i="3"/>
  <c r="B1410" i="3"/>
  <c r="A1411" i="3"/>
  <c r="B1411" i="3"/>
  <c r="A1412" i="3"/>
  <c r="B1412" i="3"/>
  <c r="A1413" i="3"/>
  <c r="B1413" i="3"/>
  <c r="A1414" i="3"/>
  <c r="B1414" i="3"/>
  <c r="A1415" i="3"/>
  <c r="B1415" i="3"/>
  <c r="A1416" i="3"/>
  <c r="B1416" i="3"/>
  <c r="A1417" i="3"/>
  <c r="B1417" i="3"/>
  <c r="A1418" i="3"/>
  <c r="B1418" i="3"/>
  <c r="A1419" i="3"/>
  <c r="B1419" i="3"/>
  <c r="A1420" i="3"/>
  <c r="B1420" i="3"/>
  <c r="A1421" i="3"/>
  <c r="B1421" i="3"/>
  <c r="A1422" i="3"/>
  <c r="B1422" i="3"/>
  <c r="A1423" i="3"/>
  <c r="B1423" i="3"/>
  <c r="A1424" i="3"/>
  <c r="B1424" i="3"/>
  <c r="A1425" i="3"/>
  <c r="B1425" i="3"/>
  <c r="A1426" i="3"/>
  <c r="B1426" i="3"/>
  <c r="A1427" i="3"/>
  <c r="B1427" i="3"/>
  <c r="A1428" i="3"/>
  <c r="B1428" i="3"/>
  <c r="A1429" i="3"/>
  <c r="B1429" i="3"/>
  <c r="A1430" i="3"/>
  <c r="B1430" i="3"/>
  <c r="A1431" i="3"/>
  <c r="B1431" i="3"/>
  <c r="A1432" i="3"/>
  <c r="B1432" i="3"/>
  <c r="A1433" i="3"/>
  <c r="B1433" i="3"/>
  <c r="A1434" i="3"/>
  <c r="B1434" i="3"/>
  <c r="A1435" i="3"/>
  <c r="B1435" i="3"/>
  <c r="A1436" i="3"/>
  <c r="B1436" i="3"/>
  <c r="A1437" i="3"/>
  <c r="B1437" i="3"/>
  <c r="A1438" i="3"/>
  <c r="B1438" i="3"/>
  <c r="A1439" i="3"/>
  <c r="B1439" i="3"/>
  <c r="A1440" i="3"/>
  <c r="B1440" i="3"/>
  <c r="A1441" i="3"/>
  <c r="B1441" i="3"/>
  <c r="A1442" i="3"/>
  <c r="B1442" i="3"/>
  <c r="A1443" i="3"/>
  <c r="B1443" i="3"/>
  <c r="A1444" i="3"/>
  <c r="B1444" i="3"/>
  <c r="A1445" i="3"/>
  <c r="B1445" i="3"/>
  <c r="A1446" i="3"/>
  <c r="B1446" i="3"/>
  <c r="A1447" i="3"/>
  <c r="B1447" i="3"/>
  <c r="A1448" i="3"/>
  <c r="B1448" i="3"/>
  <c r="A1449" i="3"/>
  <c r="B1449" i="3"/>
  <c r="A1450" i="3"/>
  <c r="B1450" i="3"/>
  <c r="A1451" i="3"/>
  <c r="B1451" i="3"/>
  <c r="A1452" i="3"/>
  <c r="B1452" i="3"/>
  <c r="A1453" i="3"/>
  <c r="B1453" i="3"/>
  <c r="A1454" i="3"/>
  <c r="B1454" i="3"/>
  <c r="A1455" i="3"/>
  <c r="B1455" i="3"/>
  <c r="A1456" i="3"/>
  <c r="B1456" i="3"/>
  <c r="A1457" i="3"/>
  <c r="B1457" i="3"/>
  <c r="A1458" i="3"/>
  <c r="B1458" i="3"/>
  <c r="A1459" i="3"/>
  <c r="B1459" i="3"/>
  <c r="A1460" i="3"/>
  <c r="B1460" i="3"/>
  <c r="A1461" i="3"/>
  <c r="B1461" i="3"/>
  <c r="A1462" i="3"/>
  <c r="B1462" i="3"/>
  <c r="A1463" i="3"/>
  <c r="B1463" i="3"/>
  <c r="A1464" i="3"/>
  <c r="B1464" i="3"/>
  <c r="A1465" i="3"/>
  <c r="B1465" i="3"/>
  <c r="A1466" i="3"/>
  <c r="B1466" i="3"/>
  <c r="A1467" i="3"/>
  <c r="B1467" i="3"/>
  <c r="A1468" i="3"/>
  <c r="B1468" i="3"/>
  <c r="A1469" i="3"/>
  <c r="B1469" i="3"/>
  <c r="A1470" i="3"/>
  <c r="B1470" i="3"/>
  <c r="A1471" i="3"/>
  <c r="B1471" i="3"/>
  <c r="A1472" i="3"/>
  <c r="B1472" i="3"/>
  <c r="A1473" i="3"/>
  <c r="B1473" i="3"/>
  <c r="A1474" i="3"/>
  <c r="B1474" i="3"/>
  <c r="A1475" i="3"/>
  <c r="B1475" i="3"/>
  <c r="A1476" i="3"/>
  <c r="B1476" i="3"/>
  <c r="A1477" i="3"/>
  <c r="B1477" i="3"/>
  <c r="A1478" i="3"/>
  <c r="B1478" i="3"/>
  <c r="A1479" i="3"/>
  <c r="B1479" i="3"/>
  <c r="A1480" i="3"/>
  <c r="B1480" i="3"/>
  <c r="A1481" i="3"/>
  <c r="B1481" i="3"/>
  <c r="A1482" i="3"/>
  <c r="B1482" i="3"/>
  <c r="A1483" i="3"/>
  <c r="B1483" i="3"/>
  <c r="A1484" i="3"/>
  <c r="B1484" i="3"/>
  <c r="A1485" i="3"/>
  <c r="B1485" i="3"/>
  <c r="A1486" i="3"/>
  <c r="B1486" i="3"/>
  <c r="A1487" i="3"/>
  <c r="B1487" i="3"/>
  <c r="A1488" i="3"/>
  <c r="B1488" i="3"/>
  <c r="A1489" i="3"/>
  <c r="B1489" i="3"/>
  <c r="A1490" i="3"/>
  <c r="B1490" i="3"/>
  <c r="A1491" i="3"/>
  <c r="B1491" i="3"/>
  <c r="A1492" i="3"/>
  <c r="B1492" i="3"/>
  <c r="A1493" i="3"/>
  <c r="B1493" i="3"/>
  <c r="A1494" i="3"/>
  <c r="B1494" i="3"/>
  <c r="A1495" i="3"/>
  <c r="B1495" i="3"/>
  <c r="A1496" i="3"/>
  <c r="B1496" i="3"/>
  <c r="A1497" i="3"/>
  <c r="B1497" i="3"/>
  <c r="A1498" i="3"/>
  <c r="B1498" i="3"/>
  <c r="A1499" i="3"/>
  <c r="B1499" i="3"/>
  <c r="A1500" i="3"/>
  <c r="B1500" i="3"/>
  <c r="A1501" i="3"/>
  <c r="B1501" i="3"/>
  <c r="A1502" i="3"/>
  <c r="B1502" i="3"/>
  <c r="A1503" i="3"/>
  <c r="B1503" i="3"/>
  <c r="A1504" i="3"/>
  <c r="B1504" i="3"/>
  <c r="A1505" i="3"/>
  <c r="B1505" i="3"/>
  <c r="A1506" i="3"/>
  <c r="B1506" i="3"/>
  <c r="A1507" i="3"/>
  <c r="B1507" i="3"/>
  <c r="A1508" i="3"/>
  <c r="B1508" i="3"/>
  <c r="A1509" i="3"/>
  <c r="B1509" i="3"/>
  <c r="A1510" i="3"/>
  <c r="B1510" i="3"/>
  <c r="A1511" i="3"/>
  <c r="B1511" i="3"/>
  <c r="A1512" i="3"/>
  <c r="B1512" i="3"/>
  <c r="A1513" i="3"/>
  <c r="B1513" i="3"/>
  <c r="A1514" i="3"/>
  <c r="B1514" i="3"/>
  <c r="A1515" i="3"/>
  <c r="B1515" i="3"/>
  <c r="A1516" i="3"/>
  <c r="B1516" i="3"/>
  <c r="A1517" i="3"/>
  <c r="B1517" i="3"/>
  <c r="A1518" i="3"/>
  <c r="B1518" i="3"/>
  <c r="A1519" i="3"/>
  <c r="B1519" i="3"/>
  <c r="A1520" i="3"/>
  <c r="B1520" i="3"/>
  <c r="A1521" i="3"/>
  <c r="B1521" i="3"/>
  <c r="A1522" i="3"/>
  <c r="B1522" i="3"/>
  <c r="A1523" i="3"/>
  <c r="B1523" i="3"/>
  <c r="A1524" i="3"/>
  <c r="B1524" i="3"/>
  <c r="A1525" i="3"/>
  <c r="B1525" i="3"/>
  <c r="A1526" i="3"/>
  <c r="B1526" i="3"/>
  <c r="A1527" i="3"/>
  <c r="B1527" i="3"/>
  <c r="A1528" i="3"/>
  <c r="B1528" i="3"/>
  <c r="A1529" i="3"/>
  <c r="B1529" i="3"/>
  <c r="A1530" i="3"/>
  <c r="B1530" i="3"/>
  <c r="A1531" i="3"/>
  <c r="B1531" i="3"/>
  <c r="A1532" i="3"/>
  <c r="B1532" i="3"/>
  <c r="A1533" i="3"/>
  <c r="B1533" i="3"/>
  <c r="A1534" i="3"/>
  <c r="B1534" i="3"/>
  <c r="A1535" i="3"/>
  <c r="B1535" i="3"/>
  <c r="A1536" i="3"/>
  <c r="B1536" i="3"/>
  <c r="A1537" i="3"/>
  <c r="B1537" i="3"/>
  <c r="A1538" i="3"/>
  <c r="B1538" i="3"/>
  <c r="A1539" i="3"/>
  <c r="B1539" i="3"/>
  <c r="A1540" i="3"/>
  <c r="B1540" i="3"/>
  <c r="A1541" i="3"/>
  <c r="B1541" i="3"/>
  <c r="A1542" i="3"/>
  <c r="B1542" i="3"/>
  <c r="A1543" i="3"/>
  <c r="B1543" i="3"/>
  <c r="A1544" i="3"/>
  <c r="B1544" i="3"/>
  <c r="A1545" i="3"/>
  <c r="B1545" i="3"/>
  <c r="A1546" i="3"/>
  <c r="B1546" i="3"/>
  <c r="A1547" i="3"/>
  <c r="B1547" i="3"/>
  <c r="A1548" i="3"/>
  <c r="B1548" i="3"/>
  <c r="A1549" i="3"/>
  <c r="B1549" i="3"/>
  <c r="A1550" i="3"/>
  <c r="B1550" i="3"/>
  <c r="A1551" i="3"/>
  <c r="B1551" i="3"/>
  <c r="A1552" i="3"/>
  <c r="B1552" i="3"/>
  <c r="A1553" i="3"/>
  <c r="B1553" i="3"/>
  <c r="A1554" i="3"/>
  <c r="B1554" i="3"/>
  <c r="A1555" i="3"/>
  <c r="B1555" i="3"/>
  <c r="A1556" i="3"/>
  <c r="B1556" i="3"/>
  <c r="A1557" i="3"/>
  <c r="B1557" i="3"/>
  <c r="A1558" i="3"/>
  <c r="B1558" i="3"/>
  <c r="A1559" i="3"/>
  <c r="B1559" i="3"/>
  <c r="A1560" i="3"/>
  <c r="B1560" i="3"/>
  <c r="A1561" i="3"/>
  <c r="B1561" i="3"/>
  <c r="A1562" i="3"/>
  <c r="B1562" i="3"/>
  <c r="A1563" i="3"/>
  <c r="B1563" i="3"/>
  <c r="A1564" i="3"/>
  <c r="B1564" i="3"/>
  <c r="A1565" i="3"/>
  <c r="B1565" i="3"/>
  <c r="A1566" i="3"/>
  <c r="B1566" i="3"/>
  <c r="A1567" i="3"/>
  <c r="B1567" i="3"/>
  <c r="A1568" i="3"/>
  <c r="B1568" i="3"/>
  <c r="A1569" i="3"/>
  <c r="B1569" i="3"/>
  <c r="A1570" i="3"/>
  <c r="B1570" i="3"/>
  <c r="A1571" i="3"/>
  <c r="B1571" i="3"/>
  <c r="A1572" i="3"/>
  <c r="B1572" i="3"/>
  <c r="A1573" i="3"/>
  <c r="B1573" i="3"/>
  <c r="A1574" i="3"/>
  <c r="B1574" i="3"/>
  <c r="A1575" i="3"/>
  <c r="B1575" i="3"/>
  <c r="A1576" i="3"/>
  <c r="B1576" i="3"/>
  <c r="A1577" i="3"/>
  <c r="B1577" i="3"/>
  <c r="A1578" i="3"/>
  <c r="B1578" i="3"/>
  <c r="A1579" i="3"/>
  <c r="B1579" i="3"/>
  <c r="A1580" i="3"/>
  <c r="B1580" i="3"/>
  <c r="A1581" i="3"/>
  <c r="B1581" i="3"/>
  <c r="A1582" i="3"/>
  <c r="B1582" i="3"/>
  <c r="A1583" i="3"/>
  <c r="B1583" i="3"/>
  <c r="A1584" i="3"/>
  <c r="B1584" i="3"/>
  <c r="A1585" i="3"/>
  <c r="B1585" i="3"/>
  <c r="A1586" i="3"/>
  <c r="B1586" i="3"/>
  <c r="A1587" i="3"/>
  <c r="B1587" i="3"/>
  <c r="A1588" i="3"/>
  <c r="B1588" i="3"/>
  <c r="A1589" i="3"/>
  <c r="B1589" i="3"/>
  <c r="A1590" i="3"/>
  <c r="B1590" i="3"/>
  <c r="A1591" i="3"/>
  <c r="B1591" i="3"/>
  <c r="A1592" i="3"/>
  <c r="B1592" i="3"/>
  <c r="A1593" i="3"/>
  <c r="B1593" i="3"/>
  <c r="A1594" i="3"/>
  <c r="B1594" i="3"/>
  <c r="A1595" i="3"/>
  <c r="B1595" i="3"/>
  <c r="A1596" i="3"/>
  <c r="B1596" i="3"/>
  <c r="A1597" i="3"/>
  <c r="B1597" i="3"/>
  <c r="A1598" i="3"/>
  <c r="B1598" i="3"/>
  <c r="A1599" i="3"/>
  <c r="B1599" i="3"/>
  <c r="A1600" i="3"/>
  <c r="B1600" i="3"/>
  <c r="A1601" i="3"/>
  <c r="B1601" i="3"/>
  <c r="A1602" i="3"/>
  <c r="B1602" i="3"/>
  <c r="A1603" i="3"/>
  <c r="B1603" i="3"/>
  <c r="A1604" i="3"/>
  <c r="B1604" i="3"/>
  <c r="A1605" i="3"/>
  <c r="B1605" i="3"/>
  <c r="A1606" i="3"/>
  <c r="B1606" i="3"/>
  <c r="A1607" i="3"/>
  <c r="B1607" i="3"/>
  <c r="A1608" i="3"/>
  <c r="B1608" i="3"/>
  <c r="A1609" i="3"/>
  <c r="B1609" i="3"/>
  <c r="A1610" i="3"/>
  <c r="B1610" i="3"/>
  <c r="A1611" i="3"/>
  <c r="B1611" i="3"/>
  <c r="A1612" i="3"/>
  <c r="B1612" i="3"/>
  <c r="A1613" i="3"/>
  <c r="B1613" i="3"/>
  <c r="A1614" i="3"/>
  <c r="B1614" i="3"/>
  <c r="A1615" i="3"/>
  <c r="B1615" i="3"/>
  <c r="A1616" i="3"/>
  <c r="B1616" i="3"/>
  <c r="A1617" i="3"/>
  <c r="B1617" i="3"/>
  <c r="A1618" i="3"/>
  <c r="B1618" i="3"/>
  <c r="A1619" i="3"/>
  <c r="B1619" i="3"/>
  <c r="A1620" i="3"/>
  <c r="B1620" i="3"/>
  <c r="A1621" i="3"/>
  <c r="B1621" i="3"/>
  <c r="A1622" i="3"/>
  <c r="B1622" i="3"/>
  <c r="A1623" i="3"/>
  <c r="B1623" i="3"/>
  <c r="A1624" i="3"/>
  <c r="B1624" i="3"/>
  <c r="A1625" i="3"/>
  <c r="B1625" i="3"/>
  <c r="A1626" i="3"/>
  <c r="B1626" i="3"/>
  <c r="A1627" i="3"/>
  <c r="B1627" i="3"/>
  <c r="A1628" i="3"/>
  <c r="B1628" i="3"/>
  <c r="A1629" i="3"/>
  <c r="B1629" i="3"/>
  <c r="A1630" i="3"/>
  <c r="B1630" i="3"/>
  <c r="A1631" i="3"/>
  <c r="B1631" i="3"/>
  <c r="A1632" i="3"/>
  <c r="B1632" i="3"/>
  <c r="A1633" i="3"/>
  <c r="B1633" i="3"/>
  <c r="A1634" i="3"/>
  <c r="B1634" i="3"/>
  <c r="A1635" i="3"/>
  <c r="B1635" i="3"/>
  <c r="A1636" i="3"/>
  <c r="B1636" i="3"/>
  <c r="A1637" i="3"/>
  <c r="B1637" i="3"/>
  <c r="A1638" i="3"/>
  <c r="B1638" i="3"/>
  <c r="A1639" i="3"/>
  <c r="B1639" i="3"/>
  <c r="A1640" i="3"/>
  <c r="B1640" i="3"/>
  <c r="A1641" i="3"/>
  <c r="B1641" i="3"/>
  <c r="A1642" i="3"/>
  <c r="B1642" i="3"/>
  <c r="A1643" i="3"/>
  <c r="B1643" i="3"/>
  <c r="A1644" i="3"/>
  <c r="B1644" i="3"/>
  <c r="A1645" i="3"/>
  <c r="B1645" i="3"/>
  <c r="A1646" i="3"/>
  <c r="B1646" i="3"/>
  <c r="A1647" i="3"/>
  <c r="B1647" i="3"/>
  <c r="A1648" i="3"/>
  <c r="B1648" i="3"/>
  <c r="A1649" i="3"/>
  <c r="B1649" i="3"/>
  <c r="A1650" i="3"/>
  <c r="B1650" i="3"/>
  <c r="A1651" i="3"/>
  <c r="B1651" i="3"/>
  <c r="A1652" i="3"/>
  <c r="B1652" i="3"/>
  <c r="A1653" i="3"/>
  <c r="B1653" i="3"/>
  <c r="A1654" i="3"/>
  <c r="B1654" i="3"/>
  <c r="A1655" i="3"/>
  <c r="B1655" i="3"/>
  <c r="A1656" i="3"/>
  <c r="B1656" i="3"/>
  <c r="A1657" i="3"/>
  <c r="B1657" i="3"/>
  <c r="A1658" i="3"/>
  <c r="B1658" i="3"/>
  <c r="A1659" i="3"/>
  <c r="B1659" i="3"/>
  <c r="A1660" i="3"/>
  <c r="B1660" i="3"/>
  <c r="A1661" i="3"/>
  <c r="B1661" i="3"/>
  <c r="A1662" i="3"/>
  <c r="B1662" i="3"/>
  <c r="A1663" i="3"/>
  <c r="B1663" i="3"/>
  <c r="A1664" i="3"/>
  <c r="B1664" i="3"/>
  <c r="A1665" i="3"/>
  <c r="B1665" i="3"/>
  <c r="A1666" i="3"/>
  <c r="B1666" i="3"/>
  <c r="A1667" i="3"/>
  <c r="B1667" i="3"/>
  <c r="A1668" i="3"/>
  <c r="B1668" i="3"/>
  <c r="A1669" i="3"/>
  <c r="B1669" i="3"/>
  <c r="A1670" i="3"/>
  <c r="B1670" i="3"/>
  <c r="A1671" i="3"/>
  <c r="B1671" i="3"/>
  <c r="A1672" i="3"/>
  <c r="B1672" i="3"/>
  <c r="A1673" i="3"/>
  <c r="B1673" i="3"/>
  <c r="A1674" i="3"/>
  <c r="B1674" i="3"/>
  <c r="A1675" i="3"/>
  <c r="B1675" i="3"/>
  <c r="A1676" i="3"/>
  <c r="B1676" i="3"/>
  <c r="A1677" i="3"/>
  <c r="B1677" i="3"/>
  <c r="A1678" i="3"/>
  <c r="B1678" i="3"/>
  <c r="A1679" i="3"/>
  <c r="B1679" i="3"/>
  <c r="A1680" i="3"/>
  <c r="B1680" i="3"/>
  <c r="A1681" i="3"/>
  <c r="B1681" i="3"/>
  <c r="A1682" i="3"/>
  <c r="B1682" i="3"/>
  <c r="A1683" i="3"/>
  <c r="B1683" i="3"/>
  <c r="A1684" i="3"/>
  <c r="B1684" i="3"/>
  <c r="A1685" i="3"/>
  <c r="B1685" i="3"/>
  <c r="A1686" i="3"/>
  <c r="B1686" i="3"/>
  <c r="A1687" i="3"/>
  <c r="B1687" i="3"/>
  <c r="A1688" i="3"/>
  <c r="B1688" i="3"/>
  <c r="A1689" i="3"/>
  <c r="B1689" i="3"/>
  <c r="A1690" i="3"/>
  <c r="B1690" i="3"/>
  <c r="A1691" i="3"/>
  <c r="B1691" i="3"/>
  <c r="A1692" i="3"/>
  <c r="B1692" i="3"/>
  <c r="A1693" i="3"/>
  <c r="B1693" i="3"/>
  <c r="A1694" i="3"/>
  <c r="B1694" i="3"/>
  <c r="A1695" i="3"/>
  <c r="B1695" i="3"/>
  <c r="A1696" i="3"/>
  <c r="B1696" i="3"/>
  <c r="A1697" i="3"/>
  <c r="B1697" i="3"/>
  <c r="A1698" i="3"/>
  <c r="B1698" i="3"/>
  <c r="A1699" i="3"/>
  <c r="B1699" i="3"/>
  <c r="A1700" i="3"/>
  <c r="B1700" i="3"/>
  <c r="A1701" i="3"/>
  <c r="B1701" i="3"/>
  <c r="A1702" i="3"/>
  <c r="B1702" i="3"/>
  <c r="A1703" i="3"/>
  <c r="B1703" i="3"/>
  <c r="A1704" i="3"/>
  <c r="B1704" i="3"/>
  <c r="A1705" i="3"/>
  <c r="B1705" i="3"/>
  <c r="A1706" i="3"/>
  <c r="B1706" i="3"/>
  <c r="A1707" i="3"/>
  <c r="B1707" i="3"/>
  <c r="A1708" i="3"/>
  <c r="B1708" i="3"/>
  <c r="A1709" i="3"/>
  <c r="B1709" i="3"/>
  <c r="A1710" i="3"/>
  <c r="B1710" i="3"/>
  <c r="A1711" i="3"/>
  <c r="B1711" i="3"/>
  <c r="A1712" i="3"/>
  <c r="B1712" i="3"/>
  <c r="A1713" i="3"/>
  <c r="B1713" i="3"/>
  <c r="A1714" i="3"/>
  <c r="B1714" i="3"/>
  <c r="A1715" i="3"/>
  <c r="B1715" i="3"/>
  <c r="A1716" i="3"/>
  <c r="B1716" i="3"/>
  <c r="A1717" i="3"/>
  <c r="B1717" i="3"/>
  <c r="A1718" i="3"/>
  <c r="B1718" i="3"/>
  <c r="A1719" i="3"/>
  <c r="B1719" i="3"/>
  <c r="A1720" i="3"/>
  <c r="B1720" i="3"/>
  <c r="A1721" i="3"/>
  <c r="B1721" i="3"/>
  <c r="A1722" i="3"/>
  <c r="B1722" i="3"/>
  <c r="A1723" i="3"/>
  <c r="B1723" i="3"/>
  <c r="A1724" i="3"/>
  <c r="B1724" i="3"/>
  <c r="A1725" i="3"/>
  <c r="B1725" i="3"/>
  <c r="A1726" i="3"/>
  <c r="B1726" i="3"/>
  <c r="A1727" i="3"/>
  <c r="B1727" i="3"/>
  <c r="A1728" i="3"/>
  <c r="B1728" i="3"/>
  <c r="A1729" i="3"/>
  <c r="B1729" i="3"/>
  <c r="A1730" i="3"/>
  <c r="B1730" i="3"/>
  <c r="A1731" i="3"/>
  <c r="B1731" i="3"/>
  <c r="A1732" i="3"/>
  <c r="B1732" i="3"/>
  <c r="A1733" i="3"/>
  <c r="B1733" i="3"/>
  <c r="A1734" i="3"/>
  <c r="B1734" i="3"/>
  <c r="A1735" i="3"/>
  <c r="B1735" i="3"/>
  <c r="A1736" i="3"/>
  <c r="B1736" i="3"/>
  <c r="A1737" i="3"/>
  <c r="B1737" i="3"/>
  <c r="A1738" i="3"/>
  <c r="B1738" i="3"/>
  <c r="A1739" i="3"/>
  <c r="B1739" i="3"/>
  <c r="A1740" i="3"/>
  <c r="B1740" i="3"/>
  <c r="A1741" i="3"/>
  <c r="B1741" i="3"/>
  <c r="A1742" i="3"/>
  <c r="B1742" i="3"/>
  <c r="A1743" i="3"/>
  <c r="B1743" i="3"/>
  <c r="A1744" i="3"/>
  <c r="B1744" i="3"/>
  <c r="A1745" i="3"/>
  <c r="B1745" i="3"/>
  <c r="A1746" i="3"/>
  <c r="B1746" i="3"/>
  <c r="A1747" i="3"/>
  <c r="B1747" i="3"/>
  <c r="A1748" i="3"/>
  <c r="B1748" i="3"/>
  <c r="A1749" i="3"/>
  <c r="B1749" i="3"/>
  <c r="A1750" i="3"/>
  <c r="B1750" i="3"/>
  <c r="A1751" i="3"/>
  <c r="B1751" i="3"/>
  <c r="A1752" i="3"/>
  <c r="B1752" i="3"/>
  <c r="A1753" i="3"/>
  <c r="B1753" i="3"/>
  <c r="A1754" i="3"/>
  <c r="B1754" i="3"/>
  <c r="A1755" i="3"/>
  <c r="B1755" i="3"/>
  <c r="A1756" i="3"/>
  <c r="B1756" i="3"/>
  <c r="A1757" i="3"/>
  <c r="B1757" i="3"/>
  <c r="A1758" i="3"/>
  <c r="B1758" i="3"/>
  <c r="A1759" i="3"/>
  <c r="B1759" i="3"/>
  <c r="A1760" i="3"/>
  <c r="B1760" i="3"/>
  <c r="A1761" i="3"/>
  <c r="B1761" i="3"/>
  <c r="A1762" i="3"/>
  <c r="B1762" i="3"/>
  <c r="A1763" i="3"/>
  <c r="B1763" i="3"/>
  <c r="A1764" i="3"/>
  <c r="B1764" i="3"/>
  <c r="A1765" i="3"/>
  <c r="B1765" i="3"/>
  <c r="A1766" i="3"/>
  <c r="B1766" i="3"/>
  <c r="A1767" i="3"/>
  <c r="B1767" i="3"/>
  <c r="A1768" i="3"/>
  <c r="B1768" i="3"/>
  <c r="A1769" i="3"/>
  <c r="B1769" i="3"/>
  <c r="A1770" i="3"/>
  <c r="B1770" i="3"/>
  <c r="A1771" i="3"/>
  <c r="B1771" i="3"/>
  <c r="A1772" i="3"/>
  <c r="B1772" i="3"/>
  <c r="A1773" i="3"/>
  <c r="B1773" i="3"/>
  <c r="A1774" i="3"/>
  <c r="B1774" i="3"/>
  <c r="A1775" i="3"/>
  <c r="B1775" i="3"/>
  <c r="A1776" i="3"/>
  <c r="B1776" i="3"/>
  <c r="A1777" i="3"/>
  <c r="B1777" i="3"/>
  <c r="A1778" i="3"/>
  <c r="B1778" i="3"/>
  <c r="A1779" i="3"/>
  <c r="B1779" i="3"/>
  <c r="A1780" i="3"/>
  <c r="B1780" i="3"/>
  <c r="A1781" i="3"/>
  <c r="B1781" i="3"/>
  <c r="A1782" i="3"/>
  <c r="B1782" i="3"/>
  <c r="A1783" i="3"/>
  <c r="B1783" i="3"/>
  <c r="A1784" i="3"/>
  <c r="B1784" i="3"/>
  <c r="A1785" i="3"/>
  <c r="B1785" i="3"/>
  <c r="A1786" i="3"/>
  <c r="B1786" i="3"/>
  <c r="A1787" i="3"/>
  <c r="B1787" i="3"/>
  <c r="A1788" i="3"/>
  <c r="B1788" i="3"/>
  <c r="A1789" i="3"/>
  <c r="B1789" i="3"/>
  <c r="A1790" i="3"/>
  <c r="B1790" i="3"/>
  <c r="A1791" i="3"/>
  <c r="B1791" i="3"/>
  <c r="A1792" i="3"/>
  <c r="B1792" i="3"/>
  <c r="A1793" i="3"/>
  <c r="B1793" i="3"/>
  <c r="A1794" i="3"/>
  <c r="B1794" i="3"/>
  <c r="A1795" i="3"/>
  <c r="B1795" i="3"/>
  <c r="A1796" i="3"/>
  <c r="B1796" i="3"/>
  <c r="A1797" i="3"/>
  <c r="B1797" i="3"/>
  <c r="A1798" i="3"/>
  <c r="B1798" i="3"/>
  <c r="A1799" i="3"/>
  <c r="B1799" i="3"/>
  <c r="A1800" i="3"/>
  <c r="B1800" i="3"/>
  <c r="A1801" i="3"/>
  <c r="B1801" i="3"/>
  <c r="A1802" i="3"/>
  <c r="B1802" i="3"/>
  <c r="A1803" i="3"/>
  <c r="B1803" i="3"/>
  <c r="A1804" i="3"/>
  <c r="B1804" i="3"/>
  <c r="A1805" i="3"/>
  <c r="B1805" i="3"/>
  <c r="A1806" i="3"/>
  <c r="B1806" i="3"/>
  <c r="A1807" i="3"/>
  <c r="B1807" i="3"/>
  <c r="A1808" i="3"/>
  <c r="B1808" i="3"/>
  <c r="A1809" i="3"/>
  <c r="B1809" i="3"/>
  <c r="A1810" i="3"/>
  <c r="B1810" i="3"/>
  <c r="A1811" i="3"/>
  <c r="B1811" i="3"/>
  <c r="A1812" i="3"/>
  <c r="B1812" i="3"/>
  <c r="A1813" i="3"/>
  <c r="B1813" i="3"/>
  <c r="A1814" i="3"/>
  <c r="B1814" i="3"/>
  <c r="A1815" i="3"/>
  <c r="B1815" i="3"/>
  <c r="A1816" i="3"/>
  <c r="B1816" i="3"/>
  <c r="A1817" i="3"/>
  <c r="B1817" i="3"/>
  <c r="A1818" i="3"/>
  <c r="B1818" i="3"/>
  <c r="A1819" i="3"/>
  <c r="B1819" i="3"/>
  <c r="A1820" i="3"/>
  <c r="B1820" i="3"/>
  <c r="A1821" i="3"/>
  <c r="B1821" i="3"/>
  <c r="A1822" i="3"/>
  <c r="B1822" i="3"/>
  <c r="A1823" i="3"/>
  <c r="B1823" i="3"/>
  <c r="A1824" i="3"/>
  <c r="B1824" i="3"/>
  <c r="A1825" i="3"/>
  <c r="B1825" i="3"/>
  <c r="A1826" i="3"/>
  <c r="B1826" i="3"/>
  <c r="A1827" i="3"/>
  <c r="B1827" i="3"/>
  <c r="A1828" i="3"/>
  <c r="B1828" i="3"/>
  <c r="A1829" i="3"/>
  <c r="B1829" i="3"/>
  <c r="A1830" i="3"/>
  <c r="B1830" i="3"/>
  <c r="A1831" i="3"/>
  <c r="B1831" i="3"/>
  <c r="A1832" i="3"/>
  <c r="B1832" i="3"/>
  <c r="A1833" i="3"/>
  <c r="B1833" i="3"/>
  <c r="A1834" i="3"/>
  <c r="B1834" i="3"/>
  <c r="A1835" i="3"/>
  <c r="B1835" i="3"/>
  <c r="A1836" i="3"/>
  <c r="B1836" i="3"/>
  <c r="A1837" i="3"/>
  <c r="B1837" i="3"/>
  <c r="A1838" i="3"/>
  <c r="B1838" i="3"/>
  <c r="A1839" i="3"/>
  <c r="B1839" i="3"/>
  <c r="A1840" i="3"/>
  <c r="B1840" i="3"/>
  <c r="A1841" i="3"/>
  <c r="B1841" i="3"/>
  <c r="A1842" i="3"/>
  <c r="B1842" i="3"/>
  <c r="A1843" i="3"/>
  <c r="B1843" i="3"/>
  <c r="A1844" i="3"/>
  <c r="B1844" i="3"/>
  <c r="A1845" i="3"/>
  <c r="B1845" i="3"/>
  <c r="A1846" i="3"/>
  <c r="B1846" i="3"/>
  <c r="A1847" i="3"/>
  <c r="B1847" i="3"/>
  <c r="A1848" i="3"/>
  <c r="B1848" i="3"/>
  <c r="A1849" i="3"/>
  <c r="B1849" i="3"/>
  <c r="A1850" i="3"/>
  <c r="B1850" i="3"/>
  <c r="A1851" i="3"/>
  <c r="B1851" i="3"/>
  <c r="A1852" i="3"/>
  <c r="B1852" i="3"/>
  <c r="A1853" i="3"/>
  <c r="B1853" i="3"/>
  <c r="A1854" i="3"/>
  <c r="B1854" i="3"/>
  <c r="A1855" i="3"/>
  <c r="B1855" i="3"/>
  <c r="A1856" i="3"/>
  <c r="B1856" i="3"/>
  <c r="A1857" i="3"/>
  <c r="B1857" i="3"/>
  <c r="A1858" i="3"/>
  <c r="B1858" i="3"/>
  <c r="A1859" i="3"/>
  <c r="B1859" i="3"/>
  <c r="A1860" i="3"/>
  <c r="B1860" i="3"/>
  <c r="A1861" i="3"/>
  <c r="B1861" i="3"/>
  <c r="A1862" i="3"/>
  <c r="B1862" i="3"/>
  <c r="A1863" i="3"/>
  <c r="B1863" i="3"/>
  <c r="A1864" i="3"/>
  <c r="B1864" i="3"/>
  <c r="A1865" i="3"/>
  <c r="B1865" i="3"/>
  <c r="A1866" i="3"/>
  <c r="B1866" i="3"/>
  <c r="A1867" i="3"/>
  <c r="B1867" i="3"/>
  <c r="A1868" i="3"/>
  <c r="B1868" i="3"/>
  <c r="A1869" i="3"/>
  <c r="B1869" i="3"/>
  <c r="A1870" i="3"/>
  <c r="B1870" i="3"/>
  <c r="A1871" i="3"/>
  <c r="B1871" i="3"/>
  <c r="A1872" i="3"/>
  <c r="B1872" i="3"/>
  <c r="A1873" i="3"/>
  <c r="B1873" i="3"/>
  <c r="A1874" i="3"/>
  <c r="B1874" i="3"/>
  <c r="A1875" i="3"/>
  <c r="B1875" i="3"/>
  <c r="A1876" i="3"/>
  <c r="B1876" i="3"/>
  <c r="A1877" i="3"/>
  <c r="B1877" i="3"/>
  <c r="A1878" i="3"/>
  <c r="B1878" i="3"/>
  <c r="A1879" i="3"/>
  <c r="B1879" i="3"/>
  <c r="A1880" i="3"/>
  <c r="B1880" i="3"/>
  <c r="A1881" i="3"/>
  <c r="B1881" i="3"/>
  <c r="A1882" i="3"/>
  <c r="B1882" i="3"/>
  <c r="A1883" i="3"/>
  <c r="B1883" i="3"/>
  <c r="A1884" i="3"/>
  <c r="B1884" i="3"/>
  <c r="A1885" i="3"/>
  <c r="B1885" i="3"/>
  <c r="A1886" i="3"/>
  <c r="B1886" i="3"/>
  <c r="A1887" i="3"/>
  <c r="B1887" i="3"/>
  <c r="A1888" i="3"/>
  <c r="B1888" i="3"/>
  <c r="A1889" i="3"/>
  <c r="B1889" i="3"/>
  <c r="A1890" i="3"/>
  <c r="B1890" i="3"/>
  <c r="A1891" i="3"/>
  <c r="B1891" i="3"/>
  <c r="A1892" i="3"/>
  <c r="B1892" i="3"/>
  <c r="A1893" i="3"/>
  <c r="B1893" i="3"/>
  <c r="A1894" i="3"/>
  <c r="B1894" i="3"/>
  <c r="A1895" i="3"/>
  <c r="B1895" i="3"/>
  <c r="A1896" i="3"/>
  <c r="B1896" i="3"/>
  <c r="A1897" i="3"/>
  <c r="B1897" i="3"/>
  <c r="A1898" i="3"/>
  <c r="B1898" i="3"/>
  <c r="A1899" i="3"/>
  <c r="B1899" i="3"/>
  <c r="A1900" i="3"/>
  <c r="B1900" i="3"/>
  <c r="A1901" i="3"/>
  <c r="B1901" i="3"/>
  <c r="A1902" i="3"/>
  <c r="B1902" i="3"/>
  <c r="A1903" i="3"/>
  <c r="B1903" i="3"/>
  <c r="A1904" i="3"/>
  <c r="B1904" i="3"/>
  <c r="A1905" i="3"/>
  <c r="B1905" i="3"/>
  <c r="A1906" i="3"/>
  <c r="B1906" i="3"/>
  <c r="A1907" i="3"/>
  <c r="B1907" i="3"/>
  <c r="A1908" i="3"/>
  <c r="B1908" i="3"/>
  <c r="A1909" i="3"/>
  <c r="B1909" i="3"/>
  <c r="A1910" i="3"/>
  <c r="B1910" i="3"/>
  <c r="A1911" i="3"/>
  <c r="B1911" i="3"/>
  <c r="A1912" i="3"/>
  <c r="B1912" i="3"/>
  <c r="A1913" i="3"/>
  <c r="B1913" i="3"/>
  <c r="A1914" i="3"/>
  <c r="B1914" i="3"/>
  <c r="A1915" i="3"/>
  <c r="B1915" i="3"/>
  <c r="A1916" i="3"/>
  <c r="B1916" i="3"/>
  <c r="A1917" i="3"/>
  <c r="B1917" i="3"/>
  <c r="A1918" i="3"/>
  <c r="B1918" i="3"/>
  <c r="A1919" i="3"/>
  <c r="B1919" i="3"/>
  <c r="A1920" i="3"/>
  <c r="B1920" i="3"/>
  <c r="A1921" i="3"/>
  <c r="B1921" i="3"/>
  <c r="A1922" i="3"/>
  <c r="B1922" i="3"/>
  <c r="A1923" i="3"/>
  <c r="B1923" i="3"/>
  <c r="A1924" i="3"/>
  <c r="B1924" i="3"/>
  <c r="A1925" i="3"/>
  <c r="B1925" i="3"/>
  <c r="A1926" i="3"/>
  <c r="B1926" i="3"/>
  <c r="A1927" i="3"/>
  <c r="B1927" i="3"/>
  <c r="A1928" i="3"/>
  <c r="B1928" i="3"/>
  <c r="A1929" i="3"/>
  <c r="B1929" i="3"/>
  <c r="A1930" i="3"/>
  <c r="B1930" i="3"/>
  <c r="A1931" i="3"/>
  <c r="B1931" i="3"/>
  <c r="A1932" i="3"/>
  <c r="B1932" i="3"/>
  <c r="A1933" i="3"/>
  <c r="B1933" i="3"/>
  <c r="A1934" i="3"/>
  <c r="B1934" i="3"/>
  <c r="A1935" i="3"/>
  <c r="B1935" i="3"/>
  <c r="A1936" i="3"/>
  <c r="B1936" i="3"/>
  <c r="A1937" i="3"/>
  <c r="B1937" i="3"/>
  <c r="A1938" i="3"/>
  <c r="B1938" i="3"/>
  <c r="A1939" i="3"/>
  <c r="B1939" i="3"/>
  <c r="A1940" i="3"/>
  <c r="B1940" i="3"/>
  <c r="A1941" i="3"/>
  <c r="B1941" i="3"/>
  <c r="A1942" i="3"/>
  <c r="B1942" i="3"/>
  <c r="A1943" i="3"/>
  <c r="B1943" i="3"/>
  <c r="A1944" i="3"/>
  <c r="B1944" i="3"/>
  <c r="A1945" i="3"/>
  <c r="B1945" i="3"/>
  <c r="A1946" i="3"/>
  <c r="B1946" i="3"/>
  <c r="A1947" i="3"/>
  <c r="B1947" i="3"/>
  <c r="A1948" i="3"/>
  <c r="B1948" i="3"/>
  <c r="A1949" i="3"/>
  <c r="B1949" i="3"/>
  <c r="A1950" i="3"/>
  <c r="B1950" i="3"/>
  <c r="A1951" i="3"/>
  <c r="B1951" i="3"/>
  <c r="A1952" i="3"/>
  <c r="B1952" i="3"/>
  <c r="A1953" i="3"/>
  <c r="B1953" i="3"/>
  <c r="A1954" i="3"/>
  <c r="B1954" i="3"/>
  <c r="A1955" i="3"/>
  <c r="B1955" i="3"/>
  <c r="A1956" i="3"/>
  <c r="B1956" i="3"/>
  <c r="A1957" i="3"/>
  <c r="B1957" i="3"/>
  <c r="A1958" i="3"/>
  <c r="B1958" i="3"/>
  <c r="A1959" i="3"/>
  <c r="B1959" i="3"/>
  <c r="A1960" i="3"/>
  <c r="B1960" i="3"/>
  <c r="A1961" i="3"/>
  <c r="B1961" i="3"/>
  <c r="A1962" i="3"/>
  <c r="B1962" i="3"/>
  <c r="A1963" i="3"/>
  <c r="B1963" i="3"/>
  <c r="A1964" i="3"/>
  <c r="B1964" i="3"/>
  <c r="A1965" i="3"/>
  <c r="B1965" i="3"/>
  <c r="A1966" i="3"/>
  <c r="B1966" i="3"/>
  <c r="A1967" i="3"/>
  <c r="B1967" i="3"/>
  <c r="A1968" i="3"/>
  <c r="B1968" i="3"/>
  <c r="A1969" i="3"/>
  <c r="B1969" i="3"/>
  <c r="A1970" i="3"/>
  <c r="B1970" i="3"/>
  <c r="A1971" i="3"/>
  <c r="B1971" i="3"/>
  <c r="A1972" i="3"/>
  <c r="B1972" i="3"/>
  <c r="A1973" i="3"/>
  <c r="B1973" i="3"/>
  <c r="A1974" i="3"/>
  <c r="B1974" i="3"/>
  <c r="A1975" i="3"/>
  <c r="B1975" i="3"/>
  <c r="A1976" i="3"/>
  <c r="B1976" i="3"/>
  <c r="A1977" i="3"/>
  <c r="B1977" i="3"/>
  <c r="A1978" i="3"/>
  <c r="B1978" i="3"/>
  <c r="A1979" i="3"/>
  <c r="B1979" i="3"/>
  <c r="A1980" i="3"/>
  <c r="B1980" i="3"/>
  <c r="A1981" i="3"/>
  <c r="B1981" i="3"/>
  <c r="A1982" i="3"/>
  <c r="B1982" i="3"/>
  <c r="A1983" i="3"/>
  <c r="B1983" i="3"/>
  <c r="A1984" i="3"/>
  <c r="B1984" i="3"/>
  <c r="A1985" i="3"/>
  <c r="B1985" i="3"/>
  <c r="A1986" i="3"/>
  <c r="B1986" i="3"/>
  <c r="A1987" i="3"/>
  <c r="B1987" i="3"/>
  <c r="A1988" i="3"/>
  <c r="B1988" i="3"/>
  <c r="A1989" i="3"/>
  <c r="B1989" i="3"/>
  <c r="A1990" i="3"/>
  <c r="B1990" i="3"/>
  <c r="A1991" i="3"/>
  <c r="B1991" i="3"/>
  <c r="A1992" i="3"/>
  <c r="B1992" i="3"/>
  <c r="A1993" i="3"/>
  <c r="B1993" i="3"/>
  <c r="A1994" i="3"/>
  <c r="B1994" i="3"/>
  <c r="A1995" i="3"/>
  <c r="B1995" i="3"/>
  <c r="A1996" i="3"/>
  <c r="B1996" i="3"/>
  <c r="A1997" i="3"/>
  <c r="B1997" i="3"/>
  <c r="A1998" i="3"/>
  <c r="B1998" i="3"/>
  <c r="A1999" i="3"/>
  <c r="B1999" i="3"/>
  <c r="A2000" i="3"/>
  <c r="B2000" i="3"/>
  <c r="A2001" i="3"/>
  <c r="B2001" i="3"/>
  <c r="A2002" i="3"/>
  <c r="B2002" i="3"/>
  <c r="A2003" i="3"/>
  <c r="B2003" i="3"/>
  <c r="A2004" i="3"/>
  <c r="B2004" i="3"/>
  <c r="A2005" i="3"/>
  <c r="B2005" i="3"/>
  <c r="A2006" i="3"/>
  <c r="B2006" i="3"/>
  <c r="A2007" i="3"/>
  <c r="B2007" i="3"/>
  <c r="A2008" i="3"/>
  <c r="B2008" i="3"/>
  <c r="A2009" i="3"/>
  <c r="B2009" i="3"/>
  <c r="A2010" i="3"/>
  <c r="B2010" i="3"/>
  <c r="A2011" i="3"/>
  <c r="B2011" i="3"/>
  <c r="A2012" i="3"/>
  <c r="B2012" i="3"/>
  <c r="A2013" i="3"/>
  <c r="B2013" i="3"/>
  <c r="A2014" i="3"/>
  <c r="B2014" i="3"/>
  <c r="A2015" i="3"/>
  <c r="B2015" i="3"/>
  <c r="A2016" i="3"/>
  <c r="B2016" i="3"/>
  <c r="A2017" i="3"/>
  <c r="B2017" i="3"/>
  <c r="A2018" i="3"/>
  <c r="B2018" i="3"/>
  <c r="A2019" i="3"/>
  <c r="B2019" i="3"/>
  <c r="A2020" i="3"/>
  <c r="B2020" i="3"/>
  <c r="A2021" i="3"/>
  <c r="B2021" i="3"/>
  <c r="A2022" i="3"/>
  <c r="B2022" i="3"/>
  <c r="A2023" i="3"/>
  <c r="B2023" i="3"/>
  <c r="A2024" i="3"/>
  <c r="B2024" i="3"/>
  <c r="A2025" i="3"/>
  <c r="B2025" i="3"/>
  <c r="A2026" i="3"/>
  <c r="B2026" i="3"/>
  <c r="A2027" i="3"/>
  <c r="B2027" i="3"/>
  <c r="A2028" i="3"/>
  <c r="B2028" i="3"/>
  <c r="A2029" i="3"/>
  <c r="B2029" i="3"/>
  <c r="A2030" i="3"/>
  <c r="B2030" i="3"/>
  <c r="A2031" i="3"/>
  <c r="B2031" i="3"/>
  <c r="A2032" i="3"/>
  <c r="B2032" i="3"/>
  <c r="A2033" i="3"/>
  <c r="B2033" i="3"/>
  <c r="A2034" i="3"/>
  <c r="B2034" i="3"/>
  <c r="A2035" i="3"/>
  <c r="B2035" i="3"/>
  <c r="A2036" i="3"/>
  <c r="B2036" i="3"/>
  <c r="A2037" i="3"/>
  <c r="B2037" i="3"/>
  <c r="A2038" i="3"/>
  <c r="B2038" i="3"/>
  <c r="A2039" i="3"/>
  <c r="B2039" i="3"/>
  <c r="A2040" i="3"/>
  <c r="B2040" i="3"/>
  <c r="A2041" i="3"/>
  <c r="B2041" i="3"/>
  <c r="A2042" i="3"/>
  <c r="B2042" i="3"/>
  <c r="A2043" i="3"/>
  <c r="B2043" i="3"/>
  <c r="A2044" i="3"/>
  <c r="B2044" i="3"/>
  <c r="A2045" i="3"/>
  <c r="B2045" i="3"/>
  <c r="A2046" i="3"/>
  <c r="B2046" i="3"/>
  <c r="A2047" i="3"/>
  <c r="B2047" i="3"/>
  <c r="A2048" i="3"/>
  <c r="B2048" i="3"/>
  <c r="A2049" i="3"/>
  <c r="B2049" i="3"/>
  <c r="A2050" i="3"/>
  <c r="B2050" i="3"/>
  <c r="A2051" i="3"/>
  <c r="B2051" i="3"/>
  <c r="A2052" i="3"/>
  <c r="B2052" i="3"/>
  <c r="A2053" i="3"/>
  <c r="B2053" i="3"/>
  <c r="A2054" i="3"/>
  <c r="B2054" i="3"/>
  <c r="A2055" i="3"/>
  <c r="B2055" i="3"/>
  <c r="A2056" i="3"/>
  <c r="B2056" i="3"/>
  <c r="A2057" i="3"/>
  <c r="B2057" i="3"/>
  <c r="A2058" i="3"/>
  <c r="B2058" i="3"/>
  <c r="A2059" i="3"/>
  <c r="B2059" i="3"/>
  <c r="A2060" i="3"/>
  <c r="B2060" i="3"/>
  <c r="A2061" i="3"/>
  <c r="B2061" i="3"/>
  <c r="A2062" i="3"/>
  <c r="B2062" i="3"/>
  <c r="A2063" i="3"/>
  <c r="B2063" i="3"/>
  <c r="A2064" i="3"/>
  <c r="B2064" i="3"/>
  <c r="A2065" i="3"/>
  <c r="B2065" i="3"/>
  <c r="A2066" i="3"/>
  <c r="B2066" i="3"/>
  <c r="A2067" i="3"/>
  <c r="B2067" i="3"/>
  <c r="A2068" i="3"/>
  <c r="B2068" i="3"/>
  <c r="A2069" i="3"/>
  <c r="B2069" i="3"/>
  <c r="A2070" i="3"/>
  <c r="B2070" i="3"/>
  <c r="A2071" i="3"/>
  <c r="B2071" i="3"/>
  <c r="A2072" i="3"/>
  <c r="B2072" i="3"/>
  <c r="A2073" i="3"/>
  <c r="B2073" i="3"/>
  <c r="A2074" i="3"/>
  <c r="B2074" i="3"/>
  <c r="A2075" i="3"/>
  <c r="B2075" i="3"/>
  <c r="A2076" i="3"/>
  <c r="B2076" i="3"/>
  <c r="A2077" i="3"/>
  <c r="B2077" i="3"/>
  <c r="A2078" i="3"/>
  <c r="B2078" i="3"/>
  <c r="A2079" i="3"/>
  <c r="B2079" i="3"/>
  <c r="A2080" i="3"/>
  <c r="B2080" i="3"/>
  <c r="A2081" i="3"/>
  <c r="B2081" i="3"/>
  <c r="A2082" i="3"/>
  <c r="B2082" i="3"/>
  <c r="A2083" i="3"/>
  <c r="B2083" i="3"/>
  <c r="A2084" i="3"/>
  <c r="B2084" i="3"/>
  <c r="A2085" i="3"/>
  <c r="B2085" i="3"/>
  <c r="A2086" i="3"/>
  <c r="B2086" i="3"/>
  <c r="A2087" i="3"/>
  <c r="B2087" i="3"/>
  <c r="A2088" i="3"/>
  <c r="B2088" i="3"/>
  <c r="A2089" i="3"/>
  <c r="B2089" i="3"/>
  <c r="A2090" i="3"/>
  <c r="B2090" i="3"/>
  <c r="A2091" i="3"/>
  <c r="B2091" i="3"/>
  <c r="A2092" i="3"/>
  <c r="B2092" i="3"/>
  <c r="A2093" i="3"/>
  <c r="B2093" i="3"/>
  <c r="A2094" i="3"/>
  <c r="B2094" i="3"/>
  <c r="A2095" i="3"/>
  <c r="B2095" i="3"/>
  <c r="A2096" i="3"/>
  <c r="B2096" i="3"/>
  <c r="A2097" i="3"/>
  <c r="B2097" i="3"/>
  <c r="A2098" i="3"/>
  <c r="B2098" i="3"/>
  <c r="A2099" i="3"/>
  <c r="B2099" i="3"/>
  <c r="A2100" i="3"/>
  <c r="B2100" i="3"/>
  <c r="A2101" i="3"/>
  <c r="B2101" i="3"/>
  <c r="A2102" i="3"/>
  <c r="B2102" i="3"/>
  <c r="A2103" i="3"/>
  <c r="B2103" i="3"/>
  <c r="A2104" i="3"/>
  <c r="B2104" i="3"/>
  <c r="A2105" i="3"/>
  <c r="B2105" i="3"/>
  <c r="A2106" i="3"/>
  <c r="B2106" i="3"/>
  <c r="A2107" i="3"/>
  <c r="B2107" i="3"/>
  <c r="A2108" i="3"/>
  <c r="B2108" i="3"/>
  <c r="A2109" i="3"/>
  <c r="B2109" i="3"/>
  <c r="A2110" i="3"/>
  <c r="B2110" i="3"/>
  <c r="A2111" i="3"/>
  <c r="B2111" i="3"/>
  <c r="A2112" i="3"/>
  <c r="B2112" i="3"/>
  <c r="A2113" i="3"/>
  <c r="B2113" i="3"/>
  <c r="A2114" i="3"/>
  <c r="B2114" i="3"/>
  <c r="A2115" i="3"/>
  <c r="B2115" i="3"/>
  <c r="A2116" i="3"/>
  <c r="B2116" i="3"/>
  <c r="A2117" i="3"/>
  <c r="B2117" i="3"/>
  <c r="A2118" i="3"/>
  <c r="B2118" i="3"/>
  <c r="A2119" i="3"/>
  <c r="B2119" i="3"/>
  <c r="A2120" i="3"/>
  <c r="B2120" i="3"/>
  <c r="A2121" i="3"/>
  <c r="B2121" i="3"/>
  <c r="A2122" i="3"/>
  <c r="B2122" i="3"/>
  <c r="A2123" i="3"/>
  <c r="B2123" i="3"/>
  <c r="A2124" i="3"/>
  <c r="B2124" i="3"/>
  <c r="A2125" i="3"/>
  <c r="B2125" i="3"/>
  <c r="A2126" i="3"/>
  <c r="B2126" i="3"/>
  <c r="A2127" i="3"/>
  <c r="B2127" i="3"/>
  <c r="A2128" i="3"/>
  <c r="B2128" i="3"/>
  <c r="A2129" i="3"/>
  <c r="B2129" i="3"/>
  <c r="A2130" i="3"/>
  <c r="B2130" i="3"/>
  <c r="A2131" i="3"/>
  <c r="B2131" i="3"/>
  <c r="A2132" i="3"/>
  <c r="B2132" i="3"/>
  <c r="A2133" i="3"/>
  <c r="B2133" i="3"/>
  <c r="A2134" i="3"/>
  <c r="B2134" i="3"/>
  <c r="A2135" i="3"/>
  <c r="B2135" i="3"/>
  <c r="A2136" i="3"/>
  <c r="B2136" i="3"/>
  <c r="A2137" i="3"/>
  <c r="B2137" i="3"/>
  <c r="A2138" i="3"/>
  <c r="B2138" i="3"/>
  <c r="A2139" i="3"/>
  <c r="B2139" i="3"/>
  <c r="A2140" i="3"/>
  <c r="B2140" i="3"/>
  <c r="A2141" i="3"/>
  <c r="B2141" i="3"/>
  <c r="A2142" i="3"/>
  <c r="B2142" i="3"/>
  <c r="A2143" i="3"/>
  <c r="B2143" i="3"/>
  <c r="A2144" i="3"/>
  <c r="B2144" i="3"/>
  <c r="A2145" i="3"/>
  <c r="B2145" i="3"/>
  <c r="A2146" i="3"/>
  <c r="B2146" i="3"/>
  <c r="A2147" i="3"/>
  <c r="B2147" i="3"/>
  <c r="A2148" i="3"/>
  <c r="B2148" i="3"/>
  <c r="A2149" i="3"/>
  <c r="B2149" i="3"/>
  <c r="A2150" i="3"/>
  <c r="B2150" i="3"/>
  <c r="A2151" i="3"/>
  <c r="B2151" i="3"/>
  <c r="A2152" i="3"/>
  <c r="B2152" i="3"/>
  <c r="A2153" i="3"/>
  <c r="B2153" i="3"/>
  <c r="A2154" i="3"/>
  <c r="B2154" i="3"/>
  <c r="A2155" i="3"/>
  <c r="B2155" i="3"/>
  <c r="A2156" i="3"/>
  <c r="B2156" i="3"/>
  <c r="A2157" i="3"/>
  <c r="B2157" i="3"/>
  <c r="A2158" i="3"/>
  <c r="B2158" i="3"/>
  <c r="A2159" i="3"/>
  <c r="B2159" i="3"/>
  <c r="A2160" i="3"/>
  <c r="B2160" i="3"/>
  <c r="A2161" i="3"/>
  <c r="B2161" i="3"/>
  <c r="A2162" i="3"/>
  <c r="B2162" i="3"/>
  <c r="A2163" i="3"/>
  <c r="B2163" i="3"/>
  <c r="A2164" i="3"/>
  <c r="B2164" i="3"/>
  <c r="A2165" i="3"/>
  <c r="B2165" i="3"/>
  <c r="A2166" i="3"/>
  <c r="B2166" i="3"/>
  <c r="A2167" i="3"/>
  <c r="B2167" i="3"/>
  <c r="A2168" i="3"/>
  <c r="B2168" i="3"/>
  <c r="A2169" i="3"/>
  <c r="B2169" i="3"/>
  <c r="A2170" i="3"/>
  <c r="B2170" i="3"/>
  <c r="A2171" i="3"/>
  <c r="B2171" i="3"/>
  <c r="A2172" i="3"/>
  <c r="B2172" i="3"/>
  <c r="A2173" i="3"/>
  <c r="B2173" i="3"/>
  <c r="A2174" i="3"/>
  <c r="B2174" i="3"/>
  <c r="A2175" i="3"/>
  <c r="B2175" i="3"/>
  <c r="A2176" i="3"/>
  <c r="B2176" i="3"/>
  <c r="A2177" i="3"/>
  <c r="B2177" i="3"/>
  <c r="A2178" i="3"/>
  <c r="B2178" i="3"/>
  <c r="A2179" i="3"/>
  <c r="B2179" i="3"/>
  <c r="A2180" i="3"/>
  <c r="B2180" i="3"/>
  <c r="A2181" i="3"/>
  <c r="B2181" i="3"/>
  <c r="A2182" i="3"/>
  <c r="B2182" i="3"/>
  <c r="A2183" i="3"/>
  <c r="B2183" i="3"/>
  <c r="A2184" i="3"/>
  <c r="B2184" i="3"/>
  <c r="A2185" i="3"/>
  <c r="B2185" i="3"/>
  <c r="A2186" i="3"/>
  <c r="B2186" i="3"/>
  <c r="A2187" i="3"/>
  <c r="B2187" i="3"/>
  <c r="A2188" i="3"/>
  <c r="B2188" i="3"/>
  <c r="A2189" i="3"/>
  <c r="B2189" i="3"/>
  <c r="A2190" i="3"/>
  <c r="B2190" i="3"/>
  <c r="A2191" i="3"/>
  <c r="B2191" i="3"/>
  <c r="A2192" i="3"/>
  <c r="B2192" i="3"/>
  <c r="A2193" i="3"/>
  <c r="B2193" i="3"/>
  <c r="A2194" i="3"/>
  <c r="B2194" i="3"/>
  <c r="A2195" i="3"/>
  <c r="B2195" i="3"/>
  <c r="A2196" i="3"/>
  <c r="B2196" i="3"/>
  <c r="A2197" i="3"/>
  <c r="B2197" i="3"/>
  <c r="A2198" i="3"/>
  <c r="B2198" i="3"/>
  <c r="A2199" i="3"/>
  <c r="B2199" i="3"/>
  <c r="A2200" i="3"/>
  <c r="B2200" i="3"/>
  <c r="A2201" i="3"/>
  <c r="B2201" i="3"/>
  <c r="A2202" i="3"/>
  <c r="B2202" i="3"/>
  <c r="A2203" i="3"/>
  <c r="B2203" i="3"/>
  <c r="A2204" i="3"/>
  <c r="B2204" i="3"/>
  <c r="A2205" i="3"/>
  <c r="B2205" i="3"/>
  <c r="A2206" i="3"/>
  <c r="B2206" i="3"/>
  <c r="A2207" i="3"/>
  <c r="B2207" i="3"/>
  <c r="A2208" i="3"/>
  <c r="B2208" i="3"/>
  <c r="A2209" i="3"/>
  <c r="B2209" i="3"/>
  <c r="A2210" i="3"/>
  <c r="B2210" i="3"/>
  <c r="A2211" i="3"/>
  <c r="B2211" i="3"/>
  <c r="A2212" i="3"/>
  <c r="B2212" i="3"/>
  <c r="A2213" i="3"/>
  <c r="B2213" i="3"/>
  <c r="A2214" i="3"/>
  <c r="B2214" i="3"/>
  <c r="A2215" i="3"/>
  <c r="B2215" i="3"/>
  <c r="A2216" i="3"/>
  <c r="B2216" i="3"/>
  <c r="A2217" i="3"/>
  <c r="B2217" i="3"/>
  <c r="A2218" i="3"/>
  <c r="B2218" i="3"/>
  <c r="A2219" i="3"/>
  <c r="B2219" i="3"/>
  <c r="A2220" i="3"/>
  <c r="B2220" i="3"/>
  <c r="A2221" i="3"/>
  <c r="B2221" i="3"/>
  <c r="A2222" i="3"/>
  <c r="B2222" i="3"/>
  <c r="A2223" i="3"/>
  <c r="B2223" i="3"/>
  <c r="A2224" i="3"/>
  <c r="B2224" i="3"/>
  <c r="A2225" i="3"/>
  <c r="B2225" i="3"/>
  <c r="A2226" i="3"/>
  <c r="B2226" i="3"/>
  <c r="A2227" i="3"/>
  <c r="B2227" i="3"/>
  <c r="A2228" i="3"/>
  <c r="B2228" i="3"/>
  <c r="A2229" i="3"/>
  <c r="B2229" i="3"/>
  <c r="A2230" i="3"/>
  <c r="B2230" i="3"/>
  <c r="A2231" i="3"/>
  <c r="B2231" i="3"/>
  <c r="A2232" i="3"/>
  <c r="B2232" i="3"/>
  <c r="A2233" i="3"/>
  <c r="B2233" i="3"/>
  <c r="A2234" i="3"/>
  <c r="B2234" i="3"/>
  <c r="A2235" i="3"/>
  <c r="B2235" i="3"/>
  <c r="A2236" i="3"/>
  <c r="B2236" i="3"/>
  <c r="A2237" i="3"/>
  <c r="B2237" i="3"/>
  <c r="A2238" i="3"/>
  <c r="B2238" i="3"/>
  <c r="A2239" i="3"/>
  <c r="B2239" i="3"/>
  <c r="A2240" i="3"/>
  <c r="B2240" i="3"/>
  <c r="A2241" i="3"/>
  <c r="B2241" i="3"/>
  <c r="A2242" i="3"/>
  <c r="B2242" i="3"/>
  <c r="A2243" i="3"/>
  <c r="B2243" i="3"/>
  <c r="A2244" i="3"/>
  <c r="B2244" i="3"/>
  <c r="A2245" i="3"/>
  <c r="B2245" i="3"/>
  <c r="A2246" i="3"/>
  <c r="B2246" i="3"/>
  <c r="A2247" i="3"/>
  <c r="B2247" i="3"/>
  <c r="A2248" i="3"/>
  <c r="B2248" i="3"/>
  <c r="A2249" i="3"/>
  <c r="B2249" i="3"/>
  <c r="A2250" i="3"/>
  <c r="B2250" i="3"/>
  <c r="A2251" i="3"/>
  <c r="B2251" i="3"/>
  <c r="A2252" i="3"/>
  <c r="B2252" i="3"/>
  <c r="A2253" i="3"/>
  <c r="B2253" i="3"/>
  <c r="A2254" i="3"/>
  <c r="B2254" i="3"/>
  <c r="A2255" i="3"/>
  <c r="B2255" i="3"/>
  <c r="A2256" i="3"/>
  <c r="B2256" i="3"/>
  <c r="A2257" i="3"/>
  <c r="B2257" i="3"/>
  <c r="A2258" i="3"/>
  <c r="B2258" i="3"/>
  <c r="A2259" i="3"/>
  <c r="B2259" i="3"/>
  <c r="A2260" i="3"/>
  <c r="B2260" i="3"/>
  <c r="A2261" i="3"/>
  <c r="B2261" i="3"/>
  <c r="A2262" i="3"/>
  <c r="B2262" i="3"/>
  <c r="A2263" i="3"/>
  <c r="B2263" i="3"/>
  <c r="A2264" i="3"/>
  <c r="B2264" i="3"/>
  <c r="A2265" i="3"/>
  <c r="B2265" i="3"/>
  <c r="A2266" i="3"/>
  <c r="B2266" i="3"/>
  <c r="A2267" i="3"/>
  <c r="B2267" i="3"/>
  <c r="A2268" i="3"/>
  <c r="B2268" i="3"/>
  <c r="A2269" i="3"/>
  <c r="B2269" i="3"/>
  <c r="A2270" i="3"/>
  <c r="B2270" i="3"/>
  <c r="A2271" i="3"/>
  <c r="B2271" i="3"/>
  <c r="A2272" i="3"/>
  <c r="B2272" i="3"/>
  <c r="A2273" i="3"/>
  <c r="B2273" i="3"/>
  <c r="A2274" i="3"/>
  <c r="B2274" i="3"/>
  <c r="A2275" i="3"/>
  <c r="B2275" i="3"/>
  <c r="A2276" i="3"/>
  <c r="B2276" i="3"/>
  <c r="A2277" i="3"/>
  <c r="B2277" i="3"/>
  <c r="A2278" i="3"/>
  <c r="B2278" i="3"/>
  <c r="A2279" i="3"/>
  <c r="B2279" i="3"/>
  <c r="A2280" i="3"/>
  <c r="B2280" i="3"/>
  <c r="A2281" i="3"/>
  <c r="B2281" i="3"/>
  <c r="A2282" i="3"/>
  <c r="B2282" i="3"/>
  <c r="A2283" i="3"/>
  <c r="B2283" i="3"/>
  <c r="A2284" i="3"/>
  <c r="B2284" i="3"/>
  <c r="A2285" i="3"/>
  <c r="B2285" i="3"/>
  <c r="A2286" i="3"/>
  <c r="B2286" i="3"/>
  <c r="A2287" i="3"/>
  <c r="B2287" i="3"/>
  <c r="A2288" i="3"/>
  <c r="B2288" i="3"/>
  <c r="A2289" i="3"/>
  <c r="B2289" i="3"/>
  <c r="A2290" i="3"/>
  <c r="B2290" i="3"/>
  <c r="A2291" i="3"/>
  <c r="B2291" i="3"/>
  <c r="A2292" i="3"/>
  <c r="B2292" i="3"/>
  <c r="A2293" i="3"/>
  <c r="B2293" i="3"/>
  <c r="A2294" i="3"/>
  <c r="B2294" i="3"/>
  <c r="A2295" i="3"/>
  <c r="B2295" i="3"/>
  <c r="A2296" i="3"/>
  <c r="B2296" i="3"/>
  <c r="A2297" i="3"/>
  <c r="B2297" i="3"/>
  <c r="A2298" i="3"/>
  <c r="B2298" i="3"/>
  <c r="A2299" i="3"/>
  <c r="B2299" i="3"/>
  <c r="A2300" i="3"/>
  <c r="B2300" i="3"/>
  <c r="A2301" i="3"/>
  <c r="B2301" i="3"/>
  <c r="A2302" i="3"/>
  <c r="B2302" i="3"/>
  <c r="A2303" i="3"/>
  <c r="B2303" i="3"/>
  <c r="A2304" i="3"/>
  <c r="B2304" i="3"/>
  <c r="A2305" i="3"/>
  <c r="B2305" i="3"/>
  <c r="A2306" i="3"/>
  <c r="B2306" i="3"/>
  <c r="A2307" i="3"/>
  <c r="B2307" i="3"/>
  <c r="A2308" i="3"/>
  <c r="B2308" i="3"/>
  <c r="A2309" i="3"/>
  <c r="B2309" i="3"/>
  <c r="A2310" i="3"/>
  <c r="B2310" i="3"/>
  <c r="A2311" i="3"/>
  <c r="B2311" i="3"/>
  <c r="A2312" i="3"/>
  <c r="B2312" i="3"/>
  <c r="A2313" i="3"/>
  <c r="B2313" i="3"/>
  <c r="A2314" i="3"/>
  <c r="B2314" i="3"/>
  <c r="A2315" i="3"/>
  <c r="B2315" i="3"/>
  <c r="A2316" i="3"/>
  <c r="B2316" i="3"/>
  <c r="A2317" i="3"/>
  <c r="B2317" i="3"/>
  <c r="A2318" i="3"/>
  <c r="B2318" i="3"/>
  <c r="A2319" i="3"/>
  <c r="B2319" i="3"/>
  <c r="A2320" i="3"/>
  <c r="B2320" i="3"/>
  <c r="A2321" i="3"/>
  <c r="B2321" i="3"/>
  <c r="A2322" i="3"/>
  <c r="B2322" i="3"/>
  <c r="A2323" i="3"/>
  <c r="B2323" i="3"/>
  <c r="A2324" i="3"/>
  <c r="B2324" i="3"/>
  <c r="A2325" i="3"/>
  <c r="B2325" i="3"/>
  <c r="A2326" i="3"/>
  <c r="B2326" i="3"/>
  <c r="A2327" i="3"/>
  <c r="B2327" i="3"/>
  <c r="A2328" i="3"/>
  <c r="B2328" i="3"/>
  <c r="A2329" i="3"/>
  <c r="B2329" i="3"/>
  <c r="A2330" i="3"/>
  <c r="B2330" i="3"/>
  <c r="A2331" i="3"/>
  <c r="B2331" i="3"/>
  <c r="A2332" i="3"/>
  <c r="B2332" i="3"/>
  <c r="A2333" i="3"/>
  <c r="B2333" i="3"/>
  <c r="A2334" i="3"/>
  <c r="B2334" i="3"/>
  <c r="A2335" i="3"/>
  <c r="B2335" i="3"/>
  <c r="A2336" i="3"/>
  <c r="B2336" i="3"/>
  <c r="A2337" i="3"/>
  <c r="B2337" i="3"/>
  <c r="A2338" i="3"/>
  <c r="B2338" i="3"/>
  <c r="A2339" i="3"/>
  <c r="B2339" i="3"/>
  <c r="A2340" i="3"/>
  <c r="B2340" i="3"/>
  <c r="A2341" i="3"/>
  <c r="B2341" i="3"/>
  <c r="A2342" i="3"/>
  <c r="B2342" i="3"/>
  <c r="A2343" i="3"/>
  <c r="B2343" i="3"/>
  <c r="A2344" i="3"/>
  <c r="B2344" i="3"/>
  <c r="A2345" i="3"/>
  <c r="B2345" i="3"/>
  <c r="A2346" i="3"/>
  <c r="B2346" i="3"/>
  <c r="A2347" i="3"/>
  <c r="B2347" i="3"/>
  <c r="A2348" i="3"/>
  <c r="B2348" i="3"/>
  <c r="A2349" i="3"/>
  <c r="B2349" i="3"/>
  <c r="A2350" i="3"/>
  <c r="B2350" i="3"/>
  <c r="A2351" i="3"/>
  <c r="B2351" i="3"/>
  <c r="A2352" i="3"/>
  <c r="B2352" i="3"/>
  <c r="A2353" i="3"/>
  <c r="B2353" i="3"/>
  <c r="A2354" i="3"/>
  <c r="B2354" i="3"/>
  <c r="A2355" i="3"/>
  <c r="B2355" i="3"/>
  <c r="A2356" i="3"/>
  <c r="B2356" i="3"/>
  <c r="A2357" i="3"/>
  <c r="B2357" i="3"/>
  <c r="A2358" i="3"/>
  <c r="B2358" i="3"/>
  <c r="A2359" i="3"/>
  <c r="B2359" i="3"/>
  <c r="A2360" i="3"/>
  <c r="B2360" i="3"/>
  <c r="A2361" i="3"/>
  <c r="B2361" i="3"/>
  <c r="A2362" i="3"/>
  <c r="B2362" i="3"/>
  <c r="A2363" i="3"/>
  <c r="B2363" i="3"/>
  <c r="A2364" i="3"/>
  <c r="B2364" i="3"/>
  <c r="A2365" i="3"/>
  <c r="B2365" i="3"/>
  <c r="A2366" i="3"/>
  <c r="B2366" i="3"/>
  <c r="A2367" i="3"/>
  <c r="B2367" i="3"/>
  <c r="A2368" i="3"/>
  <c r="B2368" i="3"/>
  <c r="A2369" i="3"/>
  <c r="B2369" i="3"/>
  <c r="A2370" i="3"/>
  <c r="B2370" i="3"/>
  <c r="A2371" i="3"/>
  <c r="B2371" i="3"/>
  <c r="A2372" i="3"/>
  <c r="B2372" i="3"/>
  <c r="A2373" i="3"/>
  <c r="B2373" i="3"/>
  <c r="A2374" i="3"/>
  <c r="B2374" i="3"/>
  <c r="A2375" i="3"/>
  <c r="B2375" i="3"/>
  <c r="A2376" i="3"/>
  <c r="B2376" i="3"/>
  <c r="A2377" i="3"/>
  <c r="B2377" i="3"/>
  <c r="A2378" i="3"/>
  <c r="B2378" i="3"/>
  <c r="A2379" i="3"/>
  <c r="B2379" i="3"/>
  <c r="A2380" i="3"/>
  <c r="B2380" i="3"/>
  <c r="A2381" i="3"/>
  <c r="B2381" i="3"/>
  <c r="A2382" i="3"/>
  <c r="B2382" i="3"/>
  <c r="A2383" i="3"/>
  <c r="B2383" i="3"/>
  <c r="A2384" i="3"/>
  <c r="B2384" i="3"/>
  <c r="A2385" i="3"/>
  <c r="B2385" i="3"/>
  <c r="A2386" i="3"/>
  <c r="B2386" i="3"/>
  <c r="A2387" i="3"/>
  <c r="B2387" i="3"/>
  <c r="A2388" i="3"/>
  <c r="B2388" i="3"/>
  <c r="A2389" i="3"/>
  <c r="B2389" i="3"/>
  <c r="A2390" i="3"/>
  <c r="B2390" i="3"/>
  <c r="A2391" i="3"/>
  <c r="B2391" i="3"/>
  <c r="A2392" i="3"/>
  <c r="B2392" i="3"/>
  <c r="A2393" i="3"/>
  <c r="B2393" i="3"/>
  <c r="A2394" i="3"/>
  <c r="B2394" i="3"/>
  <c r="A2395" i="3"/>
  <c r="B2395" i="3"/>
  <c r="A2396" i="3"/>
  <c r="B2396" i="3"/>
  <c r="A2397" i="3"/>
  <c r="B2397" i="3"/>
  <c r="A2398" i="3"/>
  <c r="B2398" i="3"/>
  <c r="A2399" i="3"/>
  <c r="B2399" i="3"/>
  <c r="A2400" i="3"/>
  <c r="B2400" i="3"/>
  <c r="A2401" i="3"/>
  <c r="B2401" i="3"/>
  <c r="A2402" i="3"/>
  <c r="B2402" i="3"/>
  <c r="A2403" i="3"/>
  <c r="B2403" i="3"/>
  <c r="A2404" i="3"/>
  <c r="B2404" i="3"/>
  <c r="A2405" i="3"/>
  <c r="B2405" i="3"/>
  <c r="A2406" i="3"/>
  <c r="B2406" i="3"/>
  <c r="A2407" i="3"/>
  <c r="B2407" i="3"/>
  <c r="A2408" i="3"/>
  <c r="B2408" i="3"/>
  <c r="A2409" i="3"/>
  <c r="B2409" i="3"/>
  <c r="A2410" i="3"/>
  <c r="B2410" i="3"/>
  <c r="A2411" i="3"/>
  <c r="B2411" i="3"/>
  <c r="A2412" i="3"/>
  <c r="B2412" i="3"/>
  <c r="A2413" i="3"/>
  <c r="B2413" i="3"/>
  <c r="A2414" i="3"/>
  <c r="B2414" i="3"/>
  <c r="A2415" i="3"/>
  <c r="B2415" i="3"/>
  <c r="A2416" i="3"/>
  <c r="B2416" i="3"/>
  <c r="A2417" i="3"/>
  <c r="B2417" i="3"/>
  <c r="A2418" i="3"/>
  <c r="B2418" i="3"/>
  <c r="A2419" i="3"/>
  <c r="B2419" i="3"/>
  <c r="A2420" i="3"/>
  <c r="B2420" i="3"/>
  <c r="A2421" i="3"/>
  <c r="B2421" i="3"/>
  <c r="A2422" i="3"/>
  <c r="B2422" i="3"/>
  <c r="A2423" i="3"/>
  <c r="B2423" i="3"/>
  <c r="A2424" i="3"/>
  <c r="B2424" i="3"/>
  <c r="A2425" i="3"/>
  <c r="B2425" i="3"/>
  <c r="A2426" i="3"/>
  <c r="B2426" i="3"/>
  <c r="A2427" i="3"/>
  <c r="B2427" i="3"/>
  <c r="A2428" i="3"/>
  <c r="B2428" i="3"/>
  <c r="A2429" i="3"/>
  <c r="B2429" i="3"/>
  <c r="A2430" i="3"/>
  <c r="B2430" i="3"/>
  <c r="A2431" i="3"/>
  <c r="B2431" i="3"/>
  <c r="A2432" i="3"/>
  <c r="B2432" i="3"/>
  <c r="A2433" i="3"/>
  <c r="B2433" i="3"/>
  <c r="A2434" i="3"/>
  <c r="B2434" i="3"/>
  <c r="A2435" i="3"/>
  <c r="B2435" i="3"/>
  <c r="A2436" i="3"/>
  <c r="B2436" i="3"/>
  <c r="A2437" i="3"/>
  <c r="B2437" i="3"/>
  <c r="A2438" i="3"/>
  <c r="B2438" i="3"/>
  <c r="A2439" i="3"/>
  <c r="B2439" i="3"/>
  <c r="A2440" i="3"/>
  <c r="B2440" i="3"/>
  <c r="A2441" i="3"/>
  <c r="B2441" i="3"/>
  <c r="A2442" i="3"/>
  <c r="B2442" i="3"/>
  <c r="A2443" i="3"/>
  <c r="B2443" i="3"/>
  <c r="A2444" i="3"/>
  <c r="B2444" i="3"/>
  <c r="A2445" i="3"/>
  <c r="B2445" i="3"/>
  <c r="A2446" i="3"/>
  <c r="B2446" i="3"/>
  <c r="A2447" i="3"/>
  <c r="B2447" i="3"/>
  <c r="A2448" i="3"/>
  <c r="B2448" i="3"/>
  <c r="A2449" i="3"/>
  <c r="B2449" i="3"/>
  <c r="A2450" i="3"/>
  <c r="B2450" i="3"/>
  <c r="A2451" i="3"/>
  <c r="B2451" i="3"/>
  <c r="A2452" i="3"/>
  <c r="B2452" i="3"/>
  <c r="A2453" i="3"/>
  <c r="B2453" i="3"/>
  <c r="A2454" i="3"/>
  <c r="B2454" i="3"/>
  <c r="A2455" i="3"/>
  <c r="B2455" i="3"/>
  <c r="A2456" i="3"/>
  <c r="B2456" i="3"/>
  <c r="A2457" i="3"/>
  <c r="B2457" i="3"/>
  <c r="A2458" i="3"/>
  <c r="B2458" i="3"/>
  <c r="A2459" i="3"/>
  <c r="B2459" i="3"/>
  <c r="A2460" i="3"/>
  <c r="B2460" i="3"/>
  <c r="A2461" i="3"/>
  <c r="B2461" i="3"/>
  <c r="A2462" i="3"/>
  <c r="B2462" i="3"/>
  <c r="A2463" i="3"/>
  <c r="B2463" i="3"/>
  <c r="A2464" i="3"/>
  <c r="B2464" i="3"/>
  <c r="A2465" i="3"/>
  <c r="B2465" i="3"/>
  <c r="A2466" i="3"/>
  <c r="B2466" i="3"/>
  <c r="A2467" i="3"/>
  <c r="B2467" i="3"/>
  <c r="A2468" i="3"/>
  <c r="B2468" i="3"/>
  <c r="A2469" i="3"/>
  <c r="B2469" i="3"/>
  <c r="A2470" i="3"/>
  <c r="B2470" i="3"/>
  <c r="A2471" i="3"/>
  <c r="B2471" i="3"/>
  <c r="A2472" i="3"/>
  <c r="B2472" i="3"/>
  <c r="A2473" i="3"/>
  <c r="B2473" i="3"/>
  <c r="A2474" i="3"/>
  <c r="B2474" i="3"/>
  <c r="A2475" i="3"/>
  <c r="B2475" i="3"/>
  <c r="A2476" i="3"/>
  <c r="B2476" i="3"/>
  <c r="A2477" i="3"/>
  <c r="B2477" i="3"/>
  <c r="A2478" i="3"/>
  <c r="B2478" i="3"/>
  <c r="A2479" i="3"/>
  <c r="B2479" i="3"/>
  <c r="A2480" i="3"/>
  <c r="B2480" i="3"/>
  <c r="A2481" i="3"/>
  <c r="B2481" i="3"/>
  <c r="A2482" i="3"/>
  <c r="B2482" i="3"/>
  <c r="A2483" i="3"/>
  <c r="B2483" i="3"/>
  <c r="A2484" i="3"/>
  <c r="B2484" i="3"/>
  <c r="A2485" i="3"/>
  <c r="B2485" i="3"/>
  <c r="A2486" i="3"/>
  <c r="B2486" i="3"/>
  <c r="A2487" i="3"/>
  <c r="B2487" i="3"/>
  <c r="A2488" i="3"/>
  <c r="B2488" i="3"/>
  <c r="A2489" i="3"/>
  <c r="B2489" i="3"/>
  <c r="A2490" i="3"/>
  <c r="B2490" i="3"/>
  <c r="A2491" i="3"/>
  <c r="B2491" i="3"/>
  <c r="A2492" i="3"/>
  <c r="B2492" i="3"/>
  <c r="A2493" i="3"/>
  <c r="B2493" i="3"/>
  <c r="A2494" i="3"/>
  <c r="B2494" i="3"/>
  <c r="A2495" i="3"/>
  <c r="B2495" i="3"/>
  <c r="A2496" i="3"/>
  <c r="B2496" i="3"/>
  <c r="A2497" i="3"/>
  <c r="B2497" i="3"/>
  <c r="A2498" i="3"/>
  <c r="B2498" i="3"/>
  <c r="A2499" i="3"/>
  <c r="B2499" i="3"/>
  <c r="A2500" i="3"/>
  <c r="B2500" i="3"/>
  <c r="A2501" i="3"/>
  <c r="B2501" i="3"/>
  <c r="A2502" i="3"/>
  <c r="B2502" i="3"/>
  <c r="A2503" i="3"/>
  <c r="B2503" i="3"/>
  <c r="A2504" i="3"/>
  <c r="B2504" i="3"/>
  <c r="A2505" i="3"/>
  <c r="B2505" i="3"/>
  <c r="A2506" i="3"/>
  <c r="B2506" i="3"/>
  <c r="A2507" i="3"/>
  <c r="B2507" i="3"/>
  <c r="A2508" i="3"/>
  <c r="B2508" i="3"/>
  <c r="A2509" i="3"/>
  <c r="B2509" i="3"/>
  <c r="A2510" i="3"/>
  <c r="B2510" i="3"/>
  <c r="A2511" i="3"/>
  <c r="B2511" i="3"/>
  <c r="A2512" i="3"/>
  <c r="B2512" i="3"/>
  <c r="A2513" i="3"/>
  <c r="B2513" i="3"/>
  <c r="A2514" i="3"/>
  <c r="B2514" i="3"/>
  <c r="A2515" i="3"/>
  <c r="B2515" i="3"/>
  <c r="A2516" i="3"/>
  <c r="B2516" i="3"/>
  <c r="A2517" i="3"/>
  <c r="B2517" i="3"/>
  <c r="A2518" i="3"/>
  <c r="B2518" i="3"/>
  <c r="A2519" i="3"/>
  <c r="B2519" i="3"/>
  <c r="A2520" i="3"/>
  <c r="B2520" i="3"/>
  <c r="A2521" i="3"/>
  <c r="B2521" i="3"/>
  <c r="A2522" i="3"/>
  <c r="B2522" i="3"/>
  <c r="A2523" i="3"/>
  <c r="B2523" i="3"/>
  <c r="A2524" i="3"/>
  <c r="B2524" i="3"/>
  <c r="A2525" i="3"/>
  <c r="B2525" i="3"/>
  <c r="A2526" i="3"/>
  <c r="B2526" i="3"/>
  <c r="A2527" i="3"/>
  <c r="B2527" i="3"/>
  <c r="A2528" i="3"/>
  <c r="B2528" i="3"/>
  <c r="A2529" i="3"/>
  <c r="B2529" i="3"/>
  <c r="A2530" i="3"/>
  <c r="B2530" i="3"/>
  <c r="A2531" i="3"/>
  <c r="B2531" i="3"/>
  <c r="A2532" i="3"/>
  <c r="B2532" i="3"/>
  <c r="A2533" i="3"/>
  <c r="B2533" i="3"/>
  <c r="A2534" i="3"/>
  <c r="B2534" i="3"/>
  <c r="A2535" i="3"/>
  <c r="B2535" i="3"/>
  <c r="A2536" i="3"/>
  <c r="B2536" i="3"/>
  <c r="A2537" i="3"/>
  <c r="B2537" i="3"/>
  <c r="A2538" i="3"/>
  <c r="B2538" i="3"/>
  <c r="A2539" i="3"/>
  <c r="B2539" i="3"/>
  <c r="A2540" i="3"/>
  <c r="B2540" i="3"/>
  <c r="A2541" i="3"/>
  <c r="B2541" i="3"/>
  <c r="A2542" i="3"/>
  <c r="B2542" i="3"/>
  <c r="A2543" i="3"/>
  <c r="B2543" i="3"/>
  <c r="A2544" i="3"/>
  <c r="B2544" i="3"/>
  <c r="A2545" i="3"/>
  <c r="B2545" i="3"/>
  <c r="A2546" i="3"/>
  <c r="B2546" i="3"/>
  <c r="A2547" i="3"/>
  <c r="B2547" i="3"/>
  <c r="A2548" i="3"/>
  <c r="B2548" i="3"/>
  <c r="A2549" i="3"/>
  <c r="B2549" i="3"/>
  <c r="A2550" i="3"/>
  <c r="B2550" i="3"/>
  <c r="A2551" i="3"/>
  <c r="B2551" i="3"/>
  <c r="A2552" i="3"/>
  <c r="B2552" i="3"/>
  <c r="A2553" i="3"/>
  <c r="B2553" i="3"/>
  <c r="A2554" i="3"/>
  <c r="B2554" i="3"/>
  <c r="A2555" i="3"/>
  <c r="B2555" i="3"/>
  <c r="A2556" i="3"/>
  <c r="B2556" i="3"/>
  <c r="A2557" i="3"/>
  <c r="B2557" i="3"/>
  <c r="A2558" i="3"/>
  <c r="B2558" i="3"/>
  <c r="A2559" i="3"/>
  <c r="B2559" i="3"/>
  <c r="A2560" i="3"/>
  <c r="B2560" i="3"/>
  <c r="A2561" i="3"/>
  <c r="B2561" i="3"/>
  <c r="A2562" i="3"/>
  <c r="B2562" i="3"/>
  <c r="A2563" i="3"/>
  <c r="B2563" i="3"/>
  <c r="A2564" i="3"/>
  <c r="B2564" i="3"/>
  <c r="A2565" i="3"/>
  <c r="B2565" i="3"/>
  <c r="A2566" i="3"/>
  <c r="B2566" i="3"/>
  <c r="A2567" i="3"/>
  <c r="B2567" i="3"/>
  <c r="A2568" i="3"/>
  <c r="B2568" i="3"/>
  <c r="A2569" i="3"/>
  <c r="B2569" i="3"/>
  <c r="A2570" i="3"/>
  <c r="B2570" i="3"/>
  <c r="A2571" i="3"/>
  <c r="B2571" i="3"/>
  <c r="A2572" i="3"/>
  <c r="B2572" i="3"/>
  <c r="A2573" i="3"/>
  <c r="B2573" i="3"/>
  <c r="A2574" i="3"/>
  <c r="B2574" i="3"/>
  <c r="A2575" i="3"/>
  <c r="B2575" i="3"/>
  <c r="A2576" i="3"/>
  <c r="B2576" i="3"/>
  <c r="A2577" i="3"/>
  <c r="B2577" i="3"/>
  <c r="A2578" i="3"/>
  <c r="B2578" i="3"/>
  <c r="A2579" i="3"/>
  <c r="B2579" i="3"/>
  <c r="A2580" i="3"/>
  <c r="B2580" i="3"/>
  <c r="A2581" i="3"/>
  <c r="B2581" i="3"/>
  <c r="A2582" i="3"/>
  <c r="B2582" i="3"/>
  <c r="A2583" i="3"/>
  <c r="B2583" i="3"/>
  <c r="A2584" i="3"/>
  <c r="B2584" i="3"/>
  <c r="A2585" i="3"/>
  <c r="B2585" i="3"/>
  <c r="A2586" i="3"/>
  <c r="B2586" i="3"/>
  <c r="A2587" i="3"/>
  <c r="B2587" i="3"/>
  <c r="A2588" i="3"/>
  <c r="B2588" i="3"/>
  <c r="A2589" i="3"/>
  <c r="B2589" i="3"/>
  <c r="A2590" i="3"/>
  <c r="B2590" i="3"/>
  <c r="A2591" i="3"/>
  <c r="B2591" i="3"/>
  <c r="A2592" i="3"/>
  <c r="B2592" i="3"/>
  <c r="A2593" i="3"/>
  <c r="B2593" i="3"/>
  <c r="A2594" i="3"/>
  <c r="B2594" i="3"/>
  <c r="A2595" i="3"/>
  <c r="B2595" i="3"/>
  <c r="A2596" i="3"/>
  <c r="B2596" i="3"/>
  <c r="A2597" i="3"/>
  <c r="B2597" i="3"/>
  <c r="A2598" i="3"/>
  <c r="B2598" i="3"/>
  <c r="A2599" i="3"/>
  <c r="B2599" i="3"/>
  <c r="A2600" i="3"/>
  <c r="B2600" i="3"/>
  <c r="A2601" i="3"/>
  <c r="B2601" i="3"/>
  <c r="A2602" i="3"/>
  <c r="B2602" i="3"/>
  <c r="A2603" i="3"/>
  <c r="B2603" i="3"/>
  <c r="A2604" i="3"/>
  <c r="B2604" i="3"/>
  <c r="A2605" i="3"/>
  <c r="B2605" i="3"/>
  <c r="A2606" i="3"/>
  <c r="B2606" i="3"/>
  <c r="A2607" i="3"/>
  <c r="B2607" i="3"/>
  <c r="A2608" i="3"/>
  <c r="B2608" i="3"/>
  <c r="A2609" i="3"/>
  <c r="B2609" i="3"/>
  <c r="A2610" i="3"/>
  <c r="B2610" i="3"/>
  <c r="A2611" i="3"/>
  <c r="B2611" i="3"/>
  <c r="A2612" i="3"/>
  <c r="B2612" i="3"/>
  <c r="A2613" i="3"/>
  <c r="B2613" i="3"/>
  <c r="A2614" i="3"/>
  <c r="B2614" i="3"/>
  <c r="A2615" i="3"/>
  <c r="B2615" i="3"/>
  <c r="A2616" i="3"/>
  <c r="B2616" i="3"/>
  <c r="A2617" i="3"/>
  <c r="B2617" i="3"/>
  <c r="A2618" i="3"/>
  <c r="B2618" i="3"/>
  <c r="A2619" i="3"/>
  <c r="B2619" i="3"/>
  <c r="A2620" i="3"/>
  <c r="B2620" i="3"/>
  <c r="A2621" i="3"/>
  <c r="B2621" i="3"/>
  <c r="A2622" i="3"/>
  <c r="B2622" i="3"/>
  <c r="A2623" i="3"/>
  <c r="B2623" i="3"/>
  <c r="A2624" i="3"/>
  <c r="B2624" i="3"/>
  <c r="A2625" i="3"/>
  <c r="B2625" i="3"/>
  <c r="A2626" i="3"/>
  <c r="B2626" i="3"/>
  <c r="A2627" i="3"/>
  <c r="B2627" i="3"/>
  <c r="A2628" i="3"/>
  <c r="B2628" i="3"/>
  <c r="A2629" i="3"/>
  <c r="B2629" i="3"/>
  <c r="A2630" i="3"/>
  <c r="B2630" i="3"/>
  <c r="A2631" i="3"/>
  <c r="B2631" i="3"/>
  <c r="A2632" i="3"/>
  <c r="B2632" i="3"/>
  <c r="A2633" i="3"/>
  <c r="B2633" i="3"/>
  <c r="A2634" i="3"/>
  <c r="B2634" i="3"/>
  <c r="A2635" i="3"/>
  <c r="B2635" i="3"/>
  <c r="A2636" i="3"/>
  <c r="B2636" i="3"/>
  <c r="A2637" i="3"/>
  <c r="B2637" i="3"/>
  <c r="A2638" i="3"/>
  <c r="B2638" i="3"/>
  <c r="A2639" i="3"/>
  <c r="B2639" i="3"/>
  <c r="A2640" i="3"/>
  <c r="B2640" i="3"/>
  <c r="A2641" i="3"/>
  <c r="B2641" i="3"/>
  <c r="A2642" i="3"/>
  <c r="B2642" i="3"/>
  <c r="A2643" i="3"/>
  <c r="B2643" i="3"/>
  <c r="A2644" i="3"/>
  <c r="B2644" i="3"/>
  <c r="A2645" i="3"/>
  <c r="B2645" i="3"/>
  <c r="A2646" i="3"/>
  <c r="B2646" i="3"/>
  <c r="A2647" i="3"/>
  <c r="B2647" i="3"/>
  <c r="A2648" i="3"/>
  <c r="B2648" i="3"/>
  <c r="A2649" i="3"/>
  <c r="B2649" i="3"/>
  <c r="A2650" i="3"/>
  <c r="B2650" i="3"/>
  <c r="A2651" i="3"/>
  <c r="B2651" i="3"/>
  <c r="A2652" i="3"/>
  <c r="B2652" i="3"/>
  <c r="A2653" i="3"/>
  <c r="B2653" i="3"/>
  <c r="A2654" i="3"/>
  <c r="B2654" i="3"/>
  <c r="A2655" i="3"/>
  <c r="B2655" i="3"/>
  <c r="A2656" i="3"/>
  <c r="B2656" i="3"/>
  <c r="A2657" i="3"/>
  <c r="B2657" i="3"/>
  <c r="A2658" i="3"/>
  <c r="B2658" i="3"/>
  <c r="A2659" i="3"/>
  <c r="B2659" i="3"/>
  <c r="A2660" i="3"/>
  <c r="B2660" i="3"/>
  <c r="A2661" i="3"/>
  <c r="B2661" i="3"/>
  <c r="A2662" i="3"/>
  <c r="B2662" i="3"/>
  <c r="A2663" i="3"/>
  <c r="B2663" i="3"/>
  <c r="A2664" i="3"/>
  <c r="B2664" i="3"/>
  <c r="A2665" i="3"/>
  <c r="B2665" i="3"/>
  <c r="A2666" i="3"/>
  <c r="B2666" i="3"/>
  <c r="A2667" i="3"/>
  <c r="B2667" i="3"/>
  <c r="A2668" i="3"/>
  <c r="B2668" i="3"/>
  <c r="A2669" i="3"/>
  <c r="B2669" i="3"/>
  <c r="A2670" i="3"/>
  <c r="B2670" i="3"/>
  <c r="A2671" i="3"/>
  <c r="B2671" i="3"/>
  <c r="A2672" i="3"/>
  <c r="B2672" i="3"/>
  <c r="A2673" i="3"/>
  <c r="B2673" i="3"/>
  <c r="A2674" i="3"/>
  <c r="B2674" i="3"/>
  <c r="A2675" i="3"/>
  <c r="B2675" i="3"/>
  <c r="A2676" i="3"/>
  <c r="B2676" i="3"/>
  <c r="A2677" i="3"/>
  <c r="B2677" i="3"/>
  <c r="A2678" i="3"/>
  <c r="B2678" i="3"/>
  <c r="A2679" i="3"/>
  <c r="B2679" i="3"/>
  <c r="A2680" i="3"/>
  <c r="B2680" i="3"/>
  <c r="A2681" i="3"/>
  <c r="B2681" i="3"/>
  <c r="A2682" i="3"/>
  <c r="B2682" i="3"/>
  <c r="A2683" i="3"/>
  <c r="B2683" i="3"/>
  <c r="A2684" i="3"/>
  <c r="B2684" i="3"/>
  <c r="A2685" i="3"/>
  <c r="B2685" i="3"/>
  <c r="A2686" i="3"/>
  <c r="B2686" i="3"/>
  <c r="A2687" i="3"/>
  <c r="B2687" i="3"/>
  <c r="A2688" i="3"/>
  <c r="B2688" i="3"/>
  <c r="A2689" i="3"/>
  <c r="B2689" i="3"/>
  <c r="A2690" i="3"/>
  <c r="B2690" i="3"/>
  <c r="A2691" i="3"/>
  <c r="B2691" i="3"/>
  <c r="A2692" i="3"/>
  <c r="B2692" i="3"/>
  <c r="A2693" i="3"/>
  <c r="B2693" i="3"/>
  <c r="A2694" i="3"/>
  <c r="B2694" i="3"/>
  <c r="A2695" i="3"/>
  <c r="B2695" i="3"/>
  <c r="A2696" i="3"/>
  <c r="B2696" i="3"/>
  <c r="A2697" i="3"/>
  <c r="B2697" i="3"/>
  <c r="A2698" i="3"/>
  <c r="B2698" i="3"/>
  <c r="A2699" i="3"/>
  <c r="B2699" i="3"/>
  <c r="A2700" i="3"/>
  <c r="B2700" i="3"/>
  <c r="A2701" i="3"/>
  <c r="B2701" i="3"/>
  <c r="A2702" i="3"/>
  <c r="B2702" i="3"/>
  <c r="A2703" i="3"/>
  <c r="B2703" i="3"/>
  <c r="A2704" i="3"/>
  <c r="B2704" i="3"/>
  <c r="A2705" i="3"/>
  <c r="B2705" i="3"/>
  <c r="A2706" i="3"/>
  <c r="B2706" i="3"/>
  <c r="A2707" i="3"/>
  <c r="B2707" i="3"/>
  <c r="A2708" i="3"/>
  <c r="B2708" i="3"/>
  <c r="A2709" i="3"/>
  <c r="B2709" i="3"/>
  <c r="A2710" i="3"/>
  <c r="B2710" i="3"/>
  <c r="A2711" i="3"/>
  <c r="B2711" i="3"/>
  <c r="A2712" i="3"/>
  <c r="B2712" i="3"/>
  <c r="A2713" i="3"/>
  <c r="B2713" i="3"/>
  <c r="A2714" i="3"/>
  <c r="B2714" i="3"/>
  <c r="A2715" i="3"/>
  <c r="B2715" i="3"/>
  <c r="A2716" i="3"/>
  <c r="B2716" i="3"/>
  <c r="A2717" i="3"/>
  <c r="B2717" i="3"/>
  <c r="A2718" i="3"/>
  <c r="B2718" i="3"/>
  <c r="A2719" i="3"/>
  <c r="B2719" i="3"/>
  <c r="A2720" i="3"/>
  <c r="B2720" i="3"/>
  <c r="A2721" i="3"/>
  <c r="B2721" i="3"/>
  <c r="A2722" i="3"/>
  <c r="B2722" i="3"/>
  <c r="A2723" i="3"/>
  <c r="B2723" i="3"/>
  <c r="A2724" i="3"/>
  <c r="B2724" i="3"/>
  <c r="A2725" i="3"/>
  <c r="B2725" i="3"/>
  <c r="A2726" i="3"/>
  <c r="B2726" i="3"/>
  <c r="A2727" i="3"/>
  <c r="B2727" i="3"/>
  <c r="A2728" i="3"/>
  <c r="B2728" i="3"/>
  <c r="A2729" i="3"/>
  <c r="B2729" i="3"/>
  <c r="A2730" i="3"/>
  <c r="B2730" i="3"/>
  <c r="A2731" i="3"/>
  <c r="B2731" i="3"/>
  <c r="A2732" i="3"/>
  <c r="B2732" i="3"/>
  <c r="A2733" i="3"/>
  <c r="B2733" i="3"/>
  <c r="A2734" i="3"/>
  <c r="B2734" i="3"/>
  <c r="A2735" i="3"/>
  <c r="B2735" i="3"/>
  <c r="A2736" i="3"/>
  <c r="B2736" i="3"/>
  <c r="A2737" i="3"/>
  <c r="B2737" i="3"/>
  <c r="A2738" i="3"/>
  <c r="B2738" i="3"/>
  <c r="A2739" i="3"/>
  <c r="B2739" i="3"/>
  <c r="A2740" i="3"/>
  <c r="B2740" i="3"/>
  <c r="A2741" i="3"/>
  <c r="B2741" i="3"/>
  <c r="A2742" i="3"/>
  <c r="B2742" i="3"/>
  <c r="A2743" i="3"/>
  <c r="B2743" i="3"/>
  <c r="A2744" i="3"/>
  <c r="B2744" i="3"/>
  <c r="A2745" i="3"/>
  <c r="B2745" i="3"/>
  <c r="A2746" i="3"/>
  <c r="B2746" i="3"/>
  <c r="A2747" i="3"/>
  <c r="B2747" i="3"/>
  <c r="A2748" i="3"/>
  <c r="B2748" i="3"/>
  <c r="A2749" i="3"/>
  <c r="B2749" i="3"/>
  <c r="A2750" i="3"/>
  <c r="B2750" i="3"/>
  <c r="A2751" i="3"/>
  <c r="B2751" i="3"/>
  <c r="A2752" i="3"/>
  <c r="B2752" i="3"/>
  <c r="A2753" i="3"/>
  <c r="B2753" i="3"/>
  <c r="A2754" i="3"/>
  <c r="B2754" i="3"/>
  <c r="A2755" i="3"/>
  <c r="B2755" i="3"/>
  <c r="A2756" i="3"/>
  <c r="B2756" i="3"/>
  <c r="A2757" i="3"/>
  <c r="B2757" i="3"/>
  <c r="A2758" i="3"/>
  <c r="B2758" i="3"/>
  <c r="A2759" i="3"/>
  <c r="B2759" i="3"/>
  <c r="A2760" i="3"/>
  <c r="B2760" i="3"/>
  <c r="A2761" i="3"/>
  <c r="B2761" i="3"/>
  <c r="A2762" i="3"/>
  <c r="B2762" i="3"/>
  <c r="A2763" i="3"/>
  <c r="B2763" i="3"/>
  <c r="A2764" i="3"/>
  <c r="B2764" i="3"/>
  <c r="A2765" i="3"/>
  <c r="B2765" i="3"/>
  <c r="A2766" i="3"/>
  <c r="B2766" i="3"/>
  <c r="A2767" i="3"/>
  <c r="B2767" i="3"/>
  <c r="A2768" i="3"/>
  <c r="B2768" i="3"/>
  <c r="A2769" i="3"/>
  <c r="B2769" i="3"/>
  <c r="A2770" i="3"/>
  <c r="B2770" i="3"/>
  <c r="A2771" i="3"/>
  <c r="B2771" i="3"/>
  <c r="A2772" i="3"/>
  <c r="B2772" i="3"/>
  <c r="A2773" i="3"/>
  <c r="B2773" i="3"/>
  <c r="A2774" i="3"/>
  <c r="B2774" i="3"/>
  <c r="A2775" i="3"/>
  <c r="B2775" i="3"/>
  <c r="A2776" i="3"/>
  <c r="B2776" i="3"/>
  <c r="A2777" i="3"/>
  <c r="B2777" i="3"/>
  <c r="A2778" i="3"/>
  <c r="B2778" i="3"/>
  <c r="A2779" i="3"/>
  <c r="B2779" i="3"/>
  <c r="A2780" i="3"/>
  <c r="B2780" i="3"/>
  <c r="A2781" i="3"/>
  <c r="B2781" i="3"/>
  <c r="A2782" i="3"/>
  <c r="B2782" i="3"/>
  <c r="A2783" i="3"/>
  <c r="B2783" i="3"/>
  <c r="A2784" i="3"/>
  <c r="B2784" i="3"/>
  <c r="A2785" i="3"/>
  <c r="B2785" i="3"/>
  <c r="A2786" i="3"/>
  <c r="B2786" i="3"/>
  <c r="A2787" i="3"/>
  <c r="B2787" i="3"/>
  <c r="A2788" i="3"/>
  <c r="B2788" i="3"/>
  <c r="A2789" i="3"/>
  <c r="B2789" i="3"/>
  <c r="A2790" i="3"/>
  <c r="B2790" i="3"/>
  <c r="A2791" i="3"/>
  <c r="B2791" i="3"/>
  <c r="A2792" i="3"/>
  <c r="B2792" i="3"/>
  <c r="A2793" i="3"/>
  <c r="B2793" i="3"/>
  <c r="A2794" i="3"/>
  <c r="B2794" i="3"/>
  <c r="A2795" i="3"/>
  <c r="B2795" i="3"/>
  <c r="A2796" i="3"/>
  <c r="B2796" i="3"/>
  <c r="A2797" i="3"/>
  <c r="B2797" i="3"/>
  <c r="A2798" i="3"/>
  <c r="B2798" i="3"/>
  <c r="A2799" i="3"/>
  <c r="B2799" i="3"/>
  <c r="A2800" i="3"/>
  <c r="B2800" i="3"/>
  <c r="A2801" i="3"/>
  <c r="B2801" i="3"/>
  <c r="A2802" i="3"/>
  <c r="B2802" i="3"/>
  <c r="A2803" i="3"/>
  <c r="B2803" i="3"/>
  <c r="A2804" i="3"/>
  <c r="B2804" i="3"/>
  <c r="A2805" i="3"/>
  <c r="B2805" i="3"/>
  <c r="A2806" i="3"/>
  <c r="B2806" i="3"/>
  <c r="A2807" i="3"/>
  <c r="B2807" i="3"/>
  <c r="A2808" i="3"/>
  <c r="B2808" i="3"/>
  <c r="A2809" i="3"/>
  <c r="B2809" i="3"/>
  <c r="A2810" i="3"/>
  <c r="B2810" i="3"/>
  <c r="A2811" i="3"/>
  <c r="B2811" i="3"/>
  <c r="A2812" i="3"/>
  <c r="B2812" i="3"/>
  <c r="A2813" i="3"/>
  <c r="B2813" i="3"/>
  <c r="A2814" i="3"/>
  <c r="B2814" i="3"/>
  <c r="A2815" i="3"/>
  <c r="B2815" i="3"/>
  <c r="A2816" i="3"/>
  <c r="B2816" i="3"/>
  <c r="A2817" i="3"/>
  <c r="B2817" i="3"/>
  <c r="A2818" i="3"/>
  <c r="B2818" i="3"/>
  <c r="A2819" i="3"/>
  <c r="B2819" i="3"/>
  <c r="A2820" i="3"/>
  <c r="B2820" i="3"/>
  <c r="A2821" i="3"/>
  <c r="B2821" i="3"/>
  <c r="A2822" i="3"/>
  <c r="B2822" i="3"/>
  <c r="A2823" i="3"/>
  <c r="B2823" i="3"/>
  <c r="A2824" i="3"/>
  <c r="B2824" i="3"/>
  <c r="A2825" i="3"/>
  <c r="B2825" i="3"/>
  <c r="A2826" i="3"/>
  <c r="B2826" i="3"/>
  <c r="A2827" i="3"/>
  <c r="B2827" i="3"/>
  <c r="A2828" i="3"/>
  <c r="B2828" i="3"/>
  <c r="A2829" i="3"/>
  <c r="B2829" i="3"/>
  <c r="A2830" i="3"/>
  <c r="B2830" i="3"/>
  <c r="A2831" i="3"/>
  <c r="B2831" i="3"/>
  <c r="A2832" i="3"/>
  <c r="B2832" i="3"/>
  <c r="A2833" i="3"/>
  <c r="B2833" i="3"/>
  <c r="A2834" i="3"/>
  <c r="B2834" i="3"/>
  <c r="A2835" i="3"/>
  <c r="B2835" i="3"/>
  <c r="A2836" i="3"/>
  <c r="B2836" i="3"/>
  <c r="A2837" i="3"/>
  <c r="B2837" i="3"/>
  <c r="A2838" i="3"/>
  <c r="B2838" i="3"/>
  <c r="A2839" i="3"/>
  <c r="B2839" i="3"/>
  <c r="A2840" i="3"/>
  <c r="B2840" i="3"/>
  <c r="A2841" i="3"/>
  <c r="B2841" i="3"/>
  <c r="A2842" i="3"/>
  <c r="B2842" i="3"/>
  <c r="A2843" i="3"/>
  <c r="B2843" i="3"/>
  <c r="A2844" i="3"/>
  <c r="B2844" i="3"/>
  <c r="A2845" i="3"/>
  <c r="B2845" i="3"/>
  <c r="A2846" i="3"/>
  <c r="B2846" i="3"/>
  <c r="A2847" i="3"/>
  <c r="B2847" i="3"/>
  <c r="A2848" i="3"/>
  <c r="B2848" i="3"/>
  <c r="A2849" i="3"/>
  <c r="B2849" i="3"/>
  <c r="A2850" i="3"/>
  <c r="B2850" i="3"/>
  <c r="A2851" i="3"/>
  <c r="B2851" i="3"/>
  <c r="A2852" i="3"/>
  <c r="B2852" i="3"/>
  <c r="A2853" i="3"/>
  <c r="B2853" i="3"/>
  <c r="A2854" i="3"/>
  <c r="B2854" i="3"/>
  <c r="A2855" i="3"/>
  <c r="B2855" i="3"/>
  <c r="A2856" i="3"/>
  <c r="B2856" i="3"/>
  <c r="A2857" i="3"/>
  <c r="B2857" i="3"/>
  <c r="A2858" i="3"/>
  <c r="B2858" i="3"/>
  <c r="A2859" i="3"/>
  <c r="B2859" i="3"/>
  <c r="A2860" i="3"/>
  <c r="B2860" i="3"/>
  <c r="A2861" i="3"/>
  <c r="B2861" i="3"/>
  <c r="A2862" i="3"/>
  <c r="B2862" i="3"/>
  <c r="A2863" i="3"/>
  <c r="B2863" i="3"/>
  <c r="A2864" i="3"/>
  <c r="B2864" i="3"/>
  <c r="A2865" i="3"/>
  <c r="B2865" i="3"/>
  <c r="A2866" i="3"/>
  <c r="B2866" i="3"/>
  <c r="A2867" i="3"/>
  <c r="B2867" i="3"/>
  <c r="A2868" i="3"/>
  <c r="B2868" i="3"/>
  <c r="A2869" i="3"/>
  <c r="B2869" i="3"/>
  <c r="A2870" i="3"/>
  <c r="B2870" i="3"/>
  <c r="A2871" i="3"/>
  <c r="B2871" i="3"/>
  <c r="A2872" i="3"/>
  <c r="B2872" i="3"/>
  <c r="A2873" i="3"/>
  <c r="B2873" i="3"/>
  <c r="A2874" i="3"/>
  <c r="B2874" i="3"/>
  <c r="A2875" i="3"/>
  <c r="B2875" i="3"/>
  <c r="A2876" i="3"/>
  <c r="B2876" i="3"/>
  <c r="A2877" i="3"/>
  <c r="B2877" i="3"/>
  <c r="A2878" i="3"/>
  <c r="B2878" i="3"/>
  <c r="A2879" i="3"/>
  <c r="B2879" i="3"/>
  <c r="A2880" i="3"/>
  <c r="B2880" i="3"/>
  <c r="A2881" i="3"/>
  <c r="B2881" i="3"/>
  <c r="A2882" i="3"/>
  <c r="B2882" i="3"/>
  <c r="A2883" i="3"/>
  <c r="B2883" i="3"/>
  <c r="A2884" i="3"/>
  <c r="B2884" i="3"/>
  <c r="A2885" i="3"/>
  <c r="B2885" i="3"/>
  <c r="A2886" i="3"/>
  <c r="B2886" i="3"/>
  <c r="A2887" i="3"/>
  <c r="B2887" i="3"/>
  <c r="A2888" i="3"/>
  <c r="B2888" i="3"/>
  <c r="A2889" i="3"/>
  <c r="B2889" i="3"/>
  <c r="A2890" i="3"/>
  <c r="B2890" i="3"/>
  <c r="A2891" i="3"/>
  <c r="B2891" i="3"/>
  <c r="A2892" i="3"/>
  <c r="B2892" i="3"/>
  <c r="A2893" i="3"/>
  <c r="B2893" i="3"/>
  <c r="A2894" i="3"/>
  <c r="B2894" i="3"/>
  <c r="A2895" i="3"/>
  <c r="B2895" i="3"/>
  <c r="A2896" i="3"/>
  <c r="B2896" i="3"/>
  <c r="A2897" i="3"/>
  <c r="B2897" i="3"/>
  <c r="A2898" i="3"/>
  <c r="B2898" i="3"/>
  <c r="A2899" i="3"/>
  <c r="B2899" i="3"/>
  <c r="A2900" i="3"/>
  <c r="B2900" i="3"/>
  <c r="A2901" i="3"/>
  <c r="B2901" i="3"/>
  <c r="A2902" i="3"/>
  <c r="B2902" i="3"/>
  <c r="A2903" i="3"/>
  <c r="B2903" i="3"/>
  <c r="A2904" i="3"/>
  <c r="B2904" i="3"/>
  <c r="A2905" i="3"/>
  <c r="B2905" i="3"/>
  <c r="A2906" i="3"/>
  <c r="B2906" i="3"/>
  <c r="A2907" i="3"/>
  <c r="B2907" i="3"/>
  <c r="A2908" i="3"/>
  <c r="B2908" i="3"/>
  <c r="A2909" i="3"/>
  <c r="B2909" i="3"/>
  <c r="A2910" i="3"/>
  <c r="B2910" i="3"/>
  <c r="A2911" i="3"/>
  <c r="B2911" i="3"/>
  <c r="A2912" i="3"/>
  <c r="B2912" i="3"/>
  <c r="A2913" i="3"/>
  <c r="B2913" i="3"/>
  <c r="A2914" i="3"/>
  <c r="B2914" i="3"/>
  <c r="A2915" i="3"/>
  <c r="B2915" i="3"/>
  <c r="A2916" i="3"/>
  <c r="B2916" i="3"/>
  <c r="A2917" i="3"/>
  <c r="B2917" i="3"/>
  <c r="A2918" i="3"/>
  <c r="B2918" i="3"/>
  <c r="A2919" i="3"/>
  <c r="B2919" i="3"/>
  <c r="A2920" i="3"/>
  <c r="B2920" i="3"/>
  <c r="A2921" i="3"/>
  <c r="B2921" i="3"/>
  <c r="A2922" i="3"/>
  <c r="B2922" i="3"/>
  <c r="A2923" i="3"/>
  <c r="B2923" i="3"/>
  <c r="A2924" i="3"/>
  <c r="B2924" i="3"/>
  <c r="A2925" i="3"/>
  <c r="B2925" i="3"/>
  <c r="A2926" i="3"/>
  <c r="B2926" i="3"/>
  <c r="A2927" i="3"/>
  <c r="B2927" i="3"/>
  <c r="A2928" i="3"/>
  <c r="B2928" i="3"/>
  <c r="A2929" i="3"/>
  <c r="B2929" i="3"/>
  <c r="A2930" i="3"/>
  <c r="B2930" i="3"/>
  <c r="A2931" i="3"/>
  <c r="B2931" i="3"/>
  <c r="A2932" i="3"/>
  <c r="B2932" i="3"/>
  <c r="A2933" i="3"/>
  <c r="B2933" i="3"/>
  <c r="A2934" i="3"/>
  <c r="B2934" i="3"/>
  <c r="A2935" i="3"/>
  <c r="B2935" i="3"/>
  <c r="A2936" i="3"/>
  <c r="B2936" i="3"/>
  <c r="A2937" i="3"/>
  <c r="B2937" i="3"/>
  <c r="A2938" i="3"/>
  <c r="B2938" i="3"/>
  <c r="A2939" i="3"/>
  <c r="B2939" i="3"/>
  <c r="A2940" i="3"/>
  <c r="B2940" i="3"/>
  <c r="A2941" i="3"/>
  <c r="B2941" i="3"/>
  <c r="A2942" i="3"/>
  <c r="B2942" i="3"/>
  <c r="A2943" i="3"/>
  <c r="B2943" i="3"/>
  <c r="A2944" i="3"/>
  <c r="B2944" i="3"/>
  <c r="A2945" i="3"/>
  <c r="B2945" i="3"/>
  <c r="A2946" i="3"/>
  <c r="B2946" i="3"/>
  <c r="A2947" i="3"/>
  <c r="B2947" i="3"/>
  <c r="A2948" i="3"/>
  <c r="B2948" i="3"/>
  <c r="A2949" i="3"/>
  <c r="B2949" i="3"/>
  <c r="A2950" i="3"/>
  <c r="B2950" i="3"/>
  <c r="A2951" i="3"/>
  <c r="B2951" i="3"/>
  <c r="A2952" i="3"/>
  <c r="B2952" i="3"/>
  <c r="A2953" i="3"/>
  <c r="B2953" i="3"/>
  <c r="A2954" i="3"/>
  <c r="B2954" i="3"/>
  <c r="A2955" i="3"/>
  <c r="B2955" i="3"/>
  <c r="A2956" i="3"/>
  <c r="B2956" i="3"/>
  <c r="A2957" i="3"/>
  <c r="B2957" i="3"/>
  <c r="A2958" i="3"/>
  <c r="B2958" i="3"/>
  <c r="A2959" i="3"/>
  <c r="B2959" i="3"/>
  <c r="A2960" i="3"/>
  <c r="B2960" i="3"/>
  <c r="A2961" i="3"/>
  <c r="B2961" i="3"/>
  <c r="A2962" i="3"/>
  <c r="B2962" i="3"/>
  <c r="A2963" i="3"/>
  <c r="B2963" i="3"/>
  <c r="A2964" i="3"/>
  <c r="B2964" i="3"/>
  <c r="A2965" i="3"/>
  <c r="B2965" i="3"/>
  <c r="A2966" i="3"/>
  <c r="B2966" i="3"/>
  <c r="A2967" i="3"/>
  <c r="B2967" i="3"/>
  <c r="A2968" i="3"/>
  <c r="B2968" i="3"/>
  <c r="A2969" i="3"/>
  <c r="B2969" i="3"/>
  <c r="A2970" i="3"/>
  <c r="B2970" i="3"/>
  <c r="A2971" i="3"/>
  <c r="B2971" i="3"/>
  <c r="A2972" i="3"/>
  <c r="B2972" i="3"/>
  <c r="A2973" i="3"/>
  <c r="B2973" i="3"/>
  <c r="A2974" i="3"/>
  <c r="B2974" i="3"/>
  <c r="A2975" i="3"/>
  <c r="B2975" i="3"/>
  <c r="A2976" i="3"/>
  <c r="B2976" i="3"/>
  <c r="A2977" i="3"/>
  <c r="B2977" i="3"/>
  <c r="A2978" i="3"/>
  <c r="B2978" i="3"/>
  <c r="A2979" i="3"/>
  <c r="B2979" i="3"/>
  <c r="A2980" i="3"/>
  <c r="B2980" i="3"/>
  <c r="A2981" i="3"/>
  <c r="B2981" i="3"/>
  <c r="A2982" i="3"/>
  <c r="B2982" i="3"/>
  <c r="A2983" i="3"/>
  <c r="B2983" i="3"/>
  <c r="A2984" i="3"/>
  <c r="B2984" i="3"/>
  <c r="A2985" i="3"/>
  <c r="B2985" i="3"/>
  <c r="A2986" i="3"/>
  <c r="B2986" i="3"/>
  <c r="A2987" i="3"/>
  <c r="B2987" i="3"/>
  <c r="A2988" i="3"/>
  <c r="B2988" i="3"/>
  <c r="A2989" i="3"/>
  <c r="B2989" i="3"/>
  <c r="A2990" i="3"/>
  <c r="B2990" i="3"/>
  <c r="A2991" i="3"/>
  <c r="B2991" i="3"/>
  <c r="A2992" i="3"/>
  <c r="B2992" i="3"/>
  <c r="A2993" i="3"/>
  <c r="B2993" i="3"/>
  <c r="A2994" i="3"/>
  <c r="B2994" i="3"/>
  <c r="A2995" i="3"/>
  <c r="B2995" i="3"/>
  <c r="A2996" i="3"/>
  <c r="B2996" i="3"/>
  <c r="A2997" i="3"/>
  <c r="B2997" i="3"/>
  <c r="A2998" i="3"/>
  <c r="B2998" i="3"/>
  <c r="A2999" i="3"/>
  <c r="B2999" i="3"/>
  <c r="A3000" i="3"/>
  <c r="B3000" i="3"/>
  <c r="A3001" i="3"/>
  <c r="B3001" i="3"/>
  <c r="A3002" i="3"/>
  <c r="B3002" i="3"/>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B751" i="2"/>
  <c r="A752" i="2"/>
  <c r="B752" i="2"/>
  <c r="A753" i="2"/>
  <c r="B753" i="2"/>
  <c r="A754" i="2"/>
  <c r="B754" i="2"/>
  <c r="A755" i="2"/>
  <c r="B755" i="2"/>
  <c r="A756" i="2"/>
  <c r="B756" i="2"/>
  <c r="A757" i="2"/>
  <c r="B757" i="2"/>
  <c r="A758" i="2"/>
  <c r="B758" i="2"/>
  <c r="A759" i="2"/>
  <c r="B759" i="2"/>
  <c r="A760" i="2"/>
  <c r="B760" i="2"/>
  <c r="A761" i="2"/>
  <c r="B761" i="2"/>
  <c r="A762" i="2"/>
  <c r="B762" i="2"/>
  <c r="A763" i="2"/>
  <c r="B763" i="2"/>
  <c r="A764" i="2"/>
  <c r="B764" i="2"/>
  <c r="A765" i="2"/>
  <c r="B765" i="2"/>
  <c r="A766" i="2"/>
  <c r="B766" i="2"/>
  <c r="A767" i="2"/>
  <c r="B767" i="2"/>
  <c r="A768" i="2"/>
  <c r="B768" i="2"/>
  <c r="A769" i="2"/>
  <c r="B769" i="2"/>
  <c r="A770" i="2"/>
  <c r="B770" i="2"/>
  <c r="A771" i="2"/>
  <c r="B771" i="2"/>
  <c r="A772" i="2"/>
  <c r="B772" i="2"/>
  <c r="A773" i="2"/>
  <c r="B773" i="2"/>
  <c r="A774" i="2"/>
  <c r="B774" i="2"/>
  <c r="A775" i="2"/>
  <c r="B775" i="2"/>
  <c r="A776" i="2"/>
  <c r="B776" i="2"/>
  <c r="A777" i="2"/>
  <c r="B777" i="2"/>
  <c r="A778" i="2"/>
  <c r="B778" i="2"/>
  <c r="A779" i="2"/>
  <c r="B779" i="2"/>
  <c r="A780" i="2"/>
  <c r="B780" i="2"/>
  <c r="A781" i="2"/>
  <c r="B781" i="2"/>
  <c r="A782" i="2"/>
  <c r="B782" i="2"/>
  <c r="A783" i="2"/>
  <c r="B783" i="2"/>
  <c r="A784" i="2"/>
  <c r="B784" i="2"/>
  <c r="A785" i="2"/>
  <c r="B785" i="2"/>
  <c r="A786" i="2"/>
  <c r="B786" i="2"/>
  <c r="A787" i="2"/>
  <c r="B787" i="2"/>
  <c r="A788" i="2"/>
  <c r="B788" i="2"/>
  <c r="A789" i="2"/>
  <c r="B789" i="2"/>
  <c r="A790" i="2"/>
  <c r="B790" i="2"/>
  <c r="A791" i="2"/>
  <c r="B791" i="2"/>
  <c r="A792" i="2"/>
  <c r="B792" i="2"/>
  <c r="A793" i="2"/>
  <c r="B793" i="2"/>
  <c r="A794" i="2"/>
  <c r="B794" i="2"/>
  <c r="A795" i="2"/>
  <c r="B795" i="2"/>
  <c r="A796" i="2"/>
  <c r="B796" i="2"/>
  <c r="A797" i="2"/>
  <c r="B797" i="2"/>
  <c r="A798" i="2"/>
  <c r="B798" i="2"/>
  <c r="A799" i="2"/>
  <c r="B799" i="2"/>
  <c r="A800" i="2"/>
  <c r="B800" i="2"/>
  <c r="A801" i="2"/>
  <c r="B801" i="2"/>
  <c r="A802" i="2"/>
  <c r="B802" i="2"/>
  <c r="A803" i="2"/>
  <c r="B803" i="2"/>
  <c r="A804" i="2"/>
  <c r="B804" i="2"/>
  <c r="A805" i="2"/>
  <c r="B805" i="2"/>
  <c r="A806" i="2"/>
  <c r="B806" i="2"/>
  <c r="A807" i="2"/>
  <c r="B807" i="2"/>
  <c r="A808" i="2"/>
  <c r="B808" i="2"/>
  <c r="A809" i="2"/>
  <c r="B809" i="2"/>
  <c r="A810" i="2"/>
  <c r="B810" i="2"/>
  <c r="A811" i="2"/>
  <c r="B811" i="2"/>
  <c r="A812" i="2"/>
  <c r="B812" i="2"/>
  <c r="A813" i="2"/>
  <c r="B813" i="2"/>
  <c r="A814" i="2"/>
  <c r="B814" i="2"/>
  <c r="A815" i="2"/>
  <c r="B815" i="2"/>
  <c r="A816" i="2"/>
  <c r="B816" i="2"/>
  <c r="A817" i="2"/>
  <c r="B817" i="2"/>
  <c r="A818" i="2"/>
  <c r="B818" i="2"/>
  <c r="A819" i="2"/>
  <c r="B819" i="2"/>
  <c r="A820" i="2"/>
  <c r="B820" i="2"/>
  <c r="A821" i="2"/>
  <c r="B821" i="2"/>
  <c r="A822" i="2"/>
  <c r="B822" i="2"/>
  <c r="A823" i="2"/>
  <c r="B823" i="2"/>
  <c r="A824" i="2"/>
  <c r="B824" i="2"/>
  <c r="A825" i="2"/>
  <c r="B825" i="2"/>
  <c r="A826" i="2"/>
  <c r="B826" i="2"/>
  <c r="A827" i="2"/>
  <c r="B827" i="2"/>
  <c r="A828" i="2"/>
  <c r="B828" i="2"/>
  <c r="A829" i="2"/>
  <c r="B829" i="2"/>
  <c r="A830" i="2"/>
  <c r="B830" i="2"/>
  <c r="A831" i="2"/>
  <c r="B831" i="2"/>
  <c r="A832" i="2"/>
  <c r="B832" i="2"/>
  <c r="A833" i="2"/>
  <c r="B833" i="2"/>
  <c r="A834" i="2"/>
  <c r="B834" i="2"/>
  <c r="A835" i="2"/>
  <c r="B835" i="2"/>
  <c r="A836" i="2"/>
  <c r="B836" i="2"/>
  <c r="A837" i="2"/>
  <c r="B837" i="2"/>
  <c r="A838" i="2"/>
  <c r="B838" i="2"/>
  <c r="A839" i="2"/>
  <c r="B839" i="2"/>
  <c r="A840" i="2"/>
  <c r="B840" i="2"/>
  <c r="A841" i="2"/>
  <c r="B841" i="2"/>
  <c r="A842" i="2"/>
  <c r="B842" i="2"/>
  <c r="A843" i="2"/>
  <c r="B843" i="2"/>
  <c r="A844" i="2"/>
  <c r="B844" i="2"/>
  <c r="A845" i="2"/>
  <c r="B845" i="2"/>
  <c r="A846" i="2"/>
  <c r="B846" i="2"/>
  <c r="A847" i="2"/>
  <c r="B847" i="2"/>
  <c r="A848" i="2"/>
  <c r="B848" i="2"/>
  <c r="A849" i="2"/>
  <c r="B849" i="2"/>
  <c r="A850" i="2"/>
  <c r="B850" i="2"/>
  <c r="A851" i="2"/>
  <c r="B851" i="2"/>
  <c r="A852" i="2"/>
  <c r="B852" i="2"/>
  <c r="A853" i="2"/>
  <c r="B853" i="2"/>
  <c r="A854" i="2"/>
  <c r="B854" i="2"/>
  <c r="A855" i="2"/>
  <c r="B855" i="2"/>
  <c r="A856" i="2"/>
  <c r="B856" i="2"/>
  <c r="A857" i="2"/>
  <c r="B857" i="2"/>
  <c r="A858" i="2"/>
  <c r="B858" i="2"/>
  <c r="A859" i="2"/>
  <c r="B859" i="2"/>
  <c r="A860" i="2"/>
  <c r="B860" i="2"/>
  <c r="A861" i="2"/>
  <c r="B861" i="2"/>
  <c r="A862" i="2"/>
  <c r="B862" i="2"/>
  <c r="A863" i="2"/>
  <c r="B863" i="2"/>
  <c r="A864" i="2"/>
  <c r="B864" i="2"/>
  <c r="A865" i="2"/>
  <c r="B865" i="2"/>
  <c r="A866" i="2"/>
  <c r="B866" i="2"/>
  <c r="A867" i="2"/>
  <c r="B867" i="2"/>
  <c r="A868" i="2"/>
  <c r="B868" i="2"/>
  <c r="A869" i="2"/>
  <c r="B869" i="2"/>
  <c r="A870" i="2"/>
  <c r="B870" i="2"/>
  <c r="A871" i="2"/>
  <c r="B871" i="2"/>
  <c r="A872" i="2"/>
  <c r="B872" i="2"/>
  <c r="A873" i="2"/>
  <c r="B873" i="2"/>
  <c r="A874" i="2"/>
  <c r="B874" i="2"/>
  <c r="A875" i="2"/>
  <c r="B875" i="2"/>
  <c r="A876" i="2"/>
  <c r="B876" i="2"/>
  <c r="A877" i="2"/>
  <c r="B877" i="2"/>
  <c r="A878" i="2"/>
  <c r="B878" i="2"/>
  <c r="A879" i="2"/>
  <c r="B879" i="2"/>
  <c r="A880" i="2"/>
  <c r="B880" i="2"/>
  <c r="A881" i="2"/>
  <c r="B881" i="2"/>
  <c r="A882" i="2"/>
  <c r="B882" i="2"/>
  <c r="A883" i="2"/>
  <c r="B883" i="2"/>
  <c r="A884" i="2"/>
  <c r="B884" i="2"/>
  <c r="A885" i="2"/>
  <c r="B885" i="2"/>
  <c r="A886" i="2"/>
  <c r="B886" i="2"/>
  <c r="A887" i="2"/>
  <c r="B887" i="2"/>
  <c r="A888" i="2"/>
  <c r="B888" i="2"/>
  <c r="A889" i="2"/>
  <c r="B889" i="2"/>
  <c r="A890" i="2"/>
  <c r="B890" i="2"/>
  <c r="A891" i="2"/>
  <c r="B891" i="2"/>
  <c r="A892" i="2"/>
  <c r="B892" i="2"/>
  <c r="A893" i="2"/>
  <c r="B893" i="2"/>
  <c r="A894" i="2"/>
  <c r="B894" i="2"/>
  <c r="A895" i="2"/>
  <c r="B895" i="2"/>
  <c r="A896" i="2"/>
  <c r="B896" i="2"/>
  <c r="A897" i="2"/>
  <c r="B897" i="2"/>
  <c r="A898" i="2"/>
  <c r="B898" i="2"/>
  <c r="A899" i="2"/>
  <c r="B899" i="2"/>
  <c r="A900" i="2"/>
  <c r="B900" i="2"/>
  <c r="A901" i="2"/>
  <c r="B901" i="2"/>
  <c r="A902" i="2"/>
  <c r="B902" i="2"/>
  <c r="A903" i="2"/>
  <c r="B903" i="2"/>
  <c r="A904" i="2"/>
  <c r="B904" i="2"/>
  <c r="A905" i="2"/>
  <c r="B905" i="2"/>
  <c r="A906" i="2"/>
  <c r="B906" i="2"/>
  <c r="A907" i="2"/>
  <c r="B907" i="2"/>
  <c r="A908" i="2"/>
  <c r="B908" i="2"/>
  <c r="A909" i="2"/>
  <c r="B909" i="2"/>
  <c r="A910" i="2"/>
  <c r="B910" i="2"/>
  <c r="A911" i="2"/>
  <c r="B911" i="2"/>
  <c r="A912" i="2"/>
  <c r="B912" i="2"/>
  <c r="A913" i="2"/>
  <c r="B913" i="2"/>
  <c r="A914" i="2"/>
  <c r="B914" i="2"/>
  <c r="A915" i="2"/>
  <c r="B915" i="2"/>
  <c r="A916" i="2"/>
  <c r="B916" i="2"/>
  <c r="A917" i="2"/>
  <c r="B917" i="2"/>
  <c r="A918" i="2"/>
  <c r="B918" i="2"/>
  <c r="A919" i="2"/>
  <c r="B919" i="2"/>
  <c r="A920" i="2"/>
  <c r="B920" i="2"/>
  <c r="A921" i="2"/>
  <c r="B921" i="2"/>
  <c r="A922" i="2"/>
  <c r="B922" i="2"/>
  <c r="A923" i="2"/>
  <c r="B923" i="2"/>
  <c r="A924" i="2"/>
  <c r="B924" i="2"/>
  <c r="A925" i="2"/>
  <c r="B925" i="2"/>
  <c r="A926" i="2"/>
  <c r="B926" i="2"/>
  <c r="A927" i="2"/>
  <c r="B927" i="2"/>
  <c r="A928" i="2"/>
  <c r="B928" i="2"/>
  <c r="A929" i="2"/>
  <c r="B929" i="2"/>
  <c r="A930" i="2"/>
  <c r="B930" i="2"/>
  <c r="A931" i="2"/>
  <c r="B931" i="2"/>
  <c r="A932" i="2"/>
  <c r="B932" i="2"/>
  <c r="A933" i="2"/>
  <c r="B933" i="2"/>
  <c r="A934" i="2"/>
  <c r="B934" i="2"/>
  <c r="A935" i="2"/>
  <c r="B935" i="2"/>
  <c r="A936" i="2"/>
  <c r="B936" i="2"/>
  <c r="A937" i="2"/>
  <c r="B937" i="2"/>
  <c r="A938" i="2"/>
  <c r="B938" i="2"/>
  <c r="A939" i="2"/>
  <c r="B939" i="2"/>
  <c r="A940" i="2"/>
  <c r="B940" i="2"/>
  <c r="A941" i="2"/>
  <c r="B941" i="2"/>
  <c r="A942" i="2"/>
  <c r="B942" i="2"/>
  <c r="A943" i="2"/>
  <c r="B943" i="2"/>
  <c r="A944" i="2"/>
  <c r="B944" i="2"/>
  <c r="A945" i="2"/>
  <c r="B945" i="2"/>
  <c r="A946" i="2"/>
  <c r="B946" i="2"/>
  <c r="A947" i="2"/>
  <c r="B947" i="2"/>
  <c r="A948" i="2"/>
  <c r="B948" i="2"/>
  <c r="A949" i="2"/>
  <c r="B949" i="2"/>
  <c r="A950" i="2"/>
  <c r="B950" i="2"/>
  <c r="A951" i="2"/>
  <c r="B951" i="2"/>
  <c r="A952" i="2"/>
  <c r="B952" i="2"/>
  <c r="A953" i="2"/>
  <c r="B953" i="2"/>
  <c r="A954" i="2"/>
  <c r="B954" i="2"/>
  <c r="A955" i="2"/>
  <c r="B955" i="2"/>
  <c r="A956" i="2"/>
  <c r="B956" i="2"/>
  <c r="A957" i="2"/>
  <c r="B957" i="2"/>
  <c r="A958" i="2"/>
  <c r="B958" i="2"/>
  <c r="A959" i="2"/>
  <c r="B959" i="2"/>
  <c r="A960" i="2"/>
  <c r="B960" i="2"/>
  <c r="A961" i="2"/>
  <c r="B961" i="2"/>
  <c r="A962" i="2"/>
  <c r="B962" i="2"/>
  <c r="A963" i="2"/>
  <c r="B963" i="2"/>
  <c r="A964" i="2"/>
  <c r="B964" i="2"/>
  <c r="A965" i="2"/>
  <c r="B965" i="2"/>
  <c r="A966" i="2"/>
  <c r="B966" i="2"/>
  <c r="A967" i="2"/>
  <c r="B967" i="2"/>
  <c r="A968" i="2"/>
  <c r="B968" i="2"/>
  <c r="A969" i="2"/>
  <c r="B969" i="2"/>
  <c r="A970" i="2"/>
  <c r="B970" i="2"/>
  <c r="A971" i="2"/>
  <c r="B971" i="2"/>
  <c r="A972" i="2"/>
  <c r="B972" i="2"/>
  <c r="A973" i="2"/>
  <c r="B973" i="2"/>
  <c r="A974" i="2"/>
  <c r="B974" i="2"/>
  <c r="A975" i="2"/>
  <c r="B975" i="2"/>
  <c r="A976" i="2"/>
  <c r="B976" i="2"/>
  <c r="A977" i="2"/>
  <c r="B977" i="2"/>
  <c r="A978" i="2"/>
  <c r="B978" i="2"/>
  <c r="A979" i="2"/>
  <c r="B979" i="2"/>
  <c r="A980" i="2"/>
  <c r="B980" i="2"/>
  <c r="A981" i="2"/>
  <c r="B981" i="2"/>
  <c r="A982" i="2"/>
  <c r="B982" i="2"/>
  <c r="A983" i="2"/>
  <c r="B983" i="2"/>
  <c r="A984" i="2"/>
  <c r="B984" i="2"/>
  <c r="A985" i="2"/>
  <c r="B985" i="2"/>
  <c r="A986" i="2"/>
  <c r="B986" i="2"/>
  <c r="A987" i="2"/>
  <c r="B987" i="2"/>
  <c r="A988" i="2"/>
  <c r="B988" i="2"/>
  <c r="A989" i="2"/>
  <c r="B989" i="2"/>
  <c r="A990" i="2"/>
  <c r="B990" i="2"/>
  <c r="A991" i="2"/>
  <c r="B991" i="2"/>
  <c r="A992" i="2"/>
  <c r="B992" i="2"/>
  <c r="A993" i="2"/>
  <c r="B993" i="2"/>
  <c r="A994" i="2"/>
  <c r="B994" i="2"/>
  <c r="A995" i="2"/>
  <c r="B995" i="2"/>
  <c r="A996" i="2"/>
  <c r="B996" i="2"/>
  <c r="A997" i="2"/>
  <c r="B997" i="2"/>
  <c r="A998" i="2"/>
  <c r="B998" i="2"/>
  <c r="A999" i="2"/>
  <c r="B999" i="2"/>
  <c r="A1000" i="2"/>
  <c r="B1000" i="2"/>
  <c r="A1001" i="2"/>
  <c r="B1001" i="2"/>
  <c r="A1002" i="2"/>
  <c r="B1002" i="2"/>
  <c r="A1003" i="2"/>
  <c r="B1003" i="2"/>
  <c r="A1004" i="2"/>
  <c r="B1004" i="2"/>
  <c r="A1005" i="2"/>
  <c r="B1005" i="2"/>
  <c r="A1006" i="2"/>
  <c r="B1006" i="2"/>
  <c r="A1007" i="2"/>
  <c r="B1007" i="2"/>
  <c r="A1008" i="2"/>
  <c r="B1008" i="2"/>
  <c r="A1009" i="2"/>
  <c r="B1009" i="2"/>
  <c r="A1010" i="2"/>
  <c r="B1010" i="2"/>
  <c r="A1011" i="2"/>
  <c r="B1011" i="2"/>
  <c r="A1012" i="2"/>
  <c r="B1012" i="2"/>
  <c r="A1013" i="2"/>
  <c r="B1013" i="2"/>
  <c r="A1014" i="2"/>
  <c r="B1014" i="2"/>
  <c r="A1015" i="2"/>
  <c r="B1015" i="2"/>
  <c r="A1016" i="2"/>
  <c r="B1016" i="2"/>
  <c r="A1017" i="2"/>
  <c r="B1017" i="2"/>
  <c r="A1018" i="2"/>
  <c r="B1018" i="2"/>
  <c r="A1019" i="2"/>
  <c r="B1019" i="2"/>
  <c r="A1020" i="2"/>
  <c r="B1020" i="2"/>
  <c r="A1021" i="2"/>
  <c r="B1021" i="2"/>
  <c r="A1022" i="2"/>
  <c r="B1022" i="2"/>
  <c r="A1023" i="2"/>
  <c r="B1023" i="2"/>
  <c r="A1024" i="2"/>
  <c r="B1024" i="2"/>
  <c r="A1025" i="2"/>
  <c r="B1025" i="2"/>
  <c r="A1026" i="2"/>
  <c r="B1026" i="2"/>
  <c r="A1027" i="2"/>
  <c r="B1027" i="2"/>
  <c r="A1028" i="2"/>
  <c r="B1028" i="2"/>
  <c r="A1029" i="2"/>
  <c r="B1029" i="2"/>
  <c r="A1030" i="2"/>
  <c r="B1030" i="2"/>
  <c r="A1031" i="2"/>
  <c r="B1031" i="2"/>
  <c r="A1032" i="2"/>
  <c r="B1032" i="2"/>
  <c r="A1033" i="2"/>
  <c r="B1033" i="2"/>
  <c r="A1034" i="2"/>
  <c r="B1034" i="2"/>
  <c r="A1035" i="2"/>
  <c r="B1035" i="2"/>
  <c r="A1036" i="2"/>
  <c r="B1036" i="2"/>
  <c r="A1037" i="2"/>
  <c r="B1037" i="2"/>
  <c r="A1038" i="2"/>
  <c r="B1038" i="2"/>
  <c r="A1039" i="2"/>
  <c r="B1039" i="2"/>
  <c r="A1040" i="2"/>
  <c r="B1040" i="2"/>
  <c r="A1041" i="2"/>
  <c r="B1041" i="2"/>
  <c r="A1042" i="2"/>
  <c r="B1042" i="2"/>
  <c r="A1043" i="2"/>
  <c r="B1043" i="2"/>
  <c r="A1044" i="2"/>
  <c r="B1044" i="2"/>
  <c r="A1045" i="2"/>
  <c r="B1045" i="2"/>
  <c r="A1046" i="2"/>
  <c r="B1046" i="2"/>
  <c r="A1047" i="2"/>
  <c r="B1047" i="2"/>
  <c r="A1048" i="2"/>
  <c r="B1048" i="2"/>
  <c r="A1049" i="2"/>
  <c r="B1049" i="2"/>
  <c r="A1050" i="2"/>
  <c r="B1050" i="2"/>
  <c r="A1051" i="2"/>
  <c r="B1051" i="2"/>
  <c r="A1052" i="2"/>
  <c r="B1052" i="2"/>
  <c r="A1053" i="2"/>
  <c r="B1053" i="2"/>
  <c r="A1054" i="2"/>
  <c r="B1054" i="2"/>
  <c r="A1055" i="2"/>
  <c r="B1055" i="2"/>
  <c r="A1056" i="2"/>
  <c r="B1056" i="2"/>
  <c r="A1057" i="2"/>
  <c r="B1057" i="2"/>
  <c r="A1058" i="2"/>
  <c r="B1058" i="2"/>
  <c r="A1059" i="2"/>
  <c r="B1059" i="2"/>
  <c r="A1060" i="2"/>
  <c r="B1060" i="2"/>
  <c r="A1061" i="2"/>
  <c r="B1061" i="2"/>
  <c r="A1062" i="2"/>
  <c r="B1062" i="2"/>
  <c r="A1063" i="2"/>
  <c r="B1063" i="2"/>
  <c r="A1064" i="2"/>
  <c r="B1064" i="2"/>
  <c r="A1065" i="2"/>
  <c r="B1065" i="2"/>
  <c r="A1066" i="2"/>
  <c r="B1066" i="2"/>
  <c r="A1067" i="2"/>
  <c r="B1067" i="2"/>
  <c r="A1068" i="2"/>
  <c r="B1068" i="2"/>
  <c r="A1069" i="2"/>
  <c r="B1069" i="2"/>
  <c r="A1070" i="2"/>
  <c r="B1070" i="2"/>
  <c r="A1071" i="2"/>
  <c r="B1071" i="2"/>
  <c r="A1072" i="2"/>
  <c r="B1072" i="2"/>
  <c r="A1073" i="2"/>
  <c r="B1073" i="2"/>
  <c r="A1074" i="2"/>
  <c r="B1074" i="2"/>
  <c r="A1075" i="2"/>
  <c r="B1075" i="2"/>
  <c r="A1076" i="2"/>
  <c r="B1076" i="2"/>
  <c r="A1077" i="2"/>
  <c r="B1077" i="2"/>
  <c r="A1078" i="2"/>
  <c r="B1078" i="2"/>
  <c r="A1079" i="2"/>
  <c r="B1079" i="2"/>
  <c r="A1080" i="2"/>
  <c r="B1080" i="2"/>
  <c r="A1081" i="2"/>
  <c r="B1081" i="2"/>
  <c r="A1082" i="2"/>
  <c r="B1082" i="2"/>
  <c r="A1083" i="2"/>
  <c r="B1083" i="2"/>
  <c r="A1084" i="2"/>
  <c r="B1084" i="2"/>
  <c r="A1085" i="2"/>
  <c r="B1085" i="2"/>
  <c r="A1086" i="2"/>
  <c r="B1086" i="2"/>
  <c r="A1087" i="2"/>
  <c r="B1087" i="2"/>
  <c r="A1088" i="2"/>
  <c r="B1088" i="2"/>
  <c r="A1089" i="2"/>
  <c r="B1089" i="2"/>
  <c r="A1090" i="2"/>
  <c r="B1090" i="2"/>
  <c r="A1091" i="2"/>
  <c r="B1091" i="2"/>
  <c r="A1092" i="2"/>
  <c r="B1092" i="2"/>
  <c r="A1093" i="2"/>
  <c r="B1093" i="2"/>
  <c r="A1094" i="2"/>
  <c r="B1094" i="2"/>
  <c r="A1095" i="2"/>
  <c r="B1095" i="2"/>
  <c r="A1096" i="2"/>
  <c r="B1096" i="2"/>
  <c r="A1097" i="2"/>
  <c r="B1097" i="2"/>
  <c r="A1098" i="2"/>
  <c r="B1098" i="2"/>
  <c r="A1099" i="2"/>
  <c r="B1099" i="2"/>
  <c r="A1100" i="2"/>
  <c r="B1100" i="2"/>
  <c r="A1101" i="2"/>
  <c r="B1101" i="2"/>
  <c r="A1102" i="2"/>
  <c r="B1102" i="2"/>
  <c r="A1103" i="2"/>
  <c r="B1103" i="2"/>
  <c r="A1104" i="2"/>
  <c r="B1104" i="2"/>
  <c r="A1105" i="2"/>
  <c r="B1105" i="2"/>
  <c r="A1106" i="2"/>
  <c r="B1106" i="2"/>
  <c r="A1107" i="2"/>
  <c r="B1107" i="2"/>
  <c r="A1108" i="2"/>
  <c r="B1108" i="2"/>
  <c r="A1109" i="2"/>
  <c r="B1109" i="2"/>
  <c r="A1110" i="2"/>
  <c r="B1110" i="2"/>
  <c r="A1111" i="2"/>
  <c r="B1111" i="2"/>
  <c r="A1112" i="2"/>
  <c r="B1112" i="2"/>
  <c r="A1113" i="2"/>
  <c r="B1113" i="2"/>
  <c r="A1114" i="2"/>
  <c r="B1114" i="2"/>
  <c r="A1115" i="2"/>
  <c r="B1115" i="2"/>
  <c r="A1116" i="2"/>
  <c r="B1116" i="2"/>
  <c r="A1117" i="2"/>
  <c r="B1117" i="2"/>
  <c r="A1118" i="2"/>
  <c r="B1118" i="2"/>
  <c r="A1119" i="2"/>
  <c r="B1119" i="2"/>
  <c r="A1120" i="2"/>
  <c r="B1120" i="2"/>
  <c r="A1121" i="2"/>
  <c r="B1121" i="2"/>
  <c r="A1122" i="2"/>
  <c r="B1122" i="2"/>
  <c r="A1123" i="2"/>
  <c r="B1123" i="2"/>
  <c r="A1124" i="2"/>
  <c r="B1124" i="2"/>
  <c r="A1125" i="2"/>
  <c r="B1125" i="2"/>
  <c r="A1126" i="2"/>
  <c r="B1126" i="2"/>
  <c r="A1127" i="2"/>
  <c r="B1127" i="2"/>
  <c r="A1128" i="2"/>
  <c r="B1128" i="2"/>
  <c r="A1129" i="2"/>
  <c r="B1129" i="2"/>
  <c r="A1130" i="2"/>
  <c r="B1130" i="2"/>
  <c r="A1131" i="2"/>
  <c r="B1131" i="2"/>
  <c r="A1132" i="2"/>
  <c r="B1132" i="2"/>
  <c r="A1133" i="2"/>
  <c r="B1133" i="2"/>
  <c r="A1134" i="2"/>
  <c r="B1134" i="2"/>
  <c r="A1135" i="2"/>
  <c r="B1135" i="2"/>
  <c r="A1136" i="2"/>
  <c r="B1136" i="2"/>
  <c r="A1137" i="2"/>
  <c r="B1137" i="2"/>
  <c r="A1138" i="2"/>
  <c r="B1138" i="2"/>
  <c r="A1139" i="2"/>
  <c r="B1139" i="2"/>
  <c r="A1140" i="2"/>
  <c r="B1140" i="2"/>
  <c r="A1141" i="2"/>
  <c r="B1141" i="2"/>
  <c r="A1142" i="2"/>
  <c r="B1142" i="2"/>
  <c r="A1143" i="2"/>
  <c r="B1143" i="2"/>
  <c r="A1144" i="2"/>
  <c r="B1144" i="2"/>
  <c r="A1145" i="2"/>
  <c r="B1145" i="2"/>
  <c r="A1146" i="2"/>
  <c r="B1146" i="2"/>
  <c r="A1147" i="2"/>
  <c r="B1147" i="2"/>
  <c r="A1148" i="2"/>
  <c r="B1148" i="2"/>
  <c r="A1149" i="2"/>
  <c r="B1149" i="2"/>
  <c r="A1150" i="2"/>
  <c r="B1150" i="2"/>
  <c r="A1151" i="2"/>
  <c r="B1151" i="2"/>
  <c r="A1152" i="2"/>
  <c r="B1152" i="2"/>
  <c r="A1153" i="2"/>
  <c r="B1153" i="2"/>
  <c r="A1154" i="2"/>
  <c r="B1154" i="2"/>
  <c r="A1155" i="2"/>
  <c r="B1155" i="2"/>
  <c r="A1156" i="2"/>
  <c r="B1156" i="2"/>
  <c r="A1157" i="2"/>
  <c r="B1157" i="2"/>
  <c r="A1158" i="2"/>
  <c r="B1158" i="2"/>
  <c r="A1159" i="2"/>
  <c r="B1159" i="2"/>
  <c r="A1160" i="2"/>
  <c r="B1160" i="2"/>
  <c r="A1161" i="2"/>
  <c r="B1161" i="2"/>
  <c r="A1162" i="2"/>
  <c r="B1162" i="2"/>
  <c r="A1163" i="2"/>
  <c r="B1163" i="2"/>
  <c r="A1164" i="2"/>
  <c r="B1164" i="2"/>
  <c r="A1165" i="2"/>
  <c r="B1165" i="2"/>
  <c r="A1166" i="2"/>
  <c r="B1166" i="2"/>
  <c r="A1167" i="2"/>
  <c r="B1167" i="2"/>
  <c r="A1168" i="2"/>
  <c r="B1168" i="2"/>
  <c r="A1169" i="2"/>
  <c r="B1169" i="2"/>
  <c r="A1170" i="2"/>
  <c r="B1170" i="2"/>
  <c r="A1171" i="2"/>
  <c r="B1171" i="2"/>
  <c r="A1172" i="2"/>
  <c r="B1172" i="2"/>
  <c r="A1173" i="2"/>
  <c r="B1173" i="2"/>
  <c r="A1174" i="2"/>
  <c r="B1174" i="2"/>
  <c r="A1175" i="2"/>
  <c r="B1175" i="2"/>
  <c r="A1176" i="2"/>
  <c r="B1176" i="2"/>
  <c r="A1177" i="2"/>
  <c r="B1177" i="2"/>
  <c r="A1178" i="2"/>
  <c r="B1178" i="2"/>
  <c r="A1179" i="2"/>
  <c r="B1179" i="2"/>
  <c r="A1180" i="2"/>
  <c r="B1180" i="2"/>
  <c r="A1181" i="2"/>
  <c r="B1181" i="2"/>
  <c r="A1182" i="2"/>
  <c r="B1182" i="2"/>
  <c r="A1183" i="2"/>
  <c r="B1183" i="2"/>
  <c r="A1184" i="2"/>
  <c r="B1184" i="2"/>
  <c r="A1185" i="2"/>
  <c r="B1185" i="2"/>
  <c r="A1186" i="2"/>
  <c r="B1186" i="2"/>
  <c r="A1187" i="2"/>
  <c r="B1187" i="2"/>
  <c r="A1188" i="2"/>
  <c r="B1188" i="2"/>
  <c r="A1189" i="2"/>
  <c r="B1189" i="2"/>
  <c r="A1190" i="2"/>
  <c r="B1190" i="2"/>
  <c r="A1191" i="2"/>
  <c r="B1191" i="2"/>
  <c r="A1192" i="2"/>
  <c r="B1192" i="2"/>
  <c r="A1193" i="2"/>
  <c r="B1193" i="2"/>
  <c r="A1194" i="2"/>
  <c r="B1194" i="2"/>
  <c r="A1195" i="2"/>
  <c r="B1195" i="2"/>
  <c r="A1196" i="2"/>
  <c r="B1196" i="2"/>
  <c r="A1197" i="2"/>
  <c r="B1197" i="2"/>
  <c r="A1198" i="2"/>
  <c r="B1198" i="2"/>
  <c r="A1199" i="2"/>
  <c r="B1199" i="2"/>
  <c r="A1200" i="2"/>
  <c r="B1200" i="2"/>
  <c r="A1201" i="2"/>
  <c r="B1201" i="2"/>
  <c r="A1202" i="2"/>
  <c r="B1202" i="2"/>
  <c r="A1203" i="2"/>
  <c r="B1203" i="2"/>
  <c r="A1204" i="2"/>
  <c r="B1204" i="2"/>
  <c r="A1205" i="2"/>
  <c r="B1205" i="2"/>
  <c r="A1206" i="2"/>
  <c r="B1206" i="2"/>
  <c r="A1207" i="2"/>
  <c r="B1207" i="2"/>
  <c r="A1208" i="2"/>
  <c r="B1208" i="2"/>
  <c r="A1209" i="2"/>
  <c r="B1209" i="2"/>
  <c r="A1210" i="2"/>
  <c r="B1210" i="2"/>
  <c r="A1211" i="2"/>
  <c r="B1211" i="2"/>
  <c r="A1212" i="2"/>
  <c r="B1212" i="2"/>
  <c r="A1213" i="2"/>
  <c r="B1213" i="2"/>
  <c r="A1214" i="2"/>
  <c r="B1214" i="2"/>
  <c r="A1215" i="2"/>
  <c r="B1215" i="2"/>
  <c r="A1216" i="2"/>
  <c r="B1216" i="2"/>
  <c r="A1217" i="2"/>
  <c r="B1217" i="2"/>
  <c r="A1218" i="2"/>
  <c r="B1218" i="2"/>
  <c r="A1219" i="2"/>
  <c r="B1219" i="2"/>
  <c r="A1220" i="2"/>
  <c r="B1220" i="2"/>
  <c r="A1221" i="2"/>
  <c r="B1221" i="2"/>
  <c r="A1222" i="2"/>
  <c r="B1222" i="2"/>
  <c r="A1223" i="2"/>
  <c r="B1223" i="2"/>
  <c r="A1224" i="2"/>
  <c r="B1224" i="2"/>
  <c r="A1225" i="2"/>
  <c r="B1225" i="2"/>
  <c r="A1226" i="2"/>
  <c r="B1226" i="2"/>
  <c r="A1227" i="2"/>
  <c r="B1227" i="2"/>
  <c r="A1228" i="2"/>
  <c r="B1228" i="2"/>
  <c r="A1229" i="2"/>
  <c r="B1229" i="2"/>
  <c r="A1230" i="2"/>
  <c r="B1230" i="2"/>
  <c r="A1231" i="2"/>
  <c r="B1231" i="2"/>
  <c r="A1232" i="2"/>
  <c r="B1232" i="2"/>
  <c r="A1233" i="2"/>
  <c r="B1233" i="2"/>
  <c r="A1234" i="2"/>
  <c r="B1234" i="2"/>
  <c r="A1235" i="2"/>
  <c r="B1235" i="2"/>
  <c r="A1236" i="2"/>
  <c r="B1236" i="2"/>
  <c r="A1237" i="2"/>
  <c r="B1237" i="2"/>
  <c r="A1238" i="2"/>
  <c r="B1238" i="2"/>
  <c r="A1239" i="2"/>
  <c r="B1239" i="2"/>
  <c r="A1240" i="2"/>
  <c r="B1240" i="2"/>
  <c r="A1241" i="2"/>
  <c r="B1241" i="2"/>
  <c r="A1242" i="2"/>
  <c r="B1242" i="2"/>
  <c r="A1243" i="2"/>
  <c r="B1243" i="2"/>
  <c r="A1244" i="2"/>
  <c r="B1244" i="2"/>
  <c r="A1245" i="2"/>
  <c r="B1245" i="2"/>
  <c r="A1246" i="2"/>
  <c r="B1246" i="2"/>
  <c r="A1247" i="2"/>
  <c r="B1247" i="2"/>
  <c r="A1248" i="2"/>
  <c r="B1248" i="2"/>
  <c r="A1249" i="2"/>
  <c r="B1249" i="2"/>
  <c r="A1250" i="2"/>
  <c r="B1250" i="2"/>
  <c r="A1251" i="2"/>
  <c r="B1251" i="2"/>
  <c r="A1252" i="2"/>
  <c r="B1252" i="2"/>
  <c r="A1253" i="2"/>
  <c r="B1253" i="2"/>
  <c r="A1254" i="2"/>
  <c r="B1254" i="2"/>
  <c r="A1255" i="2"/>
  <c r="B1255" i="2"/>
  <c r="A1256" i="2"/>
  <c r="B1256" i="2"/>
  <c r="A1257" i="2"/>
  <c r="B1257" i="2"/>
  <c r="A1258" i="2"/>
  <c r="B1258" i="2"/>
  <c r="A1259" i="2"/>
  <c r="B1259" i="2"/>
  <c r="A1260" i="2"/>
  <c r="B1260" i="2"/>
  <c r="A1261" i="2"/>
  <c r="B1261" i="2"/>
  <c r="A1262" i="2"/>
  <c r="B1262" i="2"/>
  <c r="A1263" i="2"/>
  <c r="B1263" i="2"/>
  <c r="A1264" i="2"/>
  <c r="B1264" i="2"/>
  <c r="A1265" i="2"/>
  <c r="B1265" i="2"/>
  <c r="A1266" i="2"/>
  <c r="B1266" i="2"/>
  <c r="A1267" i="2"/>
  <c r="B1267" i="2"/>
  <c r="A1268" i="2"/>
  <c r="B1268" i="2"/>
  <c r="A1269" i="2"/>
  <c r="B1269" i="2"/>
  <c r="A1270" i="2"/>
  <c r="B1270" i="2"/>
  <c r="A1271" i="2"/>
  <c r="B1271" i="2"/>
  <c r="A1272" i="2"/>
  <c r="B1272" i="2"/>
  <c r="A1273" i="2"/>
  <c r="B1273" i="2"/>
  <c r="A1274" i="2"/>
  <c r="B1274" i="2"/>
  <c r="A1275" i="2"/>
  <c r="B1275" i="2"/>
  <c r="A1276" i="2"/>
  <c r="B1276" i="2"/>
  <c r="A1277" i="2"/>
  <c r="B1277" i="2"/>
  <c r="A1278" i="2"/>
  <c r="B1278" i="2"/>
  <c r="A1279" i="2"/>
  <c r="B1279" i="2"/>
  <c r="A1280" i="2"/>
  <c r="B1280" i="2"/>
  <c r="A1281" i="2"/>
  <c r="B1281" i="2"/>
  <c r="A1282" i="2"/>
  <c r="B1282" i="2"/>
  <c r="A1283" i="2"/>
  <c r="B1283" i="2"/>
  <c r="A1284" i="2"/>
  <c r="B1284" i="2"/>
  <c r="A1285" i="2"/>
  <c r="B1285" i="2"/>
  <c r="A1286" i="2"/>
  <c r="B1286" i="2"/>
  <c r="A1287" i="2"/>
  <c r="B1287" i="2"/>
  <c r="A1288" i="2"/>
  <c r="B1288" i="2"/>
  <c r="A1289" i="2"/>
  <c r="B1289" i="2"/>
  <c r="A1290" i="2"/>
  <c r="B1290" i="2"/>
  <c r="A1291" i="2"/>
  <c r="B1291" i="2"/>
  <c r="A1292" i="2"/>
  <c r="B1292" i="2"/>
  <c r="A1293" i="2"/>
  <c r="B1293" i="2"/>
  <c r="A1294" i="2"/>
  <c r="B1294" i="2"/>
  <c r="A1295" i="2"/>
  <c r="B1295" i="2"/>
  <c r="A1296" i="2"/>
  <c r="B1296" i="2"/>
  <c r="A1297" i="2"/>
  <c r="B1297" i="2"/>
  <c r="A1298" i="2"/>
  <c r="B1298" i="2"/>
  <c r="A1299" i="2"/>
  <c r="B1299" i="2"/>
  <c r="A1300" i="2"/>
  <c r="B1300" i="2"/>
  <c r="A1301" i="2"/>
  <c r="B1301" i="2"/>
  <c r="A1302" i="2"/>
  <c r="B1302" i="2"/>
  <c r="A1303" i="2"/>
  <c r="B1303" i="2"/>
  <c r="A1304" i="2"/>
  <c r="B1304" i="2"/>
  <c r="A1305" i="2"/>
  <c r="B1305" i="2"/>
  <c r="A1306" i="2"/>
  <c r="B1306" i="2"/>
  <c r="A1307" i="2"/>
  <c r="B1307" i="2"/>
  <c r="A1308" i="2"/>
  <c r="B1308" i="2"/>
  <c r="A1309" i="2"/>
  <c r="B1309" i="2"/>
  <c r="A1310" i="2"/>
  <c r="B1310" i="2"/>
  <c r="A1311" i="2"/>
  <c r="B1311" i="2"/>
  <c r="A1312" i="2"/>
  <c r="B1312" i="2"/>
  <c r="A1313" i="2"/>
  <c r="B1313" i="2"/>
  <c r="A1314" i="2"/>
  <c r="B1314" i="2"/>
  <c r="A1315" i="2"/>
  <c r="B1315" i="2"/>
  <c r="A1316" i="2"/>
  <c r="B1316" i="2"/>
  <c r="A1317" i="2"/>
  <c r="B1317" i="2"/>
  <c r="A1318" i="2"/>
  <c r="B1318" i="2"/>
  <c r="A1319" i="2"/>
  <c r="B1319" i="2"/>
  <c r="A1320" i="2"/>
  <c r="B1320" i="2"/>
  <c r="A1321" i="2"/>
  <c r="B1321" i="2"/>
  <c r="A1322" i="2"/>
  <c r="B1322" i="2"/>
  <c r="A1323" i="2"/>
  <c r="B1323" i="2"/>
  <c r="A1324" i="2"/>
  <c r="B1324" i="2"/>
  <c r="A1325" i="2"/>
  <c r="B1325" i="2"/>
  <c r="A1326" i="2"/>
  <c r="B1326" i="2"/>
  <c r="A1327" i="2"/>
  <c r="B1327" i="2"/>
  <c r="A1328" i="2"/>
  <c r="B1328" i="2"/>
  <c r="A1329" i="2"/>
  <c r="B1329" i="2"/>
  <c r="A1330" i="2"/>
  <c r="B1330" i="2"/>
  <c r="A1331" i="2"/>
  <c r="B1331" i="2"/>
  <c r="A1332" i="2"/>
  <c r="B1332" i="2"/>
  <c r="A1333" i="2"/>
  <c r="B1333" i="2"/>
  <c r="A1334" i="2"/>
  <c r="B1334" i="2"/>
  <c r="A1335" i="2"/>
  <c r="B1335" i="2"/>
  <c r="A1336" i="2"/>
  <c r="B1336" i="2"/>
  <c r="A1337" i="2"/>
  <c r="B1337" i="2"/>
  <c r="A1338" i="2"/>
  <c r="B1338" i="2"/>
  <c r="A1339" i="2"/>
  <c r="B1339" i="2"/>
  <c r="A1340" i="2"/>
  <c r="B1340" i="2"/>
  <c r="A1341" i="2"/>
  <c r="B1341" i="2"/>
  <c r="A1342" i="2"/>
  <c r="B1342" i="2"/>
  <c r="A1343" i="2"/>
  <c r="B1343" i="2"/>
  <c r="A1344" i="2"/>
  <c r="B1344" i="2"/>
  <c r="A1345" i="2"/>
  <c r="B1345" i="2"/>
  <c r="A1346" i="2"/>
  <c r="B1346" i="2"/>
  <c r="A1347" i="2"/>
  <c r="B1347" i="2"/>
  <c r="A1348" i="2"/>
  <c r="B1348" i="2"/>
  <c r="A1349" i="2"/>
  <c r="B1349" i="2"/>
  <c r="A1350" i="2"/>
  <c r="B1350" i="2"/>
  <c r="A1351" i="2"/>
  <c r="B1351" i="2"/>
  <c r="A1352" i="2"/>
  <c r="B1352" i="2"/>
  <c r="A1353" i="2"/>
  <c r="B1353" i="2"/>
  <c r="A1354" i="2"/>
  <c r="B1354" i="2"/>
  <c r="A1355" i="2"/>
  <c r="B1355" i="2"/>
  <c r="A1356" i="2"/>
  <c r="B1356" i="2"/>
  <c r="A1357" i="2"/>
  <c r="B1357" i="2"/>
  <c r="A1358" i="2"/>
  <c r="B1358" i="2"/>
  <c r="A1359" i="2"/>
  <c r="B1359" i="2"/>
  <c r="A1360" i="2"/>
  <c r="B1360" i="2"/>
  <c r="A1361" i="2"/>
  <c r="B1361" i="2"/>
  <c r="A1362" i="2"/>
  <c r="B1362" i="2"/>
  <c r="A1363" i="2"/>
  <c r="B1363" i="2"/>
  <c r="A1364" i="2"/>
  <c r="B1364" i="2"/>
  <c r="A1365" i="2"/>
  <c r="B1365" i="2"/>
  <c r="A1366" i="2"/>
  <c r="B1366" i="2"/>
  <c r="A1367" i="2"/>
  <c r="B1367" i="2"/>
  <c r="A1368" i="2"/>
  <c r="B1368" i="2"/>
  <c r="A1369" i="2"/>
  <c r="B1369" i="2"/>
  <c r="A1370" i="2"/>
  <c r="B1370" i="2"/>
  <c r="A1371" i="2"/>
  <c r="B1371" i="2"/>
  <c r="A1372" i="2"/>
  <c r="B1372" i="2"/>
  <c r="A1373" i="2"/>
  <c r="B1373" i="2"/>
  <c r="A1374" i="2"/>
  <c r="B1374" i="2"/>
  <c r="A1375" i="2"/>
  <c r="B1375" i="2"/>
  <c r="A1376" i="2"/>
  <c r="B1376" i="2"/>
  <c r="A1377" i="2"/>
  <c r="B1377" i="2"/>
  <c r="A1378" i="2"/>
  <c r="B1378" i="2"/>
  <c r="A1379" i="2"/>
  <c r="B1379" i="2"/>
  <c r="A1380" i="2"/>
  <c r="B1380" i="2"/>
  <c r="A1381" i="2"/>
  <c r="B1381" i="2"/>
  <c r="A1382" i="2"/>
  <c r="B1382" i="2"/>
  <c r="A1383" i="2"/>
  <c r="B1383" i="2"/>
  <c r="A1384" i="2"/>
  <c r="B1384" i="2"/>
  <c r="A1385" i="2"/>
  <c r="B1385" i="2"/>
  <c r="A1386" i="2"/>
  <c r="B1386" i="2"/>
  <c r="A1387" i="2"/>
  <c r="B1387" i="2"/>
  <c r="A1388" i="2"/>
  <c r="B1388" i="2"/>
  <c r="A1389" i="2"/>
  <c r="B1389" i="2"/>
  <c r="A1390" i="2"/>
  <c r="B1390" i="2"/>
  <c r="A1391" i="2"/>
  <c r="B1391" i="2"/>
  <c r="A1392" i="2"/>
  <c r="B1392" i="2"/>
  <c r="A1393" i="2"/>
  <c r="B1393" i="2"/>
  <c r="A1394" i="2"/>
  <c r="B1394" i="2"/>
  <c r="A1395" i="2"/>
  <c r="B1395" i="2"/>
  <c r="A1396" i="2"/>
  <c r="B1396" i="2"/>
  <c r="A1397" i="2"/>
  <c r="B1397" i="2"/>
  <c r="A1398" i="2"/>
  <c r="B1398" i="2"/>
  <c r="A1399" i="2"/>
  <c r="B1399" i="2"/>
  <c r="A1400" i="2"/>
  <c r="B1400" i="2"/>
  <c r="A1401" i="2"/>
  <c r="B1401" i="2"/>
  <c r="A1402" i="2"/>
  <c r="B1402" i="2"/>
  <c r="A1403" i="2"/>
  <c r="B1403" i="2"/>
  <c r="A1404" i="2"/>
  <c r="B1404" i="2"/>
  <c r="A1405" i="2"/>
  <c r="B1405" i="2"/>
  <c r="A1406" i="2"/>
  <c r="B1406" i="2"/>
  <c r="A1407" i="2"/>
  <c r="B1407" i="2"/>
  <c r="A1408" i="2"/>
  <c r="B1408" i="2"/>
  <c r="A1409" i="2"/>
  <c r="B1409" i="2"/>
  <c r="A1410" i="2"/>
  <c r="B1410" i="2"/>
  <c r="A1411" i="2"/>
  <c r="B1411" i="2"/>
  <c r="A1412" i="2"/>
  <c r="B1412" i="2"/>
  <c r="A1413" i="2"/>
  <c r="B1413" i="2"/>
  <c r="A1414" i="2"/>
  <c r="B1414" i="2"/>
  <c r="A1415" i="2"/>
  <c r="B1415" i="2"/>
  <c r="A1416" i="2"/>
  <c r="B1416" i="2"/>
  <c r="A1417" i="2"/>
  <c r="B1417" i="2"/>
  <c r="A1418" i="2"/>
  <c r="B1418" i="2"/>
  <c r="A1419" i="2"/>
  <c r="B1419" i="2"/>
  <c r="A1420" i="2"/>
  <c r="B1420" i="2"/>
  <c r="A1421" i="2"/>
  <c r="B1421" i="2"/>
  <c r="A1422" i="2"/>
  <c r="B1422" i="2"/>
  <c r="A1423" i="2"/>
  <c r="B1423" i="2"/>
  <c r="A1424" i="2"/>
  <c r="B1424" i="2"/>
  <c r="A1425" i="2"/>
  <c r="B1425" i="2"/>
  <c r="A1426" i="2"/>
  <c r="B1426" i="2"/>
  <c r="A1427" i="2"/>
  <c r="B1427" i="2"/>
  <c r="A1428" i="2"/>
  <c r="B1428" i="2"/>
  <c r="A1429" i="2"/>
  <c r="B1429" i="2"/>
  <c r="A1430" i="2"/>
  <c r="B1430" i="2"/>
  <c r="A1431" i="2"/>
  <c r="B1431" i="2"/>
  <c r="A1432" i="2"/>
  <c r="B1432" i="2"/>
  <c r="A1433" i="2"/>
  <c r="B1433" i="2"/>
  <c r="A1434" i="2"/>
  <c r="B1434" i="2"/>
  <c r="A1435" i="2"/>
  <c r="B1435" i="2"/>
  <c r="A1436" i="2"/>
  <c r="B1436" i="2"/>
  <c r="A1437" i="2"/>
  <c r="B1437" i="2"/>
  <c r="A1438" i="2"/>
  <c r="B1438" i="2"/>
  <c r="A1439" i="2"/>
  <c r="B1439" i="2"/>
  <c r="A1440" i="2"/>
  <c r="B1440" i="2"/>
  <c r="A1441" i="2"/>
  <c r="B1441" i="2"/>
  <c r="A1442" i="2"/>
  <c r="B1442" i="2"/>
  <c r="A1443" i="2"/>
  <c r="B1443" i="2"/>
  <c r="A1444" i="2"/>
  <c r="B1444" i="2"/>
  <c r="A1445" i="2"/>
  <c r="B1445" i="2"/>
  <c r="A1446" i="2"/>
  <c r="B1446" i="2"/>
  <c r="A1447" i="2"/>
  <c r="B1447" i="2"/>
  <c r="A1448" i="2"/>
  <c r="B1448" i="2"/>
  <c r="A1449" i="2"/>
  <c r="B1449" i="2"/>
  <c r="A1450" i="2"/>
  <c r="B1450" i="2"/>
  <c r="A1451" i="2"/>
  <c r="B1451" i="2"/>
  <c r="A1452" i="2"/>
  <c r="B1452" i="2"/>
  <c r="A1453" i="2"/>
  <c r="B1453" i="2"/>
  <c r="A1454" i="2"/>
  <c r="B1454" i="2"/>
  <c r="A1455" i="2"/>
  <c r="B1455" i="2"/>
  <c r="A1456" i="2"/>
  <c r="B1456" i="2"/>
  <c r="A1457" i="2"/>
  <c r="B1457" i="2"/>
  <c r="A1458" i="2"/>
  <c r="B1458" i="2"/>
  <c r="A1459" i="2"/>
  <c r="B1459" i="2"/>
  <c r="A1460" i="2"/>
  <c r="B1460" i="2"/>
  <c r="A1461" i="2"/>
  <c r="B1461" i="2"/>
  <c r="A1462" i="2"/>
  <c r="B1462" i="2"/>
  <c r="A1463" i="2"/>
  <c r="B1463" i="2"/>
  <c r="A1464" i="2"/>
  <c r="B1464" i="2"/>
  <c r="A1465" i="2"/>
  <c r="B1465" i="2"/>
  <c r="A1466" i="2"/>
  <c r="B1466" i="2"/>
  <c r="A1467" i="2"/>
  <c r="B1467" i="2"/>
  <c r="A1468" i="2"/>
  <c r="B1468" i="2"/>
  <c r="A1469" i="2"/>
  <c r="B1469" i="2"/>
  <c r="A1470" i="2"/>
  <c r="B1470" i="2"/>
  <c r="A1471" i="2"/>
  <c r="B1471" i="2"/>
  <c r="A1472" i="2"/>
  <c r="B1472" i="2"/>
  <c r="A1473" i="2"/>
  <c r="B1473" i="2"/>
  <c r="A1474" i="2"/>
  <c r="B1474" i="2"/>
  <c r="A1475" i="2"/>
  <c r="B1475" i="2"/>
  <c r="A1476" i="2"/>
  <c r="B1476" i="2"/>
  <c r="A1477" i="2"/>
  <c r="B1477" i="2"/>
  <c r="A1478" i="2"/>
  <c r="B1478" i="2"/>
  <c r="A1479" i="2"/>
  <c r="B1479" i="2"/>
  <c r="A1480" i="2"/>
  <c r="B1480" i="2"/>
  <c r="A1481" i="2"/>
  <c r="B1481" i="2"/>
  <c r="A1482" i="2"/>
  <c r="B1482" i="2"/>
  <c r="A1483" i="2"/>
  <c r="B1483" i="2"/>
  <c r="A1484" i="2"/>
  <c r="B1484" i="2"/>
  <c r="A1485" i="2"/>
  <c r="B1485" i="2"/>
  <c r="A1486" i="2"/>
  <c r="B1486" i="2"/>
  <c r="A1487" i="2"/>
  <c r="B1487" i="2"/>
  <c r="A1488" i="2"/>
  <c r="B1488" i="2"/>
  <c r="A1489" i="2"/>
  <c r="B1489" i="2"/>
  <c r="A1490" i="2"/>
  <c r="B1490" i="2"/>
  <c r="A1491" i="2"/>
  <c r="B1491" i="2"/>
  <c r="A1492" i="2"/>
  <c r="B1492" i="2"/>
  <c r="A1493" i="2"/>
  <c r="B1493" i="2"/>
  <c r="A1494" i="2"/>
  <c r="B1494" i="2"/>
  <c r="A1495" i="2"/>
  <c r="B1495" i="2"/>
  <c r="A1496" i="2"/>
  <c r="B1496" i="2"/>
  <c r="A1497" i="2"/>
  <c r="B1497" i="2"/>
  <c r="A1498" i="2"/>
  <c r="B1498" i="2"/>
  <c r="A1499" i="2"/>
  <c r="B1499" i="2"/>
  <c r="A1500" i="2"/>
  <c r="B1500" i="2"/>
  <c r="A1501" i="2"/>
  <c r="B1501" i="2"/>
  <c r="A1502" i="2"/>
  <c r="B1502" i="2"/>
  <c r="A1503" i="2"/>
  <c r="B1503" i="2"/>
  <c r="A1504" i="2"/>
  <c r="B1504" i="2"/>
  <c r="A1505" i="2"/>
  <c r="B1505" i="2"/>
  <c r="A1506" i="2"/>
  <c r="B1506" i="2"/>
  <c r="A1507" i="2"/>
  <c r="B1507" i="2"/>
  <c r="A1508" i="2"/>
  <c r="B1508" i="2"/>
  <c r="A1509" i="2"/>
  <c r="B1509" i="2"/>
  <c r="A1510" i="2"/>
  <c r="B1510" i="2"/>
  <c r="A1511" i="2"/>
  <c r="B1511" i="2"/>
  <c r="A1512" i="2"/>
  <c r="B1512" i="2"/>
  <c r="A1513" i="2"/>
  <c r="B1513" i="2"/>
  <c r="A1514" i="2"/>
  <c r="B1514" i="2"/>
  <c r="A1515" i="2"/>
  <c r="B1515" i="2"/>
  <c r="A1516" i="2"/>
  <c r="B1516" i="2"/>
  <c r="A1517" i="2"/>
  <c r="B1517" i="2"/>
  <c r="A1518" i="2"/>
  <c r="B1518" i="2"/>
  <c r="A1519" i="2"/>
  <c r="B1519" i="2"/>
  <c r="A1520" i="2"/>
  <c r="B1520" i="2"/>
  <c r="A1521" i="2"/>
  <c r="B1521" i="2"/>
  <c r="A1522" i="2"/>
  <c r="B1522" i="2"/>
  <c r="A1523" i="2"/>
  <c r="B1523" i="2"/>
  <c r="A1524" i="2"/>
  <c r="B1524" i="2"/>
  <c r="A1525" i="2"/>
  <c r="B1525" i="2"/>
  <c r="A1526" i="2"/>
  <c r="B1526" i="2"/>
  <c r="A1527" i="2"/>
  <c r="B1527" i="2"/>
  <c r="A1528" i="2"/>
  <c r="B1528" i="2"/>
  <c r="A1529" i="2"/>
  <c r="B1529" i="2"/>
  <c r="A1530" i="2"/>
  <c r="B1530" i="2"/>
  <c r="A1531" i="2"/>
  <c r="B1531" i="2"/>
  <c r="A1532" i="2"/>
  <c r="B1532" i="2"/>
  <c r="A1533" i="2"/>
  <c r="B1533" i="2"/>
  <c r="A1534" i="2"/>
  <c r="B1534" i="2"/>
  <c r="A1535" i="2"/>
  <c r="B1535" i="2"/>
  <c r="A1536" i="2"/>
  <c r="B1536" i="2"/>
  <c r="A1537" i="2"/>
  <c r="B1537" i="2"/>
  <c r="A1538" i="2"/>
  <c r="B1538" i="2"/>
  <c r="A1539" i="2"/>
  <c r="B1539" i="2"/>
  <c r="A1540" i="2"/>
  <c r="B1540" i="2"/>
  <c r="A1541" i="2"/>
  <c r="B1541" i="2"/>
  <c r="A1542" i="2"/>
  <c r="B1542" i="2"/>
  <c r="A1543" i="2"/>
  <c r="B1543" i="2"/>
  <c r="A1544" i="2"/>
  <c r="B1544" i="2"/>
  <c r="A1545" i="2"/>
  <c r="B1545" i="2"/>
  <c r="A1546" i="2"/>
  <c r="B1546" i="2"/>
  <c r="A1547" i="2"/>
  <c r="B1547" i="2"/>
  <c r="A1548" i="2"/>
  <c r="B1548" i="2"/>
  <c r="A1549" i="2"/>
  <c r="B1549" i="2"/>
  <c r="A1550" i="2"/>
  <c r="B1550" i="2"/>
  <c r="A1551" i="2"/>
  <c r="B1551" i="2"/>
  <c r="A1552" i="2"/>
  <c r="B1552" i="2"/>
  <c r="A1553" i="2"/>
  <c r="B1553" i="2"/>
  <c r="A1554" i="2"/>
  <c r="B1554" i="2"/>
  <c r="A1555" i="2"/>
  <c r="B1555" i="2"/>
  <c r="A1556" i="2"/>
  <c r="B1556" i="2"/>
  <c r="A1557" i="2"/>
  <c r="B1557" i="2"/>
  <c r="A1558" i="2"/>
  <c r="B1558" i="2"/>
  <c r="A1559" i="2"/>
  <c r="B1559" i="2"/>
  <c r="A1560" i="2"/>
  <c r="B1560" i="2"/>
  <c r="A1561" i="2"/>
  <c r="B1561" i="2"/>
  <c r="A1562" i="2"/>
  <c r="B1562" i="2"/>
  <c r="A1563" i="2"/>
  <c r="B1563" i="2"/>
  <c r="A1564" i="2"/>
  <c r="B1564" i="2"/>
  <c r="A1565" i="2"/>
  <c r="B1565" i="2"/>
  <c r="A1566" i="2"/>
  <c r="B1566" i="2"/>
  <c r="A1567" i="2"/>
  <c r="B1567" i="2"/>
  <c r="A1568" i="2"/>
  <c r="B1568" i="2"/>
  <c r="A1569" i="2"/>
  <c r="B1569" i="2"/>
  <c r="A1570" i="2"/>
  <c r="B1570" i="2"/>
  <c r="A1571" i="2"/>
  <c r="B1571" i="2"/>
  <c r="A1572" i="2"/>
  <c r="B1572" i="2"/>
  <c r="A1573" i="2"/>
  <c r="B1573" i="2"/>
  <c r="A1574" i="2"/>
  <c r="B1574" i="2"/>
  <c r="A1575" i="2"/>
  <c r="B1575" i="2"/>
  <c r="A1576" i="2"/>
  <c r="B1576" i="2"/>
  <c r="A1577" i="2"/>
  <c r="B1577" i="2"/>
  <c r="A1578" i="2"/>
  <c r="B1578" i="2"/>
  <c r="A1579" i="2"/>
  <c r="B1579" i="2"/>
  <c r="A1580" i="2"/>
  <c r="B1580" i="2"/>
  <c r="A1581" i="2"/>
  <c r="B1581" i="2"/>
  <c r="A1582" i="2"/>
  <c r="B1582" i="2"/>
  <c r="A1583" i="2"/>
  <c r="B1583" i="2"/>
  <c r="A1584" i="2"/>
  <c r="B1584" i="2"/>
  <c r="A1585" i="2"/>
  <c r="B1585" i="2"/>
  <c r="A1586" i="2"/>
  <c r="B1586" i="2"/>
  <c r="A1587" i="2"/>
  <c r="B1587" i="2"/>
  <c r="A1588" i="2"/>
  <c r="B1588" i="2"/>
  <c r="A1589" i="2"/>
  <c r="B1589" i="2"/>
  <c r="A1590" i="2"/>
  <c r="B1590" i="2"/>
  <c r="A1591" i="2"/>
  <c r="B1591" i="2"/>
  <c r="A1592" i="2"/>
  <c r="B1592" i="2"/>
  <c r="A1593" i="2"/>
  <c r="B1593" i="2"/>
  <c r="A1594" i="2"/>
  <c r="B1594" i="2"/>
  <c r="A1595" i="2"/>
  <c r="B1595" i="2"/>
  <c r="A1596" i="2"/>
  <c r="B1596" i="2"/>
  <c r="A1597" i="2"/>
  <c r="B1597" i="2"/>
  <c r="A1598" i="2"/>
  <c r="B1598" i="2"/>
  <c r="A1599" i="2"/>
  <c r="B1599" i="2"/>
  <c r="A1600" i="2"/>
  <c r="B1600" i="2"/>
  <c r="A1601" i="2"/>
  <c r="B1601" i="2"/>
  <c r="A1602" i="2"/>
  <c r="B1602" i="2"/>
  <c r="A1603" i="2"/>
  <c r="B1603" i="2"/>
  <c r="A1604" i="2"/>
  <c r="B1604" i="2"/>
  <c r="A1605" i="2"/>
  <c r="B1605" i="2"/>
  <c r="A1606" i="2"/>
  <c r="B1606" i="2"/>
  <c r="A1607" i="2"/>
  <c r="B1607" i="2"/>
  <c r="A1608" i="2"/>
  <c r="B1608" i="2"/>
  <c r="A1609" i="2"/>
  <c r="B1609" i="2"/>
  <c r="A1610" i="2"/>
  <c r="B1610" i="2"/>
  <c r="A1611" i="2"/>
  <c r="B1611" i="2"/>
  <c r="A1612" i="2"/>
  <c r="B1612" i="2"/>
  <c r="A1613" i="2"/>
  <c r="B1613" i="2"/>
  <c r="A1614" i="2"/>
  <c r="B1614" i="2"/>
  <c r="A1615" i="2"/>
  <c r="B1615" i="2"/>
  <c r="A1616" i="2"/>
  <c r="B1616" i="2"/>
  <c r="A1617" i="2"/>
  <c r="B1617" i="2"/>
  <c r="A1618" i="2"/>
  <c r="B1618" i="2"/>
  <c r="A1619" i="2"/>
  <c r="B1619" i="2"/>
  <c r="A1620" i="2"/>
  <c r="B1620" i="2"/>
  <c r="A1621" i="2"/>
  <c r="B1621" i="2"/>
  <c r="A1622" i="2"/>
  <c r="B1622" i="2"/>
  <c r="A1623" i="2"/>
  <c r="B1623" i="2"/>
  <c r="A1624" i="2"/>
  <c r="B1624" i="2"/>
  <c r="A1625" i="2"/>
  <c r="B1625" i="2"/>
  <c r="A1626" i="2"/>
  <c r="B1626" i="2"/>
  <c r="A1627" i="2"/>
  <c r="B1627" i="2"/>
  <c r="A1628" i="2"/>
  <c r="B1628" i="2"/>
  <c r="A1629" i="2"/>
  <c r="B1629" i="2"/>
  <c r="A1630" i="2"/>
  <c r="B1630" i="2"/>
  <c r="A1631" i="2"/>
  <c r="B1631" i="2"/>
  <c r="A1632" i="2"/>
  <c r="B1632" i="2"/>
  <c r="A1633" i="2"/>
  <c r="B1633" i="2"/>
  <c r="A1634" i="2"/>
  <c r="B1634" i="2"/>
  <c r="A1635" i="2"/>
  <c r="B1635" i="2"/>
  <c r="A1636" i="2"/>
  <c r="B1636" i="2"/>
  <c r="A1637" i="2"/>
  <c r="B1637" i="2"/>
  <c r="A1638" i="2"/>
  <c r="B1638" i="2"/>
  <c r="A1639" i="2"/>
  <c r="B1639" i="2"/>
  <c r="A1640" i="2"/>
  <c r="B1640" i="2"/>
  <c r="A1641" i="2"/>
  <c r="B1641" i="2"/>
  <c r="A1642" i="2"/>
  <c r="B1642" i="2"/>
  <c r="A1643" i="2"/>
  <c r="B1643" i="2"/>
  <c r="A1644" i="2"/>
  <c r="B1644" i="2"/>
  <c r="A1645" i="2"/>
  <c r="B1645" i="2"/>
  <c r="A1646" i="2"/>
  <c r="B1646" i="2"/>
  <c r="A1647" i="2"/>
  <c r="B1647" i="2"/>
  <c r="A1648" i="2"/>
  <c r="B1648" i="2"/>
  <c r="A1649" i="2"/>
  <c r="B1649" i="2"/>
  <c r="A1650" i="2"/>
  <c r="B1650" i="2"/>
  <c r="A1651" i="2"/>
  <c r="B1651" i="2"/>
  <c r="A1652" i="2"/>
  <c r="B1652" i="2"/>
  <c r="A1653" i="2"/>
  <c r="B1653" i="2"/>
  <c r="A1654" i="2"/>
  <c r="B1654" i="2"/>
  <c r="A1655" i="2"/>
  <c r="B1655" i="2"/>
  <c r="A1656" i="2"/>
  <c r="B1656" i="2"/>
  <c r="A1657" i="2"/>
  <c r="B1657" i="2"/>
  <c r="A1658" i="2"/>
  <c r="B1658" i="2"/>
  <c r="A1659" i="2"/>
  <c r="B1659" i="2"/>
  <c r="A1660" i="2"/>
  <c r="B1660" i="2"/>
  <c r="A1661" i="2"/>
  <c r="B1661" i="2"/>
  <c r="A1662" i="2"/>
  <c r="B1662" i="2"/>
  <c r="A1663" i="2"/>
  <c r="B1663" i="2"/>
  <c r="A1664" i="2"/>
  <c r="B1664" i="2"/>
  <c r="A1665" i="2"/>
  <c r="B1665" i="2"/>
  <c r="A1666" i="2"/>
  <c r="B1666" i="2"/>
  <c r="A1667" i="2"/>
  <c r="B1667" i="2"/>
  <c r="A1668" i="2"/>
  <c r="B1668" i="2"/>
  <c r="A1669" i="2"/>
  <c r="B1669" i="2"/>
  <c r="A1670" i="2"/>
  <c r="B1670" i="2"/>
  <c r="A1671" i="2"/>
  <c r="B1671" i="2"/>
  <c r="A1672" i="2"/>
  <c r="B1672" i="2"/>
  <c r="A1673" i="2"/>
  <c r="B1673" i="2"/>
  <c r="A1674" i="2"/>
  <c r="B1674" i="2"/>
  <c r="A1675" i="2"/>
  <c r="B1675" i="2"/>
  <c r="A1676" i="2"/>
  <c r="B1676" i="2"/>
  <c r="A1677" i="2"/>
  <c r="B1677" i="2"/>
  <c r="A1678" i="2"/>
  <c r="B1678" i="2"/>
  <c r="A1679" i="2"/>
  <c r="B1679" i="2"/>
  <c r="A1680" i="2"/>
  <c r="B1680" i="2"/>
  <c r="A1681" i="2"/>
  <c r="B1681" i="2"/>
  <c r="A1682" i="2"/>
  <c r="B1682" i="2"/>
  <c r="A1683" i="2"/>
  <c r="B1683" i="2"/>
  <c r="A1684" i="2"/>
  <c r="B1684" i="2"/>
  <c r="A1685" i="2"/>
  <c r="B1685" i="2"/>
  <c r="A1686" i="2"/>
  <c r="B1686" i="2"/>
  <c r="A1687" i="2"/>
  <c r="B1687" i="2"/>
  <c r="A1688" i="2"/>
  <c r="B1688" i="2"/>
  <c r="A1689" i="2"/>
  <c r="B1689" i="2"/>
  <c r="A1690" i="2"/>
  <c r="B1690" i="2"/>
  <c r="A1691" i="2"/>
  <c r="B1691" i="2"/>
  <c r="A1692" i="2"/>
  <c r="B1692" i="2"/>
  <c r="A1693" i="2"/>
  <c r="B1693" i="2"/>
  <c r="A1694" i="2"/>
  <c r="B1694" i="2"/>
  <c r="A1695" i="2"/>
  <c r="B1695" i="2"/>
  <c r="A1696" i="2"/>
  <c r="B1696" i="2"/>
  <c r="A1697" i="2"/>
  <c r="B1697" i="2"/>
  <c r="A1698" i="2"/>
  <c r="B1698" i="2"/>
  <c r="A1699" i="2"/>
  <c r="B1699" i="2"/>
  <c r="A1700" i="2"/>
  <c r="B1700" i="2"/>
  <c r="A1701" i="2"/>
  <c r="B1701" i="2"/>
  <c r="A1702" i="2"/>
  <c r="B1702" i="2"/>
  <c r="A1703" i="2"/>
  <c r="B1703" i="2"/>
  <c r="A1704" i="2"/>
  <c r="B1704" i="2"/>
  <c r="A1705" i="2"/>
  <c r="B1705" i="2"/>
  <c r="A1706" i="2"/>
  <c r="B1706" i="2"/>
  <c r="A1707" i="2"/>
  <c r="B1707" i="2"/>
  <c r="A1708" i="2"/>
  <c r="B1708" i="2"/>
  <c r="A1709" i="2"/>
  <c r="B1709" i="2"/>
  <c r="A1710" i="2"/>
  <c r="B1710" i="2"/>
  <c r="A1711" i="2"/>
  <c r="B1711" i="2"/>
  <c r="A1712" i="2"/>
  <c r="B1712" i="2"/>
  <c r="A1713" i="2"/>
  <c r="B1713" i="2"/>
  <c r="A1714" i="2"/>
  <c r="B1714" i="2"/>
  <c r="A1715" i="2"/>
  <c r="B1715" i="2"/>
  <c r="A1716" i="2"/>
  <c r="B1716" i="2"/>
  <c r="A1717" i="2"/>
  <c r="B1717" i="2"/>
  <c r="A1718" i="2"/>
  <c r="B1718" i="2"/>
  <c r="A1719" i="2"/>
  <c r="B1719" i="2"/>
  <c r="A1720" i="2"/>
  <c r="B1720" i="2"/>
  <c r="A1721" i="2"/>
  <c r="B1721" i="2"/>
  <c r="A1722" i="2"/>
  <c r="B1722" i="2"/>
  <c r="A1723" i="2"/>
  <c r="B1723" i="2"/>
  <c r="A1724" i="2"/>
  <c r="B1724" i="2"/>
  <c r="A1725" i="2"/>
  <c r="B1725" i="2"/>
  <c r="A1726" i="2"/>
  <c r="B1726" i="2"/>
  <c r="A1727" i="2"/>
  <c r="B1727" i="2"/>
  <c r="A1728" i="2"/>
  <c r="B1728" i="2"/>
  <c r="A1729" i="2"/>
  <c r="B1729" i="2"/>
  <c r="A1730" i="2"/>
  <c r="B1730" i="2"/>
  <c r="A1731" i="2"/>
  <c r="B1731" i="2"/>
  <c r="A1732" i="2"/>
  <c r="B1732" i="2"/>
  <c r="A1733" i="2"/>
  <c r="B1733" i="2"/>
  <c r="A1734" i="2"/>
  <c r="B1734" i="2"/>
  <c r="A1735" i="2"/>
  <c r="B1735" i="2"/>
  <c r="A1736" i="2"/>
  <c r="B1736" i="2"/>
  <c r="A1737" i="2"/>
  <c r="B1737" i="2"/>
  <c r="A1738" i="2"/>
  <c r="B1738" i="2"/>
  <c r="A1739" i="2"/>
  <c r="B1739" i="2"/>
  <c r="A1740" i="2"/>
  <c r="B1740" i="2"/>
  <c r="A1741" i="2"/>
  <c r="B1741" i="2"/>
  <c r="A1742" i="2"/>
  <c r="B1742" i="2"/>
  <c r="A1743" i="2"/>
  <c r="B1743" i="2"/>
  <c r="A1744" i="2"/>
  <c r="B1744" i="2"/>
  <c r="A1745" i="2"/>
  <c r="B1745" i="2"/>
  <c r="A1746" i="2"/>
  <c r="B1746" i="2"/>
  <c r="A1747" i="2"/>
  <c r="B1747" i="2"/>
  <c r="A1748" i="2"/>
  <c r="B1748" i="2"/>
  <c r="A1749" i="2"/>
  <c r="B1749" i="2"/>
  <c r="A1750" i="2"/>
  <c r="B1750" i="2"/>
  <c r="A1751" i="2"/>
  <c r="B1751" i="2"/>
  <c r="A1752" i="2"/>
  <c r="B1752" i="2"/>
  <c r="A1753" i="2"/>
  <c r="B1753" i="2"/>
  <c r="A1754" i="2"/>
  <c r="B1754" i="2"/>
  <c r="A1755" i="2"/>
  <c r="B1755" i="2"/>
  <c r="A1756" i="2"/>
  <c r="B1756" i="2"/>
  <c r="A1757" i="2"/>
  <c r="B1757" i="2"/>
  <c r="A1758" i="2"/>
  <c r="B1758" i="2"/>
  <c r="A1759" i="2"/>
  <c r="B1759" i="2"/>
  <c r="A1760" i="2"/>
  <c r="B1760" i="2"/>
  <c r="A1761" i="2"/>
  <c r="B1761" i="2"/>
  <c r="A1762" i="2"/>
  <c r="B1762" i="2"/>
  <c r="A1763" i="2"/>
  <c r="B1763" i="2"/>
  <c r="A1764" i="2"/>
  <c r="B1764" i="2"/>
  <c r="A1765" i="2"/>
  <c r="B1765" i="2"/>
  <c r="A1766" i="2"/>
  <c r="B1766" i="2"/>
  <c r="A1767" i="2"/>
  <c r="B1767" i="2"/>
  <c r="A1768" i="2"/>
  <c r="B1768" i="2"/>
  <c r="A1769" i="2"/>
  <c r="B1769" i="2"/>
  <c r="A1770" i="2"/>
  <c r="B1770" i="2"/>
  <c r="A1771" i="2"/>
  <c r="B1771" i="2"/>
  <c r="A1772" i="2"/>
  <c r="B1772" i="2"/>
  <c r="A1773" i="2"/>
  <c r="B1773" i="2"/>
  <c r="A1774" i="2"/>
  <c r="B1774" i="2"/>
  <c r="A1775" i="2"/>
  <c r="B1775" i="2"/>
  <c r="A1776" i="2"/>
  <c r="B1776" i="2"/>
  <c r="A1777" i="2"/>
  <c r="B1777" i="2"/>
  <c r="A1778" i="2"/>
  <c r="B1778" i="2"/>
  <c r="A1779" i="2"/>
  <c r="B1779" i="2"/>
  <c r="A1780" i="2"/>
  <c r="B1780" i="2"/>
  <c r="A1781" i="2"/>
  <c r="B1781" i="2"/>
  <c r="A1782" i="2"/>
  <c r="B1782" i="2"/>
  <c r="A1783" i="2"/>
  <c r="B1783" i="2"/>
  <c r="A1784" i="2"/>
  <c r="B1784" i="2"/>
  <c r="A1785" i="2"/>
  <c r="B1785" i="2"/>
  <c r="A1786" i="2"/>
  <c r="B1786" i="2"/>
  <c r="A1787" i="2"/>
  <c r="B1787" i="2"/>
  <c r="A1788" i="2"/>
  <c r="B1788" i="2"/>
  <c r="A1789" i="2"/>
  <c r="B1789" i="2"/>
  <c r="A1790" i="2"/>
  <c r="B1790" i="2"/>
  <c r="A1791" i="2"/>
  <c r="B1791" i="2"/>
  <c r="A1792" i="2"/>
  <c r="B1792" i="2"/>
  <c r="A1793" i="2"/>
  <c r="B1793" i="2"/>
  <c r="A1794" i="2"/>
  <c r="B1794" i="2"/>
  <c r="A1795" i="2"/>
  <c r="B1795" i="2"/>
  <c r="A1796" i="2"/>
  <c r="B1796" i="2"/>
  <c r="A1797" i="2"/>
  <c r="B1797" i="2"/>
  <c r="A1798" i="2"/>
  <c r="B1798" i="2"/>
  <c r="A1799" i="2"/>
  <c r="B1799" i="2"/>
  <c r="A1800" i="2"/>
  <c r="B1800" i="2"/>
  <c r="A1801" i="2"/>
  <c r="B1801" i="2"/>
  <c r="A1802" i="2"/>
  <c r="B1802" i="2"/>
  <c r="A1803" i="2"/>
  <c r="B1803" i="2"/>
  <c r="A1804" i="2"/>
  <c r="B1804" i="2"/>
  <c r="A1805" i="2"/>
  <c r="B1805" i="2"/>
  <c r="A1806" i="2"/>
  <c r="B1806" i="2"/>
  <c r="A1807" i="2"/>
  <c r="B1807" i="2"/>
  <c r="A1808" i="2"/>
  <c r="B1808" i="2"/>
  <c r="A1809" i="2"/>
  <c r="B1809" i="2"/>
  <c r="A1810" i="2"/>
  <c r="B1810" i="2"/>
  <c r="A1811" i="2"/>
  <c r="B1811" i="2"/>
  <c r="A1812" i="2"/>
  <c r="B1812" i="2"/>
  <c r="A1813" i="2"/>
  <c r="B1813" i="2"/>
  <c r="A1814" i="2"/>
  <c r="B1814" i="2"/>
  <c r="A1815" i="2"/>
  <c r="B1815" i="2"/>
  <c r="A1816" i="2"/>
  <c r="B1816" i="2"/>
  <c r="A1817" i="2"/>
  <c r="B1817" i="2"/>
  <c r="A1818" i="2"/>
  <c r="B1818" i="2"/>
  <c r="A1819" i="2"/>
  <c r="B1819" i="2"/>
  <c r="A1820" i="2"/>
  <c r="B1820" i="2"/>
  <c r="A1821" i="2"/>
  <c r="B1821" i="2"/>
  <c r="A1822" i="2"/>
  <c r="B1822" i="2"/>
  <c r="A1823" i="2"/>
  <c r="B1823" i="2"/>
  <c r="A1824" i="2"/>
  <c r="B1824" i="2"/>
  <c r="A1825" i="2"/>
  <c r="B1825" i="2"/>
  <c r="A1826" i="2"/>
  <c r="B1826" i="2"/>
  <c r="A1827" i="2"/>
  <c r="B1827" i="2"/>
  <c r="A1828" i="2"/>
  <c r="B1828" i="2"/>
  <c r="A1829" i="2"/>
  <c r="B1829" i="2"/>
  <c r="A1830" i="2"/>
  <c r="B1830" i="2"/>
  <c r="A1831" i="2"/>
  <c r="B1831" i="2"/>
  <c r="A1832" i="2"/>
  <c r="B1832" i="2"/>
  <c r="A1833" i="2"/>
  <c r="B1833" i="2"/>
  <c r="A1834" i="2"/>
  <c r="B1834" i="2"/>
  <c r="A1835" i="2"/>
  <c r="B1835" i="2"/>
  <c r="A1836" i="2"/>
  <c r="B1836" i="2"/>
  <c r="A1837" i="2"/>
  <c r="B1837" i="2"/>
  <c r="A1838" i="2"/>
  <c r="B1838" i="2"/>
  <c r="A1839" i="2"/>
  <c r="B1839" i="2"/>
  <c r="A1840" i="2"/>
  <c r="B1840" i="2"/>
  <c r="A1841" i="2"/>
  <c r="B1841" i="2"/>
  <c r="A1842" i="2"/>
  <c r="B1842" i="2"/>
  <c r="A1843" i="2"/>
  <c r="B1843" i="2"/>
  <c r="A1844" i="2"/>
  <c r="B1844" i="2"/>
  <c r="A1845" i="2"/>
  <c r="B1845" i="2"/>
  <c r="A1846" i="2"/>
  <c r="B1846" i="2"/>
  <c r="A1847" i="2"/>
  <c r="B1847" i="2"/>
  <c r="A1848" i="2"/>
  <c r="B1848" i="2"/>
  <c r="A1849" i="2"/>
  <c r="B1849" i="2"/>
  <c r="A1850" i="2"/>
  <c r="B1850" i="2"/>
  <c r="A1851" i="2"/>
  <c r="B1851" i="2"/>
  <c r="A1852" i="2"/>
  <c r="B1852" i="2"/>
  <c r="A1853" i="2"/>
  <c r="B1853" i="2"/>
  <c r="A1854" i="2"/>
  <c r="B1854" i="2"/>
  <c r="A1855" i="2"/>
  <c r="B1855" i="2"/>
  <c r="A1856" i="2"/>
  <c r="B1856" i="2"/>
  <c r="A1857" i="2"/>
  <c r="B1857" i="2"/>
  <c r="A1858" i="2"/>
  <c r="B1858" i="2"/>
  <c r="A1859" i="2"/>
  <c r="B1859" i="2"/>
  <c r="A1860" i="2"/>
  <c r="B1860" i="2"/>
  <c r="A1861" i="2"/>
  <c r="B1861" i="2"/>
  <c r="A1862" i="2"/>
  <c r="B1862" i="2"/>
  <c r="A1863" i="2"/>
  <c r="B1863" i="2"/>
  <c r="A1864" i="2"/>
  <c r="B1864" i="2"/>
  <c r="A1865" i="2"/>
  <c r="B1865" i="2"/>
  <c r="A1866" i="2"/>
  <c r="B1866" i="2"/>
  <c r="A1867" i="2"/>
  <c r="B1867" i="2"/>
  <c r="A1868" i="2"/>
  <c r="B1868" i="2"/>
  <c r="A1869" i="2"/>
  <c r="B1869" i="2"/>
  <c r="A1870" i="2"/>
  <c r="B1870" i="2"/>
  <c r="A1871" i="2"/>
  <c r="B1871" i="2"/>
  <c r="A1872" i="2"/>
  <c r="B1872" i="2"/>
  <c r="A1873" i="2"/>
  <c r="B1873" i="2"/>
  <c r="A1874" i="2"/>
  <c r="B1874" i="2"/>
  <c r="A1875" i="2"/>
  <c r="B1875" i="2"/>
  <c r="A1876" i="2"/>
  <c r="B1876" i="2"/>
  <c r="A1877" i="2"/>
  <c r="B1877" i="2"/>
  <c r="A1878" i="2"/>
  <c r="B1878" i="2"/>
  <c r="A1879" i="2"/>
  <c r="B1879" i="2"/>
  <c r="A1880" i="2"/>
  <c r="B1880" i="2"/>
  <c r="A1881" i="2"/>
  <c r="B1881" i="2"/>
  <c r="A1882" i="2"/>
  <c r="B1882" i="2"/>
  <c r="A1883" i="2"/>
  <c r="B1883" i="2"/>
  <c r="A1884" i="2"/>
  <c r="B1884" i="2"/>
  <c r="A1885" i="2"/>
  <c r="B1885" i="2"/>
  <c r="A1886" i="2"/>
  <c r="B1886" i="2"/>
  <c r="A1887" i="2"/>
  <c r="B1887" i="2"/>
  <c r="A1888" i="2"/>
  <c r="B1888" i="2"/>
  <c r="A1889" i="2"/>
  <c r="B1889" i="2"/>
  <c r="A1890" i="2"/>
  <c r="B1890" i="2"/>
  <c r="A1891" i="2"/>
  <c r="B1891" i="2"/>
  <c r="A1892" i="2"/>
  <c r="B1892" i="2"/>
  <c r="A1893" i="2"/>
  <c r="B1893" i="2"/>
  <c r="A1894" i="2"/>
  <c r="B1894" i="2"/>
  <c r="A1895" i="2"/>
  <c r="B1895" i="2"/>
  <c r="A1896" i="2"/>
  <c r="B1896" i="2"/>
  <c r="A1897" i="2"/>
  <c r="B1897" i="2"/>
  <c r="A1898" i="2"/>
  <c r="B1898" i="2"/>
  <c r="A1899" i="2"/>
  <c r="B1899" i="2"/>
  <c r="A1900" i="2"/>
  <c r="B1900" i="2"/>
  <c r="A1901" i="2"/>
  <c r="B1901" i="2"/>
  <c r="A1902" i="2"/>
  <c r="B1902" i="2"/>
  <c r="A1903" i="2"/>
  <c r="B1903" i="2"/>
  <c r="A1904" i="2"/>
  <c r="B1904" i="2"/>
  <c r="A1905" i="2"/>
  <c r="B1905" i="2"/>
  <c r="A1906" i="2"/>
  <c r="B1906" i="2"/>
  <c r="A1907" i="2"/>
  <c r="B1907" i="2"/>
  <c r="A1908" i="2"/>
  <c r="B1908" i="2"/>
  <c r="A1909" i="2"/>
  <c r="B1909" i="2"/>
  <c r="A1910" i="2"/>
  <c r="B1910" i="2"/>
  <c r="A1911" i="2"/>
  <c r="B1911" i="2"/>
  <c r="A1912" i="2"/>
  <c r="B1912" i="2"/>
  <c r="A1913" i="2"/>
  <c r="B1913" i="2"/>
  <c r="A1914" i="2"/>
  <c r="B1914" i="2"/>
  <c r="A1915" i="2"/>
  <c r="B1915" i="2"/>
  <c r="A1916" i="2"/>
  <c r="B1916" i="2"/>
  <c r="A1917" i="2"/>
  <c r="B1917" i="2"/>
  <c r="A1918" i="2"/>
  <c r="B1918" i="2"/>
  <c r="A1919" i="2"/>
  <c r="B1919" i="2"/>
  <c r="A1920" i="2"/>
  <c r="B1920" i="2"/>
  <c r="A1921" i="2"/>
  <c r="B1921" i="2"/>
  <c r="A1922" i="2"/>
  <c r="B1922" i="2"/>
  <c r="A1923" i="2"/>
  <c r="B1923" i="2"/>
  <c r="A1924" i="2"/>
  <c r="B1924" i="2"/>
  <c r="A1925" i="2"/>
  <c r="B1925" i="2"/>
  <c r="A1926" i="2"/>
  <c r="B1926" i="2"/>
  <c r="A1927" i="2"/>
  <c r="B1927" i="2"/>
  <c r="A1928" i="2"/>
  <c r="B1928" i="2"/>
  <c r="A1929" i="2"/>
  <c r="B1929" i="2"/>
  <c r="A1930" i="2"/>
  <c r="B1930" i="2"/>
  <c r="A1931" i="2"/>
  <c r="B1931" i="2"/>
  <c r="A1932" i="2"/>
  <c r="B1932" i="2"/>
  <c r="A1933" i="2"/>
  <c r="B1933" i="2"/>
  <c r="A1934" i="2"/>
  <c r="B1934" i="2"/>
  <c r="A1935" i="2"/>
  <c r="B1935" i="2"/>
  <c r="A1936" i="2"/>
  <c r="B1936" i="2"/>
  <c r="A1937" i="2"/>
  <c r="B1937" i="2"/>
  <c r="A1938" i="2"/>
  <c r="B1938" i="2"/>
  <c r="A1939" i="2"/>
  <c r="B1939" i="2"/>
  <c r="A1940" i="2"/>
  <c r="B1940" i="2"/>
  <c r="A1941" i="2"/>
  <c r="B1941" i="2"/>
  <c r="A1942" i="2"/>
  <c r="B1942" i="2"/>
  <c r="A1943" i="2"/>
  <c r="B1943" i="2"/>
  <c r="A1944" i="2"/>
  <c r="B1944" i="2"/>
  <c r="A1945" i="2"/>
  <c r="B1945" i="2"/>
  <c r="A1946" i="2"/>
  <c r="B1946" i="2"/>
  <c r="A1947" i="2"/>
  <c r="B1947" i="2"/>
  <c r="A1948" i="2"/>
  <c r="B1948" i="2"/>
  <c r="A1949" i="2"/>
  <c r="B1949" i="2"/>
  <c r="A1950" i="2"/>
  <c r="B1950" i="2"/>
  <c r="A1951" i="2"/>
  <c r="B1951" i="2"/>
  <c r="A1952" i="2"/>
  <c r="B1952" i="2"/>
  <c r="A1953" i="2"/>
  <c r="B1953" i="2"/>
  <c r="A1954" i="2"/>
  <c r="B1954" i="2"/>
  <c r="A1955" i="2"/>
  <c r="B1955" i="2"/>
  <c r="A1956" i="2"/>
  <c r="B1956" i="2"/>
  <c r="A1957" i="2"/>
  <c r="B1957" i="2"/>
  <c r="A1958" i="2"/>
  <c r="B1958" i="2"/>
  <c r="A1959" i="2"/>
  <c r="B1959" i="2"/>
  <c r="A1960" i="2"/>
  <c r="B1960" i="2"/>
  <c r="A1961" i="2"/>
  <c r="B1961" i="2"/>
  <c r="A1962" i="2"/>
  <c r="B1962" i="2"/>
  <c r="A1963" i="2"/>
  <c r="B1963" i="2"/>
  <c r="A1964" i="2"/>
  <c r="B1964" i="2"/>
  <c r="A1965" i="2"/>
  <c r="B1965" i="2"/>
  <c r="A1966" i="2"/>
  <c r="B1966" i="2"/>
  <c r="A1967" i="2"/>
  <c r="B1967" i="2"/>
  <c r="A1968" i="2"/>
  <c r="B1968" i="2"/>
  <c r="A1969" i="2"/>
  <c r="B1969" i="2"/>
  <c r="A1970" i="2"/>
  <c r="B1970" i="2"/>
  <c r="A1971" i="2"/>
  <c r="B1971" i="2"/>
  <c r="A1972" i="2"/>
  <c r="B1972" i="2"/>
  <c r="A1973" i="2"/>
  <c r="B1973" i="2"/>
  <c r="A1974" i="2"/>
  <c r="B1974" i="2"/>
  <c r="A1975" i="2"/>
  <c r="B1975" i="2"/>
  <c r="A1976" i="2"/>
  <c r="B1976" i="2"/>
  <c r="A1977" i="2"/>
  <c r="B1977" i="2"/>
  <c r="A1978" i="2"/>
  <c r="B1978" i="2"/>
  <c r="A1979" i="2"/>
  <c r="B1979" i="2"/>
  <c r="A1980" i="2"/>
  <c r="B1980" i="2"/>
  <c r="A1981" i="2"/>
  <c r="B1981" i="2"/>
  <c r="A1982" i="2"/>
  <c r="B1982" i="2"/>
  <c r="A1983" i="2"/>
  <c r="B1983" i="2"/>
  <c r="A1984" i="2"/>
  <c r="B1984" i="2"/>
  <c r="A1985" i="2"/>
  <c r="B1985" i="2"/>
  <c r="A1986" i="2"/>
  <c r="B1986" i="2"/>
  <c r="A1987" i="2"/>
  <c r="B1987" i="2"/>
  <c r="A1988" i="2"/>
  <c r="B1988" i="2"/>
  <c r="A1989" i="2"/>
  <c r="B1989" i="2"/>
  <c r="A1990" i="2"/>
  <c r="B1990" i="2"/>
  <c r="A1991" i="2"/>
  <c r="B1991" i="2"/>
  <c r="A1992" i="2"/>
  <c r="B1992" i="2"/>
  <c r="A1993" i="2"/>
  <c r="B1993" i="2"/>
  <c r="A1994" i="2"/>
  <c r="B1994" i="2"/>
  <c r="A1995" i="2"/>
  <c r="B1995" i="2"/>
  <c r="A1996" i="2"/>
  <c r="B1996" i="2"/>
  <c r="A1997" i="2"/>
  <c r="B1997" i="2"/>
  <c r="A1998" i="2"/>
  <c r="B1998" i="2"/>
  <c r="A1999" i="2"/>
  <c r="B1999" i="2"/>
  <c r="A2000" i="2"/>
  <c r="B2000" i="2"/>
  <c r="A2001" i="2"/>
  <c r="B2001" i="2"/>
  <c r="A2002" i="2"/>
  <c r="B2002" i="2"/>
  <c r="A2003" i="2"/>
  <c r="B2003" i="2"/>
  <c r="A2004" i="2"/>
  <c r="B2004" i="2"/>
  <c r="A2005" i="2"/>
  <c r="B2005" i="2"/>
  <c r="A2006" i="2"/>
  <c r="B2006" i="2"/>
  <c r="A2007" i="2"/>
  <c r="B2007" i="2"/>
  <c r="A2008" i="2"/>
  <c r="B2008" i="2"/>
  <c r="A2009" i="2"/>
  <c r="B2009" i="2"/>
  <c r="A2010" i="2"/>
  <c r="B2010" i="2"/>
  <c r="A2011" i="2"/>
  <c r="B2011" i="2"/>
  <c r="A2012" i="2"/>
  <c r="B2012" i="2"/>
  <c r="A2013" i="2"/>
  <c r="B2013" i="2"/>
  <c r="A2014" i="2"/>
  <c r="B2014" i="2"/>
  <c r="A2015" i="2"/>
  <c r="B2015" i="2"/>
  <c r="A2016" i="2"/>
  <c r="B2016" i="2"/>
  <c r="A2017" i="2"/>
  <c r="B2017" i="2"/>
  <c r="A2018" i="2"/>
  <c r="B2018" i="2"/>
  <c r="A2019" i="2"/>
  <c r="B2019" i="2"/>
  <c r="A2020" i="2"/>
  <c r="B2020" i="2"/>
  <c r="A2021" i="2"/>
  <c r="B2021" i="2"/>
  <c r="A2022" i="2"/>
  <c r="B2022" i="2"/>
  <c r="A2023" i="2"/>
  <c r="B2023" i="2"/>
  <c r="A2024" i="2"/>
  <c r="B2024" i="2"/>
  <c r="A2025" i="2"/>
  <c r="B2025" i="2"/>
  <c r="A2026" i="2"/>
  <c r="B2026" i="2"/>
  <c r="A2027" i="2"/>
  <c r="B2027" i="2"/>
  <c r="A2028" i="2"/>
  <c r="B2028" i="2"/>
  <c r="A2029" i="2"/>
  <c r="B2029" i="2"/>
  <c r="A2030" i="2"/>
  <c r="B2030" i="2"/>
  <c r="A2031" i="2"/>
  <c r="B2031" i="2"/>
  <c r="A2032" i="2"/>
  <c r="B2032" i="2"/>
  <c r="A2033" i="2"/>
  <c r="B2033" i="2"/>
  <c r="A2034" i="2"/>
  <c r="B2034" i="2"/>
  <c r="A2035" i="2"/>
  <c r="B2035" i="2"/>
  <c r="A2036" i="2"/>
  <c r="B2036" i="2"/>
  <c r="A2037" i="2"/>
  <c r="B2037" i="2"/>
  <c r="A2038" i="2"/>
  <c r="B2038" i="2"/>
  <c r="A2039" i="2"/>
  <c r="B2039" i="2"/>
  <c r="A2040" i="2"/>
  <c r="B2040" i="2"/>
  <c r="A2041" i="2"/>
  <c r="B2041" i="2"/>
  <c r="A2042" i="2"/>
  <c r="B2042" i="2"/>
  <c r="A2043" i="2"/>
  <c r="B2043" i="2"/>
  <c r="A2044" i="2"/>
  <c r="B2044" i="2"/>
  <c r="A2045" i="2"/>
  <c r="B2045" i="2"/>
  <c r="A2046" i="2"/>
  <c r="B2046" i="2"/>
  <c r="A2047" i="2"/>
  <c r="B2047" i="2"/>
  <c r="A2048" i="2"/>
  <c r="B2048" i="2"/>
  <c r="A2049" i="2"/>
  <c r="B2049" i="2"/>
  <c r="A2050" i="2"/>
  <c r="B2050" i="2"/>
  <c r="A2051" i="2"/>
  <c r="B2051" i="2"/>
  <c r="A2052" i="2"/>
  <c r="B2052" i="2"/>
  <c r="A2053" i="2"/>
  <c r="B2053" i="2"/>
  <c r="A2054" i="2"/>
  <c r="B2054" i="2"/>
  <c r="A2055" i="2"/>
  <c r="B2055" i="2"/>
  <c r="A2056" i="2"/>
  <c r="B2056" i="2"/>
  <c r="A2057" i="2"/>
  <c r="B2057" i="2"/>
  <c r="A2058" i="2"/>
  <c r="B2058" i="2"/>
  <c r="A2059" i="2"/>
  <c r="B2059" i="2"/>
  <c r="A2060" i="2"/>
  <c r="B2060" i="2"/>
  <c r="A2061" i="2"/>
  <c r="B2061" i="2"/>
  <c r="A2062" i="2"/>
  <c r="B2062" i="2"/>
  <c r="A2063" i="2"/>
  <c r="B2063" i="2"/>
  <c r="A2064" i="2"/>
  <c r="B2064" i="2"/>
  <c r="A2065" i="2"/>
  <c r="B2065" i="2"/>
  <c r="A2066" i="2"/>
  <c r="B2066" i="2"/>
  <c r="A2067" i="2"/>
  <c r="B2067" i="2"/>
  <c r="A2068" i="2"/>
  <c r="B2068" i="2"/>
  <c r="A2069" i="2"/>
  <c r="B2069" i="2"/>
  <c r="A2070" i="2"/>
  <c r="B2070" i="2"/>
  <c r="A2071" i="2"/>
  <c r="B2071" i="2"/>
  <c r="A2072" i="2"/>
  <c r="B2072" i="2"/>
  <c r="A2073" i="2"/>
  <c r="B2073" i="2"/>
  <c r="A2074" i="2"/>
  <c r="B2074" i="2"/>
  <c r="A2075" i="2"/>
  <c r="B2075" i="2"/>
  <c r="A2076" i="2"/>
  <c r="B2076" i="2"/>
  <c r="A2077" i="2"/>
  <c r="B2077" i="2"/>
  <c r="A2078" i="2"/>
  <c r="B2078" i="2"/>
  <c r="A2079" i="2"/>
  <c r="B2079" i="2"/>
  <c r="A2080" i="2"/>
  <c r="B2080" i="2"/>
  <c r="A2081" i="2"/>
  <c r="B2081" i="2"/>
  <c r="A2082" i="2"/>
  <c r="B2082" i="2"/>
  <c r="A2083" i="2"/>
  <c r="B2083" i="2"/>
  <c r="A2084" i="2"/>
  <c r="B2084" i="2"/>
  <c r="A2085" i="2"/>
  <c r="B2085" i="2"/>
  <c r="A2086" i="2"/>
  <c r="B2086" i="2"/>
  <c r="A2087" i="2"/>
  <c r="B2087" i="2"/>
  <c r="A2088" i="2"/>
  <c r="B2088" i="2"/>
  <c r="A2089" i="2"/>
  <c r="B2089" i="2"/>
  <c r="A2090" i="2"/>
  <c r="B2090" i="2"/>
  <c r="A2091" i="2"/>
  <c r="B2091" i="2"/>
  <c r="A2092" i="2"/>
  <c r="B2092" i="2"/>
  <c r="A2093" i="2"/>
  <c r="B2093" i="2"/>
  <c r="A2094" i="2"/>
  <c r="B2094" i="2"/>
  <c r="A2095" i="2"/>
  <c r="B2095" i="2"/>
  <c r="A2096" i="2"/>
  <c r="B2096" i="2"/>
  <c r="A2097" i="2"/>
  <c r="B2097" i="2"/>
  <c r="A2098" i="2"/>
  <c r="B2098" i="2"/>
  <c r="A2099" i="2"/>
  <c r="B2099" i="2"/>
  <c r="A2100" i="2"/>
  <c r="B2100" i="2"/>
  <c r="A2101" i="2"/>
  <c r="B2101" i="2"/>
  <c r="A2102" i="2"/>
  <c r="B2102" i="2"/>
  <c r="A2103" i="2"/>
  <c r="B2103" i="2"/>
  <c r="A2104" i="2"/>
  <c r="B2104" i="2"/>
  <c r="A2105" i="2"/>
  <c r="B2105" i="2"/>
  <c r="A2106" i="2"/>
  <c r="B2106" i="2"/>
  <c r="A2107" i="2"/>
  <c r="B2107" i="2"/>
  <c r="A2108" i="2"/>
  <c r="B2108" i="2"/>
  <c r="A2109" i="2"/>
  <c r="B2109" i="2"/>
  <c r="A2110" i="2"/>
  <c r="B2110" i="2"/>
  <c r="A2111" i="2"/>
  <c r="B2111" i="2"/>
  <c r="A2112" i="2"/>
  <c r="B2112" i="2"/>
  <c r="A2113" i="2"/>
  <c r="B2113" i="2"/>
  <c r="A2114" i="2"/>
  <c r="B2114" i="2"/>
  <c r="A2115" i="2"/>
  <c r="B2115" i="2"/>
  <c r="A2116" i="2"/>
  <c r="B2116" i="2"/>
  <c r="A2117" i="2"/>
  <c r="B2117" i="2"/>
  <c r="A2118" i="2"/>
  <c r="B2118" i="2"/>
  <c r="A2119" i="2"/>
  <c r="B2119" i="2"/>
  <c r="A2120" i="2"/>
  <c r="B2120" i="2"/>
  <c r="A2121" i="2"/>
  <c r="B2121" i="2"/>
  <c r="A2122" i="2"/>
  <c r="B2122" i="2"/>
  <c r="A2123" i="2"/>
  <c r="B2123" i="2"/>
  <c r="A2124" i="2"/>
  <c r="B2124" i="2"/>
  <c r="A2125" i="2"/>
  <c r="B2125" i="2"/>
  <c r="A2126" i="2"/>
  <c r="B2126" i="2"/>
  <c r="A2127" i="2"/>
  <c r="B2127" i="2"/>
  <c r="A2128" i="2"/>
  <c r="B2128" i="2"/>
  <c r="A2129" i="2"/>
  <c r="B2129" i="2"/>
  <c r="A2130" i="2"/>
  <c r="B2130" i="2"/>
  <c r="A2131" i="2"/>
  <c r="B2131" i="2"/>
  <c r="A2132" i="2"/>
  <c r="B2132" i="2"/>
  <c r="A2133" i="2"/>
  <c r="B2133" i="2"/>
  <c r="A2134" i="2"/>
  <c r="B2134" i="2"/>
  <c r="A2135" i="2"/>
  <c r="B2135" i="2"/>
  <c r="A2136" i="2"/>
  <c r="B2136" i="2"/>
  <c r="A2137" i="2"/>
  <c r="B2137" i="2"/>
  <c r="A2138" i="2"/>
  <c r="B2138" i="2"/>
  <c r="A2139" i="2"/>
  <c r="B2139" i="2"/>
  <c r="A2140" i="2"/>
  <c r="B2140" i="2"/>
  <c r="A2141" i="2"/>
  <c r="B2141" i="2"/>
  <c r="A2142" i="2"/>
  <c r="B2142" i="2"/>
  <c r="A2143" i="2"/>
  <c r="B2143" i="2"/>
  <c r="A2144" i="2"/>
  <c r="B2144" i="2"/>
  <c r="A2145" i="2"/>
  <c r="B2145" i="2"/>
  <c r="A2146" i="2"/>
  <c r="B2146" i="2"/>
  <c r="A2147" i="2"/>
  <c r="B2147" i="2"/>
  <c r="A2148" i="2"/>
  <c r="B2148" i="2"/>
  <c r="A2149" i="2"/>
  <c r="B2149" i="2"/>
  <c r="A2150" i="2"/>
  <c r="B2150" i="2"/>
  <c r="A2151" i="2"/>
  <c r="B2151" i="2"/>
  <c r="A2152" i="2"/>
  <c r="B2152" i="2"/>
  <c r="A2153" i="2"/>
  <c r="B2153" i="2"/>
  <c r="A2154" i="2"/>
  <c r="B2154" i="2"/>
  <c r="A2155" i="2"/>
  <c r="B2155" i="2"/>
  <c r="A2156" i="2"/>
  <c r="B2156" i="2"/>
  <c r="A2157" i="2"/>
  <c r="B2157" i="2"/>
  <c r="A2158" i="2"/>
  <c r="B2158" i="2"/>
  <c r="A2159" i="2"/>
  <c r="B2159" i="2"/>
  <c r="A2160" i="2"/>
  <c r="B2160" i="2"/>
  <c r="A2161" i="2"/>
  <c r="B2161" i="2"/>
  <c r="A2162" i="2"/>
  <c r="B2162" i="2"/>
  <c r="A2163" i="2"/>
  <c r="B2163" i="2"/>
  <c r="A2164" i="2"/>
  <c r="B2164" i="2"/>
  <c r="A2165" i="2"/>
  <c r="B2165" i="2"/>
  <c r="A2166" i="2"/>
  <c r="B2166" i="2"/>
  <c r="A2167" i="2"/>
  <c r="B2167" i="2"/>
  <c r="A2168" i="2"/>
  <c r="B2168" i="2"/>
  <c r="A2169" i="2"/>
  <c r="B2169" i="2"/>
  <c r="A2170" i="2"/>
  <c r="B2170" i="2"/>
  <c r="A2171" i="2"/>
  <c r="B2171" i="2"/>
  <c r="A2172" i="2"/>
  <c r="B2172" i="2"/>
  <c r="A2173" i="2"/>
  <c r="B2173" i="2"/>
  <c r="A2174" i="2"/>
  <c r="B2174" i="2"/>
  <c r="A2175" i="2"/>
  <c r="B2175" i="2"/>
  <c r="A2176" i="2"/>
  <c r="B2176" i="2"/>
  <c r="A2177" i="2"/>
  <c r="B2177" i="2"/>
  <c r="A2178" i="2"/>
  <c r="B2178" i="2"/>
  <c r="A2179" i="2"/>
  <c r="B2179" i="2"/>
  <c r="A2180" i="2"/>
  <c r="B2180" i="2"/>
  <c r="A2181" i="2"/>
  <c r="B2181" i="2"/>
  <c r="A2182" i="2"/>
  <c r="B2182" i="2"/>
  <c r="A2183" i="2"/>
  <c r="B2183" i="2"/>
  <c r="A2184" i="2"/>
  <c r="B2184" i="2"/>
  <c r="A2185" i="2"/>
  <c r="B2185" i="2"/>
  <c r="A2186" i="2"/>
  <c r="B2186" i="2"/>
  <c r="A2187" i="2"/>
  <c r="B2187" i="2"/>
  <c r="A2188" i="2"/>
  <c r="B2188" i="2"/>
  <c r="A2189" i="2"/>
  <c r="B2189" i="2"/>
  <c r="A2190" i="2"/>
  <c r="B2190" i="2"/>
  <c r="A2191" i="2"/>
  <c r="B2191" i="2"/>
  <c r="A2192" i="2"/>
  <c r="B2192" i="2"/>
  <c r="A2193" i="2"/>
  <c r="B2193" i="2"/>
  <c r="A2194" i="2"/>
  <c r="B2194" i="2"/>
  <c r="A2195" i="2"/>
  <c r="B2195" i="2"/>
  <c r="A2196" i="2"/>
  <c r="B2196" i="2"/>
  <c r="A2197" i="2"/>
  <c r="B2197" i="2"/>
  <c r="A2198" i="2"/>
  <c r="B2198" i="2"/>
  <c r="A2199" i="2"/>
  <c r="B2199" i="2"/>
  <c r="A2200" i="2"/>
  <c r="B2200" i="2"/>
  <c r="A2201" i="2"/>
  <c r="B2201" i="2"/>
  <c r="A2202" i="2"/>
  <c r="B2202" i="2"/>
  <c r="A2203" i="2"/>
  <c r="B2203" i="2"/>
  <c r="A2204" i="2"/>
  <c r="B2204" i="2"/>
  <c r="A2205" i="2"/>
  <c r="B2205" i="2"/>
  <c r="A2206" i="2"/>
  <c r="B2206" i="2"/>
  <c r="A2207" i="2"/>
  <c r="B2207" i="2"/>
  <c r="A2208" i="2"/>
  <c r="B2208" i="2"/>
  <c r="A2209" i="2"/>
  <c r="B2209" i="2"/>
  <c r="A2210" i="2"/>
  <c r="B2210" i="2"/>
  <c r="A2211" i="2"/>
  <c r="B2211" i="2"/>
  <c r="A2212" i="2"/>
  <c r="B2212" i="2"/>
  <c r="A2213" i="2"/>
  <c r="B2213" i="2"/>
  <c r="A2214" i="2"/>
  <c r="B2214" i="2"/>
  <c r="A2215" i="2"/>
  <c r="B2215" i="2"/>
  <c r="A2216" i="2"/>
  <c r="B2216" i="2"/>
  <c r="A2217" i="2"/>
  <c r="B2217" i="2"/>
  <c r="A2218" i="2"/>
  <c r="B2218" i="2"/>
  <c r="A2219" i="2"/>
  <c r="B2219" i="2"/>
  <c r="A2220" i="2"/>
  <c r="B2220" i="2"/>
  <c r="A2221" i="2"/>
  <c r="B2221" i="2"/>
  <c r="A2222" i="2"/>
  <c r="B2222" i="2"/>
  <c r="A2223" i="2"/>
  <c r="B2223" i="2"/>
  <c r="A2224" i="2"/>
  <c r="B2224" i="2"/>
  <c r="A2225" i="2"/>
  <c r="B2225" i="2"/>
  <c r="A2226" i="2"/>
  <c r="B2226" i="2"/>
  <c r="A2227" i="2"/>
  <c r="B2227" i="2"/>
  <c r="A2228" i="2"/>
  <c r="B2228" i="2"/>
  <c r="A2229" i="2"/>
  <c r="B2229" i="2"/>
  <c r="A2230" i="2"/>
  <c r="B2230" i="2"/>
  <c r="A2231" i="2"/>
  <c r="B2231" i="2"/>
  <c r="A2232" i="2"/>
  <c r="B2232" i="2"/>
  <c r="A2233" i="2"/>
  <c r="B2233" i="2"/>
  <c r="A2234" i="2"/>
  <c r="B2234" i="2"/>
  <c r="A2235" i="2"/>
  <c r="B2235" i="2"/>
  <c r="A2236" i="2"/>
  <c r="B2236" i="2"/>
  <c r="A2237" i="2"/>
  <c r="B2237" i="2"/>
  <c r="A2238" i="2"/>
  <c r="B2238" i="2"/>
  <c r="A2239" i="2"/>
  <c r="B2239" i="2"/>
  <c r="A2240" i="2"/>
  <c r="B2240" i="2"/>
  <c r="A2241" i="2"/>
  <c r="B2241" i="2"/>
  <c r="A2242" i="2"/>
  <c r="B2242" i="2"/>
  <c r="A2243" i="2"/>
  <c r="B2243" i="2"/>
  <c r="A2244" i="2"/>
  <c r="B2244" i="2"/>
  <c r="A2245" i="2"/>
  <c r="B2245" i="2"/>
  <c r="A2246" i="2"/>
  <c r="B2246" i="2"/>
  <c r="A2247" i="2"/>
  <c r="B2247" i="2"/>
  <c r="A2248" i="2"/>
  <c r="B2248" i="2"/>
  <c r="A2249" i="2"/>
  <c r="B2249" i="2"/>
  <c r="A2250" i="2"/>
  <c r="B2250" i="2"/>
  <c r="A2251" i="2"/>
  <c r="B2251" i="2"/>
  <c r="A2252" i="2"/>
  <c r="B2252" i="2"/>
  <c r="A2253" i="2"/>
  <c r="B2253" i="2"/>
  <c r="A2254" i="2"/>
  <c r="B2254" i="2"/>
  <c r="A2255" i="2"/>
  <c r="B2255" i="2"/>
  <c r="A2256" i="2"/>
  <c r="B2256" i="2"/>
  <c r="A2257" i="2"/>
  <c r="B2257" i="2"/>
  <c r="A2258" i="2"/>
  <c r="B2258" i="2"/>
  <c r="A2259" i="2"/>
  <c r="B2259" i="2"/>
  <c r="A2260" i="2"/>
  <c r="B2260" i="2"/>
  <c r="A2261" i="2"/>
  <c r="B2261" i="2"/>
  <c r="A2262" i="2"/>
  <c r="B2262" i="2"/>
  <c r="A2263" i="2"/>
  <c r="B2263" i="2"/>
  <c r="A2264" i="2"/>
  <c r="B2264" i="2"/>
  <c r="A2265" i="2"/>
  <c r="B2265" i="2"/>
  <c r="A2266" i="2"/>
  <c r="B2266" i="2"/>
  <c r="A2267" i="2"/>
  <c r="B2267" i="2"/>
  <c r="A2268" i="2"/>
  <c r="B2268" i="2"/>
  <c r="A2269" i="2"/>
  <c r="B2269" i="2"/>
  <c r="A2270" i="2"/>
  <c r="B2270" i="2"/>
  <c r="A2271" i="2"/>
  <c r="B2271" i="2"/>
  <c r="A2272" i="2"/>
  <c r="B2272" i="2"/>
  <c r="A2273" i="2"/>
  <c r="B2273" i="2"/>
  <c r="A2274" i="2"/>
  <c r="B2274" i="2"/>
  <c r="A2275" i="2"/>
  <c r="B2275" i="2"/>
  <c r="A2276" i="2"/>
  <c r="B2276" i="2"/>
  <c r="A2277" i="2"/>
  <c r="B2277" i="2"/>
  <c r="A2278" i="2"/>
  <c r="B2278" i="2"/>
  <c r="A2279" i="2"/>
  <c r="B2279" i="2"/>
  <c r="A2280" i="2"/>
  <c r="B2280" i="2"/>
  <c r="A2281" i="2"/>
  <c r="B2281" i="2"/>
  <c r="A2282" i="2"/>
  <c r="B2282" i="2"/>
  <c r="A2283" i="2"/>
  <c r="B2283" i="2"/>
  <c r="A2284" i="2"/>
  <c r="B2284" i="2"/>
  <c r="A2285" i="2"/>
  <c r="B2285" i="2"/>
  <c r="A2286" i="2"/>
  <c r="B2286" i="2"/>
  <c r="A2287" i="2"/>
  <c r="B2287" i="2"/>
  <c r="A2288" i="2"/>
  <c r="B2288" i="2"/>
  <c r="A2289" i="2"/>
  <c r="B2289" i="2"/>
  <c r="A2290" i="2"/>
  <c r="B2290" i="2"/>
  <c r="A2291" i="2"/>
  <c r="B2291" i="2"/>
  <c r="A2292" i="2"/>
  <c r="B2292" i="2"/>
  <c r="A2293" i="2"/>
  <c r="B2293" i="2"/>
  <c r="A2294" i="2"/>
  <c r="B2294" i="2"/>
  <c r="A2295" i="2"/>
  <c r="B2295" i="2"/>
  <c r="A2296" i="2"/>
  <c r="B2296" i="2"/>
  <c r="A2297" i="2"/>
  <c r="B2297" i="2"/>
  <c r="A2298" i="2"/>
  <c r="B2298" i="2"/>
  <c r="A2299" i="2"/>
  <c r="B2299" i="2"/>
  <c r="A2300" i="2"/>
  <c r="B2300" i="2"/>
  <c r="A2301" i="2"/>
  <c r="B2301" i="2"/>
  <c r="A2302" i="2"/>
  <c r="B2302" i="2"/>
  <c r="A2303" i="2"/>
  <c r="B2303" i="2"/>
  <c r="A2304" i="2"/>
  <c r="B2304" i="2"/>
  <c r="A2305" i="2"/>
  <c r="B2305" i="2"/>
  <c r="A2306" i="2"/>
  <c r="B2306" i="2"/>
  <c r="A2307" i="2"/>
  <c r="B2307" i="2"/>
  <c r="A2308" i="2"/>
  <c r="B2308" i="2"/>
  <c r="A2309" i="2"/>
  <c r="B2309" i="2"/>
  <c r="A2310" i="2"/>
  <c r="B2310" i="2"/>
  <c r="A2311" i="2"/>
  <c r="B2311" i="2"/>
  <c r="A2312" i="2"/>
  <c r="B2312" i="2"/>
  <c r="A2313" i="2"/>
  <c r="B2313" i="2"/>
  <c r="A2314" i="2"/>
  <c r="B2314" i="2"/>
  <c r="A2315" i="2"/>
  <c r="B2315" i="2"/>
  <c r="A2316" i="2"/>
  <c r="B2316" i="2"/>
  <c r="A2317" i="2"/>
  <c r="B2317" i="2"/>
  <c r="A2318" i="2"/>
  <c r="B2318" i="2"/>
  <c r="A2319" i="2"/>
  <c r="B2319" i="2"/>
  <c r="A2320" i="2"/>
  <c r="B2320" i="2"/>
  <c r="A2321" i="2"/>
  <c r="B2321" i="2"/>
  <c r="A2322" i="2"/>
  <c r="B2322" i="2"/>
  <c r="A2323" i="2"/>
  <c r="B2323" i="2"/>
  <c r="A2324" i="2"/>
  <c r="B2324" i="2"/>
  <c r="A2325" i="2"/>
  <c r="B2325" i="2"/>
  <c r="A2326" i="2"/>
  <c r="B2326" i="2"/>
  <c r="A2327" i="2"/>
  <c r="B2327" i="2"/>
  <c r="A2328" i="2"/>
  <c r="B2328" i="2"/>
  <c r="A2329" i="2"/>
  <c r="B2329" i="2"/>
  <c r="A2330" i="2"/>
  <c r="B2330" i="2"/>
  <c r="A2331" i="2"/>
  <c r="B2331" i="2"/>
  <c r="A2332" i="2"/>
  <c r="B2332" i="2"/>
  <c r="A2333" i="2"/>
  <c r="B2333" i="2"/>
  <c r="A2334" i="2"/>
  <c r="B2334" i="2"/>
  <c r="A2335" i="2"/>
  <c r="B2335" i="2"/>
  <c r="A2336" i="2"/>
  <c r="B2336" i="2"/>
  <c r="A2337" i="2"/>
  <c r="B2337" i="2"/>
  <c r="A2338" i="2"/>
  <c r="B2338" i="2"/>
  <c r="A2339" i="2"/>
  <c r="B2339" i="2"/>
  <c r="A2340" i="2"/>
  <c r="B2340" i="2"/>
  <c r="A2341" i="2"/>
  <c r="B2341" i="2"/>
  <c r="A2342" i="2"/>
  <c r="B2342" i="2"/>
  <c r="A2343" i="2"/>
  <c r="B2343" i="2"/>
  <c r="A2344" i="2"/>
  <c r="B2344" i="2"/>
  <c r="A2345" i="2"/>
  <c r="B2345" i="2"/>
  <c r="A2346" i="2"/>
  <c r="B2346" i="2"/>
  <c r="A2347" i="2"/>
  <c r="B2347" i="2"/>
  <c r="A2348" i="2"/>
  <c r="B2348" i="2"/>
  <c r="A2349" i="2"/>
  <c r="B2349" i="2"/>
  <c r="A2350" i="2"/>
  <c r="B2350" i="2"/>
  <c r="A2351" i="2"/>
  <c r="B2351" i="2"/>
  <c r="A2352" i="2"/>
  <c r="B2352" i="2"/>
  <c r="A2353" i="2"/>
  <c r="B2353" i="2"/>
  <c r="A2354" i="2"/>
  <c r="B2354" i="2"/>
  <c r="A2355" i="2"/>
  <c r="B2355" i="2"/>
  <c r="A2356" i="2"/>
  <c r="B2356" i="2"/>
  <c r="A2357" i="2"/>
  <c r="B2357" i="2"/>
  <c r="A2358" i="2"/>
  <c r="B2358" i="2"/>
  <c r="A2359" i="2"/>
  <c r="B2359" i="2"/>
  <c r="A2360" i="2"/>
  <c r="B2360" i="2"/>
  <c r="A2361" i="2"/>
  <c r="B2361" i="2"/>
  <c r="A2362" i="2"/>
  <c r="B2362" i="2"/>
  <c r="A2363" i="2"/>
  <c r="B2363" i="2"/>
  <c r="A2364" i="2"/>
  <c r="B2364" i="2"/>
  <c r="A2365" i="2"/>
  <c r="B2365" i="2"/>
  <c r="A2366" i="2"/>
  <c r="B2366" i="2"/>
  <c r="A2367" i="2"/>
  <c r="B2367" i="2"/>
  <c r="A2368" i="2"/>
  <c r="B2368" i="2"/>
  <c r="A2369" i="2"/>
  <c r="B2369" i="2"/>
  <c r="A2370" i="2"/>
  <c r="B2370" i="2"/>
  <c r="A2371" i="2"/>
  <c r="B2371" i="2"/>
  <c r="A2372" i="2"/>
  <c r="B2372" i="2"/>
  <c r="A2373" i="2"/>
  <c r="B2373" i="2"/>
  <c r="A2374" i="2"/>
  <c r="B2374" i="2"/>
  <c r="A2375" i="2"/>
  <c r="B2375" i="2"/>
  <c r="A2376" i="2"/>
  <c r="B2376" i="2"/>
  <c r="A2377" i="2"/>
  <c r="B2377" i="2"/>
  <c r="A2378" i="2"/>
  <c r="B2378" i="2"/>
  <c r="A2379" i="2"/>
  <c r="B2379" i="2"/>
  <c r="A2380" i="2"/>
  <c r="B2380" i="2"/>
  <c r="A2381" i="2"/>
  <c r="B2381" i="2"/>
  <c r="A2382" i="2"/>
  <c r="B2382" i="2"/>
  <c r="A2383" i="2"/>
  <c r="B2383" i="2"/>
  <c r="A2384" i="2"/>
  <c r="B2384" i="2"/>
  <c r="A2385" i="2"/>
  <c r="B2385" i="2"/>
  <c r="A2386" i="2"/>
  <c r="B2386" i="2"/>
  <c r="A2387" i="2"/>
  <c r="B2387" i="2"/>
  <c r="A2388" i="2"/>
  <c r="B2388" i="2"/>
  <c r="A2389" i="2"/>
  <c r="B2389" i="2"/>
  <c r="A2390" i="2"/>
  <c r="B2390" i="2"/>
  <c r="A2391" i="2"/>
  <c r="B2391" i="2"/>
  <c r="A2392" i="2"/>
  <c r="B2392" i="2"/>
  <c r="A2393" i="2"/>
  <c r="B2393" i="2"/>
  <c r="A2394" i="2"/>
  <c r="B2394" i="2"/>
  <c r="A2395" i="2"/>
  <c r="B2395" i="2"/>
  <c r="A2396" i="2"/>
  <c r="B2396" i="2"/>
  <c r="A2397" i="2"/>
  <c r="B2397" i="2"/>
  <c r="A2398" i="2"/>
  <c r="B2398" i="2"/>
  <c r="A2399" i="2"/>
  <c r="B2399" i="2"/>
  <c r="A2400" i="2"/>
  <c r="B2400" i="2"/>
  <c r="A2401" i="2"/>
  <c r="B2401" i="2"/>
  <c r="A2402" i="2"/>
  <c r="B2402" i="2"/>
  <c r="A2403" i="2"/>
  <c r="B2403" i="2"/>
  <c r="A2404" i="2"/>
  <c r="B2404" i="2"/>
  <c r="A2405" i="2"/>
  <c r="B2405" i="2"/>
  <c r="A2406" i="2"/>
  <c r="B2406" i="2"/>
  <c r="A2407" i="2"/>
  <c r="B2407" i="2"/>
  <c r="A2408" i="2"/>
  <c r="B2408" i="2"/>
  <c r="A2409" i="2"/>
  <c r="B2409" i="2"/>
  <c r="A2410" i="2"/>
  <c r="B2410" i="2"/>
  <c r="A2411" i="2"/>
  <c r="B2411" i="2"/>
  <c r="A2412" i="2"/>
  <c r="B2412" i="2"/>
  <c r="A2413" i="2"/>
  <c r="B2413" i="2"/>
  <c r="A2414" i="2"/>
  <c r="B2414" i="2"/>
  <c r="A2415" i="2"/>
  <c r="B2415" i="2"/>
  <c r="A2416" i="2"/>
  <c r="B2416" i="2"/>
  <c r="A2417" i="2"/>
  <c r="B2417" i="2"/>
  <c r="A2418" i="2"/>
  <c r="B2418" i="2"/>
  <c r="A2419" i="2"/>
  <c r="B2419" i="2"/>
  <c r="A2420" i="2"/>
  <c r="B2420" i="2"/>
  <c r="A2421" i="2"/>
  <c r="B2421" i="2"/>
  <c r="A2422" i="2"/>
  <c r="B2422" i="2"/>
  <c r="A2423" i="2"/>
  <c r="B2423" i="2"/>
  <c r="A2424" i="2"/>
  <c r="B2424" i="2"/>
  <c r="A2425" i="2"/>
  <c r="B2425" i="2"/>
  <c r="A2426" i="2"/>
  <c r="B2426" i="2"/>
  <c r="A2427" i="2"/>
  <c r="B2427" i="2"/>
  <c r="A2428" i="2"/>
  <c r="B2428" i="2"/>
  <c r="A2429" i="2"/>
  <c r="B2429" i="2"/>
  <c r="A2430" i="2"/>
  <c r="B2430" i="2"/>
  <c r="A2431" i="2"/>
  <c r="B2431" i="2"/>
  <c r="A2432" i="2"/>
  <c r="B2432" i="2"/>
  <c r="A2433" i="2"/>
  <c r="B2433" i="2"/>
  <c r="A2434" i="2"/>
  <c r="B2434" i="2"/>
  <c r="A2435" i="2"/>
  <c r="B2435" i="2"/>
  <c r="A2436" i="2"/>
  <c r="B2436" i="2"/>
  <c r="A2437" i="2"/>
  <c r="B2437" i="2"/>
  <c r="A2438" i="2"/>
  <c r="B2438" i="2"/>
  <c r="A2439" i="2"/>
  <c r="B2439" i="2"/>
  <c r="A2440" i="2"/>
  <c r="B2440" i="2"/>
  <c r="A2441" i="2"/>
  <c r="B2441" i="2"/>
  <c r="A2442" i="2"/>
  <c r="B2442" i="2"/>
  <c r="A2443" i="2"/>
  <c r="B2443" i="2"/>
  <c r="A2444" i="2"/>
  <c r="B2444" i="2"/>
  <c r="A2445" i="2"/>
  <c r="B2445" i="2"/>
  <c r="A2446" i="2"/>
  <c r="B2446" i="2"/>
  <c r="A2447" i="2"/>
  <c r="B2447" i="2"/>
  <c r="A2448" i="2"/>
  <c r="B2448" i="2"/>
  <c r="A2449" i="2"/>
  <c r="B2449" i="2"/>
  <c r="A2450" i="2"/>
  <c r="B2450" i="2"/>
  <c r="A2451" i="2"/>
  <c r="B2451" i="2"/>
  <c r="A2452" i="2"/>
  <c r="B2452" i="2"/>
  <c r="A2453" i="2"/>
  <c r="B2453" i="2"/>
  <c r="A2454" i="2"/>
  <c r="B2454" i="2"/>
  <c r="A2455" i="2"/>
  <c r="B2455" i="2"/>
  <c r="A2456" i="2"/>
  <c r="B2456" i="2"/>
  <c r="A2457" i="2"/>
  <c r="B2457" i="2"/>
  <c r="A2458" i="2"/>
  <c r="B2458" i="2"/>
  <c r="A2459" i="2"/>
  <c r="B2459" i="2"/>
  <c r="A2460" i="2"/>
  <c r="B2460" i="2"/>
  <c r="A2461" i="2"/>
  <c r="B2461" i="2"/>
  <c r="A2462" i="2"/>
  <c r="B2462" i="2"/>
  <c r="A2463" i="2"/>
  <c r="B2463" i="2"/>
  <c r="A2464" i="2"/>
  <c r="B2464" i="2"/>
  <c r="A2465" i="2"/>
  <c r="B2465" i="2"/>
  <c r="A2466" i="2"/>
  <c r="B2466" i="2"/>
  <c r="A2467" i="2"/>
  <c r="B2467" i="2"/>
  <c r="A2468" i="2"/>
  <c r="B2468" i="2"/>
  <c r="A2469" i="2"/>
  <c r="B2469" i="2"/>
  <c r="A2470" i="2"/>
  <c r="B2470" i="2"/>
  <c r="A2471" i="2"/>
  <c r="B2471" i="2"/>
  <c r="A2472" i="2"/>
  <c r="B2472" i="2"/>
  <c r="A2473" i="2"/>
  <c r="B2473" i="2"/>
  <c r="A2474" i="2"/>
  <c r="B2474" i="2"/>
  <c r="A2475" i="2"/>
  <c r="B2475" i="2"/>
  <c r="A2476" i="2"/>
  <c r="B2476" i="2"/>
  <c r="A2477" i="2"/>
  <c r="B2477" i="2"/>
  <c r="A2478" i="2"/>
  <c r="B2478" i="2"/>
  <c r="A2479" i="2"/>
  <c r="B2479" i="2"/>
  <c r="A2480" i="2"/>
  <c r="B2480" i="2"/>
  <c r="A2481" i="2"/>
  <c r="B2481" i="2"/>
  <c r="A2482" i="2"/>
  <c r="B2482" i="2"/>
  <c r="A2483" i="2"/>
  <c r="B2483" i="2"/>
  <c r="A2484" i="2"/>
  <c r="B2484" i="2"/>
  <c r="A2485" i="2"/>
  <c r="B2485" i="2"/>
  <c r="A2486" i="2"/>
  <c r="B2486" i="2"/>
  <c r="A2487" i="2"/>
  <c r="B2487" i="2"/>
  <c r="A2488" i="2"/>
  <c r="B2488" i="2"/>
  <c r="A2489" i="2"/>
  <c r="B2489" i="2"/>
  <c r="A2490" i="2"/>
  <c r="B2490" i="2"/>
  <c r="A2491" i="2"/>
  <c r="B2491" i="2"/>
  <c r="A2492" i="2"/>
  <c r="B2492" i="2"/>
  <c r="A2493" i="2"/>
  <c r="B2493" i="2"/>
  <c r="A2494" i="2"/>
  <c r="B2494" i="2"/>
  <c r="A2495" i="2"/>
  <c r="B2495" i="2"/>
  <c r="A2496" i="2"/>
  <c r="B2496" i="2"/>
  <c r="A2497" i="2"/>
  <c r="B2497" i="2"/>
  <c r="A2498" i="2"/>
  <c r="B2498" i="2"/>
  <c r="A2499" i="2"/>
  <c r="B2499" i="2"/>
  <c r="A2500" i="2"/>
  <c r="B2500" i="2"/>
  <c r="A2501" i="2"/>
  <c r="B2501" i="2"/>
  <c r="A2502" i="2"/>
  <c r="B2502" i="2"/>
  <c r="A2503" i="2"/>
  <c r="B2503" i="2"/>
  <c r="A2504" i="2"/>
  <c r="B2504" i="2"/>
  <c r="A2505" i="2"/>
  <c r="B2505" i="2"/>
  <c r="A2506" i="2"/>
  <c r="B2506" i="2"/>
  <c r="A2507" i="2"/>
  <c r="B2507" i="2"/>
  <c r="A2508" i="2"/>
  <c r="B2508" i="2"/>
  <c r="A2509" i="2"/>
  <c r="B2509" i="2"/>
  <c r="A2510" i="2"/>
  <c r="B2510" i="2"/>
  <c r="A2511" i="2"/>
  <c r="B2511" i="2"/>
  <c r="A2512" i="2"/>
  <c r="B2512" i="2"/>
  <c r="A2513" i="2"/>
  <c r="B2513" i="2"/>
  <c r="A2514" i="2"/>
  <c r="B2514" i="2"/>
  <c r="A2515" i="2"/>
  <c r="B2515" i="2"/>
  <c r="A2516" i="2"/>
  <c r="B2516" i="2"/>
  <c r="A2517" i="2"/>
  <c r="B2517" i="2"/>
  <c r="A2518" i="2"/>
  <c r="B2518" i="2"/>
  <c r="A2519" i="2"/>
  <c r="B2519" i="2"/>
  <c r="A2520" i="2"/>
  <c r="B2520" i="2"/>
  <c r="A2521" i="2"/>
  <c r="B2521" i="2"/>
  <c r="A2522" i="2"/>
  <c r="B2522" i="2"/>
  <c r="A2523" i="2"/>
  <c r="B2523" i="2"/>
  <c r="A2524" i="2"/>
  <c r="B2524" i="2"/>
  <c r="A2525" i="2"/>
  <c r="B2525" i="2"/>
  <c r="A2526" i="2"/>
  <c r="B2526" i="2"/>
  <c r="A2527" i="2"/>
  <c r="B2527" i="2"/>
  <c r="A2528" i="2"/>
  <c r="B2528" i="2"/>
  <c r="A2529" i="2"/>
  <c r="B2529" i="2"/>
  <c r="A2530" i="2"/>
  <c r="B2530" i="2"/>
  <c r="A2531" i="2"/>
  <c r="B2531" i="2"/>
  <c r="A2532" i="2"/>
  <c r="B2532" i="2"/>
  <c r="A2533" i="2"/>
  <c r="B2533" i="2"/>
  <c r="A2534" i="2"/>
  <c r="B2534" i="2"/>
  <c r="A2535" i="2"/>
  <c r="B2535" i="2"/>
  <c r="A2536" i="2"/>
  <c r="B2536" i="2"/>
  <c r="A2537" i="2"/>
  <c r="B2537" i="2"/>
  <c r="A2538" i="2"/>
  <c r="B2538" i="2"/>
  <c r="A2539" i="2"/>
  <c r="B2539" i="2"/>
  <c r="A2540" i="2"/>
  <c r="B2540" i="2"/>
  <c r="A2541" i="2"/>
  <c r="B2541" i="2"/>
  <c r="A2542" i="2"/>
  <c r="B2542" i="2"/>
  <c r="A2543" i="2"/>
  <c r="B2543" i="2"/>
  <c r="A2544" i="2"/>
  <c r="B2544" i="2"/>
  <c r="A2545" i="2"/>
  <c r="B2545" i="2"/>
  <c r="A2546" i="2"/>
  <c r="B2546" i="2"/>
  <c r="A2547" i="2"/>
  <c r="B2547" i="2"/>
  <c r="A2548" i="2"/>
  <c r="B2548" i="2"/>
  <c r="A2549" i="2"/>
  <c r="B2549" i="2"/>
  <c r="A2550" i="2"/>
  <c r="B2550" i="2"/>
  <c r="A2551" i="2"/>
  <c r="B2551" i="2"/>
  <c r="A2552" i="2"/>
  <c r="B2552" i="2"/>
  <c r="A2553" i="2"/>
  <c r="B2553" i="2"/>
  <c r="A2554" i="2"/>
  <c r="B2554" i="2"/>
  <c r="A2555" i="2"/>
  <c r="B2555" i="2"/>
  <c r="A2556" i="2"/>
  <c r="B2556" i="2"/>
  <c r="A2557" i="2"/>
  <c r="B2557" i="2"/>
  <c r="A2558" i="2"/>
  <c r="B2558" i="2"/>
  <c r="A2559" i="2"/>
  <c r="B2559" i="2"/>
  <c r="A2560" i="2"/>
  <c r="B2560" i="2"/>
  <c r="A2561" i="2"/>
  <c r="B2561" i="2"/>
  <c r="A2562" i="2"/>
  <c r="B2562" i="2"/>
  <c r="A2563" i="2"/>
  <c r="B2563" i="2"/>
  <c r="A2564" i="2"/>
  <c r="B2564" i="2"/>
  <c r="A2565" i="2"/>
  <c r="B2565" i="2"/>
  <c r="A2566" i="2"/>
  <c r="B2566" i="2"/>
  <c r="A2567" i="2"/>
  <c r="B2567" i="2"/>
  <c r="A2568" i="2"/>
  <c r="B2568" i="2"/>
  <c r="A2569" i="2"/>
  <c r="B2569" i="2"/>
  <c r="A2570" i="2"/>
  <c r="B2570" i="2"/>
  <c r="A2571" i="2"/>
  <c r="B2571" i="2"/>
  <c r="A2572" i="2"/>
  <c r="B2572" i="2"/>
  <c r="A2573" i="2"/>
  <c r="B2573" i="2"/>
  <c r="A2574" i="2"/>
  <c r="B2574" i="2"/>
  <c r="A2575" i="2"/>
  <c r="B2575" i="2"/>
  <c r="A2576" i="2"/>
  <c r="B2576" i="2"/>
  <c r="A2577" i="2"/>
  <c r="B2577" i="2"/>
  <c r="A2578" i="2"/>
  <c r="B2578" i="2"/>
  <c r="A2579" i="2"/>
  <c r="B2579" i="2"/>
  <c r="A2580" i="2"/>
  <c r="B2580" i="2"/>
  <c r="A2581" i="2"/>
  <c r="B2581" i="2"/>
  <c r="A2582" i="2"/>
  <c r="B2582" i="2"/>
  <c r="A2583" i="2"/>
  <c r="B2583" i="2"/>
  <c r="A2584" i="2"/>
  <c r="B2584" i="2"/>
  <c r="A2585" i="2"/>
  <c r="B2585" i="2"/>
  <c r="A2586" i="2"/>
  <c r="B2586" i="2"/>
  <c r="A2587" i="2"/>
  <c r="B2587" i="2"/>
  <c r="A2588" i="2"/>
  <c r="B2588" i="2"/>
  <c r="A2589" i="2"/>
  <c r="B2589" i="2"/>
  <c r="A2590" i="2"/>
  <c r="B2590" i="2"/>
  <c r="A2591" i="2"/>
  <c r="B2591" i="2"/>
  <c r="A2592" i="2"/>
  <c r="B2592" i="2"/>
  <c r="A2593" i="2"/>
  <c r="B2593" i="2"/>
  <c r="A2594" i="2"/>
  <c r="B2594" i="2"/>
  <c r="A2595" i="2"/>
  <c r="B2595" i="2"/>
  <c r="A2596" i="2"/>
  <c r="B2596" i="2"/>
  <c r="A2597" i="2"/>
  <c r="B2597" i="2"/>
  <c r="A2598" i="2"/>
  <c r="B2598" i="2"/>
  <c r="A2599" i="2"/>
  <c r="B2599" i="2"/>
  <c r="A2600" i="2"/>
  <c r="B2600" i="2"/>
  <c r="A2601" i="2"/>
  <c r="B2601" i="2"/>
  <c r="A2602" i="2"/>
  <c r="B2602" i="2"/>
  <c r="A2603" i="2"/>
  <c r="B2603" i="2"/>
  <c r="A2604" i="2"/>
  <c r="B2604" i="2"/>
  <c r="A2605" i="2"/>
  <c r="B2605" i="2"/>
  <c r="A2606" i="2"/>
  <c r="B2606" i="2"/>
  <c r="A2607" i="2"/>
  <c r="B2607" i="2"/>
  <c r="A2608" i="2"/>
  <c r="B2608" i="2"/>
  <c r="A2609" i="2"/>
  <c r="B2609" i="2"/>
  <c r="A2610" i="2"/>
  <c r="B2610" i="2"/>
  <c r="A2611" i="2"/>
  <c r="B2611" i="2"/>
  <c r="A2612" i="2"/>
  <c r="B2612" i="2"/>
  <c r="A2613" i="2"/>
  <c r="B2613" i="2"/>
  <c r="A2614" i="2"/>
  <c r="B2614" i="2"/>
  <c r="A2615" i="2"/>
  <c r="B2615" i="2"/>
  <c r="A2616" i="2"/>
  <c r="B2616" i="2"/>
  <c r="A2617" i="2"/>
  <c r="B2617" i="2"/>
  <c r="A2618" i="2"/>
  <c r="B2618" i="2"/>
  <c r="A2619" i="2"/>
  <c r="B2619" i="2"/>
  <c r="A2620" i="2"/>
  <c r="B2620" i="2"/>
  <c r="A2621" i="2"/>
  <c r="B2621" i="2"/>
  <c r="A2622" i="2"/>
  <c r="B2622" i="2"/>
  <c r="A2623" i="2"/>
  <c r="B2623" i="2"/>
  <c r="A2624" i="2"/>
  <c r="B2624" i="2"/>
  <c r="A2625" i="2"/>
  <c r="B2625" i="2"/>
  <c r="A2626" i="2"/>
  <c r="B2626" i="2"/>
  <c r="A2627" i="2"/>
  <c r="B2627" i="2"/>
  <c r="A2628" i="2"/>
  <c r="B2628" i="2"/>
  <c r="A2629" i="2"/>
  <c r="B2629" i="2"/>
  <c r="A2630" i="2"/>
  <c r="B2630" i="2"/>
  <c r="A2631" i="2"/>
  <c r="B2631" i="2"/>
  <c r="A2632" i="2"/>
  <c r="B2632" i="2"/>
  <c r="A2633" i="2"/>
  <c r="B2633" i="2"/>
  <c r="A2634" i="2"/>
  <c r="B2634" i="2"/>
  <c r="A2635" i="2"/>
  <c r="B2635" i="2"/>
  <c r="A2636" i="2"/>
  <c r="B2636" i="2"/>
  <c r="A2637" i="2"/>
  <c r="B2637" i="2"/>
  <c r="A2638" i="2"/>
  <c r="B2638" i="2"/>
  <c r="A2639" i="2"/>
  <c r="B2639" i="2"/>
  <c r="A2640" i="2"/>
  <c r="B2640" i="2"/>
  <c r="A2641" i="2"/>
  <c r="B2641" i="2"/>
  <c r="A2642" i="2"/>
  <c r="B2642" i="2"/>
  <c r="A2643" i="2"/>
  <c r="B2643" i="2"/>
  <c r="A2644" i="2"/>
  <c r="B2644" i="2"/>
  <c r="A2645" i="2"/>
  <c r="B2645" i="2"/>
  <c r="A2646" i="2"/>
  <c r="B2646" i="2"/>
  <c r="A2647" i="2"/>
  <c r="B2647" i="2"/>
  <c r="A2648" i="2"/>
  <c r="B2648" i="2"/>
  <c r="A2649" i="2"/>
  <c r="B2649" i="2"/>
  <c r="A2650" i="2"/>
  <c r="B2650" i="2"/>
  <c r="A2651" i="2"/>
  <c r="B2651" i="2"/>
  <c r="A2652" i="2"/>
  <c r="B2652" i="2"/>
  <c r="A2653" i="2"/>
  <c r="B2653" i="2"/>
  <c r="A2654" i="2"/>
  <c r="B2654" i="2"/>
  <c r="A2655" i="2"/>
  <c r="B2655" i="2"/>
  <c r="A2656" i="2"/>
  <c r="B2656" i="2"/>
  <c r="A2657" i="2"/>
  <c r="B2657" i="2"/>
  <c r="A2658" i="2"/>
  <c r="B2658" i="2"/>
  <c r="A2659" i="2"/>
  <c r="B2659" i="2"/>
  <c r="A2660" i="2"/>
  <c r="B2660" i="2"/>
  <c r="A2661" i="2"/>
  <c r="B2661" i="2"/>
  <c r="A2662" i="2"/>
  <c r="B2662" i="2"/>
  <c r="A2663" i="2"/>
  <c r="B2663" i="2"/>
  <c r="A2664" i="2"/>
  <c r="B2664" i="2"/>
  <c r="A2665" i="2"/>
  <c r="B2665" i="2"/>
  <c r="A2666" i="2"/>
  <c r="B2666" i="2"/>
  <c r="A2667" i="2"/>
  <c r="B2667" i="2"/>
  <c r="A2668" i="2"/>
  <c r="B2668" i="2"/>
  <c r="A2669" i="2"/>
  <c r="B2669" i="2"/>
  <c r="A2670" i="2"/>
  <c r="B2670" i="2"/>
  <c r="A2671" i="2"/>
  <c r="B2671" i="2"/>
  <c r="A2672" i="2"/>
  <c r="B2672" i="2"/>
  <c r="A2673" i="2"/>
  <c r="B2673" i="2"/>
  <c r="A2674" i="2"/>
  <c r="B2674" i="2"/>
  <c r="A2675" i="2"/>
  <c r="B2675" i="2"/>
  <c r="A2676" i="2"/>
  <c r="B2676" i="2"/>
  <c r="A2677" i="2"/>
  <c r="B2677" i="2"/>
  <c r="A2678" i="2"/>
  <c r="B2678" i="2"/>
  <c r="A2679" i="2"/>
  <c r="B2679" i="2"/>
  <c r="A2680" i="2"/>
  <c r="B2680" i="2"/>
  <c r="A2681" i="2"/>
  <c r="B2681" i="2"/>
  <c r="A2682" i="2"/>
  <c r="B2682" i="2"/>
  <c r="A2683" i="2"/>
  <c r="B2683" i="2"/>
  <c r="A2684" i="2"/>
  <c r="B2684" i="2"/>
  <c r="A2685" i="2"/>
  <c r="B2685" i="2"/>
  <c r="A2686" i="2"/>
  <c r="B2686" i="2"/>
  <c r="A2687" i="2"/>
  <c r="B2687" i="2"/>
  <c r="A2688" i="2"/>
  <c r="B2688" i="2"/>
  <c r="A2689" i="2"/>
  <c r="B2689" i="2"/>
  <c r="A2690" i="2"/>
  <c r="B2690" i="2"/>
  <c r="A2691" i="2"/>
  <c r="B2691" i="2"/>
  <c r="A2692" i="2"/>
  <c r="B2692" i="2"/>
  <c r="A2693" i="2"/>
  <c r="B2693" i="2"/>
  <c r="A2694" i="2"/>
  <c r="B2694" i="2"/>
  <c r="A2695" i="2"/>
  <c r="B2695" i="2"/>
  <c r="A2696" i="2"/>
  <c r="B2696" i="2"/>
  <c r="A2697" i="2"/>
  <c r="B2697" i="2"/>
  <c r="A2698" i="2"/>
  <c r="B2698" i="2"/>
  <c r="A2699" i="2"/>
  <c r="B2699" i="2"/>
  <c r="A2700" i="2"/>
  <c r="B2700" i="2"/>
  <c r="A2701" i="2"/>
  <c r="B2701" i="2"/>
  <c r="A2702" i="2"/>
  <c r="B2702" i="2"/>
  <c r="A2703" i="2"/>
  <c r="B2703" i="2"/>
  <c r="A2704" i="2"/>
  <c r="B2704" i="2"/>
  <c r="A2705" i="2"/>
  <c r="B2705" i="2"/>
  <c r="A2706" i="2"/>
  <c r="B2706" i="2"/>
  <c r="A2707" i="2"/>
  <c r="B2707" i="2"/>
  <c r="A2708" i="2"/>
  <c r="B2708" i="2"/>
  <c r="A2709" i="2"/>
  <c r="B2709" i="2"/>
  <c r="A2710" i="2"/>
  <c r="B2710" i="2"/>
  <c r="A2711" i="2"/>
  <c r="B2711" i="2"/>
  <c r="A2712" i="2"/>
  <c r="B2712" i="2"/>
  <c r="A2713" i="2"/>
  <c r="B2713" i="2"/>
  <c r="A2714" i="2"/>
  <c r="B2714" i="2"/>
  <c r="A2715" i="2"/>
  <c r="B2715" i="2"/>
  <c r="A2716" i="2"/>
  <c r="B2716" i="2"/>
  <c r="A2717" i="2"/>
  <c r="B2717" i="2"/>
  <c r="A2718" i="2"/>
  <c r="B2718" i="2"/>
  <c r="A2719" i="2"/>
  <c r="B2719" i="2"/>
  <c r="A2720" i="2"/>
  <c r="B2720" i="2"/>
  <c r="A2721" i="2"/>
  <c r="B2721" i="2"/>
  <c r="A2722" i="2"/>
  <c r="B2722" i="2"/>
  <c r="A2723" i="2"/>
  <c r="B2723" i="2"/>
  <c r="A2724" i="2"/>
  <c r="B2724" i="2"/>
  <c r="A2725" i="2"/>
  <c r="B2725" i="2"/>
  <c r="A2726" i="2"/>
  <c r="B2726" i="2"/>
  <c r="A2727" i="2"/>
  <c r="B2727" i="2"/>
  <c r="A2728" i="2"/>
  <c r="B2728" i="2"/>
  <c r="A2729" i="2"/>
  <c r="B2729" i="2"/>
  <c r="A2730" i="2"/>
  <c r="B2730" i="2"/>
  <c r="A2731" i="2"/>
  <c r="B2731" i="2"/>
  <c r="A2732" i="2"/>
  <c r="B2732" i="2"/>
  <c r="A2733" i="2"/>
  <c r="B2733" i="2"/>
  <c r="A2734" i="2"/>
  <c r="B2734" i="2"/>
  <c r="A2735" i="2"/>
  <c r="B2735" i="2"/>
  <c r="A2736" i="2"/>
  <c r="B2736" i="2"/>
  <c r="A2737" i="2"/>
  <c r="B2737" i="2"/>
  <c r="A2738" i="2"/>
  <c r="B2738" i="2"/>
  <c r="A2739" i="2"/>
  <c r="B2739" i="2"/>
  <c r="A2740" i="2"/>
  <c r="B2740" i="2"/>
  <c r="A2741" i="2"/>
  <c r="B2741" i="2"/>
  <c r="A2742" i="2"/>
  <c r="B2742" i="2"/>
  <c r="A2743" i="2"/>
  <c r="B2743" i="2"/>
  <c r="A2744" i="2"/>
  <c r="B2744" i="2"/>
  <c r="A2745" i="2"/>
  <c r="B2745" i="2"/>
  <c r="A2746" i="2"/>
  <c r="B2746" i="2"/>
  <c r="A2747" i="2"/>
  <c r="B2747" i="2"/>
  <c r="A2748" i="2"/>
  <c r="B2748" i="2"/>
  <c r="A2749" i="2"/>
  <c r="B2749" i="2"/>
  <c r="A2750" i="2"/>
  <c r="B2750" i="2"/>
  <c r="A2751" i="2"/>
  <c r="B2751" i="2"/>
  <c r="A2752" i="2"/>
  <c r="B2752" i="2"/>
  <c r="A2753" i="2"/>
  <c r="B2753" i="2"/>
  <c r="A2754" i="2"/>
  <c r="B2754" i="2"/>
  <c r="A2755" i="2"/>
  <c r="B2755" i="2"/>
  <c r="A2756" i="2"/>
  <c r="B2756" i="2"/>
  <c r="A2757" i="2"/>
  <c r="B2757" i="2"/>
  <c r="A2758" i="2"/>
  <c r="B2758" i="2"/>
  <c r="A2759" i="2"/>
  <c r="B2759" i="2"/>
  <c r="A2760" i="2"/>
  <c r="B2760" i="2"/>
  <c r="A2761" i="2"/>
  <c r="B2761" i="2"/>
  <c r="A2762" i="2"/>
  <c r="B2762" i="2"/>
  <c r="A2763" i="2"/>
  <c r="B2763" i="2"/>
  <c r="A2764" i="2"/>
  <c r="B2764" i="2"/>
  <c r="A2765" i="2"/>
  <c r="B2765" i="2"/>
  <c r="A2766" i="2"/>
  <c r="B2766" i="2"/>
  <c r="A2767" i="2"/>
  <c r="B2767" i="2"/>
  <c r="A2768" i="2"/>
  <c r="B2768" i="2"/>
  <c r="A2769" i="2"/>
  <c r="B2769" i="2"/>
  <c r="A2770" i="2"/>
  <c r="B2770" i="2"/>
  <c r="A2771" i="2"/>
  <c r="B2771" i="2"/>
  <c r="A2772" i="2"/>
  <c r="B2772" i="2"/>
  <c r="A2773" i="2"/>
  <c r="B2773" i="2"/>
  <c r="A2774" i="2"/>
  <c r="B2774" i="2"/>
  <c r="A2775" i="2"/>
  <c r="B2775" i="2"/>
  <c r="A2776" i="2"/>
  <c r="B2776" i="2"/>
  <c r="A2777" i="2"/>
  <c r="B2777" i="2"/>
  <c r="A2778" i="2"/>
  <c r="B2778" i="2"/>
  <c r="A2779" i="2"/>
  <c r="B2779" i="2"/>
  <c r="A2780" i="2"/>
  <c r="B2780" i="2"/>
  <c r="A2781" i="2"/>
  <c r="B2781" i="2"/>
  <c r="A2782" i="2"/>
  <c r="B2782" i="2"/>
  <c r="A2783" i="2"/>
  <c r="B2783" i="2"/>
  <c r="A2784" i="2"/>
  <c r="B2784" i="2"/>
  <c r="A2785" i="2"/>
  <c r="B2785" i="2"/>
  <c r="A2786" i="2"/>
  <c r="B2786" i="2"/>
  <c r="A2787" i="2"/>
  <c r="B2787" i="2"/>
  <c r="A2788" i="2"/>
  <c r="B2788" i="2"/>
  <c r="A2789" i="2"/>
  <c r="B2789" i="2"/>
  <c r="A2790" i="2"/>
  <c r="B2790" i="2"/>
  <c r="A2791" i="2"/>
  <c r="B2791" i="2"/>
  <c r="A2792" i="2"/>
  <c r="B2792" i="2"/>
  <c r="A2793" i="2"/>
  <c r="B2793" i="2"/>
  <c r="A2794" i="2"/>
  <c r="B2794" i="2"/>
  <c r="A2795" i="2"/>
  <c r="B2795" i="2"/>
  <c r="A2796" i="2"/>
  <c r="B2796" i="2"/>
  <c r="A2797" i="2"/>
  <c r="B2797" i="2"/>
  <c r="A2798" i="2"/>
  <c r="B2798" i="2"/>
  <c r="A2799" i="2"/>
  <c r="B2799" i="2"/>
  <c r="A2800" i="2"/>
  <c r="B2800" i="2"/>
  <c r="A2801" i="2"/>
  <c r="B2801" i="2"/>
  <c r="A2802" i="2"/>
  <c r="B2802" i="2"/>
  <c r="A2803" i="2"/>
  <c r="B2803" i="2"/>
  <c r="A2804" i="2"/>
  <c r="B2804" i="2"/>
  <c r="A2805" i="2"/>
  <c r="B2805" i="2"/>
  <c r="A2806" i="2"/>
  <c r="B2806" i="2"/>
  <c r="A2807" i="2"/>
  <c r="B2807" i="2"/>
  <c r="A2808" i="2"/>
  <c r="B2808" i="2"/>
  <c r="A2809" i="2"/>
  <c r="B2809" i="2"/>
  <c r="A2810" i="2"/>
  <c r="B2810" i="2"/>
  <c r="A2811" i="2"/>
  <c r="B2811" i="2"/>
  <c r="A2812" i="2"/>
  <c r="B2812" i="2"/>
  <c r="A2813" i="2"/>
  <c r="B2813" i="2"/>
  <c r="A2814" i="2"/>
  <c r="B2814" i="2"/>
  <c r="A2815" i="2"/>
  <c r="B2815" i="2"/>
  <c r="A2816" i="2"/>
  <c r="B2816" i="2"/>
  <c r="A2817" i="2"/>
  <c r="B2817" i="2"/>
  <c r="A2818" i="2"/>
  <c r="B2818" i="2"/>
  <c r="A2819" i="2"/>
  <c r="B2819" i="2"/>
  <c r="A2820" i="2"/>
  <c r="B2820" i="2"/>
  <c r="A2821" i="2"/>
  <c r="B2821" i="2"/>
  <c r="A2822" i="2"/>
  <c r="B2822" i="2"/>
  <c r="A2823" i="2"/>
  <c r="B2823" i="2"/>
  <c r="A2824" i="2"/>
  <c r="B2824" i="2"/>
  <c r="A2825" i="2"/>
  <c r="B2825" i="2"/>
  <c r="A2826" i="2"/>
  <c r="B2826" i="2"/>
  <c r="A2827" i="2"/>
  <c r="B2827" i="2"/>
  <c r="A2828" i="2"/>
  <c r="B2828" i="2"/>
  <c r="A2829" i="2"/>
  <c r="B2829" i="2"/>
  <c r="A2830" i="2"/>
  <c r="B2830" i="2"/>
  <c r="A2831" i="2"/>
  <c r="B2831" i="2"/>
  <c r="A2832" i="2"/>
  <c r="B2832" i="2"/>
  <c r="A2833" i="2"/>
  <c r="B2833" i="2"/>
  <c r="A2834" i="2"/>
  <c r="B2834" i="2"/>
  <c r="A2835" i="2"/>
  <c r="B2835" i="2"/>
  <c r="A2836" i="2"/>
  <c r="B2836" i="2"/>
  <c r="A2837" i="2"/>
  <c r="B2837" i="2"/>
  <c r="A2838" i="2"/>
  <c r="B2838" i="2"/>
  <c r="A2839" i="2"/>
  <c r="B2839" i="2"/>
  <c r="A2840" i="2"/>
  <c r="B2840" i="2"/>
  <c r="A2841" i="2"/>
  <c r="B2841" i="2"/>
  <c r="A2842" i="2"/>
  <c r="B2842" i="2"/>
  <c r="A2843" i="2"/>
  <c r="B2843" i="2"/>
  <c r="A2844" i="2"/>
  <c r="B2844" i="2"/>
  <c r="A2845" i="2"/>
  <c r="B2845" i="2"/>
  <c r="A2846" i="2"/>
  <c r="B2846" i="2"/>
  <c r="A2847" i="2"/>
  <c r="B2847" i="2"/>
  <c r="A2848" i="2"/>
  <c r="B2848" i="2"/>
  <c r="A2849" i="2"/>
  <c r="B2849" i="2"/>
  <c r="A2850" i="2"/>
  <c r="B2850" i="2"/>
  <c r="A2851" i="2"/>
  <c r="B2851" i="2"/>
  <c r="A2852" i="2"/>
  <c r="B2852" i="2"/>
  <c r="A2853" i="2"/>
  <c r="B2853" i="2"/>
  <c r="A2854" i="2"/>
  <c r="B2854" i="2"/>
  <c r="A2855" i="2"/>
  <c r="B2855" i="2"/>
  <c r="A2856" i="2"/>
  <c r="B2856" i="2"/>
  <c r="A2857" i="2"/>
  <c r="B2857" i="2"/>
  <c r="A2858" i="2"/>
  <c r="B2858" i="2"/>
  <c r="A2859" i="2"/>
  <c r="B2859" i="2"/>
  <c r="A2860" i="2"/>
  <c r="B2860" i="2"/>
  <c r="A2861" i="2"/>
  <c r="B2861" i="2"/>
  <c r="A2862" i="2"/>
  <c r="B2862" i="2"/>
  <c r="A2863" i="2"/>
  <c r="B2863" i="2"/>
  <c r="A2864" i="2"/>
  <c r="B2864" i="2"/>
  <c r="A2865" i="2"/>
  <c r="B2865" i="2"/>
  <c r="A2866" i="2"/>
  <c r="B2866" i="2"/>
  <c r="A2867" i="2"/>
  <c r="B2867" i="2"/>
  <c r="A2868" i="2"/>
  <c r="B2868" i="2"/>
  <c r="A2869" i="2"/>
  <c r="B2869" i="2"/>
  <c r="A2870" i="2"/>
  <c r="B2870" i="2"/>
  <c r="A2871" i="2"/>
  <c r="B2871" i="2"/>
  <c r="A2872" i="2"/>
  <c r="B2872" i="2"/>
  <c r="A2873" i="2"/>
  <c r="B2873" i="2"/>
  <c r="A2874" i="2"/>
  <c r="B2874" i="2"/>
  <c r="A2875" i="2"/>
  <c r="B2875" i="2"/>
  <c r="A2876" i="2"/>
  <c r="B2876" i="2"/>
  <c r="A2877" i="2"/>
  <c r="B2877" i="2"/>
  <c r="A2878" i="2"/>
  <c r="B2878" i="2"/>
  <c r="A2879" i="2"/>
  <c r="B2879" i="2"/>
  <c r="A2880" i="2"/>
  <c r="B2880" i="2"/>
  <c r="A2881" i="2"/>
  <c r="B2881" i="2"/>
  <c r="A2882" i="2"/>
  <c r="B2882" i="2"/>
  <c r="A2883" i="2"/>
  <c r="B2883" i="2"/>
  <c r="A2884" i="2"/>
  <c r="B2884" i="2"/>
  <c r="A2885" i="2"/>
  <c r="B2885" i="2"/>
  <c r="A2886" i="2"/>
  <c r="B2886" i="2"/>
  <c r="A2887" i="2"/>
  <c r="B2887" i="2"/>
  <c r="A2888" i="2"/>
  <c r="B2888" i="2"/>
  <c r="A2889" i="2"/>
  <c r="B2889" i="2"/>
  <c r="A2890" i="2"/>
  <c r="B2890" i="2"/>
  <c r="A2891" i="2"/>
  <c r="B2891" i="2"/>
  <c r="A2892" i="2"/>
  <c r="B2892" i="2"/>
  <c r="A2893" i="2"/>
  <c r="B2893" i="2"/>
  <c r="A2894" i="2"/>
  <c r="B2894" i="2"/>
  <c r="A2895" i="2"/>
  <c r="B2895" i="2"/>
  <c r="A2896" i="2"/>
  <c r="B2896" i="2"/>
  <c r="A2897" i="2"/>
  <c r="B2897" i="2"/>
  <c r="A2898" i="2"/>
  <c r="B2898" i="2"/>
  <c r="A2899" i="2"/>
  <c r="B2899" i="2"/>
  <c r="A2900" i="2"/>
  <c r="B2900" i="2"/>
  <c r="A2901" i="2"/>
  <c r="B2901" i="2"/>
  <c r="A2902" i="2"/>
  <c r="B2902" i="2"/>
  <c r="A2903" i="2"/>
  <c r="B2903" i="2"/>
  <c r="A2904" i="2"/>
  <c r="B2904" i="2"/>
  <c r="A2905" i="2"/>
  <c r="B2905" i="2"/>
  <c r="A2906" i="2"/>
  <c r="B2906" i="2"/>
  <c r="A2907" i="2"/>
  <c r="B2907" i="2"/>
  <c r="A2908" i="2"/>
  <c r="B2908" i="2"/>
  <c r="A2909" i="2"/>
  <c r="B2909" i="2"/>
  <c r="A2910" i="2"/>
  <c r="B2910" i="2"/>
  <c r="A2911" i="2"/>
  <c r="B2911" i="2"/>
  <c r="A2912" i="2"/>
  <c r="B2912" i="2"/>
  <c r="A2913" i="2"/>
  <c r="B2913" i="2"/>
  <c r="A2914" i="2"/>
  <c r="B2914" i="2"/>
  <c r="A2915" i="2"/>
  <c r="B2915" i="2"/>
  <c r="A2916" i="2"/>
  <c r="B2916" i="2"/>
  <c r="A2917" i="2"/>
  <c r="B2917" i="2"/>
  <c r="A2918" i="2"/>
  <c r="B2918" i="2"/>
  <c r="A2919" i="2"/>
  <c r="B2919" i="2"/>
  <c r="A2920" i="2"/>
  <c r="B2920" i="2"/>
  <c r="A2921" i="2"/>
  <c r="B2921" i="2"/>
  <c r="A2922" i="2"/>
  <c r="B2922" i="2"/>
  <c r="A2923" i="2"/>
  <c r="B2923" i="2"/>
  <c r="A2924" i="2"/>
  <c r="B2924" i="2"/>
  <c r="A2925" i="2"/>
  <c r="B2925" i="2"/>
  <c r="A2926" i="2"/>
  <c r="B2926" i="2"/>
  <c r="A2927" i="2"/>
  <c r="B2927" i="2"/>
  <c r="A2928" i="2"/>
  <c r="B2928" i="2"/>
  <c r="A2929" i="2"/>
  <c r="B2929" i="2"/>
  <c r="A2930" i="2"/>
  <c r="B2930" i="2"/>
  <c r="A2931" i="2"/>
  <c r="B2931" i="2"/>
  <c r="A2932" i="2"/>
  <c r="B2932" i="2"/>
  <c r="A2933" i="2"/>
  <c r="B2933" i="2"/>
  <c r="A2934" i="2"/>
  <c r="B2934" i="2"/>
  <c r="A2935" i="2"/>
  <c r="B2935" i="2"/>
  <c r="A2936" i="2"/>
  <c r="B2936" i="2"/>
  <c r="A2937" i="2"/>
  <c r="B2937" i="2"/>
  <c r="A2938" i="2"/>
  <c r="B2938" i="2"/>
  <c r="A2939" i="2"/>
  <c r="B2939" i="2"/>
  <c r="A2940" i="2"/>
  <c r="B2940" i="2"/>
  <c r="A2941" i="2"/>
  <c r="B2941" i="2"/>
  <c r="A2942" i="2"/>
  <c r="B2942" i="2"/>
  <c r="A2943" i="2"/>
  <c r="B2943" i="2"/>
  <c r="A2944" i="2"/>
  <c r="B2944" i="2"/>
  <c r="A2945" i="2"/>
  <c r="B2945" i="2"/>
  <c r="A2946" i="2"/>
  <c r="B2946" i="2"/>
  <c r="A2947" i="2"/>
  <c r="B2947" i="2"/>
  <c r="A2948" i="2"/>
  <c r="B2948" i="2"/>
  <c r="A2949" i="2"/>
  <c r="B2949" i="2"/>
  <c r="A2950" i="2"/>
  <c r="B2950" i="2"/>
  <c r="A2951" i="2"/>
  <c r="B2951" i="2"/>
  <c r="A2952" i="2"/>
  <c r="B2952" i="2"/>
  <c r="A2953" i="2"/>
  <c r="B2953" i="2"/>
  <c r="A2954" i="2"/>
  <c r="B2954" i="2"/>
  <c r="A2955" i="2"/>
  <c r="B2955" i="2"/>
  <c r="A2956" i="2"/>
  <c r="B2956" i="2"/>
  <c r="A2957" i="2"/>
  <c r="B2957" i="2"/>
  <c r="A2958" i="2"/>
  <c r="B2958" i="2"/>
  <c r="A2959" i="2"/>
  <c r="B2959" i="2"/>
  <c r="A2960" i="2"/>
  <c r="B2960" i="2"/>
  <c r="A2961" i="2"/>
  <c r="B2961" i="2"/>
  <c r="A2962" i="2"/>
  <c r="B2962" i="2"/>
  <c r="A2963" i="2"/>
  <c r="B2963" i="2"/>
  <c r="A2964" i="2"/>
  <c r="B2964" i="2"/>
  <c r="A2965" i="2"/>
  <c r="B2965" i="2"/>
  <c r="A2966" i="2"/>
  <c r="B2966" i="2"/>
  <c r="A2967" i="2"/>
  <c r="B2967" i="2"/>
  <c r="A2968" i="2"/>
  <c r="B2968" i="2"/>
  <c r="A2969" i="2"/>
  <c r="B2969" i="2"/>
  <c r="A2970" i="2"/>
  <c r="B2970" i="2"/>
  <c r="A2971" i="2"/>
  <c r="B2971" i="2"/>
  <c r="A2972" i="2"/>
  <c r="B2972" i="2"/>
  <c r="A2973" i="2"/>
  <c r="B2973" i="2"/>
  <c r="A2974" i="2"/>
  <c r="B2974" i="2"/>
  <c r="A2975" i="2"/>
  <c r="B2975" i="2"/>
  <c r="A2976" i="2"/>
  <c r="B2976" i="2"/>
  <c r="A2977" i="2"/>
  <c r="B2977" i="2"/>
  <c r="A2978" i="2"/>
  <c r="B2978" i="2"/>
  <c r="A2979" i="2"/>
  <c r="B2979" i="2"/>
  <c r="A2980" i="2"/>
  <c r="B2980" i="2"/>
  <c r="A2981" i="2"/>
  <c r="B2981" i="2"/>
  <c r="A2982" i="2"/>
  <c r="B2982" i="2"/>
  <c r="A2983" i="2"/>
  <c r="B2983" i="2"/>
  <c r="A2984" i="2"/>
  <c r="B2984" i="2"/>
  <c r="A2985" i="2"/>
  <c r="B2985" i="2"/>
  <c r="A2986" i="2"/>
  <c r="B2986" i="2"/>
  <c r="A2987" i="2"/>
  <c r="B2987" i="2"/>
  <c r="A2988" i="2"/>
  <c r="B2988" i="2"/>
  <c r="A2989" i="2"/>
  <c r="B2989" i="2"/>
  <c r="A2990" i="2"/>
  <c r="B2990" i="2"/>
  <c r="A2991" i="2"/>
  <c r="B2991" i="2"/>
  <c r="A2992" i="2"/>
  <c r="B2992" i="2"/>
  <c r="A2993" i="2"/>
  <c r="B2993" i="2"/>
  <c r="A2994" i="2"/>
  <c r="B2994" i="2"/>
  <c r="A2995" i="2"/>
  <c r="B2995" i="2"/>
  <c r="A2996" i="2"/>
  <c r="B2996" i="2"/>
  <c r="A2997" i="2"/>
  <c r="B2997" i="2"/>
  <c r="A2998" i="2"/>
  <c r="B2998" i="2"/>
  <c r="A2999" i="2"/>
  <c r="B2999" i="2"/>
  <c r="A3000" i="2"/>
  <c r="B3000" i="2"/>
  <c r="A3001" i="2"/>
  <c r="B3001" i="2"/>
  <c r="A3002" i="2"/>
  <c r="B3002" i="2"/>
</calcChain>
</file>

<file path=xl/comments1.xml><?xml version="1.0" encoding="utf-8"?>
<comments xmlns="http://schemas.openxmlformats.org/spreadsheetml/2006/main">
  <authors>
    <author>Osborne Thomas (R0A) Manchester University NHS FT</author>
  </authors>
  <commentList>
    <comment ref="B230" authorId="0">
      <text>
        <r>
          <rPr>
            <b/>
            <sz val="8"/>
            <color indexed="81"/>
            <rFont val="Tahoma"/>
            <family val="2"/>
          </rPr>
          <t>Planned use of supplemental oxygen &lt;0.4 FiO2 or mechanical respiratory support as part of routine patient care (includes patient on normal CPAP), but not in response to a complication or deteriorating physiology</t>
        </r>
        <r>
          <rPr>
            <sz val="8"/>
            <color indexed="81"/>
            <rFont val="Tahoma"/>
            <family val="2"/>
          </rPr>
          <t xml:space="preserve">
</t>
        </r>
      </text>
    </comment>
    <comment ref="B231" authorId="0">
      <text>
        <r>
          <rPr>
            <b/>
            <sz val="8"/>
            <color indexed="81"/>
            <rFont val="Tahoma"/>
            <family val="2"/>
          </rPr>
          <t>Supplemental oxygen &lt;0.6 FiO2</t>
        </r>
      </text>
    </comment>
    <comment ref="B232" authorId="0">
      <text>
        <r>
          <rPr>
            <b/>
            <sz val="8"/>
            <color indexed="81"/>
            <rFont val="Tahoma"/>
            <family val="2"/>
          </rPr>
          <t>Supplemental oxygen ≥0.6 FiO2 and/or requirement for high-flow nasal/facial oxygen</t>
        </r>
      </text>
    </comment>
    <comment ref="B233" authorId="0">
      <text>
        <r>
          <rPr>
            <b/>
            <sz val="8"/>
            <color indexed="81"/>
            <rFont val="Tahoma"/>
            <family val="2"/>
          </rPr>
          <t>Unplanned non-invasive mechanical ventilation, Continuous Positive Airways Pressure (CPAP), or invasive mechanical ventilation requiring endotracheal intubation</t>
        </r>
      </text>
    </comment>
  </commentList>
</comments>
</file>

<file path=xl/sharedStrings.xml><?xml version="1.0" encoding="utf-8"?>
<sst xmlns="http://schemas.openxmlformats.org/spreadsheetml/2006/main" count="7661" uniqueCount="856">
  <si>
    <t>Pre-Op</t>
  </si>
  <si>
    <t>Head and Neck</t>
  </si>
  <si>
    <t xml:space="preserve">Troponin (units) </t>
  </si>
  <si>
    <t>Yes</t>
  </si>
  <si>
    <t>No</t>
  </si>
  <si>
    <t>Hepatobiliary</t>
  </si>
  <si>
    <t>Upper GI</t>
  </si>
  <si>
    <t>Lower GI</t>
  </si>
  <si>
    <t>Chest Physio Instruction</t>
  </si>
  <si>
    <t>Other Abdominal</t>
  </si>
  <si>
    <t>SOP - Has the patient received specific instruction on chest training and exercise +/- incentive spirometer prior to surgery</t>
  </si>
  <si>
    <t>Gynaecology</t>
  </si>
  <si>
    <t>Surgery School</t>
  </si>
  <si>
    <t>Urology</t>
  </si>
  <si>
    <t>Physio</t>
  </si>
  <si>
    <t>Other</t>
  </si>
  <si>
    <t>Doctor</t>
  </si>
  <si>
    <t>Nurse</t>
  </si>
  <si>
    <t>SOP - Has the patient attended surgery school?</t>
  </si>
  <si>
    <t>Baseline Activity Level ( Choose Only One)</t>
  </si>
  <si>
    <t>SOP - Now just before their operation how many minutes of moderate intensity activity on average per day were patients undertaking now</t>
  </si>
  <si>
    <t>No extra activity - Needs help with ADLs</t>
  </si>
  <si>
    <t>Activity Level Now ( Choose Only One)</t>
  </si>
  <si>
    <t>Type Of Activity (Can Choose Multiple)</t>
  </si>
  <si>
    <t>SOP - Has the patient undertaken a structured activity before surgery</t>
  </si>
  <si>
    <t>None</t>
  </si>
  <si>
    <t xml:space="preserve">Walking regularly </t>
  </si>
  <si>
    <t>Swimming regularly</t>
  </si>
  <si>
    <t xml:space="preserve">Dancing regularly </t>
  </si>
  <si>
    <t>Gardening</t>
  </si>
  <si>
    <t>Used step counter to measure steps</t>
  </si>
  <si>
    <t>Exercise bicycle at home</t>
  </si>
  <si>
    <t>Other Gym equipment at home</t>
  </si>
  <si>
    <t>Gym based council programme</t>
  </si>
  <si>
    <t xml:space="preserve">Gym private </t>
  </si>
  <si>
    <t>Hospital supervised programme</t>
  </si>
  <si>
    <t>Anaemia Treatment (Can Choose Multiple)</t>
  </si>
  <si>
    <t>SOP - Has the patient received Anaemia treatment prior to surgery</t>
  </si>
  <si>
    <t>Intravenous Iron</t>
  </si>
  <si>
    <t xml:space="preserve">Oral Iron </t>
  </si>
  <si>
    <t>EPO</t>
  </si>
  <si>
    <t>Blood transfusion</t>
  </si>
  <si>
    <t>Anaesthesia/Analgesia</t>
  </si>
  <si>
    <t>SOP - Select the type of Anaesthetic</t>
  </si>
  <si>
    <t>General with TIVA</t>
  </si>
  <si>
    <t>General with Inhalational</t>
  </si>
  <si>
    <t>Tidal Volume</t>
  </si>
  <si>
    <t>SOP - What tidal volume on average was used for mechanical ventilation during surgery</t>
  </si>
  <si>
    <t>TIDAL VOLUME  (mls) [continuous variable]</t>
  </si>
  <si>
    <t>NA / patient not mechanically ventilated</t>
  </si>
  <si>
    <t>Post Op Visit Day 2/3</t>
  </si>
  <si>
    <t>Incentive Spirometer Use Day 2/3</t>
  </si>
  <si>
    <t>SOP - How many times has the patient used their Incentive Spirometer in first 24 hour after surgery</t>
  </si>
  <si>
    <t>use prescription sheet to confirm</t>
  </si>
  <si>
    <t>Not used</t>
  </si>
  <si>
    <t>Once</t>
  </si>
  <si>
    <t>Twice</t>
  </si>
  <si>
    <t>&gt;Two</t>
  </si>
  <si>
    <t>Teeth Brushing Day 2/3</t>
  </si>
  <si>
    <t xml:space="preserve">SOP -  How many times has the patient brushed their teeth in first 24 hour after surgery? </t>
  </si>
  <si>
    <t>Mouthwash Day 2/3</t>
  </si>
  <si>
    <t>Post Op Visit Day 7</t>
  </si>
  <si>
    <t>Resp Support In First 24 Hours</t>
  </si>
  <si>
    <t>SOP - During the first 24 hours postoperatively did the patient receiving additional respiratory therapy, record highest level</t>
  </si>
  <si>
    <t>High flow Nasal</t>
  </si>
  <si>
    <t>CPAP</t>
  </si>
  <si>
    <t>Non-invasive ventilation</t>
  </si>
  <si>
    <t xml:space="preserve">Invasive ventilation  </t>
  </si>
  <si>
    <t xml:space="preserve">SOP - In the last 7 days has the patient received Antibiotic treatment for &gt;24 hours, excluding post-op prophylaxis? </t>
  </si>
  <si>
    <t>Not recorded</t>
  </si>
  <si>
    <t>Aspiration</t>
  </si>
  <si>
    <t>Surgical site infection</t>
  </si>
  <si>
    <t>Urine</t>
  </si>
  <si>
    <t>Pulmonary Support Over Last 7 Days (24 hours- 7days)</t>
  </si>
  <si>
    <t xml:space="preserve">SOP - After the first 24 hours after surgery has there been a requirement for unplanned resp support </t>
  </si>
  <si>
    <t>SOP - Has the patient been given additional pharmacological treatment for their breathing</t>
  </si>
  <si>
    <t>Bronchodilators nebulised</t>
  </si>
  <si>
    <t>Diuretics intravenous</t>
  </si>
  <si>
    <t xml:space="preserve">SOP -  In the last 7 days has the patient had a troponin measured. </t>
  </si>
  <si>
    <t>None measured</t>
  </si>
  <si>
    <t xml:space="preserve">SOP -  Record whether patient required renal replacement therapy excluding those patients who are normally on chronic renal replacement with Haemodialysis </t>
  </si>
  <si>
    <t xml:space="preserve">No </t>
  </si>
  <si>
    <t>Current Daily Activity</t>
  </si>
  <si>
    <t>Mouth Washes</t>
  </si>
  <si>
    <t>Area of Surgery</t>
  </si>
  <si>
    <t>Incentive Spirometer</t>
  </si>
  <si>
    <t>Teeth Brushes</t>
  </si>
  <si>
    <t>10mins of moderate activity</t>
  </si>
  <si>
    <t>&gt;30mins of moderate activity</t>
  </si>
  <si>
    <t>30mins of moderate activity</t>
  </si>
  <si>
    <t>20mins of moderate activity</t>
  </si>
  <si>
    <t>Transplantation Surgery</t>
  </si>
  <si>
    <t>General Surgery</t>
  </si>
  <si>
    <t>ENT</t>
  </si>
  <si>
    <t>Orthopaedics &amp; Trauma</t>
  </si>
  <si>
    <t>Vascular Surgery</t>
  </si>
  <si>
    <t>Oral Surgery</t>
  </si>
  <si>
    <t>Geriatric Medicine</t>
  </si>
  <si>
    <t>Endocrinology</t>
  </si>
  <si>
    <t>Plastic Surgery</t>
  </si>
  <si>
    <t>Maxillo-facial Surgery</t>
  </si>
  <si>
    <t>Gastroenterology</t>
  </si>
  <si>
    <t>Breast Surgery</t>
  </si>
  <si>
    <t>Genito-urinary Medicine</t>
  </si>
  <si>
    <t>Cardiac Surgery</t>
  </si>
  <si>
    <t>Thoracic Surgery</t>
  </si>
  <si>
    <t>General Medicine</t>
  </si>
  <si>
    <t>Respiratory Medicine</t>
  </si>
  <si>
    <t>Infectious Diseases</t>
  </si>
  <si>
    <t>Intermediate Care</t>
  </si>
  <si>
    <t>Pulmonary Pharmacological Support ( Exclude Patient’s Normal Medications)</t>
  </si>
  <si>
    <t>Speciality</t>
  </si>
  <si>
    <t>Orthopaedics</t>
  </si>
  <si>
    <t>Yes - Hospital Session</t>
  </si>
  <si>
    <t>Yes -  Online</t>
  </si>
  <si>
    <t xml:space="preserve">No - Couldn’t make it </t>
  </si>
  <si>
    <t>No - Wasn’t offered it</t>
  </si>
  <si>
    <r>
      <t xml:space="preserve">Yes - </t>
    </r>
    <r>
      <rPr>
        <sz val="11"/>
        <color theme="1"/>
        <rFont val="Calibri"/>
        <family val="2"/>
      </rPr>
      <t>ERAS+ App</t>
    </r>
  </si>
  <si>
    <t>Yes - Another App</t>
  </si>
  <si>
    <t>SOP- Has the patient visited the ERAS+ website in preparation for surgery?</t>
  </si>
  <si>
    <t>SOP- Has the patient downloaded an Application onto electronic device in preparation for surgery?</t>
  </si>
  <si>
    <t>No - Have electronic device</t>
  </si>
  <si>
    <t>No - No electronic device</t>
  </si>
  <si>
    <t>App downloaded prior to surgery (Can be yes to first 2 options)</t>
  </si>
  <si>
    <t>No - Was aware of website</t>
  </si>
  <si>
    <t>No - Wasn't aware of website</t>
  </si>
  <si>
    <t>No extra activity - Independent in ADLs</t>
  </si>
  <si>
    <t>SOP - Before their operation how many minutes of moderate intensity activity on average per day were patients undertaking</t>
  </si>
  <si>
    <t>NA  - Unable to use</t>
  </si>
  <si>
    <t>IV Fluids Discontinued</t>
  </si>
  <si>
    <t>Visited ERAS+ Website prior to surgery</t>
  </si>
  <si>
    <t>Yes - Didn’t use resources</t>
  </si>
  <si>
    <t>Yes - Used resources</t>
  </si>
  <si>
    <t xml:space="preserve">SOP – Select Yes if IV maintainance fluids were discontinued within 24 hours after copmpletion of surgery </t>
  </si>
  <si>
    <t>Started Drinking (Free Fluids) within 24 hours of Surgery (no minimum volume)</t>
  </si>
  <si>
    <t xml:space="preserve">SOP – Select Yes if the patient was toleration Free Fluids with 24 hours after completion of surgery No minimum volume currently specified </t>
  </si>
  <si>
    <t>Restarted Oral Diet (at least soft diet)</t>
  </si>
  <si>
    <t>SOP – Select yes if patient restarted oral diet (at least soft diet), e.g. yoghurt, porridge, fruit) within 24 hours of completion of surgery and tolerated it.</t>
  </si>
  <si>
    <t>SOP – Select yes if the patient mobilised from bed to chair with maximum assistance of one person within 24 hours of completion of surgery</t>
  </si>
  <si>
    <t>Mobilising with max assistance of one person (bed to chair)</t>
  </si>
  <si>
    <t>High flow Facial Mask Oxygen</t>
  </si>
  <si>
    <t>Still in hospital?</t>
  </si>
  <si>
    <t>Current Location</t>
  </si>
  <si>
    <t>Ward</t>
  </si>
  <si>
    <t>Level 1</t>
  </si>
  <si>
    <t>Level 2</t>
  </si>
  <si>
    <t>Level 3</t>
  </si>
  <si>
    <t>Level 2/3</t>
  </si>
  <si>
    <t>Infection Treatment (7 days)</t>
  </si>
  <si>
    <t>Infection Treatment (24hrs)</t>
  </si>
  <si>
    <t>Gastrointestinal</t>
  </si>
  <si>
    <t>Pulmonary Support (&gt;24hrs - day 7)</t>
  </si>
  <si>
    <t>Cardiovascular (24hrs)</t>
  </si>
  <si>
    <t>Neurological</t>
  </si>
  <si>
    <t>Wound</t>
  </si>
  <si>
    <t>Haematological</t>
  </si>
  <si>
    <t>Why still inpatient</t>
  </si>
  <si>
    <t>Infection Treatment (Last 7 days)</t>
  </si>
  <si>
    <t>Infection Treatment (Last 24hrs)</t>
  </si>
  <si>
    <t>SOP - Is the patient is on IV antibiotics (not including oral antibiotics) and/or had a temperature of 38°C or greater during the 24 hours preceding the time point at which the day 7 data is being collected</t>
  </si>
  <si>
    <t>None of the above</t>
  </si>
  <si>
    <t>Patient had temperature &gt;38˚C</t>
  </si>
  <si>
    <t>Patient currently on IV antibiotics</t>
  </si>
  <si>
    <t>Chest</t>
  </si>
  <si>
    <t>Abdominal leak</t>
  </si>
  <si>
    <t>Empirical</t>
  </si>
  <si>
    <t>Unable to tolerate enteral diet</t>
  </si>
  <si>
    <t>Experienced nausea, vomiting or distension</t>
  </si>
  <si>
    <t xml:space="preserve">SOP - Select all options that apply. </t>
  </si>
  <si>
    <t xml:space="preserve">SOP - If the patient has been receiving long-term oxygen therapy and has recovered back to their original level of oxygen requirement prior to surgery, please select “None of the above”. </t>
  </si>
  <si>
    <t xml:space="preserve">If the patient is receiving any advanced respiratory (including non-invasive ventilation or high flow nasal cannula) support that was not present before surgery, please select “New requirement for respiratory support”. </t>
  </si>
  <si>
    <t>New requirement for oxygen</t>
  </si>
  <si>
    <t>New requirement for respiratory support</t>
  </si>
  <si>
    <t>Mild</t>
  </si>
  <si>
    <t>Severe</t>
  </si>
  <si>
    <r>
      <t xml:space="preserve">Pulmonary Support </t>
    </r>
    <r>
      <rPr>
        <b/>
        <sz val="11"/>
        <color rgb="FF00B0F0"/>
        <rFont val="Calibri"/>
        <family val="2"/>
      </rPr>
      <t>(Last 24hrs or 7 days)</t>
    </r>
  </si>
  <si>
    <t>New myocardial infarction or ischaemia</t>
  </si>
  <si>
    <t>Thrombotic event requiring anticoagulation</t>
  </si>
  <si>
    <t>Arrhythmias</t>
  </si>
  <si>
    <t>Cardiogenic pulmonary oedema</t>
  </si>
  <si>
    <t>Hypotension</t>
  </si>
  <si>
    <t>New neurological deficit</t>
  </si>
  <si>
    <t>Delirium or confusion</t>
  </si>
  <si>
    <t>Sedative-induced coma</t>
  </si>
  <si>
    <t>Non-sedative associated coma</t>
  </si>
  <si>
    <t>Has The Patient Required New RRT (Last 7 Days)</t>
  </si>
  <si>
    <t>Serum Creatinine Value (Last 7 days)</t>
  </si>
  <si>
    <t>Neurological (Last 24hrs)</t>
  </si>
  <si>
    <t>SOP - In the last 24 hours has the patient had any of the following</t>
  </si>
  <si>
    <t>Wound dehiscence requiring surgical exploration</t>
  </si>
  <si>
    <t>Haematological (Last 24hrs)</t>
  </si>
  <si>
    <t>In the past 24 hours has the patient required any of the following:</t>
  </si>
  <si>
    <t>Red cell transfusion</t>
  </si>
  <si>
    <t>Pain Management (Last 24hrs)</t>
  </si>
  <si>
    <t>In the past 24 hours has the patient had surgical pain significant enough to require:</t>
  </si>
  <si>
    <t>Parenteral opioids</t>
  </si>
  <si>
    <t>Regional anaesthesia</t>
  </si>
  <si>
    <t>Mobility (Last 24hrs)</t>
  </si>
  <si>
    <t>In the past 24 hours has the patient returned to their baseline level of mobility?</t>
  </si>
  <si>
    <r>
      <t xml:space="preserve">SOP - </t>
    </r>
    <r>
      <rPr>
        <b/>
        <i/>
        <sz val="11"/>
        <color theme="1"/>
        <rFont val="Calibri"/>
        <family val="2"/>
        <scheme val="minor"/>
      </rPr>
      <t>Select if the patient has required surgical exploration of a dehisced surgical wound, drainage of pus from the operation wound, oozing from the surgical wound, if a swab is sent to a laboratory or if a VAC drain is in situ.</t>
    </r>
  </si>
  <si>
    <t xml:space="preserve">Fresh frozen Plasma/Cryoprecipitate/Platelets </t>
  </si>
  <si>
    <t>Mobility Issue</t>
  </si>
  <si>
    <t>Awaiting package setup</t>
  </si>
  <si>
    <t>Medical/nursing care</t>
  </si>
  <si>
    <t>Organisational failure</t>
  </si>
  <si>
    <t>Awaiting OT review</t>
  </si>
  <si>
    <t>Reason(s) why still inpatient?</t>
  </si>
  <si>
    <t>Cardiovascular (Last 24hrs)</t>
  </si>
  <si>
    <t>Cardiovascular (Last 7 Days)</t>
  </si>
  <si>
    <t>SOP - Enter the patient’s most recent serum TROPONIN prior to surgery in mmol/L. -exclude troponins measured if for acute medical admission</t>
  </si>
  <si>
    <t>Not Measured</t>
  </si>
  <si>
    <t>*Enter troponin value*</t>
  </si>
  <si>
    <t>*Enter creatinine value*</t>
  </si>
  <si>
    <t>Resp Support (1st 24hrs)</t>
  </si>
  <si>
    <t>Moderate</t>
  </si>
  <si>
    <t>Highest Creatinine</t>
  </si>
  <si>
    <t>SOP -  Record the highest serum creatinine (SCr) during the last 7 days</t>
  </si>
  <si>
    <t>Planned</t>
  </si>
  <si>
    <t>Unplanned</t>
  </si>
  <si>
    <t>Drainage of pus/Swab taken</t>
  </si>
  <si>
    <t>A&amp;E</t>
  </si>
  <si>
    <t>How Useful was the Information at Surgery School</t>
  </si>
  <si>
    <t>SOP  Sale 1 to 10  1 = Not useful  10=very useful</t>
  </si>
  <si>
    <t>N/A</t>
  </si>
  <si>
    <t>Renal last 24hrs</t>
  </si>
  <si>
    <t>Oliguria (&lt;500ml/24hr)</t>
  </si>
  <si>
    <t>Urethral catheter in-situ (not present pre-operatively)</t>
  </si>
  <si>
    <t>Serum creatinine level &gt;30% of pre-op level</t>
  </si>
  <si>
    <t>Renal (last 24hrs)</t>
  </si>
  <si>
    <t>Nephrology</t>
  </si>
  <si>
    <t>Transabdominal anti-reflux operations</t>
  </si>
  <si>
    <t>Right hemicolectomy (with anastamosis)</t>
  </si>
  <si>
    <t>Chaparala</t>
  </si>
  <si>
    <t>Clare Mason</t>
  </si>
  <si>
    <t>Maurice Lau</t>
  </si>
  <si>
    <t>Anterior pelvic clearance</t>
  </si>
  <si>
    <t>Past medical history</t>
  </si>
  <si>
    <t>Day 15 date</t>
  </si>
  <si>
    <t>Still inpatient day 15</t>
  </si>
  <si>
    <t>Comments still inpatient</t>
  </si>
  <si>
    <t>Date discharge/death</t>
  </si>
  <si>
    <t>Discharge destination</t>
  </si>
  <si>
    <t>Grade of complication</t>
  </si>
  <si>
    <t>Jonathan Epstein</t>
  </si>
  <si>
    <t>Laparoscopic Left Hemicolectomy</t>
  </si>
  <si>
    <t>Laparoscopic Right Radical Nephrectomy</t>
  </si>
  <si>
    <t>Euan Green</t>
  </si>
  <si>
    <t>PVD</t>
  </si>
  <si>
    <t>Right adrenalectomy</t>
  </si>
  <si>
    <t>Helen Doran</t>
  </si>
  <si>
    <t>Hypertension, disectomy, spinal fusion, osteoarthritis, stroke</t>
  </si>
  <si>
    <t>&gt;3 hours</t>
  </si>
  <si>
    <t>H6</t>
  </si>
  <si>
    <t>Alcohol</t>
  </si>
  <si>
    <t>Nephroureterectomy</t>
  </si>
  <si>
    <t>Satish Maddineni</t>
  </si>
  <si>
    <t xml:space="preserve">Hypertension, osteoarthritis, diebetes type 1, renal dysfunction, bowel resection </t>
  </si>
  <si>
    <t>H4</t>
  </si>
  <si>
    <t>Laparoscopic left nephrectomy +/- open</t>
  </si>
  <si>
    <t xml:space="preserve">Anaemia, hypertension, renal dysfunction, </t>
  </si>
  <si>
    <t>2-3 hours</t>
  </si>
  <si>
    <t>General with TIVA, General with Inhalational</t>
  </si>
  <si>
    <t>I</t>
  </si>
  <si>
    <t>Complex restoration of intestinal continuity</t>
  </si>
  <si>
    <t>Anaemia, previous bowel and liver resection</t>
  </si>
  <si>
    <t>James Wolfe</t>
  </si>
  <si>
    <t>David Ross</t>
  </si>
  <si>
    <t>Kidney stones</t>
  </si>
  <si>
    <t>Percutaneous Nephrolithotomy</t>
  </si>
  <si>
    <t>Own Home</t>
  </si>
  <si>
    <t>Unable to tolerate enteral diet, Experienced nausea, vomiting or distension</t>
  </si>
  <si>
    <t>I, II, IIIB</t>
  </si>
  <si>
    <t>Parenteral opioids, Regional anaesthesia</t>
  </si>
  <si>
    <t>Laparoscopic repair of hernia</t>
  </si>
  <si>
    <t>Smoker</t>
  </si>
  <si>
    <t>Bronchodilators nebulised, Diuretics intravenous</t>
  </si>
  <si>
    <t>I, II</t>
  </si>
  <si>
    <t>H7</t>
  </si>
  <si>
    <t>L3-4 /4-5 bilateral decompression</t>
  </si>
  <si>
    <t>Mahmoud Elmalky</t>
  </si>
  <si>
    <t>COPD, neuropathy, hiatus hernia, chronic kidney desease stage 2</t>
  </si>
  <si>
    <t xml:space="preserve">Oesophagectomy (total)/Oesophagogastrectomy </t>
  </si>
  <si>
    <t>Rachel Melhado/ J. Sultan</t>
  </si>
  <si>
    <t>Microvascular decompression of right trigeminal nerve, microvascular decompresion of trigeminal nerve, endoscopic transphenoidal (pituitary tumour), left THR, right THR, excision pituitary tumour, hypothyroidism, bilateral hip replacements</t>
  </si>
  <si>
    <t>No extra activity - Independent in ADLs, 10mins of moderate activity</t>
  </si>
  <si>
    <t>NHDU (Level 2)</t>
  </si>
  <si>
    <t>1st stage correction of scoliosis</t>
  </si>
  <si>
    <t>Saeed Mohammad</t>
  </si>
  <si>
    <t>Osteoarthritis, psoriasis, palpatations, tingling hands, detrusor instability</t>
  </si>
  <si>
    <t>Abdominal wall reconstruction</t>
  </si>
  <si>
    <t>Dominic Slade</t>
  </si>
  <si>
    <t>Large GI hernia, Acute Kidney Injury, major pelvic trauma, PTSD, maniac depression</t>
  </si>
  <si>
    <t>L2/3 Left sided + over the top decompression +/- bilateral fenestration</t>
  </si>
  <si>
    <t>Hypertension, anaemia (on magnesium), Diabetes Type 2, Osteoarthritis, Osteoporosis, Hypomagnesia, Coeliac Desease, Lumbosacral degenerative disease</t>
  </si>
  <si>
    <t>Shrijit Panikkar</t>
  </si>
  <si>
    <t>Critical Care (Level 2)</t>
  </si>
  <si>
    <t>CCU</t>
  </si>
  <si>
    <t>Anterior resection of rectum</t>
  </si>
  <si>
    <t>David Watson</t>
  </si>
  <si>
    <t xml:space="preserve">Carcinoma of the rectum, hypertension, anaemia, </t>
  </si>
  <si>
    <t>No beds available in Ward level</t>
  </si>
  <si>
    <t>Left radical laparoscopic nephrectomy</t>
  </si>
  <si>
    <t>Osteoarthritis, local kidney tumour</t>
  </si>
  <si>
    <t>Cystoscopy, stents Laparotomy, adhesiolysis, small bowel resection, formation of ileostomy, abdominal wall reconstruction</t>
  </si>
  <si>
    <t>Mattias Soop</t>
  </si>
  <si>
    <t>Multiple abdominal surgeries, post operative fistulas, Chronh's desease</t>
  </si>
  <si>
    <t>Abdominoperineal (AP) resection with end colostomy</t>
  </si>
  <si>
    <t>Anaemia, gastritis, mid-rectal tumour (adenocarcinoma), hypertension</t>
  </si>
  <si>
    <t>Open gastrectomy</t>
  </si>
  <si>
    <t>Javed Sultan</t>
  </si>
  <si>
    <t>Adenocarcinoma of the gastric antrum, asymptomatic UTI, eczema, reflux</t>
  </si>
  <si>
    <t>Open right adrenalectomy</t>
  </si>
  <si>
    <t>Rachel Brindle</t>
  </si>
  <si>
    <t>Right sided phaeochromocytoma, migraine, reflux, psoriasis, acute MI, acute coronary syndrome, CABG, angina, valvular heart disease, hypertension, atrial fibrilation</t>
  </si>
  <si>
    <t>Satish Maddineni </t>
  </si>
  <si>
    <t>Open right radical nephrectomy with lymphadenectomy</t>
  </si>
  <si>
    <t>T2b N0 M0 renal cell carcinoma, hypertension, anaemia, haematuria, diverticular desease, asthma, hypercholesterolaemia</t>
  </si>
  <si>
    <t>Posterior Lumbar Interbody Fusion</t>
  </si>
  <si>
    <t>Silviu Sabou</t>
  </si>
  <si>
    <t>Spondylolisthesis, hypertension, diabetes type 2, osteoarthritis, renal dysfunction</t>
  </si>
  <si>
    <t>Interbody fusion and decompression</t>
  </si>
  <si>
    <t>Previous palpitation with panic attack, mild asthma, sleep apnoea, neuropathy, indigestion, heartburn, eczema</t>
  </si>
  <si>
    <t>Rajat Verma</t>
  </si>
  <si>
    <t>Neuropathy, osteoporosis, mild anaemia, psoriasis</t>
  </si>
  <si>
    <t>NHDU</t>
  </si>
  <si>
    <t>Removal of metalwork and revision of distal fixation</t>
  </si>
  <si>
    <t>Idiopathic scoliosis</t>
  </si>
  <si>
    <t>Dmitri Van Popta</t>
  </si>
  <si>
    <t>angina, hypertension, palpitations, asthma, diebetes type 2, osteoarthritis, neuropathy, reflux, hyponatremia, limited mobility, osteopenia</t>
  </si>
  <si>
    <t>CCU (Level 3)</t>
  </si>
  <si>
    <t>Robert Brown</t>
  </si>
  <si>
    <t>Adenocarcinoma of the lower oesophagus, hiatus hernia</t>
  </si>
  <si>
    <t>Concerns with her breathing, stoma care</t>
  </si>
  <si>
    <t>Ileocaecal resection</t>
  </si>
  <si>
    <t>Crohn's desease, anaemia</t>
  </si>
  <si>
    <t xml:space="preserve">Anti-reflux surgery </t>
  </si>
  <si>
    <t>Ramakrishna Chaparala</t>
  </si>
  <si>
    <t>Reflux, asthma, breahtlesness, hypothyroidism</t>
  </si>
  <si>
    <t xml:space="preserve">Posterior Spinal instrumentation Fusion </t>
  </si>
  <si>
    <t>Irfan Siddique</t>
  </si>
  <si>
    <t>Scoliosis, heartburn</t>
  </si>
  <si>
    <t>Reversal of Hartmann's procedure</t>
  </si>
  <si>
    <t>N P Lees</t>
  </si>
  <si>
    <t>Sigmoid diverticular desease, Hartmann's procedure, indigestion, ileostomy, migraine, AKI</t>
  </si>
  <si>
    <t>Laparotomy and left ureter ileal interposition</t>
  </si>
  <si>
    <t>Grade 2 RCC, left partial nephrectomy, asthma, migraine, indigestion, heartburn, partial left kidney disfunction</t>
  </si>
  <si>
    <t>H5</t>
  </si>
  <si>
    <t>Suspected rectal stump blow-out</t>
  </si>
  <si>
    <t>II</t>
  </si>
  <si>
    <t>Subtotal gastrectomy</t>
  </si>
  <si>
    <t>T4a gastric adenocarcinoma, anaemia, lifelong smoker, recent TIA, asthma, COPD</t>
  </si>
  <si>
    <t>T2 adenocarcinoma lower oesophagus, anaemia</t>
  </si>
  <si>
    <t>Oesophagectomy</t>
  </si>
  <si>
    <t>Jonathan Vickers</t>
  </si>
  <si>
    <t>Episodes of delirium and aggressions to staff</t>
  </si>
  <si>
    <t>Rachel Melhado</t>
  </si>
  <si>
    <t>Adenocarcinoma of the oesophagus, rheumatoid arthritis, high BMI, diabetes type 2 (non-insulin dependent), recent ex-smoker, history of MRSA colonisation</t>
  </si>
  <si>
    <t>Open partial nephrectomy</t>
  </si>
  <si>
    <t>Noel Clarke</t>
  </si>
  <si>
    <t>Left renal mass, hypertension, obesity, diabetes type 2</t>
  </si>
  <si>
    <t>Urethral catheter in-situ (not present pre-operatively), Oliguria (&lt;500ml/24hr)</t>
  </si>
  <si>
    <t>Mobility Issue, Medical/nursing care</t>
  </si>
  <si>
    <t>Neil Oxborrow</t>
  </si>
  <si>
    <t>&gt;3  hours</t>
  </si>
  <si>
    <t>Abdominoperineal (AP) resection with anastamosis (+/- pouch)</t>
  </si>
  <si>
    <t>Gordon Lawrence Carlson</t>
  </si>
  <si>
    <t>T3 N? M1 rectal cancer, anaemia, hypertension, reflux</t>
  </si>
  <si>
    <t>Anant Tambe</t>
  </si>
  <si>
    <t>Neuropathy, spondylolisthesis</t>
  </si>
  <si>
    <t>Stenosis, degenerative scoliosis, osteoarthritis</t>
  </si>
  <si>
    <t>Anterior resection</t>
  </si>
  <si>
    <t>Mid-rectal cancer, Sjogren's syndrome</t>
  </si>
  <si>
    <t>Total nephrectomy (non-transplant)</t>
  </si>
  <si>
    <t>Renal tumour, hypertension, osteoarthritis</t>
  </si>
  <si>
    <t>Patient had temperature &gt;38˚C, Patient currently on IV antibiotics</t>
  </si>
  <si>
    <t>Intestinal failure reconstruction</t>
  </si>
  <si>
    <t>Crohn's desease, Asthma, hypertension, hypothyroidism, hypogonadism, eczema, medicated for depression, smoker</t>
  </si>
  <si>
    <t>Iain Anderson</t>
  </si>
  <si>
    <t>Posterior fusion +/- decompression +/- discectomy (cervical / lumbar regions)</t>
  </si>
  <si>
    <t>John Leach</t>
  </si>
  <si>
    <t>Stenosis</t>
  </si>
  <si>
    <t>Anterior discectomy +/- decompression and fusion (cervical / lumbar regions)</t>
  </si>
  <si>
    <t>Mobility issue</t>
  </si>
  <si>
    <t>T2 hepatic flexure tumour, anaemia</t>
  </si>
  <si>
    <t>Scoliosis, kyphosis</t>
  </si>
  <si>
    <t>Correction of degenerative scoliosis including decompression</t>
  </si>
  <si>
    <t>Nephrectomy (non-transplant)</t>
  </si>
  <si>
    <t>Diabetes type 2, cervical spondylosis, neuropathy, renal dysfunction, smoker</t>
  </si>
  <si>
    <t>MRSA to nose, not back to mobility baseline, slight SOB and low Sp02 during walks</t>
  </si>
  <si>
    <t>Recurrent confusion and delirium, struggling to open bowels, "Family have expressed fear towards him and stated they do not want him home to psychiatrist"</t>
  </si>
  <si>
    <t>Wound infection without abscess</t>
  </si>
  <si>
    <t>CT revealed pleural effusions (no leak), mobility issues, slight SOB, desaturating while mobilising on room air</t>
  </si>
  <si>
    <t>Matt Bailey</t>
  </si>
  <si>
    <t>Smoker, &gt;10 units on a typical day (2-3 times a week)</t>
  </si>
  <si>
    <t>Hypertension, diabetes type 2, osteoarthritis</t>
  </si>
  <si>
    <t>Decompression for central spinal stenosis (three or more levels)</t>
  </si>
  <si>
    <t>Pietro D'Urso</t>
  </si>
  <si>
    <t>Cervical spondylosis</t>
  </si>
  <si>
    <t>Diarrhoea, SOB when mobilised, HAP</t>
  </si>
  <si>
    <t>Kamran Hassan</t>
  </si>
  <si>
    <t>ACDF in 2013</t>
  </si>
  <si>
    <t>Adenocarcinoma, hypertension, asthma, osteoporosis</t>
  </si>
  <si>
    <t>Akhtar Khurshid</t>
  </si>
  <si>
    <t>Andrew King</t>
  </si>
  <si>
    <t>Neck pain, aright arm paraesthesia</t>
  </si>
  <si>
    <t>Revision posterior fusion +/- instrumentation (lumbar region)</t>
  </si>
  <si>
    <t>Kyriakos Matalotiakis</t>
  </si>
  <si>
    <t>Osteoarthritis, neuropathy, current smoker</t>
  </si>
  <si>
    <t xml:space="preserve">Ileus, hyponatraemia, pyrexia and pneumonia on day 6 </t>
  </si>
  <si>
    <t>1,5 L blood loss during surgery</t>
  </si>
  <si>
    <t>Renal carcinoma, hypertension, osteoarthritis</t>
  </si>
  <si>
    <t>Spondylolisthesis, mild coronary artery disease, hypertension, diabetes type 2, aortic stenosis, dyspepsia, recent respiratory infection, low ferritin levels</t>
  </si>
  <si>
    <t>Joshi George</t>
  </si>
  <si>
    <t>Parkinsonism, stenosis, smoker, heavy drinker</t>
  </si>
  <si>
    <t>Stoma output still high, stome care</t>
  </si>
  <si>
    <t>Medical/nursing care, Awaiting OT review</t>
  </si>
  <si>
    <t>Persistent pain, awaiting wound review</t>
  </si>
  <si>
    <t>Right hemicolectomy (with anastomosis /colostomy)</t>
  </si>
  <si>
    <t>Bowel tumour, anaemia</t>
  </si>
  <si>
    <t>CCU (Level 2 and 3)</t>
  </si>
  <si>
    <t xml:space="preserve">CKD stage 5, neurogenic bladder, previous left nephrectomy </t>
  </si>
  <si>
    <t>Enlargement of bladder</t>
  </si>
  <si>
    <t>Cystic renal tumour, recent chest infection</t>
  </si>
  <si>
    <t>Mediastinal thyroidectomy/parathyroidectomy with sternotomy</t>
  </si>
  <si>
    <t>Graves thyrotoxicosis, hypothyroidism, hypertension</t>
  </si>
  <si>
    <t>Rectal cancer, hypertension</t>
  </si>
  <si>
    <t>Renal tumour, iron deficiency, GI bleeding, hypertension, anaemia, solitary kidney</t>
  </si>
  <si>
    <t>Large right iliac fossa incisional hernia, elevated BMI, borderline normal iron levels</t>
  </si>
  <si>
    <t>Hepatic flexure tumour, asthma</t>
  </si>
  <si>
    <t>C/o severe pain in hip, not back to baseline mobility</t>
  </si>
  <si>
    <t>Negative suspected anastomotic leak (fluid in right lateral chest wall), episodes of AF and pyrexia on 5th day</t>
  </si>
  <si>
    <t>Paroxysmal AF on 14th day, resolving diarrhoea, still soft diet, ongoing oxygen requirement, awaiting pump training, resolving HAP</t>
  </si>
  <si>
    <t>CCU (Level 2)</t>
  </si>
  <si>
    <t>Cervical disc protusion, anaemia, migraine, neuropathy, recent chest infection, hypertension</t>
  </si>
  <si>
    <t>Julian Evans</t>
  </si>
  <si>
    <t>Bilateral foraminal stenosis, osteoarthritis</t>
  </si>
  <si>
    <t>Posterior correction of degenerative adult kyphosis with instrumentation</t>
  </si>
  <si>
    <t>Kyphosis</t>
  </si>
  <si>
    <t>Neuropathy, psoriasis</t>
  </si>
  <si>
    <t>Upper tract TCC, atrial fibrilation, sleep apnoea (on CPAP), previous cystoscopies and ablation</t>
  </si>
  <si>
    <t>Cystectomy</t>
  </si>
  <si>
    <t>Bladder squamous cell carcinoma (T2a), hypertension, neuropathy, previous anaemia (treated), previous resection of bladder tumour, overweight, serum iron = 6.3</t>
  </si>
  <si>
    <t>Hypotension, Arrhythmias</t>
  </si>
  <si>
    <t>Suspected HAP on day 2</t>
  </si>
  <si>
    <t>Awaiting discharge, hypotension on first night, episode of delirium on second day</t>
  </si>
  <si>
    <t>Patient self-discharged despite needing further care and examination in hospital</t>
  </si>
  <si>
    <t>Oesophageal adenocarcinoma (T2 N2), atrial fibrilation, thyroidectomy</t>
  </si>
  <si>
    <t>Gastrectomy (partial / total) with excision of surrounding tissue</t>
  </si>
  <si>
    <t>Gastric adenocarcinoma T3 N1, mass lesion in kidney, parkinson's desease, postural hypotension, DVT, restricted mobility, osteoarthritis, reflux, depression</t>
  </si>
  <si>
    <t>David Shackley</t>
  </si>
  <si>
    <t>Renal cell carcinoma (T2), diabetes type 2, neuropathy, heartburn, smoker, patient drinks &gt;4 times a week</t>
  </si>
  <si>
    <t>episodes of fast AF with troponin rise, suspicion of MI due to hypotension/anaemia (trated with noradrenaline), blood transfusion on day 2, prescribed anti-coagulants</t>
  </si>
  <si>
    <t>Scoliosis, heartburn, migraine</t>
  </si>
  <si>
    <t>Anterior correction of scoliosis with instrumentation</t>
  </si>
  <si>
    <t>Renal mass, CKD stage 2, anorexia</t>
  </si>
  <si>
    <t>Scoliosis, migraine, reflux</t>
  </si>
  <si>
    <t>Gastronintestinal stromal tumour, hypertension, smoker,  reflux</t>
  </si>
  <si>
    <t>Residual carcinoid desease, incisional hernia, previous colostomy, renal dysfunction</t>
  </si>
  <si>
    <t>New myocardial infarction or ischaemia, Thrombotic event requiring anticoagulation, Arrhythmias</t>
  </si>
  <si>
    <t>Urinary tract infection</t>
  </si>
  <si>
    <t>Ahmed Abou-Zeid</t>
  </si>
  <si>
    <t>Degenerative spondylolisthesis, sciatica, asthma, hypertension</t>
  </si>
  <si>
    <t>Posterior correction of scoliosis with instrumentation</t>
  </si>
  <si>
    <t>Scoliosis, eczema, iron deficiency without anaemia</t>
  </si>
  <si>
    <t>Kanna Gnanalingham</t>
  </si>
  <si>
    <t>Chronic pain syndrome, asthma, obstructive sleep apnonea on nocturnal CPAP, osteoarthritis, B12 anaemia</t>
  </si>
  <si>
    <t>Previous Hartmann's procedure for diverticular desease, asthma, COPD, osteoarthritis, epilepsy, smoker</t>
  </si>
  <si>
    <t xml:space="preserve">Renal mass, angina, hypertension, COPD, sleep apnoea, diabetes type 2, spondylosis, osteoarthritis, refluxm stomach ulcer </t>
  </si>
  <si>
    <t>Admission complicated by laparotomy for bowell herniation;on day 7, readmitted to ICU due to severe sepsis (CDT); on day 13, persistent severe colitic changes and distended large bowel loops; on day 15, colitis, arm oedema, delirium, jej leaking around site, macrocytic anaemia and thrombocytosis</t>
  </si>
  <si>
    <t>BNO, drain in-situ, pain over wound site (now decreasing)</t>
  </si>
  <si>
    <t>Urethral catheter in-situ (not present pre-operatively), Serum creatinine level &gt;30% of pre-op level</t>
  </si>
  <si>
    <t>BNO, mild pain</t>
  </si>
  <si>
    <t>Motorcycle accident in June</t>
  </si>
  <si>
    <t>CCU (Level 2/3)</t>
  </si>
  <si>
    <t>T3 N2 lower oesophageal tumour, pacemaker for AF 5 years ago, hypertension, osteoarthritis, anaemia</t>
  </si>
  <si>
    <t>HDU</t>
  </si>
  <si>
    <t>Adrenalectomy</t>
  </si>
  <si>
    <t>Adrenal nodule, Cushing's disease, hypertension, diabetes type 2, rheumatoid arthritis, osteoarthritis, previous thromboembolic desease</t>
  </si>
  <si>
    <t>C/o pain, solid diet not prescribed yet</t>
  </si>
  <si>
    <t>Soft diet still, mobility issues due to Parkinson's, recent hallucinations</t>
  </si>
  <si>
    <t>Neuropathy, brachialgia, smoker</t>
  </si>
  <si>
    <t>On ABX, awaiting swab results, constipation, sleeplessness</t>
  </si>
  <si>
    <t>In level 2, episodes of severe pain (decreasing last days), slow progress in mobilization, tachyarrithmia</t>
  </si>
  <si>
    <t>GIST, recent urinary tract infection</t>
  </si>
  <si>
    <t>Alan Li</t>
  </si>
  <si>
    <t>T3a renal mass, CKD stage 3, hypertension, diabetes type 2, anaemia, fatty liver, previous TURP, recent UTI</t>
  </si>
  <si>
    <t>Laparotomy for enterocutaneous fistula</t>
  </si>
  <si>
    <t>Enterocutaneous fistula, underlying psychiatric disorder, smoker</t>
  </si>
  <si>
    <t>Scoliosis</t>
  </si>
  <si>
    <t>Saeed Mohammad/ Silviu Sabou</t>
  </si>
  <si>
    <t>Multilevel spinal stenosis, asthma, fibromyalgia, CKD level 2</t>
  </si>
  <si>
    <t>Posterior decompression with fusion (thoracic region)</t>
  </si>
  <si>
    <t>Caecal adenocarcinoma, smoker, diabetes mellitus, hypertension, preipherial vascular desease</t>
  </si>
  <si>
    <t>Multiple failed TWOC, c/o pain</t>
  </si>
  <si>
    <t>Posterior spinal osteotomy</t>
  </si>
  <si>
    <t>Scoliosis, neuropathy, asthma</t>
  </si>
  <si>
    <t>Oesophagectomy (partial /total)/Oesophagogastrectomy</t>
  </si>
  <si>
    <t>T3 tumour, treated hypertension, smoker for many years, slow AF, anticoagulated, early cirrhosis</t>
  </si>
  <si>
    <t xml:space="preserve">T2/3 adenocarcinoma, CKD stage 3, treated hypertension, palpitations, asthma, osteoarthritis, cervical spondylos, migraine </t>
  </si>
  <si>
    <t>Ulcerative colitis, ileo-anal pouch (2010), pouchitis</t>
  </si>
  <si>
    <t>Dominic Slade, Mattias Soop</t>
  </si>
  <si>
    <t>Excision of ileo anal pouch and formation of end ileostomy</t>
  </si>
  <si>
    <t>Ashok Bhat</t>
  </si>
  <si>
    <t>Admitted with bilateral swollen legs, spinal stenosis, AF, heart failure</t>
  </si>
  <si>
    <t>T1/T2 bowel tumour, ulcerative colitis, previous cholecystectomy</t>
  </si>
  <si>
    <t xml:space="preserve">4 G3 pTa tumours, previous Transurethral Resection of Bladder Tumor, </t>
  </si>
  <si>
    <t xml:space="preserve">Awaiting neurolux brace </t>
  </si>
  <si>
    <t>Naheed Farooq</t>
  </si>
  <si>
    <t>T3 adenocarcinoma of the gastro-oesophagectal junction, 2-3 AU/day</t>
  </si>
  <si>
    <t>Elevated head</t>
  </si>
  <si>
    <t>Left adrenal nodule, inflamatory arthritis, hypertension, TIA on Oct 2017</t>
  </si>
  <si>
    <t>Resolved numbness to the leg and jerky movements to the hand on day 6, stopped jej feed on day 7 (jej tubed blockage on day 6)</t>
  </si>
  <si>
    <t>Cancelled</t>
  </si>
  <si>
    <t>Completion proctectomy</t>
  </si>
  <si>
    <t>previous colectomy</t>
  </si>
  <si>
    <t>Renal cell carcinoma, lung metastases, mild to moderate ischaemia</t>
  </si>
  <si>
    <t>Gastro oeasophageal reflux disease, barret's oesophagus, appendicectomy, migraine</t>
  </si>
  <si>
    <t>xanthogranulomatous pyelonephritis, staghorn renal calculus, hypertension, diabetes type 2, anaemia</t>
  </si>
  <si>
    <t xml:space="preserve">renal mass, asthma, smoker, recent chest infection, </t>
  </si>
  <si>
    <t>Hypertension, osteoarthritis</t>
  </si>
  <si>
    <t>Struggling with physio, ongoing pain issues, needed enema</t>
  </si>
  <si>
    <t>Stoma care</t>
  </si>
  <si>
    <t>C/O nausea and vomiting when taking medication, pain, small leak bottom end of wound on day 12</t>
  </si>
  <si>
    <t>Suspected UTI, TWOC but unable to empty bladder, pain when voiding urine</t>
  </si>
  <si>
    <t>BNO, no flatus passed, cloudy fluid in chest drain</t>
  </si>
  <si>
    <t>Tolerating soft diet, drain still draining,  BNO, on laxatives and analgesia</t>
  </si>
  <si>
    <t>Lyndsay Pearce</t>
  </si>
  <si>
    <t>T3 NX lower/mid rectal adenocarcinoma, hypothyroidism, hypertension, mid aortic stenosis</t>
  </si>
  <si>
    <t>T3 N1 lower oesophageal adenocarcinoma, hypertension, hypercholesterolaemia, charotid atherosclerosis, previous breast cancer, ex-smoker</t>
  </si>
  <si>
    <t>Patient currently on IV antibiotics, Patient had temperature &gt;38˚C</t>
  </si>
  <si>
    <t>Wound infection, not back to baseline of mobility, awaiting for rehab bed in Southport</t>
  </si>
  <si>
    <t>Not back to baseline mobility, pain issues, spasms in leg</t>
  </si>
  <si>
    <t>Caecal tumour, hypertension, AF, on warfarin, CVA 8 years ago</t>
  </si>
  <si>
    <t>T3b N1 renal cell carcinoma with several possible metstases, hypertension, diverticular desease, osteoarthritis, anaemia</t>
  </si>
  <si>
    <t>Unresolved ileus on day 6, on IV fluids and small drinks</t>
  </si>
  <si>
    <t>Stoma care, awaiting stent removal</t>
  </si>
  <si>
    <t>Bilal Khaffaf</t>
  </si>
  <si>
    <t>T3 N2 GOJ adenocarcinoma, asthma, had chemo</t>
  </si>
  <si>
    <t>Conn's syndrome, hypertension, UTI 2 months ago</t>
  </si>
  <si>
    <t>&lt;6</t>
  </si>
  <si>
    <t>Pyrexical and signs of sepsis on day 2, delirium on day 3, ongoing issues with pain, free fluids</t>
  </si>
  <si>
    <t>hypertension, DVT, osteoarthritis, previous strangulated hernia repair with lengthy recovery, type 2 diabetes, laparoscopic sleeve gastrectomy, previous morbid obesity</t>
  </si>
  <si>
    <t>SOB due to pleural effusion/empyema, pyloroplasty leak</t>
  </si>
  <si>
    <t>Post-operative TIA</t>
  </si>
  <si>
    <t>Issues with bowels, antibiotics for celulitis</t>
  </si>
  <si>
    <t>J Nicholson</t>
  </si>
  <si>
    <t xml:space="preserve">T3 upper reactal adenocarcinoma, osteoarthritis </t>
  </si>
  <si>
    <t>T3 N1 adenocarcinoma of the distal oesophagus, hypertension, ex-smoker</t>
  </si>
  <si>
    <t xml:space="preserve">Laparotomy for enterocutaneous fistula </t>
  </si>
  <si>
    <t>Percutaneous nephrolithotomy (including cystoscopy and retrograde catheterisation)</t>
  </si>
  <si>
    <t>kidney and bladder  stones, tetraplegic, hepatitis C, asthma, smokes cannabis, ocassional crack/cocaine</t>
  </si>
  <si>
    <t>3 midline hernias, Crohn's desease, ex-smoker, type 2 diabetes, asthma, CKD stage 2, anaemia</t>
  </si>
  <si>
    <t>HAP and ileus on day 3, issues with TPN due to IV access,PCA 27 presses last 24 hrs., NG to remain on free drainage</t>
  </si>
  <si>
    <t>Still struggling with pain, stoma care continued</t>
  </si>
  <si>
    <t>Some confusion on day 5, not back to mobility baseline</t>
  </si>
  <si>
    <t>Having jej feed, still on free fluids, still on fentanyl PCA, mobility and chest physio in progress</t>
  </si>
  <si>
    <t>Pyrexial with abdominal pain (CT scan and empirical abx prescribed) on day 9, PN ongoing (since day 11), episodes of diarrhoea, day 14: CT reveals increased amount of free fluid in in the abdomen</t>
  </si>
  <si>
    <t>Day 15 location</t>
  </si>
  <si>
    <t xml:space="preserve">Day 8: chest drain in situ; Day 11: Raised inflamatory markers; Day 13: Pyrexial, cellulitis in thoracotomy with small gap in wound, IV abx and CT;  Day 14: Treated as wound infection and small anastomotic leak, also NBM and antifungal. </t>
  </si>
  <si>
    <t>Day 9: referred to Southport spinal unit - a/w review; Day 10: Pregabalin for muscle spams; Day 15: a/w MRI  for spine, continuing abx for 14 days.</t>
  </si>
  <si>
    <t>Gastrectomy (Total or Partial) with excision of surrounding tissue</t>
  </si>
  <si>
    <t>T2 tumour in angulus of stomach, aortic stenosis, COPD, bronchitis, ex-smoker, CKD 2, hypertension</t>
  </si>
  <si>
    <t>Gastric carcinoma</t>
  </si>
  <si>
    <t>T3a N1 renal tumour, anaemia, osteoarthritis, smoker</t>
  </si>
  <si>
    <t>On day 7: Not back to mobility baseline, struggling with IS, pain around chest site and abdomen, recent nausea, jej feed</t>
  </si>
  <si>
    <t>Drowsy on day 2</t>
  </si>
  <si>
    <t>T3 RCC, CKD 3, pernicious anaemia, iron defficiency anaemia, hypertension</t>
  </si>
  <si>
    <t>gastric prepyloric carcinoma, bare metal coronary stents, indigestion, hypertension, osteoarthritis, mild anaemia</t>
  </si>
  <si>
    <t>Anaesthetist advised IV iron post-op</t>
  </si>
  <si>
    <t>Sigmoid colectomy</t>
  </si>
  <si>
    <t>diverticular desease of sigmoid colon</t>
  </si>
  <si>
    <t>Day 9: chest drain for pleural effusion, IV abx, PCA; Day 13: drain out, vomiting, still jej feed and NG; Day 15: Still on fluids, NG, a/w CXR</t>
  </si>
  <si>
    <t>Language barrier</t>
  </si>
  <si>
    <t>language barrier, surgical pathway not arrived</t>
  </si>
  <si>
    <t>cancelled</t>
  </si>
  <si>
    <t>surgical pathway not available</t>
  </si>
  <si>
    <t>Intravenous Iron, Blood transfusion</t>
  </si>
  <si>
    <t xml:space="preserve">T3 N1/2 colon adenocarcinoma, iron deficiency anaemia, biliary cholangitis, hypertension, previous hysterectomy, osteopenia </t>
  </si>
  <si>
    <t xml:space="preserve">Nephroureterectomy </t>
  </si>
  <si>
    <t>ureteric TCC, ureteric stone, ischemic heart desease, chronic renal impairment, MRSA positive (on therapy), ex-smoker, claudication</t>
  </si>
  <si>
    <t>Pt had pus coming out of the epidural catheter. MRI reveals no obvious site infection. Raised inflamatory markers, continues IV abx, pyrexial on day 7, mild meningitic symptoms (now resolved)</t>
  </si>
  <si>
    <t>C/o severe pain after PCA out, started treatment for suspected HAP</t>
  </si>
  <si>
    <t>renal pelvis stone, osteoarthritis</t>
  </si>
  <si>
    <t>T4a N2 proximal gastric cancer, anaemia, hemochromatosis, neo-adjuvant chemotherapy, diabetes type 2, previous OGD</t>
  </si>
  <si>
    <t>papillary carcinoma in kidney, kidney transplant 2008, hypertension, diabetes type 2</t>
  </si>
  <si>
    <t>Had slow progress with stoma care, iron infusion on day 7,</t>
  </si>
  <si>
    <t>N/D</t>
  </si>
  <si>
    <t xml:space="preserve">T3 N2 oesophageal lesion, </t>
  </si>
  <si>
    <t xml:space="preserve">upper tract urothelial tumour, hypertension, Paget's desease, several previous infections (on prohylactic abx), previous breast cancer, cholecystectomy, hysterectomy, </t>
  </si>
  <si>
    <t>Renal lesion (presumed RCC), CKD stage 2, hypertension</t>
  </si>
  <si>
    <t>Various episodes of AF; Day 6: Commenced abx for empirical suspected HAP and CT performed, abdominal pain when coughing; Day 4: Hallucinations</t>
  </si>
  <si>
    <t>Day 3: c/o of painful coughing, IV abx for pneumonia; Day 4: c/o severe pain; Day 7: tolerating soft diet, chest physio</t>
  </si>
  <si>
    <t>Jonathan Epstein, Gordon Lawrence Carlson</t>
  </si>
  <si>
    <t>Gastric adenocarcinoma, controlled agina, anaemia, restless legs, hypercholesterolaemia, neoadjuvant chemotherapy</t>
  </si>
  <si>
    <t>rectosigmoid polyp, hypertension, palpitations, hyperthyroidism, osteoarthritis, hyperlipidaemia</t>
  </si>
  <si>
    <t>"biopsy […] not diagnostic but chracteristic for TCC", polymyalgia rheumatica, moderate aortic stenosis, CPEX showed moderate risk, mild anaemia</t>
  </si>
  <si>
    <t>Renal tumour, chronic fatigue, moderate anaemia (IV iron not prescribed as it was considered that if it was administered &lt;5 days prior to surgery will not influence peri-op Hb but may improve post-op anaemia recovery. Difficult to organise as OP at this late stage. Significant risk of requiring peri-op transfusion)</t>
  </si>
  <si>
    <t>Day 6: temperature spike, SOB, pain around drain; Day 7: impression sepsis likely wound infection</t>
  </si>
  <si>
    <t>Day 6: erythema around wound ("likely wound infection"), started oral abx</t>
  </si>
  <si>
    <t>Care focused mainly on stoma; Day 6: UTI, started oral abx; Day 7: oral abx, encourage oral intake</t>
  </si>
  <si>
    <t>Rachel Melhado, Houghton</t>
  </si>
  <si>
    <t>Care Home</t>
  </si>
  <si>
    <t>I, II, IIIB, IVA</t>
  </si>
  <si>
    <t>I, II, IIIA</t>
  </si>
  <si>
    <t>large abdominal defect, mild asthma, anaemia treated with iron supplements years ago, had 2 operations in the last 30 days</t>
  </si>
  <si>
    <t>Demonic Slade, Gordon Lawrence Carlson</t>
  </si>
  <si>
    <t>squamous dysplasia/early squamous carcinoma</t>
  </si>
  <si>
    <t>Left hemicolectomy (with anastomosis /colostomy)</t>
  </si>
  <si>
    <t>lession in the proximal sigmoid tumour (T3 N2), hypertension, hypothyroidism, osteoarthritis, CKD stage 3</t>
  </si>
  <si>
    <t>Buillding up diet; Day 7: CXR for suspected pneumonia, oral fluids</t>
  </si>
  <si>
    <t xml:space="preserve">Cystectomy </t>
  </si>
  <si>
    <t>CIS of prostatic urethra, "folate and iron both below normal pre-op"</t>
  </si>
  <si>
    <t>Previous hartmanns's procedure for perforated sigmoid diverticular disease, thyroid lobectomy (benign adenoma), fractured clavicle delayed surgery</t>
  </si>
  <si>
    <t>Resection of small bowel (+/- tumour)</t>
  </si>
  <si>
    <t>Colovesical fistula (diverticular desease in sigmoid colon, current smoker</t>
  </si>
  <si>
    <t>Day 8: Hospital acquired meningitis; Day 10: iron infusion due to low anaemia related biomarkers; Day 12: temperature spike, abdominal pain around stoma site; Day 15: pain resolved, finishing abx treatment</t>
  </si>
  <si>
    <t>Re-admitted for infected seroma of abdo. Wall</t>
  </si>
  <si>
    <t>Re-admitted on day 34</t>
  </si>
  <si>
    <t>Re-admitted for difficult swallowing</t>
  </si>
  <si>
    <t>T1 adenocarcinoma of oesophagus, high BMI, recent ex-smoker</t>
  </si>
  <si>
    <t>Ileo-caecal resection (with anastamosis or ileostomy formation)</t>
  </si>
  <si>
    <t>Terminal ilea Corhn's desease</t>
  </si>
  <si>
    <t>Jej feed. Just started buildin-up diet.</t>
  </si>
  <si>
    <t>Alan Li, Bilal Alkhaffaf</t>
  </si>
  <si>
    <t xml:space="preserve"> Yes</t>
  </si>
  <si>
    <t>Day 2: Not rested. Did not ask; Effusion/Atelectasis detected in CXR on day 12, slow diet build-up</t>
  </si>
  <si>
    <t>language barrier</t>
  </si>
  <si>
    <t>T2 GOJ adenocarcinoma, hypertension, asthma (stable on inhlaers), hypercholesterolaemia, type 2 diabetes, osteoarthritis, recent ex-smoker</t>
  </si>
  <si>
    <t xml:space="preserve">Nephrectomy (non-transplant) </t>
  </si>
  <si>
    <t>Renal tumour and renal stones, severe congenital aortic stenosis, coarctation, previous myomectomy, anticoagulated, smoker</t>
  </si>
  <si>
    <t>Day 2: NBM</t>
  </si>
  <si>
    <t>Day 8: Started conservatrive management for contained oesophageal leak;  Day 15: CT shows continued leak, endosopy under GA to assess suitability of nasogastric tube with endosponge</t>
  </si>
  <si>
    <t>N/R</t>
  </si>
  <si>
    <t xml:space="preserve">T1/2 rectal cancer, iron deficiency anaemia, diabetes type 2, </t>
  </si>
  <si>
    <t>28/09: Procedure abandoned due to ECG changes in theatre; Re-schedule for 22/10</t>
  </si>
  <si>
    <t xml:space="preserve">T2 distal oesophageal adenocarcinoma, borderline COPD, pleural plaques, ulcerative colitis, gilbert's desease, right bundle branch block, CPEX suggested moderate risk of increased complications, </t>
  </si>
  <si>
    <t>Data collector on A/L</t>
  </si>
  <si>
    <t>Stoma care, awaiting CXR, temp of 39C</t>
  </si>
  <si>
    <t>Day 3: HAP; Day 7: On clear fluids and jej feed</t>
  </si>
  <si>
    <t>IIIA</t>
  </si>
  <si>
    <t>Day 7: suppositories, stent out</t>
  </si>
  <si>
    <t>Day 2: Patient declined to answer</t>
  </si>
  <si>
    <t>Day 7: Awaiting dietician review, stoma care, recent severe abdominal pain</t>
  </si>
  <si>
    <t>Day 7: Oesophageal leak, IV abx and antifungals started, intubated in ICU</t>
  </si>
  <si>
    <t>Left hemicolectomy (with colostomy)</t>
  </si>
  <si>
    <t>T2 sigmoid tumour, previous laryngectomy, AF on rivaroxaban, COPD/asthma, cirrhosis with portal hypertension, previous significant alcohol consumption now abstinent, recent chest infection treated with abx and steroids, osteoarthritis, fibromyalgia, anaemia</t>
  </si>
  <si>
    <t>T3 N2 M1 renal cell carcinoma, hypertension, acute pulmonary embolus, history of recurrent chest infections 2017/18, hiatus hernia, gastro-oesophageal reflux desease, osteoarthritis, history of alcohol abuse, anaemia, anticoagulated, AF</t>
  </si>
  <si>
    <t>Right renal carcinoma, CKD 3, hypertension, anxiety, BMI 40</t>
  </si>
  <si>
    <t>Exploratory laparotomy</t>
  </si>
  <si>
    <t>Chron's desease, anaemia, recurrent septic episodes, previous colectomy and ileorectal reanastomosis</t>
  </si>
  <si>
    <t>Day 8: Pyrexia and high inflamatory markers; Day 9: empirical abx for sepsis of unknown source, IV fluids; Day 10: overall urinary source, spiking temperatures and raised infamatory markers; Day 11: sepsis considered as abdominal wall infection after CT findings; Day 12: temperature spike; Day 14: scrotal swelling; Day 15: temperature spike, repeat CT scan, reculture</t>
  </si>
  <si>
    <t>II, IIIA</t>
  </si>
  <si>
    <t>NBM first 7 days</t>
  </si>
  <si>
    <t>Day 3: HAP; Day 7: green sputum still, on abx, NG tube</t>
  </si>
  <si>
    <t>GIST, dibetes type 2, iron deficiency anaemia (was listed to have iron IV but was not possible to administer prior to surgery), hypertension, no asthma but on inhlaer due to cough, increased IBM, white coat syndrome</t>
  </si>
  <si>
    <t>Renal cell carcinoma, osteoporosis</t>
  </si>
  <si>
    <t>hydronephrosis, HIV infection, hepatitis C (treatment completed), epilepsy, liver cirrhosis, alcohol accessed/dependant, kaposi sarcoma</t>
  </si>
  <si>
    <t>Larangectomy</t>
  </si>
  <si>
    <t>T3 N1 oesophageal adenocarcinoma, smoker, hypertension, ASA 2</t>
  </si>
  <si>
    <t>Metastatic renal cell carcinoma, previous nephrectomy for a renal carcinoma, hypothyroidism, ASA 3</t>
  </si>
  <si>
    <t>Day 8: underwent operation for anastomotic leak; Day 10: Ileus; Day 11: temperature spikes, new AF, extubation not successful; Day 14: NBM; Day 15: Na has been high</t>
  </si>
  <si>
    <t>Day 2: Patient in severe pain and distressed. Decided not to approach</t>
  </si>
  <si>
    <t>first_name</t>
  </si>
  <si>
    <t>surname</t>
  </si>
  <si>
    <t>hospital_n</t>
  </si>
  <si>
    <t>comment</t>
  </si>
  <si>
    <t>day_2</t>
  </si>
  <si>
    <t>day_7</t>
  </si>
  <si>
    <t>day_15</t>
  </si>
  <si>
    <t>admission_type</t>
  </si>
  <si>
    <t>pqip_consent</t>
  </si>
  <si>
    <t>gm_eras_ele</t>
  </si>
  <si>
    <t>eras</t>
  </si>
  <si>
    <t>Admission</t>
  </si>
  <si>
    <t>Participants</t>
  </si>
  <si>
    <t>Hospital number</t>
  </si>
  <si>
    <t>Comments with relevant information relating to any day and that do not fit in any other item (eg: surgical pathway not available, patient</t>
  </si>
  <si>
    <t>Date of day 2 from surgery</t>
  </si>
  <si>
    <t>Date of day 7 from surgery</t>
  </si>
  <si>
    <t>Date of day 15 surgery</t>
  </si>
  <si>
    <t>Is the patient participating in PQIP study?</t>
  </si>
  <si>
    <t xml:space="preserve">Is the patient elegible for the GM ERAS study? </t>
  </si>
  <si>
    <t>Is the patient on the ERAS pathway?</t>
  </si>
  <si>
    <t>area_surgery</t>
  </si>
  <si>
    <t>are_surgery</t>
  </si>
  <si>
    <t>admission_date</t>
  </si>
  <si>
    <t>Date of admission in hospital</t>
  </si>
  <si>
    <t>surgery_date</t>
  </si>
  <si>
    <t>Date of surgery</t>
  </si>
  <si>
    <t>surgery_duration</t>
  </si>
  <si>
    <t>discharge_loc</t>
  </si>
  <si>
    <t>Location of Ward the patient is planned to be discharged to</t>
  </si>
  <si>
    <t>discharge_date</t>
  </si>
  <si>
    <t>Date of discharge</t>
  </si>
  <si>
    <t>hospital_stay</t>
  </si>
  <si>
    <t>Duration of hospital stay from day of surgery</t>
  </si>
  <si>
    <t>discharge_30</t>
  </si>
  <si>
    <t>The date of the 30th day counted from the day of discharge</t>
  </si>
  <si>
    <t>readmit_30</t>
  </si>
  <si>
    <t>Has the patient been re-admitted within 30 days after discharge?</t>
  </si>
  <si>
    <t>troponin</t>
  </si>
  <si>
    <t>hb</t>
  </si>
  <si>
    <t>creatinine</t>
  </si>
  <si>
    <t>Latest haemoglobin level measured before surgery</t>
  </si>
  <si>
    <t>Latest creatinine level measured before surgery</t>
  </si>
  <si>
    <t>albumin</t>
  </si>
  <si>
    <t>Latest albumin level measured before surgery</t>
  </si>
  <si>
    <t>chest_physio</t>
  </si>
  <si>
    <t>surgery_school</t>
  </si>
  <si>
    <t>date_school</t>
  </si>
  <si>
    <t>Date patient attended surgery school</t>
  </si>
  <si>
    <t>school_satisfaction</t>
  </si>
  <si>
    <t>app_down</t>
  </si>
  <si>
    <t>App downloaded</t>
  </si>
  <si>
    <t>website</t>
  </si>
  <si>
    <t>Visited website</t>
  </si>
  <si>
    <t>base_activity</t>
  </si>
  <si>
    <t>Baseline daily activity</t>
  </si>
  <si>
    <t>current_activity</t>
  </si>
  <si>
    <t>activity_type</t>
  </si>
  <si>
    <t>anaemia_treat</t>
  </si>
  <si>
    <t>Anaemia treatment</t>
  </si>
  <si>
    <t>anaesthesia</t>
  </si>
  <si>
    <t>Planned Anaethesia/Analgesia</t>
  </si>
  <si>
    <t>surgery</t>
  </si>
  <si>
    <t>surgeon</t>
  </si>
  <si>
    <t>medical_hist</t>
  </si>
  <si>
    <t>tidal_vol</t>
  </si>
  <si>
    <t>Tidal volume</t>
  </si>
  <si>
    <t>inc_spiro</t>
  </si>
  <si>
    <t>Post-Op &gt; 24hrs</t>
  </si>
  <si>
    <t>t_brushes</t>
  </si>
  <si>
    <t>m_washed</t>
  </si>
  <si>
    <t>m_washes</t>
  </si>
  <si>
    <t>iv_disc</t>
  </si>
  <si>
    <t>IV discontinued</t>
  </si>
  <si>
    <t>drinking</t>
  </si>
  <si>
    <t>tolerate_15l</t>
  </si>
  <si>
    <t>Tolerating &gt; 1.5 litres</t>
  </si>
  <si>
    <t>oral_diet</t>
  </si>
  <si>
    <t>mobilised</t>
  </si>
  <si>
    <t>elev_head</t>
  </si>
  <si>
    <t>resp_supp</t>
  </si>
  <si>
    <t>Post-op over 7 days</t>
  </si>
  <si>
    <t>in_hospital</t>
  </si>
  <si>
    <t>Current location</t>
  </si>
  <si>
    <t>infec_24</t>
  </si>
  <si>
    <t>infec_7</t>
  </si>
  <si>
    <t>gastro</t>
  </si>
  <si>
    <t>pulm_supp_24</t>
  </si>
  <si>
    <t>Pulmonary Support (last 24 hrs)</t>
  </si>
  <si>
    <t>pulm_supp_7</t>
  </si>
  <si>
    <t>cardio_24</t>
  </si>
  <si>
    <t>troponin_7</t>
  </si>
  <si>
    <t>creatinine_base</t>
  </si>
  <si>
    <t>Corresponding creatinine (pre-op level)</t>
  </si>
  <si>
    <t>creatinine_high</t>
  </si>
  <si>
    <t>rrt</t>
  </si>
  <si>
    <t>New requirement for RRT</t>
  </si>
  <si>
    <t>neuro</t>
  </si>
  <si>
    <t>wound</t>
  </si>
  <si>
    <t>haemato</t>
  </si>
  <si>
    <t>pain</t>
  </si>
  <si>
    <t>mobility</t>
  </si>
  <si>
    <t>comment_7</t>
  </si>
  <si>
    <t>Comment still inpatient on day 7</t>
  </si>
  <si>
    <t>date_15</t>
  </si>
  <si>
    <t>inpatient_15</t>
  </si>
  <si>
    <t>location_15</t>
  </si>
  <si>
    <t>comment_15</t>
  </si>
  <si>
    <t>dicharge_date</t>
  </si>
  <si>
    <t>discharge_dest</t>
  </si>
  <si>
    <t>complication</t>
  </si>
  <si>
    <t>*Enter albumin value*</t>
  </si>
  <si>
    <t xml:space="preserve">Albumin (units) </t>
  </si>
  <si>
    <t xml:space="preserve">Haemoglobin (units) </t>
  </si>
  <si>
    <t>*Enter haemoglobin value*</t>
  </si>
  <si>
    <t>Not applicable</t>
  </si>
  <si>
    <t>Not available</t>
  </si>
  <si>
    <t>Not done</t>
  </si>
  <si>
    <t>Not given one</t>
  </si>
  <si>
    <t>Nill by mouth</t>
  </si>
  <si>
    <t>Disabled</t>
  </si>
  <si>
    <t>Partial gastrectomy (+/- excision of surrounding tissue)</t>
  </si>
  <si>
    <t>smoke_hist</t>
  </si>
  <si>
    <t>smoke_cess</t>
  </si>
  <si>
    <t>New data item: smoking history and smoking cessation service</t>
  </si>
  <si>
    <t>Ex-smoker - stopped smoking &lt;=6 months ago</t>
  </si>
  <si>
    <t>T3 distal gastric adenocarcinoma, ASA 2, various  episodes collapses in the last years,  peptic ulcer desease, history of heavy alcohol intake,  neoadjuvant chemotherapy</t>
  </si>
  <si>
    <t>Khurshid Akhtar</t>
  </si>
  <si>
    <t>T3 proximal gastric adenocarcinoma, ASA 2, neoadjuvant chemotherapy, fibromyalgia, recent ex-smoker</t>
  </si>
  <si>
    <t>Renal pelvis stone, ASA 2, previous PCNL, recurrent urinary tract infections, bronchiectasis, hypertension</t>
  </si>
  <si>
    <t>Never smoked</t>
  </si>
  <si>
    <t>Severe persistant pain around abdoment treated with fentanyl, solved HAP treated with abx, still NBM on day 7 (prescribed)</t>
  </si>
  <si>
    <t>What is the patient's smoking history</t>
  </si>
  <si>
    <t>SOP - Select one option which best describes the patient’s smoking history. Smoking includes all forms of inhaled tobacco (but not electronic cigarettes or other nicotine delivery systems, e.g. chewing gum).</t>
  </si>
  <si>
    <t>Ex-smoker - stopped smoking &gt; 6months ago</t>
  </si>
  <si>
    <t>Current smoker</t>
  </si>
  <si>
    <t>Not known</t>
  </si>
  <si>
    <t>Has the patient been referred to a smoking cessation service?</t>
  </si>
  <si>
    <t>SOP - Select if the patient was referred to a smoking cessation service, regardless of attendance.</t>
  </si>
  <si>
    <t>Yes - intensive</t>
  </si>
  <si>
    <t>Yes - one off</t>
  </si>
  <si>
    <t>Pulmonary Pharmalogical Support (last 7 days)</t>
  </si>
  <si>
    <t>Highest measured level of Troponin (last 7 days)</t>
  </si>
  <si>
    <t>Right hemicolectomy (with ileostomy)</t>
  </si>
  <si>
    <t>Caecal tumour, ASA 4, polycystic kidney desease, CKD 5, hypertension, previous necrotising pancreatitis, hyperlipidaemia, ischaemic nephropathy, cerebral aneurysm</t>
  </si>
  <si>
    <t>Renal lession suspected RCC, ASA 3, adrenal metastasis, suspected metastasis ribs, breast nodule, hypertension, hypothyroidism</t>
  </si>
  <si>
    <t>Nephrectomy (non-transplant), Adrenalectomy</t>
  </si>
  <si>
    <t>Plan is discharge following week provided stoma competent</t>
  </si>
  <si>
    <t>On severe pain, anxious and distressed on first day; Sedated and intubated due to worsening hypoxia and associated distress and high vasopressor requirements first days after surgery</t>
  </si>
  <si>
    <t>T3 N2 esophageal adenocarcinoma, chemotherapy, ASA 2</t>
  </si>
  <si>
    <t>Adrenalectomy (unilateral)</t>
  </si>
  <si>
    <t>Phaecromocytoma, recurrent stroke, hemianopia, hypertension, ASA 3</t>
  </si>
  <si>
    <t>Not Recorded</t>
  </si>
  <si>
    <t xml:space="preserve">oral iron supplements until Nissen fundoplication on april 2017, ASA 2, osteoarthritis, </t>
  </si>
  <si>
    <t>T2/3 sigmoid tumour, uncontrolled atrial fibrilation, hypertension, previous prostectomy, multinodular goitre, anaemia (blood transfusion 1 month prior),  ASA 3</t>
  </si>
  <si>
    <t>T3 mid-rectal tumour, smoker, previous cerebrovascuval accident, treated hypertension, mild anaemia</t>
  </si>
  <si>
    <t>Day 3: desaturating, vomiting, saline nebs; Day 4: episodes of vomiting; Day 5: troponin raised due to sepsis from pneumonia, hypoxic, tachicardic, pyrexic,; Day 7: tolerating sips of water, oxygen requirement reduced</t>
  </si>
  <si>
    <t>T2 adenocarcinoma of the rectum, ASA 2, anaemia, hypertension</t>
  </si>
  <si>
    <t>colovesical fistula, hypertension, angina, abdominal aortic aneurysm, claudication,  ASA 3</t>
  </si>
  <si>
    <t>recurrent renal stone desease, previous lymphedema, previous clostridium difficile, ASA 2</t>
  </si>
  <si>
    <t>Day 3: Started iv abx for HAP; episodes of severe pain over the week</t>
  </si>
  <si>
    <t xml:space="preserve">patient with intestinal failure following surgical complications after multiple laparotomies, recurrent admissions for pelvic sepsis </t>
  </si>
  <si>
    <t>Experienced nausea, vomiting or distension, Unable to tolerate enteral diet</t>
  </si>
  <si>
    <t>Respiratory failure following procedure; Day 5: pyrexial, tachycardic, increasing oxygen requirements, vomiting, likely ileus, abx; Day 6: vomiting</t>
  </si>
  <si>
    <t>location_7</t>
  </si>
  <si>
    <t>pulm_pharm</t>
  </si>
  <si>
    <t>renal_24</t>
  </si>
  <si>
    <t>why_inpatient_7</t>
  </si>
  <si>
    <t>Tolerating 1.5l of free fluids</t>
  </si>
  <si>
    <t>CIS of bladder, asthma (moderate COPD), recent lower respiratory tract infection, ASA 3</t>
  </si>
  <si>
    <t xml:space="preserve">bowel fistula, multiple previous umbilical repairs, vitamin d deficiency, diabetes type 2 tablet controlled, arthritis, abdominal aortic aneurysm, </t>
  </si>
  <si>
    <t>Day 9: CT reveals plaural effusion, HFNC; Day 12: tachycardia; Day 15: still treated for leak</t>
  </si>
  <si>
    <t>Episodes of hypotension over the first days after surgery; Day 5: pyrexial, started oral abx; Day 6: Treated for hypertension</t>
  </si>
  <si>
    <t>Day 6: started abx for UTI; Day 7: training for stoma</t>
  </si>
  <si>
    <t>Mattias Soop, Gordon Lawrence Carlson</t>
  </si>
  <si>
    <t>T1/2 tumour in rectosigmoid junction, ASA 1</t>
  </si>
  <si>
    <t>adrenal mass, hypertcortisolemia, ASA 2</t>
  </si>
  <si>
    <t>T1  rectal tumour, ASA 2</t>
  </si>
  <si>
    <t>Building up oral intake and managing pain issues and mobility; Day 13: sever pain, mild hypotension and tachycardia; Day 14: abdominal pain, poor nutritional intake</t>
  </si>
  <si>
    <t>Building up diet, epidural re-sited on day 3</t>
  </si>
  <si>
    <t>From here: consider any complex abdo surgery as gm eras elegible</t>
  </si>
  <si>
    <t>oesphagitis, hiatal hernia, ASA 2</t>
  </si>
  <si>
    <t>T2 sigmoid tumour, osteoarthritis, ASA 2</t>
  </si>
  <si>
    <t>diverticulitis, previous sigmopid colonic resection complicated by anastomotic leak, abdominal wall dehiscence, recto-cutaneous fistula, ASA 2</t>
  </si>
  <si>
    <t>Nephrectomy and excision of perirenal tissue</t>
  </si>
  <si>
    <t xml:space="preserve">T3a renal tumour, hiatus hernia, </t>
  </si>
  <si>
    <t>Day 2: back to theatre for left leg fasciotomy for compartment syndrome developed after surgery</t>
  </si>
  <si>
    <t>Day 8: NBM, cough; Day 15: still on abx,  planned bronchial stent at wynthenshaw</t>
  </si>
  <si>
    <t>faecal loading, treated for re-feeding syndrome, urinary retention, episode of delirium, thrombocythaemia, functional deconditioning; Day 9: positive for candida</t>
  </si>
  <si>
    <t>Column1</t>
  </si>
  <si>
    <t>Column2</t>
  </si>
  <si>
    <t>Column3</t>
  </si>
  <si>
    <t>Column4</t>
  </si>
  <si>
    <t>Column5</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</si>
</sst>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F400]h:mm:ss\ AM/PM"/>
  </numFmts>
  <fonts count="31">
    <font>
      <sz val="11"/>
      <color theme="1"/>
      <name val="Calibri"/>
      <family val="2"/>
      <scheme val="minor"/>
    </font>
    <font>
      <sz val="11"/>
      <color rgb="FFFF0000"/>
      <name val="Calibri"/>
      <family val="2"/>
      <scheme val="minor"/>
    </font>
    <font>
      <b/>
      <sz val="11"/>
      <color theme="1"/>
      <name val="Calibri"/>
      <family val="2"/>
      <scheme val="minor"/>
    </font>
    <font>
      <b/>
      <sz val="20"/>
      <color theme="1"/>
      <name val="Calibri"/>
      <family val="2"/>
      <scheme val="minor"/>
    </font>
    <font>
      <b/>
      <sz val="11"/>
      <color rgb="FFFF0000"/>
      <name val="Calibri"/>
      <family val="2"/>
    </font>
    <font>
      <b/>
      <sz val="11"/>
      <color theme="1"/>
      <name val="Calibri Light"/>
      <family val="2"/>
    </font>
    <font>
      <b/>
      <sz val="11"/>
      <color rgb="FFFF0000"/>
      <name val="Calibri"/>
      <family val="2"/>
      <scheme val="minor"/>
    </font>
    <font>
      <b/>
      <sz val="11"/>
      <color rgb="FF000000"/>
      <name val="Calibri Light"/>
      <family val="2"/>
    </font>
    <font>
      <sz val="11"/>
      <color rgb="FF000000"/>
      <name val="Calibri"/>
      <family val="2"/>
    </font>
    <font>
      <sz val="11"/>
      <color theme="1"/>
      <name val="Calibri"/>
      <family val="2"/>
    </font>
    <font>
      <b/>
      <sz val="11"/>
      <color theme="1"/>
      <name val="Calibri"/>
      <family val="2"/>
    </font>
    <font>
      <b/>
      <sz val="20"/>
      <color theme="1"/>
      <name val="Calibri"/>
      <family val="2"/>
    </font>
    <font>
      <b/>
      <sz val="11"/>
      <color rgb="FF000000"/>
      <name val="Calibri"/>
      <family val="2"/>
    </font>
    <font>
      <b/>
      <sz val="20"/>
      <color rgb="FF000000"/>
      <name val="Calibri"/>
      <family val="2"/>
    </font>
    <font>
      <b/>
      <sz val="11"/>
      <color rgb="FFFF0000"/>
      <name val="Calibri Light"/>
      <family val="2"/>
    </font>
    <font>
      <sz val="11"/>
      <color rgb="FF000000"/>
      <name val="Calibri Light"/>
      <family val="2"/>
    </font>
    <font>
      <sz val="11"/>
      <color theme="1"/>
      <name val="Calibri Light"/>
      <family val="2"/>
    </font>
    <font>
      <sz val="11"/>
      <color theme="0"/>
      <name val="Calibri"/>
      <family val="2"/>
      <scheme val="minor"/>
    </font>
    <font>
      <sz val="8"/>
      <color indexed="81"/>
      <name val="Tahoma"/>
      <family val="2"/>
    </font>
    <font>
      <b/>
      <sz val="8"/>
      <color indexed="81"/>
      <name val="Tahoma"/>
      <family val="2"/>
    </font>
    <font>
      <sz val="11"/>
      <name val="Calibri"/>
      <family val="2"/>
    </font>
    <font>
      <b/>
      <sz val="11"/>
      <name val="Calibri"/>
      <family val="2"/>
    </font>
    <font>
      <b/>
      <sz val="11"/>
      <color rgb="FF00B0F0"/>
      <name val="Calibri"/>
      <family val="2"/>
    </font>
    <font>
      <sz val="11"/>
      <name val="Calibri"/>
      <family val="2"/>
      <scheme val="minor"/>
    </font>
    <font>
      <b/>
      <i/>
      <sz val="11"/>
      <color rgb="FF000000"/>
      <name val="Calibri"/>
      <family val="2"/>
      <scheme val="minor"/>
    </font>
    <font>
      <b/>
      <i/>
      <sz val="11"/>
      <color theme="1"/>
      <name val="Calibri"/>
      <family val="2"/>
      <scheme val="minor"/>
    </font>
    <font>
      <sz val="11"/>
      <color rgb="FF000000"/>
      <name val="Calibri"/>
      <family val="2"/>
      <scheme val="minor"/>
    </font>
    <font>
      <sz val="10"/>
      <color rgb="FF000000"/>
      <name val="Arial"/>
      <family val="2"/>
    </font>
    <font>
      <sz val="11"/>
      <color rgb="FF000000"/>
      <name val="Courier New"/>
      <family val="3"/>
    </font>
    <font>
      <i/>
      <sz val="11"/>
      <color theme="1"/>
      <name val="Calibri"/>
      <family val="2"/>
      <scheme val="minor"/>
    </font>
    <font>
      <sz val="11"/>
      <name val="Calibri"/>
      <scheme val="minor"/>
    </font>
  </fonts>
  <fills count="9">
    <fill>
      <patternFill patternType="none"/>
    </fill>
    <fill>
      <patternFill patternType="gray125"/>
    </fill>
    <fill>
      <patternFill patternType="solid">
        <fgColor theme="2" tint="-0.499984740745262"/>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7" tint="-0.249977111117893"/>
        <bgColor indexed="64"/>
      </patternFill>
    </fill>
    <fill>
      <patternFill patternType="solid">
        <fgColor rgb="FFFFC000"/>
        <bgColor indexed="64"/>
      </patternFill>
    </fill>
    <fill>
      <patternFill patternType="solid">
        <fgColor theme="0"/>
        <bgColor indexed="64"/>
      </patternFill>
    </fill>
    <fill>
      <patternFill patternType="solid">
        <fgColor theme="5" tint="0.39997558519241921"/>
        <bgColor indexed="64"/>
      </patternFill>
    </fill>
  </fills>
  <borders count="17">
    <border>
      <left/>
      <right/>
      <top/>
      <bottom/>
      <diagonal/>
    </border>
    <border>
      <left/>
      <right style="thick">
        <color indexed="64"/>
      </right>
      <top/>
      <bottom/>
      <diagonal/>
    </border>
    <border>
      <left style="thick">
        <color indexed="64"/>
      </left>
      <right style="thick">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indexed="64"/>
      </left>
      <right/>
      <top/>
      <bottom/>
      <diagonal/>
    </border>
    <border>
      <left/>
      <right/>
      <top style="thin">
        <color theme="1"/>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right style="thick">
        <color auto="1"/>
      </right>
      <top style="thick">
        <color auto="1"/>
      </top>
      <bottom style="thick">
        <color auto="1"/>
      </bottom>
      <diagonal/>
    </border>
    <border>
      <left style="thin">
        <color indexed="64"/>
      </left>
      <right style="thin">
        <color indexed="64"/>
      </right>
      <top/>
      <bottom/>
      <diagonal/>
    </border>
  </borders>
  <cellStyleXfs count="1">
    <xf numFmtId="0" fontId="0" fillId="0" borderId="0"/>
  </cellStyleXfs>
  <cellXfs count="107">
    <xf numFmtId="0" fontId="0" fillId="0" borderId="0" xfId="0"/>
    <xf numFmtId="0" fontId="1" fillId="0" borderId="0" xfId="0" applyFont="1"/>
    <xf numFmtId="0" fontId="2" fillId="0" borderId="0" xfId="0" applyFont="1"/>
    <xf numFmtId="0" fontId="0" fillId="0" borderId="0" xfId="0" applyBorder="1"/>
    <xf numFmtId="0" fontId="0" fillId="2" borderId="0" xfId="0" applyFill="1"/>
    <xf numFmtId="0" fontId="0" fillId="4" borderId="0" xfId="0" applyFill="1"/>
    <xf numFmtId="0" fontId="0" fillId="5" borderId="0" xfId="0" applyFill="1"/>
    <xf numFmtId="0" fontId="0" fillId="0" borderId="1" xfId="0" applyBorder="1"/>
    <xf numFmtId="0" fontId="0" fillId="6" borderId="0" xfId="0" applyFill="1"/>
    <xf numFmtId="14" fontId="0" fillId="0" borderId="0" xfId="0" applyNumberFormat="1"/>
    <xf numFmtId="0" fontId="0" fillId="4" borderId="0" xfId="0" applyNumberFormat="1" applyFill="1"/>
    <xf numFmtId="0" fontId="17" fillId="0" borderId="0" xfId="0" applyFont="1"/>
    <xf numFmtId="1" fontId="0" fillId="4" borderId="0" xfId="0" applyNumberFormat="1" applyFill="1"/>
    <xf numFmtId="1" fontId="0" fillId="0" borderId="0" xfId="0" applyNumberFormat="1"/>
    <xf numFmtId="164" fontId="0" fillId="4" borderId="0" xfId="0" applyNumberFormat="1" applyFill="1"/>
    <xf numFmtId="164" fontId="0" fillId="0" borderId="0" xfId="0" applyNumberFormat="1"/>
    <xf numFmtId="1" fontId="0" fillId="0" borderId="0" xfId="0" applyNumberFormat="1" applyBorder="1"/>
    <xf numFmtId="0" fontId="0" fillId="5" borderId="0" xfId="0" applyFill="1" applyBorder="1"/>
    <xf numFmtId="0" fontId="0" fillId="6" borderId="0" xfId="0" applyFill="1" applyBorder="1"/>
    <xf numFmtId="0" fontId="0" fillId="0" borderId="0" xfId="0" applyFont="1"/>
    <xf numFmtId="14" fontId="0" fillId="4" borderId="0" xfId="0" applyNumberFormat="1" applyFill="1"/>
    <xf numFmtId="0" fontId="0" fillId="0" borderId="0" xfId="0" applyAlignment="1">
      <alignment horizontal="right"/>
    </xf>
    <xf numFmtId="0" fontId="0" fillId="0" borderId="5" xfId="0" applyBorder="1"/>
    <xf numFmtId="0" fontId="0" fillId="0" borderId="6" xfId="0" applyBorder="1"/>
    <xf numFmtId="0" fontId="2" fillId="0" borderId="3" xfId="0" applyFont="1" applyBorder="1"/>
    <xf numFmtId="0" fontId="0" fillId="0" borderId="5" xfId="0" applyFont="1" applyFill="1" applyBorder="1"/>
    <xf numFmtId="0" fontId="0" fillId="0" borderId="4" xfId="0" applyBorder="1"/>
    <xf numFmtId="0" fontId="0" fillId="0" borderId="7" xfId="0" applyBorder="1"/>
    <xf numFmtId="0" fontId="0" fillId="0" borderId="0" xfId="0" applyAlignment="1">
      <alignment wrapText="1"/>
    </xf>
    <xf numFmtId="0" fontId="7" fillId="0" borderId="0" xfId="0" applyFont="1" applyBorder="1" applyAlignment="1">
      <alignment vertical="center"/>
    </xf>
    <xf numFmtId="0" fontId="2" fillId="0" borderId="0" xfId="0" applyFont="1" applyBorder="1"/>
    <xf numFmtId="0" fontId="0" fillId="3" borderId="0" xfId="0" applyFill="1" applyAlignment="1">
      <alignment wrapText="1"/>
    </xf>
    <xf numFmtId="0" fontId="24" fillId="0" borderId="8" xfId="0" applyFont="1" applyBorder="1" applyAlignment="1">
      <alignment wrapText="1"/>
    </xf>
    <xf numFmtId="0" fontId="6" fillId="0" borderId="8" xfId="0" applyFont="1" applyBorder="1" applyAlignment="1">
      <alignment wrapText="1"/>
    </xf>
    <xf numFmtId="0" fontId="2" fillId="0" borderId="8" xfId="0" applyFont="1" applyBorder="1" applyAlignment="1">
      <alignment wrapText="1"/>
    </xf>
    <xf numFmtId="0" fontId="0" fillId="0" borderId="8" xfId="0" applyBorder="1"/>
    <xf numFmtId="0" fontId="2" fillId="0" borderId="8" xfId="0" applyFont="1" applyBorder="1"/>
    <xf numFmtId="0" fontId="6" fillId="0" borderId="8" xfId="0" applyFont="1" applyBorder="1"/>
    <xf numFmtId="0" fontId="8" fillId="0" borderId="8" xfId="0" applyFont="1" applyBorder="1" applyAlignment="1">
      <alignment vertical="center" wrapText="1"/>
    </xf>
    <xf numFmtId="0" fontId="0" fillId="0" borderId="8" xfId="0" applyBorder="1" applyAlignment="1">
      <alignment wrapText="1"/>
    </xf>
    <xf numFmtId="0" fontId="4" fillId="0" borderId="8" xfId="0" applyFont="1" applyBorder="1" applyAlignment="1">
      <alignment vertical="center" wrapText="1"/>
    </xf>
    <xf numFmtId="0" fontId="21" fillId="0" borderId="8" xfId="0" applyFont="1" applyBorder="1" applyAlignment="1">
      <alignment vertical="center" wrapText="1"/>
    </xf>
    <xf numFmtId="0" fontId="20" fillId="0" borderId="8" xfId="0" applyFont="1" applyBorder="1" applyAlignment="1">
      <alignment vertical="center" wrapText="1"/>
    </xf>
    <xf numFmtId="0" fontId="20" fillId="0" borderId="8" xfId="0" applyFont="1" applyBorder="1" applyAlignment="1">
      <alignment wrapText="1"/>
    </xf>
    <xf numFmtId="0" fontId="4" fillId="0" borderId="8" xfId="0" applyFont="1" applyBorder="1" applyAlignment="1">
      <alignment wrapText="1"/>
    </xf>
    <xf numFmtId="0" fontId="3" fillId="0" borderId="8" xfId="0" applyFont="1" applyBorder="1" applyAlignment="1">
      <alignment wrapText="1"/>
    </xf>
    <xf numFmtId="0" fontId="5" fillId="0" borderId="8" xfId="0" applyFont="1" applyBorder="1" applyAlignment="1">
      <alignment vertical="center" wrapText="1"/>
    </xf>
    <xf numFmtId="0" fontId="7" fillId="0" borderId="8" xfId="0" applyFont="1" applyBorder="1" applyAlignment="1">
      <alignment vertical="center" wrapText="1"/>
    </xf>
    <xf numFmtId="0" fontId="9" fillId="0" borderId="8" xfId="0" applyFont="1" applyBorder="1" applyAlignment="1">
      <alignment vertical="center" wrapText="1"/>
    </xf>
    <xf numFmtId="0" fontId="10" fillId="0" borderId="8" xfId="0" applyFont="1" applyBorder="1" applyAlignment="1">
      <alignment vertical="center" wrapText="1"/>
    </xf>
    <xf numFmtId="0" fontId="11" fillId="0" borderId="8" xfId="0" applyFont="1" applyBorder="1" applyAlignment="1">
      <alignment vertical="center" wrapText="1"/>
    </xf>
    <xf numFmtId="0" fontId="12" fillId="0" borderId="8" xfId="0" applyFont="1" applyBorder="1" applyAlignment="1">
      <alignment vertical="center" wrapText="1"/>
    </xf>
    <xf numFmtId="0" fontId="13" fillId="0" borderId="8" xfId="0" applyFont="1" applyBorder="1" applyAlignment="1">
      <alignment vertical="center" wrapText="1"/>
    </xf>
    <xf numFmtId="0" fontId="14" fillId="0" borderId="8" xfId="0" applyFont="1" applyBorder="1" applyAlignment="1">
      <alignment vertical="center" wrapText="1"/>
    </xf>
    <xf numFmtId="0" fontId="15" fillId="0" borderId="8" xfId="0" applyFont="1" applyBorder="1" applyAlignment="1">
      <alignment vertical="center" wrapText="1"/>
    </xf>
    <xf numFmtId="0" fontId="9" fillId="0" borderId="8" xfId="0" applyFont="1" applyBorder="1" applyAlignment="1">
      <alignment wrapText="1"/>
    </xf>
    <xf numFmtId="0" fontId="23" fillId="0" borderId="8" xfId="0" applyFont="1" applyBorder="1" applyAlignment="1">
      <alignment vertical="center" wrapText="1"/>
    </xf>
    <xf numFmtId="0" fontId="23" fillId="0" borderId="8" xfId="0" applyFont="1" applyBorder="1" applyAlignment="1">
      <alignment wrapText="1"/>
    </xf>
    <xf numFmtId="0" fontId="16" fillId="0" borderId="8" xfId="0" applyFont="1" applyBorder="1" applyAlignment="1">
      <alignment vertical="center" wrapText="1"/>
    </xf>
    <xf numFmtId="0" fontId="10" fillId="0" borderId="8" xfId="0" applyFont="1" applyBorder="1" applyAlignment="1">
      <alignment wrapText="1"/>
    </xf>
    <xf numFmtId="0" fontId="0" fillId="0" borderId="9" xfId="0" applyBorder="1"/>
    <xf numFmtId="14" fontId="0" fillId="0" borderId="0" xfId="0" applyNumberFormat="1" applyBorder="1"/>
    <xf numFmtId="0" fontId="0" fillId="0" borderId="10" xfId="0" applyFont="1" applyBorder="1"/>
    <xf numFmtId="49" fontId="0" fillId="0" borderId="0" xfId="0" applyNumberFormat="1"/>
    <xf numFmtId="0" fontId="0" fillId="2" borderId="0" xfId="0" applyFill="1" applyAlignment="1">
      <alignment horizontal="left"/>
    </xf>
    <xf numFmtId="0" fontId="0" fillId="0" borderId="0" xfId="0" applyAlignment="1">
      <alignment horizontal="left"/>
    </xf>
    <xf numFmtId="14" fontId="0" fillId="0" borderId="0" xfId="0" applyNumberFormat="1" applyAlignment="1">
      <alignment horizontal="left"/>
    </xf>
    <xf numFmtId="49" fontId="0" fillId="0" borderId="0" xfId="0" applyNumberFormat="1" applyAlignment="1">
      <alignment horizontal="left"/>
    </xf>
    <xf numFmtId="0" fontId="0" fillId="0" borderId="0" xfId="0" applyFill="1"/>
    <xf numFmtId="0" fontId="0" fillId="7" borderId="0" xfId="0" applyFill="1"/>
    <xf numFmtId="0" fontId="0" fillId="7" borderId="0" xfId="0" applyFill="1" applyAlignment="1">
      <alignment horizontal="left"/>
    </xf>
    <xf numFmtId="0" fontId="0" fillId="8" borderId="0" xfId="0" applyFill="1"/>
    <xf numFmtId="0" fontId="0" fillId="0" borderId="0" xfId="0" applyFill="1" applyAlignment="1">
      <alignment horizontal="left"/>
    </xf>
    <xf numFmtId="0" fontId="23" fillId="0" borderId="0" xfId="0" applyFont="1" applyFill="1"/>
    <xf numFmtId="0" fontId="23" fillId="0" borderId="2" xfId="0" applyFont="1" applyFill="1" applyBorder="1"/>
    <xf numFmtId="14" fontId="23" fillId="0" borderId="0" xfId="0" applyNumberFormat="1" applyFont="1" applyFill="1"/>
    <xf numFmtId="1" fontId="23" fillId="0" borderId="0" xfId="0" applyNumberFormat="1" applyFont="1" applyFill="1"/>
    <xf numFmtId="0" fontId="23" fillId="0" borderId="9" xfId="0" applyFont="1" applyFill="1" applyBorder="1"/>
    <xf numFmtId="0" fontId="23" fillId="0" borderId="0" xfId="0" applyFont="1" applyFill="1" applyBorder="1"/>
    <xf numFmtId="0" fontId="23" fillId="0" borderId="1" xfId="0" applyFont="1" applyFill="1" applyBorder="1"/>
    <xf numFmtId="0" fontId="0" fillId="0" borderId="0" xfId="0" applyNumberFormat="1"/>
    <xf numFmtId="0" fontId="23" fillId="7" borderId="0" xfId="0" applyFont="1" applyFill="1"/>
    <xf numFmtId="0" fontId="23" fillId="7" borderId="0" xfId="0" applyFont="1" applyFill="1" applyAlignment="1">
      <alignment horizontal="left"/>
    </xf>
    <xf numFmtId="14" fontId="23" fillId="7" borderId="0" xfId="0" applyNumberFormat="1" applyFont="1" applyFill="1"/>
    <xf numFmtId="0" fontId="23" fillId="7" borderId="0" xfId="0" applyFont="1" applyFill="1" applyAlignment="1">
      <alignment horizontal="right"/>
    </xf>
    <xf numFmtId="0" fontId="0" fillId="0" borderId="0" xfId="0" applyAlignment="1"/>
    <xf numFmtId="20" fontId="0" fillId="0" borderId="0" xfId="0" applyNumberFormat="1"/>
    <xf numFmtId="0" fontId="0" fillId="0" borderId="12" xfId="0" applyBorder="1"/>
    <xf numFmtId="0" fontId="0" fillId="0" borderId="13" xfId="0" applyBorder="1"/>
    <xf numFmtId="0" fontId="0" fillId="0" borderId="14" xfId="0" applyBorder="1"/>
    <xf numFmtId="0" fontId="29" fillId="0" borderId="15" xfId="0" applyFont="1" applyBorder="1"/>
    <xf numFmtId="0" fontId="29" fillId="0" borderId="11" xfId="0" applyFont="1" applyBorder="1"/>
    <xf numFmtId="0" fontId="9" fillId="0" borderId="16" xfId="0" applyFont="1" applyFill="1" applyBorder="1" applyAlignment="1">
      <alignment vertical="center" wrapText="1"/>
    </xf>
    <xf numFmtId="0" fontId="9" fillId="0" borderId="0" xfId="0" applyFont="1" applyBorder="1" applyAlignment="1">
      <alignment vertical="center" wrapText="1"/>
    </xf>
    <xf numFmtId="0" fontId="30" fillId="7" borderId="0" xfId="0" applyFont="1" applyFill="1"/>
    <xf numFmtId="0" fontId="23" fillId="0" borderId="0" xfId="0" applyFont="1"/>
    <xf numFmtId="0" fontId="0" fillId="0" borderId="0" xfId="0" applyBorder="1" applyAlignment="1">
      <alignment wrapText="1"/>
    </xf>
    <xf numFmtId="49" fontId="26" fillId="0" borderId="0" xfId="0" applyNumberFormat="1" applyFont="1" applyAlignment="1">
      <alignment horizontal="left"/>
    </xf>
    <xf numFmtId="49" fontId="27" fillId="0" borderId="0" xfId="0" applyNumberFormat="1" applyFont="1" applyAlignment="1">
      <alignment horizontal="left"/>
    </xf>
    <xf numFmtId="49" fontId="0" fillId="0" borderId="0" xfId="0" applyNumberFormat="1" applyFont="1" applyAlignment="1">
      <alignment horizontal="left"/>
    </xf>
    <xf numFmtId="49" fontId="0" fillId="0" borderId="0" xfId="0" applyNumberFormat="1" applyFill="1" applyAlignment="1">
      <alignment horizontal="left"/>
    </xf>
    <xf numFmtId="0" fontId="28" fillId="0" borderId="0" xfId="0" applyNumberFormat="1" applyFont="1" applyAlignment="1">
      <alignment horizontal="left"/>
    </xf>
    <xf numFmtId="21" fontId="0" fillId="0" borderId="0" xfId="0" applyNumberFormat="1"/>
    <xf numFmtId="0" fontId="0" fillId="0" borderId="0" xfId="0" applyNumberFormat="1" applyAlignment="1">
      <alignment horizontal="left"/>
    </xf>
    <xf numFmtId="14" fontId="0" fillId="3" borderId="0" xfId="0" applyNumberFormat="1" applyFill="1" applyAlignment="1">
      <alignment wrapText="1"/>
    </xf>
    <xf numFmtId="164" fontId="23" fillId="0" borderId="0" xfId="0" applyNumberFormat="1" applyFont="1" applyFill="1"/>
    <xf numFmtId="164" fontId="0" fillId="0" borderId="0" xfId="0" applyNumberFormat="1" applyBorder="1"/>
  </cellXfs>
  <cellStyles count="1">
    <cellStyle name="Normal" xfId="0" builtinId="0"/>
  </cellStyles>
  <dxfs count="184">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border diagonalUp="0" diagonalDown="0" outline="0">
        <left/>
        <right style="thick">
          <color indexed="64"/>
        </right>
        <top/>
        <bottom/>
      </border>
    </dxf>
    <dxf>
      <border diagonalUp="0" diagonalDown="0">
        <left/>
        <right style="thick">
          <color auto="1"/>
        </right>
        <top/>
        <bottom/>
        <vertical/>
        <horizontal/>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numFmt numFmtId="0" formatCode="General"/>
      <border diagonalUp="0" diagonalDown="0" outline="0">
        <left/>
        <right/>
        <top/>
        <bottom/>
      </border>
    </dxf>
    <dxf>
      <numFmt numFmtId="0" formatCode="General"/>
    </dxf>
    <dxf>
      <border diagonalUp="0" diagonalDown="0" outline="0">
        <left/>
        <right/>
        <top/>
        <bottom/>
      </border>
    </dxf>
    <dxf>
      <border diagonalUp="0" diagonalDown="0" outline="0">
        <left/>
        <right/>
        <top/>
        <bottom/>
      </border>
    </dxf>
    <dxf>
      <border diagonalUp="0" diagonalDown="0" outline="0">
        <left/>
        <right style="thick">
          <color indexed="64"/>
        </right>
        <top/>
        <bottom/>
      </border>
    </dxf>
    <dxf>
      <border diagonalUp="0" diagonalDown="0">
        <left/>
        <right style="thick">
          <color indexed="64"/>
        </right>
        <top/>
        <bottom/>
        <vertical/>
        <horizontal/>
      </border>
    </dxf>
    <dxf>
      <border diagonalUp="0" diagonalDown="0" outline="0">
        <left/>
        <right/>
        <top/>
        <bottom/>
      </border>
    </dxf>
    <dxf>
      <numFmt numFmtId="0" formatCode="General"/>
      <border diagonalUp="0" diagonalDown="0" outline="0">
        <left/>
        <right/>
        <top/>
        <bottom/>
      </border>
    </dxf>
    <dxf>
      <numFmt numFmtId="0" formatCode="General"/>
    </dxf>
    <dxf>
      <border diagonalUp="0" diagonalDown="0" outline="0">
        <left/>
        <right/>
        <top/>
        <bottom/>
      </border>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style="thick">
          <color indexed="64"/>
        </right>
        <top/>
        <bottom/>
      </border>
    </dxf>
    <dxf>
      <numFmt numFmtId="0" formatCode="General"/>
      <border diagonalUp="0" diagonalDown="0">
        <left/>
        <right style="thick">
          <color indexed="64"/>
        </right>
        <top/>
        <bottom/>
        <vertical/>
        <horizontal/>
      </border>
    </dxf>
    <dxf>
      <border diagonalUp="0" diagonalDown="0" outline="0">
        <left/>
        <right/>
        <top/>
        <bottom/>
      </border>
    </dxf>
    <dxf>
      <border diagonalUp="0" diagonalDown="0" outline="0">
        <left/>
        <right/>
        <top/>
        <bottom/>
      </border>
    </dxf>
    <dxf>
      <border diagonalUp="0" diagonalDown="0" outline="0">
        <left/>
        <right/>
        <top/>
        <bottom/>
      </border>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border diagonalUp="0" diagonalDown="0" outline="0">
        <left/>
        <right/>
        <top/>
        <bottom/>
      </border>
    </dxf>
    <dxf>
      <border diagonalUp="0" diagonalDown="0" outline="0">
        <left/>
        <right/>
        <top/>
        <bottom/>
      </border>
    </dxf>
    <dxf>
      <numFmt numFmtId="0" formatCode="General"/>
      <border diagonalUp="0" diagonalDown="0" outline="0">
        <left style="thick">
          <color indexed="64"/>
        </left>
        <right/>
        <top/>
        <bottom/>
      </border>
    </dxf>
    <dxf>
      <numFmt numFmtId="0" formatCode="General"/>
      <border diagonalUp="0" diagonalDown="0">
        <left style="thick">
          <color indexed="64"/>
        </left>
        <right/>
        <top/>
        <bottom/>
        <vertical/>
        <horizontal/>
      </border>
    </dxf>
    <dxf>
      <numFmt numFmtId="0" formatCode="General"/>
      <border diagonalUp="0" diagonalDown="0" outline="0">
        <left/>
        <right/>
        <top/>
        <bottom/>
      </border>
    </dxf>
    <dxf>
      <numFmt numFmtId="0" formatCode="General"/>
    </dxf>
    <dxf>
      <border diagonalUp="0" diagonalDown="0" outline="0">
        <left/>
        <right/>
        <top/>
        <bottom/>
      </border>
    </dxf>
    <dxf>
      <numFmt numFmtId="0" formatCode="General"/>
    </dxf>
    <dxf>
      <border diagonalUp="0" diagonalDown="0" outline="0">
        <left/>
        <right/>
        <top/>
        <bottom/>
      </border>
    </dxf>
    <dxf>
      <numFmt numFmtId="0" formatCode="General"/>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numFmt numFmtId="0" formatCode="General"/>
      <border diagonalUp="0" diagonalDown="0" outline="0">
        <left/>
        <right/>
        <top/>
        <bottom/>
      </border>
    </dxf>
    <dxf>
      <numFmt numFmtId="0" formatCode="General"/>
    </dxf>
    <dxf>
      <border diagonalUp="0" diagonalDown="0" outline="0">
        <left/>
        <right/>
        <top/>
        <bottom/>
      </border>
    </dxf>
    <dxf>
      <numFmt numFmtId="0" formatCode="General"/>
      <border diagonalUp="0" diagonalDown="0" outline="0">
        <left/>
        <right/>
        <top/>
        <bottom/>
      </border>
    </dxf>
    <dxf>
      <numFmt numFmtId="19" formatCode="dd/mm/yyyy"/>
    </dxf>
    <dxf>
      <border diagonalUp="0" diagonalDown="0" outline="0">
        <left/>
        <right/>
        <top/>
        <bottom/>
      </border>
    </dxf>
    <dxf>
      <border diagonalUp="0" diagonalDown="0" outline="0">
        <left/>
        <right/>
        <top/>
        <bottom/>
      </border>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style="thick">
          <color indexed="64"/>
        </left>
        <right/>
        <top/>
        <bottom/>
      </border>
    </dxf>
    <dxf>
      <numFmt numFmtId="0" formatCode="General"/>
      <border diagonalUp="0" diagonalDown="0">
        <left style="thick">
          <color indexed="64"/>
        </left>
        <right/>
        <top/>
        <bottom/>
        <vertical/>
        <horizontal/>
      </border>
    </dxf>
    <dxf>
      <numFmt numFmtId="1" formatCode="0"/>
      <border diagonalUp="0" diagonalDown="0" outline="0">
        <left/>
        <right/>
        <top/>
        <bottom/>
      </border>
    </dxf>
    <dxf>
      <numFmt numFmtId="1" formatCode="0"/>
    </dxf>
    <dxf>
      <numFmt numFmtId="19" formatCode="dd/mm/yyyy"/>
      <border diagonalUp="0" diagonalDown="0" outline="0">
        <left/>
        <right/>
        <top/>
        <bottom/>
      </border>
    </dxf>
    <dxf>
      <numFmt numFmtId="19" formatCode="dd/mm/yyyy"/>
    </dxf>
    <dxf>
      <numFmt numFmtId="19" formatCode="dd/mm/yyyy"/>
      <border diagonalUp="0" diagonalDown="0" outline="0">
        <left/>
        <right/>
        <top/>
        <bottom/>
      </border>
    </dxf>
    <dxf>
      <numFmt numFmtId="19" formatCode="dd/mm/yyyy"/>
    </dxf>
    <dxf>
      <border diagonalUp="0" diagonalDown="0" outline="0">
        <left/>
        <right/>
        <top/>
        <bottom/>
      </border>
    </dxf>
    <dxf>
      <numFmt numFmtId="19" formatCode="dd/mm/yyyy"/>
      <border diagonalUp="0" diagonalDown="0" outline="0">
        <left/>
        <right/>
        <top/>
        <bottom/>
      </border>
    </dxf>
    <dxf>
      <numFmt numFmtId="19" formatCode="dd/mm/yyyy"/>
      <border diagonalUp="0" diagonalDown="0" outline="0">
        <left/>
        <right/>
        <top/>
        <bottom/>
      </border>
    </dxf>
    <dxf>
      <numFmt numFmtId="19" formatCode="dd/mm/yyyy"/>
    </dxf>
    <dxf>
      <numFmt numFmtId="0" formatCode="General"/>
      <border diagonalUp="0" diagonalDown="0" outline="0">
        <left/>
        <right/>
        <top/>
        <bottom/>
      </border>
    </dxf>
    <dxf>
      <numFmt numFmtId="0" formatCode="General"/>
    </dxf>
    <dxf>
      <numFmt numFmtId="0" formatCode="General"/>
      <border diagonalUp="0" diagonalDown="0" outline="0">
        <left style="thick">
          <color indexed="64"/>
        </left>
        <right style="thick">
          <color indexed="64"/>
        </right>
        <top/>
        <bottom/>
      </border>
    </dxf>
    <dxf>
      <numFmt numFmtId="0" formatCode="General"/>
      <border diagonalUp="0" diagonalDown="0">
        <left style="thick">
          <color indexed="64"/>
        </left>
        <right style="thick">
          <color indexed="64"/>
        </right>
        <top/>
        <bottom/>
        <vertical/>
        <horizontal/>
      </border>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numFmt numFmtId="0" formatCode="General"/>
      <border diagonalUp="0" diagonalDown="0" outline="0">
        <left/>
        <right/>
        <top/>
        <bottom/>
      </border>
    </dxf>
    <dxf>
      <numFmt numFmtId="0" formatCode="General"/>
    </dxf>
    <dxf>
      <fill>
        <patternFill>
          <bgColor theme="5" tint="0.39994506668294322"/>
        </patternFill>
      </fill>
    </dxf>
    <dxf>
      <font>
        <color theme="0"/>
      </font>
    </dxf>
    <dxf>
      <font>
        <color theme="0"/>
      </font>
    </dxf>
    <dxf>
      <fill>
        <patternFill patternType="solid">
          <fgColor indexed="64"/>
          <bgColor theme="5" tint="-0.249977111117893"/>
        </patternFill>
      </fill>
      <alignment horizontal="general" vertical="bottom" textRotation="0" wrapText="1" indent="0" justifyLastLine="0" shrinkToFit="0" readingOrder="0"/>
    </dxf>
    <dxf>
      <numFmt numFmtId="0" formatCode="General"/>
    </dxf>
    <dxf>
      <alignment horizontal="general" vertical="bottom" textRotation="0" wrapText="1" indent="0" justifyLastLine="0" shrinkToFit="0" readingOrder="0"/>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font>
    </dxf>
    <dxf>
      <fill>
        <patternFill>
          <bgColor theme="5" tint="0.39994506668294322"/>
        </patternFill>
      </fill>
    </dxf>
    <dxf>
      <font>
        <color theme="0"/>
      </font>
    </dxf>
    <dxf>
      <fill>
        <patternFill patternType="solid">
          <fgColor indexed="64"/>
          <bgColor rgb="FFFFC000"/>
        </patternFill>
      </fill>
    </dxf>
    <dxf>
      <numFmt numFmtId="0" formatCode="General"/>
    </dxf>
    <dxf>
      <fill>
        <patternFill>
          <bgColor theme="5" tint="0.39994506668294322"/>
        </patternFill>
      </fill>
    </dxf>
    <dxf>
      <font>
        <color theme="0"/>
      </font>
    </dxf>
    <dxf>
      <fill>
        <patternFill>
          <bgColor theme="5" tint="0.39994506668294322"/>
        </patternFill>
      </fill>
    </dxf>
    <dxf>
      <fill>
        <patternFill>
          <bgColor theme="5" tint="0.39994506668294322"/>
        </patternFill>
      </fill>
    </dxf>
    <dxf>
      <font>
        <color theme="0"/>
      </font>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ont>
        <strike val="0"/>
        <outline val="0"/>
        <shadow val="0"/>
        <u val="none"/>
        <vertAlign val="baseline"/>
        <sz val="11"/>
        <color auto="1"/>
        <name val="Calibri"/>
        <scheme val="minor"/>
      </font>
      <fill>
        <patternFill patternType="solid">
          <fgColor indexed="64"/>
          <bgColor theme="0"/>
        </patternFill>
      </fill>
    </dxf>
    <dxf>
      <fill>
        <patternFill patternType="solid">
          <fgColor indexed="64"/>
          <bgColor theme="7" tint="-0.249977111117893"/>
        </patternFill>
      </fill>
    </dxf>
    <dxf>
      <numFmt numFmtId="0" formatCode="Genera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font>
    </dxf>
    <dxf>
      <fill>
        <patternFill>
          <bgColor theme="5" tint="0.39994506668294322"/>
        </patternFill>
      </fill>
    </dxf>
    <dxf>
      <font>
        <color theme="0"/>
      </font>
    </dxf>
    <dxf>
      <fill>
        <patternFill>
          <bgColor theme="5" tint="0.39994506668294322"/>
        </patternFill>
      </fill>
    </dxf>
    <dxf>
      <font>
        <color theme="0"/>
      </font>
    </dxf>
    <dxf>
      <numFmt numFmtId="0" formatCode="General"/>
    </dxf>
    <dxf>
      <numFmt numFmtId="19" formatCode="dd/mm/yyyy"/>
    </dxf>
    <dxf>
      <numFmt numFmtId="1" formatCode="0"/>
    </dxf>
    <dxf>
      <numFmt numFmtId="19" formatCode="dd/mm/yyyy"/>
    </dxf>
    <dxf>
      <numFmt numFmtId="164" formatCode="[$-F400]h:mm:ss\ AM/PM"/>
    </dxf>
    <dxf>
      <numFmt numFmtId="19" formatCode="dd/mm/yyyy"/>
    </dxf>
    <dxf>
      <numFmt numFmtId="19" formatCode="dd/mm/yyyy"/>
    </dxf>
    <dxf>
      <fill>
        <patternFill patternType="solid">
          <fgColor indexed="64"/>
          <bgColor theme="6" tint="-0.249977111117893"/>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font>
    </dxf>
    <dxf>
      <fill>
        <patternFill patternType="solid">
          <fgColor indexed="64"/>
          <bgColor theme="2" tint="-0.499984740745262"/>
        </patternFill>
      </fill>
    </dxf>
    <dxf>
      <numFmt numFmtId="30" formatCode="@"/>
    </dxf>
    <dxf>
      <numFmt numFmtId="0" formatCode="General"/>
    </dxf>
    <dxf>
      <numFmt numFmtId="0" formatCode="General"/>
    </dxf>
    <dxf>
      <fill>
        <patternFill>
          <bgColor theme="5" tint="0.39994506668294322"/>
        </patternFill>
      </fill>
    </dxf>
    <dxf>
      <fill>
        <patternFill>
          <bgColor theme="5" tint="0.39994506668294322"/>
        </patternFill>
      </fill>
    </dxf>
    <dxf>
      <fill>
        <patternFill>
          <bgColor theme="5" tint="0.39994506668294322"/>
        </patternFill>
      </fill>
    </dxf>
    <dxf>
      <font>
        <color theme="0"/>
      </font>
    </dxf>
    <dxf>
      <fill>
        <patternFill>
          <bgColor theme="5" tint="0.39994506668294322"/>
        </patternFill>
      </fill>
    </dxf>
  </dxfs>
  <tableStyles count="0" defaultTableStyle="TableStyleMedium2" defaultPivotStyle="PivotStyleLight16"/>
  <colors>
    <mruColors>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id="4" name="Table4" displayName="Table4" ref="A1:E3002" totalsRowShown="0">
  <autoFilter ref="A1:E3002"/>
  <tableColumns count="5">
    <tableColumn id="1" name="Column1" dataDxfId="178"/>
    <tableColumn id="2" name="Column2" dataDxfId="177"/>
    <tableColumn id="3" name="Column3"/>
    <tableColumn id="5" name="Column4"/>
    <tableColumn id="4" name="Column5" dataDxfId="176"/>
  </tableColumns>
  <tableStyleInfo name="TableStyleLight9" showFirstColumn="0" showLastColumn="0" showRowStripes="1" showColumnStripes="0"/>
</table>
</file>

<file path=xl/tables/table2.xml><?xml version="1.0" encoding="utf-8"?>
<table xmlns="http://schemas.openxmlformats.org/spreadsheetml/2006/main" id="5" name="Table5" displayName="Table5" ref="F1:M3002" totalsRowShown="0" headerRowDxfId="175">
  <autoFilter ref="F1:M3002"/>
  <sortState ref="F2:M110">
    <sortCondition ref="G1:G3002"/>
  </sortState>
  <tableColumns count="8">
    <tableColumn id="2" name="comment"/>
    <tableColumn id="3" name="day_2"/>
    <tableColumn id="4" name="day_7"/>
    <tableColumn id="6" name="day_15"/>
    <tableColumn id="5" name="admission_type"/>
    <tableColumn id="1" name="pqip_consent"/>
    <tableColumn id="7" name="gm_eras_ele"/>
    <tableColumn id="9" name="eras"/>
  </tableColumns>
  <tableStyleInfo name="TableStyleLight8" showFirstColumn="0" showLastColumn="0" showRowStripes="1" showColumnStripes="0"/>
</table>
</file>

<file path=xl/tables/table3.xml><?xml version="1.0" encoding="utf-8"?>
<table xmlns="http://schemas.openxmlformats.org/spreadsheetml/2006/main" id="6" name="Table6" displayName="Table6" ref="C1:K3002" totalsRowShown="0" headerRowDxfId="169">
  <autoFilter ref="C1:K3002"/>
  <tableColumns count="9">
    <tableColumn id="1" name="area_surgery"/>
    <tableColumn id="2" name="admission_date" dataDxfId="168"/>
    <tableColumn id="3" name="surgery_date" dataDxfId="167"/>
    <tableColumn id="6" name="surgery_duration" dataDxfId="166"/>
    <tableColumn id="4" name="discharge_loc"/>
    <tableColumn id="5" name="discharge_date" dataDxfId="165"/>
    <tableColumn id="7" name="hospital_stay" dataDxfId="164">
      <calculatedColumnFormula>Table6[[#This Row],[discharge_date]]-Table6[[#This Row],[surgery_date]]</calculatedColumnFormula>
    </tableColumn>
    <tableColumn id="9" name="discharge_30" dataDxfId="163">
      <calculatedColumnFormula>IF( H2&lt;&gt;"", H2+30,"")</calculatedColumnFormula>
    </tableColumn>
    <tableColumn id="8" name="readmit_30"/>
  </tableColumns>
  <tableStyleInfo name="TableStyleLight11" showFirstColumn="0" showLastColumn="0" showRowStripes="1" showColumnStripes="0"/>
</table>
</file>

<file path=xl/tables/table4.xml><?xml version="1.0" encoding="utf-8"?>
<table xmlns="http://schemas.openxmlformats.org/spreadsheetml/2006/main" id="7" name="Table7" displayName="Table7" ref="A1:B3002" totalsRowShown="0">
  <tableColumns count="2">
    <tableColumn id="1" name="first_name" dataDxfId="162">
      <calculatedColumnFormula>Table4[[#This Row],[Column1]]</calculatedColumnFormula>
    </tableColumn>
    <tableColumn id="2" name="surname">
      <calculatedColumnFormula>Table4[[#This Row],[Column2]]</calculatedColumnFormula>
    </tableColumn>
  </tableColumns>
  <tableStyleInfo name="TableStyleLight9" showFirstColumn="0" showLastColumn="0" showRowStripes="1" showColumnStripes="0"/>
</table>
</file>

<file path=xl/tables/table5.xml><?xml version="1.0" encoding="utf-8"?>
<table xmlns="http://schemas.openxmlformats.org/spreadsheetml/2006/main" id="8" name="Table8" displayName="Table8" ref="A1:B3002" totalsRowShown="0">
  <autoFilter ref="A1:B3002"/>
  <tableColumns count="2">
    <tableColumn id="1" name="first_name" dataDxfId="152">
      <calculatedColumnFormula>Table4[[#This Row],[Column1]]</calculatedColumnFormula>
    </tableColumn>
    <tableColumn id="2" name="surname">
      <calculatedColumnFormula>Table4[[#This Row],[Column2]]</calculatedColumnFormula>
    </tableColumn>
  </tableColumns>
  <tableStyleInfo name="TableStyleLight9" showFirstColumn="0" showLastColumn="0" showRowStripes="1" showColumnStripes="0"/>
</table>
</file>

<file path=xl/tables/table6.xml><?xml version="1.0" encoding="utf-8"?>
<table xmlns="http://schemas.openxmlformats.org/spreadsheetml/2006/main" id="9" name="Table9" displayName="Table9" ref="C1:W3002" totalsRowShown="0" headerRowDxfId="151" dataDxfId="150">
  <tableColumns count="21">
    <tableColumn id="1" name="troponin" dataDxfId="149"/>
    <tableColumn id="11" name="hb" dataDxfId="148"/>
    <tableColumn id="14" name="creatinine" dataDxfId="147"/>
    <tableColumn id="12" name="albumin" dataDxfId="146"/>
    <tableColumn id="2" name="chest_physio" dataDxfId="145"/>
    <tableColumn id="3" name="surgery_school" dataDxfId="144"/>
    <tableColumn id="15" name="date_school" dataDxfId="143"/>
    <tableColumn id="16" name="school_satisfaction" dataDxfId="142"/>
    <tableColumn id="4" name="app_down" dataDxfId="141"/>
    <tableColumn id="13" name="website" dataDxfId="140"/>
    <tableColumn id="5" name="base_activity" dataDxfId="139"/>
    <tableColumn id="6" name="current_activity" dataDxfId="138"/>
    <tableColumn id="7" name="activity_type" dataDxfId="137"/>
    <tableColumn id="8" name="anaemia_treat" dataDxfId="136"/>
    <tableColumn id="9" name="anaesthesia" dataDxfId="135"/>
    <tableColumn id="17" name="surgery" dataDxfId="134"/>
    <tableColumn id="18" name="surgeon" dataDxfId="133"/>
    <tableColumn id="19" name="medical_hist" dataDxfId="132"/>
    <tableColumn id="10" name="tidal_vol" dataDxfId="131"/>
    <tableColumn id="20" name="smoke_hist" dataDxfId="130"/>
    <tableColumn id="21" name="smoke_cess" dataDxfId="129"/>
  </tableColumns>
  <tableStyleInfo name="TableStyleLight12" showFirstColumn="0" showLastColumn="0" showRowStripes="1" showColumnStripes="0"/>
</table>
</file>

<file path=xl/tables/table7.xml><?xml version="1.0" encoding="utf-8"?>
<table xmlns="http://schemas.openxmlformats.org/spreadsheetml/2006/main" id="10" name="Table10" displayName="Table10" ref="A1:B3002" totalsRowShown="0">
  <autoFilter ref="A1:B3002"/>
  <tableColumns count="2">
    <tableColumn id="1" name="first_name" dataDxfId="123">
      <calculatedColumnFormula>Table4[[#This Row],[Column1]]</calculatedColumnFormula>
    </tableColumn>
    <tableColumn id="2" name="surname">
      <calculatedColumnFormula>Table4[[#This Row],[Column2]]</calculatedColumnFormula>
    </tableColumn>
  </tableColumns>
  <tableStyleInfo name="TableStyleLight9" showFirstColumn="0" showLastColumn="0" showRowStripes="1" showColumnStripes="0"/>
</table>
</file>

<file path=xl/tables/table8.xml><?xml version="1.0" encoding="utf-8"?>
<table xmlns="http://schemas.openxmlformats.org/spreadsheetml/2006/main" id="11" name="Table11" displayName="Table11" ref="C1:L3002" totalsRowShown="0" headerRowDxfId="122">
  <autoFilter ref="C1:L3002"/>
  <tableColumns count="10">
    <tableColumn id="1" name="inc_spiro"/>
    <tableColumn id="2" name="t_brushes"/>
    <tableColumn id="3" name="m_washes"/>
    <tableColumn id="8" name="iv_disc"/>
    <tableColumn id="7" name="drinking"/>
    <tableColumn id="11" name="tolerate_15l"/>
    <tableColumn id="6" name="oral_diet"/>
    <tableColumn id="5" name="mobilised"/>
    <tableColumn id="4" name="resp_supp"/>
    <tableColumn id="9" name="elev_head"/>
  </tableColumns>
  <tableStyleInfo name="TableStyleLight14" showFirstColumn="0" showLastColumn="0" showRowStripes="1" showColumnStripes="0"/>
</table>
</file>

<file path=xl/tables/table9.xml><?xml version="1.0" encoding="utf-8"?>
<table xmlns="http://schemas.openxmlformats.org/spreadsheetml/2006/main" id="12" name="Table12" displayName="Table12" ref="A1:B3002" totalsRowShown="0" headerRowDxfId="109">
  <autoFilter ref="A1:B3002"/>
  <tableColumns count="2">
    <tableColumn id="1" name="first_name" dataDxfId="108">
      <calculatedColumnFormula>Table4[[#This Row],[Column1]]</calculatedColumnFormula>
    </tableColumn>
    <tableColumn id="2" name="surname">
      <calculatedColumnFormula>Table4[[#This Row],[Column2]]</calculatedColumnFormula>
    </tableColumn>
  </tableColumns>
  <tableStyleInfo name="TableStyleLight9" showFirstColumn="0" showLastColumn="0" showRowStripes="1" showColumnStripes="0"/>
</table>
</file>

<file path=xl/tables/table10.xml><?xml version="1.0" encoding="utf-8"?>
<table xmlns="http://schemas.openxmlformats.org/spreadsheetml/2006/main" id="13" name="Table13" displayName="Table13" ref="C1:AD3002" totalsRowShown="0" headerRowDxfId="107">
  <tableColumns count="28">
    <tableColumn id="9" name="in_hospital"/>
    <tableColumn id="10" name="location_7"/>
    <tableColumn id="11" name="infec_24"/>
    <tableColumn id="1" name="infec_7"/>
    <tableColumn id="12" name="gastro"/>
    <tableColumn id="13" name="pulm_supp_24"/>
    <tableColumn id="2" name="pulm_supp_7"/>
    <tableColumn id="3" name="pulm_pharm"/>
    <tableColumn id="14" name="cardio_24"/>
    <tableColumn id="15" name="troponin_7"/>
    <tableColumn id="8" name="creatinine_base"/>
    <tableColumn id="5" name="creatinine_high"/>
    <tableColumn id="6" name="rrt"/>
    <tableColumn id="21" name="renal_24"/>
    <tableColumn id="7" name="neuro"/>
    <tableColumn id="16" name="wound"/>
    <tableColumn id="17" name="haemato"/>
    <tableColumn id="18" name="pain"/>
    <tableColumn id="19" name="mobility"/>
    <tableColumn id="20" name="why_inpatient_7"/>
    <tableColumn id="4" name="comment_7"/>
    <tableColumn id="22" name="date_15"/>
    <tableColumn id="23" name="inpatient_15"/>
    <tableColumn id="31" name="location_15"/>
    <tableColumn id="24" name="comment_15"/>
    <tableColumn id="25" name="dicharge_date"/>
    <tableColumn id="26" name="discharge_dest"/>
    <tableColumn id="27" name="complication"/>
  </tableColumns>
  <tableStyleInfo name="TableStyleLight13" showFirstColumn="0" showLastColumn="0" showRowStripes="1" showColumnStripes="0"/>
</table>
</file>

<file path=xl/tables/table11.xml><?xml version="1.0" encoding="utf-8"?>
<table xmlns="http://schemas.openxmlformats.org/spreadsheetml/2006/main" id="14" name="Table14" displayName="Table14" ref="A1:BL185" totalsRowShown="0">
  <autoFilter ref="A1:BL185"/>
  <tableColumns count="64">
    <tableColumn id="68" name="comment" dataDxfId="103" totalsRowDxfId="102">
      <calculatedColumnFormula>Table4[[#This Row],[Column5]]</calculatedColumnFormula>
    </tableColumn>
    <tableColumn id="21" name="surgeon" dataDxfId="101" totalsRowDxfId="100">
      <calculatedColumnFormula>Participants!#REF!</calculatedColumnFormula>
    </tableColumn>
    <tableColumn id="12" name="surgery" dataDxfId="99" totalsRowDxfId="98">
      <calculatedColumnFormula>Participants!#REF!</calculatedColumnFormula>
    </tableColumn>
    <tableColumn id="4" name="pqip_consent" dataDxfId="97" totalsRowDxfId="96">
      <calculatedColumnFormula>Participants!K2</calculatedColumnFormula>
    </tableColumn>
    <tableColumn id="5" name="area_surgery" dataDxfId="95" totalsRowDxfId="94">
      <calculatedColumnFormula>Admission!C2</calculatedColumnFormula>
    </tableColumn>
    <tableColumn id="33" name="admission_date" dataDxfId="93" totalsRowDxfId="92">
      <calculatedColumnFormula>Admission!D2</calculatedColumnFormula>
    </tableColumn>
    <tableColumn id="34" name="surgery_date" dataDxfId="1" totalsRowDxfId="91">
      <calculatedColumnFormula>Admission!E2</calculatedColumnFormula>
    </tableColumn>
    <tableColumn id="9" name="surgery_duration" dataDxfId="0">
      <calculatedColumnFormula>Admission!F2</calculatedColumnFormula>
    </tableColumn>
    <tableColumn id="8" name="discharge_loc" totalsRowDxfId="90">
      <calculatedColumnFormula>Admission!G2</calculatedColumnFormula>
    </tableColumn>
    <tableColumn id="36" name="discharge_date" dataDxfId="89" totalsRowDxfId="88">
      <calculatedColumnFormula>Admission!H2</calculatedColumnFormula>
    </tableColumn>
    <tableColumn id="6" name="hospital_stay" dataDxfId="87" totalsRowDxfId="86">
      <calculatedColumnFormula>Table14[[#This Row],[discharge_date]]-Table14[[#This Row],[surgery_date]]</calculatedColumnFormula>
    </tableColumn>
    <tableColumn id="39" name="readmit_30" dataDxfId="85" totalsRowDxfId="84">
      <calculatedColumnFormula>Admission!K163</calculatedColumnFormula>
    </tableColumn>
    <tableColumn id="50" name="troponin" dataDxfId="83" totalsRowDxfId="82">
      <calculatedColumnFormula>'Pre-Op'!C2</calculatedColumnFormula>
    </tableColumn>
    <tableColumn id="38" name="hb" dataDxfId="81" totalsRowDxfId="80">
      <calculatedColumnFormula>Table9[[#This Row],[hb]]</calculatedColumnFormula>
    </tableColumn>
    <tableColumn id="41" name="creatinine" dataDxfId="79" totalsRowDxfId="78">
      <calculatedColumnFormula>Table9[[#This Row],[creatinine]]</calculatedColumnFormula>
    </tableColumn>
    <tableColumn id="40" name="albumin" dataDxfId="77" totalsRowDxfId="76">
      <calculatedColumnFormula>Table9[[#This Row],[albumin]]</calculatedColumnFormula>
    </tableColumn>
    <tableColumn id="13" name="chest_physio" totalsRowDxfId="75">
      <calculatedColumnFormula>'Pre-Op'!G2</calculatedColumnFormula>
    </tableColumn>
    <tableColumn id="14" name="surgery_school" totalsRowDxfId="74">
      <calculatedColumnFormula>'Pre-Op'!H2</calculatedColumnFormula>
    </tableColumn>
    <tableColumn id="46" name="date_school" dataDxfId="73" totalsRowDxfId="72">
      <calculatedColumnFormula>Table9[[#This Row],[date_school]]</calculatedColumnFormula>
    </tableColumn>
    <tableColumn id="15" name="app_down" totalsRowDxfId="71">
      <calculatedColumnFormula>'Pre-Op'!K2</calculatedColumnFormula>
    </tableColumn>
    <tableColumn id="37" name="website" dataDxfId="70" totalsRowDxfId="69">
      <calculatedColumnFormula>'Pre-Op'!L2</calculatedColumnFormula>
    </tableColumn>
    <tableColumn id="16" name="base_activity" totalsRowDxfId="68">
      <calculatedColumnFormula>'Pre-Op'!M2</calculatedColumnFormula>
    </tableColumn>
    <tableColumn id="17" name="current_activity" totalsRowDxfId="67">
      <calculatedColumnFormula>'Pre-Op'!N2</calculatedColumnFormula>
    </tableColumn>
    <tableColumn id="18" name="activity_type" totalsRowDxfId="66">
      <calculatedColumnFormula>'Pre-Op'!O2</calculatedColumnFormula>
    </tableColumn>
    <tableColumn id="19" name="anaemia_treat" totalsRowDxfId="65">
      <calculatedColumnFormula>'Pre-Op'!P2</calculatedColumnFormula>
    </tableColumn>
    <tableColumn id="20" name="anaesthesia" totalsRowDxfId="64">
      <calculatedColumnFormula>'Pre-Op'!Q2</calculatedColumnFormula>
    </tableColumn>
    <tableColumn id="69" name="smoke_hist" dataDxfId="63" totalsRowDxfId="62">
      <calculatedColumnFormula>Table9[[#This Row],[smoke_hist]]</calculatedColumnFormula>
    </tableColumn>
    <tableColumn id="70" name="smoke_cess" dataDxfId="61" totalsRowDxfId="60">
      <calculatedColumnFormula>Table9[[#This Row],[smoke_cess]]</calculatedColumnFormula>
    </tableColumn>
    <tableColumn id="48" name="tidal_vol" dataDxfId="59" totalsRowDxfId="58">
      <calculatedColumnFormula>'Pre-Op'!U2</calculatedColumnFormula>
    </tableColumn>
    <tableColumn id="22" name="inc_spiro" dataDxfId="57" totalsRowDxfId="56">
      <calculatedColumnFormula>'Post-Op &gt; 24hrs'!C2</calculatedColumnFormula>
    </tableColumn>
    <tableColumn id="23" name="t_brushes" totalsRowDxfId="55">
      <calculatedColumnFormula>'Post-Op &gt; 24hrs'!D2</calculatedColumnFormula>
    </tableColumn>
    <tableColumn id="24" name="m_washes" totalsRowDxfId="54">
      <calculatedColumnFormula>'Post-Op &gt; 24hrs'!E2</calculatedColumnFormula>
    </tableColumn>
    <tableColumn id="43" name="iv_disc" dataDxfId="53" totalsRowDxfId="52">
      <calculatedColumnFormula>'Post-Op &gt; 24hrs'!F2</calculatedColumnFormula>
    </tableColumn>
    <tableColumn id="7" name="tolerate_15l" dataDxfId="51" totalsRowDxfId="50">
      <calculatedColumnFormula>'Post-Op &gt; 24hrs'!H2</calculatedColumnFormula>
    </tableColumn>
    <tableColumn id="44" name="drinking" totalsRowDxfId="49">
      <calculatedColumnFormula>'Post-Op &gt; 24hrs'!G2</calculatedColumnFormula>
    </tableColumn>
    <tableColumn id="42" name="oral_diet" totalsRowDxfId="48">
      <calculatedColumnFormula>'Post-Op &gt; 24hrs'!I2</calculatedColumnFormula>
    </tableColumn>
    <tableColumn id="45" name="mobilised" totalsRowDxfId="47">
      <calculatedColumnFormula>'Post-Op &gt; 24hrs'!J2</calculatedColumnFormula>
    </tableColumn>
    <tableColumn id="25" name="resp_supp" dataDxfId="46" totalsRowDxfId="45">
      <calculatedColumnFormula>'Post-Op &gt; 24hrs'!K2</calculatedColumnFormula>
    </tableColumn>
    <tableColumn id="11" name="elev_head" dataDxfId="44" totalsRowDxfId="43">
      <calculatedColumnFormula>Table11[[#This Row],[elev_head]]</calculatedColumnFormula>
    </tableColumn>
    <tableColumn id="47" name="in_hospital" dataDxfId="42" totalsRowDxfId="41">
      <calculatedColumnFormula>'Post-op over 7days'!C2</calculatedColumnFormula>
    </tableColumn>
    <tableColumn id="51" name="location_7" dataDxfId="40" totalsRowDxfId="39">
      <calculatedColumnFormula>'Post-op over 7days'!D2</calculatedColumnFormula>
    </tableColumn>
    <tableColumn id="52" name="infec_24" dataDxfId="38" totalsRowDxfId="37">
      <calculatedColumnFormula>'Post-op over 7days'!E2</calculatedColumnFormula>
    </tableColumn>
    <tableColumn id="26" name="infec_7" dataDxfId="36" totalsRowDxfId="35">
      <calculatedColumnFormula>'Post-op over 7days'!F2</calculatedColumnFormula>
    </tableColumn>
    <tableColumn id="53" name="gastro" dataDxfId="34" totalsRowDxfId="33">
      <calculatedColumnFormula>'Post-op over 7days'!G2</calculatedColumnFormula>
    </tableColumn>
    <tableColumn id="27" name="pulm_supp_24" dataDxfId="32" totalsRowDxfId="31">
      <calculatedColumnFormula>'Post-op over 7days'!H2</calculatedColumnFormula>
    </tableColumn>
    <tableColumn id="54" name="pulm_supp_7" dataDxfId="30" totalsRowDxfId="29">
      <calculatedColumnFormula>'Post-op over 7days'!I2</calculatedColumnFormula>
    </tableColumn>
    <tableColumn id="28" name="pulm_pharm" totalsRowDxfId="28">
      <calculatedColumnFormula>'Post-op over 7days'!J2</calculatedColumnFormula>
    </tableColumn>
    <tableColumn id="29" name="cardio_24" dataDxfId="27" totalsRowDxfId="26">
      <calculatedColumnFormula>'Post-op over 7days'!K2</calculatedColumnFormula>
    </tableColumn>
    <tableColumn id="30" name="troponin_7" totalsRowDxfId="25">
      <calculatedColumnFormula>'Post-op over 7days'!L2</calculatedColumnFormula>
    </tableColumn>
    <tableColumn id="31" name="creatinine_base" dataDxfId="24" totalsRowDxfId="23">
      <calculatedColumnFormula>'Post-op over 7days'!M2</calculatedColumnFormula>
    </tableColumn>
    <tableColumn id="55" name="creatinine_high" totalsRowDxfId="22">
      <calculatedColumnFormula>'Post-op over 7days'!N2</calculatedColumnFormula>
    </tableColumn>
    <tableColumn id="56" name="rrt" totalsRowDxfId="21">
      <calculatedColumnFormula>'Post-op over 7days'!O2</calculatedColumnFormula>
    </tableColumn>
    <tableColumn id="10" name="renal_24" dataDxfId="20" totalsRowDxfId="19">
      <calculatedColumnFormula>'Post-op over 7days'!P2</calculatedColumnFormula>
    </tableColumn>
    <tableColumn id="57" name="neuro" totalsRowDxfId="18">
      <calculatedColumnFormula>'Post-op over 7days'!Q2</calculatedColumnFormula>
    </tableColumn>
    <tableColumn id="58" name="wound" totalsRowDxfId="17">
      <calculatedColumnFormula>'Post-op over 7days'!R2</calculatedColumnFormula>
    </tableColumn>
    <tableColumn id="59" name="haemato" totalsRowDxfId="16">
      <calculatedColumnFormula>'Post-op over 7days'!S2</calculatedColumnFormula>
    </tableColumn>
    <tableColumn id="60" name="pain" totalsRowDxfId="15">
      <calculatedColumnFormula>'Post-op over 7days'!T2</calculatedColumnFormula>
    </tableColumn>
    <tableColumn id="61" name="mobility" totalsRowDxfId="14">
      <calculatedColumnFormula>'Post-op over 7days'!U2</calculatedColumnFormula>
    </tableColumn>
    <tableColumn id="62" name="why_inpatient_7" dataDxfId="13" totalsRowDxfId="12">
      <calculatedColumnFormula>'Post-op over 7days'!V2</calculatedColumnFormula>
    </tableColumn>
    <tableColumn id="49" name="date_15" dataDxfId="11" totalsRowDxfId="10">
      <calculatedColumnFormula>Table13[[#This Row],[date_15]]</calculatedColumnFormula>
    </tableColumn>
    <tableColumn id="63" name="inpatient_15" dataDxfId="9" totalsRowDxfId="8">
      <calculatedColumnFormula>Table13[[#This Row],[inpatient_15]]</calculatedColumnFormula>
    </tableColumn>
    <tableColumn id="64" name="comment_15" dataDxfId="7" totalsRowDxfId="6">
      <calculatedColumnFormula>Table13[[#This Row],[comment_15]]</calculatedColumnFormula>
    </tableColumn>
    <tableColumn id="66" name="discharge_dest" dataDxfId="5" totalsRowDxfId="4">
      <calculatedColumnFormula>Table13[[#This Row],[discharge_dest]]</calculatedColumnFormula>
    </tableColumn>
    <tableColumn id="67" name="complication" dataDxfId="3" totalsRowDxfId="2">
      <calculatedColumnFormula>Table13[[#This Row],[complication]]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Adjacency">
      <a:dk1>
        <a:srgbClr val="2F2B20"/>
      </a:dk1>
      <a:lt1>
        <a:srgbClr val="FFFFFF"/>
      </a:lt1>
      <a:dk2>
        <a:srgbClr val="675E47"/>
      </a:dk2>
      <a:lt2>
        <a:srgbClr val="DFDCB7"/>
      </a:lt2>
      <a:accent1>
        <a:srgbClr val="A9A57C"/>
      </a:accent1>
      <a:accent2>
        <a:srgbClr val="9CBEBD"/>
      </a:accent2>
      <a:accent3>
        <a:srgbClr val="D2CB6C"/>
      </a:accent3>
      <a:accent4>
        <a:srgbClr val="95A39D"/>
      </a:accent4>
      <a:accent5>
        <a:srgbClr val="C89F5D"/>
      </a:accent5>
      <a:accent6>
        <a:srgbClr val="B1A089"/>
      </a:accent6>
      <a:hlink>
        <a:srgbClr val="D25814"/>
      </a:hlink>
      <a:folHlink>
        <a:srgbClr val="849A0A"/>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M1059"/>
  <sheetViews>
    <sheetView tabSelected="1" zoomScale="80" zoomScaleNormal="80" workbookViewId="0">
      <pane ySplit="1" topLeftCell="A151" activePane="bottomLeft" state="frozen"/>
      <selection activeCell="AA20" sqref="AA20"/>
      <selection pane="bottomLeft" sqref="A1:E185"/>
    </sheetView>
  </sheetViews>
  <sheetFormatPr defaultRowHeight="18.75" customHeight="1"/>
  <cols>
    <col min="1" max="1" width="14.140625" bestFit="1" customWidth="1"/>
    <col min="2" max="2" width="15.5703125" customWidth="1"/>
    <col min="3" max="4" width="13.42578125" customWidth="1"/>
    <col min="5" max="5" width="14.140625" style="63" bestFit="1" customWidth="1"/>
    <col min="6" max="6" width="13.140625" customWidth="1"/>
    <col min="7" max="7" width="13.7109375" customWidth="1"/>
    <col min="8" max="8" width="13.28515625" customWidth="1"/>
    <col min="9" max="9" width="13.140625" customWidth="1"/>
    <col min="10" max="10" width="15" customWidth="1"/>
    <col min="11" max="11" width="13.5703125" customWidth="1"/>
    <col min="12" max="12" width="17.140625" customWidth="1"/>
    <col min="13" max="13" width="7" customWidth="1"/>
    <col min="14" max="14" width="13" customWidth="1"/>
    <col min="15" max="15" width="16.28515625" customWidth="1"/>
    <col min="16" max="16" width="15.140625" bestFit="1" customWidth="1"/>
  </cols>
  <sheetData>
    <row r="1" spans="1:13" ht="35.25" customHeight="1">
      <c r="A1" t="s">
        <v>851</v>
      </c>
      <c r="B1" t="s">
        <v>852</v>
      </c>
      <c r="C1" t="s">
        <v>853</v>
      </c>
      <c r="D1" t="s">
        <v>854</v>
      </c>
      <c r="E1" s="63" t="s">
        <v>855</v>
      </c>
      <c r="F1" s="64" t="s">
        <v>665</v>
      </c>
      <c r="G1" s="64" t="s">
        <v>666</v>
      </c>
      <c r="H1" s="64" t="s">
        <v>667</v>
      </c>
      <c r="I1" s="64" t="s">
        <v>668</v>
      </c>
      <c r="J1" s="64" t="s">
        <v>669</v>
      </c>
      <c r="K1" s="4" t="s">
        <v>670</v>
      </c>
      <c r="L1" s="4" t="s">
        <v>671</v>
      </c>
      <c r="M1" s="4" t="s">
        <v>672</v>
      </c>
    </row>
    <row r="2" spans="1:13" ht="18.75" customHeight="1">
      <c r="F2" s="65"/>
      <c r="G2" s="66">
        <v>43299</v>
      </c>
      <c r="H2" s="66">
        <v>43304</v>
      </c>
      <c r="I2" s="66">
        <v>43343</v>
      </c>
      <c r="J2" s="65" t="s">
        <v>217</v>
      </c>
      <c r="K2" t="s">
        <v>3</v>
      </c>
      <c r="L2" t="s">
        <v>3</v>
      </c>
      <c r="M2" s="81"/>
    </row>
    <row r="3" spans="1:13" ht="18.75" customHeight="1">
      <c r="F3" s="65"/>
      <c r="G3" s="66">
        <v>43299</v>
      </c>
      <c r="H3" s="66">
        <v>43304</v>
      </c>
      <c r="I3" s="66">
        <v>43343</v>
      </c>
      <c r="J3" s="65" t="s">
        <v>217</v>
      </c>
      <c r="K3" t="s">
        <v>3</v>
      </c>
      <c r="L3" t="s">
        <v>4</v>
      </c>
      <c r="M3" s="81"/>
    </row>
    <row r="4" spans="1:13" ht="18.75" customHeight="1">
      <c r="E4" s="67"/>
      <c r="F4" s="65"/>
      <c r="G4" s="66">
        <v>43300</v>
      </c>
      <c r="H4" s="66">
        <v>43305</v>
      </c>
      <c r="I4" s="66">
        <v>43344</v>
      </c>
      <c r="J4" s="65" t="s">
        <v>217</v>
      </c>
      <c r="K4" t="s">
        <v>3</v>
      </c>
      <c r="L4" t="s">
        <v>4</v>
      </c>
      <c r="M4" s="81"/>
    </row>
    <row r="5" spans="1:13" ht="18.75" customHeight="1">
      <c r="A5" s="65"/>
      <c r="B5" s="65"/>
      <c r="C5" s="65"/>
      <c r="D5" s="65"/>
      <c r="E5" s="67"/>
      <c r="F5" s="65"/>
      <c r="G5" s="66"/>
      <c r="H5" s="66"/>
      <c r="I5" s="66"/>
      <c r="M5" s="81"/>
    </row>
    <row r="6" spans="1:13" ht="18.75" customHeight="1">
      <c r="A6" s="65"/>
      <c r="B6" s="65"/>
      <c r="C6" s="65"/>
      <c r="D6" s="65"/>
      <c r="E6" s="67"/>
      <c r="F6" s="65"/>
      <c r="G6" s="66">
        <v>43299</v>
      </c>
      <c r="H6" s="66">
        <v>43304</v>
      </c>
      <c r="I6" s="66">
        <v>43343</v>
      </c>
      <c r="J6" t="s">
        <v>217</v>
      </c>
      <c r="K6" t="s">
        <v>3</v>
      </c>
      <c r="L6" t="s">
        <v>3</v>
      </c>
      <c r="M6" s="81"/>
    </row>
    <row r="7" spans="1:13" ht="18.75" customHeight="1">
      <c r="A7" s="65"/>
      <c r="B7" s="65"/>
      <c r="C7" s="65"/>
      <c r="D7" s="65"/>
      <c r="E7" s="67"/>
      <c r="F7" s="65"/>
      <c r="G7" s="66">
        <v>43301</v>
      </c>
      <c r="H7" s="66">
        <v>43306</v>
      </c>
      <c r="I7" s="66">
        <v>43314</v>
      </c>
      <c r="J7" t="s">
        <v>217</v>
      </c>
      <c r="K7" t="s">
        <v>3</v>
      </c>
      <c r="L7" t="s">
        <v>3</v>
      </c>
      <c r="M7" s="81"/>
    </row>
    <row r="8" spans="1:13" ht="18.75" customHeight="1">
      <c r="E8" s="67"/>
      <c r="F8" s="65"/>
      <c r="G8" s="66">
        <v>43301</v>
      </c>
      <c r="H8" s="66">
        <v>43307</v>
      </c>
      <c r="I8" s="66">
        <v>43315</v>
      </c>
      <c r="J8" t="s">
        <v>217</v>
      </c>
      <c r="K8" t="s">
        <v>3</v>
      </c>
      <c r="L8" t="s">
        <v>3</v>
      </c>
      <c r="M8" s="81"/>
    </row>
    <row r="9" spans="1:13" ht="18.75" customHeight="1">
      <c r="E9" s="67"/>
      <c r="F9" s="65"/>
      <c r="G9" s="66">
        <v>43302</v>
      </c>
      <c r="H9" s="66">
        <v>43307</v>
      </c>
      <c r="I9" s="66">
        <v>43315</v>
      </c>
      <c r="J9" t="s">
        <v>217</v>
      </c>
      <c r="K9" t="s">
        <v>3</v>
      </c>
      <c r="L9" t="s">
        <v>4</v>
      </c>
      <c r="M9" s="81"/>
    </row>
    <row r="10" spans="1:13" ht="18.75" customHeight="1">
      <c r="E10" s="67"/>
      <c r="F10" s="65"/>
      <c r="G10" s="66">
        <v>43302</v>
      </c>
      <c r="H10" s="66">
        <v>43307</v>
      </c>
      <c r="I10" s="66">
        <v>43315</v>
      </c>
      <c r="J10" t="s">
        <v>217</v>
      </c>
      <c r="K10" t="s">
        <v>3</v>
      </c>
      <c r="L10" t="s">
        <v>3</v>
      </c>
      <c r="M10" s="81"/>
    </row>
    <row r="11" spans="1:13" ht="18.75" customHeight="1">
      <c r="E11" s="67"/>
      <c r="F11" s="65"/>
      <c r="G11" s="66">
        <v>43303</v>
      </c>
      <c r="H11" s="66">
        <v>43308</v>
      </c>
      <c r="I11" s="66">
        <v>43316</v>
      </c>
      <c r="J11" t="s">
        <v>217</v>
      </c>
      <c r="K11" t="s">
        <v>3</v>
      </c>
      <c r="L11" t="s">
        <v>3</v>
      </c>
      <c r="M11" s="81"/>
    </row>
    <row r="12" spans="1:13" ht="18.75" customHeight="1">
      <c r="E12" s="67"/>
      <c r="F12" s="65"/>
      <c r="G12" s="66">
        <v>43306</v>
      </c>
      <c r="H12" s="66">
        <v>43311</v>
      </c>
      <c r="I12" s="66">
        <v>43319</v>
      </c>
      <c r="J12" t="s">
        <v>217</v>
      </c>
      <c r="K12" t="s">
        <v>3</v>
      </c>
      <c r="L12" t="s">
        <v>4</v>
      </c>
      <c r="M12" s="81"/>
    </row>
    <row r="13" spans="1:13" ht="18.75" customHeight="1">
      <c r="E13" s="67"/>
      <c r="F13" s="65"/>
      <c r="G13" s="66">
        <v>43308</v>
      </c>
      <c r="H13" s="66">
        <v>43313</v>
      </c>
      <c r="I13" s="66">
        <v>43321</v>
      </c>
      <c r="J13" t="s">
        <v>217</v>
      </c>
      <c r="K13" t="s">
        <v>4</v>
      </c>
      <c r="L13" t="s">
        <v>4</v>
      </c>
      <c r="M13" s="81"/>
    </row>
    <row r="14" spans="1:13" ht="18.75" customHeight="1">
      <c r="C14" s="65"/>
      <c r="D14" s="65"/>
      <c r="E14" s="67"/>
      <c r="F14" s="65"/>
      <c r="G14" s="66">
        <v>43308</v>
      </c>
      <c r="H14" s="66">
        <v>43313</v>
      </c>
      <c r="I14" s="66">
        <v>43321</v>
      </c>
      <c r="J14" t="s">
        <v>217</v>
      </c>
      <c r="K14" t="s">
        <v>3</v>
      </c>
      <c r="L14" t="s">
        <v>3</v>
      </c>
      <c r="M14" s="81"/>
    </row>
    <row r="15" spans="1:13" ht="18.75" customHeight="1">
      <c r="E15" s="67"/>
      <c r="F15" s="65"/>
      <c r="G15" s="66">
        <v>43309</v>
      </c>
      <c r="H15" s="66">
        <v>43314</v>
      </c>
      <c r="I15" s="66">
        <v>43322</v>
      </c>
      <c r="J15" t="s">
        <v>217</v>
      </c>
      <c r="K15" t="s">
        <v>4</v>
      </c>
      <c r="L15" t="s">
        <v>4</v>
      </c>
      <c r="M15" s="81"/>
    </row>
    <row r="16" spans="1:13" ht="18.75" customHeight="1">
      <c r="E16" s="67"/>
      <c r="F16" s="65" t="s">
        <v>616</v>
      </c>
      <c r="G16" s="66">
        <v>43309</v>
      </c>
      <c r="H16" s="66">
        <v>43314</v>
      </c>
      <c r="I16" s="66">
        <v>43322</v>
      </c>
      <c r="J16" t="s">
        <v>217</v>
      </c>
      <c r="K16" t="s">
        <v>3</v>
      </c>
      <c r="L16" t="s">
        <v>4</v>
      </c>
      <c r="M16" s="81"/>
    </row>
    <row r="17" spans="5:13" ht="18.75" customHeight="1">
      <c r="E17" s="67"/>
      <c r="F17" s="65" t="s">
        <v>617</v>
      </c>
      <c r="G17" s="66">
        <v>43310</v>
      </c>
      <c r="H17" s="66">
        <v>43315</v>
      </c>
      <c r="I17" s="66">
        <v>43323</v>
      </c>
      <c r="J17" t="s">
        <v>217</v>
      </c>
      <c r="K17" t="s">
        <v>4</v>
      </c>
      <c r="L17" t="s">
        <v>4</v>
      </c>
      <c r="M17" s="81"/>
    </row>
    <row r="18" spans="5:13" ht="18.75" customHeight="1">
      <c r="E18" s="67"/>
      <c r="F18" s="65"/>
      <c r="G18" s="66">
        <v>43316</v>
      </c>
      <c r="H18" s="66">
        <v>43321</v>
      </c>
      <c r="I18" s="66">
        <v>43329</v>
      </c>
      <c r="J18" t="s">
        <v>217</v>
      </c>
      <c r="K18" t="s">
        <v>3</v>
      </c>
      <c r="L18" t="s">
        <v>3</v>
      </c>
      <c r="M18" s="81"/>
    </row>
    <row r="19" spans="5:13" ht="18.75" customHeight="1">
      <c r="E19" s="67"/>
      <c r="F19" s="65"/>
      <c r="G19" s="66">
        <v>43313</v>
      </c>
      <c r="H19" s="66">
        <f>IF( G19&lt;&gt;"", G19+5,"")</f>
        <v>43318</v>
      </c>
      <c r="I19" s="66">
        <f>IF( G19&lt;&gt;"", G19+13,"")</f>
        <v>43326</v>
      </c>
      <c r="J19" t="s">
        <v>217</v>
      </c>
      <c r="K19" t="s">
        <v>3</v>
      </c>
      <c r="L19" t="s">
        <v>3</v>
      </c>
      <c r="M19" s="81"/>
    </row>
    <row r="20" spans="5:13" ht="18.75" customHeight="1">
      <c r="E20" s="67"/>
      <c r="F20" s="65"/>
      <c r="G20" s="66">
        <v>43313</v>
      </c>
      <c r="H20" s="66">
        <f t="shared" ref="H20:H25" si="0">IF( G20&lt;&gt;"", G20+5,"")</f>
        <v>43318</v>
      </c>
      <c r="I20" s="66">
        <f t="shared" ref="I20:I25" si="1">IF( G20&lt;&gt;"", G20+13,"")</f>
        <v>43326</v>
      </c>
      <c r="J20" t="s">
        <v>217</v>
      </c>
      <c r="K20" t="s">
        <v>3</v>
      </c>
      <c r="L20" t="s">
        <v>4</v>
      </c>
      <c r="M20" s="81"/>
    </row>
    <row r="21" spans="5:13" ht="18.75" customHeight="1">
      <c r="E21" s="67"/>
      <c r="F21" s="65"/>
      <c r="G21" s="66">
        <v>43314</v>
      </c>
      <c r="H21" s="66">
        <f t="shared" si="0"/>
        <v>43319</v>
      </c>
      <c r="I21" s="66">
        <f t="shared" si="1"/>
        <v>43327</v>
      </c>
      <c r="J21" t="s">
        <v>217</v>
      </c>
      <c r="K21" t="s">
        <v>3</v>
      </c>
      <c r="L21" t="s">
        <v>3</v>
      </c>
      <c r="M21" s="81"/>
    </row>
    <row r="22" spans="5:13" ht="18.75" customHeight="1">
      <c r="E22" s="67"/>
      <c r="F22" s="65"/>
      <c r="G22" s="66">
        <v>43315</v>
      </c>
      <c r="H22" s="66">
        <f t="shared" si="0"/>
        <v>43320</v>
      </c>
      <c r="I22" s="66">
        <f t="shared" si="1"/>
        <v>43328</v>
      </c>
      <c r="J22" t="s">
        <v>217</v>
      </c>
      <c r="K22" t="s">
        <v>3</v>
      </c>
      <c r="L22" t="s">
        <v>3</v>
      </c>
      <c r="M22" s="81"/>
    </row>
    <row r="23" spans="5:13" ht="18.75" customHeight="1">
      <c r="E23" s="67"/>
      <c r="F23" s="65"/>
      <c r="G23" s="66">
        <v>43315</v>
      </c>
      <c r="H23" s="66">
        <f t="shared" si="0"/>
        <v>43320</v>
      </c>
      <c r="I23" s="66">
        <f t="shared" si="1"/>
        <v>43328</v>
      </c>
      <c r="J23" t="s">
        <v>217</v>
      </c>
      <c r="K23" t="s">
        <v>3</v>
      </c>
      <c r="L23" t="s">
        <v>3</v>
      </c>
      <c r="M23" s="81"/>
    </row>
    <row r="24" spans="5:13" ht="18.75" customHeight="1">
      <c r="E24" s="67"/>
      <c r="F24" s="65"/>
      <c r="G24" s="66">
        <v>43316</v>
      </c>
      <c r="H24" s="66">
        <f t="shared" si="0"/>
        <v>43321</v>
      </c>
      <c r="I24" s="66">
        <f t="shared" si="1"/>
        <v>43329</v>
      </c>
      <c r="J24" t="s">
        <v>217</v>
      </c>
      <c r="K24" t="s">
        <v>3</v>
      </c>
      <c r="L24" t="s">
        <v>3</v>
      </c>
      <c r="M24" s="81"/>
    </row>
    <row r="25" spans="5:13" ht="18.75" customHeight="1">
      <c r="E25" s="67"/>
      <c r="F25" s="65"/>
      <c r="G25" s="66">
        <v>43316</v>
      </c>
      <c r="H25" s="66">
        <f t="shared" si="0"/>
        <v>43321</v>
      </c>
      <c r="I25" s="66">
        <f t="shared" si="1"/>
        <v>43329</v>
      </c>
      <c r="J25" t="s">
        <v>217</v>
      </c>
      <c r="K25" t="s">
        <v>3</v>
      </c>
      <c r="L25" t="s">
        <v>3</v>
      </c>
      <c r="M25" s="81"/>
    </row>
    <row r="26" spans="5:13" ht="18.75" customHeight="1">
      <c r="E26" s="67"/>
      <c r="F26" s="65"/>
      <c r="G26" s="66">
        <v>43328</v>
      </c>
      <c r="H26" s="66">
        <f t="shared" ref="H26:H88" si="2">IF( G26&lt;&gt;"", G26+5,"")</f>
        <v>43333</v>
      </c>
      <c r="I26" s="66">
        <f t="shared" ref="I26:I88" si="3">IF( G26&lt;&gt;"", G26+13,"")</f>
        <v>43341</v>
      </c>
      <c r="J26" t="s">
        <v>217</v>
      </c>
      <c r="K26" t="s">
        <v>3</v>
      </c>
      <c r="L26" t="s">
        <v>3</v>
      </c>
      <c r="M26" s="81"/>
    </row>
    <row r="27" spans="5:13" ht="18.75" customHeight="1">
      <c r="F27" s="65"/>
      <c r="G27" s="66">
        <v>43314</v>
      </c>
      <c r="H27" s="66">
        <f t="shared" si="2"/>
        <v>43319</v>
      </c>
      <c r="I27" s="66">
        <f t="shared" si="3"/>
        <v>43327</v>
      </c>
      <c r="J27" t="s">
        <v>217</v>
      </c>
      <c r="K27" t="s">
        <v>4</v>
      </c>
      <c r="L27" t="s">
        <v>4</v>
      </c>
      <c r="M27" s="81"/>
    </row>
    <row r="28" spans="5:13" ht="18.75" customHeight="1">
      <c r="F28" s="65"/>
      <c r="G28" s="66">
        <v>43315</v>
      </c>
      <c r="H28" s="66">
        <f>IF( G28&lt;&gt;"", G28+5,"")</f>
        <v>43320</v>
      </c>
      <c r="I28" s="66">
        <f t="shared" si="3"/>
        <v>43328</v>
      </c>
      <c r="J28" t="s">
        <v>217</v>
      </c>
      <c r="K28" t="s">
        <v>4</v>
      </c>
      <c r="L28" t="s">
        <v>4</v>
      </c>
      <c r="M28" s="81"/>
    </row>
    <row r="29" spans="5:13" ht="18.75" customHeight="1">
      <c r="F29" s="65"/>
      <c r="G29" s="66">
        <v>43317</v>
      </c>
      <c r="H29" s="66">
        <f t="shared" si="2"/>
        <v>43322</v>
      </c>
      <c r="I29" s="66">
        <f>IF( G29&lt;&gt;"", G29+13,"")</f>
        <v>43330</v>
      </c>
      <c r="J29" t="s">
        <v>217</v>
      </c>
      <c r="K29" t="s">
        <v>4</v>
      </c>
      <c r="L29" t="s">
        <v>4</v>
      </c>
      <c r="M29" s="81"/>
    </row>
    <row r="30" spans="5:13" ht="18.75" customHeight="1">
      <c r="F30" s="65"/>
      <c r="G30" s="66">
        <v>43321</v>
      </c>
      <c r="H30" s="66">
        <f t="shared" si="2"/>
        <v>43326</v>
      </c>
      <c r="I30" s="66">
        <f t="shared" si="3"/>
        <v>43334</v>
      </c>
      <c r="J30" t="s">
        <v>217</v>
      </c>
      <c r="K30" t="s">
        <v>4</v>
      </c>
      <c r="L30" t="s">
        <v>4</v>
      </c>
      <c r="M30" s="81"/>
    </row>
    <row r="31" spans="5:13" ht="18.75" customHeight="1">
      <c r="F31" s="65" t="s">
        <v>574</v>
      </c>
      <c r="G31" s="66">
        <v>43324</v>
      </c>
      <c r="H31" s="66">
        <f t="shared" si="2"/>
        <v>43329</v>
      </c>
      <c r="I31" s="66">
        <f t="shared" si="3"/>
        <v>43337</v>
      </c>
      <c r="J31" t="s">
        <v>217</v>
      </c>
      <c r="K31" t="s">
        <v>4</v>
      </c>
      <c r="L31" t="s">
        <v>4</v>
      </c>
      <c r="M31" s="81"/>
    </row>
    <row r="32" spans="5:13" ht="18.75" customHeight="1">
      <c r="F32" s="65"/>
      <c r="G32" s="66">
        <v>43320</v>
      </c>
      <c r="H32" s="66">
        <f t="shared" si="2"/>
        <v>43325</v>
      </c>
      <c r="I32" s="66">
        <f t="shared" si="3"/>
        <v>43333</v>
      </c>
      <c r="J32" t="s">
        <v>217</v>
      </c>
      <c r="K32" t="s">
        <v>3</v>
      </c>
      <c r="L32" t="s">
        <v>3</v>
      </c>
      <c r="M32" s="81"/>
    </row>
    <row r="33" spans="1:13" ht="18.75" customHeight="1">
      <c r="F33" s="65" t="s">
        <v>618</v>
      </c>
      <c r="G33" s="66">
        <v>43320</v>
      </c>
      <c r="H33" s="66">
        <f t="shared" si="2"/>
        <v>43325</v>
      </c>
      <c r="I33" s="66">
        <f t="shared" si="3"/>
        <v>43333</v>
      </c>
      <c r="J33" t="s">
        <v>217</v>
      </c>
      <c r="K33" t="s">
        <v>3</v>
      </c>
      <c r="L33" t="s">
        <v>4</v>
      </c>
      <c r="M33" s="81"/>
    </row>
    <row r="34" spans="1:13" ht="18.75" customHeight="1">
      <c r="F34" s="65"/>
      <c r="G34" s="66">
        <v>43320</v>
      </c>
      <c r="H34" s="66">
        <f t="shared" si="2"/>
        <v>43325</v>
      </c>
      <c r="I34" s="66">
        <f t="shared" si="3"/>
        <v>43333</v>
      </c>
      <c r="J34" t="s">
        <v>217</v>
      </c>
      <c r="K34" t="s">
        <v>4</v>
      </c>
      <c r="L34" t="s">
        <v>4</v>
      </c>
      <c r="M34" s="81"/>
    </row>
    <row r="35" spans="1:13" ht="18.75" customHeight="1">
      <c r="E35" s="67"/>
      <c r="F35" s="65"/>
      <c r="G35" s="66">
        <v>43321</v>
      </c>
      <c r="H35" s="66">
        <f t="shared" si="2"/>
        <v>43326</v>
      </c>
      <c r="I35" s="66">
        <f t="shared" si="3"/>
        <v>43334</v>
      </c>
      <c r="J35" t="s">
        <v>217</v>
      </c>
      <c r="K35" t="s">
        <v>3</v>
      </c>
      <c r="L35" t="s">
        <v>3</v>
      </c>
      <c r="M35" s="81"/>
    </row>
    <row r="36" spans="1:13" ht="18.75" customHeight="1">
      <c r="E36" s="67"/>
      <c r="F36" s="65"/>
      <c r="G36" s="66">
        <v>43321</v>
      </c>
      <c r="H36" s="66">
        <f t="shared" si="2"/>
        <v>43326</v>
      </c>
      <c r="I36" s="66">
        <f t="shared" si="3"/>
        <v>43334</v>
      </c>
      <c r="J36" t="s">
        <v>217</v>
      </c>
      <c r="K36" t="s">
        <v>3</v>
      </c>
      <c r="L36" t="s">
        <v>4</v>
      </c>
      <c r="M36" s="81"/>
    </row>
    <row r="37" spans="1:13" ht="18.75" customHeight="1">
      <c r="E37" s="67"/>
      <c r="F37" s="65"/>
      <c r="G37" s="66">
        <v>43322</v>
      </c>
      <c r="H37" s="66">
        <f t="shared" si="2"/>
        <v>43327</v>
      </c>
      <c r="I37" s="66">
        <f t="shared" si="3"/>
        <v>43335</v>
      </c>
      <c r="J37" t="s">
        <v>217</v>
      </c>
      <c r="K37" t="s">
        <v>3</v>
      </c>
      <c r="L37" t="s">
        <v>3</v>
      </c>
      <c r="M37" s="81"/>
    </row>
    <row r="38" spans="1:13" ht="18.75" customHeight="1">
      <c r="E38" s="97"/>
      <c r="F38" s="65"/>
      <c r="G38" s="66">
        <v>43322</v>
      </c>
      <c r="H38" s="66">
        <f t="shared" si="2"/>
        <v>43327</v>
      </c>
      <c r="I38" s="66">
        <f t="shared" si="3"/>
        <v>43335</v>
      </c>
      <c r="J38" t="s">
        <v>217</v>
      </c>
      <c r="K38" t="s">
        <v>3</v>
      </c>
      <c r="L38" t="s">
        <v>3</v>
      </c>
      <c r="M38" s="81"/>
    </row>
    <row r="39" spans="1:13" ht="18.75" customHeight="1">
      <c r="E39" s="67"/>
      <c r="F39" s="65"/>
      <c r="G39" s="66">
        <v>43323</v>
      </c>
      <c r="H39" s="66">
        <f t="shared" si="2"/>
        <v>43328</v>
      </c>
      <c r="I39" s="66">
        <f t="shared" si="3"/>
        <v>43336</v>
      </c>
      <c r="J39" t="s">
        <v>217</v>
      </c>
      <c r="K39" t="s">
        <v>3</v>
      </c>
      <c r="L39" t="s">
        <v>3</v>
      </c>
      <c r="M39" s="81"/>
    </row>
    <row r="40" spans="1:13" ht="18.75" customHeight="1">
      <c r="E40" s="67"/>
      <c r="F40" s="65"/>
      <c r="G40" s="66">
        <v>43323</v>
      </c>
      <c r="H40" s="66">
        <f t="shared" si="2"/>
        <v>43328</v>
      </c>
      <c r="I40" s="66">
        <f t="shared" si="3"/>
        <v>43336</v>
      </c>
      <c r="J40" t="s">
        <v>217</v>
      </c>
      <c r="K40" t="s">
        <v>4</v>
      </c>
      <c r="L40" t="s">
        <v>3</v>
      </c>
      <c r="M40" s="81"/>
    </row>
    <row r="41" spans="1:13" ht="18.75" customHeight="1">
      <c r="A41" s="68"/>
      <c r="E41" s="67"/>
      <c r="F41" s="70"/>
      <c r="G41" s="66">
        <v>43328</v>
      </c>
      <c r="H41" s="66">
        <f t="shared" si="2"/>
        <v>43333</v>
      </c>
      <c r="I41" s="66">
        <f t="shared" si="3"/>
        <v>43341</v>
      </c>
      <c r="J41" t="s">
        <v>217</v>
      </c>
      <c r="K41" t="s">
        <v>3</v>
      </c>
      <c r="L41" t="s">
        <v>3</v>
      </c>
      <c r="M41" s="81"/>
    </row>
    <row r="42" spans="1:13" ht="18.75" customHeight="1">
      <c r="E42" s="67"/>
      <c r="F42" s="70"/>
      <c r="G42" s="66">
        <v>43327</v>
      </c>
      <c r="H42" s="66">
        <f t="shared" si="2"/>
        <v>43332</v>
      </c>
      <c r="I42" s="66">
        <f t="shared" si="3"/>
        <v>43340</v>
      </c>
      <c r="J42" s="69" t="s">
        <v>217</v>
      </c>
      <c r="K42" t="s">
        <v>3</v>
      </c>
      <c r="L42" t="s">
        <v>3</v>
      </c>
      <c r="M42" s="81"/>
    </row>
    <row r="43" spans="1:13" ht="18.75" customHeight="1">
      <c r="E43" s="67"/>
      <c r="F43" s="70"/>
      <c r="G43" s="66">
        <v>43327</v>
      </c>
      <c r="H43" s="66">
        <f t="shared" si="2"/>
        <v>43332</v>
      </c>
      <c r="I43" s="66">
        <f t="shared" si="3"/>
        <v>43340</v>
      </c>
      <c r="J43" s="69" t="s">
        <v>217</v>
      </c>
      <c r="K43" t="s">
        <v>4</v>
      </c>
      <c r="L43" t="s">
        <v>4</v>
      </c>
      <c r="M43" s="81"/>
    </row>
    <row r="44" spans="1:13" ht="18.75" customHeight="1">
      <c r="E44" s="67"/>
      <c r="F44" s="70"/>
      <c r="G44" s="66">
        <v>43327</v>
      </c>
      <c r="H44" s="66">
        <f t="shared" si="2"/>
        <v>43332</v>
      </c>
      <c r="I44" s="66">
        <f t="shared" si="3"/>
        <v>43340</v>
      </c>
      <c r="J44" s="69" t="s">
        <v>217</v>
      </c>
      <c r="K44" t="s">
        <v>4</v>
      </c>
      <c r="L44" t="s">
        <v>4</v>
      </c>
      <c r="M44" s="81"/>
    </row>
    <row r="45" spans="1:13" ht="18.75" customHeight="1">
      <c r="E45" s="67"/>
      <c r="F45" s="65"/>
      <c r="G45" s="66">
        <v>43328</v>
      </c>
      <c r="H45" s="66">
        <f t="shared" si="2"/>
        <v>43333</v>
      </c>
      <c r="I45" s="66">
        <f t="shared" si="3"/>
        <v>43341</v>
      </c>
      <c r="J45" t="s">
        <v>217</v>
      </c>
      <c r="K45" t="s">
        <v>3</v>
      </c>
      <c r="L45" t="s">
        <v>3</v>
      </c>
      <c r="M45" s="81"/>
    </row>
    <row r="46" spans="1:13" ht="18.75" customHeight="1">
      <c r="E46" s="67"/>
      <c r="F46" s="65"/>
      <c r="G46" s="66">
        <v>43329</v>
      </c>
      <c r="H46" s="66">
        <f t="shared" si="2"/>
        <v>43334</v>
      </c>
      <c r="I46" s="66">
        <f t="shared" si="3"/>
        <v>43342</v>
      </c>
      <c r="J46" t="s">
        <v>217</v>
      </c>
      <c r="K46" t="s">
        <v>4</v>
      </c>
      <c r="L46" t="s">
        <v>4</v>
      </c>
      <c r="M46" s="81"/>
    </row>
    <row r="47" spans="1:13" ht="18.75" customHeight="1">
      <c r="E47" s="67"/>
      <c r="F47" s="65"/>
      <c r="G47" s="66">
        <v>43334</v>
      </c>
      <c r="H47" s="66">
        <f t="shared" ref="H47" si="4">IF( G47&lt;&gt;"", G47+5,"")</f>
        <v>43339</v>
      </c>
      <c r="I47" s="66">
        <f t="shared" ref="I47" si="5">IF( G47&lt;&gt;"", G47+13,"")</f>
        <v>43347</v>
      </c>
      <c r="J47" t="s">
        <v>217</v>
      </c>
      <c r="K47" t="s">
        <v>3</v>
      </c>
      <c r="L47" t="s">
        <v>3</v>
      </c>
      <c r="M47" s="81"/>
    </row>
    <row r="48" spans="1:13" ht="18.75" customHeight="1">
      <c r="E48" s="67"/>
      <c r="F48" s="65"/>
      <c r="G48" s="66">
        <v>43329</v>
      </c>
      <c r="H48" s="66">
        <f t="shared" si="2"/>
        <v>43334</v>
      </c>
      <c r="I48" s="66">
        <f t="shared" si="3"/>
        <v>43342</v>
      </c>
      <c r="J48" t="s">
        <v>217</v>
      </c>
      <c r="K48" t="s">
        <v>4</v>
      </c>
      <c r="L48" t="s">
        <v>3</v>
      </c>
      <c r="M48" s="81"/>
    </row>
    <row r="49" spans="1:13" ht="18.75" customHeight="1">
      <c r="E49" s="67"/>
      <c r="F49" s="65"/>
      <c r="G49" s="66">
        <v>43330</v>
      </c>
      <c r="H49" s="66">
        <f t="shared" si="2"/>
        <v>43335</v>
      </c>
      <c r="I49" s="66">
        <f t="shared" si="3"/>
        <v>43343</v>
      </c>
      <c r="J49" t="s">
        <v>217</v>
      </c>
      <c r="K49" t="s">
        <v>3</v>
      </c>
      <c r="L49" t="s">
        <v>3</v>
      </c>
      <c r="M49" s="81"/>
    </row>
    <row r="50" spans="1:13" ht="18.75" customHeight="1">
      <c r="B50" s="80"/>
      <c r="E50" s="67"/>
      <c r="F50" s="65"/>
      <c r="G50" s="66">
        <v>43330</v>
      </c>
      <c r="H50" s="66">
        <f t="shared" si="2"/>
        <v>43335</v>
      </c>
      <c r="I50" s="66">
        <f t="shared" si="3"/>
        <v>43343</v>
      </c>
      <c r="J50" t="s">
        <v>217</v>
      </c>
      <c r="K50" t="s">
        <v>4</v>
      </c>
      <c r="L50" t="s">
        <v>4</v>
      </c>
      <c r="M50" s="81"/>
    </row>
    <row r="51" spans="1:13" ht="18.75" customHeight="1">
      <c r="E51" s="67"/>
      <c r="F51" s="65"/>
      <c r="G51" s="66">
        <v>43330</v>
      </c>
      <c r="H51" s="66">
        <f t="shared" si="2"/>
        <v>43335</v>
      </c>
      <c r="I51" s="66">
        <f t="shared" si="3"/>
        <v>43343</v>
      </c>
      <c r="J51" t="s">
        <v>217</v>
      </c>
      <c r="K51" t="s">
        <v>4</v>
      </c>
      <c r="L51" t="s">
        <v>3</v>
      </c>
      <c r="M51" s="81"/>
    </row>
    <row r="52" spans="1:13" ht="18.75" customHeight="1">
      <c r="E52" s="67"/>
      <c r="F52" s="65"/>
      <c r="G52" s="66">
        <v>43331</v>
      </c>
      <c r="H52" s="66">
        <f t="shared" si="2"/>
        <v>43336</v>
      </c>
      <c r="I52" s="66">
        <f t="shared" si="3"/>
        <v>43344</v>
      </c>
      <c r="J52" t="s">
        <v>217</v>
      </c>
      <c r="K52" t="s">
        <v>4</v>
      </c>
      <c r="L52" t="s">
        <v>3</v>
      </c>
      <c r="M52" s="81"/>
    </row>
    <row r="53" spans="1:13" ht="18.75" customHeight="1">
      <c r="E53" s="67"/>
      <c r="F53" s="65" t="s">
        <v>575</v>
      </c>
      <c r="G53" s="66">
        <v>43331</v>
      </c>
      <c r="H53" s="66">
        <f t="shared" si="2"/>
        <v>43336</v>
      </c>
      <c r="I53" s="66">
        <f t="shared" si="3"/>
        <v>43344</v>
      </c>
      <c r="J53" t="s">
        <v>217</v>
      </c>
      <c r="K53" t="s">
        <v>4</v>
      </c>
      <c r="L53" t="s">
        <v>4</v>
      </c>
      <c r="M53" s="81"/>
    </row>
    <row r="54" spans="1:13" ht="18.75" customHeight="1">
      <c r="E54" s="67"/>
      <c r="F54" s="65" t="s">
        <v>575</v>
      </c>
      <c r="G54" s="66">
        <v>43331</v>
      </c>
      <c r="H54" s="66">
        <f t="shared" si="2"/>
        <v>43336</v>
      </c>
      <c r="I54" s="66">
        <f t="shared" si="3"/>
        <v>43344</v>
      </c>
      <c r="J54" t="s">
        <v>217</v>
      </c>
      <c r="K54" t="s">
        <v>4</v>
      </c>
      <c r="L54" t="s">
        <v>4</v>
      </c>
      <c r="M54" s="81"/>
    </row>
    <row r="55" spans="1:13" ht="18.75" customHeight="1">
      <c r="E55" s="67"/>
      <c r="F55" s="65" t="s">
        <v>575</v>
      </c>
      <c r="G55" s="66">
        <v>43334</v>
      </c>
      <c r="H55" s="66">
        <f t="shared" si="2"/>
        <v>43339</v>
      </c>
      <c r="I55" s="66">
        <f t="shared" si="3"/>
        <v>43347</v>
      </c>
      <c r="J55" t="s">
        <v>217</v>
      </c>
      <c r="K55" t="s">
        <v>4</v>
      </c>
      <c r="L55" t="s">
        <v>4</v>
      </c>
      <c r="M55" s="81"/>
    </row>
    <row r="56" spans="1:13" ht="18.75" customHeight="1">
      <c r="E56" s="67"/>
      <c r="F56" s="65"/>
      <c r="G56" s="66">
        <v>43334</v>
      </c>
      <c r="H56" s="66">
        <f t="shared" si="2"/>
        <v>43339</v>
      </c>
      <c r="I56" s="66">
        <f t="shared" si="3"/>
        <v>43347</v>
      </c>
      <c r="J56" t="s">
        <v>217</v>
      </c>
      <c r="K56" t="s">
        <v>4</v>
      </c>
      <c r="L56" t="s">
        <v>4</v>
      </c>
      <c r="M56" s="81"/>
    </row>
    <row r="57" spans="1:13" ht="18.75" customHeight="1">
      <c r="E57" s="67"/>
      <c r="F57" s="65"/>
      <c r="G57" s="66">
        <v>43336</v>
      </c>
      <c r="H57" s="66">
        <f t="shared" si="2"/>
        <v>43341</v>
      </c>
      <c r="I57" s="66">
        <f t="shared" si="3"/>
        <v>43349</v>
      </c>
      <c r="J57" t="s">
        <v>217</v>
      </c>
      <c r="K57" t="s">
        <v>4</v>
      </c>
      <c r="L57" t="s">
        <v>3</v>
      </c>
      <c r="M57" s="85"/>
    </row>
    <row r="58" spans="1:13" ht="18.75" customHeight="1">
      <c r="A58" s="65"/>
      <c r="B58" s="65"/>
      <c r="C58" s="65"/>
      <c r="D58" s="65"/>
      <c r="E58" s="67"/>
      <c r="F58" s="65"/>
      <c r="G58" s="66">
        <v>43335</v>
      </c>
      <c r="H58" s="66">
        <f t="shared" si="2"/>
        <v>43340</v>
      </c>
      <c r="I58" s="66">
        <f t="shared" si="3"/>
        <v>43348</v>
      </c>
      <c r="J58" t="s">
        <v>217</v>
      </c>
      <c r="K58" t="s">
        <v>3</v>
      </c>
      <c r="L58" t="s">
        <v>3</v>
      </c>
      <c r="M58" s="85"/>
    </row>
    <row r="59" spans="1:13" ht="18.75" customHeight="1">
      <c r="A59" s="65"/>
      <c r="B59" s="65"/>
      <c r="C59" s="65"/>
      <c r="D59" s="65"/>
      <c r="E59" s="67"/>
      <c r="F59" s="65"/>
      <c r="G59" s="66">
        <v>43335</v>
      </c>
      <c r="H59" s="66">
        <f t="shared" si="2"/>
        <v>43340</v>
      </c>
      <c r="I59" s="66">
        <f t="shared" si="3"/>
        <v>43348</v>
      </c>
      <c r="J59" t="s">
        <v>217</v>
      </c>
      <c r="K59" t="s">
        <v>4</v>
      </c>
      <c r="L59" t="s">
        <v>4</v>
      </c>
      <c r="M59" s="81"/>
    </row>
    <row r="60" spans="1:13" ht="18.75" customHeight="1">
      <c r="A60" s="65"/>
      <c r="B60" s="65"/>
      <c r="C60" s="65"/>
      <c r="D60" s="65"/>
      <c r="E60" s="67"/>
      <c r="F60" s="65"/>
      <c r="G60" s="66">
        <v>43335</v>
      </c>
      <c r="H60" s="66">
        <f t="shared" si="2"/>
        <v>43340</v>
      </c>
      <c r="I60" s="66">
        <f t="shared" si="3"/>
        <v>43348</v>
      </c>
      <c r="J60" t="s">
        <v>217</v>
      </c>
      <c r="K60" t="s">
        <v>4</v>
      </c>
      <c r="L60" t="s">
        <v>4</v>
      </c>
      <c r="M60" s="81"/>
    </row>
    <row r="61" spans="1:13" ht="18.75" customHeight="1">
      <c r="A61" s="65"/>
      <c r="B61" s="65"/>
      <c r="C61" s="65"/>
      <c r="D61" s="65"/>
      <c r="E61" s="67"/>
      <c r="F61" s="65"/>
      <c r="G61" s="66">
        <v>43335</v>
      </c>
      <c r="H61" s="66">
        <f t="shared" si="2"/>
        <v>43340</v>
      </c>
      <c r="I61" s="66">
        <f t="shared" si="3"/>
        <v>43348</v>
      </c>
      <c r="J61" t="s">
        <v>217</v>
      </c>
      <c r="K61" t="s">
        <v>4</v>
      </c>
      <c r="L61" t="s">
        <v>3</v>
      </c>
      <c r="M61" s="81"/>
    </row>
    <row r="62" spans="1:13" ht="18.75" customHeight="1">
      <c r="A62" s="65"/>
      <c r="B62" s="65"/>
      <c r="C62" s="65"/>
      <c r="D62" s="65"/>
      <c r="E62" s="67"/>
      <c r="F62" s="65" t="s">
        <v>574</v>
      </c>
      <c r="G62" s="66">
        <v>43336</v>
      </c>
      <c r="H62" s="66">
        <f t="shared" si="2"/>
        <v>43341</v>
      </c>
      <c r="I62" s="66">
        <f t="shared" si="3"/>
        <v>43349</v>
      </c>
      <c r="J62" t="s">
        <v>217</v>
      </c>
      <c r="K62" t="s">
        <v>4</v>
      </c>
      <c r="L62" t="s">
        <v>4</v>
      </c>
      <c r="M62" s="81"/>
    </row>
    <row r="63" spans="1:13" ht="18.75" customHeight="1">
      <c r="E63" s="67"/>
      <c r="F63" s="65"/>
      <c r="G63" s="66">
        <v>43336</v>
      </c>
      <c r="H63" s="66">
        <f t="shared" si="2"/>
        <v>43341</v>
      </c>
      <c r="I63" s="66">
        <f t="shared" si="3"/>
        <v>43349</v>
      </c>
      <c r="J63" t="s">
        <v>217</v>
      </c>
      <c r="K63" t="s">
        <v>3</v>
      </c>
      <c r="L63" t="s">
        <v>3</v>
      </c>
      <c r="M63" s="81"/>
    </row>
    <row r="64" spans="1:13" ht="18.75" customHeight="1">
      <c r="E64" s="67"/>
      <c r="F64" s="65"/>
      <c r="G64" s="66">
        <v>43336</v>
      </c>
      <c r="H64" s="66">
        <f t="shared" si="2"/>
        <v>43341</v>
      </c>
      <c r="I64" s="66">
        <f t="shared" si="3"/>
        <v>43349</v>
      </c>
      <c r="J64" t="s">
        <v>217</v>
      </c>
      <c r="K64" t="s">
        <v>4</v>
      </c>
      <c r="L64" t="s">
        <v>3</v>
      </c>
      <c r="M64" s="81"/>
    </row>
    <row r="65" spans="3:13" ht="18.75" customHeight="1">
      <c r="E65" s="67"/>
      <c r="F65" s="65"/>
      <c r="G65" s="66">
        <v>43335</v>
      </c>
      <c r="H65" s="66">
        <f t="shared" si="2"/>
        <v>43340</v>
      </c>
      <c r="I65" s="66">
        <f t="shared" si="3"/>
        <v>43348</v>
      </c>
      <c r="J65" t="s">
        <v>217</v>
      </c>
      <c r="K65" t="s">
        <v>3</v>
      </c>
      <c r="L65" t="s">
        <v>3</v>
      </c>
      <c r="M65" s="81"/>
    </row>
    <row r="66" spans="3:13" ht="18.75" customHeight="1">
      <c r="E66" s="67"/>
      <c r="F66" s="65"/>
      <c r="G66" s="66">
        <v>43337</v>
      </c>
      <c r="H66" s="66">
        <f t="shared" si="2"/>
        <v>43342</v>
      </c>
      <c r="I66" s="66">
        <f t="shared" si="3"/>
        <v>43350</v>
      </c>
      <c r="J66" t="s">
        <v>217</v>
      </c>
      <c r="K66" t="s">
        <v>3</v>
      </c>
      <c r="L66" t="s">
        <v>3</v>
      </c>
      <c r="M66" s="81"/>
    </row>
    <row r="67" spans="3:13" ht="18.75" customHeight="1">
      <c r="E67" s="67"/>
      <c r="F67" s="65" t="s">
        <v>575</v>
      </c>
      <c r="G67" s="66">
        <v>43337</v>
      </c>
      <c r="H67" s="66">
        <f t="shared" si="2"/>
        <v>43342</v>
      </c>
      <c r="I67" s="66">
        <f t="shared" si="3"/>
        <v>43350</v>
      </c>
      <c r="J67" t="s">
        <v>217</v>
      </c>
      <c r="K67" t="s">
        <v>3</v>
      </c>
      <c r="L67" t="s">
        <v>4</v>
      </c>
      <c r="M67" s="81"/>
    </row>
    <row r="68" spans="3:13" ht="18.75" customHeight="1">
      <c r="E68" s="67"/>
      <c r="F68" s="65"/>
      <c r="G68" s="66">
        <v>43337</v>
      </c>
      <c r="H68" s="66">
        <f t="shared" si="2"/>
        <v>43342</v>
      </c>
      <c r="I68" s="66">
        <f t="shared" si="3"/>
        <v>43350</v>
      </c>
      <c r="J68" t="s">
        <v>217</v>
      </c>
      <c r="K68" t="s">
        <v>3</v>
      </c>
      <c r="L68" t="s">
        <v>3</v>
      </c>
      <c r="M68" s="81"/>
    </row>
    <row r="69" spans="3:13" ht="18.75" customHeight="1">
      <c r="E69" s="67"/>
      <c r="F69" s="65"/>
      <c r="G69" s="66">
        <v>43337</v>
      </c>
      <c r="H69" s="66">
        <f t="shared" si="2"/>
        <v>43342</v>
      </c>
      <c r="I69" s="66">
        <f t="shared" si="3"/>
        <v>43350</v>
      </c>
      <c r="J69" t="s">
        <v>217</v>
      </c>
      <c r="K69" t="s">
        <v>4</v>
      </c>
      <c r="L69" t="s">
        <v>4</v>
      </c>
      <c r="M69" s="81"/>
    </row>
    <row r="70" spans="3:13" ht="18.75" customHeight="1">
      <c r="E70" s="67"/>
      <c r="F70" s="65" t="s">
        <v>574</v>
      </c>
      <c r="G70" s="66">
        <v>43338</v>
      </c>
      <c r="H70" s="66">
        <f t="shared" si="2"/>
        <v>43343</v>
      </c>
      <c r="I70" s="66">
        <f t="shared" si="3"/>
        <v>43351</v>
      </c>
      <c r="J70" t="s">
        <v>217</v>
      </c>
      <c r="K70" t="s">
        <v>4</v>
      </c>
      <c r="L70" t="s">
        <v>4</v>
      </c>
      <c r="M70" s="81"/>
    </row>
    <row r="71" spans="3:13" ht="18.75" customHeight="1">
      <c r="E71" s="67"/>
      <c r="F71" s="65" t="s">
        <v>575</v>
      </c>
      <c r="G71" s="66">
        <v>43338</v>
      </c>
      <c r="H71" s="66">
        <f t="shared" si="2"/>
        <v>43343</v>
      </c>
      <c r="I71" s="66">
        <f t="shared" si="3"/>
        <v>43351</v>
      </c>
      <c r="J71" t="s">
        <v>217</v>
      </c>
      <c r="K71" t="s">
        <v>4</v>
      </c>
      <c r="L71" t="s">
        <v>4</v>
      </c>
      <c r="M71" s="81"/>
    </row>
    <row r="72" spans="3:13" ht="18.75" customHeight="1">
      <c r="E72" s="67"/>
      <c r="F72" s="65" t="s">
        <v>574</v>
      </c>
      <c r="G72" s="66">
        <v>43342</v>
      </c>
      <c r="H72" s="66">
        <f t="shared" si="2"/>
        <v>43347</v>
      </c>
      <c r="I72" s="66">
        <f t="shared" si="3"/>
        <v>43355</v>
      </c>
      <c r="J72" t="s">
        <v>217</v>
      </c>
      <c r="K72" t="s">
        <v>4</v>
      </c>
      <c r="L72" t="s">
        <v>4</v>
      </c>
      <c r="M72" s="81"/>
    </row>
    <row r="73" spans="3:13" ht="18.75" customHeight="1">
      <c r="E73" s="67"/>
      <c r="F73" s="65" t="s">
        <v>626</v>
      </c>
      <c r="G73" s="66">
        <v>43342</v>
      </c>
      <c r="H73" s="66">
        <f t="shared" si="2"/>
        <v>43347</v>
      </c>
      <c r="I73" s="66">
        <f t="shared" si="3"/>
        <v>43355</v>
      </c>
      <c r="J73" t="s">
        <v>217</v>
      </c>
      <c r="K73" t="s">
        <v>4</v>
      </c>
      <c r="L73" t="s">
        <v>3</v>
      </c>
      <c r="M73" s="81"/>
    </row>
    <row r="74" spans="3:13" ht="18.75" customHeight="1">
      <c r="E74" s="67"/>
      <c r="F74" s="65"/>
      <c r="G74" s="66">
        <v>43342</v>
      </c>
      <c r="H74" s="66">
        <f t="shared" si="2"/>
        <v>43347</v>
      </c>
      <c r="I74" s="66">
        <f t="shared" si="3"/>
        <v>43355</v>
      </c>
      <c r="J74" t="s">
        <v>217</v>
      </c>
      <c r="K74" t="s">
        <v>4</v>
      </c>
      <c r="L74" t="s">
        <v>3</v>
      </c>
      <c r="M74" s="81"/>
    </row>
    <row r="75" spans="3:13" ht="18.75" customHeight="1">
      <c r="C75" s="69"/>
      <c r="D75" s="69"/>
      <c r="E75" s="67"/>
      <c r="F75" s="65"/>
      <c r="G75" s="66">
        <v>43343</v>
      </c>
      <c r="H75" s="66">
        <f t="shared" si="2"/>
        <v>43348</v>
      </c>
      <c r="I75" s="66">
        <f t="shared" si="3"/>
        <v>43356</v>
      </c>
      <c r="J75" t="s">
        <v>217</v>
      </c>
      <c r="K75" t="s">
        <v>3</v>
      </c>
      <c r="L75" t="s">
        <v>3</v>
      </c>
      <c r="M75" s="81"/>
    </row>
    <row r="76" spans="3:13" ht="18.75" customHeight="1">
      <c r="E76" s="67"/>
      <c r="F76" s="65"/>
      <c r="G76" s="66">
        <v>43343</v>
      </c>
      <c r="H76" s="66">
        <f t="shared" si="2"/>
        <v>43348</v>
      </c>
      <c r="I76" s="66">
        <f t="shared" si="3"/>
        <v>43356</v>
      </c>
      <c r="J76" t="s">
        <v>217</v>
      </c>
      <c r="K76" t="s">
        <v>3</v>
      </c>
      <c r="L76" t="s">
        <v>3</v>
      </c>
      <c r="M76" s="81"/>
    </row>
    <row r="77" spans="3:13" ht="18.75" customHeight="1">
      <c r="E77" s="67"/>
      <c r="F77" s="65"/>
      <c r="G77" s="66">
        <v>43343</v>
      </c>
      <c r="H77" s="66">
        <f t="shared" si="2"/>
        <v>43348</v>
      </c>
      <c r="I77" s="66">
        <f t="shared" si="3"/>
        <v>43356</v>
      </c>
      <c r="J77" t="s">
        <v>217</v>
      </c>
      <c r="K77" t="s">
        <v>4</v>
      </c>
      <c r="L77" t="s">
        <v>3</v>
      </c>
      <c r="M77" s="81"/>
    </row>
    <row r="78" spans="3:13" ht="18.75" customHeight="1">
      <c r="E78" s="67"/>
      <c r="F78" s="65" t="s">
        <v>574</v>
      </c>
      <c r="G78" s="66">
        <v>43344</v>
      </c>
      <c r="H78" s="66">
        <f t="shared" si="2"/>
        <v>43349</v>
      </c>
      <c r="I78" s="66">
        <f t="shared" si="3"/>
        <v>43357</v>
      </c>
      <c r="J78" t="s">
        <v>217</v>
      </c>
      <c r="K78" t="s">
        <v>4</v>
      </c>
      <c r="L78" t="s">
        <v>4</v>
      </c>
      <c r="M78" s="81"/>
    </row>
    <row r="79" spans="3:13" ht="18.75" customHeight="1">
      <c r="E79" s="67"/>
      <c r="F79" s="65"/>
      <c r="G79" s="66">
        <v>43344</v>
      </c>
      <c r="H79" s="66">
        <f t="shared" si="2"/>
        <v>43349</v>
      </c>
      <c r="I79" s="66">
        <f t="shared" si="3"/>
        <v>43357</v>
      </c>
      <c r="J79" t="s">
        <v>217</v>
      </c>
      <c r="K79" t="s">
        <v>4</v>
      </c>
      <c r="L79" t="s">
        <v>3</v>
      </c>
      <c r="M79" s="81"/>
    </row>
    <row r="80" spans="3:13" ht="18.75" customHeight="1">
      <c r="E80" s="67"/>
      <c r="F80" s="65"/>
      <c r="G80" s="66">
        <v>43344</v>
      </c>
      <c r="H80" s="66">
        <f t="shared" si="2"/>
        <v>43349</v>
      </c>
      <c r="I80" s="66">
        <f t="shared" si="3"/>
        <v>43357</v>
      </c>
      <c r="J80" t="s">
        <v>217</v>
      </c>
      <c r="K80" t="s">
        <v>4</v>
      </c>
      <c r="L80" t="s">
        <v>4</v>
      </c>
      <c r="M80" s="81"/>
    </row>
    <row r="81" spans="3:13" ht="18.75" customHeight="1">
      <c r="E81" s="67"/>
      <c r="F81" s="65" t="s">
        <v>575</v>
      </c>
      <c r="G81" s="66">
        <v>43344</v>
      </c>
      <c r="H81" s="66">
        <f t="shared" si="2"/>
        <v>43349</v>
      </c>
      <c r="I81" s="66">
        <f t="shared" si="3"/>
        <v>43357</v>
      </c>
      <c r="J81" t="s">
        <v>217</v>
      </c>
      <c r="K81" t="s">
        <v>4</v>
      </c>
      <c r="L81" t="s">
        <v>3</v>
      </c>
      <c r="M81" s="81"/>
    </row>
    <row r="82" spans="3:13" ht="18.75" customHeight="1">
      <c r="E82" s="67"/>
      <c r="F82" s="65"/>
      <c r="G82" s="66">
        <v>43344</v>
      </c>
      <c r="H82" s="66">
        <f t="shared" si="2"/>
        <v>43349</v>
      </c>
      <c r="I82" s="66">
        <f t="shared" si="3"/>
        <v>43357</v>
      </c>
      <c r="J82" t="s">
        <v>217</v>
      </c>
      <c r="K82" t="s">
        <v>3</v>
      </c>
      <c r="L82" t="s">
        <v>3</v>
      </c>
      <c r="M82" s="81"/>
    </row>
    <row r="83" spans="3:13" ht="18.75" customHeight="1">
      <c r="E83" s="67"/>
      <c r="F83" s="65"/>
      <c r="G83" s="66">
        <v>43345</v>
      </c>
      <c r="H83" s="66">
        <f t="shared" si="2"/>
        <v>43350</v>
      </c>
      <c r="I83" s="66">
        <f t="shared" si="3"/>
        <v>43358</v>
      </c>
      <c r="J83" t="s">
        <v>217</v>
      </c>
      <c r="K83" t="s">
        <v>4</v>
      </c>
      <c r="L83" t="s">
        <v>4</v>
      </c>
      <c r="M83" s="81"/>
    </row>
    <row r="84" spans="3:13" ht="18.75" customHeight="1">
      <c r="E84" s="67"/>
      <c r="F84" s="65"/>
      <c r="G84" s="66">
        <v>43345</v>
      </c>
      <c r="H84" s="66">
        <f t="shared" si="2"/>
        <v>43350</v>
      </c>
      <c r="I84" s="66">
        <f t="shared" si="3"/>
        <v>43358</v>
      </c>
      <c r="J84" t="s">
        <v>217</v>
      </c>
      <c r="K84" t="s">
        <v>4</v>
      </c>
      <c r="L84" t="s">
        <v>4</v>
      </c>
      <c r="M84" s="81"/>
    </row>
    <row r="85" spans="3:13" ht="18.75" customHeight="1">
      <c r="C85" s="65"/>
      <c r="D85" s="65"/>
      <c r="E85" s="67"/>
      <c r="F85" s="65" t="s">
        <v>575</v>
      </c>
      <c r="G85" s="66">
        <v>43348</v>
      </c>
      <c r="H85" s="66">
        <f t="shared" si="2"/>
        <v>43353</v>
      </c>
      <c r="I85" s="66">
        <f t="shared" si="3"/>
        <v>43361</v>
      </c>
      <c r="J85" t="s">
        <v>217</v>
      </c>
      <c r="K85" t="s">
        <v>4</v>
      </c>
      <c r="L85" t="s">
        <v>4</v>
      </c>
      <c r="M85" s="81"/>
    </row>
    <row r="86" spans="3:13" ht="18.75" customHeight="1">
      <c r="C86" s="65"/>
      <c r="D86" s="65"/>
      <c r="E86" s="67"/>
      <c r="F86" s="65"/>
      <c r="G86" s="66">
        <v>43348</v>
      </c>
      <c r="H86" s="66">
        <f t="shared" si="2"/>
        <v>43353</v>
      </c>
      <c r="I86" s="66">
        <f t="shared" si="3"/>
        <v>43361</v>
      </c>
      <c r="J86" t="s">
        <v>217</v>
      </c>
      <c r="K86" t="s">
        <v>4</v>
      </c>
      <c r="L86" t="s">
        <v>4</v>
      </c>
      <c r="M86" s="81"/>
    </row>
    <row r="87" spans="3:13" ht="18.75" customHeight="1">
      <c r="C87" s="65"/>
      <c r="D87" s="65"/>
      <c r="E87" s="67"/>
      <c r="F87" s="65"/>
      <c r="G87" s="66">
        <v>43349</v>
      </c>
      <c r="H87" s="66">
        <f t="shared" si="2"/>
        <v>43354</v>
      </c>
      <c r="I87" s="66">
        <f t="shared" si="3"/>
        <v>43362</v>
      </c>
      <c r="J87" t="s">
        <v>217</v>
      </c>
      <c r="K87" t="s">
        <v>3</v>
      </c>
      <c r="L87" t="s">
        <v>3</v>
      </c>
      <c r="M87" s="81"/>
    </row>
    <row r="88" spans="3:13" ht="18.75" customHeight="1">
      <c r="C88" s="65"/>
      <c r="D88" s="65"/>
      <c r="E88" s="67"/>
      <c r="F88" s="65"/>
      <c r="G88" s="66">
        <v>43349</v>
      </c>
      <c r="H88" s="66">
        <f t="shared" si="2"/>
        <v>43354</v>
      </c>
      <c r="I88" s="66">
        <f t="shared" si="3"/>
        <v>43362</v>
      </c>
      <c r="J88" t="s">
        <v>217</v>
      </c>
      <c r="K88" t="s">
        <v>3</v>
      </c>
      <c r="L88" t="s">
        <v>3</v>
      </c>
      <c r="M88" s="81"/>
    </row>
    <row r="89" spans="3:13" ht="18.75" customHeight="1">
      <c r="C89" s="65"/>
      <c r="D89" s="65"/>
      <c r="E89" s="67"/>
      <c r="F89" s="65"/>
      <c r="G89" s="66">
        <v>43349</v>
      </c>
      <c r="H89" s="66">
        <f t="shared" ref="H89:H101" si="6">IF( G89&lt;&gt;"", G89+5,"")</f>
        <v>43354</v>
      </c>
      <c r="I89" s="66">
        <f t="shared" ref="I89:I101" si="7">IF( G89&lt;&gt;"", G89+13,"")</f>
        <v>43362</v>
      </c>
      <c r="J89" t="s">
        <v>218</v>
      </c>
      <c r="K89" t="s">
        <v>4</v>
      </c>
      <c r="L89" t="s">
        <v>4</v>
      </c>
      <c r="M89" s="81"/>
    </row>
    <row r="90" spans="3:13" ht="18.75" customHeight="1">
      <c r="C90" s="65"/>
      <c r="D90" s="65"/>
      <c r="E90" s="67"/>
      <c r="F90" s="65"/>
      <c r="G90" s="66">
        <v>43350</v>
      </c>
      <c r="H90" s="66">
        <f t="shared" si="6"/>
        <v>43355</v>
      </c>
      <c r="I90" s="66">
        <f t="shared" si="7"/>
        <v>43363</v>
      </c>
      <c r="J90" t="s">
        <v>217</v>
      </c>
      <c r="K90" t="s">
        <v>3</v>
      </c>
      <c r="L90" t="s">
        <v>3</v>
      </c>
      <c r="M90" s="81"/>
    </row>
    <row r="91" spans="3:13" ht="18.75" customHeight="1">
      <c r="C91" s="65"/>
      <c r="D91" s="65"/>
      <c r="E91" s="67"/>
      <c r="F91" s="65" t="s">
        <v>575</v>
      </c>
      <c r="G91" s="66">
        <v>43350</v>
      </c>
      <c r="H91" s="66">
        <f t="shared" si="6"/>
        <v>43355</v>
      </c>
      <c r="I91" s="66">
        <f t="shared" si="7"/>
        <v>43363</v>
      </c>
      <c r="J91" t="s">
        <v>217</v>
      </c>
      <c r="K91" t="s">
        <v>3</v>
      </c>
      <c r="L91" t="s">
        <v>3</v>
      </c>
      <c r="M91" s="81"/>
    </row>
    <row r="92" spans="3:13" ht="18.75" customHeight="1">
      <c r="C92" s="65"/>
      <c r="D92" s="65"/>
      <c r="E92" s="98"/>
      <c r="F92" s="65"/>
      <c r="G92" s="66">
        <v>43351</v>
      </c>
      <c r="H92" s="66">
        <f t="shared" si="6"/>
        <v>43356</v>
      </c>
      <c r="I92" s="66">
        <f t="shared" si="7"/>
        <v>43364</v>
      </c>
      <c r="J92" t="s">
        <v>217</v>
      </c>
      <c r="K92" t="s">
        <v>4</v>
      </c>
      <c r="L92" t="s">
        <v>3</v>
      </c>
      <c r="M92" s="81"/>
    </row>
    <row r="93" spans="3:13" ht="18.75" customHeight="1">
      <c r="C93" s="65"/>
      <c r="D93" s="65"/>
      <c r="E93" s="67"/>
      <c r="F93" s="65"/>
      <c r="G93" s="66">
        <v>43351</v>
      </c>
      <c r="H93" s="66">
        <f t="shared" si="6"/>
        <v>43356</v>
      </c>
      <c r="I93" s="66">
        <f t="shared" si="7"/>
        <v>43364</v>
      </c>
      <c r="J93" t="s">
        <v>217</v>
      </c>
      <c r="K93" t="s">
        <v>3</v>
      </c>
      <c r="L93" t="s">
        <v>3</v>
      </c>
      <c r="M93" s="81"/>
    </row>
    <row r="94" spans="3:13" ht="18.75" customHeight="1">
      <c r="C94" s="65"/>
      <c r="D94" s="65"/>
      <c r="E94" s="67"/>
      <c r="F94" s="65"/>
      <c r="G94" s="66">
        <v>43351</v>
      </c>
      <c r="H94" s="66">
        <f t="shared" si="6"/>
        <v>43356</v>
      </c>
      <c r="I94" s="66">
        <f t="shared" si="7"/>
        <v>43364</v>
      </c>
      <c r="J94" t="s">
        <v>217</v>
      </c>
      <c r="K94" t="s">
        <v>3</v>
      </c>
      <c r="L94" t="s">
        <v>3</v>
      </c>
      <c r="M94" s="81"/>
    </row>
    <row r="95" spans="3:13" ht="18.75" customHeight="1">
      <c r="C95" s="65"/>
      <c r="D95" s="65"/>
      <c r="E95" s="67"/>
      <c r="F95" s="65"/>
      <c r="G95" s="66">
        <v>43351</v>
      </c>
      <c r="H95" s="66">
        <f t="shared" si="6"/>
        <v>43356</v>
      </c>
      <c r="I95" s="66">
        <f t="shared" si="7"/>
        <v>43364</v>
      </c>
      <c r="J95" t="s">
        <v>217</v>
      </c>
      <c r="K95" t="s">
        <v>4</v>
      </c>
      <c r="L95" t="s">
        <v>4</v>
      </c>
      <c r="M95" s="81"/>
    </row>
    <row r="96" spans="3:13" ht="18.75" customHeight="1">
      <c r="C96" s="65"/>
      <c r="D96" s="65"/>
      <c r="E96" s="99"/>
      <c r="F96" s="65"/>
      <c r="G96" s="66">
        <v>43352</v>
      </c>
      <c r="H96" s="66">
        <f t="shared" si="6"/>
        <v>43357</v>
      </c>
      <c r="I96" s="66">
        <f t="shared" si="7"/>
        <v>43365</v>
      </c>
      <c r="J96" t="s">
        <v>217</v>
      </c>
      <c r="K96" t="s">
        <v>4</v>
      </c>
      <c r="L96" t="s">
        <v>4</v>
      </c>
      <c r="M96" s="81"/>
    </row>
    <row r="97" spans="1:13" ht="18.75" customHeight="1">
      <c r="C97" s="65"/>
      <c r="D97" s="65"/>
      <c r="E97" s="67"/>
      <c r="F97" s="65"/>
      <c r="G97" s="66">
        <v>43352</v>
      </c>
      <c r="H97" s="66">
        <f t="shared" si="6"/>
        <v>43357</v>
      </c>
      <c r="I97" s="66">
        <f t="shared" si="7"/>
        <v>43365</v>
      </c>
      <c r="J97" t="s">
        <v>217</v>
      </c>
      <c r="K97" t="s">
        <v>4</v>
      </c>
      <c r="L97" t="s">
        <v>3</v>
      </c>
      <c r="M97" s="81"/>
    </row>
    <row r="98" spans="1:13" ht="18.75" customHeight="1">
      <c r="A98" s="65"/>
      <c r="B98" s="65"/>
      <c r="C98" s="65"/>
      <c r="D98" s="65"/>
      <c r="E98" s="67"/>
      <c r="F98" s="65" t="s">
        <v>512</v>
      </c>
      <c r="G98" s="66">
        <v>43355</v>
      </c>
      <c r="H98" s="66">
        <f t="shared" si="6"/>
        <v>43360</v>
      </c>
      <c r="I98" s="66">
        <f t="shared" si="7"/>
        <v>43368</v>
      </c>
      <c r="J98" t="s">
        <v>217</v>
      </c>
      <c r="K98" t="s">
        <v>4</v>
      </c>
      <c r="L98" t="s">
        <v>4</v>
      </c>
      <c r="M98" s="81"/>
    </row>
    <row r="99" spans="1:13" ht="18.75" customHeight="1">
      <c r="A99" s="65"/>
      <c r="B99" s="65"/>
      <c r="C99" s="65"/>
      <c r="D99" s="65"/>
      <c r="E99" s="67"/>
      <c r="F99" s="65"/>
      <c r="G99" s="66">
        <v>43355</v>
      </c>
      <c r="H99" s="66">
        <f t="shared" si="6"/>
        <v>43360</v>
      </c>
      <c r="I99" s="66">
        <f t="shared" si="7"/>
        <v>43368</v>
      </c>
      <c r="J99" t="s">
        <v>217</v>
      </c>
      <c r="K99" t="s">
        <v>3</v>
      </c>
      <c r="L99" t="s">
        <v>3</v>
      </c>
      <c r="M99" s="81"/>
    </row>
    <row r="100" spans="1:13" ht="18.75" customHeight="1">
      <c r="A100" s="65"/>
      <c r="B100" s="65"/>
      <c r="C100" s="65"/>
      <c r="D100" s="65"/>
      <c r="E100" s="98"/>
      <c r="F100" s="65"/>
      <c r="G100" s="66">
        <v>43355</v>
      </c>
      <c r="H100" s="66">
        <f t="shared" si="6"/>
        <v>43360</v>
      </c>
      <c r="I100" s="66">
        <f t="shared" si="7"/>
        <v>43368</v>
      </c>
      <c r="J100" t="s">
        <v>217</v>
      </c>
      <c r="K100" t="s">
        <v>3</v>
      </c>
      <c r="L100" t="s">
        <v>3</v>
      </c>
      <c r="M100" s="81"/>
    </row>
    <row r="101" spans="1:13" ht="18.75" customHeight="1">
      <c r="A101" s="65"/>
      <c r="B101" s="65"/>
      <c r="C101" s="65"/>
      <c r="D101" s="65"/>
      <c r="E101" s="67"/>
      <c r="F101" s="65"/>
      <c r="G101" s="66">
        <v>43355</v>
      </c>
      <c r="H101" s="66">
        <f t="shared" si="6"/>
        <v>43360</v>
      </c>
      <c r="I101" s="66">
        <f t="shared" si="7"/>
        <v>43368</v>
      </c>
      <c r="J101" t="s">
        <v>217</v>
      </c>
      <c r="K101" t="s">
        <v>3</v>
      </c>
      <c r="L101" t="s">
        <v>3</v>
      </c>
      <c r="M101" s="81"/>
    </row>
    <row r="102" spans="1:13" ht="18.75" customHeight="1">
      <c r="A102" s="65"/>
      <c r="B102" s="65"/>
      <c r="C102" s="65"/>
      <c r="D102" s="65"/>
      <c r="E102" s="67"/>
      <c r="F102" s="65"/>
      <c r="G102" s="66">
        <v>43355</v>
      </c>
      <c r="H102" s="66">
        <f t="shared" ref="H102:H165" si="8">IF( G102&lt;&gt;"", G102+5,"")</f>
        <v>43360</v>
      </c>
      <c r="I102" s="66">
        <f t="shared" ref="I102:I165" si="9">IF( G102&lt;&gt;"", G102+13,"")</f>
        <v>43368</v>
      </c>
      <c r="J102" t="s">
        <v>217</v>
      </c>
      <c r="K102" t="s">
        <v>4</v>
      </c>
      <c r="L102" t="s">
        <v>4</v>
      </c>
      <c r="M102" s="81"/>
    </row>
    <row r="103" spans="1:13" ht="18.75" customHeight="1">
      <c r="A103" s="65"/>
      <c r="B103" s="65"/>
      <c r="C103" s="65"/>
      <c r="D103" s="65"/>
      <c r="E103" s="67"/>
      <c r="F103" s="65"/>
      <c r="G103" s="66">
        <v>43356</v>
      </c>
      <c r="H103" s="66">
        <f t="shared" si="8"/>
        <v>43361</v>
      </c>
      <c r="I103" s="66">
        <f t="shared" si="9"/>
        <v>43369</v>
      </c>
      <c r="J103" t="s">
        <v>217</v>
      </c>
      <c r="K103" t="s">
        <v>3</v>
      </c>
      <c r="L103" t="s">
        <v>3</v>
      </c>
      <c r="M103" s="81"/>
    </row>
    <row r="104" spans="1:13" ht="18.75" customHeight="1">
      <c r="A104" s="65"/>
      <c r="B104" s="65"/>
      <c r="C104" s="65"/>
      <c r="D104" s="65"/>
      <c r="E104" s="67"/>
      <c r="F104" s="65"/>
      <c r="G104" s="66">
        <v>43356</v>
      </c>
      <c r="H104" s="66">
        <f t="shared" si="8"/>
        <v>43361</v>
      </c>
      <c r="I104" s="66">
        <f t="shared" si="9"/>
        <v>43369</v>
      </c>
      <c r="J104" t="s">
        <v>217</v>
      </c>
      <c r="K104" t="s">
        <v>3</v>
      </c>
      <c r="L104" t="s">
        <v>3</v>
      </c>
      <c r="M104" s="81"/>
    </row>
    <row r="105" spans="1:13" ht="18.75" customHeight="1">
      <c r="A105" s="65"/>
      <c r="B105" s="65"/>
      <c r="C105" s="65"/>
      <c r="D105" s="65"/>
      <c r="E105" s="67"/>
      <c r="F105" s="65"/>
      <c r="G105" s="66">
        <v>43357</v>
      </c>
      <c r="H105" s="66">
        <f t="shared" si="8"/>
        <v>43362</v>
      </c>
      <c r="I105" s="66">
        <f t="shared" si="9"/>
        <v>43370</v>
      </c>
      <c r="J105" t="s">
        <v>217</v>
      </c>
      <c r="K105" t="s">
        <v>3</v>
      </c>
      <c r="L105" t="s">
        <v>3</v>
      </c>
      <c r="M105" t="s">
        <v>3</v>
      </c>
    </row>
    <row r="106" spans="1:13" ht="18.75" customHeight="1">
      <c r="A106" s="65"/>
      <c r="B106" s="65"/>
      <c r="C106" s="65"/>
      <c r="D106" s="65"/>
      <c r="E106" s="67"/>
      <c r="F106" s="65" t="s">
        <v>575</v>
      </c>
      <c r="G106" s="66">
        <v>43357</v>
      </c>
      <c r="H106" s="66">
        <f t="shared" si="8"/>
        <v>43362</v>
      </c>
      <c r="I106" s="66">
        <f t="shared" si="9"/>
        <v>43370</v>
      </c>
      <c r="J106" t="s">
        <v>217</v>
      </c>
      <c r="K106" t="s">
        <v>3</v>
      </c>
      <c r="L106" t="s">
        <v>3</v>
      </c>
      <c r="M106" t="s">
        <v>4</v>
      </c>
    </row>
    <row r="107" spans="1:13" ht="18.75" customHeight="1">
      <c r="E107" s="67"/>
      <c r="F107" s="65"/>
      <c r="G107" s="66">
        <v>43358</v>
      </c>
      <c r="H107" s="66">
        <f t="shared" si="8"/>
        <v>43363</v>
      </c>
      <c r="I107" s="66">
        <f t="shared" si="9"/>
        <v>43371</v>
      </c>
      <c r="J107" t="s">
        <v>217</v>
      </c>
      <c r="K107" t="s">
        <v>3</v>
      </c>
      <c r="L107" t="s">
        <v>3</v>
      </c>
      <c r="M107" t="s">
        <v>3</v>
      </c>
    </row>
    <row r="108" spans="1:13" ht="18.75" customHeight="1">
      <c r="E108" s="67"/>
      <c r="F108" s="65"/>
      <c r="G108" s="66">
        <v>43358</v>
      </c>
      <c r="H108" s="66">
        <f t="shared" si="8"/>
        <v>43363</v>
      </c>
      <c r="I108" s="66">
        <f t="shared" si="9"/>
        <v>43371</v>
      </c>
      <c r="J108" t="s">
        <v>217</v>
      </c>
      <c r="K108" t="s">
        <v>3</v>
      </c>
      <c r="L108" t="s">
        <v>3</v>
      </c>
      <c r="M108" t="s">
        <v>3</v>
      </c>
    </row>
    <row r="109" spans="1:13" ht="18.75" customHeight="1">
      <c r="E109" s="67"/>
      <c r="F109" s="65"/>
      <c r="G109" s="66">
        <v>43358</v>
      </c>
      <c r="H109" s="66">
        <f t="shared" si="8"/>
        <v>43363</v>
      </c>
      <c r="I109" s="66">
        <f t="shared" si="9"/>
        <v>43371</v>
      </c>
      <c r="J109" t="s">
        <v>217</v>
      </c>
      <c r="K109" t="s">
        <v>3</v>
      </c>
      <c r="L109" t="s">
        <v>4</v>
      </c>
      <c r="M109" t="s">
        <v>4</v>
      </c>
    </row>
    <row r="110" spans="1:13" ht="18.75" customHeight="1">
      <c r="E110" s="67"/>
      <c r="F110" s="65" t="s">
        <v>572</v>
      </c>
      <c r="G110" s="66">
        <v>43370</v>
      </c>
      <c r="H110" s="66">
        <f t="shared" si="8"/>
        <v>43375</v>
      </c>
      <c r="I110" s="66">
        <f t="shared" si="9"/>
        <v>43383</v>
      </c>
      <c r="J110" t="s">
        <v>217</v>
      </c>
      <c r="K110" t="s">
        <v>4</v>
      </c>
      <c r="L110" t="s">
        <v>3</v>
      </c>
      <c r="M110" t="s">
        <v>4</v>
      </c>
    </row>
    <row r="111" spans="1:13" ht="18.75" customHeight="1">
      <c r="A111" s="65"/>
      <c r="B111" s="65"/>
      <c r="C111" s="65"/>
      <c r="D111" s="65"/>
      <c r="E111" s="67"/>
      <c r="F111" s="65" t="s">
        <v>575</v>
      </c>
      <c r="G111" s="66">
        <v>43368</v>
      </c>
      <c r="H111" s="66">
        <f t="shared" si="8"/>
        <v>43373</v>
      </c>
      <c r="I111" s="66">
        <f t="shared" si="9"/>
        <v>43381</v>
      </c>
      <c r="J111" t="s">
        <v>217</v>
      </c>
      <c r="K111" t="s">
        <v>4</v>
      </c>
      <c r="L111" t="s">
        <v>3</v>
      </c>
      <c r="M111" t="s">
        <v>3</v>
      </c>
    </row>
    <row r="112" spans="1:13" ht="18.75" customHeight="1">
      <c r="A112" s="65"/>
      <c r="B112" s="65"/>
      <c r="C112" s="65"/>
      <c r="D112" s="65"/>
      <c r="E112" s="67"/>
      <c r="F112" s="65"/>
      <c r="G112" s="66">
        <v>43359</v>
      </c>
      <c r="H112" s="66">
        <f t="shared" si="8"/>
        <v>43364</v>
      </c>
      <c r="I112" s="66">
        <f t="shared" si="9"/>
        <v>43372</v>
      </c>
      <c r="J112" t="s">
        <v>217</v>
      </c>
      <c r="K112" t="s">
        <v>4</v>
      </c>
      <c r="L112" t="s">
        <v>3</v>
      </c>
      <c r="M112" t="s">
        <v>3</v>
      </c>
    </row>
    <row r="113" spans="1:13" ht="18.75" customHeight="1">
      <c r="A113" s="65"/>
      <c r="B113" s="65"/>
      <c r="C113" s="65"/>
      <c r="D113" s="65"/>
      <c r="E113" s="67"/>
      <c r="F113" s="65"/>
      <c r="G113" s="66">
        <v>43362</v>
      </c>
      <c r="H113" s="66">
        <f t="shared" si="8"/>
        <v>43367</v>
      </c>
      <c r="I113" s="66">
        <f t="shared" si="9"/>
        <v>43375</v>
      </c>
      <c r="J113" t="s">
        <v>217</v>
      </c>
      <c r="K113" t="s">
        <v>3</v>
      </c>
      <c r="L113" t="s">
        <v>3</v>
      </c>
      <c r="M113" t="s">
        <v>3</v>
      </c>
    </row>
    <row r="114" spans="1:13" ht="18.75" customHeight="1">
      <c r="A114" s="65"/>
      <c r="B114" s="65"/>
      <c r="C114" s="65"/>
      <c r="D114" s="65"/>
      <c r="E114" s="67"/>
      <c r="F114" s="65"/>
      <c r="G114" s="66">
        <v>43362</v>
      </c>
      <c r="H114" s="66">
        <f t="shared" si="8"/>
        <v>43367</v>
      </c>
      <c r="I114" s="66">
        <f t="shared" si="9"/>
        <v>43375</v>
      </c>
      <c r="J114" t="s">
        <v>217</v>
      </c>
      <c r="K114" t="s">
        <v>4</v>
      </c>
      <c r="L114" t="s">
        <v>3</v>
      </c>
      <c r="M114" t="s">
        <v>3</v>
      </c>
    </row>
    <row r="115" spans="1:13" ht="18.75" customHeight="1">
      <c r="A115" s="65"/>
      <c r="B115" s="65"/>
      <c r="C115" s="65"/>
      <c r="D115" s="65"/>
      <c r="E115" s="67"/>
      <c r="F115" s="65"/>
      <c r="G115" s="66">
        <v>43363</v>
      </c>
      <c r="H115" s="66">
        <f t="shared" si="8"/>
        <v>43368</v>
      </c>
      <c r="I115" s="66">
        <f t="shared" si="9"/>
        <v>43376</v>
      </c>
      <c r="J115" t="s">
        <v>217</v>
      </c>
      <c r="K115" t="s">
        <v>3</v>
      </c>
      <c r="L115" t="s">
        <v>3</v>
      </c>
      <c r="M115" t="s">
        <v>3</v>
      </c>
    </row>
    <row r="116" spans="1:13" ht="18.75" customHeight="1">
      <c r="A116" s="65"/>
      <c r="B116" s="65"/>
      <c r="C116" s="65"/>
      <c r="D116" s="65"/>
      <c r="E116" s="67"/>
      <c r="F116" s="65"/>
      <c r="G116" s="66">
        <v>43363</v>
      </c>
      <c r="H116" s="66">
        <f t="shared" si="8"/>
        <v>43368</v>
      </c>
      <c r="I116" s="66">
        <f t="shared" si="9"/>
        <v>43376</v>
      </c>
      <c r="J116" t="s">
        <v>217</v>
      </c>
      <c r="K116" t="s">
        <v>3</v>
      </c>
      <c r="L116" t="s">
        <v>3</v>
      </c>
      <c r="M116" t="s">
        <v>3</v>
      </c>
    </row>
    <row r="117" spans="1:13" ht="18.75" customHeight="1">
      <c r="A117" s="65"/>
      <c r="B117" s="65"/>
      <c r="C117" s="65"/>
      <c r="D117" s="65"/>
      <c r="E117" s="67"/>
      <c r="F117" s="65" t="s">
        <v>625</v>
      </c>
      <c r="G117" s="66">
        <v>43364</v>
      </c>
      <c r="H117" s="66">
        <f t="shared" si="8"/>
        <v>43369</v>
      </c>
      <c r="I117" s="66">
        <f t="shared" si="9"/>
        <v>43377</v>
      </c>
      <c r="J117" t="s">
        <v>217</v>
      </c>
      <c r="K117" t="s">
        <v>3</v>
      </c>
      <c r="L117" t="s">
        <v>3</v>
      </c>
      <c r="M117" t="s">
        <v>3</v>
      </c>
    </row>
    <row r="118" spans="1:13" ht="18.75" customHeight="1">
      <c r="A118" s="65"/>
      <c r="B118" s="65"/>
      <c r="C118" s="65"/>
      <c r="D118" s="65"/>
      <c r="E118" s="67"/>
      <c r="F118" s="65" t="s">
        <v>573</v>
      </c>
      <c r="G118" s="66">
        <v>43364</v>
      </c>
      <c r="H118" s="66">
        <f t="shared" si="8"/>
        <v>43369</v>
      </c>
      <c r="I118" s="66">
        <f t="shared" si="9"/>
        <v>43377</v>
      </c>
      <c r="J118" t="s">
        <v>217</v>
      </c>
      <c r="K118" t="s">
        <v>4</v>
      </c>
      <c r="L118" t="s">
        <v>3</v>
      </c>
      <c r="M118" t="s">
        <v>4</v>
      </c>
    </row>
    <row r="119" spans="1:13" ht="18.75" customHeight="1">
      <c r="A119" s="65"/>
      <c r="B119" s="65"/>
      <c r="C119" s="65"/>
      <c r="D119" s="65"/>
      <c r="E119" s="67"/>
      <c r="F119" s="65" t="s">
        <v>575</v>
      </c>
      <c r="G119" s="66">
        <v>43365</v>
      </c>
      <c r="H119" s="66">
        <f t="shared" si="8"/>
        <v>43370</v>
      </c>
      <c r="I119" s="66">
        <f t="shared" si="9"/>
        <v>43378</v>
      </c>
      <c r="J119" t="s">
        <v>217</v>
      </c>
      <c r="K119" t="s">
        <v>4</v>
      </c>
      <c r="L119" t="s">
        <v>4</v>
      </c>
      <c r="M119" t="s">
        <v>3</v>
      </c>
    </row>
    <row r="120" spans="1:13" ht="18.75" customHeight="1">
      <c r="A120" s="65"/>
      <c r="B120" s="65"/>
      <c r="C120" s="65"/>
      <c r="D120" s="65"/>
      <c r="E120" s="67"/>
      <c r="F120" s="65"/>
      <c r="G120" s="66">
        <v>43369</v>
      </c>
      <c r="H120" s="66">
        <f t="shared" si="8"/>
        <v>43374</v>
      </c>
      <c r="I120" s="66">
        <f t="shared" si="9"/>
        <v>43382</v>
      </c>
      <c r="J120" t="s">
        <v>217</v>
      </c>
      <c r="K120" t="s">
        <v>3</v>
      </c>
      <c r="L120" t="s">
        <v>3</v>
      </c>
      <c r="M120" t="s">
        <v>3</v>
      </c>
    </row>
    <row r="121" spans="1:13" ht="18.75" customHeight="1">
      <c r="A121" s="65"/>
      <c r="B121" s="65"/>
      <c r="C121" s="65"/>
      <c r="D121" s="65"/>
      <c r="E121" s="67"/>
      <c r="F121" s="65"/>
      <c r="G121" s="66">
        <v>43369</v>
      </c>
      <c r="H121" s="66">
        <f t="shared" si="8"/>
        <v>43374</v>
      </c>
      <c r="I121" s="66">
        <f t="shared" si="9"/>
        <v>43382</v>
      </c>
      <c r="J121" t="s">
        <v>217</v>
      </c>
      <c r="K121" t="s">
        <v>3</v>
      </c>
      <c r="L121" t="s">
        <v>3</v>
      </c>
      <c r="M121" t="s">
        <v>3</v>
      </c>
    </row>
    <row r="122" spans="1:13" ht="18.75" customHeight="1">
      <c r="A122" s="65"/>
      <c r="B122" s="65"/>
      <c r="C122" s="65"/>
      <c r="D122" s="65"/>
      <c r="E122" s="67"/>
      <c r="F122" s="65" t="s">
        <v>565</v>
      </c>
      <c r="G122" s="66">
        <v>43369</v>
      </c>
      <c r="H122" s="66">
        <f t="shared" si="8"/>
        <v>43374</v>
      </c>
      <c r="I122" s="66">
        <f t="shared" si="9"/>
        <v>43382</v>
      </c>
      <c r="J122" t="s">
        <v>217</v>
      </c>
      <c r="K122" t="s">
        <v>3</v>
      </c>
      <c r="L122" t="s">
        <v>3</v>
      </c>
      <c r="M122" t="s">
        <v>4</v>
      </c>
    </row>
    <row r="123" spans="1:13" ht="18.75" customHeight="1">
      <c r="A123" s="65"/>
      <c r="B123" s="65"/>
      <c r="C123" s="65"/>
      <c r="D123" s="65"/>
      <c r="E123" s="67"/>
      <c r="F123" s="65"/>
      <c r="G123" s="66">
        <v>43370</v>
      </c>
      <c r="H123" s="66">
        <f t="shared" si="8"/>
        <v>43375</v>
      </c>
      <c r="I123" s="66">
        <f t="shared" si="9"/>
        <v>43383</v>
      </c>
      <c r="J123" t="s">
        <v>217</v>
      </c>
      <c r="K123" t="s">
        <v>4</v>
      </c>
      <c r="L123" t="s">
        <v>4</v>
      </c>
      <c r="M123" t="s">
        <v>4</v>
      </c>
    </row>
    <row r="124" spans="1:13" ht="18.75" customHeight="1">
      <c r="A124" s="65"/>
      <c r="B124" s="65"/>
      <c r="C124" s="65"/>
      <c r="D124" s="65"/>
      <c r="E124" s="67"/>
      <c r="F124" s="65"/>
      <c r="G124" s="66">
        <v>43371</v>
      </c>
      <c r="H124" s="66">
        <f t="shared" ref="H124" si="10">IF( G124&lt;&gt;"", G124+5,"")</f>
        <v>43376</v>
      </c>
      <c r="I124" s="66">
        <f t="shared" ref="I124" si="11">IF( G124&lt;&gt;"", G124+13,"")</f>
        <v>43384</v>
      </c>
      <c r="J124" t="s">
        <v>217</v>
      </c>
      <c r="K124" t="s">
        <v>3</v>
      </c>
      <c r="L124" t="s">
        <v>3</v>
      </c>
      <c r="M124" t="s">
        <v>3</v>
      </c>
    </row>
    <row r="125" spans="1:13" ht="18.75" customHeight="1">
      <c r="A125" s="65"/>
      <c r="B125" s="65"/>
      <c r="C125" s="65"/>
      <c r="D125" s="65"/>
      <c r="E125" s="67"/>
      <c r="F125" s="65"/>
      <c r="G125" s="66">
        <v>43371</v>
      </c>
      <c r="H125" s="66">
        <f t="shared" si="8"/>
        <v>43376</v>
      </c>
      <c r="I125" s="66">
        <f t="shared" si="9"/>
        <v>43384</v>
      </c>
      <c r="J125" t="s">
        <v>217</v>
      </c>
      <c r="K125" t="s">
        <v>4</v>
      </c>
      <c r="L125" t="s">
        <v>3</v>
      </c>
      <c r="M125" t="s">
        <v>4</v>
      </c>
    </row>
    <row r="126" spans="1:13" ht="18.75" customHeight="1">
      <c r="A126" s="65"/>
      <c r="B126" s="65"/>
      <c r="C126" s="65"/>
      <c r="D126" s="65"/>
      <c r="E126" s="67"/>
      <c r="F126" s="65"/>
      <c r="G126" s="66">
        <v>43371</v>
      </c>
      <c r="H126" s="66">
        <f t="shared" si="8"/>
        <v>43376</v>
      </c>
      <c r="I126" s="66">
        <f t="shared" si="9"/>
        <v>43384</v>
      </c>
      <c r="J126" t="s">
        <v>217</v>
      </c>
      <c r="K126" t="s">
        <v>4</v>
      </c>
      <c r="L126" t="s">
        <v>3</v>
      </c>
      <c r="M126" t="s">
        <v>3</v>
      </c>
    </row>
    <row r="127" spans="1:13" ht="18.75" customHeight="1">
      <c r="A127" s="65"/>
      <c r="B127" s="65"/>
      <c r="C127" s="65"/>
      <c r="D127" s="65"/>
      <c r="E127" s="67"/>
      <c r="F127" s="65"/>
      <c r="G127" s="66">
        <v>43372</v>
      </c>
      <c r="H127" s="66">
        <f t="shared" si="8"/>
        <v>43377</v>
      </c>
      <c r="I127" s="66">
        <f t="shared" si="9"/>
        <v>43385</v>
      </c>
      <c r="J127" t="s">
        <v>217</v>
      </c>
      <c r="K127" t="s">
        <v>3</v>
      </c>
      <c r="L127" t="s">
        <v>3</v>
      </c>
      <c r="M127" t="s">
        <v>3</v>
      </c>
    </row>
    <row r="128" spans="1:13" ht="18.75" customHeight="1">
      <c r="A128" s="65"/>
      <c r="B128" s="65"/>
      <c r="C128" s="65"/>
      <c r="D128" s="65"/>
      <c r="E128" s="67"/>
      <c r="F128" s="65" t="s">
        <v>568</v>
      </c>
      <c r="G128" s="66">
        <v>43372</v>
      </c>
      <c r="H128" s="66">
        <f t="shared" si="8"/>
        <v>43377</v>
      </c>
      <c r="I128" s="66">
        <f t="shared" si="9"/>
        <v>43385</v>
      </c>
      <c r="J128" t="s">
        <v>217</v>
      </c>
      <c r="K128" t="s">
        <v>3</v>
      </c>
      <c r="L128" t="s">
        <v>3</v>
      </c>
      <c r="M128" t="s">
        <v>3</v>
      </c>
    </row>
    <row r="129" spans="1:13" ht="18.75" customHeight="1">
      <c r="A129" s="65"/>
      <c r="B129" s="65"/>
      <c r="C129" s="65"/>
      <c r="D129" s="65"/>
      <c r="E129" s="67"/>
      <c r="F129" s="65"/>
      <c r="G129" s="66">
        <v>43372</v>
      </c>
      <c r="H129" s="66">
        <f t="shared" si="8"/>
        <v>43377</v>
      </c>
      <c r="I129" s="66">
        <f t="shared" si="9"/>
        <v>43385</v>
      </c>
      <c r="J129" t="s">
        <v>217</v>
      </c>
      <c r="K129" t="s">
        <v>3</v>
      </c>
      <c r="L129" t="s">
        <v>3</v>
      </c>
      <c r="M129" t="s">
        <v>3</v>
      </c>
    </row>
    <row r="130" spans="1:13" ht="18.75" customHeight="1">
      <c r="A130" s="65"/>
      <c r="B130" s="65"/>
      <c r="C130" s="65"/>
      <c r="D130" s="65"/>
      <c r="E130" s="67"/>
      <c r="F130" s="65"/>
      <c r="G130" s="66">
        <v>43373</v>
      </c>
      <c r="H130" s="66">
        <f t="shared" si="8"/>
        <v>43378</v>
      </c>
      <c r="I130" s="66">
        <f t="shared" si="9"/>
        <v>43386</v>
      </c>
      <c r="J130" t="s">
        <v>217</v>
      </c>
      <c r="K130" t="s">
        <v>3</v>
      </c>
      <c r="L130" t="s">
        <v>3</v>
      </c>
      <c r="M130" t="s">
        <v>3</v>
      </c>
    </row>
    <row r="131" spans="1:13" ht="18.75" customHeight="1">
      <c r="A131" s="65"/>
      <c r="B131" s="65"/>
      <c r="C131" s="65"/>
      <c r="D131" s="65"/>
      <c r="E131" s="67"/>
      <c r="F131" s="65" t="s">
        <v>634</v>
      </c>
      <c r="G131" s="66">
        <v>43397</v>
      </c>
      <c r="H131" s="66">
        <f t="shared" si="8"/>
        <v>43402</v>
      </c>
      <c r="I131" s="66">
        <f t="shared" si="9"/>
        <v>43410</v>
      </c>
      <c r="J131" t="s">
        <v>217</v>
      </c>
      <c r="K131" t="s">
        <v>3</v>
      </c>
      <c r="L131" t="s">
        <v>3</v>
      </c>
      <c r="M131" t="s">
        <v>3</v>
      </c>
    </row>
    <row r="132" spans="1:13" ht="18.75" customHeight="1">
      <c r="A132" s="65"/>
      <c r="B132" s="65"/>
      <c r="C132" s="65"/>
      <c r="D132" s="65"/>
      <c r="E132" s="67"/>
      <c r="F132" s="65"/>
      <c r="G132" s="66">
        <v>43376</v>
      </c>
      <c r="H132" s="66">
        <f t="shared" si="8"/>
        <v>43381</v>
      </c>
      <c r="I132" s="66">
        <f t="shared" si="9"/>
        <v>43389</v>
      </c>
      <c r="J132" t="s">
        <v>217</v>
      </c>
      <c r="K132" t="s">
        <v>3</v>
      </c>
      <c r="L132" t="s">
        <v>4</v>
      </c>
      <c r="M132" t="s">
        <v>4</v>
      </c>
    </row>
    <row r="133" spans="1:13" ht="18.75" customHeight="1">
      <c r="E133" s="67"/>
      <c r="F133" s="65"/>
      <c r="G133" s="66">
        <v>43376</v>
      </c>
      <c r="H133" s="66">
        <f t="shared" si="8"/>
        <v>43381</v>
      </c>
      <c r="I133" s="66">
        <f t="shared" si="9"/>
        <v>43389</v>
      </c>
      <c r="J133" t="s">
        <v>217</v>
      </c>
      <c r="K133" t="s">
        <v>3</v>
      </c>
      <c r="L133" t="s">
        <v>3</v>
      </c>
      <c r="M133" t="s">
        <v>3</v>
      </c>
    </row>
    <row r="134" spans="1:13" ht="18.75" customHeight="1">
      <c r="E134" s="67"/>
      <c r="F134" s="65"/>
      <c r="G134" s="66">
        <v>43377</v>
      </c>
      <c r="H134" s="66">
        <f t="shared" si="8"/>
        <v>43382</v>
      </c>
      <c r="I134" s="66">
        <f t="shared" si="9"/>
        <v>43390</v>
      </c>
      <c r="J134" t="s">
        <v>217</v>
      </c>
      <c r="K134" t="s">
        <v>3</v>
      </c>
      <c r="L134" t="s">
        <v>3</v>
      </c>
      <c r="M134" t="s">
        <v>4</v>
      </c>
    </row>
    <row r="135" spans="1:13" ht="18.75" customHeight="1">
      <c r="E135" s="67"/>
      <c r="F135" s="65"/>
      <c r="G135" s="66">
        <v>43378</v>
      </c>
      <c r="H135" s="66">
        <f t="shared" si="8"/>
        <v>43383</v>
      </c>
      <c r="I135" s="66">
        <f t="shared" si="9"/>
        <v>43391</v>
      </c>
      <c r="J135" t="s">
        <v>217</v>
      </c>
      <c r="K135" t="s">
        <v>3</v>
      </c>
      <c r="L135" t="s">
        <v>3</v>
      </c>
      <c r="M135" t="s">
        <v>3</v>
      </c>
    </row>
    <row r="136" spans="1:13" ht="18.75" customHeight="1">
      <c r="E136" s="67"/>
      <c r="F136" s="65"/>
      <c r="G136" s="66">
        <v>43378</v>
      </c>
      <c r="H136" s="66">
        <f t="shared" si="8"/>
        <v>43383</v>
      </c>
      <c r="I136" s="66">
        <f t="shared" si="9"/>
        <v>43391</v>
      </c>
      <c r="J136" t="s">
        <v>217</v>
      </c>
      <c r="K136" t="s">
        <v>3</v>
      </c>
      <c r="L136" t="s">
        <v>3</v>
      </c>
      <c r="M136" t="s">
        <v>3</v>
      </c>
    </row>
    <row r="137" spans="1:13" ht="18.75" customHeight="1">
      <c r="E137" s="67"/>
      <c r="F137" s="65"/>
      <c r="G137" s="66">
        <v>43378</v>
      </c>
      <c r="H137" s="66">
        <f t="shared" si="8"/>
        <v>43383</v>
      </c>
      <c r="I137" s="66">
        <f t="shared" si="9"/>
        <v>43391</v>
      </c>
      <c r="J137" t="s">
        <v>217</v>
      </c>
      <c r="K137" t="s">
        <v>3</v>
      </c>
      <c r="L137" t="s">
        <v>3</v>
      </c>
      <c r="M137" t="s">
        <v>3</v>
      </c>
    </row>
    <row r="138" spans="1:13" ht="18.75" customHeight="1">
      <c r="E138" s="67"/>
      <c r="F138" s="65"/>
      <c r="G138" s="66">
        <v>43379</v>
      </c>
      <c r="H138" s="66">
        <f t="shared" si="8"/>
        <v>43384</v>
      </c>
      <c r="I138" s="66">
        <f t="shared" si="9"/>
        <v>43392</v>
      </c>
      <c r="J138" t="s">
        <v>217</v>
      </c>
      <c r="K138" t="s">
        <v>3</v>
      </c>
      <c r="L138" t="s">
        <v>3</v>
      </c>
      <c r="M138" t="s">
        <v>3</v>
      </c>
    </row>
    <row r="139" spans="1:13" ht="18.75" customHeight="1">
      <c r="E139" s="67"/>
      <c r="F139" s="65"/>
      <c r="G139" s="66">
        <v>43379</v>
      </c>
      <c r="H139" s="66">
        <f t="shared" si="8"/>
        <v>43384</v>
      </c>
      <c r="I139" s="66">
        <f t="shared" si="9"/>
        <v>43392</v>
      </c>
      <c r="J139" t="s">
        <v>217</v>
      </c>
      <c r="K139" t="s">
        <v>3</v>
      </c>
      <c r="L139" t="s">
        <v>3</v>
      </c>
      <c r="M139" t="s">
        <v>3</v>
      </c>
    </row>
    <row r="140" spans="1:13" ht="18.75" customHeight="1">
      <c r="E140" s="67"/>
      <c r="F140" s="65"/>
      <c r="G140" s="66">
        <v>43379</v>
      </c>
      <c r="H140" s="66">
        <f t="shared" si="8"/>
        <v>43384</v>
      </c>
      <c r="I140" s="66">
        <f t="shared" si="9"/>
        <v>43392</v>
      </c>
      <c r="J140" t="s">
        <v>217</v>
      </c>
      <c r="K140" t="s">
        <v>3</v>
      </c>
      <c r="L140" t="s">
        <v>3</v>
      </c>
      <c r="M140" t="s">
        <v>3</v>
      </c>
    </row>
    <row r="141" spans="1:13" ht="18.75" customHeight="1">
      <c r="A141" s="65"/>
      <c r="B141" s="65"/>
      <c r="C141" s="65"/>
      <c r="D141" s="65"/>
      <c r="E141" s="67"/>
      <c r="F141" s="65"/>
      <c r="G141" s="66">
        <v>43379</v>
      </c>
      <c r="H141" s="66">
        <f t="shared" si="8"/>
        <v>43384</v>
      </c>
      <c r="I141" s="66">
        <f t="shared" si="9"/>
        <v>43392</v>
      </c>
      <c r="J141" t="s">
        <v>217</v>
      </c>
      <c r="K141" t="s">
        <v>3</v>
      </c>
      <c r="L141" t="s">
        <v>3</v>
      </c>
      <c r="M141" t="s">
        <v>3</v>
      </c>
    </row>
    <row r="142" spans="1:13" ht="18.75" customHeight="1">
      <c r="A142" s="65"/>
      <c r="B142" s="65"/>
      <c r="C142" s="65"/>
      <c r="D142" s="65"/>
      <c r="E142" s="67"/>
      <c r="F142" s="65"/>
      <c r="G142" s="66">
        <v>43383</v>
      </c>
      <c r="H142" s="66">
        <f t="shared" si="8"/>
        <v>43388</v>
      </c>
      <c r="I142" s="66">
        <f t="shared" si="9"/>
        <v>43396</v>
      </c>
      <c r="J142" t="s">
        <v>217</v>
      </c>
      <c r="K142" t="s">
        <v>3</v>
      </c>
      <c r="L142" t="s">
        <v>4</v>
      </c>
      <c r="M142" t="s">
        <v>4</v>
      </c>
    </row>
    <row r="143" spans="1:13" ht="18.75" customHeight="1">
      <c r="A143" s="65"/>
      <c r="B143" s="65"/>
      <c r="C143" s="65"/>
      <c r="D143" s="65"/>
      <c r="E143" s="67"/>
      <c r="F143" s="65"/>
      <c r="G143" s="66">
        <v>43383</v>
      </c>
      <c r="H143" s="66">
        <f t="shared" si="8"/>
        <v>43388</v>
      </c>
      <c r="I143" s="66">
        <f t="shared" si="9"/>
        <v>43396</v>
      </c>
      <c r="J143" t="s">
        <v>217</v>
      </c>
      <c r="K143" t="s">
        <v>3</v>
      </c>
      <c r="L143" t="s">
        <v>3</v>
      </c>
      <c r="M143" t="s">
        <v>3</v>
      </c>
    </row>
    <row r="144" spans="1:13" ht="18.75" customHeight="1">
      <c r="A144" s="65"/>
      <c r="B144" s="65"/>
      <c r="C144" s="65"/>
      <c r="D144" s="65"/>
      <c r="E144" s="101"/>
      <c r="F144" s="65"/>
      <c r="G144" s="66">
        <v>43383</v>
      </c>
      <c r="H144" s="66">
        <f t="shared" si="8"/>
        <v>43388</v>
      </c>
      <c r="I144" s="66">
        <f t="shared" si="9"/>
        <v>43396</v>
      </c>
      <c r="J144" t="s">
        <v>217</v>
      </c>
      <c r="K144" t="s">
        <v>3</v>
      </c>
      <c r="L144" t="s">
        <v>3</v>
      </c>
      <c r="M144" t="s">
        <v>3</v>
      </c>
    </row>
    <row r="145" spans="1:13" ht="18.75" customHeight="1">
      <c r="A145" s="65"/>
      <c r="B145" s="65"/>
      <c r="C145" s="65"/>
      <c r="D145" s="65"/>
      <c r="E145" s="67"/>
      <c r="F145" s="65"/>
      <c r="G145" s="66">
        <v>43384</v>
      </c>
      <c r="H145" s="66">
        <f t="shared" si="8"/>
        <v>43389</v>
      </c>
      <c r="I145" s="66">
        <f t="shared" si="9"/>
        <v>43397</v>
      </c>
      <c r="J145" t="s">
        <v>217</v>
      </c>
      <c r="K145" t="s">
        <v>3</v>
      </c>
      <c r="L145" t="s">
        <v>3</v>
      </c>
      <c r="M145" t="s">
        <v>3</v>
      </c>
    </row>
    <row r="146" spans="1:13" ht="18.75" customHeight="1">
      <c r="E146" s="67"/>
      <c r="F146" s="65"/>
      <c r="G146" s="66">
        <v>43384</v>
      </c>
      <c r="H146" s="66">
        <f t="shared" si="8"/>
        <v>43389</v>
      </c>
      <c r="I146" s="66">
        <f t="shared" si="9"/>
        <v>43397</v>
      </c>
      <c r="J146" t="s">
        <v>217</v>
      </c>
      <c r="K146" t="s">
        <v>3</v>
      </c>
      <c r="L146" t="s">
        <v>4</v>
      </c>
      <c r="M146" t="s">
        <v>3</v>
      </c>
    </row>
    <row r="147" spans="1:13" ht="18.75" customHeight="1">
      <c r="E147" s="67"/>
      <c r="F147" s="65" t="s">
        <v>641</v>
      </c>
      <c r="G147" s="66">
        <v>43384</v>
      </c>
      <c r="H147" s="66">
        <f t="shared" si="8"/>
        <v>43389</v>
      </c>
      <c r="I147" s="66">
        <f t="shared" si="9"/>
        <v>43397</v>
      </c>
      <c r="J147" t="s">
        <v>217</v>
      </c>
      <c r="K147" t="s">
        <v>3</v>
      </c>
      <c r="L147" t="s">
        <v>3</v>
      </c>
      <c r="M147" t="s">
        <v>3</v>
      </c>
    </row>
    <row r="148" spans="1:13" ht="18.75" customHeight="1">
      <c r="E148" s="67"/>
      <c r="F148" s="65" t="s">
        <v>630</v>
      </c>
      <c r="G148" s="66">
        <v>43385</v>
      </c>
      <c r="H148" s="66">
        <f t="shared" si="8"/>
        <v>43390</v>
      </c>
      <c r="I148" s="66">
        <f t="shared" si="9"/>
        <v>43398</v>
      </c>
      <c r="J148" t="s">
        <v>217</v>
      </c>
      <c r="K148" t="s">
        <v>3</v>
      </c>
      <c r="L148" t="s">
        <v>3</v>
      </c>
      <c r="M148" t="s">
        <v>3</v>
      </c>
    </row>
    <row r="149" spans="1:13" ht="18.75" customHeight="1">
      <c r="E149" s="67"/>
      <c r="F149" s="65" t="s">
        <v>575</v>
      </c>
      <c r="G149" s="66">
        <v>43385</v>
      </c>
      <c r="H149" s="66">
        <f t="shared" si="8"/>
        <v>43390</v>
      </c>
      <c r="I149" s="66">
        <f t="shared" si="9"/>
        <v>43398</v>
      </c>
      <c r="J149" t="s">
        <v>217</v>
      </c>
      <c r="K149" t="s">
        <v>4</v>
      </c>
      <c r="L149" t="s">
        <v>3</v>
      </c>
      <c r="M149" t="s">
        <v>3</v>
      </c>
    </row>
    <row r="150" spans="1:13" ht="18.75" customHeight="1">
      <c r="E150" s="67"/>
      <c r="F150" s="65" t="s">
        <v>636</v>
      </c>
      <c r="G150" s="66">
        <v>43386</v>
      </c>
      <c r="H150" s="66">
        <f t="shared" si="8"/>
        <v>43391</v>
      </c>
      <c r="I150" s="66">
        <f t="shared" si="9"/>
        <v>43399</v>
      </c>
      <c r="J150" t="s">
        <v>217</v>
      </c>
      <c r="K150" t="s">
        <v>3</v>
      </c>
      <c r="L150" t="s">
        <v>3</v>
      </c>
      <c r="M150" t="s">
        <v>3</v>
      </c>
    </row>
    <row r="151" spans="1:13" ht="18.75" customHeight="1">
      <c r="E151" s="67"/>
      <c r="F151" s="65"/>
      <c r="G151" s="66">
        <v>43386</v>
      </c>
      <c r="H151" s="66">
        <f t="shared" si="8"/>
        <v>43391</v>
      </c>
      <c r="I151" s="66">
        <f t="shared" si="9"/>
        <v>43399</v>
      </c>
      <c r="J151" t="s">
        <v>217</v>
      </c>
      <c r="K151" t="s">
        <v>4</v>
      </c>
      <c r="L151" t="s">
        <v>3</v>
      </c>
      <c r="M151" t="s">
        <v>3</v>
      </c>
    </row>
    <row r="152" spans="1:13" ht="18.75" customHeight="1">
      <c r="E152" s="67"/>
      <c r="F152" s="65" t="s">
        <v>636</v>
      </c>
      <c r="G152" s="66">
        <v>43387</v>
      </c>
      <c r="H152" s="66">
        <f t="shared" si="8"/>
        <v>43392</v>
      </c>
      <c r="I152" s="66">
        <f t="shared" si="9"/>
        <v>43400</v>
      </c>
      <c r="J152" t="s">
        <v>217</v>
      </c>
      <c r="K152" t="s">
        <v>3</v>
      </c>
      <c r="L152" t="s">
        <v>3</v>
      </c>
      <c r="M152" t="s">
        <v>3</v>
      </c>
    </row>
    <row r="153" spans="1:13" ht="18.75" customHeight="1">
      <c r="E153" s="67"/>
      <c r="F153" s="65" t="s">
        <v>652</v>
      </c>
      <c r="G153" s="66">
        <v>43397</v>
      </c>
      <c r="H153" s="66">
        <f t="shared" si="8"/>
        <v>43402</v>
      </c>
      <c r="I153" s="66">
        <f t="shared" si="9"/>
        <v>43410</v>
      </c>
      <c r="J153" t="s">
        <v>217</v>
      </c>
      <c r="K153" t="s">
        <v>3</v>
      </c>
      <c r="L153" t="s">
        <v>3</v>
      </c>
      <c r="M153" t="s">
        <v>3</v>
      </c>
    </row>
    <row r="154" spans="1:13" ht="18.75" customHeight="1">
      <c r="C154" s="68"/>
      <c r="D154" s="68"/>
      <c r="E154" s="67"/>
      <c r="F154" s="65" t="s">
        <v>657</v>
      </c>
      <c r="G154" s="66">
        <v>43398</v>
      </c>
      <c r="H154" s="66">
        <f t="shared" si="8"/>
        <v>43403</v>
      </c>
      <c r="I154" s="66">
        <f t="shared" si="9"/>
        <v>43411</v>
      </c>
      <c r="J154" t="s">
        <v>217</v>
      </c>
      <c r="K154" t="s">
        <v>3</v>
      </c>
      <c r="L154" t="s">
        <v>3</v>
      </c>
      <c r="M154" t="s">
        <v>3</v>
      </c>
    </row>
    <row r="155" spans="1:13" ht="18.75" customHeight="1">
      <c r="E155" s="67"/>
      <c r="F155" s="65"/>
      <c r="G155" s="66">
        <v>43398</v>
      </c>
      <c r="H155" s="66">
        <f t="shared" si="8"/>
        <v>43403</v>
      </c>
      <c r="I155" s="66">
        <f t="shared" si="9"/>
        <v>43411</v>
      </c>
      <c r="J155" t="s">
        <v>217</v>
      </c>
      <c r="K155" t="s">
        <v>3</v>
      </c>
      <c r="L155" t="s">
        <v>3</v>
      </c>
      <c r="M155" t="s">
        <v>3</v>
      </c>
    </row>
    <row r="156" spans="1:13" ht="18.75" customHeight="1">
      <c r="E156" s="67"/>
      <c r="F156" s="65"/>
      <c r="G156" s="66">
        <v>43398</v>
      </c>
      <c r="H156" s="66">
        <f t="shared" si="8"/>
        <v>43403</v>
      </c>
      <c r="I156" s="66">
        <f t="shared" si="9"/>
        <v>43411</v>
      </c>
      <c r="J156" t="s">
        <v>217</v>
      </c>
      <c r="K156" t="s">
        <v>4</v>
      </c>
      <c r="L156" t="s">
        <v>3</v>
      </c>
      <c r="M156" t="s">
        <v>3</v>
      </c>
    </row>
    <row r="157" spans="1:13" ht="18.75" customHeight="1">
      <c r="E157" s="97"/>
      <c r="F157" s="65" t="s">
        <v>661</v>
      </c>
      <c r="G157" s="66">
        <v>43398</v>
      </c>
      <c r="H157" s="66">
        <f t="shared" si="8"/>
        <v>43403</v>
      </c>
      <c r="I157" s="66">
        <f t="shared" si="9"/>
        <v>43411</v>
      </c>
      <c r="J157" t="s">
        <v>217</v>
      </c>
      <c r="K157" t="s">
        <v>4</v>
      </c>
      <c r="L157" t="s">
        <v>3</v>
      </c>
      <c r="M157" t="s">
        <v>3</v>
      </c>
    </row>
    <row r="158" spans="1:13" ht="18.75" customHeight="1">
      <c r="C158" s="68"/>
      <c r="D158" s="68"/>
      <c r="E158" s="100"/>
      <c r="F158" s="72"/>
      <c r="G158" s="66">
        <v>43399</v>
      </c>
      <c r="H158" s="66">
        <f t="shared" si="8"/>
        <v>43404</v>
      </c>
      <c r="I158" s="66">
        <f t="shared" si="9"/>
        <v>43412</v>
      </c>
      <c r="J158" t="s">
        <v>217</v>
      </c>
      <c r="K158" t="s">
        <v>3</v>
      </c>
      <c r="L158" t="s">
        <v>3</v>
      </c>
      <c r="M158" t="s">
        <v>3</v>
      </c>
    </row>
    <row r="159" spans="1:13" ht="18.75" customHeight="1">
      <c r="C159" s="68"/>
      <c r="D159" s="68"/>
      <c r="E159" s="100"/>
      <c r="F159" s="72"/>
      <c r="G159" s="66">
        <v>43399</v>
      </c>
      <c r="H159" s="66">
        <f t="shared" si="8"/>
        <v>43404</v>
      </c>
      <c r="I159" s="66">
        <f t="shared" si="9"/>
        <v>43412</v>
      </c>
      <c r="J159" t="s">
        <v>217</v>
      </c>
      <c r="K159" t="s">
        <v>3</v>
      </c>
      <c r="L159" t="s">
        <v>3</v>
      </c>
      <c r="M159" t="s">
        <v>3</v>
      </c>
    </row>
    <row r="160" spans="1:13" ht="18.75" customHeight="1">
      <c r="C160" s="68"/>
      <c r="D160" s="68"/>
      <c r="E160" s="100"/>
      <c r="F160" s="72" t="s">
        <v>575</v>
      </c>
      <c r="G160" s="66">
        <v>43399</v>
      </c>
      <c r="H160" s="66">
        <f t="shared" si="8"/>
        <v>43404</v>
      </c>
      <c r="I160" s="66">
        <f t="shared" si="9"/>
        <v>43412</v>
      </c>
      <c r="J160" t="s">
        <v>217</v>
      </c>
      <c r="K160" t="s">
        <v>3</v>
      </c>
      <c r="L160" t="s">
        <v>3</v>
      </c>
      <c r="M160" t="s">
        <v>3</v>
      </c>
    </row>
    <row r="161" spans="3:13" ht="18.75" customHeight="1">
      <c r="C161" s="68"/>
      <c r="D161" s="68"/>
      <c r="E161" s="100"/>
      <c r="F161" s="72" t="s">
        <v>575</v>
      </c>
      <c r="G161" s="66">
        <v>43399</v>
      </c>
      <c r="H161" s="66">
        <f t="shared" si="8"/>
        <v>43404</v>
      </c>
      <c r="I161" s="66">
        <f t="shared" si="9"/>
        <v>43412</v>
      </c>
      <c r="J161" t="s">
        <v>217</v>
      </c>
      <c r="K161" t="s">
        <v>4</v>
      </c>
      <c r="L161" t="s">
        <v>3</v>
      </c>
      <c r="M161" t="s">
        <v>4</v>
      </c>
    </row>
    <row r="162" spans="3:13" ht="18.75" customHeight="1">
      <c r="C162" s="73"/>
      <c r="D162" s="73"/>
      <c r="E162" s="100"/>
      <c r="F162" s="72" t="s">
        <v>630</v>
      </c>
      <c r="G162" s="66">
        <v>43400</v>
      </c>
      <c r="H162" s="66">
        <f t="shared" si="8"/>
        <v>43405</v>
      </c>
      <c r="I162" s="66">
        <f t="shared" si="9"/>
        <v>43413</v>
      </c>
      <c r="J162" t="s">
        <v>217</v>
      </c>
      <c r="K162" t="s">
        <v>3</v>
      </c>
      <c r="L162" t="s">
        <v>3</v>
      </c>
      <c r="M162" t="s">
        <v>3</v>
      </c>
    </row>
    <row r="163" spans="3:13" ht="18.75" customHeight="1">
      <c r="E163" s="67"/>
      <c r="F163" s="65"/>
      <c r="G163" s="66">
        <v>43400</v>
      </c>
      <c r="H163" s="66">
        <f t="shared" si="8"/>
        <v>43405</v>
      </c>
      <c r="I163" s="66">
        <f t="shared" si="9"/>
        <v>43413</v>
      </c>
      <c r="J163" t="s">
        <v>217</v>
      </c>
      <c r="K163" t="s">
        <v>4</v>
      </c>
      <c r="L163" t="s">
        <v>3</v>
      </c>
      <c r="M163" t="s">
        <v>3</v>
      </c>
    </row>
    <row r="164" spans="3:13" ht="18.75" customHeight="1">
      <c r="E164" s="67"/>
      <c r="F164" s="65" t="s">
        <v>786</v>
      </c>
      <c r="G164" s="66">
        <v>43404</v>
      </c>
      <c r="H164" s="66">
        <f t="shared" si="8"/>
        <v>43409</v>
      </c>
      <c r="I164" s="66">
        <f t="shared" si="9"/>
        <v>43417</v>
      </c>
      <c r="J164" t="s">
        <v>217</v>
      </c>
      <c r="K164" t="s">
        <v>3</v>
      </c>
      <c r="L164" t="s">
        <v>3</v>
      </c>
      <c r="M164" t="s">
        <v>3</v>
      </c>
    </row>
    <row r="165" spans="3:13" ht="18.75" customHeight="1">
      <c r="E165" s="67"/>
      <c r="F165" s="65"/>
      <c r="G165" s="66">
        <v>43404</v>
      </c>
      <c r="H165" s="66">
        <f t="shared" si="8"/>
        <v>43409</v>
      </c>
      <c r="I165" s="66">
        <f t="shared" si="9"/>
        <v>43417</v>
      </c>
      <c r="J165" t="s">
        <v>217</v>
      </c>
      <c r="K165" t="s">
        <v>3</v>
      </c>
      <c r="L165" t="s">
        <v>3</v>
      </c>
      <c r="M165" t="s">
        <v>3</v>
      </c>
    </row>
    <row r="166" spans="3:13" ht="18.75" customHeight="1">
      <c r="E166" s="67"/>
      <c r="F166" s="65"/>
      <c r="G166" s="66">
        <v>43404</v>
      </c>
      <c r="H166" s="66">
        <f t="shared" ref="H166:H229" si="12">IF( G166&lt;&gt;"", G166+5,"")</f>
        <v>43409</v>
      </c>
      <c r="I166" s="66">
        <f t="shared" ref="I166:I229" si="13">IF( G166&lt;&gt;"", G166+13,"")</f>
        <v>43417</v>
      </c>
      <c r="J166" t="s">
        <v>217</v>
      </c>
      <c r="K166" t="s">
        <v>3</v>
      </c>
      <c r="L166" t="s">
        <v>4</v>
      </c>
      <c r="M166" t="s">
        <v>4</v>
      </c>
    </row>
    <row r="167" spans="3:13" ht="18.75" customHeight="1">
      <c r="E167" s="67"/>
      <c r="F167" s="65"/>
      <c r="G167" s="66">
        <v>43405</v>
      </c>
      <c r="H167" s="66">
        <f t="shared" si="12"/>
        <v>43410</v>
      </c>
      <c r="I167" s="66">
        <f t="shared" si="13"/>
        <v>43418</v>
      </c>
      <c r="J167" t="s">
        <v>217</v>
      </c>
      <c r="K167" t="s">
        <v>3</v>
      </c>
      <c r="L167" t="s">
        <v>3</v>
      </c>
      <c r="M167" t="s">
        <v>3</v>
      </c>
    </row>
    <row r="168" spans="3:13" ht="18.75" customHeight="1">
      <c r="E168" s="67"/>
      <c r="F168" s="65"/>
      <c r="G168" s="66">
        <v>43405</v>
      </c>
      <c r="H168" s="66">
        <f t="shared" si="12"/>
        <v>43410</v>
      </c>
      <c r="I168" s="66">
        <f t="shared" si="13"/>
        <v>43418</v>
      </c>
      <c r="J168" t="s">
        <v>217</v>
      </c>
      <c r="K168" t="s">
        <v>4</v>
      </c>
      <c r="L168" t="s">
        <v>3</v>
      </c>
      <c r="M168" t="s">
        <v>3</v>
      </c>
    </row>
    <row r="169" spans="3:13" ht="18.75" customHeight="1">
      <c r="E169" s="67"/>
      <c r="F169" s="65"/>
      <c r="G169" s="66">
        <v>43406</v>
      </c>
      <c r="H169" s="66">
        <f t="shared" si="12"/>
        <v>43411</v>
      </c>
      <c r="I169" s="66">
        <f t="shared" si="13"/>
        <v>43419</v>
      </c>
      <c r="J169" s="65" t="s">
        <v>217</v>
      </c>
      <c r="K169" t="s">
        <v>3</v>
      </c>
      <c r="L169" t="s">
        <v>3</v>
      </c>
      <c r="M169" t="s">
        <v>3</v>
      </c>
    </row>
    <row r="170" spans="3:13" ht="18.75" customHeight="1">
      <c r="E170" s="67"/>
      <c r="F170" s="72" t="s">
        <v>575</v>
      </c>
      <c r="G170" s="66">
        <v>43406</v>
      </c>
      <c r="H170" s="66">
        <f t="shared" si="12"/>
        <v>43411</v>
      </c>
      <c r="I170" s="66">
        <f t="shared" si="13"/>
        <v>43419</v>
      </c>
      <c r="J170" s="65" t="s">
        <v>217</v>
      </c>
      <c r="K170" t="s">
        <v>3</v>
      </c>
      <c r="L170" t="s">
        <v>3</v>
      </c>
      <c r="M170" t="s">
        <v>3</v>
      </c>
    </row>
    <row r="171" spans="3:13" ht="18.75" customHeight="1">
      <c r="E171" s="67"/>
      <c r="F171" s="65" t="s">
        <v>574</v>
      </c>
      <c r="G171" s="66">
        <v>43406</v>
      </c>
      <c r="H171" s="66">
        <f t="shared" si="12"/>
        <v>43411</v>
      </c>
      <c r="I171" s="66">
        <f t="shared" si="13"/>
        <v>43419</v>
      </c>
      <c r="J171" s="65" t="s">
        <v>217</v>
      </c>
      <c r="K171" t="s">
        <v>3</v>
      </c>
      <c r="L171" t="s">
        <v>4</v>
      </c>
      <c r="M171" t="s">
        <v>3</v>
      </c>
    </row>
    <row r="172" spans="3:13" ht="18.75" customHeight="1">
      <c r="E172" s="67"/>
      <c r="F172" s="65"/>
      <c r="G172" s="66">
        <v>43406</v>
      </c>
      <c r="H172" s="66">
        <f t="shared" si="12"/>
        <v>43411</v>
      </c>
      <c r="I172" s="66">
        <f t="shared" si="13"/>
        <v>43419</v>
      </c>
      <c r="J172" s="65" t="s">
        <v>217</v>
      </c>
      <c r="K172" t="s">
        <v>4</v>
      </c>
      <c r="L172" t="s">
        <v>3</v>
      </c>
      <c r="M172" t="s">
        <v>3</v>
      </c>
    </row>
    <row r="173" spans="3:13" ht="18.75" customHeight="1">
      <c r="E173" s="67"/>
      <c r="F173" s="65" t="s">
        <v>574</v>
      </c>
      <c r="G173" s="66">
        <v>43407</v>
      </c>
      <c r="H173" s="66">
        <f t="shared" si="12"/>
        <v>43412</v>
      </c>
      <c r="I173" s="66">
        <f t="shared" si="13"/>
        <v>43420</v>
      </c>
      <c r="J173" s="65" t="s">
        <v>217</v>
      </c>
      <c r="K173" t="s">
        <v>3</v>
      </c>
      <c r="L173" t="s">
        <v>3</v>
      </c>
    </row>
    <row r="174" spans="3:13" ht="18.75" customHeight="1">
      <c r="C174" s="65"/>
      <c r="D174" s="65"/>
      <c r="E174" s="67"/>
      <c r="F174" s="65" t="s">
        <v>574</v>
      </c>
      <c r="G174" s="66">
        <v>43407</v>
      </c>
      <c r="H174" s="66">
        <f t="shared" si="12"/>
        <v>43412</v>
      </c>
      <c r="I174" s="66">
        <f t="shared" si="13"/>
        <v>43420</v>
      </c>
      <c r="J174" s="65" t="s">
        <v>217</v>
      </c>
      <c r="K174" t="s">
        <v>3</v>
      </c>
      <c r="L174" t="s">
        <v>3</v>
      </c>
      <c r="M174" t="s">
        <v>4</v>
      </c>
    </row>
    <row r="175" spans="3:13" ht="18.75" customHeight="1">
      <c r="C175" s="65"/>
      <c r="D175" s="65"/>
      <c r="E175" s="99"/>
      <c r="F175" s="65" t="s">
        <v>574</v>
      </c>
      <c r="G175" s="66">
        <v>43407</v>
      </c>
      <c r="H175" s="66">
        <f t="shared" si="12"/>
        <v>43412</v>
      </c>
      <c r="I175" s="66">
        <f t="shared" si="13"/>
        <v>43420</v>
      </c>
      <c r="J175" s="65" t="s">
        <v>217</v>
      </c>
      <c r="L175" t="s">
        <v>3</v>
      </c>
      <c r="M175" t="s">
        <v>3</v>
      </c>
    </row>
    <row r="176" spans="3:13" ht="18.75" customHeight="1">
      <c r="C176" s="65"/>
      <c r="D176" s="65"/>
      <c r="E176" s="67"/>
      <c r="F176" s="65" t="s">
        <v>848</v>
      </c>
      <c r="G176" s="66">
        <v>43411</v>
      </c>
      <c r="H176" s="66">
        <f t="shared" si="12"/>
        <v>43416</v>
      </c>
      <c r="I176" s="66">
        <f t="shared" si="13"/>
        <v>43424</v>
      </c>
      <c r="J176" s="65" t="s">
        <v>217</v>
      </c>
      <c r="K176" t="s">
        <v>3</v>
      </c>
      <c r="L176" t="s">
        <v>3</v>
      </c>
    </row>
    <row r="177" spans="3:13" ht="18.75" customHeight="1">
      <c r="C177" s="65"/>
      <c r="D177" s="65"/>
      <c r="E177" s="67"/>
      <c r="F177" s="65"/>
      <c r="G177" s="66">
        <v>43412</v>
      </c>
      <c r="H177" s="66">
        <f t="shared" si="12"/>
        <v>43417</v>
      </c>
      <c r="I177" s="66">
        <f t="shared" si="13"/>
        <v>43425</v>
      </c>
      <c r="J177" s="65" t="s">
        <v>217</v>
      </c>
      <c r="K177" t="s">
        <v>3</v>
      </c>
      <c r="L177" t="s">
        <v>3</v>
      </c>
      <c r="M177" t="s">
        <v>3</v>
      </c>
    </row>
    <row r="178" spans="3:13" ht="18.75" customHeight="1">
      <c r="C178" s="65"/>
      <c r="D178" s="65"/>
      <c r="E178" s="67"/>
      <c r="F178" s="65"/>
      <c r="G178" s="66">
        <v>43412</v>
      </c>
      <c r="H178" s="66">
        <f t="shared" si="12"/>
        <v>43417</v>
      </c>
      <c r="I178" s="66">
        <f t="shared" si="13"/>
        <v>43425</v>
      </c>
      <c r="J178" s="65" t="s">
        <v>217</v>
      </c>
      <c r="K178" t="s">
        <v>3</v>
      </c>
      <c r="L178" t="s">
        <v>3</v>
      </c>
      <c r="M178" t="s">
        <v>4</v>
      </c>
    </row>
    <row r="179" spans="3:13" ht="18.75" customHeight="1">
      <c r="C179" s="65"/>
      <c r="D179" s="65"/>
      <c r="E179" s="103"/>
      <c r="F179" s="65"/>
      <c r="G179" s="66">
        <v>43413</v>
      </c>
      <c r="H179" s="66">
        <f t="shared" si="12"/>
        <v>43418</v>
      </c>
      <c r="I179" s="66">
        <f t="shared" si="13"/>
        <v>43426</v>
      </c>
      <c r="J179" s="65" t="s">
        <v>217</v>
      </c>
      <c r="K179" t="s">
        <v>3</v>
      </c>
      <c r="L179" t="s">
        <v>3</v>
      </c>
      <c r="M179" t="s">
        <v>3</v>
      </c>
    </row>
    <row r="180" spans="3:13" ht="18.75" customHeight="1">
      <c r="C180" s="65"/>
      <c r="D180" s="65"/>
      <c r="E180" s="67"/>
      <c r="F180" s="65"/>
      <c r="G180" s="66">
        <v>43413</v>
      </c>
      <c r="H180" s="66">
        <f t="shared" si="12"/>
        <v>43418</v>
      </c>
      <c r="I180" s="66">
        <f t="shared" si="13"/>
        <v>43426</v>
      </c>
      <c r="J180" s="65" t="s">
        <v>217</v>
      </c>
      <c r="K180" t="s">
        <v>3</v>
      </c>
      <c r="L180" t="s">
        <v>3</v>
      </c>
      <c r="M180" t="s">
        <v>3</v>
      </c>
    </row>
    <row r="181" spans="3:13" ht="18.75" customHeight="1">
      <c r="C181" s="65"/>
      <c r="D181" s="65"/>
      <c r="E181" s="67"/>
      <c r="F181" s="65"/>
      <c r="G181" s="66">
        <v>43413</v>
      </c>
      <c r="H181" s="66">
        <f t="shared" si="12"/>
        <v>43418</v>
      </c>
      <c r="I181" s="66">
        <f t="shared" si="13"/>
        <v>43426</v>
      </c>
      <c r="J181" s="65" t="s">
        <v>217</v>
      </c>
      <c r="K181" t="s">
        <v>3</v>
      </c>
      <c r="L181" t="s">
        <v>3</v>
      </c>
      <c r="M181" t="s">
        <v>3</v>
      </c>
    </row>
    <row r="182" spans="3:13" ht="18.75" customHeight="1">
      <c r="C182" s="65"/>
      <c r="D182" s="65"/>
      <c r="E182" s="67"/>
      <c r="F182" s="65" t="s">
        <v>842</v>
      </c>
      <c r="G182" s="66">
        <v>43415</v>
      </c>
      <c r="H182" s="66">
        <f t="shared" si="12"/>
        <v>43420</v>
      </c>
      <c r="I182" s="66">
        <f t="shared" si="13"/>
        <v>43428</v>
      </c>
      <c r="J182" s="65" t="s">
        <v>217</v>
      </c>
      <c r="K182" t="s">
        <v>3</v>
      </c>
      <c r="L182" t="s">
        <v>3</v>
      </c>
      <c r="M182" t="s">
        <v>4</v>
      </c>
    </row>
    <row r="183" spans="3:13" ht="18.75" customHeight="1">
      <c r="G183" s="66">
        <v>43414</v>
      </c>
      <c r="H183" s="66">
        <f t="shared" si="12"/>
        <v>43419</v>
      </c>
      <c r="I183" s="66">
        <f t="shared" si="13"/>
        <v>43427</v>
      </c>
      <c r="J183" t="s">
        <v>217</v>
      </c>
      <c r="K183" t="s">
        <v>3</v>
      </c>
      <c r="L183" t="s">
        <v>3</v>
      </c>
      <c r="M183" t="s">
        <v>3</v>
      </c>
    </row>
    <row r="184" spans="3:13" ht="18.75" customHeight="1">
      <c r="G184" s="66">
        <v>43414</v>
      </c>
      <c r="H184" s="66">
        <f t="shared" si="12"/>
        <v>43419</v>
      </c>
      <c r="I184" s="66">
        <f t="shared" si="13"/>
        <v>43427</v>
      </c>
      <c r="J184" t="s">
        <v>217</v>
      </c>
      <c r="K184" t="s">
        <v>3</v>
      </c>
      <c r="L184" t="s">
        <v>3</v>
      </c>
      <c r="M184" t="s">
        <v>3</v>
      </c>
    </row>
    <row r="185" spans="3:13" ht="18.75" customHeight="1">
      <c r="G185" s="66">
        <v>43414</v>
      </c>
      <c r="H185" s="66">
        <f t="shared" si="12"/>
        <v>43419</v>
      </c>
      <c r="I185" s="66">
        <f t="shared" si="13"/>
        <v>43427</v>
      </c>
      <c r="J185" t="s">
        <v>217</v>
      </c>
      <c r="K185" t="s">
        <v>3</v>
      </c>
      <c r="L185" t="s">
        <v>3</v>
      </c>
      <c r="M185" t="s">
        <v>3</v>
      </c>
    </row>
    <row r="186" spans="3:13" ht="18.75" customHeight="1">
      <c r="G186" s="9"/>
      <c r="H186" s="66"/>
      <c r="I186" s="66"/>
    </row>
    <row r="187" spans="3:13" ht="18.75" customHeight="1">
      <c r="H187" s="66" t="str">
        <f t="shared" si="12"/>
        <v/>
      </c>
      <c r="I187" s="66" t="str">
        <f t="shared" si="13"/>
        <v/>
      </c>
    </row>
    <row r="188" spans="3:13" ht="18.75" customHeight="1">
      <c r="H188" s="66" t="str">
        <f t="shared" si="12"/>
        <v/>
      </c>
      <c r="I188" s="66" t="str">
        <f t="shared" si="13"/>
        <v/>
      </c>
    </row>
    <row r="189" spans="3:13" ht="18.75" customHeight="1">
      <c r="H189" s="66" t="str">
        <f t="shared" si="12"/>
        <v/>
      </c>
      <c r="I189" s="66" t="str">
        <f t="shared" si="13"/>
        <v/>
      </c>
    </row>
    <row r="190" spans="3:13" ht="18.75" customHeight="1">
      <c r="H190" s="66" t="str">
        <f t="shared" si="12"/>
        <v/>
      </c>
      <c r="I190" s="66" t="str">
        <f t="shared" si="13"/>
        <v/>
      </c>
    </row>
    <row r="191" spans="3:13" ht="18.75" customHeight="1">
      <c r="H191" s="66" t="str">
        <f t="shared" si="12"/>
        <v/>
      </c>
      <c r="I191" s="66" t="str">
        <f t="shared" si="13"/>
        <v/>
      </c>
    </row>
    <row r="192" spans="3:13" ht="18.75" customHeight="1">
      <c r="H192" s="66" t="str">
        <f t="shared" si="12"/>
        <v/>
      </c>
      <c r="I192" s="66" t="str">
        <f t="shared" si="13"/>
        <v/>
      </c>
    </row>
    <row r="193" spans="8:9" ht="18.75" customHeight="1">
      <c r="H193" s="66" t="str">
        <f t="shared" si="12"/>
        <v/>
      </c>
      <c r="I193" s="66" t="str">
        <f t="shared" si="13"/>
        <v/>
      </c>
    </row>
    <row r="194" spans="8:9" ht="18.75" customHeight="1">
      <c r="H194" s="66" t="str">
        <f t="shared" si="12"/>
        <v/>
      </c>
      <c r="I194" s="66" t="str">
        <f t="shared" si="13"/>
        <v/>
      </c>
    </row>
    <row r="195" spans="8:9" ht="18.75" customHeight="1">
      <c r="H195" s="66" t="str">
        <f t="shared" si="12"/>
        <v/>
      </c>
      <c r="I195" s="66" t="str">
        <f t="shared" si="13"/>
        <v/>
      </c>
    </row>
    <row r="196" spans="8:9" ht="18.75" customHeight="1">
      <c r="H196" s="66" t="str">
        <f t="shared" si="12"/>
        <v/>
      </c>
      <c r="I196" s="66" t="str">
        <f t="shared" si="13"/>
        <v/>
      </c>
    </row>
    <row r="197" spans="8:9" ht="18.75" customHeight="1">
      <c r="H197" s="66" t="str">
        <f t="shared" si="12"/>
        <v/>
      </c>
      <c r="I197" s="66" t="str">
        <f t="shared" si="13"/>
        <v/>
      </c>
    </row>
    <row r="198" spans="8:9" ht="18.75" customHeight="1">
      <c r="H198" s="66" t="str">
        <f t="shared" si="12"/>
        <v/>
      </c>
      <c r="I198" s="66" t="str">
        <f t="shared" si="13"/>
        <v/>
      </c>
    </row>
    <row r="199" spans="8:9" ht="18.75" customHeight="1">
      <c r="H199" s="66" t="str">
        <f t="shared" si="12"/>
        <v/>
      </c>
      <c r="I199" s="66" t="str">
        <f t="shared" si="13"/>
        <v/>
      </c>
    </row>
    <row r="200" spans="8:9" ht="18.75" customHeight="1">
      <c r="H200" s="66" t="str">
        <f t="shared" si="12"/>
        <v/>
      </c>
      <c r="I200" s="66" t="str">
        <f t="shared" si="13"/>
        <v/>
      </c>
    </row>
    <row r="201" spans="8:9" ht="18.75" customHeight="1">
      <c r="H201" s="66" t="str">
        <f t="shared" si="12"/>
        <v/>
      </c>
      <c r="I201" s="66" t="str">
        <f t="shared" si="13"/>
        <v/>
      </c>
    </row>
    <row r="202" spans="8:9" ht="18.75" customHeight="1">
      <c r="H202" s="66" t="str">
        <f t="shared" si="12"/>
        <v/>
      </c>
      <c r="I202" s="66" t="str">
        <f t="shared" si="13"/>
        <v/>
      </c>
    </row>
    <row r="203" spans="8:9" ht="18.75" customHeight="1">
      <c r="H203" s="66" t="str">
        <f t="shared" si="12"/>
        <v/>
      </c>
      <c r="I203" s="66" t="str">
        <f t="shared" si="13"/>
        <v/>
      </c>
    </row>
    <row r="204" spans="8:9" ht="18.75" customHeight="1">
      <c r="H204" s="66" t="str">
        <f t="shared" si="12"/>
        <v/>
      </c>
      <c r="I204" s="66" t="str">
        <f t="shared" si="13"/>
        <v/>
      </c>
    </row>
    <row r="205" spans="8:9" ht="18.75" customHeight="1">
      <c r="H205" s="66" t="str">
        <f t="shared" si="12"/>
        <v/>
      </c>
      <c r="I205" s="66" t="str">
        <f t="shared" si="13"/>
        <v/>
      </c>
    </row>
    <row r="206" spans="8:9" ht="18.75" customHeight="1">
      <c r="H206" s="66" t="str">
        <f t="shared" si="12"/>
        <v/>
      </c>
      <c r="I206" s="66" t="str">
        <f t="shared" si="13"/>
        <v/>
      </c>
    </row>
    <row r="207" spans="8:9" ht="18.75" customHeight="1">
      <c r="H207" s="66" t="str">
        <f t="shared" si="12"/>
        <v/>
      </c>
      <c r="I207" s="66" t="str">
        <f t="shared" si="13"/>
        <v/>
      </c>
    </row>
    <row r="208" spans="8:9" ht="18.75" customHeight="1">
      <c r="H208" s="66" t="str">
        <f t="shared" si="12"/>
        <v/>
      </c>
      <c r="I208" s="66" t="str">
        <f t="shared" si="13"/>
        <v/>
      </c>
    </row>
    <row r="209" spans="8:9" ht="18.75" customHeight="1">
      <c r="H209" s="66" t="str">
        <f t="shared" si="12"/>
        <v/>
      </c>
      <c r="I209" s="66" t="str">
        <f t="shared" si="13"/>
        <v/>
      </c>
    </row>
    <row r="210" spans="8:9" ht="18.75" customHeight="1">
      <c r="H210" s="66" t="str">
        <f t="shared" si="12"/>
        <v/>
      </c>
      <c r="I210" s="66" t="str">
        <f t="shared" si="13"/>
        <v/>
      </c>
    </row>
    <row r="211" spans="8:9" ht="18.75" customHeight="1">
      <c r="H211" s="66" t="str">
        <f t="shared" si="12"/>
        <v/>
      </c>
      <c r="I211" s="66" t="str">
        <f t="shared" si="13"/>
        <v/>
      </c>
    </row>
    <row r="212" spans="8:9" ht="18.75" customHeight="1">
      <c r="H212" s="66" t="str">
        <f t="shared" si="12"/>
        <v/>
      </c>
      <c r="I212" s="66" t="str">
        <f t="shared" si="13"/>
        <v/>
      </c>
    </row>
    <row r="213" spans="8:9" ht="18.75" customHeight="1">
      <c r="H213" s="66" t="str">
        <f t="shared" si="12"/>
        <v/>
      </c>
      <c r="I213" s="66" t="str">
        <f t="shared" si="13"/>
        <v/>
      </c>
    </row>
    <row r="214" spans="8:9" ht="18.75" customHeight="1">
      <c r="H214" s="66" t="str">
        <f t="shared" si="12"/>
        <v/>
      </c>
      <c r="I214" s="66" t="str">
        <f t="shared" si="13"/>
        <v/>
      </c>
    </row>
    <row r="215" spans="8:9" ht="18.75" customHeight="1">
      <c r="H215" s="66" t="str">
        <f t="shared" si="12"/>
        <v/>
      </c>
      <c r="I215" s="66" t="str">
        <f t="shared" si="13"/>
        <v/>
      </c>
    </row>
    <row r="216" spans="8:9" ht="18.75" customHeight="1">
      <c r="H216" s="66" t="str">
        <f t="shared" si="12"/>
        <v/>
      </c>
      <c r="I216" s="66" t="str">
        <f t="shared" si="13"/>
        <v/>
      </c>
    </row>
    <row r="217" spans="8:9" ht="18.75" customHeight="1">
      <c r="H217" s="66" t="str">
        <f t="shared" si="12"/>
        <v/>
      </c>
      <c r="I217" s="66" t="str">
        <f t="shared" si="13"/>
        <v/>
      </c>
    </row>
    <row r="218" spans="8:9" ht="18.75" customHeight="1">
      <c r="H218" s="66" t="str">
        <f t="shared" si="12"/>
        <v/>
      </c>
      <c r="I218" s="66" t="str">
        <f t="shared" si="13"/>
        <v/>
      </c>
    </row>
    <row r="219" spans="8:9" ht="18.75" customHeight="1">
      <c r="H219" s="66" t="str">
        <f t="shared" si="12"/>
        <v/>
      </c>
      <c r="I219" s="66" t="str">
        <f t="shared" si="13"/>
        <v/>
      </c>
    </row>
    <row r="220" spans="8:9" ht="18.75" customHeight="1">
      <c r="H220" s="66" t="str">
        <f t="shared" si="12"/>
        <v/>
      </c>
      <c r="I220" s="66" t="str">
        <f t="shared" si="13"/>
        <v/>
      </c>
    </row>
    <row r="221" spans="8:9" ht="18.75" customHeight="1">
      <c r="H221" s="66" t="str">
        <f t="shared" si="12"/>
        <v/>
      </c>
      <c r="I221" s="66" t="str">
        <f t="shared" si="13"/>
        <v/>
      </c>
    </row>
    <row r="222" spans="8:9" ht="18.75" customHeight="1">
      <c r="H222" s="66" t="str">
        <f t="shared" si="12"/>
        <v/>
      </c>
      <c r="I222" s="66" t="str">
        <f t="shared" si="13"/>
        <v/>
      </c>
    </row>
    <row r="223" spans="8:9" ht="18.75" customHeight="1">
      <c r="H223" s="66" t="str">
        <f t="shared" si="12"/>
        <v/>
      </c>
      <c r="I223" s="66" t="str">
        <f t="shared" si="13"/>
        <v/>
      </c>
    </row>
    <row r="224" spans="8:9" ht="18.75" customHeight="1">
      <c r="H224" s="66" t="str">
        <f t="shared" si="12"/>
        <v/>
      </c>
      <c r="I224" s="66" t="str">
        <f t="shared" si="13"/>
        <v/>
      </c>
    </row>
    <row r="225" spans="8:9" ht="18.75" customHeight="1">
      <c r="H225" s="66" t="str">
        <f t="shared" si="12"/>
        <v/>
      </c>
      <c r="I225" s="66" t="str">
        <f t="shared" si="13"/>
        <v/>
      </c>
    </row>
    <row r="226" spans="8:9" ht="18.75" customHeight="1">
      <c r="H226" s="66" t="str">
        <f t="shared" si="12"/>
        <v/>
      </c>
      <c r="I226" s="66" t="str">
        <f t="shared" si="13"/>
        <v/>
      </c>
    </row>
    <row r="227" spans="8:9" ht="18.75" customHeight="1">
      <c r="H227" s="66" t="str">
        <f t="shared" si="12"/>
        <v/>
      </c>
      <c r="I227" s="66" t="str">
        <f t="shared" si="13"/>
        <v/>
      </c>
    </row>
    <row r="228" spans="8:9" ht="18.75" customHeight="1">
      <c r="H228" s="66" t="str">
        <f t="shared" si="12"/>
        <v/>
      </c>
      <c r="I228" s="66" t="str">
        <f t="shared" si="13"/>
        <v/>
      </c>
    </row>
    <row r="229" spans="8:9" ht="18.75" customHeight="1">
      <c r="H229" s="66" t="str">
        <f t="shared" si="12"/>
        <v/>
      </c>
      <c r="I229" s="66" t="str">
        <f t="shared" si="13"/>
        <v/>
      </c>
    </row>
    <row r="230" spans="8:9" ht="18.75" customHeight="1">
      <c r="H230" s="66" t="str">
        <f t="shared" ref="H230:H293" si="14">IF( G230&lt;&gt;"", G230+5,"")</f>
        <v/>
      </c>
      <c r="I230" s="66" t="str">
        <f t="shared" ref="I230:I293" si="15">IF( G230&lt;&gt;"", G230+13,"")</f>
        <v/>
      </c>
    </row>
    <row r="231" spans="8:9" ht="18.75" customHeight="1">
      <c r="H231" s="66" t="str">
        <f t="shared" si="14"/>
        <v/>
      </c>
      <c r="I231" s="66" t="str">
        <f t="shared" si="15"/>
        <v/>
      </c>
    </row>
    <row r="232" spans="8:9" ht="18.75" customHeight="1">
      <c r="H232" s="66" t="str">
        <f t="shared" si="14"/>
        <v/>
      </c>
      <c r="I232" s="66" t="str">
        <f t="shared" si="15"/>
        <v/>
      </c>
    </row>
    <row r="233" spans="8:9" ht="18.75" customHeight="1">
      <c r="H233" s="66" t="str">
        <f t="shared" si="14"/>
        <v/>
      </c>
      <c r="I233" s="66" t="str">
        <f t="shared" si="15"/>
        <v/>
      </c>
    </row>
    <row r="234" spans="8:9" ht="18.75" customHeight="1">
      <c r="H234" s="66" t="str">
        <f t="shared" si="14"/>
        <v/>
      </c>
      <c r="I234" s="66" t="str">
        <f t="shared" si="15"/>
        <v/>
      </c>
    </row>
    <row r="235" spans="8:9" ht="18.75" customHeight="1">
      <c r="H235" s="66" t="str">
        <f t="shared" si="14"/>
        <v/>
      </c>
      <c r="I235" s="66" t="str">
        <f t="shared" si="15"/>
        <v/>
      </c>
    </row>
    <row r="236" spans="8:9" ht="18.75" customHeight="1">
      <c r="H236" s="66" t="str">
        <f t="shared" si="14"/>
        <v/>
      </c>
      <c r="I236" s="66" t="str">
        <f t="shared" si="15"/>
        <v/>
      </c>
    </row>
    <row r="237" spans="8:9" ht="18.75" customHeight="1">
      <c r="H237" s="66" t="str">
        <f t="shared" si="14"/>
        <v/>
      </c>
      <c r="I237" s="66" t="str">
        <f t="shared" si="15"/>
        <v/>
      </c>
    </row>
    <row r="238" spans="8:9" ht="18.75" customHeight="1">
      <c r="H238" s="66" t="str">
        <f t="shared" si="14"/>
        <v/>
      </c>
      <c r="I238" s="66" t="str">
        <f t="shared" si="15"/>
        <v/>
      </c>
    </row>
    <row r="239" spans="8:9" ht="18.75" customHeight="1">
      <c r="H239" s="66" t="str">
        <f t="shared" si="14"/>
        <v/>
      </c>
      <c r="I239" s="66" t="str">
        <f t="shared" si="15"/>
        <v/>
      </c>
    </row>
    <row r="240" spans="8:9" ht="18.75" customHeight="1">
      <c r="H240" s="66" t="str">
        <f t="shared" si="14"/>
        <v/>
      </c>
      <c r="I240" s="66" t="str">
        <f t="shared" si="15"/>
        <v/>
      </c>
    </row>
    <row r="241" spans="8:9" ht="18.75" customHeight="1">
      <c r="H241" s="66" t="str">
        <f t="shared" si="14"/>
        <v/>
      </c>
      <c r="I241" s="66" t="str">
        <f t="shared" si="15"/>
        <v/>
      </c>
    </row>
    <row r="242" spans="8:9" ht="18.75" customHeight="1">
      <c r="H242" s="66" t="str">
        <f t="shared" si="14"/>
        <v/>
      </c>
      <c r="I242" s="66" t="str">
        <f t="shared" si="15"/>
        <v/>
      </c>
    </row>
    <row r="243" spans="8:9" ht="18.75" customHeight="1">
      <c r="H243" s="66" t="str">
        <f t="shared" si="14"/>
        <v/>
      </c>
      <c r="I243" s="66" t="str">
        <f t="shared" si="15"/>
        <v/>
      </c>
    </row>
    <row r="244" spans="8:9" ht="18.75" customHeight="1">
      <c r="H244" s="66" t="str">
        <f t="shared" si="14"/>
        <v/>
      </c>
      <c r="I244" s="66" t="str">
        <f t="shared" si="15"/>
        <v/>
      </c>
    </row>
    <row r="245" spans="8:9" ht="18.75" customHeight="1">
      <c r="H245" s="66" t="str">
        <f t="shared" si="14"/>
        <v/>
      </c>
      <c r="I245" s="66" t="str">
        <f t="shared" si="15"/>
        <v/>
      </c>
    </row>
    <row r="246" spans="8:9" ht="18.75" customHeight="1">
      <c r="H246" s="66" t="str">
        <f t="shared" si="14"/>
        <v/>
      </c>
      <c r="I246" s="66" t="str">
        <f t="shared" si="15"/>
        <v/>
      </c>
    </row>
    <row r="247" spans="8:9" ht="18.75" customHeight="1">
      <c r="H247" s="66" t="str">
        <f t="shared" si="14"/>
        <v/>
      </c>
      <c r="I247" s="66" t="str">
        <f t="shared" si="15"/>
        <v/>
      </c>
    </row>
    <row r="248" spans="8:9" ht="18.75" customHeight="1">
      <c r="H248" s="66" t="str">
        <f t="shared" si="14"/>
        <v/>
      </c>
      <c r="I248" s="66" t="str">
        <f t="shared" si="15"/>
        <v/>
      </c>
    </row>
    <row r="249" spans="8:9" ht="18.75" customHeight="1">
      <c r="H249" s="66" t="str">
        <f t="shared" si="14"/>
        <v/>
      </c>
      <c r="I249" s="66" t="str">
        <f t="shared" si="15"/>
        <v/>
      </c>
    </row>
    <row r="250" spans="8:9" ht="18.75" customHeight="1">
      <c r="H250" s="66" t="str">
        <f t="shared" si="14"/>
        <v/>
      </c>
      <c r="I250" s="66" t="str">
        <f t="shared" si="15"/>
        <v/>
      </c>
    </row>
    <row r="251" spans="8:9" ht="18.75" customHeight="1">
      <c r="H251" s="66" t="str">
        <f t="shared" si="14"/>
        <v/>
      </c>
      <c r="I251" s="66" t="str">
        <f t="shared" si="15"/>
        <v/>
      </c>
    </row>
    <row r="252" spans="8:9" ht="18.75" customHeight="1">
      <c r="H252" s="66" t="str">
        <f t="shared" si="14"/>
        <v/>
      </c>
      <c r="I252" s="66" t="str">
        <f t="shared" si="15"/>
        <v/>
      </c>
    </row>
    <row r="253" spans="8:9" ht="18.75" customHeight="1">
      <c r="H253" s="66" t="str">
        <f t="shared" si="14"/>
        <v/>
      </c>
      <c r="I253" s="66" t="str">
        <f t="shared" si="15"/>
        <v/>
      </c>
    </row>
    <row r="254" spans="8:9" ht="18.75" customHeight="1">
      <c r="H254" s="66" t="str">
        <f t="shared" si="14"/>
        <v/>
      </c>
      <c r="I254" s="66" t="str">
        <f t="shared" si="15"/>
        <v/>
      </c>
    </row>
    <row r="255" spans="8:9" ht="18.75" customHeight="1">
      <c r="H255" s="66" t="str">
        <f t="shared" si="14"/>
        <v/>
      </c>
      <c r="I255" s="66" t="str">
        <f t="shared" si="15"/>
        <v/>
      </c>
    </row>
    <row r="256" spans="8:9" ht="18.75" customHeight="1">
      <c r="H256" s="66" t="str">
        <f t="shared" si="14"/>
        <v/>
      </c>
      <c r="I256" s="66" t="str">
        <f t="shared" si="15"/>
        <v/>
      </c>
    </row>
    <row r="257" spans="8:9" ht="18.75" customHeight="1">
      <c r="H257" s="66" t="str">
        <f t="shared" si="14"/>
        <v/>
      </c>
      <c r="I257" s="66" t="str">
        <f t="shared" si="15"/>
        <v/>
      </c>
    </row>
    <row r="258" spans="8:9" ht="18.75" customHeight="1">
      <c r="H258" s="66" t="str">
        <f t="shared" si="14"/>
        <v/>
      </c>
      <c r="I258" s="66" t="str">
        <f t="shared" si="15"/>
        <v/>
      </c>
    </row>
    <row r="259" spans="8:9" ht="18.75" customHeight="1">
      <c r="H259" s="66" t="str">
        <f t="shared" si="14"/>
        <v/>
      </c>
      <c r="I259" s="66" t="str">
        <f t="shared" si="15"/>
        <v/>
      </c>
    </row>
    <row r="260" spans="8:9" ht="18.75" customHeight="1">
      <c r="H260" s="66" t="str">
        <f t="shared" si="14"/>
        <v/>
      </c>
      <c r="I260" s="66" t="str">
        <f t="shared" si="15"/>
        <v/>
      </c>
    </row>
    <row r="261" spans="8:9" ht="18.75" customHeight="1">
      <c r="H261" s="66" t="str">
        <f t="shared" si="14"/>
        <v/>
      </c>
      <c r="I261" s="66" t="str">
        <f t="shared" si="15"/>
        <v/>
      </c>
    </row>
    <row r="262" spans="8:9" ht="18.75" customHeight="1">
      <c r="H262" s="66" t="str">
        <f t="shared" si="14"/>
        <v/>
      </c>
      <c r="I262" s="66" t="str">
        <f t="shared" si="15"/>
        <v/>
      </c>
    </row>
    <row r="263" spans="8:9" ht="18.75" customHeight="1">
      <c r="H263" s="66" t="str">
        <f t="shared" si="14"/>
        <v/>
      </c>
      <c r="I263" s="66" t="str">
        <f t="shared" si="15"/>
        <v/>
      </c>
    </row>
    <row r="264" spans="8:9" ht="18.75" customHeight="1">
      <c r="H264" s="66" t="str">
        <f t="shared" si="14"/>
        <v/>
      </c>
      <c r="I264" s="66" t="str">
        <f t="shared" si="15"/>
        <v/>
      </c>
    </row>
    <row r="265" spans="8:9" ht="18.75" customHeight="1">
      <c r="H265" s="66" t="str">
        <f t="shared" si="14"/>
        <v/>
      </c>
      <c r="I265" s="66" t="str">
        <f t="shared" si="15"/>
        <v/>
      </c>
    </row>
    <row r="266" spans="8:9" ht="18.75" customHeight="1">
      <c r="H266" s="66" t="str">
        <f t="shared" si="14"/>
        <v/>
      </c>
      <c r="I266" s="66" t="str">
        <f t="shared" si="15"/>
        <v/>
      </c>
    </row>
    <row r="267" spans="8:9" ht="18.75" customHeight="1">
      <c r="H267" s="66" t="str">
        <f t="shared" si="14"/>
        <v/>
      </c>
      <c r="I267" s="66" t="str">
        <f t="shared" si="15"/>
        <v/>
      </c>
    </row>
    <row r="268" spans="8:9" ht="18.75" customHeight="1">
      <c r="H268" s="66" t="str">
        <f t="shared" si="14"/>
        <v/>
      </c>
      <c r="I268" s="66" t="str">
        <f t="shared" si="15"/>
        <v/>
      </c>
    </row>
    <row r="269" spans="8:9" ht="18.75" customHeight="1">
      <c r="H269" s="66" t="str">
        <f t="shared" si="14"/>
        <v/>
      </c>
      <c r="I269" s="66" t="str">
        <f t="shared" si="15"/>
        <v/>
      </c>
    </row>
    <row r="270" spans="8:9" ht="18.75" customHeight="1">
      <c r="H270" s="66" t="str">
        <f t="shared" si="14"/>
        <v/>
      </c>
      <c r="I270" s="66" t="str">
        <f t="shared" si="15"/>
        <v/>
      </c>
    </row>
    <row r="271" spans="8:9" ht="18.75" customHeight="1">
      <c r="H271" s="66" t="str">
        <f t="shared" si="14"/>
        <v/>
      </c>
      <c r="I271" s="66" t="str">
        <f t="shared" si="15"/>
        <v/>
      </c>
    </row>
    <row r="272" spans="8:9" ht="18.75" customHeight="1">
      <c r="H272" s="66" t="str">
        <f t="shared" si="14"/>
        <v/>
      </c>
      <c r="I272" s="66" t="str">
        <f t="shared" si="15"/>
        <v/>
      </c>
    </row>
    <row r="273" spans="8:9" ht="18.75" customHeight="1">
      <c r="H273" s="66" t="str">
        <f t="shared" si="14"/>
        <v/>
      </c>
      <c r="I273" s="66" t="str">
        <f t="shared" si="15"/>
        <v/>
      </c>
    </row>
    <row r="274" spans="8:9" ht="18.75" customHeight="1">
      <c r="H274" s="66" t="str">
        <f t="shared" si="14"/>
        <v/>
      </c>
      <c r="I274" s="66" t="str">
        <f t="shared" si="15"/>
        <v/>
      </c>
    </row>
    <row r="275" spans="8:9" ht="18.75" customHeight="1">
      <c r="H275" s="66" t="str">
        <f t="shared" si="14"/>
        <v/>
      </c>
      <c r="I275" s="66" t="str">
        <f t="shared" si="15"/>
        <v/>
      </c>
    </row>
    <row r="276" spans="8:9" ht="18.75" customHeight="1">
      <c r="H276" s="66" t="str">
        <f t="shared" si="14"/>
        <v/>
      </c>
      <c r="I276" s="66" t="str">
        <f t="shared" si="15"/>
        <v/>
      </c>
    </row>
    <row r="277" spans="8:9" ht="18.75" customHeight="1">
      <c r="H277" s="66" t="str">
        <f t="shared" si="14"/>
        <v/>
      </c>
      <c r="I277" s="66" t="str">
        <f t="shared" si="15"/>
        <v/>
      </c>
    </row>
    <row r="278" spans="8:9" ht="18.75" customHeight="1">
      <c r="H278" s="66" t="str">
        <f t="shared" si="14"/>
        <v/>
      </c>
      <c r="I278" s="66" t="str">
        <f t="shared" si="15"/>
        <v/>
      </c>
    </row>
    <row r="279" spans="8:9" ht="18.75" customHeight="1">
      <c r="H279" s="66" t="str">
        <f t="shared" si="14"/>
        <v/>
      </c>
      <c r="I279" s="66" t="str">
        <f t="shared" si="15"/>
        <v/>
      </c>
    </row>
    <row r="280" spans="8:9" ht="18.75" customHeight="1">
      <c r="H280" s="66" t="str">
        <f t="shared" si="14"/>
        <v/>
      </c>
      <c r="I280" s="66" t="str">
        <f t="shared" si="15"/>
        <v/>
      </c>
    </row>
    <row r="281" spans="8:9" ht="18.75" customHeight="1">
      <c r="H281" s="66" t="str">
        <f t="shared" si="14"/>
        <v/>
      </c>
      <c r="I281" s="66" t="str">
        <f t="shared" si="15"/>
        <v/>
      </c>
    </row>
    <row r="282" spans="8:9" ht="18.75" customHeight="1">
      <c r="H282" s="66" t="str">
        <f t="shared" si="14"/>
        <v/>
      </c>
      <c r="I282" s="66" t="str">
        <f t="shared" si="15"/>
        <v/>
      </c>
    </row>
    <row r="283" spans="8:9" ht="18.75" customHeight="1">
      <c r="H283" s="66" t="str">
        <f t="shared" si="14"/>
        <v/>
      </c>
      <c r="I283" s="66" t="str">
        <f t="shared" si="15"/>
        <v/>
      </c>
    </row>
    <row r="284" spans="8:9" ht="18.75" customHeight="1">
      <c r="H284" s="66" t="str">
        <f t="shared" si="14"/>
        <v/>
      </c>
      <c r="I284" s="66" t="str">
        <f t="shared" si="15"/>
        <v/>
      </c>
    </row>
    <row r="285" spans="8:9" ht="18.75" customHeight="1">
      <c r="H285" s="66" t="str">
        <f t="shared" si="14"/>
        <v/>
      </c>
      <c r="I285" s="66" t="str">
        <f t="shared" si="15"/>
        <v/>
      </c>
    </row>
    <row r="286" spans="8:9" ht="18.75" customHeight="1">
      <c r="H286" s="66" t="str">
        <f t="shared" si="14"/>
        <v/>
      </c>
      <c r="I286" s="66" t="str">
        <f t="shared" si="15"/>
        <v/>
      </c>
    </row>
    <row r="287" spans="8:9" ht="18.75" customHeight="1">
      <c r="H287" s="66" t="str">
        <f t="shared" si="14"/>
        <v/>
      </c>
      <c r="I287" s="66" t="str">
        <f t="shared" si="15"/>
        <v/>
      </c>
    </row>
    <row r="288" spans="8:9" ht="18.75" customHeight="1">
      <c r="H288" s="66" t="str">
        <f t="shared" si="14"/>
        <v/>
      </c>
      <c r="I288" s="66" t="str">
        <f t="shared" si="15"/>
        <v/>
      </c>
    </row>
    <row r="289" spans="8:9" ht="18.75" customHeight="1">
      <c r="H289" s="66" t="str">
        <f t="shared" si="14"/>
        <v/>
      </c>
      <c r="I289" s="66" t="str">
        <f t="shared" si="15"/>
        <v/>
      </c>
    </row>
    <row r="290" spans="8:9" ht="18.75" customHeight="1">
      <c r="H290" s="66" t="str">
        <f t="shared" si="14"/>
        <v/>
      </c>
      <c r="I290" s="66" t="str">
        <f t="shared" si="15"/>
        <v/>
      </c>
    </row>
    <row r="291" spans="8:9" ht="18.75" customHeight="1">
      <c r="H291" s="66" t="str">
        <f t="shared" si="14"/>
        <v/>
      </c>
      <c r="I291" s="66" t="str">
        <f t="shared" si="15"/>
        <v/>
      </c>
    </row>
    <row r="292" spans="8:9" ht="18.75" customHeight="1">
      <c r="H292" s="66" t="str">
        <f t="shared" si="14"/>
        <v/>
      </c>
      <c r="I292" s="66" t="str">
        <f t="shared" si="15"/>
        <v/>
      </c>
    </row>
    <row r="293" spans="8:9" ht="18.75" customHeight="1">
      <c r="H293" s="66" t="str">
        <f t="shared" si="14"/>
        <v/>
      </c>
      <c r="I293" s="66" t="str">
        <f t="shared" si="15"/>
        <v/>
      </c>
    </row>
    <row r="294" spans="8:9" ht="18.75" customHeight="1">
      <c r="H294" s="66" t="str">
        <f t="shared" ref="H294:H357" si="16">IF( G294&lt;&gt;"", G294+5,"")</f>
        <v/>
      </c>
      <c r="I294" s="66" t="str">
        <f t="shared" ref="I294:I357" si="17">IF( G294&lt;&gt;"", G294+13,"")</f>
        <v/>
      </c>
    </row>
    <row r="295" spans="8:9" ht="18.75" customHeight="1">
      <c r="H295" s="66" t="str">
        <f t="shared" si="16"/>
        <v/>
      </c>
      <c r="I295" s="66" t="str">
        <f t="shared" si="17"/>
        <v/>
      </c>
    </row>
    <row r="296" spans="8:9" ht="18.75" customHeight="1">
      <c r="H296" s="66" t="str">
        <f t="shared" si="16"/>
        <v/>
      </c>
      <c r="I296" s="66" t="str">
        <f t="shared" si="17"/>
        <v/>
      </c>
    </row>
    <row r="297" spans="8:9" ht="18.75" customHeight="1">
      <c r="H297" s="66" t="str">
        <f t="shared" si="16"/>
        <v/>
      </c>
      <c r="I297" s="66" t="str">
        <f t="shared" si="17"/>
        <v/>
      </c>
    </row>
    <row r="298" spans="8:9" ht="18.75" customHeight="1">
      <c r="H298" s="66" t="str">
        <f t="shared" si="16"/>
        <v/>
      </c>
      <c r="I298" s="66" t="str">
        <f t="shared" si="17"/>
        <v/>
      </c>
    </row>
    <row r="299" spans="8:9" ht="18.75" customHeight="1">
      <c r="H299" s="66" t="str">
        <f t="shared" si="16"/>
        <v/>
      </c>
      <c r="I299" s="66" t="str">
        <f t="shared" si="17"/>
        <v/>
      </c>
    </row>
    <row r="300" spans="8:9" ht="18.75" customHeight="1">
      <c r="H300" s="66" t="str">
        <f t="shared" si="16"/>
        <v/>
      </c>
      <c r="I300" s="66" t="str">
        <f t="shared" si="17"/>
        <v/>
      </c>
    </row>
    <row r="301" spans="8:9" ht="18.75" customHeight="1">
      <c r="H301" s="66" t="str">
        <f t="shared" si="16"/>
        <v/>
      </c>
      <c r="I301" s="66" t="str">
        <f t="shared" si="17"/>
        <v/>
      </c>
    </row>
    <row r="302" spans="8:9" ht="18.75" customHeight="1">
      <c r="H302" s="66" t="str">
        <f t="shared" si="16"/>
        <v/>
      </c>
      <c r="I302" s="66" t="str">
        <f t="shared" si="17"/>
        <v/>
      </c>
    </row>
    <row r="303" spans="8:9" ht="18.75" customHeight="1">
      <c r="H303" s="66" t="str">
        <f t="shared" si="16"/>
        <v/>
      </c>
      <c r="I303" s="66" t="str">
        <f t="shared" si="17"/>
        <v/>
      </c>
    </row>
    <row r="304" spans="8:9" ht="18.75" customHeight="1">
      <c r="H304" s="66" t="str">
        <f t="shared" si="16"/>
        <v/>
      </c>
      <c r="I304" s="66" t="str">
        <f t="shared" si="17"/>
        <v/>
      </c>
    </row>
    <row r="305" spans="8:9" ht="18.75" customHeight="1">
      <c r="H305" s="66" t="str">
        <f t="shared" si="16"/>
        <v/>
      </c>
      <c r="I305" s="66" t="str">
        <f t="shared" si="17"/>
        <v/>
      </c>
    </row>
    <row r="306" spans="8:9" ht="18.75" customHeight="1">
      <c r="H306" s="66" t="str">
        <f t="shared" si="16"/>
        <v/>
      </c>
      <c r="I306" s="66" t="str">
        <f t="shared" si="17"/>
        <v/>
      </c>
    </row>
    <row r="307" spans="8:9" ht="18.75" customHeight="1">
      <c r="H307" s="66" t="str">
        <f t="shared" si="16"/>
        <v/>
      </c>
      <c r="I307" s="66" t="str">
        <f t="shared" si="17"/>
        <v/>
      </c>
    </row>
    <row r="308" spans="8:9" ht="18.75" customHeight="1">
      <c r="H308" s="66" t="str">
        <f t="shared" si="16"/>
        <v/>
      </c>
      <c r="I308" s="66" t="str">
        <f t="shared" si="17"/>
        <v/>
      </c>
    </row>
    <row r="309" spans="8:9" ht="18.75" customHeight="1">
      <c r="H309" s="66" t="str">
        <f t="shared" si="16"/>
        <v/>
      </c>
      <c r="I309" s="66" t="str">
        <f t="shared" si="17"/>
        <v/>
      </c>
    </row>
    <row r="310" spans="8:9" ht="18.75" customHeight="1">
      <c r="H310" s="66" t="str">
        <f t="shared" si="16"/>
        <v/>
      </c>
      <c r="I310" s="66" t="str">
        <f t="shared" si="17"/>
        <v/>
      </c>
    </row>
    <row r="311" spans="8:9" ht="18.75" customHeight="1">
      <c r="H311" s="66" t="str">
        <f t="shared" si="16"/>
        <v/>
      </c>
      <c r="I311" s="66" t="str">
        <f t="shared" si="17"/>
        <v/>
      </c>
    </row>
    <row r="312" spans="8:9" ht="18.75" customHeight="1">
      <c r="H312" s="66" t="str">
        <f t="shared" si="16"/>
        <v/>
      </c>
      <c r="I312" s="66" t="str">
        <f t="shared" si="17"/>
        <v/>
      </c>
    </row>
    <row r="313" spans="8:9" ht="18.75" customHeight="1">
      <c r="H313" s="66" t="str">
        <f t="shared" si="16"/>
        <v/>
      </c>
      <c r="I313" s="66" t="str">
        <f t="shared" si="17"/>
        <v/>
      </c>
    </row>
    <row r="314" spans="8:9" ht="18.75" customHeight="1">
      <c r="H314" s="66" t="str">
        <f t="shared" si="16"/>
        <v/>
      </c>
      <c r="I314" s="66" t="str">
        <f t="shared" si="17"/>
        <v/>
      </c>
    </row>
    <row r="315" spans="8:9" ht="18.75" customHeight="1">
      <c r="H315" s="66" t="str">
        <f t="shared" si="16"/>
        <v/>
      </c>
      <c r="I315" s="66" t="str">
        <f t="shared" si="17"/>
        <v/>
      </c>
    </row>
    <row r="316" spans="8:9" ht="18.75" customHeight="1">
      <c r="H316" s="66" t="str">
        <f t="shared" si="16"/>
        <v/>
      </c>
      <c r="I316" s="66" t="str">
        <f t="shared" si="17"/>
        <v/>
      </c>
    </row>
    <row r="317" spans="8:9" ht="18.75" customHeight="1">
      <c r="H317" s="66" t="str">
        <f t="shared" si="16"/>
        <v/>
      </c>
      <c r="I317" s="66" t="str">
        <f t="shared" si="17"/>
        <v/>
      </c>
    </row>
    <row r="318" spans="8:9" ht="18.75" customHeight="1">
      <c r="H318" s="66" t="str">
        <f t="shared" si="16"/>
        <v/>
      </c>
      <c r="I318" s="66" t="str">
        <f t="shared" si="17"/>
        <v/>
      </c>
    </row>
    <row r="319" spans="8:9" ht="18.75" customHeight="1">
      <c r="H319" s="66" t="str">
        <f t="shared" si="16"/>
        <v/>
      </c>
      <c r="I319" s="66" t="str">
        <f t="shared" si="17"/>
        <v/>
      </c>
    </row>
    <row r="320" spans="8:9" ht="18.75" customHeight="1">
      <c r="H320" s="66" t="str">
        <f t="shared" si="16"/>
        <v/>
      </c>
      <c r="I320" s="66" t="str">
        <f t="shared" si="17"/>
        <v/>
      </c>
    </row>
    <row r="321" spans="8:9" ht="18.75" customHeight="1">
      <c r="H321" s="66" t="str">
        <f t="shared" si="16"/>
        <v/>
      </c>
      <c r="I321" s="66" t="str">
        <f t="shared" si="17"/>
        <v/>
      </c>
    </row>
    <row r="322" spans="8:9" ht="18.75" customHeight="1">
      <c r="H322" s="66" t="str">
        <f t="shared" si="16"/>
        <v/>
      </c>
      <c r="I322" s="66" t="str">
        <f t="shared" si="17"/>
        <v/>
      </c>
    </row>
    <row r="323" spans="8:9" ht="18.75" customHeight="1">
      <c r="H323" s="66" t="str">
        <f t="shared" si="16"/>
        <v/>
      </c>
      <c r="I323" s="66" t="str">
        <f t="shared" si="17"/>
        <v/>
      </c>
    </row>
    <row r="324" spans="8:9" ht="18.75" customHeight="1">
      <c r="H324" s="66" t="str">
        <f t="shared" si="16"/>
        <v/>
      </c>
      <c r="I324" s="66" t="str">
        <f t="shared" si="17"/>
        <v/>
      </c>
    </row>
    <row r="325" spans="8:9" ht="18.75" customHeight="1">
      <c r="H325" s="66" t="str">
        <f t="shared" si="16"/>
        <v/>
      </c>
      <c r="I325" s="66" t="str">
        <f t="shared" si="17"/>
        <v/>
      </c>
    </row>
    <row r="326" spans="8:9" ht="18.75" customHeight="1">
      <c r="H326" s="66" t="str">
        <f t="shared" si="16"/>
        <v/>
      </c>
      <c r="I326" s="66" t="str">
        <f t="shared" si="17"/>
        <v/>
      </c>
    </row>
    <row r="327" spans="8:9" ht="18.75" customHeight="1">
      <c r="H327" s="66" t="str">
        <f t="shared" si="16"/>
        <v/>
      </c>
      <c r="I327" s="66" t="str">
        <f t="shared" si="17"/>
        <v/>
      </c>
    </row>
    <row r="328" spans="8:9" ht="18.75" customHeight="1">
      <c r="H328" s="66" t="str">
        <f t="shared" si="16"/>
        <v/>
      </c>
      <c r="I328" s="66" t="str">
        <f t="shared" si="17"/>
        <v/>
      </c>
    </row>
    <row r="329" spans="8:9" ht="18.75" customHeight="1">
      <c r="H329" s="66" t="str">
        <f t="shared" si="16"/>
        <v/>
      </c>
      <c r="I329" s="66" t="str">
        <f t="shared" si="17"/>
        <v/>
      </c>
    </row>
    <row r="330" spans="8:9" ht="18.75" customHeight="1">
      <c r="H330" s="66" t="str">
        <f t="shared" si="16"/>
        <v/>
      </c>
      <c r="I330" s="66" t="str">
        <f t="shared" si="17"/>
        <v/>
      </c>
    </row>
    <row r="331" spans="8:9" ht="18.75" customHeight="1">
      <c r="H331" s="66" t="str">
        <f t="shared" si="16"/>
        <v/>
      </c>
      <c r="I331" s="66" t="str">
        <f t="shared" si="17"/>
        <v/>
      </c>
    </row>
    <row r="332" spans="8:9" ht="18.75" customHeight="1">
      <c r="H332" s="66" t="str">
        <f t="shared" si="16"/>
        <v/>
      </c>
      <c r="I332" s="66" t="str">
        <f t="shared" si="17"/>
        <v/>
      </c>
    </row>
    <row r="333" spans="8:9" ht="18.75" customHeight="1">
      <c r="H333" s="66" t="str">
        <f t="shared" si="16"/>
        <v/>
      </c>
      <c r="I333" s="66" t="str">
        <f t="shared" si="17"/>
        <v/>
      </c>
    </row>
    <row r="334" spans="8:9" ht="18.75" customHeight="1">
      <c r="H334" s="66" t="str">
        <f t="shared" si="16"/>
        <v/>
      </c>
      <c r="I334" s="66" t="str">
        <f t="shared" si="17"/>
        <v/>
      </c>
    </row>
    <row r="335" spans="8:9" ht="18.75" customHeight="1">
      <c r="H335" s="66" t="str">
        <f t="shared" si="16"/>
        <v/>
      </c>
      <c r="I335" s="66" t="str">
        <f t="shared" si="17"/>
        <v/>
      </c>
    </row>
    <row r="336" spans="8:9" ht="18.75" customHeight="1">
      <c r="H336" s="66" t="str">
        <f t="shared" si="16"/>
        <v/>
      </c>
      <c r="I336" s="66" t="str">
        <f t="shared" si="17"/>
        <v/>
      </c>
    </row>
    <row r="337" spans="8:9" ht="18.75" customHeight="1">
      <c r="H337" s="66" t="str">
        <f t="shared" si="16"/>
        <v/>
      </c>
      <c r="I337" s="66" t="str">
        <f t="shared" si="17"/>
        <v/>
      </c>
    </row>
    <row r="338" spans="8:9" ht="18.75" customHeight="1">
      <c r="H338" s="66" t="str">
        <f t="shared" si="16"/>
        <v/>
      </c>
      <c r="I338" s="66" t="str">
        <f t="shared" si="17"/>
        <v/>
      </c>
    </row>
    <row r="339" spans="8:9" ht="18.75" customHeight="1">
      <c r="H339" s="66" t="str">
        <f t="shared" si="16"/>
        <v/>
      </c>
      <c r="I339" s="66" t="str">
        <f t="shared" si="17"/>
        <v/>
      </c>
    </row>
    <row r="340" spans="8:9" ht="18.75" customHeight="1">
      <c r="H340" s="66" t="str">
        <f t="shared" si="16"/>
        <v/>
      </c>
      <c r="I340" s="66" t="str">
        <f t="shared" si="17"/>
        <v/>
      </c>
    </row>
    <row r="341" spans="8:9" ht="18.75" customHeight="1">
      <c r="H341" s="66" t="str">
        <f t="shared" si="16"/>
        <v/>
      </c>
      <c r="I341" s="66" t="str">
        <f t="shared" si="17"/>
        <v/>
      </c>
    </row>
    <row r="342" spans="8:9" ht="18.75" customHeight="1">
      <c r="H342" s="66" t="str">
        <f t="shared" si="16"/>
        <v/>
      </c>
      <c r="I342" s="66" t="str">
        <f t="shared" si="17"/>
        <v/>
      </c>
    </row>
    <row r="343" spans="8:9" ht="18.75" customHeight="1">
      <c r="H343" s="66" t="str">
        <f t="shared" si="16"/>
        <v/>
      </c>
      <c r="I343" s="66" t="str">
        <f t="shared" si="17"/>
        <v/>
      </c>
    </row>
    <row r="344" spans="8:9" ht="18.75" customHeight="1">
      <c r="H344" s="66" t="str">
        <f t="shared" si="16"/>
        <v/>
      </c>
      <c r="I344" s="66" t="str">
        <f t="shared" si="17"/>
        <v/>
      </c>
    </row>
    <row r="345" spans="8:9" ht="18.75" customHeight="1">
      <c r="H345" s="66" t="str">
        <f t="shared" si="16"/>
        <v/>
      </c>
      <c r="I345" s="66" t="str">
        <f t="shared" si="17"/>
        <v/>
      </c>
    </row>
    <row r="346" spans="8:9" ht="18.75" customHeight="1">
      <c r="H346" s="66" t="str">
        <f t="shared" si="16"/>
        <v/>
      </c>
      <c r="I346" s="66" t="str">
        <f t="shared" si="17"/>
        <v/>
      </c>
    </row>
    <row r="347" spans="8:9" ht="18.75" customHeight="1">
      <c r="H347" s="66" t="str">
        <f t="shared" si="16"/>
        <v/>
      </c>
      <c r="I347" s="66" t="str">
        <f t="shared" si="17"/>
        <v/>
      </c>
    </row>
    <row r="348" spans="8:9" ht="18.75" customHeight="1">
      <c r="H348" s="66" t="str">
        <f t="shared" si="16"/>
        <v/>
      </c>
      <c r="I348" s="66" t="str">
        <f t="shared" si="17"/>
        <v/>
      </c>
    </row>
    <row r="349" spans="8:9" ht="18.75" customHeight="1">
      <c r="H349" s="66" t="str">
        <f t="shared" si="16"/>
        <v/>
      </c>
      <c r="I349" s="66" t="str">
        <f t="shared" si="17"/>
        <v/>
      </c>
    </row>
    <row r="350" spans="8:9" ht="18.75" customHeight="1">
      <c r="H350" s="66" t="str">
        <f t="shared" si="16"/>
        <v/>
      </c>
      <c r="I350" s="66" t="str">
        <f t="shared" si="17"/>
        <v/>
      </c>
    </row>
    <row r="351" spans="8:9" ht="18.75" customHeight="1">
      <c r="H351" s="66" t="str">
        <f t="shared" si="16"/>
        <v/>
      </c>
      <c r="I351" s="66" t="str">
        <f t="shared" si="17"/>
        <v/>
      </c>
    </row>
    <row r="352" spans="8:9" ht="18.75" customHeight="1">
      <c r="H352" s="66" t="str">
        <f t="shared" si="16"/>
        <v/>
      </c>
      <c r="I352" s="66" t="str">
        <f t="shared" si="17"/>
        <v/>
      </c>
    </row>
    <row r="353" spans="8:9" ht="18.75" customHeight="1">
      <c r="H353" s="66" t="str">
        <f t="shared" si="16"/>
        <v/>
      </c>
      <c r="I353" s="66" t="str">
        <f t="shared" si="17"/>
        <v/>
      </c>
    </row>
    <row r="354" spans="8:9" ht="18.75" customHeight="1">
      <c r="H354" s="66" t="str">
        <f t="shared" si="16"/>
        <v/>
      </c>
      <c r="I354" s="66" t="str">
        <f t="shared" si="17"/>
        <v/>
      </c>
    </row>
    <row r="355" spans="8:9" ht="18.75" customHeight="1">
      <c r="H355" s="66" t="str">
        <f t="shared" si="16"/>
        <v/>
      </c>
      <c r="I355" s="66" t="str">
        <f t="shared" si="17"/>
        <v/>
      </c>
    </row>
    <row r="356" spans="8:9" ht="18.75" customHeight="1">
      <c r="H356" s="66" t="str">
        <f t="shared" si="16"/>
        <v/>
      </c>
      <c r="I356" s="66" t="str">
        <f t="shared" si="17"/>
        <v/>
      </c>
    </row>
    <row r="357" spans="8:9" ht="18.75" customHeight="1">
      <c r="H357" s="66" t="str">
        <f t="shared" si="16"/>
        <v/>
      </c>
      <c r="I357" s="66" t="str">
        <f t="shared" si="17"/>
        <v/>
      </c>
    </row>
    <row r="358" spans="8:9" ht="18.75" customHeight="1">
      <c r="H358" s="66" t="str">
        <f t="shared" ref="H358:H421" si="18">IF( G358&lt;&gt;"", G358+5,"")</f>
        <v/>
      </c>
      <c r="I358" s="66" t="str">
        <f t="shared" ref="I358:I421" si="19">IF( G358&lt;&gt;"", G358+13,"")</f>
        <v/>
      </c>
    </row>
    <row r="359" spans="8:9" ht="18.75" customHeight="1">
      <c r="H359" s="66" t="str">
        <f t="shared" si="18"/>
        <v/>
      </c>
      <c r="I359" s="66" t="str">
        <f t="shared" si="19"/>
        <v/>
      </c>
    </row>
    <row r="360" spans="8:9" ht="18.75" customHeight="1">
      <c r="H360" s="66" t="str">
        <f t="shared" si="18"/>
        <v/>
      </c>
      <c r="I360" s="66" t="str">
        <f t="shared" si="19"/>
        <v/>
      </c>
    </row>
    <row r="361" spans="8:9" ht="18.75" customHeight="1">
      <c r="H361" s="66" t="str">
        <f t="shared" si="18"/>
        <v/>
      </c>
      <c r="I361" s="66" t="str">
        <f t="shared" si="19"/>
        <v/>
      </c>
    </row>
    <row r="362" spans="8:9" ht="18.75" customHeight="1">
      <c r="H362" s="66" t="str">
        <f t="shared" si="18"/>
        <v/>
      </c>
      <c r="I362" s="66" t="str">
        <f t="shared" si="19"/>
        <v/>
      </c>
    </row>
    <row r="363" spans="8:9" ht="18.75" customHeight="1">
      <c r="H363" s="66" t="str">
        <f t="shared" si="18"/>
        <v/>
      </c>
      <c r="I363" s="66" t="str">
        <f t="shared" si="19"/>
        <v/>
      </c>
    </row>
    <row r="364" spans="8:9" ht="18.75" customHeight="1">
      <c r="H364" s="66" t="str">
        <f t="shared" si="18"/>
        <v/>
      </c>
      <c r="I364" s="66" t="str">
        <f t="shared" si="19"/>
        <v/>
      </c>
    </row>
    <row r="365" spans="8:9" ht="18.75" customHeight="1">
      <c r="H365" s="66" t="str">
        <f t="shared" si="18"/>
        <v/>
      </c>
      <c r="I365" s="66" t="str">
        <f t="shared" si="19"/>
        <v/>
      </c>
    </row>
    <row r="366" spans="8:9" ht="18.75" customHeight="1">
      <c r="H366" s="66" t="str">
        <f t="shared" si="18"/>
        <v/>
      </c>
      <c r="I366" s="66" t="str">
        <f t="shared" si="19"/>
        <v/>
      </c>
    </row>
    <row r="367" spans="8:9" ht="18.75" customHeight="1">
      <c r="H367" s="66" t="str">
        <f t="shared" si="18"/>
        <v/>
      </c>
      <c r="I367" s="66" t="str">
        <f t="shared" si="19"/>
        <v/>
      </c>
    </row>
    <row r="368" spans="8:9" ht="18.75" customHeight="1">
      <c r="H368" s="66" t="str">
        <f t="shared" si="18"/>
        <v/>
      </c>
      <c r="I368" s="66" t="str">
        <f t="shared" si="19"/>
        <v/>
      </c>
    </row>
    <row r="369" spans="8:9" ht="18.75" customHeight="1">
      <c r="H369" s="66" t="str">
        <f t="shared" si="18"/>
        <v/>
      </c>
      <c r="I369" s="66" t="str">
        <f t="shared" si="19"/>
        <v/>
      </c>
    </row>
    <row r="370" spans="8:9" ht="18.75" customHeight="1">
      <c r="H370" s="66" t="str">
        <f t="shared" si="18"/>
        <v/>
      </c>
      <c r="I370" s="66" t="str">
        <f t="shared" si="19"/>
        <v/>
      </c>
    </row>
    <row r="371" spans="8:9" ht="18.75" customHeight="1">
      <c r="H371" s="66" t="str">
        <f t="shared" si="18"/>
        <v/>
      </c>
      <c r="I371" s="66" t="str">
        <f t="shared" si="19"/>
        <v/>
      </c>
    </row>
    <row r="372" spans="8:9" ht="18.75" customHeight="1">
      <c r="H372" s="66" t="str">
        <f t="shared" si="18"/>
        <v/>
      </c>
      <c r="I372" s="66" t="str">
        <f t="shared" si="19"/>
        <v/>
      </c>
    </row>
    <row r="373" spans="8:9" ht="18.75" customHeight="1">
      <c r="H373" s="66" t="str">
        <f t="shared" si="18"/>
        <v/>
      </c>
      <c r="I373" s="66" t="str">
        <f t="shared" si="19"/>
        <v/>
      </c>
    </row>
    <row r="374" spans="8:9" ht="18.75" customHeight="1">
      <c r="H374" s="66" t="str">
        <f t="shared" si="18"/>
        <v/>
      </c>
      <c r="I374" s="66" t="str">
        <f t="shared" si="19"/>
        <v/>
      </c>
    </row>
    <row r="375" spans="8:9" ht="18.75" customHeight="1">
      <c r="H375" s="66" t="str">
        <f t="shared" si="18"/>
        <v/>
      </c>
      <c r="I375" s="66" t="str">
        <f t="shared" si="19"/>
        <v/>
      </c>
    </row>
    <row r="376" spans="8:9" ht="18.75" customHeight="1">
      <c r="H376" s="66" t="str">
        <f t="shared" si="18"/>
        <v/>
      </c>
      <c r="I376" s="66" t="str">
        <f t="shared" si="19"/>
        <v/>
      </c>
    </row>
    <row r="377" spans="8:9" ht="18.75" customHeight="1">
      <c r="H377" s="66" t="str">
        <f t="shared" si="18"/>
        <v/>
      </c>
      <c r="I377" s="66" t="str">
        <f t="shared" si="19"/>
        <v/>
      </c>
    </row>
    <row r="378" spans="8:9" ht="18.75" customHeight="1">
      <c r="H378" s="66" t="str">
        <f t="shared" si="18"/>
        <v/>
      </c>
      <c r="I378" s="66" t="str">
        <f t="shared" si="19"/>
        <v/>
      </c>
    </row>
    <row r="379" spans="8:9" ht="18.75" customHeight="1">
      <c r="H379" s="66" t="str">
        <f t="shared" si="18"/>
        <v/>
      </c>
      <c r="I379" s="66" t="str">
        <f t="shared" si="19"/>
        <v/>
      </c>
    </row>
    <row r="380" spans="8:9" ht="18.75" customHeight="1">
      <c r="H380" s="66" t="str">
        <f t="shared" si="18"/>
        <v/>
      </c>
      <c r="I380" s="66" t="str">
        <f t="shared" si="19"/>
        <v/>
      </c>
    </row>
    <row r="381" spans="8:9" ht="18.75" customHeight="1">
      <c r="H381" s="66" t="str">
        <f t="shared" si="18"/>
        <v/>
      </c>
      <c r="I381" s="66" t="str">
        <f t="shared" si="19"/>
        <v/>
      </c>
    </row>
    <row r="382" spans="8:9" ht="18.75" customHeight="1">
      <c r="H382" s="66" t="str">
        <f t="shared" si="18"/>
        <v/>
      </c>
      <c r="I382" s="66" t="str">
        <f t="shared" si="19"/>
        <v/>
      </c>
    </row>
    <row r="383" spans="8:9" ht="18.75" customHeight="1">
      <c r="H383" s="66" t="str">
        <f t="shared" si="18"/>
        <v/>
      </c>
      <c r="I383" s="66" t="str">
        <f t="shared" si="19"/>
        <v/>
      </c>
    </row>
    <row r="384" spans="8:9" ht="18.75" customHeight="1">
      <c r="H384" s="66" t="str">
        <f t="shared" si="18"/>
        <v/>
      </c>
      <c r="I384" s="66" t="str">
        <f t="shared" si="19"/>
        <v/>
      </c>
    </row>
    <row r="385" spans="8:9" ht="18.75" customHeight="1">
      <c r="H385" s="66" t="str">
        <f t="shared" si="18"/>
        <v/>
      </c>
      <c r="I385" s="66" t="str">
        <f t="shared" si="19"/>
        <v/>
      </c>
    </row>
    <row r="386" spans="8:9" ht="18.75" customHeight="1">
      <c r="H386" s="66" t="str">
        <f t="shared" si="18"/>
        <v/>
      </c>
      <c r="I386" s="66" t="str">
        <f t="shared" si="19"/>
        <v/>
      </c>
    </row>
    <row r="387" spans="8:9" ht="18.75" customHeight="1">
      <c r="H387" s="66" t="str">
        <f t="shared" si="18"/>
        <v/>
      </c>
      <c r="I387" s="66" t="str">
        <f t="shared" si="19"/>
        <v/>
      </c>
    </row>
    <row r="388" spans="8:9" ht="18.75" customHeight="1">
      <c r="H388" s="66" t="str">
        <f t="shared" si="18"/>
        <v/>
      </c>
      <c r="I388" s="66" t="str">
        <f t="shared" si="19"/>
        <v/>
      </c>
    </row>
    <row r="389" spans="8:9" ht="18.75" customHeight="1">
      <c r="H389" s="66" t="str">
        <f t="shared" si="18"/>
        <v/>
      </c>
      <c r="I389" s="66" t="str">
        <f t="shared" si="19"/>
        <v/>
      </c>
    </row>
    <row r="390" spans="8:9" ht="18.75" customHeight="1">
      <c r="H390" s="66" t="str">
        <f t="shared" si="18"/>
        <v/>
      </c>
      <c r="I390" s="66" t="str">
        <f t="shared" si="19"/>
        <v/>
      </c>
    </row>
    <row r="391" spans="8:9" ht="18.75" customHeight="1">
      <c r="H391" s="66" t="str">
        <f t="shared" si="18"/>
        <v/>
      </c>
      <c r="I391" s="66" t="str">
        <f t="shared" si="19"/>
        <v/>
      </c>
    </row>
    <row r="392" spans="8:9" ht="18.75" customHeight="1">
      <c r="H392" s="66" t="str">
        <f t="shared" si="18"/>
        <v/>
      </c>
      <c r="I392" s="66" t="str">
        <f t="shared" si="19"/>
        <v/>
      </c>
    </row>
    <row r="393" spans="8:9" ht="18.75" customHeight="1">
      <c r="H393" s="66" t="str">
        <f t="shared" si="18"/>
        <v/>
      </c>
      <c r="I393" s="66" t="str">
        <f t="shared" si="19"/>
        <v/>
      </c>
    </row>
    <row r="394" spans="8:9" ht="18.75" customHeight="1">
      <c r="H394" s="66" t="str">
        <f t="shared" si="18"/>
        <v/>
      </c>
      <c r="I394" s="66" t="str">
        <f t="shared" si="19"/>
        <v/>
      </c>
    </row>
    <row r="395" spans="8:9" ht="18.75" customHeight="1">
      <c r="H395" s="66" t="str">
        <f t="shared" si="18"/>
        <v/>
      </c>
      <c r="I395" s="66" t="str">
        <f t="shared" si="19"/>
        <v/>
      </c>
    </row>
    <row r="396" spans="8:9" ht="18.75" customHeight="1">
      <c r="H396" s="66" t="str">
        <f t="shared" si="18"/>
        <v/>
      </c>
      <c r="I396" s="66" t="str">
        <f t="shared" si="19"/>
        <v/>
      </c>
    </row>
    <row r="397" spans="8:9" ht="18.75" customHeight="1">
      <c r="H397" s="66" t="str">
        <f t="shared" si="18"/>
        <v/>
      </c>
      <c r="I397" s="66" t="str">
        <f t="shared" si="19"/>
        <v/>
      </c>
    </row>
    <row r="398" spans="8:9" ht="18.75" customHeight="1">
      <c r="H398" s="66" t="str">
        <f t="shared" si="18"/>
        <v/>
      </c>
      <c r="I398" s="66" t="str">
        <f t="shared" si="19"/>
        <v/>
      </c>
    </row>
    <row r="399" spans="8:9" ht="18.75" customHeight="1">
      <c r="H399" s="66" t="str">
        <f t="shared" si="18"/>
        <v/>
      </c>
      <c r="I399" s="66" t="str">
        <f t="shared" si="19"/>
        <v/>
      </c>
    </row>
    <row r="400" spans="8:9" ht="18.75" customHeight="1">
      <c r="H400" s="66" t="str">
        <f t="shared" si="18"/>
        <v/>
      </c>
      <c r="I400" s="66" t="str">
        <f t="shared" si="19"/>
        <v/>
      </c>
    </row>
    <row r="401" spans="8:9" ht="18.75" customHeight="1">
      <c r="H401" s="66" t="str">
        <f t="shared" si="18"/>
        <v/>
      </c>
      <c r="I401" s="66" t="str">
        <f t="shared" si="19"/>
        <v/>
      </c>
    </row>
    <row r="402" spans="8:9" ht="18.75" customHeight="1">
      <c r="H402" s="66" t="str">
        <f t="shared" si="18"/>
        <v/>
      </c>
      <c r="I402" s="66" t="str">
        <f t="shared" si="19"/>
        <v/>
      </c>
    </row>
    <row r="403" spans="8:9" ht="18.75" customHeight="1">
      <c r="H403" s="66" t="str">
        <f t="shared" si="18"/>
        <v/>
      </c>
      <c r="I403" s="66" t="str">
        <f t="shared" si="19"/>
        <v/>
      </c>
    </row>
    <row r="404" spans="8:9" ht="18.75" customHeight="1">
      <c r="H404" s="66" t="str">
        <f t="shared" si="18"/>
        <v/>
      </c>
      <c r="I404" s="66" t="str">
        <f t="shared" si="19"/>
        <v/>
      </c>
    </row>
    <row r="405" spans="8:9" ht="18.75" customHeight="1">
      <c r="H405" s="66" t="str">
        <f t="shared" si="18"/>
        <v/>
      </c>
      <c r="I405" s="66" t="str">
        <f t="shared" si="19"/>
        <v/>
      </c>
    </row>
    <row r="406" spans="8:9" ht="18.75" customHeight="1">
      <c r="H406" s="66" t="str">
        <f t="shared" si="18"/>
        <v/>
      </c>
      <c r="I406" s="66" t="str">
        <f t="shared" si="19"/>
        <v/>
      </c>
    </row>
    <row r="407" spans="8:9" ht="18.75" customHeight="1">
      <c r="H407" s="66" t="str">
        <f t="shared" si="18"/>
        <v/>
      </c>
      <c r="I407" s="66" t="str">
        <f t="shared" si="19"/>
        <v/>
      </c>
    </row>
    <row r="408" spans="8:9" ht="18.75" customHeight="1">
      <c r="H408" s="66" t="str">
        <f t="shared" si="18"/>
        <v/>
      </c>
      <c r="I408" s="66" t="str">
        <f t="shared" si="19"/>
        <v/>
      </c>
    </row>
    <row r="409" spans="8:9" ht="18.75" customHeight="1">
      <c r="H409" s="66" t="str">
        <f t="shared" si="18"/>
        <v/>
      </c>
      <c r="I409" s="66" t="str">
        <f t="shared" si="19"/>
        <v/>
      </c>
    </row>
    <row r="410" spans="8:9" ht="18.75" customHeight="1">
      <c r="H410" s="66" t="str">
        <f t="shared" si="18"/>
        <v/>
      </c>
      <c r="I410" s="66" t="str">
        <f t="shared" si="19"/>
        <v/>
      </c>
    </row>
    <row r="411" spans="8:9" ht="18.75" customHeight="1">
      <c r="H411" s="66" t="str">
        <f t="shared" si="18"/>
        <v/>
      </c>
      <c r="I411" s="66" t="str">
        <f t="shared" si="19"/>
        <v/>
      </c>
    </row>
    <row r="412" spans="8:9" ht="18.75" customHeight="1">
      <c r="H412" s="66" t="str">
        <f t="shared" si="18"/>
        <v/>
      </c>
      <c r="I412" s="66" t="str">
        <f t="shared" si="19"/>
        <v/>
      </c>
    </row>
    <row r="413" spans="8:9" ht="18.75" customHeight="1">
      <c r="H413" s="66" t="str">
        <f t="shared" si="18"/>
        <v/>
      </c>
      <c r="I413" s="66" t="str">
        <f t="shared" si="19"/>
        <v/>
      </c>
    </row>
    <row r="414" spans="8:9" ht="18.75" customHeight="1">
      <c r="H414" s="66" t="str">
        <f t="shared" si="18"/>
        <v/>
      </c>
      <c r="I414" s="66" t="str">
        <f t="shared" si="19"/>
        <v/>
      </c>
    </row>
    <row r="415" spans="8:9" ht="18.75" customHeight="1">
      <c r="H415" s="66" t="str">
        <f t="shared" si="18"/>
        <v/>
      </c>
      <c r="I415" s="66" t="str">
        <f t="shared" si="19"/>
        <v/>
      </c>
    </row>
    <row r="416" spans="8:9" ht="18.75" customHeight="1">
      <c r="H416" s="66" t="str">
        <f t="shared" si="18"/>
        <v/>
      </c>
      <c r="I416" s="66" t="str">
        <f t="shared" si="19"/>
        <v/>
      </c>
    </row>
    <row r="417" spans="8:9" ht="18.75" customHeight="1">
      <c r="H417" s="66" t="str">
        <f t="shared" si="18"/>
        <v/>
      </c>
      <c r="I417" s="66" t="str">
        <f t="shared" si="19"/>
        <v/>
      </c>
    </row>
    <row r="418" spans="8:9" ht="18.75" customHeight="1">
      <c r="H418" s="66" t="str">
        <f t="shared" si="18"/>
        <v/>
      </c>
      <c r="I418" s="66" t="str">
        <f t="shared" si="19"/>
        <v/>
      </c>
    </row>
    <row r="419" spans="8:9" ht="18.75" customHeight="1">
      <c r="H419" s="66" t="str">
        <f t="shared" si="18"/>
        <v/>
      </c>
      <c r="I419" s="66" t="str">
        <f t="shared" si="19"/>
        <v/>
      </c>
    </row>
    <row r="420" spans="8:9" ht="18.75" customHeight="1">
      <c r="H420" s="66" t="str">
        <f t="shared" si="18"/>
        <v/>
      </c>
      <c r="I420" s="66" t="str">
        <f t="shared" si="19"/>
        <v/>
      </c>
    </row>
    <row r="421" spans="8:9" ht="18.75" customHeight="1">
      <c r="H421" s="66" t="str">
        <f t="shared" si="18"/>
        <v/>
      </c>
      <c r="I421" s="66" t="str">
        <f t="shared" si="19"/>
        <v/>
      </c>
    </row>
    <row r="422" spans="8:9" ht="18.75" customHeight="1">
      <c r="H422" s="66" t="str">
        <f t="shared" ref="H422:H485" si="20">IF( G422&lt;&gt;"", G422+5,"")</f>
        <v/>
      </c>
      <c r="I422" s="66" t="str">
        <f t="shared" ref="I422:I485" si="21">IF( G422&lt;&gt;"", G422+13,"")</f>
        <v/>
      </c>
    </row>
    <row r="423" spans="8:9" ht="18.75" customHeight="1">
      <c r="H423" s="66" t="str">
        <f t="shared" si="20"/>
        <v/>
      </c>
      <c r="I423" s="66" t="str">
        <f t="shared" si="21"/>
        <v/>
      </c>
    </row>
    <row r="424" spans="8:9" ht="18.75" customHeight="1">
      <c r="H424" s="66" t="str">
        <f t="shared" si="20"/>
        <v/>
      </c>
      <c r="I424" s="66" t="str">
        <f t="shared" si="21"/>
        <v/>
      </c>
    </row>
    <row r="425" spans="8:9" ht="18.75" customHeight="1">
      <c r="H425" s="66" t="str">
        <f t="shared" si="20"/>
        <v/>
      </c>
      <c r="I425" s="66" t="str">
        <f t="shared" si="21"/>
        <v/>
      </c>
    </row>
    <row r="426" spans="8:9" ht="18.75" customHeight="1">
      <c r="H426" s="66" t="str">
        <f t="shared" si="20"/>
        <v/>
      </c>
      <c r="I426" s="66" t="str">
        <f t="shared" si="21"/>
        <v/>
      </c>
    </row>
    <row r="427" spans="8:9" ht="18.75" customHeight="1">
      <c r="H427" s="66" t="str">
        <f t="shared" si="20"/>
        <v/>
      </c>
      <c r="I427" s="66" t="str">
        <f t="shared" si="21"/>
        <v/>
      </c>
    </row>
    <row r="428" spans="8:9" ht="18.75" customHeight="1">
      <c r="H428" s="66" t="str">
        <f t="shared" si="20"/>
        <v/>
      </c>
      <c r="I428" s="66" t="str">
        <f t="shared" si="21"/>
        <v/>
      </c>
    </row>
    <row r="429" spans="8:9" ht="18.75" customHeight="1">
      <c r="H429" s="66" t="str">
        <f t="shared" si="20"/>
        <v/>
      </c>
      <c r="I429" s="66" t="str">
        <f t="shared" si="21"/>
        <v/>
      </c>
    </row>
    <row r="430" spans="8:9" ht="18.75" customHeight="1">
      <c r="H430" s="66" t="str">
        <f t="shared" si="20"/>
        <v/>
      </c>
      <c r="I430" s="66" t="str">
        <f t="shared" si="21"/>
        <v/>
      </c>
    </row>
    <row r="431" spans="8:9" ht="18.75" customHeight="1">
      <c r="H431" s="66" t="str">
        <f t="shared" si="20"/>
        <v/>
      </c>
      <c r="I431" s="66" t="str">
        <f t="shared" si="21"/>
        <v/>
      </c>
    </row>
    <row r="432" spans="8:9" ht="18.75" customHeight="1">
      <c r="H432" s="66" t="str">
        <f t="shared" si="20"/>
        <v/>
      </c>
      <c r="I432" s="66" t="str">
        <f t="shared" si="21"/>
        <v/>
      </c>
    </row>
    <row r="433" spans="8:9" ht="18.75" customHeight="1">
      <c r="H433" s="66" t="str">
        <f t="shared" si="20"/>
        <v/>
      </c>
      <c r="I433" s="66" t="str">
        <f t="shared" si="21"/>
        <v/>
      </c>
    </row>
    <row r="434" spans="8:9" ht="18.75" customHeight="1">
      <c r="H434" s="66" t="str">
        <f t="shared" si="20"/>
        <v/>
      </c>
      <c r="I434" s="66" t="str">
        <f t="shared" si="21"/>
        <v/>
      </c>
    </row>
    <row r="435" spans="8:9" ht="18.75" customHeight="1">
      <c r="H435" s="66" t="str">
        <f t="shared" si="20"/>
        <v/>
      </c>
      <c r="I435" s="66" t="str">
        <f t="shared" si="21"/>
        <v/>
      </c>
    </row>
    <row r="436" spans="8:9" ht="18.75" customHeight="1">
      <c r="H436" s="66" t="str">
        <f t="shared" si="20"/>
        <v/>
      </c>
      <c r="I436" s="66" t="str">
        <f t="shared" si="21"/>
        <v/>
      </c>
    </row>
    <row r="437" spans="8:9" ht="18.75" customHeight="1">
      <c r="H437" s="66" t="str">
        <f t="shared" si="20"/>
        <v/>
      </c>
      <c r="I437" s="66" t="str">
        <f t="shared" si="21"/>
        <v/>
      </c>
    </row>
    <row r="438" spans="8:9" ht="18.75" customHeight="1">
      <c r="H438" s="66" t="str">
        <f t="shared" si="20"/>
        <v/>
      </c>
      <c r="I438" s="66" t="str">
        <f t="shared" si="21"/>
        <v/>
      </c>
    </row>
    <row r="439" spans="8:9" ht="18.75" customHeight="1">
      <c r="H439" s="66" t="str">
        <f t="shared" si="20"/>
        <v/>
      </c>
      <c r="I439" s="66" t="str">
        <f t="shared" si="21"/>
        <v/>
      </c>
    </row>
    <row r="440" spans="8:9" ht="18.75" customHeight="1">
      <c r="H440" s="66" t="str">
        <f t="shared" si="20"/>
        <v/>
      </c>
      <c r="I440" s="66" t="str">
        <f t="shared" si="21"/>
        <v/>
      </c>
    </row>
    <row r="441" spans="8:9" ht="18.75" customHeight="1">
      <c r="H441" s="66" t="str">
        <f t="shared" si="20"/>
        <v/>
      </c>
      <c r="I441" s="66" t="str">
        <f t="shared" si="21"/>
        <v/>
      </c>
    </row>
    <row r="442" spans="8:9" ht="18.75" customHeight="1">
      <c r="H442" s="66" t="str">
        <f t="shared" si="20"/>
        <v/>
      </c>
      <c r="I442" s="66" t="str">
        <f t="shared" si="21"/>
        <v/>
      </c>
    </row>
    <row r="443" spans="8:9" ht="18.75" customHeight="1">
      <c r="H443" s="66" t="str">
        <f t="shared" si="20"/>
        <v/>
      </c>
      <c r="I443" s="66" t="str">
        <f t="shared" si="21"/>
        <v/>
      </c>
    </row>
    <row r="444" spans="8:9" ht="18.75" customHeight="1">
      <c r="H444" s="66" t="str">
        <f t="shared" si="20"/>
        <v/>
      </c>
      <c r="I444" s="66" t="str">
        <f t="shared" si="21"/>
        <v/>
      </c>
    </row>
    <row r="445" spans="8:9" ht="18.75" customHeight="1">
      <c r="H445" s="66" t="str">
        <f t="shared" si="20"/>
        <v/>
      </c>
      <c r="I445" s="66" t="str">
        <f t="shared" si="21"/>
        <v/>
      </c>
    </row>
    <row r="446" spans="8:9" ht="18.75" customHeight="1">
      <c r="H446" s="66" t="str">
        <f t="shared" si="20"/>
        <v/>
      </c>
      <c r="I446" s="66" t="str">
        <f t="shared" si="21"/>
        <v/>
      </c>
    </row>
    <row r="447" spans="8:9" ht="18.75" customHeight="1">
      <c r="H447" s="66" t="str">
        <f t="shared" si="20"/>
        <v/>
      </c>
      <c r="I447" s="66" t="str">
        <f t="shared" si="21"/>
        <v/>
      </c>
    </row>
    <row r="448" spans="8:9" ht="18.75" customHeight="1">
      <c r="H448" s="66" t="str">
        <f t="shared" si="20"/>
        <v/>
      </c>
      <c r="I448" s="66" t="str">
        <f t="shared" si="21"/>
        <v/>
      </c>
    </row>
    <row r="449" spans="8:9" ht="18.75" customHeight="1">
      <c r="H449" s="66" t="str">
        <f t="shared" si="20"/>
        <v/>
      </c>
      <c r="I449" s="66" t="str">
        <f t="shared" si="21"/>
        <v/>
      </c>
    </row>
    <row r="450" spans="8:9" ht="18.75" customHeight="1">
      <c r="H450" s="66" t="str">
        <f t="shared" si="20"/>
        <v/>
      </c>
      <c r="I450" s="66" t="str">
        <f t="shared" si="21"/>
        <v/>
      </c>
    </row>
    <row r="451" spans="8:9" ht="18.75" customHeight="1">
      <c r="H451" s="66" t="str">
        <f t="shared" si="20"/>
        <v/>
      </c>
      <c r="I451" s="66" t="str">
        <f t="shared" si="21"/>
        <v/>
      </c>
    </row>
    <row r="452" spans="8:9" ht="18.75" customHeight="1">
      <c r="H452" s="66" t="str">
        <f t="shared" si="20"/>
        <v/>
      </c>
      <c r="I452" s="66" t="str">
        <f t="shared" si="21"/>
        <v/>
      </c>
    </row>
    <row r="453" spans="8:9" ht="18.75" customHeight="1">
      <c r="H453" s="66" t="str">
        <f t="shared" si="20"/>
        <v/>
      </c>
      <c r="I453" s="66" t="str">
        <f t="shared" si="21"/>
        <v/>
      </c>
    </row>
    <row r="454" spans="8:9" ht="18.75" customHeight="1">
      <c r="H454" s="66" t="str">
        <f t="shared" si="20"/>
        <v/>
      </c>
      <c r="I454" s="66" t="str">
        <f t="shared" si="21"/>
        <v/>
      </c>
    </row>
    <row r="455" spans="8:9" ht="18.75" customHeight="1">
      <c r="H455" s="66" t="str">
        <f t="shared" si="20"/>
        <v/>
      </c>
      <c r="I455" s="66" t="str">
        <f t="shared" si="21"/>
        <v/>
      </c>
    </row>
    <row r="456" spans="8:9" ht="18.75" customHeight="1">
      <c r="H456" s="66" t="str">
        <f t="shared" si="20"/>
        <v/>
      </c>
      <c r="I456" s="66" t="str">
        <f t="shared" si="21"/>
        <v/>
      </c>
    </row>
    <row r="457" spans="8:9" ht="18.75" customHeight="1">
      <c r="H457" s="66" t="str">
        <f t="shared" si="20"/>
        <v/>
      </c>
      <c r="I457" s="66" t="str">
        <f t="shared" si="21"/>
        <v/>
      </c>
    </row>
    <row r="458" spans="8:9" ht="18.75" customHeight="1">
      <c r="H458" s="66" t="str">
        <f t="shared" si="20"/>
        <v/>
      </c>
      <c r="I458" s="66" t="str">
        <f t="shared" si="21"/>
        <v/>
      </c>
    </row>
    <row r="459" spans="8:9" ht="18.75" customHeight="1">
      <c r="H459" s="66" t="str">
        <f t="shared" si="20"/>
        <v/>
      </c>
      <c r="I459" s="66" t="str">
        <f t="shared" si="21"/>
        <v/>
      </c>
    </row>
    <row r="460" spans="8:9" ht="18.75" customHeight="1">
      <c r="H460" s="66" t="str">
        <f t="shared" si="20"/>
        <v/>
      </c>
      <c r="I460" s="66" t="str">
        <f t="shared" si="21"/>
        <v/>
      </c>
    </row>
    <row r="461" spans="8:9" ht="18.75" customHeight="1">
      <c r="H461" s="66" t="str">
        <f t="shared" si="20"/>
        <v/>
      </c>
      <c r="I461" s="66" t="str">
        <f t="shared" si="21"/>
        <v/>
      </c>
    </row>
    <row r="462" spans="8:9" ht="18.75" customHeight="1">
      <c r="H462" s="66" t="str">
        <f t="shared" si="20"/>
        <v/>
      </c>
      <c r="I462" s="66" t="str">
        <f t="shared" si="21"/>
        <v/>
      </c>
    </row>
    <row r="463" spans="8:9" ht="18.75" customHeight="1">
      <c r="H463" s="66" t="str">
        <f t="shared" si="20"/>
        <v/>
      </c>
      <c r="I463" s="66" t="str">
        <f t="shared" si="21"/>
        <v/>
      </c>
    </row>
    <row r="464" spans="8:9" ht="18.75" customHeight="1">
      <c r="H464" s="66" t="str">
        <f t="shared" si="20"/>
        <v/>
      </c>
      <c r="I464" s="66" t="str">
        <f t="shared" si="21"/>
        <v/>
      </c>
    </row>
    <row r="465" spans="8:9" ht="18.75" customHeight="1">
      <c r="H465" s="66" t="str">
        <f t="shared" si="20"/>
        <v/>
      </c>
      <c r="I465" s="66" t="str">
        <f t="shared" si="21"/>
        <v/>
      </c>
    </row>
    <row r="466" spans="8:9" ht="18.75" customHeight="1">
      <c r="H466" s="66" t="str">
        <f t="shared" si="20"/>
        <v/>
      </c>
      <c r="I466" s="66" t="str">
        <f t="shared" si="21"/>
        <v/>
      </c>
    </row>
    <row r="467" spans="8:9" ht="18.75" customHeight="1">
      <c r="H467" s="66" t="str">
        <f t="shared" si="20"/>
        <v/>
      </c>
      <c r="I467" s="66" t="str">
        <f t="shared" si="21"/>
        <v/>
      </c>
    </row>
    <row r="468" spans="8:9" ht="18.75" customHeight="1">
      <c r="H468" s="66" t="str">
        <f t="shared" si="20"/>
        <v/>
      </c>
      <c r="I468" s="66" t="str">
        <f t="shared" si="21"/>
        <v/>
      </c>
    </row>
    <row r="469" spans="8:9" ht="18.75" customHeight="1">
      <c r="H469" s="66" t="str">
        <f t="shared" si="20"/>
        <v/>
      </c>
      <c r="I469" s="66" t="str">
        <f t="shared" si="21"/>
        <v/>
      </c>
    </row>
    <row r="470" spans="8:9" ht="18.75" customHeight="1">
      <c r="H470" s="66" t="str">
        <f t="shared" si="20"/>
        <v/>
      </c>
      <c r="I470" s="66" t="str">
        <f t="shared" si="21"/>
        <v/>
      </c>
    </row>
    <row r="471" spans="8:9" ht="18.75" customHeight="1">
      <c r="H471" s="66" t="str">
        <f t="shared" si="20"/>
        <v/>
      </c>
      <c r="I471" s="66" t="str">
        <f t="shared" si="21"/>
        <v/>
      </c>
    </row>
    <row r="472" spans="8:9" ht="18.75" customHeight="1">
      <c r="H472" s="66" t="str">
        <f t="shared" si="20"/>
        <v/>
      </c>
      <c r="I472" s="66" t="str">
        <f t="shared" si="21"/>
        <v/>
      </c>
    </row>
    <row r="473" spans="8:9" ht="18.75" customHeight="1">
      <c r="H473" s="66" t="str">
        <f t="shared" si="20"/>
        <v/>
      </c>
      <c r="I473" s="66" t="str">
        <f t="shared" si="21"/>
        <v/>
      </c>
    </row>
    <row r="474" spans="8:9" ht="18.75" customHeight="1">
      <c r="H474" s="66" t="str">
        <f t="shared" si="20"/>
        <v/>
      </c>
      <c r="I474" s="66" t="str">
        <f t="shared" si="21"/>
        <v/>
      </c>
    </row>
    <row r="475" spans="8:9" ht="18.75" customHeight="1">
      <c r="H475" s="66" t="str">
        <f t="shared" si="20"/>
        <v/>
      </c>
      <c r="I475" s="66" t="str">
        <f t="shared" si="21"/>
        <v/>
      </c>
    </row>
    <row r="476" spans="8:9" ht="18.75" customHeight="1">
      <c r="H476" s="66" t="str">
        <f t="shared" si="20"/>
        <v/>
      </c>
      <c r="I476" s="66" t="str">
        <f t="shared" si="21"/>
        <v/>
      </c>
    </row>
    <row r="477" spans="8:9" ht="18.75" customHeight="1">
      <c r="H477" s="66" t="str">
        <f t="shared" si="20"/>
        <v/>
      </c>
      <c r="I477" s="66" t="str">
        <f t="shared" si="21"/>
        <v/>
      </c>
    </row>
    <row r="478" spans="8:9" ht="18.75" customHeight="1">
      <c r="H478" s="66" t="str">
        <f t="shared" si="20"/>
        <v/>
      </c>
      <c r="I478" s="66" t="str">
        <f t="shared" si="21"/>
        <v/>
      </c>
    </row>
    <row r="479" spans="8:9" ht="18.75" customHeight="1">
      <c r="H479" s="66" t="str">
        <f t="shared" si="20"/>
        <v/>
      </c>
      <c r="I479" s="66" t="str">
        <f t="shared" si="21"/>
        <v/>
      </c>
    </row>
    <row r="480" spans="8:9" ht="18.75" customHeight="1">
      <c r="H480" s="66" t="str">
        <f t="shared" si="20"/>
        <v/>
      </c>
      <c r="I480" s="66" t="str">
        <f t="shared" si="21"/>
        <v/>
      </c>
    </row>
    <row r="481" spans="8:9" ht="18.75" customHeight="1">
      <c r="H481" s="66" t="str">
        <f t="shared" si="20"/>
        <v/>
      </c>
      <c r="I481" s="66" t="str">
        <f t="shared" si="21"/>
        <v/>
      </c>
    </row>
    <row r="482" spans="8:9" ht="18.75" customHeight="1">
      <c r="H482" s="66" t="str">
        <f t="shared" si="20"/>
        <v/>
      </c>
      <c r="I482" s="66" t="str">
        <f t="shared" si="21"/>
        <v/>
      </c>
    </row>
    <row r="483" spans="8:9" ht="18.75" customHeight="1">
      <c r="H483" s="66" t="str">
        <f t="shared" si="20"/>
        <v/>
      </c>
      <c r="I483" s="66" t="str">
        <f t="shared" si="21"/>
        <v/>
      </c>
    </row>
    <row r="484" spans="8:9" ht="18.75" customHeight="1">
      <c r="H484" s="66" t="str">
        <f t="shared" si="20"/>
        <v/>
      </c>
      <c r="I484" s="66" t="str">
        <f t="shared" si="21"/>
        <v/>
      </c>
    </row>
    <row r="485" spans="8:9" ht="18.75" customHeight="1">
      <c r="H485" s="66" t="str">
        <f t="shared" si="20"/>
        <v/>
      </c>
      <c r="I485" s="66" t="str">
        <f t="shared" si="21"/>
        <v/>
      </c>
    </row>
    <row r="486" spans="8:9" ht="18.75" customHeight="1">
      <c r="H486" s="66" t="str">
        <f t="shared" ref="H486:H549" si="22">IF( G486&lt;&gt;"", G486+5,"")</f>
        <v/>
      </c>
      <c r="I486" s="66" t="str">
        <f t="shared" ref="I486:I549" si="23">IF( G486&lt;&gt;"", G486+13,"")</f>
        <v/>
      </c>
    </row>
    <row r="487" spans="8:9" ht="18.75" customHeight="1">
      <c r="H487" s="66" t="str">
        <f t="shared" si="22"/>
        <v/>
      </c>
      <c r="I487" s="66" t="str">
        <f t="shared" si="23"/>
        <v/>
      </c>
    </row>
    <row r="488" spans="8:9" ht="18.75" customHeight="1">
      <c r="H488" s="66" t="str">
        <f t="shared" si="22"/>
        <v/>
      </c>
      <c r="I488" s="66" t="str">
        <f t="shared" si="23"/>
        <v/>
      </c>
    </row>
    <row r="489" spans="8:9" ht="18.75" customHeight="1">
      <c r="H489" s="66" t="str">
        <f t="shared" si="22"/>
        <v/>
      </c>
      <c r="I489" s="66" t="str">
        <f t="shared" si="23"/>
        <v/>
      </c>
    </row>
    <row r="490" spans="8:9" ht="18.75" customHeight="1">
      <c r="H490" s="66" t="str">
        <f t="shared" si="22"/>
        <v/>
      </c>
      <c r="I490" s="66" t="str">
        <f t="shared" si="23"/>
        <v/>
      </c>
    </row>
    <row r="491" spans="8:9" ht="18.75" customHeight="1">
      <c r="H491" s="66" t="str">
        <f t="shared" si="22"/>
        <v/>
      </c>
      <c r="I491" s="66" t="str">
        <f t="shared" si="23"/>
        <v/>
      </c>
    </row>
    <row r="492" spans="8:9" ht="18.75" customHeight="1">
      <c r="H492" s="66" t="str">
        <f t="shared" si="22"/>
        <v/>
      </c>
      <c r="I492" s="66" t="str">
        <f t="shared" si="23"/>
        <v/>
      </c>
    </row>
    <row r="493" spans="8:9" ht="18.75" customHeight="1">
      <c r="H493" s="66" t="str">
        <f t="shared" si="22"/>
        <v/>
      </c>
      <c r="I493" s="66" t="str">
        <f t="shared" si="23"/>
        <v/>
      </c>
    </row>
    <row r="494" spans="8:9" ht="18.75" customHeight="1">
      <c r="H494" s="66" t="str">
        <f t="shared" si="22"/>
        <v/>
      </c>
      <c r="I494" s="66" t="str">
        <f t="shared" si="23"/>
        <v/>
      </c>
    </row>
    <row r="495" spans="8:9" ht="18.75" customHeight="1">
      <c r="H495" s="66" t="str">
        <f t="shared" si="22"/>
        <v/>
      </c>
      <c r="I495" s="66" t="str">
        <f t="shared" si="23"/>
        <v/>
      </c>
    </row>
    <row r="496" spans="8:9" ht="18.75" customHeight="1">
      <c r="H496" s="66" t="str">
        <f t="shared" si="22"/>
        <v/>
      </c>
      <c r="I496" s="66" t="str">
        <f t="shared" si="23"/>
        <v/>
      </c>
    </row>
    <row r="497" spans="8:9" ht="18.75" customHeight="1">
      <c r="H497" s="66" t="str">
        <f t="shared" si="22"/>
        <v/>
      </c>
      <c r="I497" s="66" t="str">
        <f t="shared" si="23"/>
        <v/>
      </c>
    </row>
    <row r="498" spans="8:9" ht="18.75" customHeight="1">
      <c r="H498" s="66" t="str">
        <f t="shared" si="22"/>
        <v/>
      </c>
      <c r="I498" s="66" t="str">
        <f t="shared" si="23"/>
        <v/>
      </c>
    </row>
    <row r="499" spans="8:9" ht="18.75" customHeight="1">
      <c r="H499" s="66" t="str">
        <f t="shared" si="22"/>
        <v/>
      </c>
      <c r="I499" s="66" t="str">
        <f t="shared" si="23"/>
        <v/>
      </c>
    </row>
    <row r="500" spans="8:9" ht="18.75" customHeight="1">
      <c r="H500" s="66" t="str">
        <f t="shared" si="22"/>
        <v/>
      </c>
      <c r="I500" s="66" t="str">
        <f t="shared" si="23"/>
        <v/>
      </c>
    </row>
    <row r="501" spans="8:9" ht="18.75" customHeight="1">
      <c r="H501" s="66" t="str">
        <f t="shared" si="22"/>
        <v/>
      </c>
      <c r="I501" s="66" t="str">
        <f t="shared" si="23"/>
        <v/>
      </c>
    </row>
    <row r="502" spans="8:9" ht="18.75" customHeight="1">
      <c r="H502" s="66" t="str">
        <f t="shared" si="22"/>
        <v/>
      </c>
      <c r="I502" s="66" t="str">
        <f t="shared" si="23"/>
        <v/>
      </c>
    </row>
    <row r="503" spans="8:9" ht="18.75" customHeight="1">
      <c r="H503" s="66" t="str">
        <f t="shared" si="22"/>
        <v/>
      </c>
      <c r="I503" s="66" t="str">
        <f t="shared" si="23"/>
        <v/>
      </c>
    </row>
    <row r="504" spans="8:9" ht="18.75" customHeight="1">
      <c r="H504" s="66" t="str">
        <f t="shared" si="22"/>
        <v/>
      </c>
      <c r="I504" s="66" t="str">
        <f t="shared" si="23"/>
        <v/>
      </c>
    </row>
    <row r="505" spans="8:9" ht="18.75" customHeight="1">
      <c r="H505" s="66" t="str">
        <f t="shared" si="22"/>
        <v/>
      </c>
      <c r="I505" s="66" t="str">
        <f t="shared" si="23"/>
        <v/>
      </c>
    </row>
    <row r="506" spans="8:9" ht="18.75" customHeight="1">
      <c r="H506" s="66" t="str">
        <f t="shared" si="22"/>
        <v/>
      </c>
      <c r="I506" s="66" t="str">
        <f t="shared" si="23"/>
        <v/>
      </c>
    </row>
    <row r="507" spans="8:9" ht="18.75" customHeight="1">
      <c r="H507" s="66" t="str">
        <f t="shared" si="22"/>
        <v/>
      </c>
      <c r="I507" s="66" t="str">
        <f t="shared" si="23"/>
        <v/>
      </c>
    </row>
    <row r="508" spans="8:9" ht="18.75" customHeight="1">
      <c r="H508" s="66" t="str">
        <f t="shared" si="22"/>
        <v/>
      </c>
      <c r="I508" s="66" t="str">
        <f t="shared" si="23"/>
        <v/>
      </c>
    </row>
    <row r="509" spans="8:9" ht="18.75" customHeight="1">
      <c r="H509" s="66" t="str">
        <f t="shared" si="22"/>
        <v/>
      </c>
      <c r="I509" s="66" t="str">
        <f t="shared" si="23"/>
        <v/>
      </c>
    </row>
    <row r="510" spans="8:9" ht="18.75" customHeight="1">
      <c r="H510" s="66" t="str">
        <f t="shared" si="22"/>
        <v/>
      </c>
      <c r="I510" s="66" t="str">
        <f t="shared" si="23"/>
        <v/>
      </c>
    </row>
    <row r="511" spans="8:9" ht="18.75" customHeight="1">
      <c r="H511" s="66" t="str">
        <f t="shared" si="22"/>
        <v/>
      </c>
      <c r="I511" s="66" t="str">
        <f t="shared" si="23"/>
        <v/>
      </c>
    </row>
    <row r="512" spans="8:9" ht="18.75" customHeight="1">
      <c r="H512" s="66" t="str">
        <f t="shared" si="22"/>
        <v/>
      </c>
      <c r="I512" s="66" t="str">
        <f t="shared" si="23"/>
        <v/>
      </c>
    </row>
    <row r="513" spans="8:9" ht="18.75" customHeight="1">
      <c r="H513" s="66" t="str">
        <f t="shared" si="22"/>
        <v/>
      </c>
      <c r="I513" s="66" t="str">
        <f t="shared" si="23"/>
        <v/>
      </c>
    </row>
    <row r="514" spans="8:9" ht="18.75" customHeight="1">
      <c r="H514" s="66" t="str">
        <f t="shared" si="22"/>
        <v/>
      </c>
      <c r="I514" s="66" t="str">
        <f t="shared" si="23"/>
        <v/>
      </c>
    </row>
    <row r="515" spans="8:9" ht="18.75" customHeight="1">
      <c r="H515" s="66" t="str">
        <f t="shared" si="22"/>
        <v/>
      </c>
      <c r="I515" s="66" t="str">
        <f t="shared" si="23"/>
        <v/>
      </c>
    </row>
    <row r="516" spans="8:9" ht="18.75" customHeight="1">
      <c r="H516" s="66" t="str">
        <f t="shared" si="22"/>
        <v/>
      </c>
      <c r="I516" s="66" t="str">
        <f t="shared" si="23"/>
        <v/>
      </c>
    </row>
    <row r="517" spans="8:9" ht="18.75" customHeight="1">
      <c r="H517" s="66" t="str">
        <f t="shared" si="22"/>
        <v/>
      </c>
      <c r="I517" s="66" t="str">
        <f t="shared" si="23"/>
        <v/>
      </c>
    </row>
    <row r="518" spans="8:9" ht="18.75" customHeight="1">
      <c r="H518" s="66" t="str">
        <f t="shared" si="22"/>
        <v/>
      </c>
      <c r="I518" s="66" t="str">
        <f t="shared" si="23"/>
        <v/>
      </c>
    </row>
    <row r="519" spans="8:9" ht="18.75" customHeight="1">
      <c r="H519" s="66" t="str">
        <f t="shared" si="22"/>
        <v/>
      </c>
      <c r="I519" s="66" t="str">
        <f t="shared" si="23"/>
        <v/>
      </c>
    </row>
    <row r="520" spans="8:9" ht="18.75" customHeight="1">
      <c r="H520" s="66" t="str">
        <f t="shared" si="22"/>
        <v/>
      </c>
      <c r="I520" s="66" t="str">
        <f t="shared" si="23"/>
        <v/>
      </c>
    </row>
    <row r="521" spans="8:9" ht="18.75" customHeight="1">
      <c r="H521" s="66" t="str">
        <f t="shared" si="22"/>
        <v/>
      </c>
      <c r="I521" s="66" t="str">
        <f t="shared" si="23"/>
        <v/>
      </c>
    </row>
    <row r="522" spans="8:9" ht="18.75" customHeight="1">
      <c r="H522" s="66" t="str">
        <f t="shared" si="22"/>
        <v/>
      </c>
      <c r="I522" s="66" t="str">
        <f t="shared" si="23"/>
        <v/>
      </c>
    </row>
    <row r="523" spans="8:9" ht="18.75" customHeight="1">
      <c r="H523" s="66" t="str">
        <f t="shared" si="22"/>
        <v/>
      </c>
      <c r="I523" s="66" t="str">
        <f t="shared" si="23"/>
        <v/>
      </c>
    </row>
    <row r="524" spans="8:9" ht="18.75" customHeight="1">
      <c r="H524" s="66" t="str">
        <f t="shared" si="22"/>
        <v/>
      </c>
      <c r="I524" s="66" t="str">
        <f t="shared" si="23"/>
        <v/>
      </c>
    </row>
    <row r="525" spans="8:9" ht="18.75" customHeight="1">
      <c r="H525" s="66" t="str">
        <f t="shared" si="22"/>
        <v/>
      </c>
      <c r="I525" s="66" t="str">
        <f t="shared" si="23"/>
        <v/>
      </c>
    </row>
    <row r="526" spans="8:9" ht="18.75" customHeight="1">
      <c r="H526" s="66" t="str">
        <f t="shared" si="22"/>
        <v/>
      </c>
      <c r="I526" s="66" t="str">
        <f t="shared" si="23"/>
        <v/>
      </c>
    </row>
    <row r="527" spans="8:9" ht="18.75" customHeight="1">
      <c r="H527" s="66" t="str">
        <f t="shared" si="22"/>
        <v/>
      </c>
      <c r="I527" s="66" t="str">
        <f t="shared" si="23"/>
        <v/>
      </c>
    </row>
    <row r="528" spans="8:9" ht="18.75" customHeight="1">
      <c r="H528" s="66" t="str">
        <f t="shared" si="22"/>
        <v/>
      </c>
      <c r="I528" s="66" t="str">
        <f t="shared" si="23"/>
        <v/>
      </c>
    </row>
    <row r="529" spans="8:9" ht="18.75" customHeight="1">
      <c r="H529" s="66" t="str">
        <f t="shared" si="22"/>
        <v/>
      </c>
      <c r="I529" s="66" t="str">
        <f t="shared" si="23"/>
        <v/>
      </c>
    </row>
    <row r="530" spans="8:9" ht="18.75" customHeight="1">
      <c r="H530" s="66" t="str">
        <f t="shared" si="22"/>
        <v/>
      </c>
      <c r="I530" s="66" t="str">
        <f t="shared" si="23"/>
        <v/>
      </c>
    </row>
    <row r="531" spans="8:9" ht="18.75" customHeight="1">
      <c r="H531" s="66" t="str">
        <f t="shared" si="22"/>
        <v/>
      </c>
      <c r="I531" s="66" t="str">
        <f t="shared" si="23"/>
        <v/>
      </c>
    </row>
    <row r="532" spans="8:9" ht="18.75" customHeight="1">
      <c r="H532" s="66" t="str">
        <f t="shared" si="22"/>
        <v/>
      </c>
      <c r="I532" s="66" t="str">
        <f t="shared" si="23"/>
        <v/>
      </c>
    </row>
    <row r="533" spans="8:9" ht="18.75" customHeight="1">
      <c r="H533" s="66" t="str">
        <f t="shared" si="22"/>
        <v/>
      </c>
      <c r="I533" s="66" t="str">
        <f t="shared" si="23"/>
        <v/>
      </c>
    </row>
    <row r="534" spans="8:9" ht="18.75" customHeight="1">
      <c r="H534" s="66" t="str">
        <f t="shared" si="22"/>
        <v/>
      </c>
      <c r="I534" s="66" t="str">
        <f t="shared" si="23"/>
        <v/>
      </c>
    </row>
    <row r="535" spans="8:9" ht="18.75" customHeight="1">
      <c r="H535" s="66" t="str">
        <f t="shared" si="22"/>
        <v/>
      </c>
      <c r="I535" s="66" t="str">
        <f t="shared" si="23"/>
        <v/>
      </c>
    </row>
    <row r="536" spans="8:9" ht="18.75" customHeight="1">
      <c r="H536" s="66" t="str">
        <f t="shared" si="22"/>
        <v/>
      </c>
      <c r="I536" s="66" t="str">
        <f t="shared" si="23"/>
        <v/>
      </c>
    </row>
    <row r="537" spans="8:9" ht="18.75" customHeight="1">
      <c r="H537" s="66" t="str">
        <f t="shared" si="22"/>
        <v/>
      </c>
      <c r="I537" s="66" t="str">
        <f t="shared" si="23"/>
        <v/>
      </c>
    </row>
    <row r="538" spans="8:9" ht="18.75" customHeight="1">
      <c r="H538" s="66" t="str">
        <f t="shared" si="22"/>
        <v/>
      </c>
      <c r="I538" s="66" t="str">
        <f t="shared" si="23"/>
        <v/>
      </c>
    </row>
    <row r="539" spans="8:9" ht="18.75" customHeight="1">
      <c r="H539" s="66" t="str">
        <f t="shared" si="22"/>
        <v/>
      </c>
      <c r="I539" s="66" t="str">
        <f t="shared" si="23"/>
        <v/>
      </c>
    </row>
    <row r="540" spans="8:9" ht="18.75" customHeight="1">
      <c r="H540" s="66" t="str">
        <f t="shared" si="22"/>
        <v/>
      </c>
      <c r="I540" s="66" t="str">
        <f t="shared" si="23"/>
        <v/>
      </c>
    </row>
    <row r="541" spans="8:9" ht="18.75" customHeight="1">
      <c r="H541" s="66" t="str">
        <f t="shared" si="22"/>
        <v/>
      </c>
      <c r="I541" s="66" t="str">
        <f t="shared" si="23"/>
        <v/>
      </c>
    </row>
    <row r="542" spans="8:9" ht="18.75" customHeight="1">
      <c r="H542" s="66" t="str">
        <f t="shared" si="22"/>
        <v/>
      </c>
      <c r="I542" s="66" t="str">
        <f t="shared" si="23"/>
        <v/>
      </c>
    </row>
    <row r="543" spans="8:9" ht="18.75" customHeight="1">
      <c r="H543" s="66" t="str">
        <f t="shared" si="22"/>
        <v/>
      </c>
      <c r="I543" s="66" t="str">
        <f t="shared" si="23"/>
        <v/>
      </c>
    </row>
    <row r="544" spans="8:9" ht="18.75" customHeight="1">
      <c r="H544" s="66" t="str">
        <f t="shared" si="22"/>
        <v/>
      </c>
      <c r="I544" s="66" t="str">
        <f t="shared" si="23"/>
        <v/>
      </c>
    </row>
    <row r="545" spans="8:9" ht="18.75" customHeight="1">
      <c r="H545" s="66" t="str">
        <f t="shared" si="22"/>
        <v/>
      </c>
      <c r="I545" s="66" t="str">
        <f t="shared" si="23"/>
        <v/>
      </c>
    </row>
    <row r="546" spans="8:9" ht="18.75" customHeight="1">
      <c r="H546" s="66" t="str">
        <f t="shared" si="22"/>
        <v/>
      </c>
      <c r="I546" s="66" t="str">
        <f t="shared" si="23"/>
        <v/>
      </c>
    </row>
    <row r="547" spans="8:9" ht="18.75" customHeight="1">
      <c r="H547" s="66" t="str">
        <f t="shared" si="22"/>
        <v/>
      </c>
      <c r="I547" s="66" t="str">
        <f t="shared" si="23"/>
        <v/>
      </c>
    </row>
    <row r="548" spans="8:9" ht="18.75" customHeight="1">
      <c r="H548" s="66" t="str">
        <f t="shared" si="22"/>
        <v/>
      </c>
      <c r="I548" s="66" t="str">
        <f t="shared" si="23"/>
        <v/>
      </c>
    </row>
    <row r="549" spans="8:9" ht="18.75" customHeight="1">
      <c r="H549" s="66" t="str">
        <f t="shared" si="22"/>
        <v/>
      </c>
      <c r="I549" s="66" t="str">
        <f t="shared" si="23"/>
        <v/>
      </c>
    </row>
    <row r="550" spans="8:9" ht="18.75" customHeight="1">
      <c r="H550" s="66" t="str">
        <f t="shared" ref="H550:H613" si="24">IF( G550&lt;&gt;"", G550+5,"")</f>
        <v/>
      </c>
      <c r="I550" s="66" t="str">
        <f t="shared" ref="I550:I613" si="25">IF( G550&lt;&gt;"", G550+13,"")</f>
        <v/>
      </c>
    </row>
    <row r="551" spans="8:9" ht="18.75" customHeight="1">
      <c r="H551" s="66" t="str">
        <f t="shared" si="24"/>
        <v/>
      </c>
      <c r="I551" s="66" t="str">
        <f t="shared" si="25"/>
        <v/>
      </c>
    </row>
    <row r="552" spans="8:9" ht="18.75" customHeight="1">
      <c r="H552" s="66" t="str">
        <f t="shared" si="24"/>
        <v/>
      </c>
      <c r="I552" s="66" t="str">
        <f t="shared" si="25"/>
        <v/>
      </c>
    </row>
    <row r="553" spans="8:9" ht="18.75" customHeight="1">
      <c r="H553" s="66" t="str">
        <f t="shared" si="24"/>
        <v/>
      </c>
      <c r="I553" s="66" t="str">
        <f t="shared" si="25"/>
        <v/>
      </c>
    </row>
    <row r="554" spans="8:9" ht="18.75" customHeight="1">
      <c r="H554" s="66" t="str">
        <f t="shared" si="24"/>
        <v/>
      </c>
      <c r="I554" s="66" t="str">
        <f t="shared" si="25"/>
        <v/>
      </c>
    </row>
    <row r="555" spans="8:9" ht="18.75" customHeight="1">
      <c r="H555" s="66" t="str">
        <f t="shared" si="24"/>
        <v/>
      </c>
      <c r="I555" s="66" t="str">
        <f t="shared" si="25"/>
        <v/>
      </c>
    </row>
    <row r="556" spans="8:9" ht="18.75" customHeight="1">
      <c r="H556" s="66" t="str">
        <f t="shared" si="24"/>
        <v/>
      </c>
      <c r="I556" s="66" t="str">
        <f t="shared" si="25"/>
        <v/>
      </c>
    </row>
    <row r="557" spans="8:9" ht="18.75" customHeight="1">
      <c r="H557" s="66" t="str">
        <f t="shared" si="24"/>
        <v/>
      </c>
      <c r="I557" s="66" t="str">
        <f t="shared" si="25"/>
        <v/>
      </c>
    </row>
    <row r="558" spans="8:9" ht="18.75" customHeight="1">
      <c r="H558" s="66" t="str">
        <f t="shared" si="24"/>
        <v/>
      </c>
      <c r="I558" s="66" t="str">
        <f t="shared" si="25"/>
        <v/>
      </c>
    </row>
    <row r="559" spans="8:9" ht="18.75" customHeight="1">
      <c r="H559" s="66" t="str">
        <f t="shared" si="24"/>
        <v/>
      </c>
      <c r="I559" s="66" t="str">
        <f t="shared" si="25"/>
        <v/>
      </c>
    </row>
    <row r="560" spans="8:9" ht="18.75" customHeight="1">
      <c r="H560" s="66" t="str">
        <f t="shared" si="24"/>
        <v/>
      </c>
      <c r="I560" s="66" t="str">
        <f t="shared" si="25"/>
        <v/>
      </c>
    </row>
    <row r="561" spans="8:9" ht="18.75" customHeight="1">
      <c r="H561" s="66" t="str">
        <f t="shared" si="24"/>
        <v/>
      </c>
      <c r="I561" s="66" t="str">
        <f t="shared" si="25"/>
        <v/>
      </c>
    </row>
    <row r="562" spans="8:9" ht="18.75" customHeight="1">
      <c r="H562" s="66" t="str">
        <f t="shared" si="24"/>
        <v/>
      </c>
      <c r="I562" s="66" t="str">
        <f t="shared" si="25"/>
        <v/>
      </c>
    </row>
    <row r="563" spans="8:9" ht="18.75" customHeight="1">
      <c r="H563" s="66" t="str">
        <f t="shared" si="24"/>
        <v/>
      </c>
      <c r="I563" s="66" t="str">
        <f t="shared" si="25"/>
        <v/>
      </c>
    </row>
    <row r="564" spans="8:9" ht="18.75" customHeight="1">
      <c r="H564" s="66" t="str">
        <f t="shared" si="24"/>
        <v/>
      </c>
      <c r="I564" s="66" t="str">
        <f t="shared" si="25"/>
        <v/>
      </c>
    </row>
    <row r="565" spans="8:9" ht="18.75" customHeight="1">
      <c r="H565" s="66" t="str">
        <f t="shared" si="24"/>
        <v/>
      </c>
      <c r="I565" s="66" t="str">
        <f t="shared" si="25"/>
        <v/>
      </c>
    </row>
    <row r="566" spans="8:9" ht="18.75" customHeight="1">
      <c r="H566" s="66" t="str">
        <f t="shared" si="24"/>
        <v/>
      </c>
      <c r="I566" s="66" t="str">
        <f t="shared" si="25"/>
        <v/>
      </c>
    </row>
    <row r="567" spans="8:9" ht="18.75" customHeight="1">
      <c r="H567" s="66" t="str">
        <f t="shared" si="24"/>
        <v/>
      </c>
      <c r="I567" s="66" t="str">
        <f t="shared" si="25"/>
        <v/>
      </c>
    </row>
    <row r="568" spans="8:9" ht="18.75" customHeight="1">
      <c r="H568" s="66" t="str">
        <f t="shared" si="24"/>
        <v/>
      </c>
      <c r="I568" s="66" t="str">
        <f t="shared" si="25"/>
        <v/>
      </c>
    </row>
    <row r="569" spans="8:9" ht="18.75" customHeight="1">
      <c r="H569" s="66" t="str">
        <f t="shared" si="24"/>
        <v/>
      </c>
      <c r="I569" s="66" t="str">
        <f t="shared" si="25"/>
        <v/>
      </c>
    </row>
    <row r="570" spans="8:9" ht="18.75" customHeight="1">
      <c r="H570" s="66" t="str">
        <f t="shared" si="24"/>
        <v/>
      </c>
      <c r="I570" s="66" t="str">
        <f t="shared" si="25"/>
        <v/>
      </c>
    </row>
    <row r="571" spans="8:9" ht="18.75" customHeight="1">
      <c r="H571" s="66" t="str">
        <f t="shared" si="24"/>
        <v/>
      </c>
      <c r="I571" s="66" t="str">
        <f t="shared" si="25"/>
        <v/>
      </c>
    </row>
    <row r="572" spans="8:9" ht="18.75" customHeight="1">
      <c r="H572" s="66" t="str">
        <f t="shared" si="24"/>
        <v/>
      </c>
      <c r="I572" s="66" t="str">
        <f t="shared" si="25"/>
        <v/>
      </c>
    </row>
    <row r="573" spans="8:9" ht="18.75" customHeight="1">
      <c r="H573" s="66" t="str">
        <f t="shared" si="24"/>
        <v/>
      </c>
      <c r="I573" s="66" t="str">
        <f t="shared" si="25"/>
        <v/>
      </c>
    </row>
    <row r="574" spans="8:9" ht="18.75" customHeight="1">
      <c r="H574" s="66" t="str">
        <f t="shared" si="24"/>
        <v/>
      </c>
      <c r="I574" s="66" t="str">
        <f t="shared" si="25"/>
        <v/>
      </c>
    </row>
    <row r="575" spans="8:9" ht="18.75" customHeight="1">
      <c r="H575" s="66" t="str">
        <f t="shared" si="24"/>
        <v/>
      </c>
      <c r="I575" s="66" t="str">
        <f t="shared" si="25"/>
        <v/>
      </c>
    </row>
    <row r="576" spans="8:9" ht="18.75" customHeight="1">
      <c r="H576" s="66" t="str">
        <f t="shared" si="24"/>
        <v/>
      </c>
      <c r="I576" s="66" t="str">
        <f t="shared" si="25"/>
        <v/>
      </c>
    </row>
    <row r="577" spans="8:9" ht="18.75" customHeight="1">
      <c r="H577" s="66" t="str">
        <f t="shared" si="24"/>
        <v/>
      </c>
      <c r="I577" s="66" t="str">
        <f t="shared" si="25"/>
        <v/>
      </c>
    </row>
    <row r="578" spans="8:9" ht="18.75" customHeight="1">
      <c r="H578" s="66" t="str">
        <f t="shared" si="24"/>
        <v/>
      </c>
      <c r="I578" s="66" t="str">
        <f t="shared" si="25"/>
        <v/>
      </c>
    </row>
    <row r="579" spans="8:9" ht="18.75" customHeight="1">
      <c r="H579" s="66" t="str">
        <f t="shared" si="24"/>
        <v/>
      </c>
      <c r="I579" s="66" t="str">
        <f t="shared" si="25"/>
        <v/>
      </c>
    </row>
    <row r="580" spans="8:9" ht="18.75" customHeight="1">
      <c r="H580" s="66" t="str">
        <f t="shared" si="24"/>
        <v/>
      </c>
      <c r="I580" s="66" t="str">
        <f t="shared" si="25"/>
        <v/>
      </c>
    </row>
    <row r="581" spans="8:9" ht="18.75" customHeight="1">
      <c r="H581" s="66" t="str">
        <f t="shared" si="24"/>
        <v/>
      </c>
      <c r="I581" s="66" t="str">
        <f t="shared" si="25"/>
        <v/>
      </c>
    </row>
    <row r="582" spans="8:9" ht="18.75" customHeight="1">
      <c r="H582" s="66" t="str">
        <f t="shared" si="24"/>
        <v/>
      </c>
      <c r="I582" s="66" t="str">
        <f t="shared" si="25"/>
        <v/>
      </c>
    </row>
    <row r="583" spans="8:9" ht="18.75" customHeight="1">
      <c r="H583" s="66" t="str">
        <f t="shared" si="24"/>
        <v/>
      </c>
      <c r="I583" s="66" t="str">
        <f t="shared" si="25"/>
        <v/>
      </c>
    </row>
    <row r="584" spans="8:9" ht="18.75" customHeight="1">
      <c r="H584" s="66" t="str">
        <f t="shared" si="24"/>
        <v/>
      </c>
      <c r="I584" s="66" t="str">
        <f t="shared" si="25"/>
        <v/>
      </c>
    </row>
    <row r="585" spans="8:9" ht="18.75" customHeight="1">
      <c r="H585" s="66" t="str">
        <f t="shared" si="24"/>
        <v/>
      </c>
      <c r="I585" s="66" t="str">
        <f t="shared" si="25"/>
        <v/>
      </c>
    </row>
    <row r="586" spans="8:9" ht="18.75" customHeight="1">
      <c r="H586" s="66" t="str">
        <f t="shared" si="24"/>
        <v/>
      </c>
      <c r="I586" s="66" t="str">
        <f t="shared" si="25"/>
        <v/>
      </c>
    </row>
    <row r="587" spans="8:9" ht="18.75" customHeight="1">
      <c r="H587" s="66" t="str">
        <f t="shared" si="24"/>
        <v/>
      </c>
      <c r="I587" s="66" t="str">
        <f t="shared" si="25"/>
        <v/>
      </c>
    </row>
    <row r="588" spans="8:9" ht="18.75" customHeight="1">
      <c r="H588" s="66" t="str">
        <f t="shared" si="24"/>
        <v/>
      </c>
      <c r="I588" s="66" t="str">
        <f t="shared" si="25"/>
        <v/>
      </c>
    </row>
    <row r="589" spans="8:9" ht="18.75" customHeight="1">
      <c r="H589" s="66" t="str">
        <f t="shared" si="24"/>
        <v/>
      </c>
      <c r="I589" s="66" t="str">
        <f t="shared" si="25"/>
        <v/>
      </c>
    </row>
    <row r="590" spans="8:9" ht="18.75" customHeight="1">
      <c r="H590" s="66" t="str">
        <f t="shared" si="24"/>
        <v/>
      </c>
      <c r="I590" s="66" t="str">
        <f t="shared" si="25"/>
        <v/>
      </c>
    </row>
    <row r="591" spans="8:9" ht="18.75" customHeight="1">
      <c r="H591" s="66" t="str">
        <f t="shared" si="24"/>
        <v/>
      </c>
      <c r="I591" s="66" t="str">
        <f t="shared" si="25"/>
        <v/>
      </c>
    </row>
    <row r="592" spans="8:9" ht="18.75" customHeight="1">
      <c r="H592" s="66" t="str">
        <f t="shared" si="24"/>
        <v/>
      </c>
      <c r="I592" s="66" t="str">
        <f t="shared" si="25"/>
        <v/>
      </c>
    </row>
    <row r="593" spans="8:9" ht="18.75" customHeight="1">
      <c r="H593" s="66" t="str">
        <f t="shared" si="24"/>
        <v/>
      </c>
      <c r="I593" s="66" t="str">
        <f t="shared" si="25"/>
        <v/>
      </c>
    </row>
    <row r="594" spans="8:9" ht="18.75" customHeight="1">
      <c r="H594" s="66" t="str">
        <f t="shared" si="24"/>
        <v/>
      </c>
      <c r="I594" s="66" t="str">
        <f t="shared" si="25"/>
        <v/>
      </c>
    </row>
    <row r="595" spans="8:9" ht="18.75" customHeight="1">
      <c r="H595" s="66" t="str">
        <f t="shared" si="24"/>
        <v/>
      </c>
      <c r="I595" s="66" t="str">
        <f t="shared" si="25"/>
        <v/>
      </c>
    </row>
    <row r="596" spans="8:9" ht="18.75" customHeight="1">
      <c r="H596" s="66" t="str">
        <f t="shared" si="24"/>
        <v/>
      </c>
      <c r="I596" s="66" t="str">
        <f t="shared" si="25"/>
        <v/>
      </c>
    </row>
    <row r="597" spans="8:9" ht="18.75" customHeight="1">
      <c r="H597" s="66" t="str">
        <f t="shared" si="24"/>
        <v/>
      </c>
      <c r="I597" s="66" t="str">
        <f t="shared" si="25"/>
        <v/>
      </c>
    </row>
    <row r="598" spans="8:9" ht="18.75" customHeight="1">
      <c r="H598" s="66" t="str">
        <f t="shared" si="24"/>
        <v/>
      </c>
      <c r="I598" s="66" t="str">
        <f t="shared" si="25"/>
        <v/>
      </c>
    </row>
    <row r="599" spans="8:9" ht="18.75" customHeight="1">
      <c r="H599" s="66" t="str">
        <f t="shared" si="24"/>
        <v/>
      </c>
      <c r="I599" s="66" t="str">
        <f t="shared" si="25"/>
        <v/>
      </c>
    </row>
    <row r="600" spans="8:9" ht="18.75" customHeight="1">
      <c r="H600" s="66" t="str">
        <f t="shared" si="24"/>
        <v/>
      </c>
      <c r="I600" s="66" t="str">
        <f t="shared" si="25"/>
        <v/>
      </c>
    </row>
    <row r="601" spans="8:9" ht="18.75" customHeight="1">
      <c r="H601" s="66" t="str">
        <f t="shared" si="24"/>
        <v/>
      </c>
      <c r="I601" s="66" t="str">
        <f t="shared" si="25"/>
        <v/>
      </c>
    </row>
    <row r="602" spans="8:9" ht="18.75" customHeight="1">
      <c r="H602" s="66" t="str">
        <f t="shared" si="24"/>
        <v/>
      </c>
      <c r="I602" s="66" t="str">
        <f t="shared" si="25"/>
        <v/>
      </c>
    </row>
    <row r="603" spans="8:9" ht="18.75" customHeight="1">
      <c r="H603" s="66" t="str">
        <f t="shared" si="24"/>
        <v/>
      </c>
      <c r="I603" s="66" t="str">
        <f t="shared" si="25"/>
        <v/>
      </c>
    </row>
    <row r="604" spans="8:9" ht="18.75" customHeight="1">
      <c r="H604" s="66" t="str">
        <f t="shared" si="24"/>
        <v/>
      </c>
      <c r="I604" s="66" t="str">
        <f t="shared" si="25"/>
        <v/>
      </c>
    </row>
    <row r="605" spans="8:9" ht="18.75" customHeight="1">
      <c r="H605" s="66" t="str">
        <f t="shared" si="24"/>
        <v/>
      </c>
      <c r="I605" s="66" t="str">
        <f t="shared" si="25"/>
        <v/>
      </c>
    </row>
    <row r="606" spans="8:9" ht="18.75" customHeight="1">
      <c r="H606" s="66" t="str">
        <f t="shared" si="24"/>
        <v/>
      </c>
      <c r="I606" s="66" t="str">
        <f t="shared" si="25"/>
        <v/>
      </c>
    </row>
    <row r="607" spans="8:9" ht="18.75" customHeight="1">
      <c r="H607" s="66" t="str">
        <f t="shared" si="24"/>
        <v/>
      </c>
      <c r="I607" s="66" t="str">
        <f t="shared" si="25"/>
        <v/>
      </c>
    </row>
    <row r="608" spans="8:9" ht="18.75" customHeight="1">
      <c r="H608" s="66" t="str">
        <f t="shared" si="24"/>
        <v/>
      </c>
      <c r="I608" s="66" t="str">
        <f t="shared" si="25"/>
        <v/>
      </c>
    </row>
    <row r="609" spans="8:9" ht="18.75" customHeight="1">
      <c r="H609" s="66" t="str">
        <f t="shared" si="24"/>
        <v/>
      </c>
      <c r="I609" s="66" t="str">
        <f t="shared" si="25"/>
        <v/>
      </c>
    </row>
    <row r="610" spans="8:9" ht="18.75" customHeight="1">
      <c r="H610" s="66" t="str">
        <f t="shared" si="24"/>
        <v/>
      </c>
      <c r="I610" s="66" t="str">
        <f t="shared" si="25"/>
        <v/>
      </c>
    </row>
    <row r="611" spans="8:9" ht="18.75" customHeight="1">
      <c r="H611" s="66" t="str">
        <f t="shared" si="24"/>
        <v/>
      </c>
      <c r="I611" s="66" t="str">
        <f t="shared" si="25"/>
        <v/>
      </c>
    </row>
    <row r="612" spans="8:9" ht="18.75" customHeight="1">
      <c r="H612" s="66" t="str">
        <f t="shared" si="24"/>
        <v/>
      </c>
      <c r="I612" s="66" t="str">
        <f t="shared" si="25"/>
        <v/>
      </c>
    </row>
    <row r="613" spans="8:9" ht="18.75" customHeight="1">
      <c r="H613" s="66" t="str">
        <f t="shared" si="24"/>
        <v/>
      </c>
      <c r="I613" s="66" t="str">
        <f t="shared" si="25"/>
        <v/>
      </c>
    </row>
    <row r="614" spans="8:9" ht="18.75" customHeight="1">
      <c r="H614" s="66" t="str">
        <f t="shared" ref="H614:H677" si="26">IF( G614&lt;&gt;"", G614+5,"")</f>
        <v/>
      </c>
      <c r="I614" s="66" t="str">
        <f t="shared" ref="I614:I677" si="27">IF( G614&lt;&gt;"", G614+13,"")</f>
        <v/>
      </c>
    </row>
    <row r="615" spans="8:9" ht="18.75" customHeight="1">
      <c r="H615" s="66" t="str">
        <f t="shared" si="26"/>
        <v/>
      </c>
      <c r="I615" s="66" t="str">
        <f t="shared" si="27"/>
        <v/>
      </c>
    </row>
    <row r="616" spans="8:9" ht="18.75" customHeight="1">
      <c r="H616" s="66" t="str">
        <f t="shared" si="26"/>
        <v/>
      </c>
      <c r="I616" s="66" t="str">
        <f t="shared" si="27"/>
        <v/>
      </c>
    </row>
    <row r="617" spans="8:9" ht="18.75" customHeight="1">
      <c r="H617" s="66" t="str">
        <f t="shared" si="26"/>
        <v/>
      </c>
      <c r="I617" s="66" t="str">
        <f t="shared" si="27"/>
        <v/>
      </c>
    </row>
    <row r="618" spans="8:9" ht="18.75" customHeight="1">
      <c r="H618" s="66" t="str">
        <f t="shared" si="26"/>
        <v/>
      </c>
      <c r="I618" s="66" t="str">
        <f t="shared" si="27"/>
        <v/>
      </c>
    </row>
    <row r="619" spans="8:9" ht="18.75" customHeight="1">
      <c r="H619" s="66" t="str">
        <f t="shared" si="26"/>
        <v/>
      </c>
      <c r="I619" s="66" t="str">
        <f t="shared" si="27"/>
        <v/>
      </c>
    </row>
    <row r="620" spans="8:9" ht="18.75" customHeight="1">
      <c r="H620" s="66" t="str">
        <f t="shared" si="26"/>
        <v/>
      </c>
      <c r="I620" s="66" t="str">
        <f t="shared" si="27"/>
        <v/>
      </c>
    </row>
    <row r="621" spans="8:9" ht="18.75" customHeight="1">
      <c r="H621" s="66" t="str">
        <f t="shared" si="26"/>
        <v/>
      </c>
      <c r="I621" s="66" t="str">
        <f t="shared" si="27"/>
        <v/>
      </c>
    </row>
    <row r="622" spans="8:9" ht="18.75" customHeight="1">
      <c r="H622" s="66" t="str">
        <f t="shared" si="26"/>
        <v/>
      </c>
      <c r="I622" s="66" t="str">
        <f t="shared" si="27"/>
        <v/>
      </c>
    </row>
    <row r="623" spans="8:9" ht="18.75" customHeight="1">
      <c r="H623" s="66" t="str">
        <f t="shared" si="26"/>
        <v/>
      </c>
      <c r="I623" s="66" t="str">
        <f t="shared" si="27"/>
        <v/>
      </c>
    </row>
    <row r="624" spans="8:9" ht="18.75" customHeight="1">
      <c r="H624" s="66" t="str">
        <f t="shared" si="26"/>
        <v/>
      </c>
      <c r="I624" s="66" t="str">
        <f t="shared" si="27"/>
        <v/>
      </c>
    </row>
    <row r="625" spans="8:9" ht="18.75" customHeight="1">
      <c r="H625" s="66" t="str">
        <f t="shared" si="26"/>
        <v/>
      </c>
      <c r="I625" s="66" t="str">
        <f t="shared" si="27"/>
        <v/>
      </c>
    </row>
    <row r="626" spans="8:9" ht="18.75" customHeight="1">
      <c r="H626" s="66" t="str">
        <f t="shared" si="26"/>
        <v/>
      </c>
      <c r="I626" s="66" t="str">
        <f t="shared" si="27"/>
        <v/>
      </c>
    </row>
    <row r="627" spans="8:9" ht="18.75" customHeight="1">
      <c r="H627" s="66" t="str">
        <f t="shared" si="26"/>
        <v/>
      </c>
      <c r="I627" s="66" t="str">
        <f t="shared" si="27"/>
        <v/>
      </c>
    </row>
    <row r="628" spans="8:9" ht="18.75" customHeight="1">
      <c r="H628" s="66" t="str">
        <f t="shared" si="26"/>
        <v/>
      </c>
      <c r="I628" s="66" t="str">
        <f t="shared" si="27"/>
        <v/>
      </c>
    </row>
    <row r="629" spans="8:9" ht="18.75" customHeight="1">
      <c r="H629" s="66" t="str">
        <f t="shared" si="26"/>
        <v/>
      </c>
      <c r="I629" s="66" t="str">
        <f t="shared" si="27"/>
        <v/>
      </c>
    </row>
    <row r="630" spans="8:9" ht="18.75" customHeight="1">
      <c r="H630" s="66" t="str">
        <f t="shared" si="26"/>
        <v/>
      </c>
      <c r="I630" s="66" t="str">
        <f t="shared" si="27"/>
        <v/>
      </c>
    </row>
    <row r="631" spans="8:9" ht="18.75" customHeight="1">
      <c r="H631" s="66" t="str">
        <f t="shared" si="26"/>
        <v/>
      </c>
      <c r="I631" s="66" t="str">
        <f t="shared" si="27"/>
        <v/>
      </c>
    </row>
    <row r="632" spans="8:9" ht="18.75" customHeight="1">
      <c r="H632" s="66" t="str">
        <f t="shared" si="26"/>
        <v/>
      </c>
      <c r="I632" s="66" t="str">
        <f t="shared" si="27"/>
        <v/>
      </c>
    </row>
    <row r="633" spans="8:9" ht="18.75" customHeight="1">
      <c r="H633" s="66" t="str">
        <f t="shared" si="26"/>
        <v/>
      </c>
      <c r="I633" s="66" t="str">
        <f t="shared" si="27"/>
        <v/>
      </c>
    </row>
    <row r="634" spans="8:9" ht="18.75" customHeight="1">
      <c r="H634" s="66" t="str">
        <f t="shared" si="26"/>
        <v/>
      </c>
      <c r="I634" s="66" t="str">
        <f t="shared" si="27"/>
        <v/>
      </c>
    </row>
    <row r="635" spans="8:9" ht="18.75" customHeight="1">
      <c r="H635" s="66" t="str">
        <f t="shared" si="26"/>
        <v/>
      </c>
      <c r="I635" s="66" t="str">
        <f t="shared" si="27"/>
        <v/>
      </c>
    </row>
    <row r="636" spans="8:9" ht="18.75" customHeight="1">
      <c r="H636" s="66" t="str">
        <f t="shared" si="26"/>
        <v/>
      </c>
      <c r="I636" s="66" t="str">
        <f t="shared" si="27"/>
        <v/>
      </c>
    </row>
    <row r="637" spans="8:9" ht="18.75" customHeight="1">
      <c r="H637" s="66" t="str">
        <f t="shared" si="26"/>
        <v/>
      </c>
      <c r="I637" s="66" t="str">
        <f t="shared" si="27"/>
        <v/>
      </c>
    </row>
    <row r="638" spans="8:9" ht="18.75" customHeight="1">
      <c r="H638" s="66" t="str">
        <f t="shared" si="26"/>
        <v/>
      </c>
      <c r="I638" s="66" t="str">
        <f t="shared" si="27"/>
        <v/>
      </c>
    </row>
    <row r="639" spans="8:9" ht="18.75" customHeight="1">
      <c r="H639" s="66" t="str">
        <f t="shared" si="26"/>
        <v/>
      </c>
      <c r="I639" s="66" t="str">
        <f t="shared" si="27"/>
        <v/>
      </c>
    </row>
    <row r="640" spans="8:9" ht="18.75" customHeight="1">
      <c r="H640" s="66" t="str">
        <f t="shared" si="26"/>
        <v/>
      </c>
      <c r="I640" s="66" t="str">
        <f t="shared" si="27"/>
        <v/>
      </c>
    </row>
    <row r="641" spans="8:9" ht="18.75" customHeight="1">
      <c r="H641" s="66" t="str">
        <f t="shared" si="26"/>
        <v/>
      </c>
      <c r="I641" s="66" t="str">
        <f t="shared" si="27"/>
        <v/>
      </c>
    </row>
    <row r="642" spans="8:9" ht="18.75" customHeight="1">
      <c r="H642" s="66" t="str">
        <f t="shared" si="26"/>
        <v/>
      </c>
      <c r="I642" s="66" t="str">
        <f t="shared" si="27"/>
        <v/>
      </c>
    </row>
    <row r="643" spans="8:9" ht="18.75" customHeight="1">
      <c r="H643" s="66" t="str">
        <f t="shared" si="26"/>
        <v/>
      </c>
      <c r="I643" s="66" t="str">
        <f t="shared" si="27"/>
        <v/>
      </c>
    </row>
    <row r="644" spans="8:9" ht="18.75" customHeight="1">
      <c r="H644" s="66" t="str">
        <f t="shared" si="26"/>
        <v/>
      </c>
      <c r="I644" s="66" t="str">
        <f t="shared" si="27"/>
        <v/>
      </c>
    </row>
    <row r="645" spans="8:9" ht="18.75" customHeight="1">
      <c r="H645" s="66" t="str">
        <f t="shared" si="26"/>
        <v/>
      </c>
      <c r="I645" s="66" t="str">
        <f t="shared" si="27"/>
        <v/>
      </c>
    </row>
    <row r="646" spans="8:9" ht="18.75" customHeight="1">
      <c r="H646" s="66" t="str">
        <f t="shared" si="26"/>
        <v/>
      </c>
      <c r="I646" s="66" t="str">
        <f t="shared" si="27"/>
        <v/>
      </c>
    </row>
    <row r="647" spans="8:9" ht="18.75" customHeight="1">
      <c r="H647" s="66" t="str">
        <f t="shared" si="26"/>
        <v/>
      </c>
      <c r="I647" s="66" t="str">
        <f t="shared" si="27"/>
        <v/>
      </c>
    </row>
    <row r="648" spans="8:9" ht="18.75" customHeight="1">
      <c r="H648" s="66" t="str">
        <f t="shared" si="26"/>
        <v/>
      </c>
      <c r="I648" s="66" t="str">
        <f t="shared" si="27"/>
        <v/>
      </c>
    </row>
    <row r="649" spans="8:9" ht="18.75" customHeight="1">
      <c r="H649" s="66" t="str">
        <f t="shared" si="26"/>
        <v/>
      </c>
      <c r="I649" s="66" t="str">
        <f t="shared" si="27"/>
        <v/>
      </c>
    </row>
    <row r="650" spans="8:9" ht="18.75" customHeight="1">
      <c r="H650" s="66" t="str">
        <f t="shared" si="26"/>
        <v/>
      </c>
      <c r="I650" s="66" t="str">
        <f t="shared" si="27"/>
        <v/>
      </c>
    </row>
    <row r="651" spans="8:9" ht="18.75" customHeight="1">
      <c r="H651" s="66" t="str">
        <f t="shared" si="26"/>
        <v/>
      </c>
      <c r="I651" s="66" t="str">
        <f t="shared" si="27"/>
        <v/>
      </c>
    </row>
    <row r="652" spans="8:9" ht="18.75" customHeight="1">
      <c r="H652" s="66" t="str">
        <f t="shared" si="26"/>
        <v/>
      </c>
      <c r="I652" s="66" t="str">
        <f t="shared" si="27"/>
        <v/>
      </c>
    </row>
    <row r="653" spans="8:9" ht="18.75" customHeight="1">
      <c r="H653" s="66" t="str">
        <f t="shared" si="26"/>
        <v/>
      </c>
      <c r="I653" s="66" t="str">
        <f t="shared" si="27"/>
        <v/>
      </c>
    </row>
    <row r="654" spans="8:9" ht="18.75" customHeight="1">
      <c r="H654" s="66" t="str">
        <f t="shared" si="26"/>
        <v/>
      </c>
      <c r="I654" s="66" t="str">
        <f t="shared" si="27"/>
        <v/>
      </c>
    </row>
    <row r="655" spans="8:9" ht="18.75" customHeight="1">
      <c r="H655" s="66" t="str">
        <f t="shared" si="26"/>
        <v/>
      </c>
      <c r="I655" s="66" t="str">
        <f t="shared" si="27"/>
        <v/>
      </c>
    </row>
    <row r="656" spans="8:9" ht="18.75" customHeight="1">
      <c r="H656" s="66" t="str">
        <f t="shared" si="26"/>
        <v/>
      </c>
      <c r="I656" s="66" t="str">
        <f t="shared" si="27"/>
        <v/>
      </c>
    </row>
    <row r="657" spans="8:9" ht="18.75" customHeight="1">
      <c r="H657" s="66" t="str">
        <f t="shared" si="26"/>
        <v/>
      </c>
      <c r="I657" s="66" t="str">
        <f t="shared" si="27"/>
        <v/>
      </c>
    </row>
    <row r="658" spans="8:9" ht="18.75" customHeight="1">
      <c r="H658" s="66" t="str">
        <f t="shared" si="26"/>
        <v/>
      </c>
      <c r="I658" s="66" t="str">
        <f t="shared" si="27"/>
        <v/>
      </c>
    </row>
    <row r="659" spans="8:9" ht="18.75" customHeight="1">
      <c r="H659" s="66" t="str">
        <f t="shared" si="26"/>
        <v/>
      </c>
      <c r="I659" s="66" t="str">
        <f t="shared" si="27"/>
        <v/>
      </c>
    </row>
    <row r="660" spans="8:9" ht="18.75" customHeight="1">
      <c r="H660" s="66" t="str">
        <f t="shared" si="26"/>
        <v/>
      </c>
      <c r="I660" s="66" t="str">
        <f t="shared" si="27"/>
        <v/>
      </c>
    </row>
    <row r="661" spans="8:9" ht="18.75" customHeight="1">
      <c r="H661" s="66" t="str">
        <f t="shared" si="26"/>
        <v/>
      </c>
      <c r="I661" s="66" t="str">
        <f t="shared" si="27"/>
        <v/>
      </c>
    </row>
    <row r="662" spans="8:9" ht="18.75" customHeight="1">
      <c r="H662" s="66" t="str">
        <f t="shared" si="26"/>
        <v/>
      </c>
      <c r="I662" s="66" t="str">
        <f t="shared" si="27"/>
        <v/>
      </c>
    </row>
    <row r="663" spans="8:9" ht="18.75" customHeight="1">
      <c r="H663" s="66" t="str">
        <f t="shared" si="26"/>
        <v/>
      </c>
      <c r="I663" s="66" t="str">
        <f t="shared" si="27"/>
        <v/>
      </c>
    </row>
    <row r="664" spans="8:9" ht="18.75" customHeight="1">
      <c r="H664" s="66" t="str">
        <f t="shared" si="26"/>
        <v/>
      </c>
      <c r="I664" s="66" t="str">
        <f t="shared" si="27"/>
        <v/>
      </c>
    </row>
    <row r="665" spans="8:9" ht="18.75" customHeight="1">
      <c r="H665" s="66" t="str">
        <f t="shared" si="26"/>
        <v/>
      </c>
      <c r="I665" s="66" t="str">
        <f t="shared" si="27"/>
        <v/>
      </c>
    </row>
    <row r="666" spans="8:9" ht="18.75" customHeight="1">
      <c r="H666" s="66" t="str">
        <f t="shared" si="26"/>
        <v/>
      </c>
      <c r="I666" s="66" t="str">
        <f t="shared" si="27"/>
        <v/>
      </c>
    </row>
    <row r="667" spans="8:9" ht="18.75" customHeight="1">
      <c r="H667" s="66" t="str">
        <f t="shared" si="26"/>
        <v/>
      </c>
      <c r="I667" s="66" t="str">
        <f t="shared" si="27"/>
        <v/>
      </c>
    </row>
    <row r="668" spans="8:9" ht="18.75" customHeight="1">
      <c r="H668" s="66" t="str">
        <f t="shared" si="26"/>
        <v/>
      </c>
      <c r="I668" s="66" t="str">
        <f t="shared" si="27"/>
        <v/>
      </c>
    </row>
    <row r="669" spans="8:9" ht="18.75" customHeight="1">
      <c r="H669" s="66" t="str">
        <f t="shared" si="26"/>
        <v/>
      </c>
      <c r="I669" s="66" t="str">
        <f t="shared" si="27"/>
        <v/>
      </c>
    </row>
    <row r="670" spans="8:9" ht="18.75" customHeight="1">
      <c r="H670" s="66" t="str">
        <f t="shared" si="26"/>
        <v/>
      </c>
      <c r="I670" s="66" t="str">
        <f t="shared" si="27"/>
        <v/>
      </c>
    </row>
    <row r="671" spans="8:9" ht="18.75" customHeight="1">
      <c r="H671" s="66" t="str">
        <f t="shared" si="26"/>
        <v/>
      </c>
      <c r="I671" s="66" t="str">
        <f t="shared" si="27"/>
        <v/>
      </c>
    </row>
    <row r="672" spans="8:9" ht="18.75" customHeight="1">
      <c r="H672" s="66" t="str">
        <f t="shared" si="26"/>
        <v/>
      </c>
      <c r="I672" s="66" t="str">
        <f t="shared" si="27"/>
        <v/>
      </c>
    </row>
    <row r="673" spans="8:9" ht="18.75" customHeight="1">
      <c r="H673" s="66" t="str">
        <f t="shared" si="26"/>
        <v/>
      </c>
      <c r="I673" s="66" t="str">
        <f t="shared" si="27"/>
        <v/>
      </c>
    </row>
    <row r="674" spans="8:9" ht="18.75" customHeight="1">
      <c r="H674" s="66" t="str">
        <f t="shared" si="26"/>
        <v/>
      </c>
      <c r="I674" s="66" t="str">
        <f t="shared" si="27"/>
        <v/>
      </c>
    </row>
    <row r="675" spans="8:9" ht="18.75" customHeight="1">
      <c r="H675" s="66" t="str">
        <f t="shared" si="26"/>
        <v/>
      </c>
      <c r="I675" s="66" t="str">
        <f t="shared" si="27"/>
        <v/>
      </c>
    </row>
    <row r="676" spans="8:9" ht="18.75" customHeight="1">
      <c r="H676" s="66" t="str">
        <f t="shared" si="26"/>
        <v/>
      </c>
      <c r="I676" s="66" t="str">
        <f t="shared" si="27"/>
        <v/>
      </c>
    </row>
    <row r="677" spans="8:9" ht="18.75" customHeight="1">
      <c r="H677" s="66" t="str">
        <f t="shared" si="26"/>
        <v/>
      </c>
      <c r="I677" s="66" t="str">
        <f t="shared" si="27"/>
        <v/>
      </c>
    </row>
    <row r="678" spans="8:9" ht="18.75" customHeight="1">
      <c r="H678" s="66" t="str">
        <f t="shared" ref="H678:H741" si="28">IF( G678&lt;&gt;"", G678+5,"")</f>
        <v/>
      </c>
      <c r="I678" s="66" t="str">
        <f t="shared" ref="I678:I741" si="29">IF( G678&lt;&gt;"", G678+13,"")</f>
        <v/>
      </c>
    </row>
    <row r="679" spans="8:9" ht="18.75" customHeight="1">
      <c r="H679" s="66" t="str">
        <f t="shared" si="28"/>
        <v/>
      </c>
      <c r="I679" s="66" t="str">
        <f t="shared" si="29"/>
        <v/>
      </c>
    </row>
    <row r="680" spans="8:9" ht="18.75" customHeight="1">
      <c r="H680" s="66" t="str">
        <f t="shared" si="28"/>
        <v/>
      </c>
      <c r="I680" s="66" t="str">
        <f t="shared" si="29"/>
        <v/>
      </c>
    </row>
    <row r="681" spans="8:9" ht="18.75" customHeight="1">
      <c r="H681" s="66" t="str">
        <f t="shared" si="28"/>
        <v/>
      </c>
      <c r="I681" s="66" t="str">
        <f t="shared" si="29"/>
        <v/>
      </c>
    </row>
    <row r="682" spans="8:9" ht="18.75" customHeight="1">
      <c r="H682" s="66" t="str">
        <f t="shared" si="28"/>
        <v/>
      </c>
      <c r="I682" s="66" t="str">
        <f t="shared" si="29"/>
        <v/>
      </c>
    </row>
    <row r="683" spans="8:9" ht="18.75" customHeight="1">
      <c r="H683" s="66" t="str">
        <f t="shared" si="28"/>
        <v/>
      </c>
      <c r="I683" s="66" t="str">
        <f t="shared" si="29"/>
        <v/>
      </c>
    </row>
    <row r="684" spans="8:9" ht="18.75" customHeight="1">
      <c r="H684" s="66" t="str">
        <f t="shared" si="28"/>
        <v/>
      </c>
      <c r="I684" s="66" t="str">
        <f t="shared" si="29"/>
        <v/>
      </c>
    </row>
    <row r="685" spans="8:9" ht="18.75" customHeight="1">
      <c r="H685" s="66" t="str">
        <f t="shared" si="28"/>
        <v/>
      </c>
      <c r="I685" s="66" t="str">
        <f t="shared" si="29"/>
        <v/>
      </c>
    </row>
    <row r="686" spans="8:9" ht="18.75" customHeight="1">
      <c r="H686" s="66" t="str">
        <f t="shared" si="28"/>
        <v/>
      </c>
      <c r="I686" s="66" t="str">
        <f t="shared" si="29"/>
        <v/>
      </c>
    </row>
    <row r="687" spans="8:9" ht="18.75" customHeight="1">
      <c r="H687" s="66" t="str">
        <f t="shared" si="28"/>
        <v/>
      </c>
      <c r="I687" s="66" t="str">
        <f t="shared" si="29"/>
        <v/>
      </c>
    </row>
    <row r="688" spans="8:9" ht="18.75" customHeight="1">
      <c r="H688" s="66" t="str">
        <f t="shared" si="28"/>
        <v/>
      </c>
      <c r="I688" s="66" t="str">
        <f t="shared" si="29"/>
        <v/>
      </c>
    </row>
    <row r="689" spans="8:9" ht="18.75" customHeight="1">
      <c r="H689" s="66" t="str">
        <f t="shared" si="28"/>
        <v/>
      </c>
      <c r="I689" s="66" t="str">
        <f t="shared" si="29"/>
        <v/>
      </c>
    </row>
    <row r="690" spans="8:9" ht="18.75" customHeight="1">
      <c r="H690" s="66" t="str">
        <f t="shared" si="28"/>
        <v/>
      </c>
      <c r="I690" s="66" t="str">
        <f t="shared" si="29"/>
        <v/>
      </c>
    </row>
    <row r="691" spans="8:9" ht="18.75" customHeight="1">
      <c r="H691" s="66" t="str">
        <f t="shared" si="28"/>
        <v/>
      </c>
      <c r="I691" s="66" t="str">
        <f t="shared" si="29"/>
        <v/>
      </c>
    </row>
    <row r="692" spans="8:9" ht="18.75" customHeight="1">
      <c r="H692" s="66" t="str">
        <f t="shared" si="28"/>
        <v/>
      </c>
      <c r="I692" s="66" t="str">
        <f t="shared" si="29"/>
        <v/>
      </c>
    </row>
    <row r="693" spans="8:9" ht="18.75" customHeight="1">
      <c r="H693" s="66" t="str">
        <f t="shared" si="28"/>
        <v/>
      </c>
      <c r="I693" s="66" t="str">
        <f t="shared" si="29"/>
        <v/>
      </c>
    </row>
    <row r="694" spans="8:9" ht="18.75" customHeight="1">
      <c r="H694" s="66" t="str">
        <f t="shared" si="28"/>
        <v/>
      </c>
      <c r="I694" s="66" t="str">
        <f t="shared" si="29"/>
        <v/>
      </c>
    </row>
    <row r="695" spans="8:9" ht="18.75" customHeight="1">
      <c r="H695" s="66" t="str">
        <f t="shared" si="28"/>
        <v/>
      </c>
      <c r="I695" s="66" t="str">
        <f t="shared" si="29"/>
        <v/>
      </c>
    </row>
    <row r="696" spans="8:9" ht="18.75" customHeight="1">
      <c r="H696" s="66" t="str">
        <f t="shared" si="28"/>
        <v/>
      </c>
      <c r="I696" s="66" t="str">
        <f t="shared" si="29"/>
        <v/>
      </c>
    </row>
    <row r="697" spans="8:9" ht="18.75" customHeight="1">
      <c r="H697" s="66" t="str">
        <f t="shared" si="28"/>
        <v/>
      </c>
      <c r="I697" s="66" t="str">
        <f t="shared" si="29"/>
        <v/>
      </c>
    </row>
    <row r="698" spans="8:9" ht="18.75" customHeight="1">
      <c r="H698" s="66" t="str">
        <f t="shared" si="28"/>
        <v/>
      </c>
      <c r="I698" s="66" t="str">
        <f t="shared" si="29"/>
        <v/>
      </c>
    </row>
    <row r="699" spans="8:9" ht="18.75" customHeight="1">
      <c r="H699" s="66" t="str">
        <f t="shared" si="28"/>
        <v/>
      </c>
      <c r="I699" s="66" t="str">
        <f t="shared" si="29"/>
        <v/>
      </c>
    </row>
    <row r="700" spans="8:9" ht="18.75" customHeight="1">
      <c r="H700" s="66" t="str">
        <f t="shared" si="28"/>
        <v/>
      </c>
      <c r="I700" s="66" t="str">
        <f t="shared" si="29"/>
        <v/>
      </c>
    </row>
    <row r="701" spans="8:9" ht="18.75" customHeight="1">
      <c r="H701" s="66" t="str">
        <f t="shared" si="28"/>
        <v/>
      </c>
      <c r="I701" s="66" t="str">
        <f t="shared" si="29"/>
        <v/>
      </c>
    </row>
    <row r="702" spans="8:9" ht="18.75" customHeight="1">
      <c r="H702" s="66" t="str">
        <f t="shared" si="28"/>
        <v/>
      </c>
      <c r="I702" s="66" t="str">
        <f t="shared" si="29"/>
        <v/>
      </c>
    </row>
    <row r="703" spans="8:9" ht="18.75" customHeight="1">
      <c r="H703" s="66" t="str">
        <f t="shared" si="28"/>
        <v/>
      </c>
      <c r="I703" s="66" t="str">
        <f t="shared" si="29"/>
        <v/>
      </c>
    </row>
    <row r="704" spans="8:9" ht="18.75" customHeight="1">
      <c r="H704" s="66" t="str">
        <f t="shared" si="28"/>
        <v/>
      </c>
      <c r="I704" s="66" t="str">
        <f t="shared" si="29"/>
        <v/>
      </c>
    </row>
    <row r="705" spans="8:9" ht="18.75" customHeight="1">
      <c r="H705" s="66" t="str">
        <f t="shared" si="28"/>
        <v/>
      </c>
      <c r="I705" s="66" t="str">
        <f t="shared" si="29"/>
        <v/>
      </c>
    </row>
    <row r="706" spans="8:9" ht="18.75" customHeight="1">
      <c r="H706" s="66" t="str">
        <f t="shared" si="28"/>
        <v/>
      </c>
      <c r="I706" s="66" t="str">
        <f t="shared" si="29"/>
        <v/>
      </c>
    </row>
    <row r="707" spans="8:9" ht="18.75" customHeight="1">
      <c r="H707" s="66" t="str">
        <f t="shared" si="28"/>
        <v/>
      </c>
      <c r="I707" s="66" t="str">
        <f t="shared" si="29"/>
        <v/>
      </c>
    </row>
    <row r="708" spans="8:9" ht="18.75" customHeight="1">
      <c r="H708" s="66" t="str">
        <f t="shared" si="28"/>
        <v/>
      </c>
      <c r="I708" s="66" t="str">
        <f t="shared" si="29"/>
        <v/>
      </c>
    </row>
    <row r="709" spans="8:9" ht="18.75" customHeight="1">
      <c r="H709" s="66" t="str">
        <f t="shared" si="28"/>
        <v/>
      </c>
      <c r="I709" s="66" t="str">
        <f t="shared" si="29"/>
        <v/>
      </c>
    </row>
    <row r="710" spans="8:9" ht="18.75" customHeight="1">
      <c r="H710" s="66" t="str">
        <f t="shared" si="28"/>
        <v/>
      </c>
      <c r="I710" s="66" t="str">
        <f t="shared" si="29"/>
        <v/>
      </c>
    </row>
    <row r="711" spans="8:9" ht="18.75" customHeight="1">
      <c r="H711" s="66" t="str">
        <f t="shared" si="28"/>
        <v/>
      </c>
      <c r="I711" s="66" t="str">
        <f t="shared" si="29"/>
        <v/>
      </c>
    </row>
    <row r="712" spans="8:9" ht="18.75" customHeight="1">
      <c r="H712" s="66" t="str">
        <f t="shared" si="28"/>
        <v/>
      </c>
      <c r="I712" s="66" t="str">
        <f t="shared" si="29"/>
        <v/>
      </c>
    </row>
    <row r="713" spans="8:9" ht="18.75" customHeight="1">
      <c r="H713" s="66" t="str">
        <f t="shared" si="28"/>
        <v/>
      </c>
      <c r="I713" s="66" t="str">
        <f t="shared" si="29"/>
        <v/>
      </c>
    </row>
    <row r="714" spans="8:9" ht="18.75" customHeight="1">
      <c r="H714" s="66" t="str">
        <f t="shared" si="28"/>
        <v/>
      </c>
      <c r="I714" s="66" t="str">
        <f t="shared" si="29"/>
        <v/>
      </c>
    </row>
    <row r="715" spans="8:9" ht="18.75" customHeight="1">
      <c r="H715" s="66" t="str">
        <f t="shared" si="28"/>
        <v/>
      </c>
      <c r="I715" s="66" t="str">
        <f t="shared" si="29"/>
        <v/>
      </c>
    </row>
    <row r="716" spans="8:9" ht="18.75" customHeight="1">
      <c r="H716" s="66" t="str">
        <f t="shared" si="28"/>
        <v/>
      </c>
      <c r="I716" s="66" t="str">
        <f t="shared" si="29"/>
        <v/>
      </c>
    </row>
    <row r="717" spans="8:9" ht="18.75" customHeight="1">
      <c r="H717" s="66" t="str">
        <f t="shared" si="28"/>
        <v/>
      </c>
      <c r="I717" s="66" t="str">
        <f t="shared" si="29"/>
        <v/>
      </c>
    </row>
    <row r="718" spans="8:9" ht="18.75" customHeight="1">
      <c r="H718" s="66" t="str">
        <f t="shared" si="28"/>
        <v/>
      </c>
      <c r="I718" s="66" t="str">
        <f t="shared" si="29"/>
        <v/>
      </c>
    </row>
    <row r="719" spans="8:9" ht="18.75" customHeight="1">
      <c r="H719" s="66" t="str">
        <f t="shared" si="28"/>
        <v/>
      </c>
      <c r="I719" s="66" t="str">
        <f t="shared" si="29"/>
        <v/>
      </c>
    </row>
    <row r="720" spans="8:9" ht="18.75" customHeight="1">
      <c r="H720" s="66" t="str">
        <f t="shared" si="28"/>
        <v/>
      </c>
      <c r="I720" s="66" t="str">
        <f t="shared" si="29"/>
        <v/>
      </c>
    </row>
    <row r="721" spans="8:9" ht="18.75" customHeight="1">
      <c r="H721" s="66" t="str">
        <f t="shared" si="28"/>
        <v/>
      </c>
      <c r="I721" s="66" t="str">
        <f t="shared" si="29"/>
        <v/>
      </c>
    </row>
    <row r="722" spans="8:9" ht="18.75" customHeight="1">
      <c r="H722" s="66" t="str">
        <f t="shared" si="28"/>
        <v/>
      </c>
      <c r="I722" s="66" t="str">
        <f t="shared" si="29"/>
        <v/>
      </c>
    </row>
    <row r="723" spans="8:9" ht="18.75" customHeight="1">
      <c r="H723" s="66" t="str">
        <f t="shared" si="28"/>
        <v/>
      </c>
      <c r="I723" s="66" t="str">
        <f t="shared" si="29"/>
        <v/>
      </c>
    </row>
    <row r="724" spans="8:9" ht="18.75" customHeight="1">
      <c r="H724" s="66" t="str">
        <f t="shared" si="28"/>
        <v/>
      </c>
      <c r="I724" s="66" t="str">
        <f t="shared" si="29"/>
        <v/>
      </c>
    </row>
    <row r="725" spans="8:9" ht="18.75" customHeight="1">
      <c r="H725" s="66" t="str">
        <f t="shared" si="28"/>
        <v/>
      </c>
      <c r="I725" s="66" t="str">
        <f t="shared" si="29"/>
        <v/>
      </c>
    </row>
    <row r="726" spans="8:9" ht="18.75" customHeight="1">
      <c r="H726" s="66" t="str">
        <f t="shared" si="28"/>
        <v/>
      </c>
      <c r="I726" s="66" t="str">
        <f t="shared" si="29"/>
        <v/>
      </c>
    </row>
    <row r="727" spans="8:9" ht="18.75" customHeight="1">
      <c r="H727" s="66" t="str">
        <f t="shared" si="28"/>
        <v/>
      </c>
      <c r="I727" s="66" t="str">
        <f t="shared" si="29"/>
        <v/>
      </c>
    </row>
    <row r="728" spans="8:9" ht="18.75" customHeight="1">
      <c r="H728" s="66" t="str">
        <f t="shared" si="28"/>
        <v/>
      </c>
      <c r="I728" s="66" t="str">
        <f t="shared" si="29"/>
        <v/>
      </c>
    </row>
    <row r="729" spans="8:9" ht="18.75" customHeight="1">
      <c r="H729" s="66" t="str">
        <f t="shared" si="28"/>
        <v/>
      </c>
      <c r="I729" s="66" t="str">
        <f t="shared" si="29"/>
        <v/>
      </c>
    </row>
    <row r="730" spans="8:9" ht="18.75" customHeight="1">
      <c r="H730" s="66" t="str">
        <f t="shared" si="28"/>
        <v/>
      </c>
      <c r="I730" s="66" t="str">
        <f t="shared" si="29"/>
        <v/>
      </c>
    </row>
    <row r="731" spans="8:9" ht="18.75" customHeight="1">
      <c r="H731" s="66" t="str">
        <f t="shared" si="28"/>
        <v/>
      </c>
      <c r="I731" s="66" t="str">
        <f t="shared" si="29"/>
        <v/>
      </c>
    </row>
    <row r="732" spans="8:9" ht="18.75" customHeight="1">
      <c r="H732" s="66" t="str">
        <f t="shared" si="28"/>
        <v/>
      </c>
      <c r="I732" s="66" t="str">
        <f t="shared" si="29"/>
        <v/>
      </c>
    </row>
    <row r="733" spans="8:9" ht="18.75" customHeight="1">
      <c r="H733" s="66" t="str">
        <f t="shared" si="28"/>
        <v/>
      </c>
      <c r="I733" s="66" t="str">
        <f t="shared" si="29"/>
        <v/>
      </c>
    </row>
    <row r="734" spans="8:9" ht="18.75" customHeight="1">
      <c r="H734" s="66" t="str">
        <f t="shared" si="28"/>
        <v/>
      </c>
      <c r="I734" s="66" t="str">
        <f t="shared" si="29"/>
        <v/>
      </c>
    </row>
    <row r="735" spans="8:9" ht="18.75" customHeight="1">
      <c r="H735" s="66" t="str">
        <f t="shared" si="28"/>
        <v/>
      </c>
      <c r="I735" s="66" t="str">
        <f t="shared" si="29"/>
        <v/>
      </c>
    </row>
    <row r="736" spans="8:9" ht="18.75" customHeight="1">
      <c r="H736" s="66" t="str">
        <f t="shared" si="28"/>
        <v/>
      </c>
      <c r="I736" s="66" t="str">
        <f t="shared" si="29"/>
        <v/>
      </c>
    </row>
    <row r="737" spans="8:9" ht="18.75" customHeight="1">
      <c r="H737" s="66" t="str">
        <f t="shared" si="28"/>
        <v/>
      </c>
      <c r="I737" s="66" t="str">
        <f t="shared" si="29"/>
        <v/>
      </c>
    </row>
    <row r="738" spans="8:9" ht="18.75" customHeight="1">
      <c r="H738" s="66" t="str">
        <f t="shared" si="28"/>
        <v/>
      </c>
      <c r="I738" s="66" t="str">
        <f t="shared" si="29"/>
        <v/>
      </c>
    </row>
    <row r="739" spans="8:9" ht="18.75" customHeight="1">
      <c r="H739" s="66" t="str">
        <f t="shared" si="28"/>
        <v/>
      </c>
      <c r="I739" s="66" t="str">
        <f t="shared" si="29"/>
        <v/>
      </c>
    </row>
    <row r="740" spans="8:9" ht="18.75" customHeight="1">
      <c r="H740" s="66" t="str">
        <f t="shared" si="28"/>
        <v/>
      </c>
      <c r="I740" s="66" t="str">
        <f t="shared" si="29"/>
        <v/>
      </c>
    </row>
    <row r="741" spans="8:9" ht="18.75" customHeight="1">
      <c r="H741" s="66" t="str">
        <f t="shared" si="28"/>
        <v/>
      </c>
      <c r="I741" s="66" t="str">
        <f t="shared" si="29"/>
        <v/>
      </c>
    </row>
    <row r="742" spans="8:9" ht="18.75" customHeight="1">
      <c r="H742" s="66" t="str">
        <f t="shared" ref="H742:H794" si="30">IF( G742&lt;&gt;"", G742+5,"")</f>
        <v/>
      </c>
      <c r="I742" s="66" t="str">
        <f t="shared" ref="I742:I794" si="31">IF( G742&lt;&gt;"", G742+13,"")</f>
        <v/>
      </c>
    </row>
    <row r="743" spans="8:9" ht="18.75" customHeight="1">
      <c r="H743" s="66" t="str">
        <f t="shared" si="30"/>
        <v/>
      </c>
      <c r="I743" s="66" t="str">
        <f t="shared" si="31"/>
        <v/>
      </c>
    </row>
    <row r="744" spans="8:9" ht="18.75" customHeight="1">
      <c r="H744" s="66" t="str">
        <f t="shared" si="30"/>
        <v/>
      </c>
      <c r="I744" s="66" t="str">
        <f t="shared" si="31"/>
        <v/>
      </c>
    </row>
    <row r="745" spans="8:9" ht="18.75" customHeight="1">
      <c r="H745" s="66" t="str">
        <f t="shared" si="30"/>
        <v/>
      </c>
      <c r="I745" s="66" t="str">
        <f t="shared" si="31"/>
        <v/>
      </c>
    </row>
    <row r="746" spans="8:9" ht="18.75" customHeight="1">
      <c r="H746" s="66" t="str">
        <f t="shared" si="30"/>
        <v/>
      </c>
      <c r="I746" s="66" t="str">
        <f t="shared" si="31"/>
        <v/>
      </c>
    </row>
    <row r="747" spans="8:9" ht="18.75" customHeight="1">
      <c r="H747" s="66" t="str">
        <f t="shared" si="30"/>
        <v/>
      </c>
      <c r="I747" s="66" t="str">
        <f t="shared" si="31"/>
        <v/>
      </c>
    </row>
    <row r="748" spans="8:9" ht="18.75" customHeight="1">
      <c r="H748" s="66" t="str">
        <f t="shared" si="30"/>
        <v/>
      </c>
      <c r="I748" s="66" t="str">
        <f t="shared" si="31"/>
        <v/>
      </c>
    </row>
    <row r="749" spans="8:9" ht="18.75" customHeight="1">
      <c r="H749" s="66" t="str">
        <f t="shared" si="30"/>
        <v/>
      </c>
      <c r="I749" s="66" t="str">
        <f t="shared" si="31"/>
        <v/>
      </c>
    </row>
    <row r="750" spans="8:9" ht="18.75" customHeight="1">
      <c r="H750" s="66" t="str">
        <f t="shared" si="30"/>
        <v/>
      </c>
      <c r="I750" s="66" t="str">
        <f t="shared" si="31"/>
        <v/>
      </c>
    </row>
    <row r="751" spans="8:9" ht="18.75" customHeight="1">
      <c r="H751" s="66" t="str">
        <f t="shared" si="30"/>
        <v/>
      </c>
      <c r="I751" s="66" t="str">
        <f t="shared" si="31"/>
        <v/>
      </c>
    </row>
    <row r="752" spans="8:9" ht="18.75" customHeight="1">
      <c r="H752" s="66" t="str">
        <f t="shared" si="30"/>
        <v/>
      </c>
      <c r="I752" s="66" t="str">
        <f t="shared" si="31"/>
        <v/>
      </c>
    </row>
    <row r="753" spans="8:9" ht="18.75" customHeight="1">
      <c r="H753" s="66" t="str">
        <f t="shared" si="30"/>
        <v/>
      </c>
      <c r="I753" s="66" t="str">
        <f t="shared" si="31"/>
        <v/>
      </c>
    </row>
    <row r="754" spans="8:9" ht="18.75" customHeight="1">
      <c r="H754" s="66" t="str">
        <f t="shared" si="30"/>
        <v/>
      </c>
      <c r="I754" s="66" t="str">
        <f t="shared" si="31"/>
        <v/>
      </c>
    </row>
    <row r="755" spans="8:9" ht="18.75" customHeight="1">
      <c r="H755" s="66" t="str">
        <f t="shared" si="30"/>
        <v/>
      </c>
      <c r="I755" s="66" t="str">
        <f t="shared" si="31"/>
        <v/>
      </c>
    </row>
    <row r="756" spans="8:9" ht="18.75" customHeight="1">
      <c r="H756" s="66" t="str">
        <f t="shared" si="30"/>
        <v/>
      </c>
      <c r="I756" s="66" t="str">
        <f t="shared" si="31"/>
        <v/>
      </c>
    </row>
    <row r="757" spans="8:9" ht="18.75" customHeight="1">
      <c r="H757" s="66" t="str">
        <f t="shared" si="30"/>
        <v/>
      </c>
      <c r="I757" s="66" t="str">
        <f t="shared" si="31"/>
        <v/>
      </c>
    </row>
    <row r="758" spans="8:9" ht="18.75" customHeight="1">
      <c r="H758" s="66" t="str">
        <f t="shared" si="30"/>
        <v/>
      </c>
      <c r="I758" s="66" t="str">
        <f t="shared" si="31"/>
        <v/>
      </c>
    </row>
    <row r="759" spans="8:9" ht="18.75" customHeight="1">
      <c r="H759" s="66" t="str">
        <f t="shared" si="30"/>
        <v/>
      </c>
      <c r="I759" s="66" t="str">
        <f t="shared" si="31"/>
        <v/>
      </c>
    </row>
    <row r="760" spans="8:9" ht="18.75" customHeight="1">
      <c r="H760" s="66" t="str">
        <f t="shared" si="30"/>
        <v/>
      </c>
      <c r="I760" s="66" t="str">
        <f t="shared" si="31"/>
        <v/>
      </c>
    </row>
    <row r="761" spans="8:9" ht="18.75" customHeight="1">
      <c r="H761" s="66" t="str">
        <f t="shared" si="30"/>
        <v/>
      </c>
      <c r="I761" s="66" t="str">
        <f t="shared" si="31"/>
        <v/>
      </c>
    </row>
    <row r="762" spans="8:9" ht="18.75" customHeight="1">
      <c r="H762" s="66" t="str">
        <f t="shared" si="30"/>
        <v/>
      </c>
      <c r="I762" s="66" t="str">
        <f t="shared" si="31"/>
        <v/>
      </c>
    </row>
    <row r="763" spans="8:9" ht="18.75" customHeight="1">
      <c r="H763" s="66" t="str">
        <f t="shared" si="30"/>
        <v/>
      </c>
      <c r="I763" s="66" t="str">
        <f t="shared" si="31"/>
        <v/>
      </c>
    </row>
    <row r="764" spans="8:9" ht="18.75" customHeight="1">
      <c r="H764" s="66" t="str">
        <f t="shared" si="30"/>
        <v/>
      </c>
      <c r="I764" s="66" t="str">
        <f t="shared" si="31"/>
        <v/>
      </c>
    </row>
    <row r="765" spans="8:9" ht="18.75" customHeight="1">
      <c r="H765" s="66" t="str">
        <f t="shared" si="30"/>
        <v/>
      </c>
      <c r="I765" s="66" t="str">
        <f t="shared" si="31"/>
        <v/>
      </c>
    </row>
    <row r="766" spans="8:9" ht="18.75" customHeight="1">
      <c r="H766" s="66" t="str">
        <f t="shared" si="30"/>
        <v/>
      </c>
      <c r="I766" s="66" t="str">
        <f t="shared" si="31"/>
        <v/>
      </c>
    </row>
    <row r="767" spans="8:9" ht="18.75" customHeight="1">
      <c r="H767" s="66" t="str">
        <f t="shared" si="30"/>
        <v/>
      </c>
      <c r="I767" s="66" t="str">
        <f t="shared" si="31"/>
        <v/>
      </c>
    </row>
    <row r="768" spans="8:9" ht="18.75" customHeight="1">
      <c r="H768" s="66" t="str">
        <f t="shared" si="30"/>
        <v/>
      </c>
      <c r="I768" s="66" t="str">
        <f t="shared" si="31"/>
        <v/>
      </c>
    </row>
    <row r="769" spans="8:9" ht="18.75" customHeight="1">
      <c r="H769" s="66" t="str">
        <f t="shared" si="30"/>
        <v/>
      </c>
      <c r="I769" s="66" t="str">
        <f t="shared" si="31"/>
        <v/>
      </c>
    </row>
    <row r="770" spans="8:9" ht="18.75" customHeight="1">
      <c r="H770" s="66" t="str">
        <f t="shared" si="30"/>
        <v/>
      </c>
      <c r="I770" s="66" t="str">
        <f t="shared" si="31"/>
        <v/>
      </c>
    </row>
    <row r="771" spans="8:9" ht="18.75" customHeight="1">
      <c r="H771" s="66" t="str">
        <f t="shared" si="30"/>
        <v/>
      </c>
      <c r="I771" s="66" t="str">
        <f t="shared" si="31"/>
        <v/>
      </c>
    </row>
    <row r="772" spans="8:9" ht="18.75" customHeight="1">
      <c r="H772" s="66" t="str">
        <f t="shared" si="30"/>
        <v/>
      </c>
      <c r="I772" s="66" t="str">
        <f t="shared" si="31"/>
        <v/>
      </c>
    </row>
    <row r="773" spans="8:9" ht="18.75" customHeight="1">
      <c r="H773" s="66" t="str">
        <f t="shared" si="30"/>
        <v/>
      </c>
      <c r="I773" s="66" t="str">
        <f t="shared" si="31"/>
        <v/>
      </c>
    </row>
    <row r="774" spans="8:9" ht="18.75" customHeight="1">
      <c r="H774" s="66" t="str">
        <f t="shared" si="30"/>
        <v/>
      </c>
      <c r="I774" s="66" t="str">
        <f t="shared" si="31"/>
        <v/>
      </c>
    </row>
    <row r="775" spans="8:9" ht="18.75" customHeight="1">
      <c r="H775" s="66" t="str">
        <f t="shared" si="30"/>
        <v/>
      </c>
      <c r="I775" s="66" t="str">
        <f t="shared" si="31"/>
        <v/>
      </c>
    </row>
    <row r="776" spans="8:9" ht="18.75" customHeight="1">
      <c r="H776" s="66" t="str">
        <f t="shared" si="30"/>
        <v/>
      </c>
      <c r="I776" s="66" t="str">
        <f t="shared" si="31"/>
        <v/>
      </c>
    </row>
    <row r="777" spans="8:9" ht="18.75" customHeight="1">
      <c r="H777" s="66" t="str">
        <f t="shared" si="30"/>
        <v/>
      </c>
      <c r="I777" s="66" t="str">
        <f t="shared" si="31"/>
        <v/>
      </c>
    </row>
    <row r="778" spans="8:9" ht="18.75" customHeight="1">
      <c r="H778" s="66" t="str">
        <f t="shared" si="30"/>
        <v/>
      </c>
      <c r="I778" s="66" t="str">
        <f t="shared" si="31"/>
        <v/>
      </c>
    </row>
    <row r="779" spans="8:9" ht="18.75" customHeight="1">
      <c r="H779" s="66" t="str">
        <f t="shared" si="30"/>
        <v/>
      </c>
      <c r="I779" s="66" t="str">
        <f t="shared" si="31"/>
        <v/>
      </c>
    </row>
    <row r="780" spans="8:9" ht="18.75" customHeight="1">
      <c r="H780" s="66" t="str">
        <f t="shared" si="30"/>
        <v/>
      </c>
      <c r="I780" s="66" t="str">
        <f t="shared" si="31"/>
        <v/>
      </c>
    </row>
    <row r="781" spans="8:9" ht="18.75" customHeight="1">
      <c r="H781" s="66" t="str">
        <f t="shared" si="30"/>
        <v/>
      </c>
      <c r="I781" s="66" t="str">
        <f t="shared" si="31"/>
        <v/>
      </c>
    </row>
    <row r="782" spans="8:9" ht="18.75" customHeight="1">
      <c r="H782" s="66" t="str">
        <f t="shared" si="30"/>
        <v/>
      </c>
      <c r="I782" s="66" t="str">
        <f t="shared" si="31"/>
        <v/>
      </c>
    </row>
    <row r="783" spans="8:9" ht="18.75" customHeight="1">
      <c r="H783" s="66" t="str">
        <f t="shared" si="30"/>
        <v/>
      </c>
      <c r="I783" s="66" t="str">
        <f t="shared" si="31"/>
        <v/>
      </c>
    </row>
    <row r="784" spans="8:9" ht="18.75" customHeight="1">
      <c r="H784" s="66" t="str">
        <f t="shared" si="30"/>
        <v/>
      </c>
      <c r="I784" s="66" t="str">
        <f t="shared" si="31"/>
        <v/>
      </c>
    </row>
    <row r="785" spans="8:9" ht="18.75" customHeight="1">
      <c r="H785" s="66" t="str">
        <f t="shared" si="30"/>
        <v/>
      </c>
      <c r="I785" s="66" t="str">
        <f t="shared" si="31"/>
        <v/>
      </c>
    </row>
    <row r="786" spans="8:9" ht="18.75" customHeight="1">
      <c r="H786" s="66" t="str">
        <f t="shared" si="30"/>
        <v/>
      </c>
      <c r="I786" s="66" t="str">
        <f t="shared" si="31"/>
        <v/>
      </c>
    </row>
    <row r="787" spans="8:9" ht="18.75" customHeight="1">
      <c r="H787" s="66" t="str">
        <f t="shared" si="30"/>
        <v/>
      </c>
      <c r="I787" s="66" t="str">
        <f t="shared" si="31"/>
        <v/>
      </c>
    </row>
    <row r="788" spans="8:9" ht="18.75" customHeight="1">
      <c r="H788" s="66" t="str">
        <f t="shared" si="30"/>
        <v/>
      </c>
      <c r="I788" s="66" t="str">
        <f t="shared" si="31"/>
        <v/>
      </c>
    </row>
    <row r="789" spans="8:9" ht="18.75" customHeight="1">
      <c r="H789" s="66" t="str">
        <f t="shared" si="30"/>
        <v/>
      </c>
      <c r="I789" s="66" t="str">
        <f t="shared" si="31"/>
        <v/>
      </c>
    </row>
    <row r="790" spans="8:9" ht="18.75" customHeight="1">
      <c r="H790" s="66" t="str">
        <f t="shared" si="30"/>
        <v/>
      </c>
      <c r="I790" s="66" t="str">
        <f t="shared" si="31"/>
        <v/>
      </c>
    </row>
    <row r="791" spans="8:9" ht="18.75" customHeight="1">
      <c r="H791" s="66" t="str">
        <f t="shared" si="30"/>
        <v/>
      </c>
      <c r="I791" s="66" t="str">
        <f t="shared" si="31"/>
        <v/>
      </c>
    </row>
    <row r="792" spans="8:9" ht="18.75" customHeight="1">
      <c r="H792" s="66" t="str">
        <f t="shared" si="30"/>
        <v/>
      </c>
      <c r="I792" s="66" t="str">
        <f t="shared" si="31"/>
        <v/>
      </c>
    </row>
    <row r="793" spans="8:9" ht="18.75" customHeight="1">
      <c r="H793" s="66" t="str">
        <f t="shared" si="30"/>
        <v/>
      </c>
      <c r="I793" s="66" t="str">
        <f t="shared" si="31"/>
        <v/>
      </c>
    </row>
    <row r="794" spans="8:9" ht="18.75" customHeight="1">
      <c r="H794" s="66" t="str">
        <f t="shared" si="30"/>
        <v/>
      </c>
      <c r="I794" s="66" t="str">
        <f t="shared" si="31"/>
        <v/>
      </c>
    </row>
    <row r="795" spans="8:9" ht="18.75" customHeight="1">
      <c r="H795" s="66" t="str">
        <f t="shared" ref="H795:H801" si="32">IF( G795&lt;&gt;"", G795+5,"")</f>
        <v/>
      </c>
      <c r="I795" s="66" t="str">
        <f t="shared" ref="I795:I801" si="33">IF( G795&lt;&gt;"", G795+13,"")</f>
        <v/>
      </c>
    </row>
    <row r="796" spans="8:9" ht="18.75" customHeight="1">
      <c r="H796" s="66" t="str">
        <f t="shared" si="32"/>
        <v/>
      </c>
      <c r="I796" s="66" t="str">
        <f t="shared" si="33"/>
        <v/>
      </c>
    </row>
    <row r="797" spans="8:9" ht="18.75" customHeight="1">
      <c r="H797" s="66" t="str">
        <f t="shared" si="32"/>
        <v/>
      </c>
      <c r="I797" s="66" t="str">
        <f t="shared" si="33"/>
        <v/>
      </c>
    </row>
    <row r="798" spans="8:9" ht="18.75" customHeight="1">
      <c r="H798" s="66" t="str">
        <f t="shared" si="32"/>
        <v/>
      </c>
      <c r="I798" s="66" t="str">
        <f t="shared" si="33"/>
        <v/>
      </c>
    </row>
    <row r="799" spans="8:9" ht="18.75" customHeight="1">
      <c r="H799" s="66" t="str">
        <f t="shared" si="32"/>
        <v/>
      </c>
      <c r="I799" s="66" t="str">
        <f t="shared" si="33"/>
        <v/>
      </c>
    </row>
    <row r="800" spans="8:9" ht="18.75" customHeight="1">
      <c r="H800" s="66" t="str">
        <f t="shared" si="32"/>
        <v/>
      </c>
      <c r="I800" s="66" t="str">
        <f t="shared" si="33"/>
        <v/>
      </c>
    </row>
    <row r="801" spans="8:9" ht="18.75" customHeight="1">
      <c r="H801" s="66" t="str">
        <f t="shared" si="32"/>
        <v/>
      </c>
      <c r="I801" s="66" t="str">
        <f t="shared" si="33"/>
        <v/>
      </c>
    </row>
    <row r="802" spans="8:9" ht="18.75" customHeight="1">
      <c r="H802" s="66" t="str">
        <f t="shared" ref="H802:H806" si="34">IF( G802&lt;&gt;"", G802+5,"")</f>
        <v/>
      </c>
      <c r="I802" s="66" t="str">
        <f t="shared" ref="I802:I806" si="35">IF( G802&lt;&gt;"", G802+13,"")</f>
        <v/>
      </c>
    </row>
    <row r="803" spans="8:9" ht="18.75" customHeight="1">
      <c r="H803" s="66" t="str">
        <f t="shared" si="34"/>
        <v/>
      </c>
      <c r="I803" s="66" t="str">
        <f t="shared" si="35"/>
        <v/>
      </c>
    </row>
    <row r="804" spans="8:9" ht="18.75" customHeight="1">
      <c r="H804" s="66" t="str">
        <f t="shared" si="34"/>
        <v/>
      </c>
      <c r="I804" s="66" t="str">
        <f t="shared" si="35"/>
        <v/>
      </c>
    </row>
    <row r="805" spans="8:9" ht="18.75" customHeight="1">
      <c r="H805" s="66" t="str">
        <f t="shared" si="34"/>
        <v/>
      </c>
      <c r="I805" s="66" t="str">
        <f t="shared" si="35"/>
        <v/>
      </c>
    </row>
    <row r="806" spans="8:9" ht="18.75" customHeight="1">
      <c r="H806" s="66" t="str">
        <f t="shared" si="34"/>
        <v/>
      </c>
      <c r="I806" s="66" t="str">
        <f t="shared" si="35"/>
        <v/>
      </c>
    </row>
    <row r="807" spans="8:9" ht="18.75" customHeight="1">
      <c r="H807" s="66" t="str">
        <f t="shared" ref="H807:H870" si="36">IF( G807&lt;&gt;"", G807+5,"")</f>
        <v/>
      </c>
      <c r="I807" s="66" t="str">
        <f t="shared" ref="I807:I870" si="37">IF( G807&lt;&gt;"", G807+13,"")</f>
        <v/>
      </c>
    </row>
    <row r="808" spans="8:9" ht="18.75" customHeight="1">
      <c r="H808" s="66" t="str">
        <f t="shared" si="36"/>
        <v/>
      </c>
      <c r="I808" s="66" t="str">
        <f t="shared" si="37"/>
        <v/>
      </c>
    </row>
    <row r="809" spans="8:9" ht="18.75" customHeight="1">
      <c r="H809" s="66" t="str">
        <f t="shared" si="36"/>
        <v/>
      </c>
      <c r="I809" s="66" t="str">
        <f t="shared" si="37"/>
        <v/>
      </c>
    </row>
    <row r="810" spans="8:9" ht="18.75" customHeight="1">
      <c r="H810" s="66" t="str">
        <f t="shared" si="36"/>
        <v/>
      </c>
      <c r="I810" s="66" t="str">
        <f t="shared" si="37"/>
        <v/>
      </c>
    </row>
    <row r="811" spans="8:9" ht="18.75" customHeight="1">
      <c r="H811" s="66" t="str">
        <f t="shared" si="36"/>
        <v/>
      </c>
      <c r="I811" s="66" t="str">
        <f t="shared" si="37"/>
        <v/>
      </c>
    </row>
    <row r="812" spans="8:9" ht="18.75" customHeight="1">
      <c r="H812" s="66" t="str">
        <f t="shared" si="36"/>
        <v/>
      </c>
      <c r="I812" s="66" t="str">
        <f t="shared" si="37"/>
        <v/>
      </c>
    </row>
    <row r="813" spans="8:9" ht="18.75" customHeight="1">
      <c r="H813" s="66" t="str">
        <f t="shared" si="36"/>
        <v/>
      </c>
      <c r="I813" s="66" t="str">
        <f t="shared" si="37"/>
        <v/>
      </c>
    </row>
    <row r="814" spans="8:9" ht="18.75" customHeight="1">
      <c r="H814" s="66" t="str">
        <f t="shared" si="36"/>
        <v/>
      </c>
      <c r="I814" s="66" t="str">
        <f t="shared" si="37"/>
        <v/>
      </c>
    </row>
    <row r="815" spans="8:9" ht="18.75" customHeight="1">
      <c r="H815" s="66" t="str">
        <f t="shared" si="36"/>
        <v/>
      </c>
      <c r="I815" s="66" t="str">
        <f t="shared" si="37"/>
        <v/>
      </c>
    </row>
    <row r="816" spans="8:9" ht="18.75" customHeight="1">
      <c r="H816" s="66" t="str">
        <f t="shared" si="36"/>
        <v/>
      </c>
      <c r="I816" s="66" t="str">
        <f t="shared" si="37"/>
        <v/>
      </c>
    </row>
    <row r="817" spans="8:9" ht="18.75" customHeight="1">
      <c r="H817" s="66" t="str">
        <f t="shared" si="36"/>
        <v/>
      </c>
      <c r="I817" s="66" t="str">
        <f t="shared" si="37"/>
        <v/>
      </c>
    </row>
    <row r="818" spans="8:9" ht="18.75" customHeight="1">
      <c r="H818" s="66" t="str">
        <f t="shared" si="36"/>
        <v/>
      </c>
      <c r="I818" s="66" t="str">
        <f t="shared" si="37"/>
        <v/>
      </c>
    </row>
    <row r="819" spans="8:9" ht="18.75" customHeight="1">
      <c r="H819" s="66" t="str">
        <f t="shared" si="36"/>
        <v/>
      </c>
      <c r="I819" s="66" t="str">
        <f t="shared" si="37"/>
        <v/>
      </c>
    </row>
    <row r="820" spans="8:9" ht="18.75" customHeight="1">
      <c r="H820" s="66" t="str">
        <f t="shared" si="36"/>
        <v/>
      </c>
      <c r="I820" s="66" t="str">
        <f t="shared" si="37"/>
        <v/>
      </c>
    </row>
    <row r="821" spans="8:9" ht="18.75" customHeight="1">
      <c r="H821" s="66" t="str">
        <f t="shared" si="36"/>
        <v/>
      </c>
      <c r="I821" s="66" t="str">
        <f t="shared" si="37"/>
        <v/>
      </c>
    </row>
    <row r="822" spans="8:9" ht="18.75" customHeight="1">
      <c r="H822" s="66" t="str">
        <f t="shared" si="36"/>
        <v/>
      </c>
      <c r="I822" s="66" t="str">
        <f t="shared" si="37"/>
        <v/>
      </c>
    </row>
    <row r="823" spans="8:9" ht="18.75" customHeight="1">
      <c r="H823" s="66" t="str">
        <f t="shared" si="36"/>
        <v/>
      </c>
      <c r="I823" s="66" t="str">
        <f t="shared" si="37"/>
        <v/>
      </c>
    </row>
    <row r="824" spans="8:9" ht="18.75" customHeight="1">
      <c r="H824" s="66" t="str">
        <f t="shared" si="36"/>
        <v/>
      </c>
      <c r="I824" s="66" t="str">
        <f t="shared" si="37"/>
        <v/>
      </c>
    </row>
    <row r="825" spans="8:9" ht="18.75" customHeight="1">
      <c r="H825" s="66" t="str">
        <f t="shared" si="36"/>
        <v/>
      </c>
      <c r="I825" s="66" t="str">
        <f t="shared" si="37"/>
        <v/>
      </c>
    </row>
    <row r="826" spans="8:9" ht="18.75" customHeight="1">
      <c r="H826" s="66" t="str">
        <f t="shared" si="36"/>
        <v/>
      </c>
      <c r="I826" s="66" t="str">
        <f t="shared" si="37"/>
        <v/>
      </c>
    </row>
    <row r="827" spans="8:9" ht="18.75" customHeight="1">
      <c r="H827" s="66" t="str">
        <f t="shared" si="36"/>
        <v/>
      </c>
      <c r="I827" s="66" t="str">
        <f t="shared" si="37"/>
        <v/>
      </c>
    </row>
    <row r="828" spans="8:9" ht="18.75" customHeight="1">
      <c r="H828" s="66" t="str">
        <f t="shared" si="36"/>
        <v/>
      </c>
      <c r="I828" s="66" t="str">
        <f t="shared" si="37"/>
        <v/>
      </c>
    </row>
    <row r="829" spans="8:9" ht="18.75" customHeight="1">
      <c r="H829" s="66" t="str">
        <f t="shared" si="36"/>
        <v/>
      </c>
      <c r="I829" s="66" t="str">
        <f t="shared" si="37"/>
        <v/>
      </c>
    </row>
    <row r="830" spans="8:9" ht="18.75" customHeight="1">
      <c r="H830" s="66" t="str">
        <f t="shared" si="36"/>
        <v/>
      </c>
      <c r="I830" s="66" t="str">
        <f t="shared" si="37"/>
        <v/>
      </c>
    </row>
    <row r="831" spans="8:9" ht="18.75" customHeight="1">
      <c r="H831" s="66" t="str">
        <f t="shared" si="36"/>
        <v/>
      </c>
      <c r="I831" s="66" t="str">
        <f t="shared" si="37"/>
        <v/>
      </c>
    </row>
    <row r="832" spans="8:9" ht="18.75" customHeight="1">
      <c r="H832" s="66" t="str">
        <f t="shared" si="36"/>
        <v/>
      </c>
      <c r="I832" s="66" t="str">
        <f t="shared" si="37"/>
        <v/>
      </c>
    </row>
    <row r="833" spans="8:9" ht="18.75" customHeight="1">
      <c r="H833" s="66" t="str">
        <f t="shared" si="36"/>
        <v/>
      </c>
      <c r="I833" s="66" t="str">
        <f t="shared" si="37"/>
        <v/>
      </c>
    </row>
    <row r="834" spans="8:9" ht="18.75" customHeight="1">
      <c r="H834" s="66" t="str">
        <f t="shared" si="36"/>
        <v/>
      </c>
      <c r="I834" s="66" t="str">
        <f t="shared" si="37"/>
        <v/>
      </c>
    </row>
    <row r="835" spans="8:9" ht="18.75" customHeight="1">
      <c r="H835" s="66" t="str">
        <f t="shared" si="36"/>
        <v/>
      </c>
      <c r="I835" s="66" t="str">
        <f t="shared" si="37"/>
        <v/>
      </c>
    </row>
    <row r="836" spans="8:9" ht="18.75" customHeight="1">
      <c r="H836" s="66" t="str">
        <f t="shared" si="36"/>
        <v/>
      </c>
      <c r="I836" s="66" t="str">
        <f t="shared" si="37"/>
        <v/>
      </c>
    </row>
    <row r="837" spans="8:9" ht="18.75" customHeight="1">
      <c r="H837" s="66" t="str">
        <f t="shared" si="36"/>
        <v/>
      </c>
      <c r="I837" s="66" t="str">
        <f t="shared" si="37"/>
        <v/>
      </c>
    </row>
    <row r="838" spans="8:9" ht="18.75" customHeight="1">
      <c r="H838" s="66" t="str">
        <f t="shared" si="36"/>
        <v/>
      </c>
      <c r="I838" s="66" t="str">
        <f t="shared" si="37"/>
        <v/>
      </c>
    </row>
    <row r="839" spans="8:9" ht="18.75" customHeight="1">
      <c r="H839" s="66" t="str">
        <f t="shared" si="36"/>
        <v/>
      </c>
      <c r="I839" s="66" t="str">
        <f t="shared" si="37"/>
        <v/>
      </c>
    </row>
    <row r="840" spans="8:9" ht="18.75" customHeight="1">
      <c r="H840" s="66" t="str">
        <f t="shared" si="36"/>
        <v/>
      </c>
      <c r="I840" s="66" t="str">
        <f t="shared" si="37"/>
        <v/>
      </c>
    </row>
    <row r="841" spans="8:9" ht="18.75" customHeight="1">
      <c r="H841" s="66" t="str">
        <f t="shared" si="36"/>
        <v/>
      </c>
      <c r="I841" s="66" t="str">
        <f t="shared" si="37"/>
        <v/>
      </c>
    </row>
    <row r="842" spans="8:9" ht="18.75" customHeight="1">
      <c r="H842" s="66" t="str">
        <f t="shared" si="36"/>
        <v/>
      </c>
      <c r="I842" s="66" t="str">
        <f t="shared" si="37"/>
        <v/>
      </c>
    </row>
    <row r="843" spans="8:9" ht="18.75" customHeight="1">
      <c r="H843" s="66" t="str">
        <f t="shared" si="36"/>
        <v/>
      </c>
      <c r="I843" s="66" t="str">
        <f t="shared" si="37"/>
        <v/>
      </c>
    </row>
    <row r="844" spans="8:9" ht="18.75" customHeight="1">
      <c r="H844" s="66" t="str">
        <f t="shared" si="36"/>
        <v/>
      </c>
      <c r="I844" s="66" t="str">
        <f t="shared" si="37"/>
        <v/>
      </c>
    </row>
    <row r="845" spans="8:9" ht="18.75" customHeight="1">
      <c r="H845" s="66" t="str">
        <f t="shared" si="36"/>
        <v/>
      </c>
      <c r="I845" s="66" t="str">
        <f t="shared" si="37"/>
        <v/>
      </c>
    </row>
    <row r="846" spans="8:9" ht="18.75" customHeight="1">
      <c r="H846" s="66" t="str">
        <f t="shared" si="36"/>
        <v/>
      </c>
      <c r="I846" s="66" t="str">
        <f t="shared" si="37"/>
        <v/>
      </c>
    </row>
    <row r="847" spans="8:9" ht="18.75" customHeight="1">
      <c r="H847" s="66" t="str">
        <f t="shared" si="36"/>
        <v/>
      </c>
      <c r="I847" s="66" t="str">
        <f t="shared" si="37"/>
        <v/>
      </c>
    </row>
    <row r="848" spans="8:9" ht="18.75" customHeight="1">
      <c r="H848" s="66" t="str">
        <f t="shared" si="36"/>
        <v/>
      </c>
      <c r="I848" s="66" t="str">
        <f t="shared" si="37"/>
        <v/>
      </c>
    </row>
    <row r="849" spans="8:9" ht="18.75" customHeight="1">
      <c r="H849" s="66" t="str">
        <f t="shared" si="36"/>
        <v/>
      </c>
      <c r="I849" s="66" t="str">
        <f t="shared" si="37"/>
        <v/>
      </c>
    </row>
    <row r="850" spans="8:9" ht="18.75" customHeight="1">
      <c r="H850" s="66" t="str">
        <f t="shared" si="36"/>
        <v/>
      </c>
      <c r="I850" s="66" t="str">
        <f t="shared" si="37"/>
        <v/>
      </c>
    </row>
    <row r="851" spans="8:9" ht="18.75" customHeight="1">
      <c r="H851" s="66" t="str">
        <f t="shared" si="36"/>
        <v/>
      </c>
      <c r="I851" s="66" t="str">
        <f t="shared" si="37"/>
        <v/>
      </c>
    </row>
    <row r="852" spans="8:9" ht="18.75" customHeight="1">
      <c r="H852" s="66" t="str">
        <f t="shared" si="36"/>
        <v/>
      </c>
      <c r="I852" s="66" t="str">
        <f t="shared" si="37"/>
        <v/>
      </c>
    </row>
    <row r="853" spans="8:9" ht="18.75" customHeight="1">
      <c r="H853" s="66" t="str">
        <f t="shared" si="36"/>
        <v/>
      </c>
      <c r="I853" s="66" t="str">
        <f t="shared" si="37"/>
        <v/>
      </c>
    </row>
    <row r="854" spans="8:9" ht="18.75" customHeight="1">
      <c r="H854" s="66" t="str">
        <f t="shared" si="36"/>
        <v/>
      </c>
      <c r="I854" s="66" t="str">
        <f t="shared" si="37"/>
        <v/>
      </c>
    </row>
    <row r="855" spans="8:9" ht="18.75" customHeight="1">
      <c r="H855" s="66" t="str">
        <f t="shared" si="36"/>
        <v/>
      </c>
      <c r="I855" s="66" t="str">
        <f t="shared" si="37"/>
        <v/>
      </c>
    </row>
    <row r="856" spans="8:9" ht="18.75" customHeight="1">
      <c r="H856" s="66" t="str">
        <f t="shared" si="36"/>
        <v/>
      </c>
      <c r="I856" s="66" t="str">
        <f t="shared" si="37"/>
        <v/>
      </c>
    </row>
    <row r="857" spans="8:9" ht="18.75" customHeight="1">
      <c r="H857" s="66" t="str">
        <f t="shared" si="36"/>
        <v/>
      </c>
      <c r="I857" s="66" t="str">
        <f t="shared" si="37"/>
        <v/>
      </c>
    </row>
    <row r="858" spans="8:9" ht="18.75" customHeight="1">
      <c r="H858" s="66" t="str">
        <f t="shared" si="36"/>
        <v/>
      </c>
      <c r="I858" s="66" t="str">
        <f t="shared" si="37"/>
        <v/>
      </c>
    </row>
    <row r="859" spans="8:9" ht="18.75" customHeight="1">
      <c r="H859" s="66" t="str">
        <f t="shared" si="36"/>
        <v/>
      </c>
      <c r="I859" s="66" t="str">
        <f t="shared" si="37"/>
        <v/>
      </c>
    </row>
    <row r="860" spans="8:9" ht="18.75" customHeight="1">
      <c r="H860" s="66" t="str">
        <f t="shared" si="36"/>
        <v/>
      </c>
      <c r="I860" s="66" t="str">
        <f t="shared" si="37"/>
        <v/>
      </c>
    </row>
    <row r="861" spans="8:9" ht="18.75" customHeight="1">
      <c r="H861" s="66" t="str">
        <f t="shared" si="36"/>
        <v/>
      </c>
      <c r="I861" s="66" t="str">
        <f t="shared" si="37"/>
        <v/>
      </c>
    </row>
    <row r="862" spans="8:9" ht="18.75" customHeight="1">
      <c r="H862" s="66" t="str">
        <f t="shared" si="36"/>
        <v/>
      </c>
      <c r="I862" s="66" t="str">
        <f t="shared" si="37"/>
        <v/>
      </c>
    </row>
    <row r="863" spans="8:9" ht="18.75" customHeight="1">
      <c r="H863" s="66" t="str">
        <f t="shared" si="36"/>
        <v/>
      </c>
      <c r="I863" s="66" t="str">
        <f t="shared" si="37"/>
        <v/>
      </c>
    </row>
    <row r="864" spans="8:9" ht="18.75" customHeight="1">
      <c r="H864" s="66" t="str">
        <f t="shared" si="36"/>
        <v/>
      </c>
      <c r="I864" s="66" t="str">
        <f t="shared" si="37"/>
        <v/>
      </c>
    </row>
    <row r="865" spans="8:9" ht="18.75" customHeight="1">
      <c r="H865" s="66" t="str">
        <f t="shared" si="36"/>
        <v/>
      </c>
      <c r="I865" s="66" t="str">
        <f t="shared" si="37"/>
        <v/>
      </c>
    </row>
    <row r="866" spans="8:9" ht="18.75" customHeight="1">
      <c r="H866" s="66" t="str">
        <f t="shared" si="36"/>
        <v/>
      </c>
      <c r="I866" s="66" t="str">
        <f t="shared" si="37"/>
        <v/>
      </c>
    </row>
    <row r="867" spans="8:9" ht="18.75" customHeight="1">
      <c r="H867" s="66" t="str">
        <f t="shared" si="36"/>
        <v/>
      </c>
      <c r="I867" s="66" t="str">
        <f t="shared" si="37"/>
        <v/>
      </c>
    </row>
    <row r="868" spans="8:9" ht="18.75" customHeight="1">
      <c r="H868" s="66" t="str">
        <f t="shared" si="36"/>
        <v/>
      </c>
      <c r="I868" s="66" t="str">
        <f t="shared" si="37"/>
        <v/>
      </c>
    </row>
    <row r="869" spans="8:9" ht="18.75" customHeight="1">
      <c r="H869" s="66" t="str">
        <f t="shared" si="36"/>
        <v/>
      </c>
      <c r="I869" s="66" t="str">
        <f t="shared" si="37"/>
        <v/>
      </c>
    </row>
    <row r="870" spans="8:9" ht="18.75" customHeight="1">
      <c r="H870" s="66" t="str">
        <f t="shared" si="36"/>
        <v/>
      </c>
      <c r="I870" s="66" t="str">
        <f t="shared" si="37"/>
        <v/>
      </c>
    </row>
    <row r="871" spans="8:9" ht="18.75" customHeight="1">
      <c r="H871" s="66" t="str">
        <f t="shared" ref="H871:H934" si="38">IF( G871&lt;&gt;"", G871+5,"")</f>
        <v/>
      </c>
      <c r="I871" s="66" t="str">
        <f t="shared" ref="I871:I934" si="39">IF( G871&lt;&gt;"", G871+13,"")</f>
        <v/>
      </c>
    </row>
    <row r="872" spans="8:9" ht="18.75" customHeight="1">
      <c r="H872" s="66" t="str">
        <f t="shared" si="38"/>
        <v/>
      </c>
      <c r="I872" s="66" t="str">
        <f t="shared" si="39"/>
        <v/>
      </c>
    </row>
    <row r="873" spans="8:9" ht="18.75" customHeight="1">
      <c r="H873" s="66" t="str">
        <f t="shared" si="38"/>
        <v/>
      </c>
      <c r="I873" s="66" t="str">
        <f t="shared" si="39"/>
        <v/>
      </c>
    </row>
    <row r="874" spans="8:9" ht="18.75" customHeight="1">
      <c r="H874" s="66" t="str">
        <f t="shared" si="38"/>
        <v/>
      </c>
      <c r="I874" s="66" t="str">
        <f t="shared" si="39"/>
        <v/>
      </c>
    </row>
    <row r="875" spans="8:9" ht="18.75" customHeight="1">
      <c r="H875" s="66" t="str">
        <f t="shared" si="38"/>
        <v/>
      </c>
      <c r="I875" s="66" t="str">
        <f t="shared" si="39"/>
        <v/>
      </c>
    </row>
    <row r="876" spans="8:9" ht="18.75" customHeight="1">
      <c r="H876" s="66" t="str">
        <f t="shared" si="38"/>
        <v/>
      </c>
      <c r="I876" s="66" t="str">
        <f t="shared" si="39"/>
        <v/>
      </c>
    </row>
    <row r="877" spans="8:9" ht="18.75" customHeight="1">
      <c r="H877" s="66" t="str">
        <f t="shared" si="38"/>
        <v/>
      </c>
      <c r="I877" s="66" t="str">
        <f t="shared" si="39"/>
        <v/>
      </c>
    </row>
    <row r="878" spans="8:9" ht="18.75" customHeight="1">
      <c r="H878" s="66" t="str">
        <f t="shared" si="38"/>
        <v/>
      </c>
      <c r="I878" s="66" t="str">
        <f t="shared" si="39"/>
        <v/>
      </c>
    </row>
    <row r="879" spans="8:9" ht="18.75" customHeight="1">
      <c r="H879" s="66" t="str">
        <f t="shared" si="38"/>
        <v/>
      </c>
      <c r="I879" s="66" t="str">
        <f t="shared" si="39"/>
        <v/>
      </c>
    </row>
    <row r="880" spans="8:9" ht="18.75" customHeight="1">
      <c r="H880" s="66" t="str">
        <f t="shared" si="38"/>
        <v/>
      </c>
      <c r="I880" s="66" t="str">
        <f t="shared" si="39"/>
        <v/>
      </c>
    </row>
    <row r="881" spans="8:9" ht="18.75" customHeight="1">
      <c r="H881" s="66" t="str">
        <f t="shared" si="38"/>
        <v/>
      </c>
      <c r="I881" s="66" t="str">
        <f t="shared" si="39"/>
        <v/>
      </c>
    </row>
    <row r="882" spans="8:9" ht="18.75" customHeight="1">
      <c r="H882" s="66" t="str">
        <f t="shared" si="38"/>
        <v/>
      </c>
      <c r="I882" s="66" t="str">
        <f t="shared" si="39"/>
        <v/>
      </c>
    </row>
    <row r="883" spans="8:9" ht="18.75" customHeight="1">
      <c r="H883" s="66" t="str">
        <f t="shared" si="38"/>
        <v/>
      </c>
      <c r="I883" s="66" t="str">
        <f t="shared" si="39"/>
        <v/>
      </c>
    </row>
    <row r="884" spans="8:9" ht="18.75" customHeight="1">
      <c r="H884" s="66" t="str">
        <f t="shared" si="38"/>
        <v/>
      </c>
      <c r="I884" s="66" t="str">
        <f t="shared" si="39"/>
        <v/>
      </c>
    </row>
    <row r="885" spans="8:9" ht="18.75" customHeight="1">
      <c r="H885" s="66" t="str">
        <f t="shared" si="38"/>
        <v/>
      </c>
      <c r="I885" s="66" t="str">
        <f t="shared" si="39"/>
        <v/>
      </c>
    </row>
    <row r="886" spans="8:9" ht="18.75" customHeight="1">
      <c r="H886" s="66" t="str">
        <f t="shared" si="38"/>
        <v/>
      </c>
      <c r="I886" s="66" t="str">
        <f t="shared" si="39"/>
        <v/>
      </c>
    </row>
    <row r="887" spans="8:9" ht="18.75" customHeight="1">
      <c r="H887" s="66" t="str">
        <f t="shared" si="38"/>
        <v/>
      </c>
      <c r="I887" s="66" t="str">
        <f t="shared" si="39"/>
        <v/>
      </c>
    </row>
    <row r="888" spans="8:9" ht="18.75" customHeight="1">
      <c r="H888" s="66" t="str">
        <f t="shared" si="38"/>
        <v/>
      </c>
      <c r="I888" s="66" t="str">
        <f t="shared" si="39"/>
        <v/>
      </c>
    </row>
    <row r="889" spans="8:9" ht="18.75" customHeight="1">
      <c r="H889" s="66" t="str">
        <f t="shared" si="38"/>
        <v/>
      </c>
      <c r="I889" s="66" t="str">
        <f t="shared" si="39"/>
        <v/>
      </c>
    </row>
    <row r="890" spans="8:9" ht="18.75" customHeight="1">
      <c r="H890" s="66" t="str">
        <f t="shared" si="38"/>
        <v/>
      </c>
      <c r="I890" s="66" t="str">
        <f t="shared" si="39"/>
        <v/>
      </c>
    </row>
    <row r="891" spans="8:9" ht="18.75" customHeight="1">
      <c r="H891" s="66" t="str">
        <f t="shared" si="38"/>
        <v/>
      </c>
      <c r="I891" s="66" t="str">
        <f t="shared" si="39"/>
        <v/>
      </c>
    </row>
    <row r="892" spans="8:9" ht="18.75" customHeight="1">
      <c r="H892" s="66" t="str">
        <f t="shared" si="38"/>
        <v/>
      </c>
      <c r="I892" s="66" t="str">
        <f t="shared" si="39"/>
        <v/>
      </c>
    </row>
    <row r="893" spans="8:9" ht="18.75" customHeight="1">
      <c r="H893" s="66" t="str">
        <f t="shared" si="38"/>
        <v/>
      </c>
      <c r="I893" s="66" t="str">
        <f t="shared" si="39"/>
        <v/>
      </c>
    </row>
    <row r="894" spans="8:9" ht="18.75" customHeight="1">
      <c r="H894" s="66" t="str">
        <f t="shared" si="38"/>
        <v/>
      </c>
      <c r="I894" s="66" t="str">
        <f t="shared" si="39"/>
        <v/>
      </c>
    </row>
    <row r="895" spans="8:9" ht="18.75" customHeight="1">
      <c r="H895" s="66" t="str">
        <f t="shared" si="38"/>
        <v/>
      </c>
      <c r="I895" s="66" t="str">
        <f t="shared" si="39"/>
        <v/>
      </c>
    </row>
    <row r="896" spans="8:9" ht="18.75" customHeight="1">
      <c r="H896" s="66" t="str">
        <f t="shared" si="38"/>
        <v/>
      </c>
      <c r="I896" s="66" t="str">
        <f t="shared" si="39"/>
        <v/>
      </c>
    </row>
    <row r="897" spans="8:9" ht="18.75" customHeight="1">
      <c r="H897" s="66" t="str">
        <f t="shared" si="38"/>
        <v/>
      </c>
      <c r="I897" s="66" t="str">
        <f t="shared" si="39"/>
        <v/>
      </c>
    </row>
    <row r="898" spans="8:9" ht="18.75" customHeight="1">
      <c r="H898" s="66" t="str">
        <f t="shared" si="38"/>
        <v/>
      </c>
      <c r="I898" s="66" t="str">
        <f t="shared" si="39"/>
        <v/>
      </c>
    </row>
    <row r="899" spans="8:9" ht="18.75" customHeight="1">
      <c r="H899" s="66" t="str">
        <f t="shared" si="38"/>
        <v/>
      </c>
      <c r="I899" s="66" t="str">
        <f t="shared" si="39"/>
        <v/>
      </c>
    </row>
    <row r="900" spans="8:9" ht="18.75" customHeight="1">
      <c r="H900" s="66" t="str">
        <f t="shared" si="38"/>
        <v/>
      </c>
      <c r="I900" s="66" t="str">
        <f t="shared" si="39"/>
        <v/>
      </c>
    </row>
    <row r="901" spans="8:9" ht="18.75" customHeight="1">
      <c r="H901" s="66" t="str">
        <f t="shared" si="38"/>
        <v/>
      </c>
      <c r="I901" s="66" t="str">
        <f t="shared" si="39"/>
        <v/>
      </c>
    </row>
    <row r="902" spans="8:9" ht="18.75" customHeight="1">
      <c r="H902" s="66" t="str">
        <f t="shared" si="38"/>
        <v/>
      </c>
      <c r="I902" s="66" t="str">
        <f t="shared" si="39"/>
        <v/>
      </c>
    </row>
    <row r="903" spans="8:9" ht="18.75" customHeight="1">
      <c r="H903" s="66" t="str">
        <f t="shared" si="38"/>
        <v/>
      </c>
      <c r="I903" s="66" t="str">
        <f t="shared" si="39"/>
        <v/>
      </c>
    </row>
    <row r="904" spans="8:9" ht="18.75" customHeight="1">
      <c r="H904" s="66" t="str">
        <f t="shared" si="38"/>
        <v/>
      </c>
      <c r="I904" s="66" t="str">
        <f t="shared" si="39"/>
        <v/>
      </c>
    </row>
    <row r="905" spans="8:9" ht="18.75" customHeight="1">
      <c r="H905" s="66" t="str">
        <f t="shared" si="38"/>
        <v/>
      </c>
      <c r="I905" s="66" t="str">
        <f t="shared" si="39"/>
        <v/>
      </c>
    </row>
    <row r="906" spans="8:9" ht="18.75" customHeight="1">
      <c r="H906" s="66" t="str">
        <f t="shared" si="38"/>
        <v/>
      </c>
      <c r="I906" s="66" t="str">
        <f t="shared" si="39"/>
        <v/>
      </c>
    </row>
    <row r="907" spans="8:9" ht="18.75" customHeight="1">
      <c r="H907" s="66" t="str">
        <f t="shared" si="38"/>
        <v/>
      </c>
      <c r="I907" s="66" t="str">
        <f t="shared" si="39"/>
        <v/>
      </c>
    </row>
    <row r="908" spans="8:9" ht="18.75" customHeight="1">
      <c r="H908" s="66" t="str">
        <f t="shared" si="38"/>
        <v/>
      </c>
      <c r="I908" s="66" t="str">
        <f t="shared" si="39"/>
        <v/>
      </c>
    </row>
    <row r="909" spans="8:9" ht="18.75" customHeight="1">
      <c r="H909" s="66" t="str">
        <f t="shared" si="38"/>
        <v/>
      </c>
      <c r="I909" s="66" t="str">
        <f t="shared" si="39"/>
        <v/>
      </c>
    </row>
    <row r="910" spans="8:9" ht="18.75" customHeight="1">
      <c r="H910" s="66" t="str">
        <f t="shared" si="38"/>
        <v/>
      </c>
      <c r="I910" s="66" t="str">
        <f t="shared" si="39"/>
        <v/>
      </c>
    </row>
    <row r="911" spans="8:9" ht="18.75" customHeight="1">
      <c r="H911" s="66" t="str">
        <f t="shared" si="38"/>
        <v/>
      </c>
      <c r="I911" s="66" t="str">
        <f t="shared" si="39"/>
        <v/>
      </c>
    </row>
    <row r="912" spans="8:9" ht="18.75" customHeight="1">
      <c r="H912" s="66" t="str">
        <f t="shared" si="38"/>
        <v/>
      </c>
      <c r="I912" s="66" t="str">
        <f t="shared" si="39"/>
        <v/>
      </c>
    </row>
    <row r="913" spans="8:9" ht="18.75" customHeight="1">
      <c r="H913" s="66" t="str">
        <f t="shared" si="38"/>
        <v/>
      </c>
      <c r="I913" s="66" t="str">
        <f t="shared" si="39"/>
        <v/>
      </c>
    </row>
    <row r="914" spans="8:9" ht="18.75" customHeight="1">
      <c r="H914" s="66" t="str">
        <f t="shared" si="38"/>
        <v/>
      </c>
      <c r="I914" s="66" t="str">
        <f t="shared" si="39"/>
        <v/>
      </c>
    </row>
    <row r="915" spans="8:9" ht="18.75" customHeight="1">
      <c r="H915" s="66" t="str">
        <f t="shared" si="38"/>
        <v/>
      </c>
      <c r="I915" s="66" t="str">
        <f t="shared" si="39"/>
        <v/>
      </c>
    </row>
    <row r="916" spans="8:9" ht="18.75" customHeight="1">
      <c r="H916" s="66" t="str">
        <f t="shared" si="38"/>
        <v/>
      </c>
      <c r="I916" s="66" t="str">
        <f t="shared" si="39"/>
        <v/>
      </c>
    </row>
    <row r="917" spans="8:9" ht="18.75" customHeight="1">
      <c r="H917" s="66" t="str">
        <f t="shared" si="38"/>
        <v/>
      </c>
      <c r="I917" s="66" t="str">
        <f t="shared" si="39"/>
        <v/>
      </c>
    </row>
    <row r="918" spans="8:9" ht="18.75" customHeight="1">
      <c r="H918" s="66" t="str">
        <f t="shared" si="38"/>
        <v/>
      </c>
      <c r="I918" s="66" t="str">
        <f t="shared" si="39"/>
        <v/>
      </c>
    </row>
    <row r="919" spans="8:9" ht="18.75" customHeight="1">
      <c r="H919" s="66" t="str">
        <f t="shared" si="38"/>
        <v/>
      </c>
      <c r="I919" s="66" t="str">
        <f t="shared" si="39"/>
        <v/>
      </c>
    </row>
    <row r="920" spans="8:9" ht="18.75" customHeight="1">
      <c r="H920" s="66" t="str">
        <f t="shared" si="38"/>
        <v/>
      </c>
      <c r="I920" s="66" t="str">
        <f t="shared" si="39"/>
        <v/>
      </c>
    </row>
    <row r="921" spans="8:9" ht="18.75" customHeight="1">
      <c r="H921" s="66" t="str">
        <f t="shared" si="38"/>
        <v/>
      </c>
      <c r="I921" s="66" t="str">
        <f t="shared" si="39"/>
        <v/>
      </c>
    </row>
    <row r="922" spans="8:9" ht="18.75" customHeight="1">
      <c r="H922" s="66" t="str">
        <f t="shared" si="38"/>
        <v/>
      </c>
      <c r="I922" s="66" t="str">
        <f t="shared" si="39"/>
        <v/>
      </c>
    </row>
    <row r="923" spans="8:9" ht="18.75" customHeight="1">
      <c r="H923" s="66" t="str">
        <f t="shared" si="38"/>
        <v/>
      </c>
      <c r="I923" s="66" t="str">
        <f t="shared" si="39"/>
        <v/>
      </c>
    </row>
    <row r="924" spans="8:9" ht="18.75" customHeight="1">
      <c r="H924" s="66" t="str">
        <f t="shared" si="38"/>
        <v/>
      </c>
      <c r="I924" s="66" t="str">
        <f t="shared" si="39"/>
        <v/>
      </c>
    </row>
    <row r="925" spans="8:9" ht="18.75" customHeight="1">
      <c r="H925" s="66" t="str">
        <f t="shared" si="38"/>
        <v/>
      </c>
      <c r="I925" s="66" t="str">
        <f t="shared" si="39"/>
        <v/>
      </c>
    </row>
    <row r="926" spans="8:9" ht="18.75" customHeight="1">
      <c r="H926" s="66" t="str">
        <f t="shared" si="38"/>
        <v/>
      </c>
      <c r="I926" s="66" t="str">
        <f t="shared" si="39"/>
        <v/>
      </c>
    </row>
    <row r="927" spans="8:9" ht="18.75" customHeight="1">
      <c r="H927" s="66" t="str">
        <f t="shared" si="38"/>
        <v/>
      </c>
      <c r="I927" s="66" t="str">
        <f t="shared" si="39"/>
        <v/>
      </c>
    </row>
    <row r="928" spans="8:9" ht="18.75" customHeight="1">
      <c r="H928" s="66" t="str">
        <f t="shared" si="38"/>
        <v/>
      </c>
      <c r="I928" s="66" t="str">
        <f t="shared" si="39"/>
        <v/>
      </c>
    </row>
    <row r="929" spans="8:9" ht="18.75" customHeight="1">
      <c r="H929" s="66" t="str">
        <f t="shared" si="38"/>
        <v/>
      </c>
      <c r="I929" s="66" t="str">
        <f t="shared" si="39"/>
        <v/>
      </c>
    </row>
    <row r="930" spans="8:9" ht="18.75" customHeight="1">
      <c r="H930" s="66" t="str">
        <f t="shared" si="38"/>
        <v/>
      </c>
      <c r="I930" s="66" t="str">
        <f t="shared" si="39"/>
        <v/>
      </c>
    </row>
    <row r="931" spans="8:9" ht="18.75" customHeight="1">
      <c r="H931" s="66" t="str">
        <f t="shared" si="38"/>
        <v/>
      </c>
      <c r="I931" s="66" t="str">
        <f t="shared" si="39"/>
        <v/>
      </c>
    </row>
    <row r="932" spans="8:9" ht="18.75" customHeight="1">
      <c r="H932" s="66" t="str">
        <f t="shared" si="38"/>
        <v/>
      </c>
      <c r="I932" s="66" t="str">
        <f t="shared" si="39"/>
        <v/>
      </c>
    </row>
    <row r="933" spans="8:9" ht="18.75" customHeight="1">
      <c r="H933" s="66" t="str">
        <f t="shared" si="38"/>
        <v/>
      </c>
      <c r="I933" s="66" t="str">
        <f t="shared" si="39"/>
        <v/>
      </c>
    </row>
    <row r="934" spans="8:9" ht="18.75" customHeight="1">
      <c r="H934" s="66" t="str">
        <f t="shared" si="38"/>
        <v/>
      </c>
      <c r="I934" s="66" t="str">
        <f t="shared" si="39"/>
        <v/>
      </c>
    </row>
    <row r="935" spans="8:9" ht="18.75" customHeight="1">
      <c r="H935" s="66" t="str">
        <f t="shared" ref="H935:H998" si="40">IF( G935&lt;&gt;"", G935+5,"")</f>
        <v/>
      </c>
      <c r="I935" s="66" t="str">
        <f t="shared" ref="I935:I998" si="41">IF( G935&lt;&gt;"", G935+13,"")</f>
        <v/>
      </c>
    </row>
    <row r="936" spans="8:9" ht="18.75" customHeight="1">
      <c r="H936" s="66" t="str">
        <f t="shared" si="40"/>
        <v/>
      </c>
      <c r="I936" s="66" t="str">
        <f t="shared" si="41"/>
        <v/>
      </c>
    </row>
    <row r="937" spans="8:9" ht="18.75" customHeight="1">
      <c r="H937" s="66" t="str">
        <f t="shared" si="40"/>
        <v/>
      </c>
      <c r="I937" s="66" t="str">
        <f t="shared" si="41"/>
        <v/>
      </c>
    </row>
    <row r="938" spans="8:9" ht="18.75" customHeight="1">
      <c r="H938" s="66" t="str">
        <f t="shared" si="40"/>
        <v/>
      </c>
      <c r="I938" s="66" t="str">
        <f t="shared" si="41"/>
        <v/>
      </c>
    </row>
    <row r="939" spans="8:9" ht="18.75" customHeight="1">
      <c r="H939" s="66" t="str">
        <f t="shared" si="40"/>
        <v/>
      </c>
      <c r="I939" s="66" t="str">
        <f t="shared" si="41"/>
        <v/>
      </c>
    </row>
    <row r="940" spans="8:9" ht="18.75" customHeight="1">
      <c r="H940" s="66" t="str">
        <f t="shared" si="40"/>
        <v/>
      </c>
      <c r="I940" s="66" t="str">
        <f t="shared" si="41"/>
        <v/>
      </c>
    </row>
    <row r="941" spans="8:9" ht="18.75" customHeight="1">
      <c r="H941" s="66" t="str">
        <f t="shared" si="40"/>
        <v/>
      </c>
      <c r="I941" s="66" t="str">
        <f t="shared" si="41"/>
        <v/>
      </c>
    </row>
    <row r="942" spans="8:9" ht="18.75" customHeight="1">
      <c r="H942" s="66" t="str">
        <f t="shared" si="40"/>
        <v/>
      </c>
      <c r="I942" s="66" t="str">
        <f t="shared" si="41"/>
        <v/>
      </c>
    </row>
    <row r="943" spans="8:9" ht="18.75" customHeight="1">
      <c r="H943" s="66" t="str">
        <f t="shared" si="40"/>
        <v/>
      </c>
      <c r="I943" s="66" t="str">
        <f t="shared" si="41"/>
        <v/>
      </c>
    </row>
    <row r="944" spans="8:9" ht="18.75" customHeight="1">
      <c r="H944" s="66" t="str">
        <f t="shared" si="40"/>
        <v/>
      </c>
      <c r="I944" s="66" t="str">
        <f t="shared" si="41"/>
        <v/>
      </c>
    </row>
    <row r="945" spans="8:9" ht="18.75" customHeight="1">
      <c r="H945" s="66" t="str">
        <f t="shared" si="40"/>
        <v/>
      </c>
      <c r="I945" s="66" t="str">
        <f t="shared" si="41"/>
        <v/>
      </c>
    </row>
    <row r="946" spans="8:9" ht="18.75" customHeight="1">
      <c r="H946" s="66" t="str">
        <f t="shared" si="40"/>
        <v/>
      </c>
      <c r="I946" s="66" t="str">
        <f t="shared" si="41"/>
        <v/>
      </c>
    </row>
    <row r="947" spans="8:9" ht="18.75" customHeight="1">
      <c r="H947" s="66" t="str">
        <f t="shared" si="40"/>
        <v/>
      </c>
      <c r="I947" s="66" t="str">
        <f t="shared" si="41"/>
        <v/>
      </c>
    </row>
    <row r="948" spans="8:9" ht="18.75" customHeight="1">
      <c r="H948" s="66" t="str">
        <f t="shared" si="40"/>
        <v/>
      </c>
      <c r="I948" s="66" t="str">
        <f t="shared" si="41"/>
        <v/>
      </c>
    </row>
    <row r="949" spans="8:9" ht="18.75" customHeight="1">
      <c r="H949" s="66" t="str">
        <f t="shared" si="40"/>
        <v/>
      </c>
      <c r="I949" s="66" t="str">
        <f t="shared" si="41"/>
        <v/>
      </c>
    </row>
    <row r="950" spans="8:9" ht="18.75" customHeight="1">
      <c r="H950" s="66" t="str">
        <f t="shared" si="40"/>
        <v/>
      </c>
      <c r="I950" s="66" t="str">
        <f t="shared" si="41"/>
        <v/>
      </c>
    </row>
    <row r="951" spans="8:9" ht="18.75" customHeight="1">
      <c r="H951" s="66" t="str">
        <f t="shared" si="40"/>
        <v/>
      </c>
      <c r="I951" s="66" t="str">
        <f t="shared" si="41"/>
        <v/>
      </c>
    </row>
    <row r="952" spans="8:9" ht="18.75" customHeight="1">
      <c r="H952" s="66" t="str">
        <f t="shared" si="40"/>
        <v/>
      </c>
      <c r="I952" s="66" t="str">
        <f t="shared" si="41"/>
        <v/>
      </c>
    </row>
    <row r="953" spans="8:9" ht="18.75" customHeight="1">
      <c r="H953" s="66" t="str">
        <f t="shared" si="40"/>
        <v/>
      </c>
      <c r="I953" s="66" t="str">
        <f t="shared" si="41"/>
        <v/>
      </c>
    </row>
    <row r="954" spans="8:9" ht="18.75" customHeight="1">
      <c r="H954" s="66" t="str">
        <f t="shared" si="40"/>
        <v/>
      </c>
      <c r="I954" s="66" t="str">
        <f t="shared" si="41"/>
        <v/>
      </c>
    </row>
    <row r="955" spans="8:9" ht="18.75" customHeight="1">
      <c r="H955" s="66" t="str">
        <f t="shared" si="40"/>
        <v/>
      </c>
      <c r="I955" s="66" t="str">
        <f t="shared" si="41"/>
        <v/>
      </c>
    </row>
    <row r="956" spans="8:9" ht="18.75" customHeight="1">
      <c r="H956" s="66" t="str">
        <f t="shared" si="40"/>
        <v/>
      </c>
      <c r="I956" s="66" t="str">
        <f t="shared" si="41"/>
        <v/>
      </c>
    </row>
    <row r="957" spans="8:9" ht="18.75" customHeight="1">
      <c r="H957" s="66" t="str">
        <f t="shared" si="40"/>
        <v/>
      </c>
      <c r="I957" s="66" t="str">
        <f t="shared" si="41"/>
        <v/>
      </c>
    </row>
    <row r="958" spans="8:9" ht="18.75" customHeight="1">
      <c r="H958" s="66" t="str">
        <f t="shared" si="40"/>
        <v/>
      </c>
      <c r="I958" s="66" t="str">
        <f t="shared" si="41"/>
        <v/>
      </c>
    </row>
    <row r="959" spans="8:9" ht="18.75" customHeight="1">
      <c r="H959" s="66" t="str">
        <f t="shared" si="40"/>
        <v/>
      </c>
      <c r="I959" s="66" t="str">
        <f t="shared" si="41"/>
        <v/>
      </c>
    </row>
    <row r="960" spans="8:9" ht="18.75" customHeight="1">
      <c r="H960" s="66" t="str">
        <f t="shared" si="40"/>
        <v/>
      </c>
      <c r="I960" s="66" t="str">
        <f t="shared" si="41"/>
        <v/>
      </c>
    </row>
    <row r="961" spans="8:9" ht="18.75" customHeight="1">
      <c r="H961" s="66" t="str">
        <f t="shared" si="40"/>
        <v/>
      </c>
      <c r="I961" s="66" t="str">
        <f t="shared" si="41"/>
        <v/>
      </c>
    </row>
    <row r="962" spans="8:9" ht="18.75" customHeight="1">
      <c r="H962" s="66" t="str">
        <f t="shared" si="40"/>
        <v/>
      </c>
      <c r="I962" s="66" t="str">
        <f t="shared" si="41"/>
        <v/>
      </c>
    </row>
    <row r="963" spans="8:9" ht="18.75" customHeight="1">
      <c r="H963" s="66" t="str">
        <f t="shared" si="40"/>
        <v/>
      </c>
      <c r="I963" s="66" t="str">
        <f t="shared" si="41"/>
        <v/>
      </c>
    </row>
    <row r="964" spans="8:9" ht="18.75" customHeight="1">
      <c r="H964" s="66" t="str">
        <f t="shared" si="40"/>
        <v/>
      </c>
      <c r="I964" s="66" t="str">
        <f t="shared" si="41"/>
        <v/>
      </c>
    </row>
    <row r="965" spans="8:9" ht="18.75" customHeight="1">
      <c r="H965" s="66" t="str">
        <f t="shared" si="40"/>
        <v/>
      </c>
      <c r="I965" s="66" t="str">
        <f t="shared" si="41"/>
        <v/>
      </c>
    </row>
    <row r="966" spans="8:9" ht="18.75" customHeight="1">
      <c r="H966" s="66" t="str">
        <f t="shared" si="40"/>
        <v/>
      </c>
      <c r="I966" s="66" t="str">
        <f t="shared" si="41"/>
        <v/>
      </c>
    </row>
    <row r="967" spans="8:9" ht="18.75" customHeight="1">
      <c r="H967" s="66" t="str">
        <f t="shared" si="40"/>
        <v/>
      </c>
      <c r="I967" s="66" t="str">
        <f t="shared" si="41"/>
        <v/>
      </c>
    </row>
    <row r="968" spans="8:9" ht="18.75" customHeight="1">
      <c r="H968" s="66" t="str">
        <f t="shared" si="40"/>
        <v/>
      </c>
      <c r="I968" s="66" t="str">
        <f t="shared" si="41"/>
        <v/>
      </c>
    </row>
    <row r="969" spans="8:9" ht="18.75" customHeight="1">
      <c r="H969" s="66" t="str">
        <f t="shared" si="40"/>
        <v/>
      </c>
      <c r="I969" s="66" t="str">
        <f t="shared" si="41"/>
        <v/>
      </c>
    </row>
    <row r="970" spans="8:9" ht="18.75" customHeight="1">
      <c r="H970" s="66" t="str">
        <f t="shared" si="40"/>
        <v/>
      </c>
      <c r="I970" s="66" t="str">
        <f t="shared" si="41"/>
        <v/>
      </c>
    </row>
    <row r="971" spans="8:9" ht="18.75" customHeight="1">
      <c r="H971" s="66" t="str">
        <f t="shared" si="40"/>
        <v/>
      </c>
      <c r="I971" s="66" t="str">
        <f t="shared" si="41"/>
        <v/>
      </c>
    </row>
    <row r="972" spans="8:9" ht="18.75" customHeight="1">
      <c r="H972" s="66" t="str">
        <f t="shared" si="40"/>
        <v/>
      </c>
      <c r="I972" s="66" t="str">
        <f t="shared" si="41"/>
        <v/>
      </c>
    </row>
    <row r="973" spans="8:9" ht="18.75" customHeight="1">
      <c r="H973" s="66" t="str">
        <f t="shared" si="40"/>
        <v/>
      </c>
      <c r="I973" s="66" t="str">
        <f t="shared" si="41"/>
        <v/>
      </c>
    </row>
    <row r="974" spans="8:9" ht="18.75" customHeight="1">
      <c r="H974" s="66" t="str">
        <f t="shared" si="40"/>
        <v/>
      </c>
      <c r="I974" s="66" t="str">
        <f t="shared" si="41"/>
        <v/>
      </c>
    </row>
    <row r="975" spans="8:9" ht="18.75" customHeight="1">
      <c r="H975" s="66" t="str">
        <f t="shared" si="40"/>
        <v/>
      </c>
      <c r="I975" s="66" t="str">
        <f t="shared" si="41"/>
        <v/>
      </c>
    </row>
    <row r="976" spans="8:9" ht="18.75" customHeight="1">
      <c r="H976" s="66" t="str">
        <f t="shared" si="40"/>
        <v/>
      </c>
      <c r="I976" s="66" t="str">
        <f t="shared" si="41"/>
        <v/>
      </c>
    </row>
    <row r="977" spans="8:9" ht="18.75" customHeight="1">
      <c r="H977" s="66" t="str">
        <f t="shared" si="40"/>
        <v/>
      </c>
      <c r="I977" s="66" t="str">
        <f t="shared" si="41"/>
        <v/>
      </c>
    </row>
    <row r="978" spans="8:9" ht="18.75" customHeight="1">
      <c r="H978" s="66" t="str">
        <f t="shared" si="40"/>
        <v/>
      </c>
      <c r="I978" s="66" t="str">
        <f t="shared" si="41"/>
        <v/>
      </c>
    </row>
    <row r="979" spans="8:9" ht="18.75" customHeight="1">
      <c r="H979" s="66" t="str">
        <f t="shared" si="40"/>
        <v/>
      </c>
      <c r="I979" s="66" t="str">
        <f t="shared" si="41"/>
        <v/>
      </c>
    </row>
    <row r="980" spans="8:9" ht="18.75" customHeight="1">
      <c r="H980" s="66" t="str">
        <f t="shared" si="40"/>
        <v/>
      </c>
      <c r="I980" s="66" t="str">
        <f t="shared" si="41"/>
        <v/>
      </c>
    </row>
    <row r="981" spans="8:9" ht="18.75" customHeight="1">
      <c r="H981" s="66" t="str">
        <f t="shared" si="40"/>
        <v/>
      </c>
      <c r="I981" s="66" t="str">
        <f t="shared" si="41"/>
        <v/>
      </c>
    </row>
    <row r="982" spans="8:9" ht="18.75" customHeight="1">
      <c r="H982" s="66" t="str">
        <f t="shared" si="40"/>
        <v/>
      </c>
      <c r="I982" s="66" t="str">
        <f t="shared" si="41"/>
        <v/>
      </c>
    </row>
    <row r="983" spans="8:9" ht="18.75" customHeight="1">
      <c r="H983" s="66" t="str">
        <f t="shared" si="40"/>
        <v/>
      </c>
      <c r="I983" s="66" t="str">
        <f t="shared" si="41"/>
        <v/>
      </c>
    </row>
    <row r="984" spans="8:9" ht="18.75" customHeight="1">
      <c r="H984" s="66" t="str">
        <f t="shared" si="40"/>
        <v/>
      </c>
      <c r="I984" s="66" t="str">
        <f t="shared" si="41"/>
        <v/>
      </c>
    </row>
    <row r="985" spans="8:9" ht="18.75" customHeight="1">
      <c r="H985" s="66" t="str">
        <f t="shared" si="40"/>
        <v/>
      </c>
      <c r="I985" s="66" t="str">
        <f t="shared" si="41"/>
        <v/>
      </c>
    </row>
    <row r="986" spans="8:9" ht="18.75" customHeight="1">
      <c r="H986" s="66" t="str">
        <f t="shared" si="40"/>
        <v/>
      </c>
      <c r="I986" s="66" t="str">
        <f t="shared" si="41"/>
        <v/>
      </c>
    </row>
    <row r="987" spans="8:9" ht="18.75" customHeight="1">
      <c r="H987" s="66" t="str">
        <f t="shared" si="40"/>
        <v/>
      </c>
      <c r="I987" s="66" t="str">
        <f t="shared" si="41"/>
        <v/>
      </c>
    </row>
    <row r="988" spans="8:9" ht="18.75" customHeight="1">
      <c r="H988" s="66" t="str">
        <f t="shared" si="40"/>
        <v/>
      </c>
      <c r="I988" s="66" t="str">
        <f t="shared" si="41"/>
        <v/>
      </c>
    </row>
    <row r="989" spans="8:9" ht="18.75" customHeight="1">
      <c r="H989" s="66" t="str">
        <f t="shared" si="40"/>
        <v/>
      </c>
      <c r="I989" s="66" t="str">
        <f t="shared" si="41"/>
        <v/>
      </c>
    </row>
    <row r="990" spans="8:9" ht="18.75" customHeight="1">
      <c r="H990" s="66" t="str">
        <f t="shared" si="40"/>
        <v/>
      </c>
      <c r="I990" s="66" t="str">
        <f t="shared" si="41"/>
        <v/>
      </c>
    </row>
    <row r="991" spans="8:9" ht="18.75" customHeight="1">
      <c r="H991" s="66" t="str">
        <f t="shared" si="40"/>
        <v/>
      </c>
      <c r="I991" s="66" t="str">
        <f t="shared" si="41"/>
        <v/>
      </c>
    </row>
    <row r="992" spans="8:9" ht="18.75" customHeight="1">
      <c r="H992" s="66" t="str">
        <f t="shared" si="40"/>
        <v/>
      </c>
      <c r="I992" s="66" t="str">
        <f t="shared" si="41"/>
        <v/>
      </c>
    </row>
    <row r="993" spans="8:9" ht="18.75" customHeight="1">
      <c r="H993" s="66" t="str">
        <f t="shared" si="40"/>
        <v/>
      </c>
      <c r="I993" s="66" t="str">
        <f t="shared" si="41"/>
        <v/>
      </c>
    </row>
    <row r="994" spans="8:9" ht="18.75" customHeight="1">
      <c r="H994" s="66" t="str">
        <f t="shared" si="40"/>
        <v/>
      </c>
      <c r="I994" s="66" t="str">
        <f t="shared" si="41"/>
        <v/>
      </c>
    </row>
    <row r="995" spans="8:9" ht="18.75" customHeight="1">
      <c r="H995" s="66" t="str">
        <f t="shared" si="40"/>
        <v/>
      </c>
      <c r="I995" s="66" t="str">
        <f t="shared" si="41"/>
        <v/>
      </c>
    </row>
    <row r="996" spans="8:9" ht="18.75" customHeight="1">
      <c r="H996" s="66" t="str">
        <f t="shared" si="40"/>
        <v/>
      </c>
      <c r="I996" s="66" t="str">
        <f t="shared" si="41"/>
        <v/>
      </c>
    </row>
    <row r="997" spans="8:9" ht="18.75" customHeight="1">
      <c r="H997" s="66" t="str">
        <f t="shared" si="40"/>
        <v/>
      </c>
      <c r="I997" s="66" t="str">
        <f t="shared" si="41"/>
        <v/>
      </c>
    </row>
    <row r="998" spans="8:9" ht="18.75" customHeight="1">
      <c r="H998" s="66" t="str">
        <f t="shared" si="40"/>
        <v/>
      </c>
      <c r="I998" s="66" t="str">
        <f t="shared" si="41"/>
        <v/>
      </c>
    </row>
    <row r="999" spans="8:9" ht="18.75" customHeight="1">
      <c r="H999" s="66" t="str">
        <f t="shared" ref="H999:H1059" si="42">IF( G999&lt;&gt;"", G999+5,"")</f>
        <v/>
      </c>
      <c r="I999" s="66" t="str">
        <f t="shared" ref="I999:I1059" si="43">IF( G999&lt;&gt;"", G999+13,"")</f>
        <v/>
      </c>
    </row>
    <row r="1000" spans="8:9" ht="18.75" customHeight="1">
      <c r="H1000" s="66" t="str">
        <f t="shared" si="42"/>
        <v/>
      </c>
      <c r="I1000" s="66" t="str">
        <f t="shared" si="43"/>
        <v/>
      </c>
    </row>
    <row r="1001" spans="8:9" ht="18.75" customHeight="1">
      <c r="H1001" s="66" t="str">
        <f t="shared" si="42"/>
        <v/>
      </c>
      <c r="I1001" s="66" t="str">
        <f t="shared" si="43"/>
        <v/>
      </c>
    </row>
    <row r="1002" spans="8:9" ht="18.75" customHeight="1">
      <c r="H1002" s="66" t="str">
        <f t="shared" si="42"/>
        <v/>
      </c>
      <c r="I1002" s="66" t="str">
        <f t="shared" si="43"/>
        <v/>
      </c>
    </row>
    <row r="1003" spans="8:9" ht="18.75" customHeight="1">
      <c r="H1003" s="66" t="str">
        <f t="shared" si="42"/>
        <v/>
      </c>
      <c r="I1003" s="66" t="str">
        <f t="shared" si="43"/>
        <v/>
      </c>
    </row>
    <row r="1004" spans="8:9" ht="18.75" customHeight="1">
      <c r="H1004" s="66" t="str">
        <f t="shared" si="42"/>
        <v/>
      </c>
      <c r="I1004" s="66" t="str">
        <f t="shared" si="43"/>
        <v/>
      </c>
    </row>
    <row r="1005" spans="8:9" ht="18.75" customHeight="1">
      <c r="H1005" s="66" t="str">
        <f t="shared" si="42"/>
        <v/>
      </c>
      <c r="I1005" s="66" t="str">
        <f t="shared" si="43"/>
        <v/>
      </c>
    </row>
    <row r="1006" spans="8:9" ht="18.75" customHeight="1">
      <c r="H1006" s="66" t="str">
        <f t="shared" si="42"/>
        <v/>
      </c>
      <c r="I1006" s="66" t="str">
        <f t="shared" si="43"/>
        <v/>
      </c>
    </row>
    <row r="1007" spans="8:9" ht="18.75" customHeight="1">
      <c r="H1007" s="66" t="str">
        <f t="shared" si="42"/>
        <v/>
      </c>
      <c r="I1007" s="66" t="str">
        <f t="shared" si="43"/>
        <v/>
      </c>
    </row>
    <row r="1008" spans="8:9" ht="18.75" customHeight="1">
      <c r="H1008" s="66" t="str">
        <f t="shared" si="42"/>
        <v/>
      </c>
      <c r="I1008" s="66" t="str">
        <f t="shared" si="43"/>
        <v/>
      </c>
    </row>
    <row r="1009" spans="8:9" ht="18.75" customHeight="1">
      <c r="H1009" s="66" t="str">
        <f t="shared" si="42"/>
        <v/>
      </c>
      <c r="I1009" s="66" t="str">
        <f t="shared" si="43"/>
        <v/>
      </c>
    </row>
    <row r="1010" spans="8:9" ht="18.75" customHeight="1">
      <c r="H1010" s="66" t="str">
        <f t="shared" si="42"/>
        <v/>
      </c>
      <c r="I1010" s="66" t="str">
        <f t="shared" si="43"/>
        <v/>
      </c>
    </row>
    <row r="1011" spans="8:9" ht="18.75" customHeight="1">
      <c r="H1011" s="66" t="str">
        <f t="shared" si="42"/>
        <v/>
      </c>
      <c r="I1011" s="66" t="str">
        <f t="shared" si="43"/>
        <v/>
      </c>
    </row>
    <row r="1012" spans="8:9" ht="18.75" customHeight="1">
      <c r="H1012" s="66" t="str">
        <f t="shared" si="42"/>
        <v/>
      </c>
      <c r="I1012" s="66" t="str">
        <f t="shared" si="43"/>
        <v/>
      </c>
    </row>
    <row r="1013" spans="8:9" ht="18.75" customHeight="1">
      <c r="H1013" s="66" t="str">
        <f t="shared" si="42"/>
        <v/>
      </c>
      <c r="I1013" s="66" t="str">
        <f t="shared" si="43"/>
        <v/>
      </c>
    </row>
    <row r="1014" spans="8:9" ht="18.75" customHeight="1">
      <c r="H1014" s="66" t="str">
        <f t="shared" si="42"/>
        <v/>
      </c>
      <c r="I1014" s="66" t="str">
        <f t="shared" si="43"/>
        <v/>
      </c>
    </row>
    <row r="1015" spans="8:9" ht="18.75" customHeight="1">
      <c r="H1015" s="66" t="str">
        <f t="shared" si="42"/>
        <v/>
      </c>
      <c r="I1015" s="66" t="str">
        <f t="shared" si="43"/>
        <v/>
      </c>
    </row>
    <row r="1016" spans="8:9" ht="18.75" customHeight="1">
      <c r="H1016" s="66" t="str">
        <f t="shared" si="42"/>
        <v/>
      </c>
      <c r="I1016" s="66" t="str">
        <f t="shared" si="43"/>
        <v/>
      </c>
    </row>
    <row r="1017" spans="8:9" ht="18.75" customHeight="1">
      <c r="H1017" s="66" t="str">
        <f t="shared" si="42"/>
        <v/>
      </c>
      <c r="I1017" s="66" t="str">
        <f t="shared" si="43"/>
        <v/>
      </c>
    </row>
    <row r="1018" spans="8:9" ht="18.75" customHeight="1">
      <c r="H1018" s="66" t="str">
        <f t="shared" si="42"/>
        <v/>
      </c>
      <c r="I1018" s="66" t="str">
        <f t="shared" si="43"/>
        <v/>
      </c>
    </row>
    <row r="1019" spans="8:9" ht="18.75" customHeight="1">
      <c r="H1019" s="66" t="str">
        <f t="shared" si="42"/>
        <v/>
      </c>
      <c r="I1019" s="66" t="str">
        <f t="shared" si="43"/>
        <v/>
      </c>
    </row>
    <row r="1020" spans="8:9" ht="18.75" customHeight="1">
      <c r="H1020" s="66" t="str">
        <f t="shared" si="42"/>
        <v/>
      </c>
      <c r="I1020" s="66" t="str">
        <f t="shared" si="43"/>
        <v/>
      </c>
    </row>
    <row r="1021" spans="8:9" ht="18.75" customHeight="1">
      <c r="H1021" s="66" t="str">
        <f t="shared" si="42"/>
        <v/>
      </c>
      <c r="I1021" s="66" t="str">
        <f t="shared" si="43"/>
        <v/>
      </c>
    </row>
    <row r="1022" spans="8:9" ht="18.75" customHeight="1">
      <c r="H1022" s="66" t="str">
        <f t="shared" si="42"/>
        <v/>
      </c>
      <c r="I1022" s="66" t="str">
        <f t="shared" si="43"/>
        <v/>
      </c>
    </row>
    <row r="1023" spans="8:9" ht="18.75" customHeight="1">
      <c r="H1023" s="66" t="str">
        <f t="shared" si="42"/>
        <v/>
      </c>
      <c r="I1023" s="66" t="str">
        <f t="shared" si="43"/>
        <v/>
      </c>
    </row>
    <row r="1024" spans="8:9" ht="18.75" customHeight="1">
      <c r="H1024" s="66" t="str">
        <f t="shared" si="42"/>
        <v/>
      </c>
      <c r="I1024" s="66" t="str">
        <f t="shared" si="43"/>
        <v/>
      </c>
    </row>
    <row r="1025" spans="8:9" ht="18.75" customHeight="1">
      <c r="H1025" s="66" t="str">
        <f t="shared" si="42"/>
        <v/>
      </c>
      <c r="I1025" s="66" t="str">
        <f t="shared" si="43"/>
        <v/>
      </c>
    </row>
    <row r="1026" spans="8:9" ht="18.75" customHeight="1">
      <c r="H1026" s="66" t="str">
        <f t="shared" si="42"/>
        <v/>
      </c>
      <c r="I1026" s="66" t="str">
        <f t="shared" si="43"/>
        <v/>
      </c>
    </row>
    <row r="1027" spans="8:9" ht="18.75" customHeight="1">
      <c r="H1027" s="66" t="str">
        <f t="shared" si="42"/>
        <v/>
      </c>
      <c r="I1027" s="66" t="str">
        <f t="shared" si="43"/>
        <v/>
      </c>
    </row>
    <row r="1028" spans="8:9" ht="18.75" customHeight="1">
      <c r="H1028" s="66" t="str">
        <f t="shared" si="42"/>
        <v/>
      </c>
      <c r="I1028" s="66" t="str">
        <f t="shared" si="43"/>
        <v/>
      </c>
    </row>
    <row r="1029" spans="8:9" ht="18.75" customHeight="1">
      <c r="H1029" s="66" t="str">
        <f t="shared" si="42"/>
        <v/>
      </c>
      <c r="I1029" s="66" t="str">
        <f t="shared" si="43"/>
        <v/>
      </c>
    </row>
    <row r="1030" spans="8:9" ht="18.75" customHeight="1">
      <c r="H1030" s="66" t="str">
        <f t="shared" si="42"/>
        <v/>
      </c>
      <c r="I1030" s="66" t="str">
        <f t="shared" si="43"/>
        <v/>
      </c>
    </row>
    <row r="1031" spans="8:9" ht="18.75" customHeight="1">
      <c r="H1031" s="66" t="str">
        <f t="shared" si="42"/>
        <v/>
      </c>
      <c r="I1031" s="66" t="str">
        <f t="shared" si="43"/>
        <v/>
      </c>
    </row>
    <row r="1032" spans="8:9" ht="18.75" customHeight="1">
      <c r="H1032" s="66" t="str">
        <f t="shared" si="42"/>
        <v/>
      </c>
      <c r="I1032" s="66" t="str">
        <f t="shared" si="43"/>
        <v/>
      </c>
    </row>
    <row r="1033" spans="8:9" ht="18.75" customHeight="1">
      <c r="H1033" s="66" t="str">
        <f t="shared" si="42"/>
        <v/>
      </c>
      <c r="I1033" s="66" t="str">
        <f t="shared" si="43"/>
        <v/>
      </c>
    </row>
    <row r="1034" spans="8:9" ht="18.75" customHeight="1">
      <c r="H1034" s="66" t="str">
        <f t="shared" si="42"/>
        <v/>
      </c>
      <c r="I1034" s="66" t="str">
        <f t="shared" si="43"/>
        <v/>
      </c>
    </row>
    <row r="1035" spans="8:9" ht="18.75" customHeight="1">
      <c r="H1035" s="66" t="str">
        <f t="shared" si="42"/>
        <v/>
      </c>
      <c r="I1035" s="66" t="str">
        <f t="shared" si="43"/>
        <v/>
      </c>
    </row>
    <row r="1036" spans="8:9" ht="18.75" customHeight="1">
      <c r="H1036" s="66" t="str">
        <f t="shared" si="42"/>
        <v/>
      </c>
      <c r="I1036" s="66" t="str">
        <f t="shared" si="43"/>
        <v/>
      </c>
    </row>
    <row r="1037" spans="8:9" ht="18.75" customHeight="1">
      <c r="H1037" s="66" t="str">
        <f t="shared" si="42"/>
        <v/>
      </c>
      <c r="I1037" s="66" t="str">
        <f t="shared" si="43"/>
        <v/>
      </c>
    </row>
    <row r="1038" spans="8:9" ht="18.75" customHeight="1">
      <c r="H1038" s="66" t="str">
        <f t="shared" si="42"/>
        <v/>
      </c>
      <c r="I1038" s="66" t="str">
        <f t="shared" si="43"/>
        <v/>
      </c>
    </row>
    <row r="1039" spans="8:9" ht="18.75" customHeight="1">
      <c r="H1039" s="66" t="str">
        <f t="shared" si="42"/>
        <v/>
      </c>
      <c r="I1039" s="66" t="str">
        <f t="shared" si="43"/>
        <v/>
      </c>
    </row>
    <row r="1040" spans="8:9" ht="18.75" customHeight="1">
      <c r="H1040" s="66" t="str">
        <f t="shared" si="42"/>
        <v/>
      </c>
      <c r="I1040" s="66" t="str">
        <f t="shared" si="43"/>
        <v/>
      </c>
    </row>
    <row r="1041" spans="8:9" ht="18.75" customHeight="1">
      <c r="H1041" s="66" t="str">
        <f t="shared" si="42"/>
        <v/>
      </c>
      <c r="I1041" s="66" t="str">
        <f t="shared" si="43"/>
        <v/>
      </c>
    </row>
    <row r="1042" spans="8:9" ht="18.75" customHeight="1">
      <c r="H1042" s="66" t="str">
        <f t="shared" si="42"/>
        <v/>
      </c>
      <c r="I1042" s="66" t="str">
        <f t="shared" si="43"/>
        <v/>
      </c>
    </row>
    <row r="1043" spans="8:9" ht="18.75" customHeight="1">
      <c r="H1043" s="66" t="str">
        <f t="shared" si="42"/>
        <v/>
      </c>
      <c r="I1043" s="66" t="str">
        <f t="shared" si="43"/>
        <v/>
      </c>
    </row>
    <row r="1044" spans="8:9" ht="18.75" customHeight="1">
      <c r="H1044" s="66" t="str">
        <f t="shared" si="42"/>
        <v/>
      </c>
      <c r="I1044" s="66" t="str">
        <f t="shared" si="43"/>
        <v/>
      </c>
    </row>
    <row r="1045" spans="8:9" ht="18.75" customHeight="1">
      <c r="H1045" s="66" t="str">
        <f t="shared" si="42"/>
        <v/>
      </c>
      <c r="I1045" s="66" t="str">
        <f t="shared" si="43"/>
        <v/>
      </c>
    </row>
    <row r="1046" spans="8:9" ht="18.75" customHeight="1">
      <c r="H1046" s="66" t="str">
        <f t="shared" si="42"/>
        <v/>
      </c>
      <c r="I1046" s="66" t="str">
        <f t="shared" si="43"/>
        <v/>
      </c>
    </row>
    <row r="1047" spans="8:9" ht="18.75" customHeight="1">
      <c r="H1047" s="66" t="str">
        <f t="shared" si="42"/>
        <v/>
      </c>
      <c r="I1047" s="66" t="str">
        <f t="shared" si="43"/>
        <v/>
      </c>
    </row>
    <row r="1048" spans="8:9" ht="18.75" customHeight="1">
      <c r="H1048" s="66" t="str">
        <f t="shared" si="42"/>
        <v/>
      </c>
      <c r="I1048" s="66" t="str">
        <f t="shared" si="43"/>
        <v/>
      </c>
    </row>
    <row r="1049" spans="8:9" ht="18.75" customHeight="1">
      <c r="H1049" s="66" t="str">
        <f t="shared" si="42"/>
        <v/>
      </c>
      <c r="I1049" s="66" t="str">
        <f t="shared" si="43"/>
        <v/>
      </c>
    </row>
    <row r="1050" spans="8:9" ht="18.75" customHeight="1">
      <c r="H1050" s="66" t="str">
        <f t="shared" si="42"/>
        <v/>
      </c>
      <c r="I1050" s="66" t="str">
        <f t="shared" si="43"/>
        <v/>
      </c>
    </row>
    <row r="1051" spans="8:9" ht="18.75" customHeight="1">
      <c r="H1051" s="66" t="str">
        <f t="shared" si="42"/>
        <v/>
      </c>
      <c r="I1051" s="66" t="str">
        <f t="shared" si="43"/>
        <v/>
      </c>
    </row>
    <row r="1052" spans="8:9" ht="18.75" customHeight="1">
      <c r="H1052" s="66" t="str">
        <f t="shared" si="42"/>
        <v/>
      </c>
      <c r="I1052" s="66" t="str">
        <f t="shared" si="43"/>
        <v/>
      </c>
    </row>
    <row r="1053" spans="8:9" ht="18.75" customHeight="1">
      <c r="H1053" s="66" t="str">
        <f t="shared" si="42"/>
        <v/>
      </c>
      <c r="I1053" s="66" t="str">
        <f t="shared" si="43"/>
        <v/>
      </c>
    </row>
    <row r="1054" spans="8:9" ht="18.75" customHeight="1">
      <c r="H1054" s="66" t="str">
        <f t="shared" si="42"/>
        <v/>
      </c>
      <c r="I1054" s="66" t="str">
        <f t="shared" si="43"/>
        <v/>
      </c>
    </row>
    <row r="1055" spans="8:9" ht="18.75" customHeight="1">
      <c r="H1055" s="66" t="str">
        <f t="shared" si="42"/>
        <v/>
      </c>
      <c r="I1055" s="66" t="str">
        <f t="shared" si="43"/>
        <v/>
      </c>
    </row>
    <row r="1056" spans="8:9" ht="18.75" customHeight="1">
      <c r="H1056" s="66" t="str">
        <f t="shared" si="42"/>
        <v/>
      </c>
      <c r="I1056" s="66" t="str">
        <f t="shared" si="43"/>
        <v/>
      </c>
    </row>
    <row r="1057" spans="8:9" ht="18.75" customHeight="1">
      <c r="H1057" s="66" t="str">
        <f t="shared" si="42"/>
        <v/>
      </c>
      <c r="I1057" s="66" t="str">
        <f t="shared" si="43"/>
        <v/>
      </c>
    </row>
    <row r="1058" spans="8:9" ht="18.75" customHeight="1">
      <c r="H1058" s="66" t="str">
        <f t="shared" si="42"/>
        <v/>
      </c>
      <c r="I1058" s="66" t="str">
        <f t="shared" si="43"/>
        <v/>
      </c>
    </row>
    <row r="1059" spans="8:9" ht="18.75" customHeight="1">
      <c r="H1059" s="66" t="str">
        <f t="shared" si="42"/>
        <v/>
      </c>
      <c r="I1059" s="66" t="str">
        <f t="shared" si="43"/>
        <v/>
      </c>
    </row>
  </sheetData>
  <conditionalFormatting sqref="A133:F137 A38:D38 A50:B50 A92:D92 A100:D100 A20:G37 F38:G38 A39:G49 E50:G50 F92:G92 A93:G99 F100:G100 A101:G132 A1060:L3002 C2:L3 A4:L19 H20:L1059 A144:D144 F144:G144 A51:G91 A138:G143 A145:G156 A157:D157 F157:G157 A158:G1059">
    <cfRule type="containsBlanks" dxfId="183" priority="5">
      <formula>LEN(TRIM(A2))=0</formula>
    </cfRule>
  </conditionalFormatting>
  <conditionalFormatting sqref="A2:B3">
    <cfRule type="cellIs" dxfId="182" priority="4" operator="equal">
      <formula>0</formula>
    </cfRule>
  </conditionalFormatting>
  <conditionalFormatting sqref="M45:M56 M6:M42 M59:M104">
    <cfRule type="containsBlanks" dxfId="181" priority="3">
      <formula>LEN(TRIM(M6))=0</formula>
    </cfRule>
  </conditionalFormatting>
  <conditionalFormatting sqref="M2:M5">
    <cfRule type="containsBlanks" dxfId="180" priority="2">
      <formula>LEN(TRIM(M2))=0</formula>
    </cfRule>
  </conditionalFormatting>
  <conditionalFormatting sqref="G133">
    <cfRule type="containsBlanks" dxfId="179" priority="1">
      <formula>LEN(TRIM(G133))=0</formula>
    </cfRule>
  </conditionalFormatting>
  <dataValidations count="1">
    <dataValidation type="list" allowBlank="1" showInputMessage="1" showErrorMessage="1" sqref="J2:J136">
      <formula1>$B$262:$B$263</formula1>
    </dataValidation>
  </dataValidations>
  <pageMargins left="0.7" right="0.7" top="0.75" bottom="0.75" header="0.3" footer="0.3"/>
  <pageSetup orientation="portrait" r:id="rId1"/>
  <tableParts count="2">
    <tablePart r:id="rId2"/>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14:formula1>
            <xm:f>'Answers+SOP'!$G$4:$G$5</xm:f>
          </x14:formula1>
          <xm:sqref>K2:L3002</xm:sqref>
        </x14:dataValidation>
        <x14:dataValidation type="list" allowBlank="1" showInputMessage="1" showErrorMessage="1">
          <x14:formula1>
            <xm:f>'Answers+SOP'!$B$304:$B$305</xm:f>
          </x14:formula1>
          <xm:sqref>J138:J925</xm:sqref>
        </x14:dataValidation>
        <x14:dataValidation type="list" allowBlank="1" showInputMessage="1" showErrorMessage="1">
          <x14:formula1>
            <xm:f>'Answers+SOP'!$B$90:$B$91</xm:f>
          </x14:formula1>
          <xm:sqref>M6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XFD3002"/>
  <sheetViews>
    <sheetView zoomScale="70" zoomScaleNormal="70" workbookViewId="0">
      <pane ySplit="1" topLeftCell="A164" activePane="bottomLeft" state="frozen"/>
      <selection activeCell="AA20" sqref="AA20"/>
      <selection pane="bottomLeft" activeCell="G180" sqref="G180"/>
    </sheetView>
  </sheetViews>
  <sheetFormatPr defaultRowHeight="23.25" customHeight="1"/>
  <cols>
    <col min="1" max="1" width="14.140625" bestFit="1" customWidth="1"/>
    <col min="2" max="2" width="14.7109375" customWidth="1"/>
    <col min="3" max="3" width="26.42578125" customWidth="1"/>
    <col min="4" max="4" width="24.140625" style="9" customWidth="1"/>
    <col min="5" max="5" width="17" style="9" bestFit="1" customWidth="1"/>
    <col min="6" max="6" width="18.28515625" style="15" bestFit="1" customWidth="1"/>
    <col min="7" max="7" width="39.85546875" customWidth="1"/>
    <col min="8" max="8" width="26.85546875" style="9" bestFit="1" customWidth="1"/>
    <col min="9" max="9" width="26" style="13" customWidth="1"/>
    <col min="10" max="10" width="20.28515625" style="9" customWidth="1"/>
    <col min="11" max="11" width="20.42578125" customWidth="1"/>
  </cols>
  <sheetData>
    <row r="1" spans="1:11" ht="23.25" customHeight="1">
      <c r="A1" t="s">
        <v>662</v>
      </c>
      <c r="B1" t="s">
        <v>663</v>
      </c>
      <c r="C1" s="5" t="s">
        <v>683</v>
      </c>
      <c r="D1" s="10" t="s">
        <v>685</v>
      </c>
      <c r="E1" s="20" t="s">
        <v>687</v>
      </c>
      <c r="F1" s="14" t="s">
        <v>689</v>
      </c>
      <c r="G1" s="5" t="s">
        <v>690</v>
      </c>
      <c r="H1" s="10" t="s">
        <v>692</v>
      </c>
      <c r="I1" s="12" t="s">
        <v>694</v>
      </c>
      <c r="J1" s="20" t="s">
        <v>696</v>
      </c>
      <c r="K1" s="5" t="s">
        <v>698</v>
      </c>
    </row>
    <row r="2" spans="1:11" ht="23.25" customHeight="1">
      <c r="A2">
        <f>Table4[[#This Row],[Column1]]</f>
        <v>0</v>
      </c>
      <c r="B2">
        <f>Table4[[#This Row],[Column2]]</f>
        <v>0</v>
      </c>
      <c r="C2" t="s">
        <v>7</v>
      </c>
      <c r="D2" s="9">
        <v>43297</v>
      </c>
      <c r="E2" s="9">
        <v>43297</v>
      </c>
      <c r="F2" s="15" t="s">
        <v>251</v>
      </c>
      <c r="G2" t="s">
        <v>252</v>
      </c>
      <c r="H2" s="9">
        <f>Table13[[#This Row],[dicharge_date]]</f>
        <v>43299</v>
      </c>
      <c r="I2" s="13">
        <f>IF( E2&lt;&gt;"", H2-E2,"")</f>
        <v>2</v>
      </c>
      <c r="J2" s="9">
        <f t="shared" ref="J2:J65" si="0">IF( H2&lt;&gt;"", H2+30,"")</f>
        <v>43329</v>
      </c>
      <c r="K2" t="s">
        <v>4</v>
      </c>
    </row>
    <row r="3" spans="1:11" ht="23.25" customHeight="1">
      <c r="A3">
        <f>Table4[[#This Row],[Column1]]</f>
        <v>0</v>
      </c>
      <c r="B3">
        <f>Table4[[#This Row],[Column2]]</f>
        <v>0</v>
      </c>
      <c r="C3" t="s">
        <v>7</v>
      </c>
      <c r="D3" s="9">
        <v>43297</v>
      </c>
      <c r="E3" s="9">
        <v>43297</v>
      </c>
      <c r="F3" s="15" t="s">
        <v>260</v>
      </c>
      <c r="G3" t="s">
        <v>257</v>
      </c>
      <c r="H3" s="9">
        <f>Table13[[#This Row],[dicharge_date]]</f>
        <v>43298</v>
      </c>
      <c r="I3" s="13">
        <f t="shared" ref="I3:I19" si="1">IF( E3&lt;&gt;"", H3-E3,"")</f>
        <v>1</v>
      </c>
      <c r="J3" s="9">
        <f t="shared" si="0"/>
        <v>43328</v>
      </c>
      <c r="K3" t="s">
        <v>4</v>
      </c>
    </row>
    <row r="4" spans="1:11" ht="23.25" customHeight="1">
      <c r="A4">
        <f>Table4[[#This Row],[Column1]]</f>
        <v>0</v>
      </c>
      <c r="B4">
        <f>Table4[[#This Row],[Column2]]</f>
        <v>0</v>
      </c>
      <c r="C4" t="s">
        <v>15</v>
      </c>
      <c r="D4" s="9">
        <v>43298</v>
      </c>
      <c r="E4" s="9">
        <v>43298</v>
      </c>
      <c r="F4" s="15" t="s">
        <v>251</v>
      </c>
      <c r="G4" t="s">
        <v>257</v>
      </c>
      <c r="H4" s="9">
        <f>Table13[[#This Row],[dicharge_date]]</f>
        <v>43313</v>
      </c>
      <c r="I4" s="13">
        <f t="shared" si="1"/>
        <v>15</v>
      </c>
      <c r="J4" s="9">
        <f t="shared" si="0"/>
        <v>43343</v>
      </c>
      <c r="K4" t="s">
        <v>3</v>
      </c>
    </row>
    <row r="5" spans="1:11" ht="23.25" customHeight="1">
      <c r="J5" s="9" t="str">
        <f t="shared" si="0"/>
        <v/>
      </c>
    </row>
    <row r="6" spans="1:11" ht="23.25" customHeight="1">
      <c r="A6">
        <f>Table4[[#This Row],[Column1]]</f>
        <v>0</v>
      </c>
      <c r="B6">
        <f>Table4[[#This Row],[Column2]]</f>
        <v>0</v>
      </c>
      <c r="C6" t="s">
        <v>7</v>
      </c>
      <c r="D6" s="9">
        <v>43297</v>
      </c>
      <c r="E6" s="9">
        <v>43297</v>
      </c>
      <c r="F6" s="15" t="s">
        <v>251</v>
      </c>
      <c r="G6" t="s">
        <v>252</v>
      </c>
      <c r="H6" s="9">
        <f>Table13[[#This Row],[dicharge_date]]</f>
        <v>43309</v>
      </c>
      <c r="I6" s="13">
        <f t="shared" si="1"/>
        <v>12</v>
      </c>
      <c r="J6" s="9">
        <f t="shared" si="0"/>
        <v>43339</v>
      </c>
      <c r="K6" t="s">
        <v>4</v>
      </c>
    </row>
    <row r="7" spans="1:11" ht="23.25" customHeight="1">
      <c r="A7">
        <f>Table4[[#This Row],[Column1]]</f>
        <v>0</v>
      </c>
      <c r="B7">
        <f>Table4[[#This Row],[Column2]]</f>
        <v>0</v>
      </c>
      <c r="C7" t="s">
        <v>229</v>
      </c>
      <c r="D7" s="9">
        <v>43299</v>
      </c>
      <c r="E7" s="9">
        <v>43299</v>
      </c>
      <c r="F7" s="15" t="s">
        <v>251</v>
      </c>
      <c r="G7" t="s">
        <v>252</v>
      </c>
      <c r="H7" s="9">
        <f>Table13[[#This Row],[dicharge_date]]</f>
        <v>43300</v>
      </c>
      <c r="I7" s="13">
        <f t="shared" si="1"/>
        <v>1</v>
      </c>
      <c r="J7" s="9">
        <f t="shared" si="0"/>
        <v>43330</v>
      </c>
      <c r="K7" t="s">
        <v>4</v>
      </c>
    </row>
    <row r="8" spans="1:11" ht="23.25" customHeight="1">
      <c r="A8">
        <f>Table4[[#This Row],[Column1]]</f>
        <v>0</v>
      </c>
      <c r="B8">
        <f>Table4[[#This Row],[Column2]]</f>
        <v>0</v>
      </c>
      <c r="C8" t="s">
        <v>229</v>
      </c>
      <c r="D8" s="9">
        <v>43299</v>
      </c>
      <c r="E8" s="9">
        <v>43299</v>
      </c>
      <c r="F8" s="15" t="s">
        <v>251</v>
      </c>
      <c r="G8" t="s">
        <v>252</v>
      </c>
      <c r="H8" s="9">
        <f>Table13[[#This Row],[dicharge_date]]</f>
        <v>43302</v>
      </c>
      <c r="I8" s="13">
        <f>IF( E8&lt;&gt;"", H8-E8,"")</f>
        <v>3</v>
      </c>
      <c r="J8" s="9">
        <f t="shared" si="0"/>
        <v>43332</v>
      </c>
      <c r="K8" t="s">
        <v>4</v>
      </c>
    </row>
    <row r="9" spans="1:11" ht="23.25" customHeight="1">
      <c r="A9">
        <f>Table4[[#This Row],[Column1]]</f>
        <v>0</v>
      </c>
      <c r="B9">
        <f>Table4[[#This Row],[Column2]]</f>
        <v>0</v>
      </c>
      <c r="C9" t="s">
        <v>229</v>
      </c>
      <c r="D9" s="9">
        <v>43300</v>
      </c>
      <c r="E9" s="9">
        <v>43300</v>
      </c>
      <c r="F9" s="15" t="s">
        <v>251</v>
      </c>
      <c r="G9" t="s">
        <v>252</v>
      </c>
      <c r="H9" s="9">
        <f>Table13[[#This Row],[dicharge_date]]</f>
        <v>43306</v>
      </c>
      <c r="I9" s="13">
        <f t="shared" si="1"/>
        <v>6</v>
      </c>
      <c r="J9" s="9">
        <f t="shared" si="0"/>
        <v>43336</v>
      </c>
      <c r="K9" t="s">
        <v>3</v>
      </c>
    </row>
    <row r="10" spans="1:11" ht="23.25" customHeight="1">
      <c r="A10">
        <f>Table4[[#This Row],[Column1]]</f>
        <v>0</v>
      </c>
      <c r="B10">
        <f>Table4[[#This Row],[Column2]]</f>
        <v>0</v>
      </c>
      <c r="C10" t="s">
        <v>229</v>
      </c>
      <c r="D10" s="9">
        <v>43300</v>
      </c>
      <c r="E10" s="9">
        <v>43300</v>
      </c>
      <c r="F10" s="15" t="s">
        <v>260</v>
      </c>
      <c r="G10" t="s">
        <v>252</v>
      </c>
      <c r="H10" s="9">
        <f>Table13[[#This Row],[dicharge_date]]</f>
        <v>43303</v>
      </c>
      <c r="I10" s="13">
        <f>IF( E10&lt;&gt;"", H10-E10,"")</f>
        <v>3</v>
      </c>
      <c r="J10" s="9">
        <f t="shared" si="0"/>
        <v>43333</v>
      </c>
      <c r="K10" t="s">
        <v>3</v>
      </c>
    </row>
    <row r="11" spans="1:11" ht="23.25" customHeight="1">
      <c r="A11">
        <f>Table4[[#This Row],[Column1]]</f>
        <v>0</v>
      </c>
      <c r="B11">
        <f>Table4[[#This Row],[Column2]]</f>
        <v>0</v>
      </c>
      <c r="C11" t="s">
        <v>7</v>
      </c>
      <c r="D11" s="9">
        <v>43299</v>
      </c>
      <c r="E11" s="9">
        <v>43301</v>
      </c>
      <c r="F11" s="15" t="s">
        <v>251</v>
      </c>
      <c r="G11" t="s">
        <v>252</v>
      </c>
      <c r="H11" s="9">
        <f>Table13[[#This Row],[dicharge_date]]</f>
        <v>43308</v>
      </c>
      <c r="I11" s="13">
        <f t="shared" si="1"/>
        <v>7</v>
      </c>
      <c r="J11" s="9">
        <f t="shared" si="0"/>
        <v>43338</v>
      </c>
      <c r="K11" t="s">
        <v>4</v>
      </c>
    </row>
    <row r="12" spans="1:11" ht="23.25" customHeight="1">
      <c r="A12">
        <f>Table4[[#This Row],[Column1]]</f>
        <v>0</v>
      </c>
      <c r="B12">
        <f>Table4[[#This Row],[Column2]]</f>
        <v>0</v>
      </c>
      <c r="C12" t="s">
        <v>229</v>
      </c>
      <c r="D12" s="9">
        <v>43304</v>
      </c>
      <c r="E12" s="9">
        <v>43305</v>
      </c>
      <c r="F12" s="15" t="s">
        <v>251</v>
      </c>
      <c r="G12" t="s">
        <v>143</v>
      </c>
      <c r="H12" s="9">
        <f>Table13[[#This Row],[dicharge_date]]</f>
        <v>43308</v>
      </c>
      <c r="I12" s="13">
        <f t="shared" si="1"/>
        <v>3</v>
      </c>
      <c r="J12" s="9">
        <f t="shared" si="0"/>
        <v>43338</v>
      </c>
      <c r="K12" t="s">
        <v>4</v>
      </c>
    </row>
    <row r="13" spans="1:11" ht="23.25" customHeight="1">
      <c r="A13">
        <f>Table4[[#This Row],[Column1]]</f>
        <v>0</v>
      </c>
      <c r="B13">
        <f>Table4[[#This Row],[Column2]]</f>
        <v>0</v>
      </c>
      <c r="C13" t="s">
        <v>15</v>
      </c>
      <c r="D13" s="9">
        <v>43306</v>
      </c>
      <c r="E13" s="9">
        <v>43306</v>
      </c>
      <c r="F13" s="15" t="s">
        <v>251</v>
      </c>
      <c r="G13" t="s">
        <v>277</v>
      </c>
      <c r="H13" s="9">
        <f>Table13[[#This Row],[dicharge_date]]</f>
        <v>43308</v>
      </c>
      <c r="I13" s="13">
        <f>IF( E13&lt;&gt;"", H13-E13,"")</f>
        <v>2</v>
      </c>
      <c r="J13" s="9">
        <f t="shared" si="0"/>
        <v>43338</v>
      </c>
      <c r="K13" t="s">
        <v>4</v>
      </c>
    </row>
    <row r="14" spans="1:11" ht="23.25" customHeight="1">
      <c r="A14">
        <f>Table4[[#This Row],[Column1]]</f>
        <v>0</v>
      </c>
      <c r="B14">
        <f>Table4[[#This Row],[Column2]]</f>
        <v>0</v>
      </c>
      <c r="C14" t="s">
        <v>6</v>
      </c>
      <c r="D14" s="9">
        <v>43306</v>
      </c>
      <c r="E14" s="9">
        <v>43306</v>
      </c>
      <c r="F14" s="15" t="s">
        <v>251</v>
      </c>
      <c r="G14" t="s">
        <v>296</v>
      </c>
      <c r="H14" s="9">
        <f>Table13[[#This Row],[dicharge_date]]</f>
        <v>43325</v>
      </c>
      <c r="I14" s="13">
        <f t="shared" si="1"/>
        <v>19</v>
      </c>
      <c r="J14" s="9">
        <f t="shared" si="0"/>
        <v>43355</v>
      </c>
      <c r="K14" t="s">
        <v>4</v>
      </c>
    </row>
    <row r="15" spans="1:11" ht="23.25" customHeight="1">
      <c r="A15">
        <f>Table4[[#This Row],[Column1]]</f>
        <v>0</v>
      </c>
      <c r="B15">
        <f>Table4[[#This Row],[Column2]]</f>
        <v>0</v>
      </c>
      <c r="C15" t="s">
        <v>15</v>
      </c>
      <c r="D15" s="9">
        <v>43307</v>
      </c>
      <c r="E15" s="9">
        <v>43307</v>
      </c>
      <c r="F15" s="15" t="s">
        <v>251</v>
      </c>
      <c r="G15" t="s">
        <v>285</v>
      </c>
      <c r="H15" s="9">
        <f>Table13[[#This Row],[dicharge_date]]</f>
        <v>43318</v>
      </c>
      <c r="I15" s="13">
        <f>IF( E15&lt;&gt;"", H15-E15,"")</f>
        <v>11</v>
      </c>
      <c r="J15" s="9">
        <f t="shared" si="0"/>
        <v>43348</v>
      </c>
      <c r="K15" t="s">
        <v>4</v>
      </c>
    </row>
    <row r="16" spans="1:11" ht="23.25" customHeight="1">
      <c r="A16">
        <f>Table4[[#This Row],[Column1]]</f>
        <v>0</v>
      </c>
      <c r="B16">
        <f>Table4[[#This Row],[Column2]]</f>
        <v>0</v>
      </c>
      <c r="C16" t="s">
        <v>9</v>
      </c>
      <c r="D16" s="9">
        <v>43307</v>
      </c>
      <c r="E16" s="9">
        <v>43307</v>
      </c>
      <c r="F16" s="15" t="s">
        <v>251</v>
      </c>
      <c r="G16" t="s">
        <v>295</v>
      </c>
      <c r="H16" s="9">
        <f>Table13[[#This Row],[dicharge_date]]</f>
        <v>43312</v>
      </c>
      <c r="I16" s="13">
        <f t="shared" si="1"/>
        <v>5</v>
      </c>
      <c r="J16" s="9">
        <f t="shared" si="0"/>
        <v>43342</v>
      </c>
      <c r="K16" t="s">
        <v>3</v>
      </c>
    </row>
    <row r="17" spans="1:11" ht="23.25" customHeight="1">
      <c r="A17">
        <f>Table4[[#This Row],[Column1]]</f>
        <v>0</v>
      </c>
      <c r="B17">
        <f>Table4[[#This Row],[Column2]]</f>
        <v>0</v>
      </c>
      <c r="C17" t="s">
        <v>15</v>
      </c>
      <c r="D17" s="9">
        <v>43308</v>
      </c>
      <c r="E17" s="9">
        <v>43308</v>
      </c>
      <c r="F17" s="15" t="s">
        <v>251</v>
      </c>
      <c r="G17" t="s">
        <v>143</v>
      </c>
      <c r="H17" s="9">
        <f>Table13[[#This Row],[dicharge_date]]</f>
        <v>43309</v>
      </c>
      <c r="I17" s="13">
        <f>IF( E17&lt;&gt;"", H17-E17,"")</f>
        <v>1</v>
      </c>
      <c r="J17" s="9">
        <f t="shared" si="0"/>
        <v>43339</v>
      </c>
      <c r="K17" t="s">
        <v>4</v>
      </c>
    </row>
    <row r="18" spans="1:11" ht="23.25" customHeight="1">
      <c r="A18">
        <f>Table4[[#This Row],[Column1]]</f>
        <v>0</v>
      </c>
      <c r="B18">
        <f>Table4[[#This Row],[Column2]]</f>
        <v>0</v>
      </c>
      <c r="C18" t="s">
        <v>7</v>
      </c>
      <c r="D18" s="9">
        <v>43314</v>
      </c>
      <c r="E18" s="9">
        <v>43314</v>
      </c>
      <c r="F18" s="15" t="s">
        <v>251</v>
      </c>
      <c r="G18" t="s">
        <v>252</v>
      </c>
      <c r="H18" s="9">
        <f>Table13[[#This Row],[dicharge_date]]</f>
        <v>43324</v>
      </c>
      <c r="I18" s="13">
        <f t="shared" si="1"/>
        <v>10</v>
      </c>
      <c r="J18" s="9">
        <f t="shared" si="0"/>
        <v>43354</v>
      </c>
      <c r="K18" t="s">
        <v>4</v>
      </c>
    </row>
    <row r="19" spans="1:11" ht="23.25" customHeight="1">
      <c r="A19">
        <f>Table4[[#This Row],[Column1]]</f>
        <v>0</v>
      </c>
      <c r="B19">
        <f>Table4[[#This Row],[Column2]]</f>
        <v>0</v>
      </c>
      <c r="C19" t="s">
        <v>229</v>
      </c>
      <c r="D19" s="9">
        <v>43311</v>
      </c>
      <c r="E19" s="9">
        <v>43311</v>
      </c>
      <c r="F19" s="15" t="s">
        <v>251</v>
      </c>
      <c r="G19" t="s">
        <v>252</v>
      </c>
      <c r="H19" s="9">
        <f>Table13[[#This Row],[dicharge_date]]</f>
        <v>43313</v>
      </c>
      <c r="I19" s="13">
        <f t="shared" si="1"/>
        <v>2</v>
      </c>
      <c r="J19" s="9">
        <f t="shared" si="0"/>
        <v>43343</v>
      </c>
      <c r="K19" t="s">
        <v>4</v>
      </c>
    </row>
    <row r="20" spans="1:11" ht="23.25" customHeight="1">
      <c r="A20">
        <f>Table4[[#This Row],[Column1]]</f>
        <v>0</v>
      </c>
      <c r="B20">
        <f>Table4[[#This Row],[Column2]]</f>
        <v>0</v>
      </c>
      <c r="C20" t="s">
        <v>7</v>
      </c>
      <c r="D20" s="9">
        <v>43311</v>
      </c>
      <c r="E20" s="9">
        <v>43311</v>
      </c>
      <c r="F20" s="15" t="s">
        <v>251</v>
      </c>
      <c r="G20" t="s">
        <v>252</v>
      </c>
      <c r="H20" s="9">
        <f>Table13[[#This Row],[dicharge_date]]</f>
        <v>43325</v>
      </c>
      <c r="I20" s="13">
        <f>IF( E20&lt;&gt;"", H20-E20,"")</f>
        <v>14</v>
      </c>
      <c r="J20" s="9">
        <f t="shared" si="0"/>
        <v>43355</v>
      </c>
      <c r="K20" t="s">
        <v>4</v>
      </c>
    </row>
    <row r="21" spans="1:11" ht="23.25" customHeight="1">
      <c r="A21">
        <f>Table4[[#This Row],[Column1]]</f>
        <v>0</v>
      </c>
      <c r="B21">
        <f>Table4[[#This Row],[Column2]]</f>
        <v>0</v>
      </c>
      <c r="C21" t="s">
        <v>7</v>
      </c>
      <c r="D21" s="9">
        <v>43312</v>
      </c>
      <c r="E21" s="9">
        <v>43312</v>
      </c>
      <c r="F21" s="15" t="s">
        <v>251</v>
      </c>
      <c r="G21" t="s">
        <v>252</v>
      </c>
      <c r="H21" s="9">
        <f>Table13[[#This Row],[dicharge_date]]</f>
        <v>43332</v>
      </c>
      <c r="I21" s="13">
        <f>IF( E21&lt;&gt;"", H21-E21,"")</f>
        <v>20</v>
      </c>
      <c r="J21" s="9">
        <f t="shared" si="0"/>
        <v>43362</v>
      </c>
      <c r="K21" t="s">
        <v>4</v>
      </c>
    </row>
    <row r="22" spans="1:11" ht="23.25" customHeight="1">
      <c r="A22">
        <f>Table4[[#This Row],[Column1]]</f>
        <v>0</v>
      </c>
      <c r="B22">
        <f>Table4[[#This Row],[Column2]]</f>
        <v>0</v>
      </c>
      <c r="C22" t="s">
        <v>7</v>
      </c>
      <c r="D22" s="9">
        <v>43313</v>
      </c>
      <c r="E22" s="9">
        <v>43313</v>
      </c>
      <c r="F22" s="15" t="s">
        <v>251</v>
      </c>
      <c r="G22" t="s">
        <v>296</v>
      </c>
      <c r="H22" s="9">
        <f>Table13[[#This Row],[dicharge_date]]</f>
        <v>43336</v>
      </c>
      <c r="I22" s="13">
        <f t="shared" ref="I22:I23" si="2">IF( E22&lt;&gt;"", H22-E22,"")</f>
        <v>23</v>
      </c>
      <c r="J22" s="9">
        <f t="shared" si="0"/>
        <v>43366</v>
      </c>
      <c r="K22" t="s">
        <v>4</v>
      </c>
    </row>
    <row r="23" spans="1:11" ht="23.25" customHeight="1">
      <c r="A23">
        <f>Table4[[#This Row],[Column1]]</f>
        <v>0</v>
      </c>
      <c r="B23">
        <f>Table4[[#This Row],[Column2]]</f>
        <v>0</v>
      </c>
      <c r="C23" t="s">
        <v>98</v>
      </c>
      <c r="D23" s="9">
        <v>43313</v>
      </c>
      <c r="E23" s="9">
        <v>43313</v>
      </c>
      <c r="F23" s="15" t="s">
        <v>251</v>
      </c>
      <c r="G23" t="s">
        <v>296</v>
      </c>
      <c r="H23" s="9">
        <f>Table13[[#This Row],[dicharge_date]]</f>
        <v>43320</v>
      </c>
      <c r="I23" s="13">
        <f t="shared" si="2"/>
        <v>7</v>
      </c>
      <c r="J23" s="9">
        <f t="shared" si="0"/>
        <v>43350</v>
      </c>
      <c r="K23" t="s">
        <v>4</v>
      </c>
    </row>
    <row r="24" spans="1:11" ht="23.25" customHeight="1">
      <c r="A24">
        <f>Table4[[#This Row],[Column1]]</f>
        <v>0</v>
      </c>
      <c r="B24">
        <f>Table4[[#This Row],[Column2]]</f>
        <v>0</v>
      </c>
      <c r="C24" t="s">
        <v>229</v>
      </c>
      <c r="D24" s="9">
        <v>43314</v>
      </c>
      <c r="E24" s="9">
        <v>43314</v>
      </c>
      <c r="F24" s="15" t="s">
        <v>251</v>
      </c>
      <c r="G24" s="65" t="s">
        <v>277</v>
      </c>
      <c r="H24" s="9">
        <f>Table13[[#This Row],[dicharge_date]]</f>
        <v>43318</v>
      </c>
      <c r="I24" s="13">
        <f>IF( E24&lt;&gt;"", H24-E24,"")</f>
        <v>4</v>
      </c>
      <c r="J24" s="9">
        <f t="shared" si="0"/>
        <v>43348</v>
      </c>
      <c r="K24" t="s">
        <v>4</v>
      </c>
    </row>
    <row r="25" spans="1:11" ht="23.25" customHeight="1">
      <c r="A25">
        <f>Table4[[#This Row],[Column1]]</f>
        <v>0</v>
      </c>
      <c r="B25">
        <f>Table4[[#This Row],[Column2]]</f>
        <v>0</v>
      </c>
      <c r="C25" t="s">
        <v>6</v>
      </c>
      <c r="D25" s="9">
        <v>43314</v>
      </c>
      <c r="E25" s="9">
        <v>43314</v>
      </c>
      <c r="F25" s="15" t="s">
        <v>251</v>
      </c>
      <c r="G25" s="65" t="s">
        <v>329</v>
      </c>
      <c r="H25" s="9">
        <f>Table13[[#This Row],[dicharge_date]]</f>
        <v>43329</v>
      </c>
      <c r="I25" s="13">
        <f>IF( E25&lt;&gt;"", H25-E25,"")</f>
        <v>15</v>
      </c>
      <c r="J25" s="9">
        <f t="shared" si="0"/>
        <v>43359</v>
      </c>
      <c r="K25" t="s">
        <v>4</v>
      </c>
    </row>
    <row r="26" spans="1:11" ht="23.25" customHeight="1">
      <c r="A26">
        <f>Table4[[#This Row],[Column1]]</f>
        <v>0</v>
      </c>
      <c r="B26">
        <f>Table4[[#This Row],[Column2]]</f>
        <v>0</v>
      </c>
      <c r="C26" t="s">
        <v>7</v>
      </c>
      <c r="D26" s="9">
        <v>43326</v>
      </c>
      <c r="E26" s="9">
        <v>43326</v>
      </c>
      <c r="F26" s="15">
        <v>0.39583333333333331</v>
      </c>
      <c r="G26" t="s">
        <v>329</v>
      </c>
      <c r="H26" s="9">
        <f>Table13[[#This Row],[dicharge_date]]</f>
        <v>43334</v>
      </c>
      <c r="I26" s="13">
        <f t="shared" ref="I26:I27" si="3">IF( E26&lt;&gt;"", H26-E26,"")</f>
        <v>8</v>
      </c>
      <c r="J26" s="9">
        <f t="shared" si="0"/>
        <v>43364</v>
      </c>
      <c r="K26" t="s">
        <v>4</v>
      </c>
    </row>
    <row r="27" spans="1:11" ht="23.25" customHeight="1">
      <c r="A27">
        <f>Table4[[#This Row],[Column1]]</f>
        <v>0</v>
      </c>
      <c r="B27">
        <f>Table4[[#This Row],[Column2]]</f>
        <v>0</v>
      </c>
      <c r="C27" t="s">
        <v>15</v>
      </c>
      <c r="D27" s="9">
        <v>43312</v>
      </c>
      <c r="E27" s="9">
        <v>43312</v>
      </c>
      <c r="F27" s="15" t="s">
        <v>251</v>
      </c>
      <c r="G27" t="s">
        <v>285</v>
      </c>
      <c r="H27" s="9">
        <f>Table13[[#This Row],[dicharge_date]]</f>
        <v>43318</v>
      </c>
      <c r="I27" s="13">
        <f t="shared" si="3"/>
        <v>6</v>
      </c>
      <c r="J27" s="9">
        <f t="shared" si="0"/>
        <v>43348</v>
      </c>
      <c r="K27" t="s">
        <v>4</v>
      </c>
    </row>
    <row r="28" spans="1:11" ht="23.25" customHeight="1">
      <c r="A28">
        <f>Table4[[#This Row],[Column1]]</f>
        <v>0</v>
      </c>
      <c r="B28">
        <f>Table4[[#This Row],[Column2]]</f>
        <v>0</v>
      </c>
      <c r="C28" t="s">
        <v>15</v>
      </c>
      <c r="D28" s="9">
        <v>43313</v>
      </c>
      <c r="E28" s="9">
        <v>43313</v>
      </c>
      <c r="F28" s="15" t="s">
        <v>251</v>
      </c>
      <c r="G28" t="s">
        <v>324</v>
      </c>
      <c r="H28" s="9">
        <f>Table13[[#This Row],[dicharge_date]]</f>
        <v>43315</v>
      </c>
      <c r="I28" s="13">
        <f>IF( E28&lt;&gt;"", H28-E28,"")</f>
        <v>2</v>
      </c>
      <c r="J28" s="9">
        <f t="shared" si="0"/>
        <v>43345</v>
      </c>
      <c r="K28" t="s">
        <v>4</v>
      </c>
    </row>
    <row r="29" spans="1:11" ht="23.25" customHeight="1">
      <c r="A29">
        <f>Table4[[#This Row],[Column1]]</f>
        <v>0</v>
      </c>
      <c r="B29">
        <f>Table4[[#This Row],[Column2]]</f>
        <v>0</v>
      </c>
      <c r="C29" t="s">
        <v>15</v>
      </c>
      <c r="D29" s="9">
        <v>43315</v>
      </c>
      <c r="E29" s="9">
        <v>43315</v>
      </c>
      <c r="F29" s="15" t="s">
        <v>251</v>
      </c>
      <c r="G29" t="s">
        <v>346</v>
      </c>
      <c r="H29" s="9">
        <f>Table13[[#This Row],[dicharge_date]]</f>
        <v>43320</v>
      </c>
      <c r="I29" s="13">
        <f t="shared" ref="I29:I30" si="4">IF( E29&lt;&gt;"", H29-E29,"")</f>
        <v>5</v>
      </c>
      <c r="J29" s="9">
        <f t="shared" si="0"/>
        <v>43350</v>
      </c>
      <c r="K29" t="s">
        <v>4</v>
      </c>
    </row>
    <row r="30" spans="1:11" ht="23.25" customHeight="1">
      <c r="A30">
        <f>Table4[[#This Row],[Column1]]</f>
        <v>0</v>
      </c>
      <c r="B30">
        <f>Table4[[#This Row],[Column2]]</f>
        <v>0</v>
      </c>
      <c r="C30" t="s">
        <v>15</v>
      </c>
      <c r="D30" s="9">
        <v>43319</v>
      </c>
      <c r="E30" s="9">
        <v>43319</v>
      </c>
      <c r="F30" s="15" t="s">
        <v>251</v>
      </c>
      <c r="G30" t="s">
        <v>277</v>
      </c>
      <c r="H30" s="9">
        <f>Table13[[#This Row],[dicharge_date]]</f>
        <v>43322</v>
      </c>
      <c r="I30" s="13">
        <f t="shared" si="4"/>
        <v>3</v>
      </c>
      <c r="J30" s="9">
        <f t="shared" si="0"/>
        <v>43352</v>
      </c>
      <c r="K30" t="s">
        <v>4</v>
      </c>
    </row>
    <row r="31" spans="1:11" ht="23.25" customHeight="1">
      <c r="A31">
        <f>Table4[[#This Row],[Column1]]</f>
        <v>0</v>
      </c>
      <c r="B31">
        <f>Table4[[#This Row],[Column2]]</f>
        <v>0</v>
      </c>
      <c r="C31" t="s">
        <v>15</v>
      </c>
      <c r="D31" s="9">
        <v>43322</v>
      </c>
      <c r="E31" s="9">
        <v>43322</v>
      </c>
      <c r="G31" t="s">
        <v>285</v>
      </c>
      <c r="H31" s="9">
        <f>Table13[[#This Row],[dicharge_date]]</f>
        <v>0</v>
      </c>
      <c r="I31" s="13">
        <f>IF( E31&lt;&gt;"", H31-E31,"")</f>
        <v>-43322</v>
      </c>
      <c r="J31" s="9">
        <f t="shared" si="0"/>
        <v>30</v>
      </c>
    </row>
    <row r="32" spans="1:11" ht="23.25" customHeight="1">
      <c r="A32">
        <f>Table4[[#This Row],[Column1]]</f>
        <v>0</v>
      </c>
      <c r="B32">
        <f>Table4[[#This Row],[Column2]]</f>
        <v>0</v>
      </c>
      <c r="C32" t="s">
        <v>7</v>
      </c>
      <c r="D32" s="9">
        <v>43318</v>
      </c>
      <c r="E32" s="9">
        <v>43318</v>
      </c>
      <c r="F32" s="15" t="s">
        <v>251</v>
      </c>
      <c r="G32" t="s">
        <v>252</v>
      </c>
      <c r="H32" s="9">
        <f>Table13[[#This Row],[dicharge_date]]</f>
        <v>43321</v>
      </c>
      <c r="I32" s="13">
        <f>IF( E32&lt;&gt;"", H32-E32,"")</f>
        <v>3</v>
      </c>
      <c r="J32" s="9">
        <f t="shared" si="0"/>
        <v>43351</v>
      </c>
      <c r="K32" t="s">
        <v>4</v>
      </c>
    </row>
    <row r="33" spans="1:11" ht="23.25" customHeight="1">
      <c r="A33">
        <f>Table4[[#This Row],[Column1]]</f>
        <v>0</v>
      </c>
      <c r="B33">
        <f>Table4[[#This Row],[Column2]]</f>
        <v>0</v>
      </c>
      <c r="C33" t="s">
        <v>7</v>
      </c>
      <c r="D33" s="9">
        <v>43318</v>
      </c>
      <c r="E33" s="9">
        <v>43318</v>
      </c>
      <c r="F33" s="15" t="s">
        <v>251</v>
      </c>
      <c r="G33" t="s">
        <v>257</v>
      </c>
      <c r="H33" s="9">
        <f>Table13[[#This Row],[dicharge_date]]</f>
        <v>43319</v>
      </c>
      <c r="I33" s="13">
        <f t="shared" ref="I33:I34" si="5">IF( E33&lt;&gt;"", H33-E33,"")</f>
        <v>1</v>
      </c>
      <c r="J33" s="9">
        <f t="shared" si="0"/>
        <v>43349</v>
      </c>
      <c r="K33" t="s">
        <v>3</v>
      </c>
    </row>
    <row r="34" spans="1:11" ht="23.25" customHeight="1">
      <c r="A34">
        <f>Table4[[#This Row],[Column1]]</f>
        <v>0</v>
      </c>
      <c r="B34">
        <f>Table4[[#This Row],[Column2]]</f>
        <v>0</v>
      </c>
      <c r="C34" t="s">
        <v>15</v>
      </c>
      <c r="D34" s="9">
        <v>43318</v>
      </c>
      <c r="E34" s="9">
        <v>43318</v>
      </c>
      <c r="F34" s="15" t="s">
        <v>251</v>
      </c>
      <c r="G34" t="s">
        <v>285</v>
      </c>
      <c r="H34" s="9">
        <f>Table13[[#This Row],[dicharge_date]]</f>
        <v>43321</v>
      </c>
      <c r="I34" s="13">
        <f t="shared" si="5"/>
        <v>3</v>
      </c>
      <c r="J34" s="9">
        <f t="shared" si="0"/>
        <v>43351</v>
      </c>
      <c r="K34" t="s">
        <v>4</v>
      </c>
    </row>
    <row r="35" spans="1:11" ht="23.25" customHeight="1">
      <c r="A35">
        <f>Table4[[#This Row],[Column1]]</f>
        <v>0</v>
      </c>
      <c r="B35">
        <f>Table4[[#This Row],[Column2]]</f>
        <v>0</v>
      </c>
      <c r="C35" t="s">
        <v>6</v>
      </c>
      <c r="D35" s="9">
        <v>43319</v>
      </c>
      <c r="E35" s="9">
        <v>43319</v>
      </c>
      <c r="F35" s="15" t="s">
        <v>251</v>
      </c>
      <c r="G35" t="s">
        <v>252</v>
      </c>
      <c r="H35" s="9">
        <f>Table13[[#This Row],[dicharge_date]]</f>
        <v>43329</v>
      </c>
      <c r="I35" s="13">
        <f>IF( E35&lt;&gt;"", H35-E35,"")</f>
        <v>10</v>
      </c>
      <c r="J35" s="9">
        <f t="shared" si="0"/>
        <v>43359</v>
      </c>
      <c r="K35" t="s">
        <v>4</v>
      </c>
    </row>
    <row r="36" spans="1:11" ht="23.25" customHeight="1">
      <c r="A36">
        <f>Table4[[#This Row],[Column1]]</f>
        <v>0</v>
      </c>
      <c r="B36">
        <f>Table4[[#This Row],[Column2]]</f>
        <v>0</v>
      </c>
      <c r="C36" t="s">
        <v>13</v>
      </c>
      <c r="D36" s="9">
        <v>43319</v>
      </c>
      <c r="E36" s="9">
        <v>43319</v>
      </c>
      <c r="F36" s="15" t="s">
        <v>251</v>
      </c>
      <c r="G36" t="s">
        <v>252</v>
      </c>
      <c r="H36" s="9">
        <f>Table13[[#This Row],[dicharge_date]]</f>
        <v>43324</v>
      </c>
      <c r="I36" s="13">
        <f t="shared" ref="I36" si="6">IF( E36&lt;&gt;"", H36-E36,"")</f>
        <v>5</v>
      </c>
      <c r="J36" s="9">
        <f t="shared" si="0"/>
        <v>43354</v>
      </c>
      <c r="K36" t="s">
        <v>4</v>
      </c>
    </row>
    <row r="37" spans="1:11" ht="23.25" customHeight="1">
      <c r="A37">
        <f>Table4[[#This Row],[Column1]]</f>
        <v>0</v>
      </c>
      <c r="B37">
        <f>Table4[[#This Row],[Column2]]</f>
        <v>0</v>
      </c>
      <c r="C37" t="s">
        <v>6</v>
      </c>
      <c r="D37" s="9">
        <v>43320</v>
      </c>
      <c r="E37" s="9">
        <v>43320</v>
      </c>
      <c r="F37" s="15" t="s">
        <v>251</v>
      </c>
      <c r="G37" t="s">
        <v>252</v>
      </c>
      <c r="H37" s="9">
        <f>Table13[[#This Row],[dicharge_date]]</f>
        <v>43330</v>
      </c>
      <c r="I37" s="13">
        <f>IF( E37&lt;&gt;"", H37-E37,"")</f>
        <v>10</v>
      </c>
      <c r="J37" s="9">
        <f t="shared" si="0"/>
        <v>43360</v>
      </c>
      <c r="K37" t="s">
        <v>4</v>
      </c>
    </row>
    <row r="38" spans="1:11" ht="23.25" customHeight="1">
      <c r="A38">
        <f>Table4[[#This Row],[Column1]]</f>
        <v>0</v>
      </c>
      <c r="B38">
        <f>Table4[[#This Row],[Column2]]</f>
        <v>0</v>
      </c>
      <c r="C38" t="s">
        <v>6</v>
      </c>
      <c r="D38" s="9">
        <v>43320</v>
      </c>
      <c r="E38" s="9">
        <v>43320</v>
      </c>
      <c r="F38" s="15" t="s">
        <v>251</v>
      </c>
      <c r="G38" t="s">
        <v>296</v>
      </c>
      <c r="H38" s="9">
        <f>Table13[[#This Row],[dicharge_date]]</f>
        <v>43336</v>
      </c>
      <c r="I38" s="13">
        <f>IF( E38&lt;&gt;"", H38-E38,"")</f>
        <v>16</v>
      </c>
      <c r="J38" s="9">
        <f t="shared" si="0"/>
        <v>43366</v>
      </c>
      <c r="K38" t="s">
        <v>4</v>
      </c>
    </row>
    <row r="39" spans="1:11" ht="23.25" customHeight="1">
      <c r="A39">
        <f>Table4[[#This Row],[Column1]]</f>
        <v>0</v>
      </c>
      <c r="B39">
        <f>Table4[[#This Row],[Column2]]</f>
        <v>0</v>
      </c>
      <c r="C39" t="s">
        <v>6</v>
      </c>
      <c r="D39" s="9">
        <v>43321</v>
      </c>
      <c r="E39" s="9">
        <v>43321</v>
      </c>
      <c r="F39" s="15" t="s">
        <v>363</v>
      </c>
      <c r="G39" t="s">
        <v>329</v>
      </c>
      <c r="H39" s="9">
        <f>Table13[[#This Row],[dicharge_date]]</f>
        <v>43329</v>
      </c>
      <c r="I39" s="13">
        <f t="shared" ref="I39:I101" si="7">IF( E39&lt;&gt;"", H39-E39,"")</f>
        <v>8</v>
      </c>
      <c r="J39" s="9">
        <f t="shared" si="0"/>
        <v>43359</v>
      </c>
      <c r="K39" t="s">
        <v>4</v>
      </c>
    </row>
    <row r="40" spans="1:11" ht="23.25" customHeight="1">
      <c r="A40">
        <f>Table4[[#This Row],[Column1]]</f>
        <v>0</v>
      </c>
      <c r="B40">
        <f>Table4[[#This Row],[Column2]]</f>
        <v>0</v>
      </c>
      <c r="C40" t="s">
        <v>229</v>
      </c>
      <c r="D40" s="9">
        <v>43321</v>
      </c>
      <c r="E40" s="9">
        <v>43321</v>
      </c>
      <c r="F40" s="15">
        <v>0.22916666666666666</v>
      </c>
      <c r="G40" t="s">
        <v>252</v>
      </c>
      <c r="H40" s="9">
        <f>Table13[[#This Row],[dicharge_date]]</f>
        <v>43328</v>
      </c>
      <c r="I40" s="13">
        <f t="shared" si="7"/>
        <v>7</v>
      </c>
      <c r="J40" s="9">
        <f t="shared" si="0"/>
        <v>43358</v>
      </c>
      <c r="K40" t="s">
        <v>4</v>
      </c>
    </row>
    <row r="41" spans="1:11" ht="23.25" customHeight="1">
      <c r="A41">
        <f>Table4[[#This Row],[Column1]]</f>
        <v>0</v>
      </c>
      <c r="B41">
        <f>Table4[[#This Row],[Column2]]</f>
        <v>0</v>
      </c>
      <c r="C41" t="s">
        <v>229</v>
      </c>
      <c r="D41" s="9">
        <v>43326</v>
      </c>
      <c r="E41" s="9">
        <v>43326</v>
      </c>
      <c r="F41" s="15">
        <v>0.17708333333333334</v>
      </c>
      <c r="G41" t="s">
        <v>252</v>
      </c>
      <c r="H41" s="9">
        <f>Table13[[#This Row],[dicharge_date]]</f>
        <v>43333</v>
      </c>
      <c r="I41" s="13">
        <f>IF( E41&lt;&gt;"", H41-E41,"")</f>
        <v>7</v>
      </c>
      <c r="J41" s="9">
        <f t="shared" si="0"/>
        <v>43363</v>
      </c>
      <c r="K41" t="s">
        <v>4</v>
      </c>
    </row>
    <row r="42" spans="1:11" ht="23.25" customHeight="1">
      <c r="A42">
        <f>Table4[[#This Row],[Column1]]</f>
        <v>0</v>
      </c>
      <c r="B42">
        <f>Table4[[#This Row],[Column2]]</f>
        <v>0</v>
      </c>
      <c r="C42" t="s">
        <v>7</v>
      </c>
      <c r="D42" s="9">
        <v>43325</v>
      </c>
      <c r="E42" s="9">
        <v>43325</v>
      </c>
      <c r="F42" s="15" t="s">
        <v>251</v>
      </c>
      <c r="G42" t="s">
        <v>252</v>
      </c>
      <c r="H42" s="9">
        <f>Table13[[#This Row],[dicharge_date]]</f>
        <v>43336</v>
      </c>
      <c r="I42" s="13">
        <f t="shared" si="7"/>
        <v>11</v>
      </c>
      <c r="J42" s="9">
        <f t="shared" si="0"/>
        <v>43366</v>
      </c>
      <c r="K42" t="s">
        <v>4</v>
      </c>
    </row>
    <row r="43" spans="1:11" ht="23.25" customHeight="1">
      <c r="A43">
        <f>Table4[[#This Row],[Column1]]</f>
        <v>0</v>
      </c>
      <c r="B43">
        <f>Table4[[#This Row],[Column2]]</f>
        <v>0</v>
      </c>
      <c r="C43" t="s">
        <v>15</v>
      </c>
      <c r="D43" s="9">
        <v>43325</v>
      </c>
      <c r="E43" s="9">
        <v>43325</v>
      </c>
      <c r="F43" s="15">
        <v>0.35416666666666669</v>
      </c>
      <c r="G43" t="s">
        <v>285</v>
      </c>
      <c r="H43" s="9">
        <f>Table13[[#This Row],[dicharge_date]]</f>
        <v>43329</v>
      </c>
      <c r="I43" s="13">
        <f t="shared" si="7"/>
        <v>4</v>
      </c>
      <c r="J43" s="9">
        <f t="shared" si="0"/>
        <v>43359</v>
      </c>
      <c r="K43" t="s">
        <v>4</v>
      </c>
    </row>
    <row r="44" spans="1:11" ht="23.25" customHeight="1">
      <c r="A44">
        <f>Table4[[#This Row],[Column1]]</f>
        <v>0</v>
      </c>
      <c r="B44">
        <f>Table4[[#This Row],[Column2]]</f>
        <v>0</v>
      </c>
      <c r="C44" t="s">
        <v>15</v>
      </c>
      <c r="D44" s="9">
        <v>43325</v>
      </c>
      <c r="E44" s="9">
        <v>43325</v>
      </c>
      <c r="F44" s="15">
        <v>0.39583333333333331</v>
      </c>
      <c r="G44" t="s">
        <v>346</v>
      </c>
      <c r="H44" s="9">
        <f>Table13[[#This Row],[dicharge_date]]</f>
        <v>43332</v>
      </c>
      <c r="I44" s="13">
        <f t="shared" si="7"/>
        <v>7</v>
      </c>
      <c r="J44" s="9">
        <f t="shared" si="0"/>
        <v>43362</v>
      </c>
      <c r="K44" t="s">
        <v>4</v>
      </c>
    </row>
    <row r="45" spans="1:11" ht="23.25" customHeight="1">
      <c r="A45">
        <f>Table4[[#This Row],[Column1]]</f>
        <v>0</v>
      </c>
      <c r="B45">
        <f>Table4[[#This Row],[Column2]]</f>
        <v>0</v>
      </c>
      <c r="C45" t="s">
        <v>7</v>
      </c>
      <c r="D45" s="9">
        <v>43326</v>
      </c>
      <c r="E45" s="9">
        <v>43326</v>
      </c>
      <c r="F45" s="15">
        <v>0.39930555555555558</v>
      </c>
      <c r="G45" t="s">
        <v>252</v>
      </c>
      <c r="H45" s="9">
        <f>Table13[[#This Row],[dicharge_date]]</f>
        <v>43335</v>
      </c>
      <c r="I45" s="13">
        <f t="shared" si="7"/>
        <v>9</v>
      </c>
      <c r="J45" s="9">
        <f t="shared" si="0"/>
        <v>43365</v>
      </c>
      <c r="K45" t="s">
        <v>4</v>
      </c>
    </row>
    <row r="46" spans="1:11" ht="23.25" customHeight="1">
      <c r="A46">
        <f>Table4[[#This Row],[Column1]]</f>
        <v>0</v>
      </c>
      <c r="B46">
        <f>Table4[[#This Row],[Column2]]</f>
        <v>0</v>
      </c>
      <c r="C46" t="s">
        <v>15</v>
      </c>
      <c r="D46" s="9">
        <v>43327</v>
      </c>
      <c r="E46" s="9">
        <v>43327</v>
      </c>
      <c r="F46" s="15">
        <v>0.29166666666666669</v>
      </c>
      <c r="G46" t="s">
        <v>143</v>
      </c>
      <c r="H46" s="9">
        <f>Table13[[#This Row],[dicharge_date]]</f>
        <v>43332</v>
      </c>
      <c r="I46" s="13">
        <f t="shared" si="7"/>
        <v>5</v>
      </c>
      <c r="J46" s="9">
        <f t="shared" si="0"/>
        <v>43362</v>
      </c>
      <c r="K46" t="s">
        <v>4</v>
      </c>
    </row>
    <row r="47" spans="1:11" ht="23.25" customHeight="1">
      <c r="A47">
        <f>Table4[[#This Row],[Column1]]</f>
        <v>0</v>
      </c>
      <c r="B47">
        <f>Table4[[#This Row],[Column2]]</f>
        <v>0</v>
      </c>
      <c r="C47" t="s">
        <v>6</v>
      </c>
      <c r="D47" s="9">
        <v>43332</v>
      </c>
      <c r="E47" s="9">
        <v>43332</v>
      </c>
      <c r="F47" s="15">
        <v>0.375</v>
      </c>
      <c r="G47" t="s">
        <v>329</v>
      </c>
      <c r="H47" s="9">
        <f>Table13[[#This Row],[dicharge_date]]</f>
        <v>43376</v>
      </c>
      <c r="I47" s="13">
        <f t="shared" si="7"/>
        <v>44</v>
      </c>
      <c r="J47" s="9">
        <f t="shared" si="0"/>
        <v>43406</v>
      </c>
      <c r="K47" t="s">
        <v>3</v>
      </c>
    </row>
    <row r="48" spans="1:11" ht="23.25" customHeight="1">
      <c r="A48">
        <f>Table4[[#This Row],[Column1]]</f>
        <v>0</v>
      </c>
      <c r="B48">
        <f>Table4[[#This Row],[Column2]]</f>
        <v>0</v>
      </c>
      <c r="C48" t="s">
        <v>15</v>
      </c>
      <c r="D48" s="9">
        <v>43325</v>
      </c>
      <c r="E48" s="9">
        <v>43327</v>
      </c>
      <c r="F48" s="15">
        <v>0.19791666666666666</v>
      </c>
      <c r="G48" t="s">
        <v>277</v>
      </c>
      <c r="H48" s="9">
        <f>Table13[[#This Row],[dicharge_date]]</f>
        <v>43329</v>
      </c>
      <c r="I48" s="13">
        <f t="shared" si="7"/>
        <v>2</v>
      </c>
      <c r="J48" s="9">
        <f t="shared" si="0"/>
        <v>43359</v>
      </c>
      <c r="K48" t="s">
        <v>4</v>
      </c>
    </row>
    <row r="49" spans="1:16384" ht="23.25" customHeight="1">
      <c r="A49">
        <f>Table4[[#This Row],[Column1]]</f>
        <v>0</v>
      </c>
      <c r="B49">
        <f>Table4[[#This Row],[Column2]]</f>
        <v>0</v>
      </c>
      <c r="C49" t="s">
        <v>7</v>
      </c>
      <c r="D49" s="9">
        <v>43328</v>
      </c>
      <c r="E49" s="9">
        <v>43328</v>
      </c>
      <c r="F49" s="15">
        <v>0.20833333333333334</v>
      </c>
      <c r="G49" t="s">
        <v>252</v>
      </c>
      <c r="H49" s="9">
        <f>Table13[[#This Row],[dicharge_date]]</f>
        <v>43331</v>
      </c>
      <c r="I49" s="13">
        <f t="shared" si="7"/>
        <v>3</v>
      </c>
      <c r="J49" s="9">
        <f t="shared" si="0"/>
        <v>43361</v>
      </c>
      <c r="K49" t="s">
        <v>4</v>
      </c>
    </row>
    <row r="50" spans="1:16384" ht="23.25" customHeight="1">
      <c r="A50">
        <f>Table4[[#This Row],[Column1]]</f>
        <v>0</v>
      </c>
      <c r="B50">
        <f>Table4[[#This Row],[Column2]]</f>
        <v>0</v>
      </c>
      <c r="C50" t="s">
        <v>15</v>
      </c>
      <c r="D50" s="9">
        <v>43328</v>
      </c>
      <c r="E50" s="9">
        <v>43328</v>
      </c>
      <c r="F50" s="86">
        <v>0.54166666666666663</v>
      </c>
      <c r="G50" t="s">
        <v>324</v>
      </c>
      <c r="H50" s="9">
        <f>Table13[[#This Row],[dicharge_date]]</f>
        <v>43347</v>
      </c>
      <c r="I50" s="13">
        <f t="shared" si="7"/>
        <v>19</v>
      </c>
      <c r="J50" s="9">
        <f t="shared" si="0"/>
        <v>43377</v>
      </c>
      <c r="K50" s="9" t="s">
        <v>4</v>
      </c>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L50" s="9"/>
      <c r="HM50" s="9"/>
      <c r="HN50" s="9"/>
      <c r="HO50" s="9"/>
      <c r="HP50" s="9"/>
      <c r="HQ50" s="9"/>
      <c r="HR50" s="9"/>
      <c r="HS50" s="9"/>
      <c r="HT50" s="9"/>
      <c r="HU50" s="9"/>
      <c r="HV50" s="9"/>
      <c r="HW50" s="9"/>
      <c r="HX50" s="9"/>
      <c r="HY50" s="9"/>
      <c r="HZ50" s="9"/>
      <c r="IA50" s="9"/>
      <c r="IB50" s="9"/>
      <c r="IC50" s="9"/>
      <c r="ID50" s="9"/>
      <c r="IE50" s="9"/>
      <c r="IF50" s="9"/>
      <c r="IG50" s="9"/>
      <c r="IH50" s="9"/>
      <c r="II50" s="9"/>
      <c r="IJ50" s="9"/>
      <c r="IK50" s="9"/>
      <c r="IL50" s="9"/>
      <c r="IM50" s="9"/>
      <c r="IN50" s="9"/>
      <c r="IO50" s="9"/>
      <c r="IP50" s="9"/>
      <c r="IQ50" s="9"/>
      <c r="IR50" s="9"/>
      <c r="IS50" s="9"/>
      <c r="IT50" s="9"/>
      <c r="IU50" s="9"/>
      <c r="IV50" s="9"/>
      <c r="IW50" s="9"/>
      <c r="IX50" s="9"/>
      <c r="IY50" s="9"/>
      <c r="IZ50" s="9"/>
      <c r="JA50" s="9"/>
      <c r="JB50" s="9"/>
      <c r="JC50" s="9"/>
      <c r="JD50" s="9"/>
      <c r="JE50" s="9"/>
      <c r="JF50" s="9"/>
      <c r="JG50" s="9"/>
      <c r="JH50" s="9"/>
      <c r="JI50" s="9"/>
      <c r="JJ50" s="9"/>
      <c r="JK50" s="9"/>
      <c r="JL50" s="9"/>
      <c r="JM50" s="9"/>
      <c r="JN50" s="9"/>
      <c r="JO50" s="9"/>
      <c r="JP50" s="9"/>
      <c r="JQ50" s="9"/>
      <c r="JR50" s="9"/>
      <c r="JS50" s="9"/>
      <c r="JT50" s="9"/>
      <c r="JU50" s="9"/>
      <c r="JV50" s="9"/>
      <c r="JW50" s="9"/>
      <c r="JX50" s="9"/>
      <c r="JY50" s="9"/>
      <c r="JZ50" s="9"/>
      <c r="KA50" s="9"/>
      <c r="KB50" s="9"/>
      <c r="KC50" s="9"/>
      <c r="KD50" s="9"/>
      <c r="KE50" s="9"/>
      <c r="KF50" s="9"/>
      <c r="KG50" s="9"/>
      <c r="KH50" s="9"/>
      <c r="KI50" s="9"/>
      <c r="KJ50" s="9"/>
      <c r="KK50" s="9"/>
      <c r="KL50" s="9"/>
      <c r="KM50" s="9"/>
      <c r="KN50" s="9"/>
      <c r="KO50" s="9"/>
      <c r="KP50" s="9"/>
      <c r="KQ50" s="9"/>
      <c r="KR50" s="9"/>
      <c r="KS50" s="9"/>
      <c r="KT50" s="9"/>
      <c r="KU50" s="9"/>
      <c r="KV50" s="9"/>
      <c r="KW50" s="9"/>
      <c r="KX50" s="9"/>
      <c r="KY50" s="9"/>
      <c r="KZ50" s="9"/>
      <c r="LA50" s="9"/>
      <c r="LB50" s="9"/>
      <c r="LC50" s="9"/>
      <c r="LD50" s="9"/>
      <c r="LE50" s="9"/>
      <c r="LF50" s="9"/>
      <c r="LG50" s="9"/>
      <c r="LH50" s="9"/>
      <c r="LI50" s="9"/>
      <c r="LJ50" s="9"/>
      <c r="LK50" s="9"/>
      <c r="LL50" s="9"/>
      <c r="LM50" s="9"/>
      <c r="LN50" s="9"/>
      <c r="LO50" s="9"/>
      <c r="LP50" s="9"/>
      <c r="LQ50" s="9"/>
      <c r="LR50" s="9"/>
      <c r="LS50" s="9"/>
      <c r="LT50" s="9"/>
      <c r="LU50" s="9"/>
      <c r="LV50" s="9"/>
      <c r="LW50" s="9"/>
      <c r="LX50" s="9"/>
      <c r="LY50" s="9"/>
      <c r="LZ50" s="9"/>
      <c r="MA50" s="9"/>
      <c r="MB50" s="9"/>
      <c r="MC50" s="9"/>
      <c r="MD50" s="9"/>
      <c r="ME50" s="9"/>
      <c r="MF50" s="9"/>
      <c r="MG50" s="9"/>
      <c r="MH50" s="9"/>
      <c r="MI50" s="9"/>
      <c r="MJ50" s="9"/>
      <c r="MK50" s="9"/>
      <c r="ML50" s="9"/>
      <c r="MM50" s="9"/>
      <c r="MN50" s="9"/>
      <c r="MO50" s="9"/>
      <c r="MP50" s="9"/>
      <c r="MQ50" s="9"/>
      <c r="MR50" s="9"/>
      <c r="MS50" s="9"/>
      <c r="MT50" s="9"/>
      <c r="MU50" s="9"/>
      <c r="MV50" s="9"/>
      <c r="MW50" s="9"/>
      <c r="MX50" s="9"/>
      <c r="MY50" s="9"/>
      <c r="MZ50" s="9"/>
      <c r="NA50" s="9"/>
      <c r="NB50" s="9"/>
      <c r="NC50" s="9"/>
      <c r="ND50" s="9"/>
      <c r="NE50" s="9"/>
      <c r="NF50" s="9"/>
      <c r="NG50" s="9"/>
      <c r="NH50" s="9"/>
      <c r="NI50" s="9"/>
      <c r="NJ50" s="9"/>
      <c r="NK50" s="9"/>
      <c r="NL50" s="9"/>
      <c r="NM50" s="9"/>
      <c r="NN50" s="9"/>
      <c r="NO50" s="9"/>
      <c r="NP50" s="9"/>
      <c r="NQ50" s="9"/>
      <c r="NR50" s="9"/>
      <c r="NS50" s="9"/>
      <c r="NT50" s="9"/>
      <c r="NU50" s="9"/>
      <c r="NV50" s="9"/>
      <c r="NW50" s="9"/>
      <c r="NX50" s="9"/>
      <c r="NY50" s="9"/>
      <c r="NZ50" s="9"/>
      <c r="OA50" s="9"/>
      <c r="OB50" s="9"/>
      <c r="OC50" s="9"/>
      <c r="OD50" s="9"/>
      <c r="OE50" s="9"/>
      <c r="OF50" s="9"/>
      <c r="OG50" s="9"/>
      <c r="OH50" s="9"/>
      <c r="OI50" s="9"/>
      <c r="OJ50" s="9"/>
      <c r="OK50" s="9"/>
      <c r="OL50" s="9"/>
      <c r="OM50" s="9"/>
      <c r="ON50" s="9"/>
      <c r="OO50" s="9"/>
      <c r="OP50" s="9"/>
      <c r="OQ50" s="9"/>
      <c r="OR50" s="9"/>
      <c r="OS50" s="9"/>
      <c r="OT50" s="9"/>
      <c r="OU50" s="9"/>
      <c r="OV50" s="9"/>
      <c r="OW50" s="9"/>
      <c r="OX50" s="9"/>
      <c r="OY50" s="9"/>
      <c r="OZ50" s="9"/>
      <c r="PA50" s="9"/>
      <c r="PB50" s="9"/>
      <c r="PC50" s="9"/>
      <c r="PD50" s="9"/>
      <c r="PE50" s="9"/>
      <c r="PF50" s="9"/>
      <c r="PG50" s="9"/>
      <c r="PH50" s="9"/>
      <c r="PI50" s="9"/>
      <c r="PJ50" s="9"/>
      <c r="PK50" s="9"/>
      <c r="PL50" s="9"/>
      <c r="PM50" s="9"/>
      <c r="PN50" s="9"/>
      <c r="PO50" s="9"/>
      <c r="PP50" s="9"/>
      <c r="PQ50" s="9"/>
      <c r="PR50" s="9"/>
      <c r="PS50" s="9"/>
      <c r="PT50" s="9"/>
      <c r="PU50" s="9"/>
      <c r="PV50" s="9"/>
      <c r="PW50" s="9"/>
      <c r="PX50" s="9"/>
      <c r="PY50" s="9"/>
      <c r="PZ50" s="9"/>
      <c r="QA50" s="9"/>
      <c r="QB50" s="9"/>
      <c r="QC50" s="9"/>
      <c r="QD50" s="9"/>
      <c r="QE50" s="9"/>
      <c r="QF50" s="9"/>
      <c r="QG50" s="9"/>
      <c r="QH50" s="9"/>
      <c r="QI50" s="9"/>
      <c r="QJ50" s="9"/>
      <c r="QK50" s="9"/>
      <c r="QL50" s="9"/>
      <c r="QM50" s="9"/>
      <c r="QN50" s="9"/>
      <c r="QO50" s="9"/>
      <c r="QP50" s="9"/>
      <c r="QQ50" s="9"/>
      <c r="QR50" s="9"/>
      <c r="QS50" s="9"/>
      <c r="QT50" s="9"/>
      <c r="QU50" s="9"/>
      <c r="QV50" s="9"/>
      <c r="QW50" s="9"/>
      <c r="QX50" s="9"/>
      <c r="QY50" s="9"/>
      <c r="QZ50" s="9"/>
      <c r="RA50" s="9"/>
      <c r="RB50" s="9"/>
      <c r="RC50" s="9"/>
      <c r="RD50" s="9"/>
      <c r="RE50" s="9"/>
      <c r="RF50" s="9"/>
      <c r="RG50" s="9"/>
      <c r="RH50" s="9"/>
      <c r="RI50" s="9"/>
      <c r="RJ50" s="9"/>
      <c r="RK50" s="9"/>
      <c r="RL50" s="9"/>
      <c r="RM50" s="9"/>
      <c r="RN50" s="9"/>
      <c r="RO50" s="9"/>
      <c r="RP50" s="9"/>
      <c r="RQ50" s="9"/>
      <c r="RR50" s="9"/>
      <c r="RS50" s="9"/>
      <c r="RT50" s="9"/>
      <c r="RU50" s="9"/>
      <c r="RV50" s="9"/>
      <c r="RW50" s="9"/>
      <c r="RX50" s="9"/>
      <c r="RY50" s="9"/>
      <c r="RZ50" s="9"/>
      <c r="SA50" s="9"/>
      <c r="SB50" s="9"/>
      <c r="SC50" s="9"/>
      <c r="SD50" s="9"/>
      <c r="SE50" s="9"/>
      <c r="SF50" s="9"/>
      <c r="SG50" s="9"/>
      <c r="SH50" s="9"/>
      <c r="SI50" s="9"/>
      <c r="SJ50" s="9"/>
      <c r="SK50" s="9"/>
      <c r="SL50" s="9"/>
      <c r="SM50" s="9"/>
      <c r="SN50" s="9"/>
      <c r="SO50" s="9"/>
      <c r="SP50" s="9"/>
      <c r="SQ50" s="9"/>
      <c r="SR50" s="9"/>
      <c r="SS50" s="9"/>
      <c r="ST50" s="9"/>
      <c r="SU50" s="9"/>
      <c r="SV50" s="9"/>
      <c r="SW50" s="9"/>
      <c r="SX50" s="9"/>
      <c r="SY50" s="9"/>
      <c r="SZ50" s="9"/>
      <c r="TA50" s="9"/>
      <c r="TB50" s="9"/>
      <c r="TC50" s="9"/>
      <c r="TD50" s="9"/>
      <c r="TE50" s="9"/>
      <c r="TF50" s="9"/>
      <c r="TG50" s="9"/>
      <c r="TH50" s="9"/>
      <c r="TI50" s="9"/>
      <c r="TJ50" s="9"/>
      <c r="TK50" s="9"/>
      <c r="TL50" s="9"/>
      <c r="TM50" s="9"/>
      <c r="TN50" s="9"/>
      <c r="TO50" s="9"/>
      <c r="TP50" s="9"/>
      <c r="TQ50" s="9"/>
      <c r="TR50" s="9"/>
      <c r="TS50" s="9"/>
      <c r="TT50" s="9"/>
      <c r="TU50" s="9"/>
      <c r="TV50" s="9"/>
      <c r="TW50" s="9"/>
      <c r="TX50" s="9"/>
      <c r="TY50" s="9"/>
      <c r="TZ50" s="9"/>
      <c r="UA50" s="9"/>
      <c r="UB50" s="9"/>
      <c r="UC50" s="9"/>
      <c r="UD50" s="9"/>
      <c r="UE50" s="9"/>
      <c r="UF50" s="9"/>
      <c r="UG50" s="9"/>
      <c r="UH50" s="9"/>
      <c r="UI50" s="9"/>
      <c r="UJ50" s="9"/>
      <c r="UK50" s="9"/>
      <c r="UL50" s="9"/>
      <c r="UM50" s="9"/>
      <c r="UN50" s="9"/>
      <c r="UO50" s="9"/>
      <c r="UP50" s="9"/>
      <c r="UQ50" s="9"/>
      <c r="UR50" s="9"/>
      <c r="US50" s="9"/>
      <c r="UT50" s="9"/>
      <c r="UU50" s="9"/>
      <c r="UV50" s="9"/>
      <c r="UW50" s="9"/>
      <c r="UX50" s="9"/>
      <c r="UY50" s="9"/>
      <c r="UZ50" s="9"/>
      <c r="VA50" s="9"/>
      <c r="VB50" s="9"/>
      <c r="VC50" s="9"/>
      <c r="VD50" s="9"/>
      <c r="VE50" s="9"/>
      <c r="VF50" s="9"/>
      <c r="VG50" s="9"/>
      <c r="VH50" s="9"/>
      <c r="VI50" s="9"/>
      <c r="VJ50" s="9"/>
      <c r="VK50" s="9"/>
      <c r="VL50" s="9"/>
      <c r="VM50" s="9"/>
      <c r="VN50" s="9"/>
      <c r="VO50" s="9"/>
      <c r="VP50" s="9"/>
      <c r="VQ50" s="9"/>
      <c r="VR50" s="9"/>
      <c r="VS50" s="9"/>
      <c r="VT50" s="9"/>
      <c r="VU50" s="9"/>
      <c r="VV50" s="9"/>
      <c r="VW50" s="9"/>
      <c r="VX50" s="9"/>
      <c r="VY50" s="9"/>
      <c r="VZ50" s="9"/>
      <c r="WA50" s="9"/>
      <c r="WB50" s="9"/>
      <c r="WC50" s="9"/>
      <c r="WD50" s="9"/>
      <c r="WE50" s="9"/>
      <c r="WF50" s="9"/>
      <c r="WG50" s="9"/>
      <c r="WH50" s="9"/>
      <c r="WI50" s="9"/>
      <c r="WJ50" s="9"/>
      <c r="WK50" s="9"/>
      <c r="WL50" s="9"/>
      <c r="WM50" s="9"/>
      <c r="WN50" s="9"/>
      <c r="WO50" s="9"/>
      <c r="WP50" s="9"/>
      <c r="WQ50" s="9"/>
      <c r="WR50" s="9"/>
      <c r="WS50" s="9"/>
      <c r="WT50" s="9"/>
      <c r="WU50" s="9"/>
      <c r="WV50" s="9"/>
      <c r="WW50" s="9"/>
      <c r="WX50" s="9"/>
      <c r="WY50" s="9"/>
      <c r="WZ50" s="9"/>
      <c r="XA50" s="9"/>
      <c r="XB50" s="9"/>
      <c r="XC50" s="9"/>
      <c r="XD50" s="9"/>
      <c r="XE50" s="9"/>
      <c r="XF50" s="9"/>
      <c r="XG50" s="9"/>
      <c r="XH50" s="9"/>
      <c r="XI50" s="9"/>
      <c r="XJ50" s="9"/>
      <c r="XK50" s="9"/>
      <c r="XL50" s="9"/>
      <c r="XM50" s="9"/>
      <c r="XN50" s="9"/>
      <c r="XO50" s="9"/>
      <c r="XP50" s="9"/>
      <c r="XQ50" s="9"/>
      <c r="XR50" s="9"/>
      <c r="XS50" s="9"/>
      <c r="XT50" s="9"/>
      <c r="XU50" s="9"/>
      <c r="XV50" s="9"/>
      <c r="XW50" s="9"/>
      <c r="XX50" s="9"/>
      <c r="XY50" s="9"/>
      <c r="XZ50" s="9"/>
      <c r="YA50" s="9"/>
      <c r="YB50" s="9"/>
      <c r="YC50" s="9"/>
      <c r="YD50" s="9"/>
      <c r="YE50" s="9"/>
      <c r="YF50" s="9"/>
      <c r="YG50" s="9"/>
      <c r="YH50" s="9"/>
      <c r="YI50" s="9"/>
      <c r="YJ50" s="9"/>
      <c r="YK50" s="9"/>
      <c r="YL50" s="9"/>
      <c r="YM50" s="9"/>
      <c r="YN50" s="9"/>
      <c r="YO50" s="9"/>
      <c r="YP50" s="9"/>
      <c r="YQ50" s="9"/>
      <c r="YR50" s="9"/>
      <c r="YS50" s="9"/>
      <c r="YT50" s="9"/>
      <c r="YU50" s="9"/>
      <c r="YV50" s="9"/>
      <c r="YW50" s="9"/>
      <c r="YX50" s="9"/>
      <c r="YY50" s="9"/>
      <c r="YZ50" s="9"/>
      <c r="ZA50" s="9"/>
      <c r="ZB50" s="9"/>
      <c r="ZC50" s="9"/>
      <c r="ZD50" s="9"/>
      <c r="ZE50" s="9"/>
      <c r="ZF50" s="9"/>
      <c r="ZG50" s="9"/>
      <c r="ZH50" s="9"/>
      <c r="ZI50" s="9"/>
      <c r="ZJ50" s="9"/>
      <c r="ZK50" s="9"/>
      <c r="ZL50" s="9"/>
      <c r="ZM50" s="9"/>
      <c r="ZN50" s="9"/>
      <c r="ZO50" s="9"/>
      <c r="ZP50" s="9"/>
      <c r="ZQ50" s="9"/>
      <c r="ZR50" s="9"/>
      <c r="ZS50" s="9"/>
      <c r="ZT50" s="9"/>
      <c r="ZU50" s="9"/>
      <c r="ZV50" s="9"/>
      <c r="ZW50" s="9"/>
      <c r="ZX50" s="9"/>
      <c r="ZY50" s="9"/>
      <c r="ZZ50" s="9"/>
      <c r="AAA50" s="9"/>
      <c r="AAB50" s="9"/>
      <c r="AAC50" s="9"/>
      <c r="AAD50" s="9"/>
      <c r="AAE50" s="9"/>
      <c r="AAF50" s="9"/>
      <c r="AAG50" s="9"/>
      <c r="AAH50" s="9"/>
      <c r="AAI50" s="9"/>
      <c r="AAJ50" s="9"/>
      <c r="AAK50" s="9"/>
      <c r="AAL50" s="9"/>
      <c r="AAM50" s="9"/>
      <c r="AAN50" s="9"/>
      <c r="AAO50" s="9"/>
      <c r="AAP50" s="9"/>
      <c r="AAQ50" s="9"/>
      <c r="AAR50" s="9"/>
      <c r="AAS50" s="9"/>
      <c r="AAT50" s="9"/>
      <c r="AAU50" s="9"/>
      <c r="AAV50" s="9"/>
      <c r="AAW50" s="9"/>
      <c r="AAX50" s="9"/>
      <c r="AAY50" s="9"/>
      <c r="AAZ50" s="9"/>
      <c r="ABA50" s="9"/>
      <c r="ABB50" s="9"/>
      <c r="ABC50" s="9"/>
      <c r="ABD50" s="9"/>
      <c r="ABE50" s="9"/>
      <c r="ABF50" s="9"/>
      <c r="ABG50" s="9"/>
      <c r="ABH50" s="9"/>
      <c r="ABI50" s="9"/>
      <c r="ABJ50" s="9"/>
      <c r="ABK50" s="9"/>
      <c r="ABL50" s="9"/>
      <c r="ABM50" s="9"/>
      <c r="ABN50" s="9"/>
      <c r="ABO50" s="9"/>
      <c r="ABP50" s="9"/>
      <c r="ABQ50" s="9"/>
      <c r="ABR50" s="9"/>
      <c r="ABS50" s="9"/>
      <c r="ABT50" s="9"/>
      <c r="ABU50" s="9"/>
      <c r="ABV50" s="9"/>
      <c r="ABW50" s="9"/>
      <c r="ABX50" s="9"/>
      <c r="ABY50" s="9"/>
      <c r="ABZ50" s="9"/>
      <c r="ACA50" s="9"/>
      <c r="ACB50" s="9"/>
      <c r="ACC50" s="9"/>
      <c r="ACD50" s="9"/>
      <c r="ACE50" s="9"/>
      <c r="ACF50" s="9"/>
      <c r="ACG50" s="9"/>
      <c r="ACH50" s="9"/>
      <c r="ACI50" s="9"/>
      <c r="ACJ50" s="9"/>
      <c r="ACK50" s="9"/>
      <c r="ACL50" s="9"/>
      <c r="ACM50" s="9"/>
      <c r="ACN50" s="9"/>
      <c r="ACO50" s="9"/>
      <c r="ACP50" s="9"/>
      <c r="ACQ50" s="9"/>
      <c r="ACR50" s="9"/>
      <c r="ACS50" s="9"/>
      <c r="ACT50" s="9"/>
      <c r="ACU50" s="9"/>
      <c r="ACV50" s="9"/>
      <c r="ACW50" s="9"/>
      <c r="ACX50" s="9"/>
      <c r="ACY50" s="9"/>
      <c r="ACZ50" s="9"/>
      <c r="ADA50" s="9"/>
      <c r="ADB50" s="9"/>
      <c r="ADC50" s="9"/>
      <c r="ADD50" s="9"/>
      <c r="ADE50" s="9"/>
      <c r="ADF50" s="9"/>
      <c r="ADG50" s="9"/>
      <c r="ADH50" s="9"/>
      <c r="ADI50" s="9"/>
      <c r="ADJ50" s="9"/>
      <c r="ADK50" s="9"/>
      <c r="ADL50" s="9"/>
      <c r="ADM50" s="9"/>
      <c r="ADN50" s="9"/>
      <c r="ADO50" s="9"/>
      <c r="ADP50" s="9"/>
      <c r="ADQ50" s="9"/>
      <c r="ADR50" s="9"/>
      <c r="ADS50" s="9"/>
      <c r="ADT50" s="9"/>
      <c r="ADU50" s="9"/>
      <c r="ADV50" s="9"/>
      <c r="ADW50" s="9"/>
      <c r="ADX50" s="9"/>
      <c r="ADY50" s="9"/>
      <c r="ADZ50" s="9"/>
      <c r="AEA50" s="9"/>
      <c r="AEB50" s="9"/>
      <c r="AEC50" s="9"/>
      <c r="AED50" s="9"/>
      <c r="AEE50" s="9"/>
      <c r="AEF50" s="9"/>
      <c r="AEG50" s="9"/>
      <c r="AEH50" s="9"/>
      <c r="AEI50" s="9"/>
      <c r="AEJ50" s="9"/>
      <c r="AEK50" s="9"/>
      <c r="AEL50" s="9"/>
      <c r="AEM50" s="9"/>
      <c r="AEN50" s="9"/>
      <c r="AEO50" s="9"/>
      <c r="AEP50" s="9"/>
      <c r="AEQ50" s="9"/>
      <c r="AER50" s="9"/>
      <c r="AES50" s="9"/>
      <c r="AET50" s="9"/>
      <c r="AEU50" s="9"/>
      <c r="AEV50" s="9"/>
      <c r="AEW50" s="9"/>
      <c r="AEX50" s="9"/>
      <c r="AEY50" s="9"/>
      <c r="AEZ50" s="9"/>
      <c r="AFA50" s="9"/>
      <c r="AFB50" s="9"/>
      <c r="AFC50" s="9"/>
      <c r="AFD50" s="9"/>
      <c r="AFE50" s="9"/>
      <c r="AFF50" s="9"/>
      <c r="AFG50" s="9"/>
      <c r="AFH50" s="9"/>
      <c r="AFI50" s="9"/>
      <c r="AFJ50" s="9"/>
      <c r="AFK50" s="9"/>
      <c r="AFL50" s="9"/>
      <c r="AFM50" s="9"/>
      <c r="AFN50" s="9"/>
      <c r="AFO50" s="9"/>
      <c r="AFP50" s="9"/>
      <c r="AFQ50" s="9"/>
      <c r="AFR50" s="9"/>
      <c r="AFS50" s="9"/>
      <c r="AFT50" s="9"/>
      <c r="AFU50" s="9"/>
      <c r="AFV50" s="9"/>
      <c r="AFW50" s="9"/>
      <c r="AFX50" s="9"/>
      <c r="AFY50" s="9"/>
      <c r="AFZ50" s="9"/>
      <c r="AGA50" s="9"/>
      <c r="AGB50" s="9"/>
      <c r="AGC50" s="9"/>
      <c r="AGD50" s="9"/>
      <c r="AGE50" s="9"/>
      <c r="AGF50" s="9"/>
      <c r="AGG50" s="9"/>
      <c r="AGH50" s="9"/>
      <c r="AGI50" s="9"/>
      <c r="AGJ50" s="9"/>
      <c r="AGK50" s="9"/>
      <c r="AGL50" s="9"/>
      <c r="AGM50" s="9"/>
      <c r="AGN50" s="9"/>
      <c r="AGO50" s="9"/>
      <c r="AGP50" s="9"/>
      <c r="AGQ50" s="9"/>
      <c r="AGR50" s="9"/>
      <c r="AGS50" s="9"/>
      <c r="AGT50" s="9"/>
      <c r="AGU50" s="9"/>
      <c r="AGV50" s="9"/>
      <c r="AGW50" s="9"/>
      <c r="AGX50" s="9"/>
      <c r="AGY50" s="9"/>
      <c r="AGZ50" s="9"/>
      <c r="AHA50" s="9"/>
      <c r="AHB50" s="9"/>
      <c r="AHC50" s="9"/>
      <c r="AHD50" s="9"/>
      <c r="AHE50" s="9"/>
      <c r="AHF50" s="9"/>
      <c r="AHG50" s="9"/>
      <c r="AHH50" s="9"/>
      <c r="AHI50" s="9"/>
      <c r="AHJ50" s="9"/>
      <c r="AHK50" s="9"/>
      <c r="AHL50" s="9"/>
      <c r="AHM50" s="9"/>
      <c r="AHN50" s="9"/>
      <c r="AHO50" s="9"/>
      <c r="AHP50" s="9"/>
      <c r="AHQ50" s="9"/>
      <c r="AHR50" s="9"/>
      <c r="AHS50" s="9"/>
      <c r="AHT50" s="9"/>
      <c r="AHU50" s="9"/>
      <c r="AHV50" s="9"/>
      <c r="AHW50" s="9"/>
      <c r="AHX50" s="9"/>
      <c r="AHY50" s="9"/>
      <c r="AHZ50" s="9"/>
      <c r="AIA50" s="9"/>
      <c r="AIB50" s="9"/>
      <c r="AIC50" s="9"/>
      <c r="AID50" s="9"/>
      <c r="AIE50" s="9"/>
      <c r="AIF50" s="9"/>
      <c r="AIG50" s="9"/>
      <c r="AIH50" s="9"/>
      <c r="AII50" s="9"/>
      <c r="AIJ50" s="9"/>
      <c r="AIK50" s="9"/>
      <c r="AIL50" s="9"/>
      <c r="AIM50" s="9"/>
      <c r="AIN50" s="9"/>
      <c r="AIO50" s="9"/>
      <c r="AIP50" s="9"/>
      <c r="AIQ50" s="9"/>
      <c r="AIR50" s="9"/>
      <c r="AIS50" s="9"/>
      <c r="AIT50" s="9"/>
      <c r="AIU50" s="9"/>
      <c r="AIV50" s="9"/>
      <c r="AIW50" s="9"/>
      <c r="AIX50" s="9"/>
      <c r="AIY50" s="9"/>
      <c r="AIZ50" s="9"/>
      <c r="AJA50" s="9"/>
      <c r="AJB50" s="9"/>
      <c r="AJC50" s="9"/>
      <c r="AJD50" s="9"/>
      <c r="AJE50" s="9"/>
      <c r="AJF50" s="9"/>
      <c r="AJG50" s="9"/>
      <c r="AJH50" s="9"/>
      <c r="AJI50" s="9"/>
      <c r="AJJ50" s="9"/>
      <c r="AJK50" s="9"/>
      <c r="AJL50" s="9"/>
      <c r="AJM50" s="9"/>
      <c r="AJN50" s="9"/>
      <c r="AJO50" s="9"/>
      <c r="AJP50" s="9"/>
      <c r="AJQ50" s="9"/>
      <c r="AJR50" s="9"/>
      <c r="AJS50" s="9"/>
      <c r="AJT50" s="9"/>
      <c r="AJU50" s="9"/>
      <c r="AJV50" s="9"/>
      <c r="AJW50" s="9"/>
      <c r="AJX50" s="9"/>
      <c r="AJY50" s="9"/>
      <c r="AJZ50" s="9"/>
      <c r="AKA50" s="9"/>
      <c r="AKB50" s="9"/>
      <c r="AKC50" s="9"/>
      <c r="AKD50" s="9"/>
      <c r="AKE50" s="9"/>
      <c r="AKF50" s="9"/>
      <c r="AKG50" s="9"/>
      <c r="AKH50" s="9"/>
      <c r="AKI50" s="9"/>
      <c r="AKJ50" s="9"/>
      <c r="AKK50" s="9"/>
      <c r="AKL50" s="9"/>
      <c r="AKM50" s="9"/>
      <c r="AKN50" s="9"/>
      <c r="AKO50" s="9"/>
      <c r="AKP50" s="9"/>
      <c r="AKQ50" s="9"/>
      <c r="AKR50" s="9"/>
      <c r="AKS50" s="9"/>
      <c r="AKT50" s="9"/>
      <c r="AKU50" s="9"/>
      <c r="AKV50" s="9"/>
      <c r="AKW50" s="9"/>
      <c r="AKX50" s="9"/>
      <c r="AKY50" s="9"/>
      <c r="AKZ50" s="9"/>
      <c r="ALA50" s="9"/>
      <c r="ALB50" s="9"/>
      <c r="ALC50" s="9"/>
      <c r="ALD50" s="9"/>
      <c r="ALE50" s="9"/>
      <c r="ALF50" s="9"/>
      <c r="ALG50" s="9"/>
      <c r="ALH50" s="9"/>
      <c r="ALI50" s="9"/>
      <c r="ALJ50" s="9"/>
      <c r="ALK50" s="9"/>
      <c r="ALL50" s="9"/>
      <c r="ALM50" s="9"/>
      <c r="ALN50" s="9"/>
      <c r="ALO50" s="9"/>
      <c r="ALP50" s="9"/>
      <c r="ALQ50" s="9"/>
      <c r="ALR50" s="9"/>
      <c r="ALS50" s="9"/>
      <c r="ALT50" s="9"/>
      <c r="ALU50" s="9"/>
      <c r="ALV50" s="9"/>
      <c r="ALW50" s="9"/>
      <c r="ALX50" s="9"/>
      <c r="ALY50" s="9"/>
      <c r="ALZ50" s="9"/>
      <c r="AMA50" s="9"/>
      <c r="AMB50" s="9"/>
      <c r="AMC50" s="9"/>
      <c r="AMD50" s="9"/>
      <c r="AME50" s="9"/>
      <c r="AMF50" s="9"/>
      <c r="AMG50" s="9"/>
      <c r="AMH50" s="9"/>
      <c r="AMI50" s="9"/>
      <c r="AMJ50" s="9"/>
      <c r="AMK50" s="9"/>
      <c r="AML50" s="9"/>
      <c r="AMM50" s="9"/>
      <c r="AMN50" s="9"/>
      <c r="AMO50" s="9"/>
      <c r="AMP50" s="9"/>
      <c r="AMQ50" s="9"/>
      <c r="AMR50" s="9"/>
      <c r="AMS50" s="9"/>
      <c r="AMT50" s="9"/>
      <c r="AMU50" s="9"/>
      <c r="AMV50" s="9"/>
      <c r="AMW50" s="9"/>
      <c r="AMX50" s="9"/>
      <c r="AMY50" s="9"/>
      <c r="AMZ50" s="9"/>
      <c r="ANA50" s="9"/>
      <c r="ANB50" s="9"/>
      <c r="ANC50" s="9"/>
      <c r="AND50" s="9"/>
      <c r="ANE50" s="9"/>
      <c r="ANF50" s="9"/>
      <c r="ANG50" s="9"/>
      <c r="ANH50" s="9"/>
      <c r="ANI50" s="9"/>
      <c r="ANJ50" s="9"/>
      <c r="ANK50" s="9"/>
      <c r="ANL50" s="9"/>
      <c r="ANM50" s="9"/>
      <c r="ANN50" s="9"/>
      <c r="ANO50" s="9"/>
      <c r="ANP50" s="9"/>
      <c r="ANQ50" s="9"/>
      <c r="ANR50" s="9"/>
      <c r="ANS50" s="9"/>
      <c r="ANT50" s="9"/>
      <c r="ANU50" s="9"/>
      <c r="ANV50" s="9"/>
      <c r="ANW50" s="9"/>
      <c r="ANX50" s="9"/>
      <c r="ANY50" s="9"/>
      <c r="ANZ50" s="9"/>
      <c r="AOA50" s="9"/>
      <c r="AOB50" s="9"/>
      <c r="AOC50" s="9"/>
      <c r="AOD50" s="9"/>
      <c r="AOE50" s="9"/>
      <c r="AOF50" s="9"/>
      <c r="AOG50" s="9"/>
      <c r="AOH50" s="9"/>
      <c r="AOI50" s="9"/>
      <c r="AOJ50" s="9"/>
      <c r="AOK50" s="9"/>
      <c r="AOL50" s="9"/>
      <c r="AOM50" s="9"/>
      <c r="AON50" s="9"/>
      <c r="AOO50" s="9"/>
      <c r="AOP50" s="9"/>
      <c r="AOQ50" s="9"/>
      <c r="AOR50" s="9"/>
      <c r="AOS50" s="9"/>
      <c r="AOT50" s="9"/>
      <c r="AOU50" s="9"/>
      <c r="AOV50" s="9"/>
      <c r="AOW50" s="9"/>
      <c r="AOX50" s="9"/>
      <c r="AOY50" s="9"/>
      <c r="AOZ50" s="9"/>
      <c r="APA50" s="9"/>
      <c r="APB50" s="9"/>
      <c r="APC50" s="9"/>
      <c r="APD50" s="9"/>
      <c r="APE50" s="9"/>
      <c r="APF50" s="9"/>
      <c r="APG50" s="9"/>
      <c r="APH50" s="9"/>
      <c r="API50" s="9"/>
      <c r="APJ50" s="9"/>
      <c r="APK50" s="9"/>
      <c r="APL50" s="9"/>
      <c r="APM50" s="9"/>
      <c r="APN50" s="9"/>
      <c r="APO50" s="9"/>
      <c r="APP50" s="9"/>
      <c r="APQ50" s="9"/>
      <c r="APR50" s="9"/>
      <c r="APS50" s="9"/>
      <c r="APT50" s="9"/>
      <c r="APU50" s="9"/>
      <c r="APV50" s="9"/>
      <c r="APW50" s="9"/>
      <c r="APX50" s="9"/>
      <c r="APY50" s="9"/>
      <c r="APZ50" s="9"/>
      <c r="AQA50" s="9"/>
      <c r="AQB50" s="9"/>
      <c r="AQC50" s="9"/>
      <c r="AQD50" s="9"/>
      <c r="AQE50" s="9"/>
      <c r="AQF50" s="9"/>
      <c r="AQG50" s="9"/>
      <c r="AQH50" s="9"/>
      <c r="AQI50" s="9"/>
      <c r="AQJ50" s="9"/>
      <c r="AQK50" s="9"/>
      <c r="AQL50" s="9"/>
      <c r="AQM50" s="9"/>
      <c r="AQN50" s="9"/>
      <c r="AQO50" s="9"/>
      <c r="AQP50" s="9"/>
      <c r="AQQ50" s="9"/>
      <c r="AQR50" s="9"/>
      <c r="AQS50" s="9"/>
      <c r="AQT50" s="9"/>
      <c r="AQU50" s="9"/>
      <c r="AQV50" s="9"/>
      <c r="AQW50" s="9"/>
      <c r="AQX50" s="9"/>
      <c r="AQY50" s="9"/>
      <c r="AQZ50" s="9"/>
      <c r="ARA50" s="9"/>
      <c r="ARB50" s="9"/>
      <c r="ARC50" s="9"/>
      <c r="ARD50" s="9"/>
      <c r="ARE50" s="9"/>
      <c r="ARF50" s="9"/>
      <c r="ARG50" s="9"/>
      <c r="ARH50" s="9"/>
      <c r="ARI50" s="9"/>
      <c r="ARJ50" s="9"/>
      <c r="ARK50" s="9"/>
      <c r="ARL50" s="9"/>
      <c r="ARM50" s="9"/>
      <c r="ARN50" s="9"/>
      <c r="ARO50" s="9"/>
      <c r="ARP50" s="9"/>
      <c r="ARQ50" s="9"/>
      <c r="ARR50" s="9"/>
      <c r="ARS50" s="9"/>
      <c r="ART50" s="9"/>
      <c r="ARU50" s="9"/>
      <c r="ARV50" s="9"/>
      <c r="ARW50" s="9"/>
      <c r="ARX50" s="9"/>
      <c r="ARY50" s="9"/>
      <c r="ARZ50" s="9"/>
      <c r="ASA50" s="9"/>
      <c r="ASB50" s="9"/>
      <c r="ASC50" s="9"/>
      <c r="ASD50" s="9"/>
      <c r="ASE50" s="9"/>
      <c r="ASF50" s="9"/>
      <c r="ASG50" s="9"/>
      <c r="ASH50" s="9"/>
      <c r="ASI50" s="9"/>
      <c r="ASJ50" s="9"/>
      <c r="ASK50" s="9"/>
      <c r="ASL50" s="9"/>
      <c r="ASM50" s="9"/>
      <c r="ASN50" s="9"/>
      <c r="ASO50" s="9"/>
      <c r="ASP50" s="9"/>
      <c r="ASQ50" s="9"/>
      <c r="ASR50" s="9"/>
      <c r="ASS50" s="9"/>
      <c r="AST50" s="9"/>
      <c r="ASU50" s="9"/>
      <c r="ASV50" s="9"/>
      <c r="ASW50" s="9"/>
      <c r="ASX50" s="9"/>
      <c r="ASY50" s="9"/>
      <c r="ASZ50" s="9"/>
      <c r="ATA50" s="9"/>
      <c r="ATB50" s="9"/>
      <c r="ATC50" s="9"/>
      <c r="ATD50" s="9"/>
      <c r="ATE50" s="9"/>
      <c r="ATF50" s="9"/>
      <c r="ATG50" s="9"/>
      <c r="ATH50" s="9"/>
      <c r="ATI50" s="9"/>
      <c r="ATJ50" s="9"/>
      <c r="ATK50" s="9"/>
      <c r="ATL50" s="9"/>
      <c r="ATM50" s="9"/>
      <c r="ATN50" s="9"/>
      <c r="ATO50" s="9"/>
      <c r="ATP50" s="9"/>
      <c r="ATQ50" s="9"/>
      <c r="ATR50" s="9"/>
      <c r="ATS50" s="9"/>
      <c r="ATT50" s="9"/>
      <c r="ATU50" s="9"/>
      <c r="ATV50" s="9"/>
      <c r="ATW50" s="9"/>
      <c r="ATX50" s="9"/>
      <c r="ATY50" s="9"/>
      <c r="ATZ50" s="9"/>
      <c r="AUA50" s="9"/>
      <c r="AUB50" s="9"/>
      <c r="AUC50" s="9"/>
      <c r="AUD50" s="9"/>
      <c r="AUE50" s="9"/>
      <c r="AUF50" s="9"/>
      <c r="AUG50" s="9"/>
      <c r="AUH50" s="9"/>
      <c r="AUI50" s="9"/>
      <c r="AUJ50" s="9"/>
      <c r="AUK50" s="9"/>
      <c r="AUL50" s="9"/>
      <c r="AUM50" s="9"/>
      <c r="AUN50" s="9"/>
      <c r="AUO50" s="9"/>
      <c r="AUP50" s="9"/>
      <c r="AUQ50" s="9"/>
      <c r="AUR50" s="9"/>
      <c r="AUS50" s="9"/>
      <c r="AUT50" s="9"/>
      <c r="AUU50" s="9"/>
      <c r="AUV50" s="9"/>
      <c r="AUW50" s="9"/>
      <c r="AUX50" s="9"/>
      <c r="AUY50" s="9"/>
      <c r="AUZ50" s="9"/>
      <c r="AVA50" s="9"/>
      <c r="AVB50" s="9"/>
      <c r="AVC50" s="9"/>
      <c r="AVD50" s="9"/>
      <c r="AVE50" s="9"/>
      <c r="AVF50" s="9"/>
      <c r="AVG50" s="9"/>
      <c r="AVH50" s="9"/>
      <c r="AVI50" s="9"/>
      <c r="AVJ50" s="9"/>
      <c r="AVK50" s="9"/>
      <c r="AVL50" s="9"/>
      <c r="AVM50" s="9"/>
      <c r="AVN50" s="9"/>
      <c r="AVO50" s="9"/>
      <c r="AVP50" s="9"/>
      <c r="AVQ50" s="9"/>
      <c r="AVR50" s="9"/>
      <c r="AVS50" s="9"/>
      <c r="AVT50" s="9"/>
      <c r="AVU50" s="9"/>
      <c r="AVV50" s="9"/>
      <c r="AVW50" s="9"/>
      <c r="AVX50" s="9"/>
      <c r="AVY50" s="9"/>
      <c r="AVZ50" s="9"/>
      <c r="AWA50" s="9"/>
      <c r="AWB50" s="9"/>
      <c r="AWC50" s="9"/>
      <c r="AWD50" s="9"/>
      <c r="AWE50" s="9"/>
      <c r="AWF50" s="9"/>
      <c r="AWG50" s="9"/>
      <c r="AWH50" s="9"/>
      <c r="AWI50" s="9"/>
      <c r="AWJ50" s="9"/>
      <c r="AWK50" s="9"/>
      <c r="AWL50" s="9"/>
      <c r="AWM50" s="9"/>
      <c r="AWN50" s="9"/>
      <c r="AWO50" s="9"/>
      <c r="AWP50" s="9"/>
      <c r="AWQ50" s="9"/>
      <c r="AWR50" s="9"/>
      <c r="AWS50" s="9"/>
      <c r="AWT50" s="9"/>
      <c r="AWU50" s="9"/>
      <c r="AWV50" s="9"/>
      <c r="AWW50" s="9"/>
      <c r="AWX50" s="9"/>
      <c r="AWY50" s="9"/>
      <c r="AWZ50" s="9"/>
      <c r="AXA50" s="9"/>
      <c r="AXB50" s="9"/>
      <c r="AXC50" s="9"/>
      <c r="AXD50" s="9"/>
      <c r="AXE50" s="9"/>
      <c r="AXF50" s="9"/>
      <c r="AXG50" s="9"/>
      <c r="AXH50" s="9"/>
      <c r="AXI50" s="9"/>
      <c r="AXJ50" s="9"/>
      <c r="AXK50" s="9"/>
      <c r="AXL50" s="9"/>
      <c r="AXM50" s="9"/>
      <c r="AXN50" s="9"/>
      <c r="AXO50" s="9"/>
      <c r="AXP50" s="9"/>
      <c r="AXQ50" s="9"/>
      <c r="AXR50" s="9"/>
      <c r="AXS50" s="9"/>
      <c r="AXT50" s="9"/>
      <c r="AXU50" s="9"/>
      <c r="AXV50" s="9"/>
      <c r="AXW50" s="9"/>
      <c r="AXX50" s="9"/>
      <c r="AXY50" s="9"/>
      <c r="AXZ50" s="9"/>
      <c r="AYA50" s="9"/>
      <c r="AYB50" s="9"/>
      <c r="AYC50" s="9"/>
      <c r="AYD50" s="9"/>
      <c r="AYE50" s="9"/>
      <c r="AYF50" s="9"/>
      <c r="AYG50" s="9"/>
      <c r="AYH50" s="9"/>
      <c r="AYI50" s="9"/>
      <c r="AYJ50" s="9"/>
      <c r="AYK50" s="9"/>
      <c r="AYL50" s="9"/>
      <c r="AYM50" s="9"/>
      <c r="AYN50" s="9"/>
      <c r="AYO50" s="9"/>
      <c r="AYP50" s="9"/>
      <c r="AYQ50" s="9"/>
      <c r="AYR50" s="9"/>
      <c r="AYS50" s="9"/>
      <c r="AYT50" s="9"/>
      <c r="AYU50" s="9"/>
      <c r="AYV50" s="9"/>
      <c r="AYW50" s="9"/>
      <c r="AYX50" s="9"/>
      <c r="AYY50" s="9"/>
      <c r="AYZ50" s="9"/>
      <c r="AZA50" s="9"/>
      <c r="AZB50" s="9"/>
      <c r="AZC50" s="9"/>
      <c r="AZD50" s="9"/>
      <c r="AZE50" s="9"/>
      <c r="AZF50" s="9"/>
      <c r="AZG50" s="9"/>
      <c r="AZH50" s="9"/>
      <c r="AZI50" s="9"/>
      <c r="AZJ50" s="9"/>
      <c r="AZK50" s="9"/>
      <c r="AZL50" s="9"/>
      <c r="AZM50" s="9"/>
      <c r="AZN50" s="9"/>
      <c r="AZO50" s="9"/>
      <c r="AZP50" s="9"/>
      <c r="AZQ50" s="9"/>
      <c r="AZR50" s="9"/>
      <c r="AZS50" s="9"/>
      <c r="AZT50" s="9"/>
      <c r="AZU50" s="9"/>
      <c r="AZV50" s="9"/>
      <c r="AZW50" s="9"/>
      <c r="AZX50" s="9"/>
      <c r="AZY50" s="9"/>
      <c r="AZZ50" s="9"/>
      <c r="BAA50" s="9"/>
      <c r="BAB50" s="9"/>
      <c r="BAC50" s="9"/>
      <c r="BAD50" s="9"/>
      <c r="BAE50" s="9"/>
      <c r="BAF50" s="9"/>
      <c r="BAG50" s="9"/>
      <c r="BAH50" s="9"/>
      <c r="BAI50" s="9"/>
      <c r="BAJ50" s="9"/>
      <c r="BAK50" s="9"/>
      <c r="BAL50" s="9"/>
      <c r="BAM50" s="9"/>
      <c r="BAN50" s="9"/>
      <c r="BAO50" s="9"/>
      <c r="BAP50" s="9"/>
      <c r="BAQ50" s="9"/>
      <c r="BAR50" s="9"/>
      <c r="BAS50" s="9"/>
      <c r="BAT50" s="9"/>
      <c r="BAU50" s="9"/>
      <c r="BAV50" s="9"/>
      <c r="BAW50" s="9"/>
      <c r="BAX50" s="9"/>
      <c r="BAY50" s="9"/>
      <c r="BAZ50" s="9"/>
      <c r="BBA50" s="9"/>
      <c r="BBB50" s="9"/>
      <c r="BBC50" s="9"/>
      <c r="BBD50" s="9"/>
      <c r="BBE50" s="9"/>
      <c r="BBF50" s="9"/>
      <c r="BBG50" s="9"/>
      <c r="BBH50" s="9"/>
      <c r="BBI50" s="9"/>
      <c r="BBJ50" s="9"/>
      <c r="BBK50" s="9"/>
      <c r="BBL50" s="9"/>
      <c r="BBM50" s="9"/>
      <c r="BBN50" s="9"/>
      <c r="BBO50" s="9"/>
      <c r="BBP50" s="9"/>
      <c r="BBQ50" s="9"/>
      <c r="BBR50" s="9"/>
      <c r="BBS50" s="9"/>
      <c r="BBT50" s="9"/>
      <c r="BBU50" s="9"/>
      <c r="BBV50" s="9"/>
      <c r="BBW50" s="9"/>
      <c r="BBX50" s="9"/>
      <c r="BBY50" s="9"/>
      <c r="BBZ50" s="9"/>
      <c r="BCA50" s="9"/>
      <c r="BCB50" s="9"/>
      <c r="BCC50" s="9"/>
      <c r="BCD50" s="9"/>
      <c r="BCE50" s="9"/>
      <c r="BCF50" s="9"/>
      <c r="BCG50" s="9"/>
      <c r="BCH50" s="9"/>
      <c r="BCI50" s="9"/>
      <c r="BCJ50" s="9"/>
      <c r="BCK50" s="9"/>
      <c r="BCL50" s="9"/>
      <c r="BCM50" s="9"/>
      <c r="BCN50" s="9"/>
      <c r="BCO50" s="9"/>
      <c r="BCP50" s="9"/>
      <c r="BCQ50" s="9"/>
      <c r="BCR50" s="9"/>
      <c r="BCS50" s="9"/>
      <c r="BCT50" s="9"/>
      <c r="BCU50" s="9"/>
      <c r="BCV50" s="9"/>
      <c r="BCW50" s="9"/>
      <c r="BCX50" s="9"/>
      <c r="BCY50" s="9"/>
      <c r="BCZ50" s="9"/>
      <c r="BDA50" s="9"/>
      <c r="BDB50" s="9"/>
      <c r="BDC50" s="9"/>
      <c r="BDD50" s="9"/>
      <c r="BDE50" s="9"/>
      <c r="BDF50" s="9"/>
      <c r="BDG50" s="9"/>
      <c r="BDH50" s="9"/>
      <c r="BDI50" s="9"/>
      <c r="BDJ50" s="9"/>
      <c r="BDK50" s="9"/>
      <c r="BDL50" s="9"/>
      <c r="BDM50" s="9"/>
      <c r="BDN50" s="9"/>
      <c r="BDO50" s="9"/>
      <c r="BDP50" s="9"/>
      <c r="BDQ50" s="9"/>
      <c r="BDR50" s="9"/>
      <c r="BDS50" s="9"/>
      <c r="BDT50" s="9"/>
      <c r="BDU50" s="9"/>
      <c r="BDV50" s="9"/>
      <c r="BDW50" s="9"/>
      <c r="BDX50" s="9"/>
      <c r="BDY50" s="9"/>
      <c r="BDZ50" s="9"/>
      <c r="BEA50" s="9"/>
      <c r="BEB50" s="9"/>
      <c r="BEC50" s="9"/>
      <c r="BED50" s="9"/>
      <c r="BEE50" s="9"/>
      <c r="BEF50" s="9"/>
      <c r="BEG50" s="9"/>
      <c r="BEH50" s="9"/>
      <c r="BEI50" s="9"/>
      <c r="BEJ50" s="9"/>
      <c r="BEK50" s="9"/>
      <c r="BEL50" s="9"/>
      <c r="BEM50" s="9"/>
      <c r="BEN50" s="9"/>
      <c r="BEO50" s="9"/>
      <c r="BEP50" s="9"/>
      <c r="BEQ50" s="9"/>
      <c r="BER50" s="9"/>
      <c r="BES50" s="9"/>
      <c r="BET50" s="9"/>
      <c r="BEU50" s="9"/>
      <c r="BEV50" s="9"/>
      <c r="BEW50" s="9"/>
      <c r="BEX50" s="9"/>
      <c r="BEY50" s="9"/>
      <c r="BEZ50" s="9"/>
      <c r="BFA50" s="9"/>
      <c r="BFB50" s="9"/>
      <c r="BFC50" s="9"/>
      <c r="BFD50" s="9"/>
      <c r="BFE50" s="9"/>
      <c r="BFF50" s="9"/>
      <c r="BFG50" s="9"/>
      <c r="BFH50" s="9"/>
      <c r="BFI50" s="9"/>
      <c r="BFJ50" s="9"/>
      <c r="BFK50" s="9"/>
      <c r="BFL50" s="9"/>
      <c r="BFM50" s="9"/>
      <c r="BFN50" s="9"/>
      <c r="BFO50" s="9"/>
      <c r="BFP50" s="9"/>
      <c r="BFQ50" s="9"/>
      <c r="BFR50" s="9"/>
      <c r="BFS50" s="9"/>
      <c r="BFT50" s="9"/>
      <c r="BFU50" s="9"/>
      <c r="BFV50" s="9"/>
      <c r="BFW50" s="9"/>
      <c r="BFX50" s="9"/>
      <c r="BFY50" s="9"/>
      <c r="BFZ50" s="9"/>
      <c r="BGA50" s="9"/>
      <c r="BGB50" s="9"/>
      <c r="BGC50" s="9"/>
      <c r="BGD50" s="9"/>
      <c r="BGE50" s="9"/>
      <c r="BGF50" s="9"/>
      <c r="BGG50" s="9"/>
      <c r="BGH50" s="9"/>
      <c r="BGI50" s="9"/>
      <c r="BGJ50" s="9"/>
      <c r="BGK50" s="9"/>
      <c r="BGL50" s="9"/>
      <c r="BGM50" s="9"/>
      <c r="BGN50" s="9"/>
      <c r="BGO50" s="9"/>
      <c r="BGP50" s="9"/>
      <c r="BGQ50" s="9"/>
      <c r="BGR50" s="9"/>
      <c r="BGS50" s="9"/>
      <c r="BGT50" s="9"/>
      <c r="BGU50" s="9"/>
      <c r="BGV50" s="9"/>
      <c r="BGW50" s="9"/>
      <c r="BGX50" s="9"/>
      <c r="BGY50" s="9"/>
      <c r="BGZ50" s="9"/>
      <c r="BHA50" s="9"/>
      <c r="BHB50" s="9"/>
      <c r="BHC50" s="9"/>
      <c r="BHD50" s="9"/>
      <c r="BHE50" s="9"/>
      <c r="BHF50" s="9"/>
      <c r="BHG50" s="9"/>
      <c r="BHH50" s="9"/>
      <c r="BHI50" s="9"/>
      <c r="BHJ50" s="9"/>
      <c r="BHK50" s="9"/>
      <c r="BHL50" s="9"/>
      <c r="BHM50" s="9"/>
      <c r="BHN50" s="9"/>
      <c r="BHO50" s="9"/>
      <c r="BHP50" s="9"/>
      <c r="BHQ50" s="9"/>
      <c r="BHR50" s="9"/>
      <c r="BHS50" s="9"/>
      <c r="BHT50" s="9"/>
      <c r="BHU50" s="9"/>
      <c r="BHV50" s="9"/>
      <c r="BHW50" s="9"/>
      <c r="BHX50" s="9"/>
      <c r="BHY50" s="9"/>
      <c r="BHZ50" s="9"/>
      <c r="BIA50" s="9"/>
      <c r="BIB50" s="9"/>
      <c r="BIC50" s="9"/>
      <c r="BID50" s="9"/>
      <c r="BIE50" s="9"/>
      <c r="BIF50" s="9"/>
      <c r="BIG50" s="9"/>
      <c r="BIH50" s="9"/>
      <c r="BII50" s="9"/>
      <c r="BIJ50" s="9"/>
      <c r="BIK50" s="9"/>
      <c r="BIL50" s="9"/>
      <c r="BIM50" s="9"/>
      <c r="BIN50" s="9"/>
      <c r="BIO50" s="9"/>
      <c r="BIP50" s="9"/>
      <c r="BIQ50" s="9"/>
      <c r="BIR50" s="9"/>
      <c r="BIS50" s="9"/>
      <c r="BIT50" s="9"/>
      <c r="BIU50" s="9"/>
      <c r="BIV50" s="9"/>
      <c r="BIW50" s="9"/>
      <c r="BIX50" s="9"/>
      <c r="BIY50" s="9"/>
      <c r="BIZ50" s="9"/>
      <c r="BJA50" s="9"/>
      <c r="BJB50" s="9"/>
      <c r="BJC50" s="9"/>
      <c r="BJD50" s="9"/>
      <c r="BJE50" s="9"/>
      <c r="BJF50" s="9"/>
      <c r="BJG50" s="9"/>
      <c r="BJH50" s="9"/>
      <c r="BJI50" s="9"/>
      <c r="BJJ50" s="9"/>
      <c r="BJK50" s="9"/>
      <c r="BJL50" s="9"/>
      <c r="BJM50" s="9"/>
      <c r="BJN50" s="9"/>
      <c r="BJO50" s="9"/>
      <c r="BJP50" s="9"/>
      <c r="BJQ50" s="9"/>
      <c r="BJR50" s="9"/>
      <c r="BJS50" s="9"/>
      <c r="BJT50" s="9"/>
      <c r="BJU50" s="9"/>
      <c r="BJV50" s="9"/>
      <c r="BJW50" s="9"/>
      <c r="BJX50" s="9"/>
      <c r="BJY50" s="9"/>
      <c r="BJZ50" s="9"/>
      <c r="BKA50" s="9"/>
      <c r="BKB50" s="9"/>
      <c r="BKC50" s="9"/>
      <c r="BKD50" s="9"/>
      <c r="BKE50" s="9"/>
      <c r="BKF50" s="9"/>
      <c r="BKG50" s="9"/>
      <c r="BKH50" s="9"/>
      <c r="BKI50" s="9"/>
      <c r="BKJ50" s="9"/>
      <c r="BKK50" s="9"/>
      <c r="BKL50" s="9"/>
      <c r="BKM50" s="9"/>
      <c r="BKN50" s="9"/>
      <c r="BKO50" s="9"/>
      <c r="BKP50" s="9"/>
      <c r="BKQ50" s="9"/>
      <c r="BKR50" s="9"/>
      <c r="BKS50" s="9"/>
      <c r="BKT50" s="9"/>
      <c r="BKU50" s="9"/>
      <c r="BKV50" s="9"/>
      <c r="BKW50" s="9"/>
      <c r="BKX50" s="9"/>
      <c r="BKY50" s="9"/>
      <c r="BKZ50" s="9"/>
      <c r="BLA50" s="9"/>
      <c r="BLB50" s="9"/>
      <c r="BLC50" s="9"/>
      <c r="BLD50" s="9"/>
      <c r="BLE50" s="9"/>
      <c r="BLF50" s="9"/>
      <c r="BLG50" s="9"/>
      <c r="BLH50" s="9"/>
      <c r="BLI50" s="9"/>
      <c r="BLJ50" s="9"/>
      <c r="BLK50" s="9"/>
      <c r="BLL50" s="9"/>
      <c r="BLM50" s="9"/>
      <c r="BLN50" s="9"/>
      <c r="BLO50" s="9"/>
      <c r="BLP50" s="9"/>
      <c r="BLQ50" s="9"/>
      <c r="BLR50" s="9"/>
      <c r="BLS50" s="9"/>
      <c r="BLT50" s="9"/>
      <c r="BLU50" s="9"/>
      <c r="BLV50" s="9"/>
      <c r="BLW50" s="9"/>
      <c r="BLX50" s="9"/>
      <c r="BLY50" s="9"/>
      <c r="BLZ50" s="9"/>
      <c r="BMA50" s="9"/>
      <c r="BMB50" s="9"/>
      <c r="BMC50" s="9"/>
      <c r="BMD50" s="9"/>
      <c r="BME50" s="9"/>
      <c r="BMF50" s="9"/>
      <c r="BMG50" s="9"/>
      <c r="BMH50" s="9"/>
      <c r="BMI50" s="9"/>
      <c r="BMJ50" s="9"/>
      <c r="BMK50" s="9"/>
      <c r="BML50" s="9"/>
      <c r="BMM50" s="9"/>
      <c r="BMN50" s="9"/>
      <c r="BMO50" s="9"/>
      <c r="BMP50" s="9"/>
      <c r="BMQ50" s="9"/>
      <c r="BMR50" s="9"/>
      <c r="BMS50" s="9"/>
      <c r="BMT50" s="9"/>
      <c r="BMU50" s="9"/>
      <c r="BMV50" s="9"/>
      <c r="BMW50" s="9"/>
      <c r="BMX50" s="9"/>
      <c r="BMY50" s="9"/>
      <c r="BMZ50" s="9"/>
      <c r="BNA50" s="9"/>
      <c r="BNB50" s="9"/>
      <c r="BNC50" s="9"/>
      <c r="BND50" s="9"/>
      <c r="BNE50" s="9"/>
      <c r="BNF50" s="9"/>
      <c r="BNG50" s="9"/>
      <c r="BNH50" s="9"/>
      <c r="BNI50" s="9"/>
      <c r="BNJ50" s="9"/>
      <c r="BNK50" s="9"/>
      <c r="BNL50" s="9"/>
      <c r="BNM50" s="9"/>
      <c r="BNN50" s="9"/>
      <c r="BNO50" s="9"/>
      <c r="BNP50" s="9"/>
      <c r="BNQ50" s="9"/>
      <c r="BNR50" s="9"/>
      <c r="BNS50" s="9"/>
      <c r="BNT50" s="9"/>
      <c r="BNU50" s="9"/>
      <c r="BNV50" s="9"/>
      <c r="BNW50" s="9"/>
      <c r="BNX50" s="9"/>
      <c r="BNY50" s="9"/>
      <c r="BNZ50" s="9"/>
      <c r="BOA50" s="9"/>
      <c r="BOB50" s="9"/>
      <c r="BOC50" s="9"/>
      <c r="BOD50" s="9"/>
      <c r="BOE50" s="9"/>
      <c r="BOF50" s="9"/>
      <c r="BOG50" s="9"/>
      <c r="BOH50" s="9"/>
      <c r="BOI50" s="9"/>
      <c r="BOJ50" s="9"/>
      <c r="BOK50" s="9"/>
      <c r="BOL50" s="9"/>
      <c r="BOM50" s="9"/>
      <c r="BON50" s="9"/>
      <c r="BOO50" s="9"/>
      <c r="BOP50" s="9"/>
      <c r="BOQ50" s="9"/>
      <c r="BOR50" s="9"/>
      <c r="BOS50" s="9"/>
      <c r="BOT50" s="9"/>
      <c r="BOU50" s="9"/>
      <c r="BOV50" s="9"/>
      <c r="BOW50" s="9"/>
      <c r="BOX50" s="9"/>
      <c r="BOY50" s="9"/>
      <c r="BOZ50" s="9"/>
      <c r="BPA50" s="9"/>
      <c r="BPB50" s="9"/>
      <c r="BPC50" s="9"/>
      <c r="BPD50" s="9"/>
      <c r="BPE50" s="9"/>
      <c r="BPF50" s="9"/>
      <c r="BPG50" s="9"/>
      <c r="BPH50" s="9"/>
      <c r="BPI50" s="9"/>
      <c r="BPJ50" s="9"/>
      <c r="BPK50" s="9"/>
      <c r="BPL50" s="9"/>
      <c r="BPM50" s="9"/>
      <c r="BPN50" s="9"/>
      <c r="BPO50" s="9"/>
      <c r="BPP50" s="9"/>
      <c r="BPQ50" s="9"/>
      <c r="BPR50" s="9"/>
      <c r="BPS50" s="9"/>
      <c r="BPT50" s="9"/>
      <c r="BPU50" s="9"/>
      <c r="BPV50" s="9"/>
      <c r="BPW50" s="9"/>
      <c r="BPX50" s="9"/>
      <c r="BPY50" s="9"/>
      <c r="BPZ50" s="9"/>
      <c r="BQA50" s="9"/>
      <c r="BQB50" s="9"/>
      <c r="BQC50" s="9"/>
      <c r="BQD50" s="9"/>
      <c r="BQE50" s="9"/>
      <c r="BQF50" s="9"/>
      <c r="BQG50" s="9"/>
      <c r="BQH50" s="9"/>
      <c r="BQI50" s="9"/>
      <c r="BQJ50" s="9"/>
      <c r="BQK50" s="9"/>
      <c r="BQL50" s="9"/>
      <c r="BQM50" s="9"/>
      <c r="BQN50" s="9"/>
      <c r="BQO50" s="9"/>
      <c r="BQP50" s="9"/>
      <c r="BQQ50" s="9"/>
      <c r="BQR50" s="9"/>
      <c r="BQS50" s="9"/>
      <c r="BQT50" s="9"/>
      <c r="BQU50" s="9"/>
      <c r="BQV50" s="9"/>
      <c r="BQW50" s="9"/>
      <c r="BQX50" s="9"/>
      <c r="BQY50" s="9"/>
      <c r="BQZ50" s="9"/>
      <c r="BRA50" s="9"/>
      <c r="BRB50" s="9"/>
      <c r="BRC50" s="9"/>
      <c r="BRD50" s="9"/>
      <c r="BRE50" s="9"/>
      <c r="BRF50" s="9"/>
      <c r="BRG50" s="9"/>
      <c r="BRH50" s="9"/>
      <c r="BRI50" s="9"/>
      <c r="BRJ50" s="9"/>
      <c r="BRK50" s="9"/>
      <c r="BRL50" s="9"/>
      <c r="BRM50" s="9"/>
      <c r="BRN50" s="9"/>
      <c r="BRO50" s="9"/>
      <c r="BRP50" s="9"/>
      <c r="BRQ50" s="9"/>
      <c r="BRR50" s="9"/>
      <c r="BRS50" s="9"/>
      <c r="BRT50" s="9"/>
      <c r="BRU50" s="9"/>
      <c r="BRV50" s="9"/>
      <c r="BRW50" s="9"/>
      <c r="BRX50" s="9"/>
      <c r="BRY50" s="9"/>
      <c r="BRZ50" s="9"/>
      <c r="BSA50" s="9"/>
      <c r="BSB50" s="9"/>
      <c r="BSC50" s="9"/>
      <c r="BSD50" s="9"/>
      <c r="BSE50" s="9"/>
      <c r="BSF50" s="9"/>
      <c r="BSG50" s="9"/>
      <c r="BSH50" s="9"/>
      <c r="BSI50" s="9"/>
      <c r="BSJ50" s="9"/>
      <c r="BSK50" s="9"/>
      <c r="BSL50" s="9"/>
      <c r="BSM50" s="9"/>
      <c r="BSN50" s="9"/>
      <c r="BSO50" s="9"/>
      <c r="BSP50" s="9"/>
      <c r="BSQ50" s="9"/>
      <c r="BSR50" s="9"/>
      <c r="BSS50" s="9"/>
      <c r="BST50" s="9"/>
      <c r="BSU50" s="9"/>
      <c r="BSV50" s="9"/>
      <c r="BSW50" s="9"/>
      <c r="BSX50" s="9"/>
      <c r="BSY50" s="9"/>
      <c r="BSZ50" s="9"/>
      <c r="BTA50" s="9"/>
      <c r="BTB50" s="9"/>
      <c r="BTC50" s="9"/>
      <c r="BTD50" s="9"/>
      <c r="BTE50" s="9"/>
      <c r="BTF50" s="9"/>
      <c r="BTG50" s="9"/>
      <c r="BTH50" s="9"/>
      <c r="BTI50" s="9"/>
      <c r="BTJ50" s="9"/>
      <c r="BTK50" s="9"/>
      <c r="BTL50" s="9"/>
      <c r="BTM50" s="9"/>
      <c r="BTN50" s="9"/>
      <c r="BTO50" s="9"/>
      <c r="BTP50" s="9"/>
      <c r="BTQ50" s="9"/>
      <c r="BTR50" s="9"/>
      <c r="BTS50" s="9"/>
      <c r="BTT50" s="9"/>
      <c r="BTU50" s="9"/>
      <c r="BTV50" s="9"/>
      <c r="BTW50" s="9"/>
      <c r="BTX50" s="9"/>
      <c r="BTY50" s="9"/>
      <c r="BTZ50" s="9"/>
      <c r="BUA50" s="9"/>
      <c r="BUB50" s="9"/>
      <c r="BUC50" s="9"/>
      <c r="BUD50" s="9"/>
      <c r="BUE50" s="9"/>
      <c r="BUF50" s="9"/>
      <c r="BUG50" s="9"/>
      <c r="BUH50" s="9"/>
      <c r="BUI50" s="9"/>
      <c r="BUJ50" s="9"/>
      <c r="BUK50" s="9"/>
      <c r="BUL50" s="9"/>
      <c r="BUM50" s="9"/>
      <c r="BUN50" s="9"/>
      <c r="BUO50" s="9"/>
      <c r="BUP50" s="9"/>
      <c r="BUQ50" s="9"/>
      <c r="BUR50" s="9"/>
      <c r="BUS50" s="9"/>
      <c r="BUT50" s="9"/>
      <c r="BUU50" s="9"/>
      <c r="BUV50" s="9"/>
      <c r="BUW50" s="9"/>
      <c r="BUX50" s="9"/>
      <c r="BUY50" s="9"/>
      <c r="BUZ50" s="9"/>
      <c r="BVA50" s="9"/>
      <c r="BVB50" s="9"/>
      <c r="BVC50" s="9"/>
      <c r="BVD50" s="9"/>
      <c r="BVE50" s="9"/>
      <c r="BVF50" s="9"/>
      <c r="BVG50" s="9"/>
      <c r="BVH50" s="9"/>
      <c r="BVI50" s="9"/>
      <c r="BVJ50" s="9"/>
      <c r="BVK50" s="9"/>
      <c r="BVL50" s="9"/>
      <c r="BVM50" s="9"/>
      <c r="BVN50" s="9"/>
      <c r="BVO50" s="9"/>
      <c r="BVP50" s="9"/>
      <c r="BVQ50" s="9"/>
      <c r="BVR50" s="9"/>
      <c r="BVS50" s="9"/>
      <c r="BVT50" s="9"/>
      <c r="BVU50" s="9"/>
      <c r="BVV50" s="9"/>
      <c r="BVW50" s="9"/>
      <c r="BVX50" s="9"/>
      <c r="BVY50" s="9"/>
      <c r="BVZ50" s="9"/>
      <c r="BWA50" s="9"/>
      <c r="BWB50" s="9"/>
      <c r="BWC50" s="9"/>
      <c r="BWD50" s="9"/>
      <c r="BWE50" s="9"/>
      <c r="BWF50" s="9"/>
      <c r="BWG50" s="9"/>
      <c r="BWH50" s="9"/>
      <c r="BWI50" s="9"/>
      <c r="BWJ50" s="9"/>
      <c r="BWK50" s="9"/>
      <c r="BWL50" s="9"/>
      <c r="BWM50" s="9"/>
      <c r="BWN50" s="9"/>
      <c r="BWO50" s="9"/>
      <c r="BWP50" s="9"/>
      <c r="BWQ50" s="9"/>
      <c r="BWR50" s="9"/>
      <c r="BWS50" s="9"/>
      <c r="BWT50" s="9"/>
      <c r="BWU50" s="9"/>
      <c r="BWV50" s="9"/>
      <c r="BWW50" s="9"/>
      <c r="BWX50" s="9"/>
      <c r="BWY50" s="9"/>
      <c r="BWZ50" s="9"/>
      <c r="BXA50" s="9"/>
      <c r="BXB50" s="9"/>
      <c r="BXC50" s="9"/>
      <c r="BXD50" s="9"/>
      <c r="BXE50" s="9"/>
      <c r="BXF50" s="9"/>
      <c r="BXG50" s="9"/>
      <c r="BXH50" s="9"/>
      <c r="BXI50" s="9"/>
      <c r="BXJ50" s="9"/>
      <c r="BXK50" s="9"/>
      <c r="BXL50" s="9"/>
      <c r="BXM50" s="9"/>
      <c r="BXN50" s="9"/>
      <c r="BXO50" s="9"/>
      <c r="BXP50" s="9"/>
      <c r="BXQ50" s="9"/>
      <c r="BXR50" s="9"/>
      <c r="BXS50" s="9"/>
      <c r="BXT50" s="9"/>
      <c r="BXU50" s="9"/>
      <c r="BXV50" s="9"/>
      <c r="BXW50" s="9"/>
      <c r="BXX50" s="9"/>
      <c r="BXY50" s="9"/>
      <c r="BXZ50" s="9"/>
      <c r="BYA50" s="9"/>
      <c r="BYB50" s="9"/>
      <c r="BYC50" s="9"/>
      <c r="BYD50" s="9"/>
      <c r="BYE50" s="9"/>
      <c r="BYF50" s="9"/>
      <c r="BYG50" s="9"/>
      <c r="BYH50" s="9"/>
      <c r="BYI50" s="9"/>
      <c r="BYJ50" s="9"/>
      <c r="BYK50" s="9"/>
      <c r="BYL50" s="9"/>
      <c r="BYM50" s="9"/>
      <c r="BYN50" s="9"/>
      <c r="BYO50" s="9"/>
      <c r="BYP50" s="9"/>
      <c r="BYQ50" s="9"/>
      <c r="BYR50" s="9"/>
      <c r="BYS50" s="9"/>
      <c r="BYT50" s="9"/>
      <c r="BYU50" s="9"/>
      <c r="BYV50" s="9"/>
      <c r="BYW50" s="9"/>
      <c r="BYX50" s="9"/>
      <c r="BYY50" s="9"/>
      <c r="BYZ50" s="9"/>
      <c r="BZA50" s="9"/>
      <c r="BZB50" s="9"/>
      <c r="BZC50" s="9"/>
      <c r="BZD50" s="9"/>
      <c r="BZE50" s="9"/>
      <c r="BZF50" s="9"/>
      <c r="BZG50" s="9"/>
      <c r="BZH50" s="9"/>
      <c r="BZI50" s="9"/>
      <c r="BZJ50" s="9"/>
      <c r="BZK50" s="9"/>
      <c r="BZL50" s="9"/>
      <c r="BZM50" s="9"/>
      <c r="BZN50" s="9"/>
      <c r="BZO50" s="9"/>
      <c r="BZP50" s="9"/>
      <c r="BZQ50" s="9"/>
      <c r="BZR50" s="9"/>
      <c r="BZS50" s="9"/>
      <c r="BZT50" s="9"/>
      <c r="BZU50" s="9"/>
      <c r="BZV50" s="9"/>
      <c r="BZW50" s="9"/>
      <c r="BZX50" s="9"/>
      <c r="BZY50" s="9"/>
      <c r="BZZ50" s="9"/>
      <c r="CAA50" s="9"/>
      <c r="CAB50" s="9"/>
      <c r="CAC50" s="9"/>
      <c r="CAD50" s="9"/>
      <c r="CAE50" s="9"/>
      <c r="CAF50" s="9"/>
      <c r="CAG50" s="9"/>
      <c r="CAH50" s="9"/>
      <c r="CAI50" s="9"/>
      <c r="CAJ50" s="9"/>
      <c r="CAK50" s="9"/>
      <c r="CAL50" s="9"/>
      <c r="CAM50" s="9"/>
      <c r="CAN50" s="9"/>
      <c r="CAO50" s="9"/>
      <c r="CAP50" s="9"/>
      <c r="CAQ50" s="9"/>
      <c r="CAR50" s="9"/>
      <c r="CAS50" s="9"/>
      <c r="CAT50" s="9"/>
      <c r="CAU50" s="9"/>
      <c r="CAV50" s="9"/>
      <c r="CAW50" s="9"/>
      <c r="CAX50" s="9"/>
      <c r="CAY50" s="9"/>
      <c r="CAZ50" s="9"/>
      <c r="CBA50" s="9"/>
      <c r="CBB50" s="9"/>
      <c r="CBC50" s="9"/>
      <c r="CBD50" s="9"/>
      <c r="CBE50" s="9"/>
      <c r="CBF50" s="9"/>
      <c r="CBG50" s="9"/>
      <c r="CBH50" s="9"/>
      <c r="CBI50" s="9"/>
      <c r="CBJ50" s="9"/>
      <c r="CBK50" s="9"/>
      <c r="CBL50" s="9"/>
      <c r="CBM50" s="9"/>
      <c r="CBN50" s="9"/>
      <c r="CBO50" s="9"/>
      <c r="CBP50" s="9"/>
      <c r="CBQ50" s="9"/>
      <c r="CBR50" s="9"/>
      <c r="CBS50" s="9"/>
      <c r="CBT50" s="9"/>
      <c r="CBU50" s="9"/>
      <c r="CBV50" s="9"/>
      <c r="CBW50" s="9"/>
      <c r="CBX50" s="9"/>
      <c r="CBY50" s="9"/>
      <c r="CBZ50" s="9"/>
      <c r="CCA50" s="9"/>
      <c r="CCB50" s="9"/>
      <c r="CCC50" s="9"/>
      <c r="CCD50" s="9"/>
      <c r="CCE50" s="9"/>
      <c r="CCF50" s="9"/>
      <c r="CCG50" s="9"/>
      <c r="CCH50" s="9"/>
      <c r="CCI50" s="9"/>
      <c r="CCJ50" s="9"/>
      <c r="CCK50" s="9"/>
      <c r="CCL50" s="9"/>
      <c r="CCM50" s="9"/>
      <c r="CCN50" s="9"/>
      <c r="CCO50" s="9"/>
      <c r="CCP50" s="9"/>
      <c r="CCQ50" s="9"/>
      <c r="CCR50" s="9"/>
      <c r="CCS50" s="9"/>
      <c r="CCT50" s="9"/>
      <c r="CCU50" s="9"/>
      <c r="CCV50" s="9"/>
      <c r="CCW50" s="9"/>
      <c r="CCX50" s="9"/>
      <c r="CCY50" s="9"/>
      <c r="CCZ50" s="9"/>
      <c r="CDA50" s="9"/>
      <c r="CDB50" s="9"/>
      <c r="CDC50" s="9"/>
      <c r="CDD50" s="9"/>
      <c r="CDE50" s="9"/>
      <c r="CDF50" s="9"/>
      <c r="CDG50" s="9"/>
      <c r="CDH50" s="9"/>
      <c r="CDI50" s="9"/>
      <c r="CDJ50" s="9"/>
      <c r="CDK50" s="9"/>
      <c r="CDL50" s="9"/>
      <c r="CDM50" s="9"/>
      <c r="CDN50" s="9"/>
      <c r="CDO50" s="9"/>
      <c r="CDP50" s="9"/>
      <c r="CDQ50" s="9"/>
      <c r="CDR50" s="9"/>
      <c r="CDS50" s="9"/>
      <c r="CDT50" s="9"/>
      <c r="CDU50" s="9"/>
      <c r="CDV50" s="9"/>
      <c r="CDW50" s="9"/>
      <c r="CDX50" s="9"/>
      <c r="CDY50" s="9"/>
      <c r="CDZ50" s="9"/>
      <c r="CEA50" s="9"/>
      <c r="CEB50" s="9"/>
      <c r="CEC50" s="9"/>
      <c r="CED50" s="9"/>
      <c r="CEE50" s="9"/>
      <c r="CEF50" s="9"/>
      <c r="CEG50" s="9"/>
      <c r="CEH50" s="9"/>
      <c r="CEI50" s="9"/>
      <c r="CEJ50" s="9"/>
      <c r="CEK50" s="9"/>
      <c r="CEL50" s="9"/>
      <c r="CEM50" s="9"/>
      <c r="CEN50" s="9"/>
      <c r="CEO50" s="9"/>
      <c r="CEP50" s="9"/>
      <c r="CEQ50" s="9"/>
      <c r="CER50" s="9"/>
      <c r="CES50" s="9"/>
      <c r="CET50" s="9"/>
      <c r="CEU50" s="9"/>
      <c r="CEV50" s="9"/>
      <c r="CEW50" s="9"/>
      <c r="CEX50" s="9"/>
      <c r="CEY50" s="9"/>
      <c r="CEZ50" s="9"/>
      <c r="CFA50" s="9"/>
      <c r="CFB50" s="9"/>
      <c r="CFC50" s="9"/>
      <c r="CFD50" s="9"/>
      <c r="CFE50" s="9"/>
      <c r="CFF50" s="9"/>
      <c r="CFG50" s="9"/>
      <c r="CFH50" s="9"/>
      <c r="CFI50" s="9"/>
      <c r="CFJ50" s="9"/>
      <c r="CFK50" s="9"/>
      <c r="CFL50" s="9"/>
      <c r="CFM50" s="9"/>
      <c r="CFN50" s="9"/>
      <c r="CFO50" s="9"/>
      <c r="CFP50" s="9"/>
      <c r="CFQ50" s="9"/>
      <c r="CFR50" s="9"/>
      <c r="CFS50" s="9"/>
      <c r="CFT50" s="9"/>
      <c r="CFU50" s="9"/>
      <c r="CFV50" s="9"/>
      <c r="CFW50" s="9"/>
      <c r="CFX50" s="9"/>
      <c r="CFY50" s="9"/>
      <c r="CFZ50" s="9"/>
      <c r="CGA50" s="9"/>
      <c r="CGB50" s="9"/>
      <c r="CGC50" s="9"/>
      <c r="CGD50" s="9"/>
      <c r="CGE50" s="9"/>
      <c r="CGF50" s="9"/>
      <c r="CGG50" s="9"/>
      <c r="CGH50" s="9"/>
      <c r="CGI50" s="9"/>
      <c r="CGJ50" s="9"/>
      <c r="CGK50" s="9"/>
      <c r="CGL50" s="9"/>
      <c r="CGM50" s="9"/>
      <c r="CGN50" s="9"/>
      <c r="CGO50" s="9"/>
      <c r="CGP50" s="9"/>
      <c r="CGQ50" s="9"/>
      <c r="CGR50" s="9"/>
      <c r="CGS50" s="9"/>
      <c r="CGT50" s="9"/>
      <c r="CGU50" s="9"/>
      <c r="CGV50" s="9"/>
      <c r="CGW50" s="9"/>
      <c r="CGX50" s="9"/>
      <c r="CGY50" s="9"/>
      <c r="CGZ50" s="9"/>
      <c r="CHA50" s="9"/>
      <c r="CHB50" s="9"/>
      <c r="CHC50" s="9"/>
      <c r="CHD50" s="9"/>
      <c r="CHE50" s="9"/>
      <c r="CHF50" s="9"/>
      <c r="CHG50" s="9"/>
      <c r="CHH50" s="9"/>
      <c r="CHI50" s="9"/>
      <c r="CHJ50" s="9"/>
      <c r="CHK50" s="9"/>
      <c r="CHL50" s="9"/>
      <c r="CHM50" s="9"/>
      <c r="CHN50" s="9"/>
      <c r="CHO50" s="9"/>
      <c r="CHP50" s="9"/>
      <c r="CHQ50" s="9"/>
      <c r="CHR50" s="9"/>
      <c r="CHS50" s="9"/>
      <c r="CHT50" s="9"/>
      <c r="CHU50" s="9"/>
      <c r="CHV50" s="9"/>
      <c r="CHW50" s="9"/>
      <c r="CHX50" s="9"/>
      <c r="CHY50" s="9"/>
      <c r="CHZ50" s="9"/>
      <c r="CIA50" s="9"/>
      <c r="CIB50" s="9"/>
      <c r="CIC50" s="9"/>
      <c r="CID50" s="9"/>
      <c r="CIE50" s="9"/>
      <c r="CIF50" s="9"/>
      <c r="CIG50" s="9"/>
      <c r="CIH50" s="9"/>
      <c r="CII50" s="9"/>
      <c r="CIJ50" s="9"/>
      <c r="CIK50" s="9"/>
      <c r="CIL50" s="9"/>
      <c r="CIM50" s="9"/>
      <c r="CIN50" s="9"/>
      <c r="CIO50" s="9"/>
      <c r="CIP50" s="9"/>
      <c r="CIQ50" s="9"/>
      <c r="CIR50" s="9"/>
      <c r="CIS50" s="9"/>
      <c r="CIT50" s="9"/>
      <c r="CIU50" s="9"/>
      <c r="CIV50" s="9"/>
      <c r="CIW50" s="9"/>
      <c r="CIX50" s="9"/>
      <c r="CIY50" s="9"/>
      <c r="CIZ50" s="9"/>
      <c r="CJA50" s="9"/>
      <c r="CJB50" s="9"/>
      <c r="CJC50" s="9"/>
      <c r="CJD50" s="9"/>
      <c r="CJE50" s="9"/>
      <c r="CJF50" s="9"/>
      <c r="CJG50" s="9"/>
      <c r="CJH50" s="9"/>
      <c r="CJI50" s="9"/>
      <c r="CJJ50" s="9"/>
      <c r="CJK50" s="9"/>
      <c r="CJL50" s="9"/>
      <c r="CJM50" s="9"/>
      <c r="CJN50" s="9"/>
      <c r="CJO50" s="9"/>
      <c r="CJP50" s="9"/>
      <c r="CJQ50" s="9"/>
      <c r="CJR50" s="9"/>
      <c r="CJS50" s="9"/>
      <c r="CJT50" s="9"/>
      <c r="CJU50" s="9"/>
      <c r="CJV50" s="9"/>
      <c r="CJW50" s="9"/>
      <c r="CJX50" s="9"/>
      <c r="CJY50" s="9"/>
      <c r="CJZ50" s="9"/>
      <c r="CKA50" s="9"/>
      <c r="CKB50" s="9"/>
      <c r="CKC50" s="9"/>
      <c r="CKD50" s="9"/>
      <c r="CKE50" s="9"/>
      <c r="CKF50" s="9"/>
      <c r="CKG50" s="9"/>
      <c r="CKH50" s="9"/>
      <c r="CKI50" s="9"/>
      <c r="CKJ50" s="9"/>
      <c r="CKK50" s="9"/>
      <c r="CKL50" s="9"/>
      <c r="CKM50" s="9"/>
      <c r="CKN50" s="9"/>
      <c r="CKO50" s="9"/>
      <c r="CKP50" s="9"/>
      <c r="CKQ50" s="9"/>
      <c r="CKR50" s="9"/>
      <c r="CKS50" s="9"/>
      <c r="CKT50" s="9"/>
      <c r="CKU50" s="9"/>
      <c r="CKV50" s="9"/>
      <c r="CKW50" s="9"/>
      <c r="CKX50" s="9"/>
      <c r="CKY50" s="9"/>
      <c r="CKZ50" s="9"/>
      <c r="CLA50" s="9"/>
      <c r="CLB50" s="9"/>
      <c r="CLC50" s="9"/>
      <c r="CLD50" s="9"/>
      <c r="CLE50" s="9"/>
      <c r="CLF50" s="9"/>
      <c r="CLG50" s="9"/>
      <c r="CLH50" s="9"/>
      <c r="CLI50" s="9"/>
      <c r="CLJ50" s="9"/>
      <c r="CLK50" s="9"/>
      <c r="CLL50" s="9"/>
      <c r="CLM50" s="9"/>
      <c r="CLN50" s="9"/>
      <c r="CLO50" s="9"/>
      <c r="CLP50" s="9"/>
      <c r="CLQ50" s="9"/>
      <c r="CLR50" s="9"/>
      <c r="CLS50" s="9"/>
      <c r="CLT50" s="9"/>
      <c r="CLU50" s="9"/>
      <c r="CLV50" s="9"/>
      <c r="CLW50" s="9"/>
      <c r="CLX50" s="9"/>
      <c r="CLY50" s="9"/>
      <c r="CLZ50" s="9"/>
      <c r="CMA50" s="9"/>
      <c r="CMB50" s="9"/>
      <c r="CMC50" s="9"/>
      <c r="CMD50" s="9"/>
      <c r="CME50" s="9"/>
      <c r="CMF50" s="9"/>
      <c r="CMG50" s="9"/>
      <c r="CMH50" s="9"/>
      <c r="CMI50" s="9"/>
      <c r="CMJ50" s="9"/>
      <c r="CMK50" s="9"/>
      <c r="CML50" s="9"/>
      <c r="CMM50" s="9"/>
      <c r="CMN50" s="9"/>
      <c r="CMO50" s="9"/>
      <c r="CMP50" s="9"/>
      <c r="CMQ50" s="9"/>
      <c r="CMR50" s="9"/>
      <c r="CMS50" s="9"/>
      <c r="CMT50" s="9"/>
      <c r="CMU50" s="9"/>
      <c r="CMV50" s="9"/>
      <c r="CMW50" s="9"/>
      <c r="CMX50" s="9"/>
      <c r="CMY50" s="9"/>
      <c r="CMZ50" s="9"/>
      <c r="CNA50" s="9"/>
      <c r="CNB50" s="9"/>
      <c r="CNC50" s="9"/>
      <c r="CND50" s="9"/>
      <c r="CNE50" s="9"/>
      <c r="CNF50" s="9"/>
      <c r="CNG50" s="9"/>
      <c r="CNH50" s="9"/>
      <c r="CNI50" s="9"/>
      <c r="CNJ50" s="9"/>
      <c r="CNK50" s="9"/>
      <c r="CNL50" s="9"/>
      <c r="CNM50" s="9"/>
      <c r="CNN50" s="9"/>
      <c r="CNO50" s="9"/>
      <c r="CNP50" s="9"/>
      <c r="CNQ50" s="9"/>
      <c r="CNR50" s="9"/>
      <c r="CNS50" s="9"/>
      <c r="CNT50" s="9"/>
      <c r="CNU50" s="9"/>
      <c r="CNV50" s="9"/>
      <c r="CNW50" s="9"/>
      <c r="CNX50" s="9"/>
      <c r="CNY50" s="9"/>
      <c r="CNZ50" s="9"/>
      <c r="COA50" s="9"/>
      <c r="COB50" s="9"/>
      <c r="COC50" s="9"/>
      <c r="COD50" s="9"/>
      <c r="COE50" s="9"/>
      <c r="COF50" s="9"/>
      <c r="COG50" s="9"/>
      <c r="COH50" s="9"/>
      <c r="COI50" s="9"/>
      <c r="COJ50" s="9"/>
      <c r="COK50" s="9"/>
      <c r="COL50" s="9"/>
      <c r="COM50" s="9"/>
      <c r="CON50" s="9"/>
      <c r="COO50" s="9"/>
      <c r="COP50" s="9"/>
      <c r="COQ50" s="9"/>
      <c r="COR50" s="9"/>
      <c r="COS50" s="9"/>
      <c r="COT50" s="9"/>
      <c r="COU50" s="9"/>
      <c r="COV50" s="9"/>
      <c r="COW50" s="9"/>
      <c r="COX50" s="9"/>
      <c r="COY50" s="9"/>
      <c r="COZ50" s="9"/>
      <c r="CPA50" s="9"/>
      <c r="CPB50" s="9"/>
      <c r="CPC50" s="9"/>
      <c r="CPD50" s="9"/>
      <c r="CPE50" s="9"/>
      <c r="CPF50" s="9"/>
      <c r="CPG50" s="9"/>
      <c r="CPH50" s="9"/>
      <c r="CPI50" s="9"/>
      <c r="CPJ50" s="9"/>
      <c r="CPK50" s="9"/>
      <c r="CPL50" s="9"/>
      <c r="CPM50" s="9"/>
      <c r="CPN50" s="9"/>
      <c r="CPO50" s="9"/>
      <c r="CPP50" s="9"/>
      <c r="CPQ50" s="9"/>
      <c r="CPR50" s="9"/>
      <c r="CPS50" s="9"/>
      <c r="CPT50" s="9"/>
      <c r="CPU50" s="9"/>
      <c r="CPV50" s="9"/>
      <c r="CPW50" s="9"/>
      <c r="CPX50" s="9"/>
      <c r="CPY50" s="9"/>
      <c r="CPZ50" s="9"/>
      <c r="CQA50" s="9"/>
      <c r="CQB50" s="9"/>
      <c r="CQC50" s="9"/>
      <c r="CQD50" s="9"/>
      <c r="CQE50" s="9"/>
      <c r="CQF50" s="9"/>
      <c r="CQG50" s="9"/>
      <c r="CQH50" s="9"/>
      <c r="CQI50" s="9"/>
      <c r="CQJ50" s="9"/>
      <c r="CQK50" s="9"/>
      <c r="CQL50" s="9"/>
      <c r="CQM50" s="9"/>
      <c r="CQN50" s="9"/>
      <c r="CQO50" s="9"/>
      <c r="CQP50" s="9"/>
      <c r="CQQ50" s="9"/>
      <c r="CQR50" s="9"/>
      <c r="CQS50" s="9"/>
      <c r="CQT50" s="9"/>
      <c r="CQU50" s="9"/>
      <c r="CQV50" s="9"/>
      <c r="CQW50" s="9"/>
      <c r="CQX50" s="9"/>
      <c r="CQY50" s="9"/>
      <c r="CQZ50" s="9"/>
      <c r="CRA50" s="9"/>
      <c r="CRB50" s="9"/>
      <c r="CRC50" s="9"/>
      <c r="CRD50" s="9"/>
      <c r="CRE50" s="9"/>
      <c r="CRF50" s="9"/>
      <c r="CRG50" s="9"/>
      <c r="CRH50" s="9"/>
      <c r="CRI50" s="9"/>
      <c r="CRJ50" s="9"/>
      <c r="CRK50" s="9"/>
      <c r="CRL50" s="9"/>
      <c r="CRM50" s="9"/>
      <c r="CRN50" s="9"/>
      <c r="CRO50" s="9"/>
      <c r="CRP50" s="9"/>
      <c r="CRQ50" s="9"/>
      <c r="CRR50" s="9"/>
      <c r="CRS50" s="9"/>
      <c r="CRT50" s="9"/>
      <c r="CRU50" s="9"/>
      <c r="CRV50" s="9"/>
      <c r="CRW50" s="9"/>
      <c r="CRX50" s="9"/>
      <c r="CRY50" s="9"/>
      <c r="CRZ50" s="9"/>
      <c r="CSA50" s="9"/>
      <c r="CSB50" s="9"/>
      <c r="CSC50" s="9"/>
      <c r="CSD50" s="9"/>
      <c r="CSE50" s="9"/>
      <c r="CSF50" s="9"/>
      <c r="CSG50" s="9"/>
      <c r="CSH50" s="9"/>
      <c r="CSI50" s="9"/>
      <c r="CSJ50" s="9"/>
      <c r="CSK50" s="9"/>
      <c r="CSL50" s="9"/>
      <c r="CSM50" s="9"/>
      <c r="CSN50" s="9"/>
      <c r="CSO50" s="9"/>
      <c r="CSP50" s="9"/>
      <c r="CSQ50" s="9"/>
      <c r="CSR50" s="9"/>
      <c r="CSS50" s="9"/>
      <c r="CST50" s="9"/>
      <c r="CSU50" s="9"/>
      <c r="CSV50" s="9"/>
      <c r="CSW50" s="9"/>
      <c r="CSX50" s="9"/>
      <c r="CSY50" s="9"/>
      <c r="CSZ50" s="9"/>
      <c r="CTA50" s="9"/>
      <c r="CTB50" s="9"/>
      <c r="CTC50" s="9"/>
      <c r="CTD50" s="9"/>
      <c r="CTE50" s="9"/>
      <c r="CTF50" s="9"/>
      <c r="CTG50" s="9"/>
      <c r="CTH50" s="9"/>
      <c r="CTI50" s="9"/>
      <c r="CTJ50" s="9"/>
      <c r="CTK50" s="9"/>
      <c r="CTL50" s="9"/>
      <c r="CTM50" s="9"/>
      <c r="CTN50" s="9"/>
      <c r="CTO50" s="9"/>
      <c r="CTP50" s="9"/>
      <c r="CTQ50" s="9"/>
      <c r="CTR50" s="9"/>
      <c r="CTS50" s="9"/>
      <c r="CTT50" s="9"/>
      <c r="CTU50" s="9"/>
      <c r="CTV50" s="9"/>
      <c r="CTW50" s="9"/>
      <c r="CTX50" s="9"/>
      <c r="CTY50" s="9"/>
      <c r="CTZ50" s="9"/>
      <c r="CUA50" s="9"/>
      <c r="CUB50" s="9"/>
      <c r="CUC50" s="9"/>
      <c r="CUD50" s="9"/>
      <c r="CUE50" s="9"/>
      <c r="CUF50" s="9"/>
      <c r="CUG50" s="9"/>
      <c r="CUH50" s="9"/>
      <c r="CUI50" s="9"/>
      <c r="CUJ50" s="9"/>
      <c r="CUK50" s="9"/>
      <c r="CUL50" s="9"/>
      <c r="CUM50" s="9"/>
      <c r="CUN50" s="9"/>
      <c r="CUO50" s="9"/>
      <c r="CUP50" s="9"/>
      <c r="CUQ50" s="9"/>
      <c r="CUR50" s="9"/>
      <c r="CUS50" s="9"/>
      <c r="CUT50" s="9"/>
      <c r="CUU50" s="9"/>
      <c r="CUV50" s="9"/>
      <c r="CUW50" s="9"/>
      <c r="CUX50" s="9"/>
      <c r="CUY50" s="9"/>
      <c r="CUZ50" s="9"/>
      <c r="CVA50" s="9"/>
      <c r="CVB50" s="9"/>
      <c r="CVC50" s="9"/>
      <c r="CVD50" s="9"/>
      <c r="CVE50" s="9"/>
      <c r="CVF50" s="9"/>
      <c r="CVG50" s="9"/>
      <c r="CVH50" s="9"/>
      <c r="CVI50" s="9"/>
      <c r="CVJ50" s="9"/>
      <c r="CVK50" s="9"/>
      <c r="CVL50" s="9"/>
      <c r="CVM50" s="9"/>
      <c r="CVN50" s="9"/>
      <c r="CVO50" s="9"/>
      <c r="CVP50" s="9"/>
      <c r="CVQ50" s="9"/>
      <c r="CVR50" s="9"/>
      <c r="CVS50" s="9"/>
      <c r="CVT50" s="9"/>
      <c r="CVU50" s="9"/>
      <c r="CVV50" s="9"/>
      <c r="CVW50" s="9"/>
      <c r="CVX50" s="9"/>
      <c r="CVY50" s="9"/>
      <c r="CVZ50" s="9"/>
      <c r="CWA50" s="9"/>
      <c r="CWB50" s="9"/>
      <c r="CWC50" s="9"/>
      <c r="CWD50" s="9"/>
      <c r="CWE50" s="9"/>
      <c r="CWF50" s="9"/>
      <c r="CWG50" s="9"/>
      <c r="CWH50" s="9"/>
      <c r="CWI50" s="9"/>
      <c r="CWJ50" s="9"/>
      <c r="CWK50" s="9"/>
      <c r="CWL50" s="9"/>
      <c r="CWM50" s="9"/>
      <c r="CWN50" s="9"/>
      <c r="CWO50" s="9"/>
      <c r="CWP50" s="9"/>
      <c r="CWQ50" s="9"/>
      <c r="CWR50" s="9"/>
      <c r="CWS50" s="9"/>
      <c r="CWT50" s="9"/>
      <c r="CWU50" s="9"/>
      <c r="CWV50" s="9"/>
      <c r="CWW50" s="9"/>
      <c r="CWX50" s="9"/>
      <c r="CWY50" s="9"/>
      <c r="CWZ50" s="9"/>
      <c r="CXA50" s="9"/>
      <c r="CXB50" s="9"/>
      <c r="CXC50" s="9"/>
      <c r="CXD50" s="9"/>
      <c r="CXE50" s="9"/>
      <c r="CXF50" s="9"/>
      <c r="CXG50" s="9"/>
      <c r="CXH50" s="9"/>
      <c r="CXI50" s="9"/>
      <c r="CXJ50" s="9"/>
      <c r="CXK50" s="9"/>
      <c r="CXL50" s="9"/>
      <c r="CXM50" s="9"/>
      <c r="CXN50" s="9"/>
      <c r="CXO50" s="9"/>
      <c r="CXP50" s="9"/>
      <c r="CXQ50" s="9"/>
      <c r="CXR50" s="9"/>
      <c r="CXS50" s="9"/>
      <c r="CXT50" s="9"/>
      <c r="CXU50" s="9"/>
      <c r="CXV50" s="9"/>
      <c r="CXW50" s="9"/>
      <c r="CXX50" s="9"/>
      <c r="CXY50" s="9"/>
      <c r="CXZ50" s="9"/>
      <c r="CYA50" s="9"/>
      <c r="CYB50" s="9"/>
      <c r="CYC50" s="9"/>
      <c r="CYD50" s="9"/>
      <c r="CYE50" s="9"/>
      <c r="CYF50" s="9"/>
      <c r="CYG50" s="9"/>
      <c r="CYH50" s="9"/>
      <c r="CYI50" s="9"/>
      <c r="CYJ50" s="9"/>
      <c r="CYK50" s="9"/>
      <c r="CYL50" s="9"/>
      <c r="CYM50" s="9"/>
      <c r="CYN50" s="9"/>
      <c r="CYO50" s="9"/>
      <c r="CYP50" s="9"/>
      <c r="CYQ50" s="9"/>
      <c r="CYR50" s="9"/>
      <c r="CYS50" s="9"/>
      <c r="CYT50" s="9"/>
      <c r="CYU50" s="9"/>
      <c r="CYV50" s="9"/>
      <c r="CYW50" s="9"/>
      <c r="CYX50" s="9"/>
      <c r="CYY50" s="9"/>
      <c r="CYZ50" s="9"/>
      <c r="CZA50" s="9"/>
      <c r="CZB50" s="9"/>
      <c r="CZC50" s="9"/>
      <c r="CZD50" s="9"/>
      <c r="CZE50" s="9"/>
      <c r="CZF50" s="9"/>
      <c r="CZG50" s="9"/>
      <c r="CZH50" s="9"/>
      <c r="CZI50" s="9"/>
      <c r="CZJ50" s="9"/>
      <c r="CZK50" s="9"/>
      <c r="CZL50" s="9"/>
      <c r="CZM50" s="9"/>
      <c r="CZN50" s="9"/>
      <c r="CZO50" s="9"/>
      <c r="CZP50" s="9"/>
      <c r="CZQ50" s="9"/>
      <c r="CZR50" s="9"/>
      <c r="CZS50" s="9"/>
      <c r="CZT50" s="9"/>
      <c r="CZU50" s="9"/>
      <c r="CZV50" s="9"/>
      <c r="CZW50" s="9"/>
      <c r="CZX50" s="9"/>
      <c r="CZY50" s="9"/>
      <c r="CZZ50" s="9"/>
      <c r="DAA50" s="9"/>
      <c r="DAB50" s="9"/>
      <c r="DAC50" s="9"/>
      <c r="DAD50" s="9"/>
      <c r="DAE50" s="9"/>
      <c r="DAF50" s="9"/>
      <c r="DAG50" s="9"/>
      <c r="DAH50" s="9"/>
      <c r="DAI50" s="9"/>
      <c r="DAJ50" s="9"/>
      <c r="DAK50" s="9"/>
      <c r="DAL50" s="9"/>
      <c r="DAM50" s="9"/>
      <c r="DAN50" s="9"/>
      <c r="DAO50" s="9"/>
      <c r="DAP50" s="9"/>
      <c r="DAQ50" s="9"/>
      <c r="DAR50" s="9"/>
      <c r="DAS50" s="9"/>
      <c r="DAT50" s="9"/>
      <c r="DAU50" s="9"/>
      <c r="DAV50" s="9"/>
      <c r="DAW50" s="9"/>
      <c r="DAX50" s="9"/>
      <c r="DAY50" s="9"/>
      <c r="DAZ50" s="9"/>
      <c r="DBA50" s="9"/>
      <c r="DBB50" s="9"/>
      <c r="DBC50" s="9"/>
      <c r="DBD50" s="9"/>
      <c r="DBE50" s="9"/>
      <c r="DBF50" s="9"/>
      <c r="DBG50" s="9"/>
      <c r="DBH50" s="9"/>
      <c r="DBI50" s="9"/>
      <c r="DBJ50" s="9"/>
      <c r="DBK50" s="9"/>
      <c r="DBL50" s="9"/>
      <c r="DBM50" s="9"/>
      <c r="DBN50" s="9"/>
      <c r="DBO50" s="9"/>
      <c r="DBP50" s="9"/>
      <c r="DBQ50" s="9"/>
      <c r="DBR50" s="9"/>
      <c r="DBS50" s="9"/>
      <c r="DBT50" s="9"/>
      <c r="DBU50" s="9"/>
      <c r="DBV50" s="9"/>
      <c r="DBW50" s="9"/>
      <c r="DBX50" s="9"/>
      <c r="DBY50" s="9"/>
      <c r="DBZ50" s="9"/>
      <c r="DCA50" s="9"/>
      <c r="DCB50" s="9"/>
      <c r="DCC50" s="9"/>
      <c r="DCD50" s="9"/>
      <c r="DCE50" s="9"/>
      <c r="DCF50" s="9"/>
      <c r="DCG50" s="9"/>
      <c r="DCH50" s="9"/>
      <c r="DCI50" s="9"/>
      <c r="DCJ50" s="9"/>
      <c r="DCK50" s="9"/>
      <c r="DCL50" s="9"/>
      <c r="DCM50" s="9"/>
      <c r="DCN50" s="9"/>
      <c r="DCO50" s="9"/>
      <c r="DCP50" s="9"/>
      <c r="DCQ50" s="9"/>
      <c r="DCR50" s="9"/>
      <c r="DCS50" s="9"/>
      <c r="DCT50" s="9"/>
      <c r="DCU50" s="9"/>
      <c r="DCV50" s="9"/>
      <c r="DCW50" s="9"/>
      <c r="DCX50" s="9"/>
      <c r="DCY50" s="9"/>
      <c r="DCZ50" s="9"/>
      <c r="DDA50" s="9"/>
      <c r="DDB50" s="9"/>
      <c r="DDC50" s="9"/>
      <c r="DDD50" s="9"/>
      <c r="DDE50" s="9"/>
      <c r="DDF50" s="9"/>
      <c r="DDG50" s="9"/>
      <c r="DDH50" s="9"/>
      <c r="DDI50" s="9"/>
      <c r="DDJ50" s="9"/>
      <c r="DDK50" s="9"/>
      <c r="DDL50" s="9"/>
      <c r="DDM50" s="9"/>
      <c r="DDN50" s="9"/>
      <c r="DDO50" s="9"/>
      <c r="DDP50" s="9"/>
      <c r="DDQ50" s="9"/>
      <c r="DDR50" s="9"/>
      <c r="DDS50" s="9"/>
      <c r="DDT50" s="9"/>
      <c r="DDU50" s="9"/>
      <c r="DDV50" s="9"/>
      <c r="DDW50" s="9"/>
      <c r="DDX50" s="9"/>
      <c r="DDY50" s="9"/>
      <c r="DDZ50" s="9"/>
      <c r="DEA50" s="9"/>
      <c r="DEB50" s="9"/>
      <c r="DEC50" s="9"/>
      <c r="DED50" s="9"/>
      <c r="DEE50" s="9"/>
      <c r="DEF50" s="9"/>
      <c r="DEG50" s="9"/>
      <c r="DEH50" s="9"/>
      <c r="DEI50" s="9"/>
      <c r="DEJ50" s="9"/>
      <c r="DEK50" s="9"/>
      <c r="DEL50" s="9"/>
      <c r="DEM50" s="9"/>
      <c r="DEN50" s="9"/>
      <c r="DEO50" s="9"/>
      <c r="DEP50" s="9"/>
      <c r="DEQ50" s="9"/>
      <c r="DER50" s="9"/>
      <c r="DES50" s="9"/>
      <c r="DET50" s="9"/>
      <c r="DEU50" s="9"/>
      <c r="DEV50" s="9"/>
      <c r="DEW50" s="9"/>
      <c r="DEX50" s="9"/>
      <c r="DEY50" s="9"/>
      <c r="DEZ50" s="9"/>
      <c r="DFA50" s="9"/>
      <c r="DFB50" s="9"/>
      <c r="DFC50" s="9"/>
      <c r="DFD50" s="9"/>
      <c r="DFE50" s="9"/>
      <c r="DFF50" s="9"/>
      <c r="DFG50" s="9"/>
      <c r="DFH50" s="9"/>
      <c r="DFI50" s="9"/>
      <c r="DFJ50" s="9"/>
      <c r="DFK50" s="9"/>
      <c r="DFL50" s="9"/>
      <c r="DFM50" s="9"/>
      <c r="DFN50" s="9"/>
      <c r="DFO50" s="9"/>
      <c r="DFP50" s="9"/>
      <c r="DFQ50" s="9"/>
      <c r="DFR50" s="9"/>
      <c r="DFS50" s="9"/>
      <c r="DFT50" s="9"/>
      <c r="DFU50" s="9"/>
      <c r="DFV50" s="9"/>
      <c r="DFW50" s="9"/>
      <c r="DFX50" s="9"/>
      <c r="DFY50" s="9"/>
      <c r="DFZ50" s="9"/>
      <c r="DGA50" s="9"/>
      <c r="DGB50" s="9"/>
      <c r="DGC50" s="9"/>
      <c r="DGD50" s="9"/>
      <c r="DGE50" s="9"/>
      <c r="DGF50" s="9"/>
      <c r="DGG50" s="9"/>
      <c r="DGH50" s="9"/>
      <c r="DGI50" s="9"/>
      <c r="DGJ50" s="9"/>
      <c r="DGK50" s="9"/>
      <c r="DGL50" s="9"/>
      <c r="DGM50" s="9"/>
      <c r="DGN50" s="9"/>
      <c r="DGO50" s="9"/>
      <c r="DGP50" s="9"/>
      <c r="DGQ50" s="9"/>
      <c r="DGR50" s="9"/>
      <c r="DGS50" s="9"/>
      <c r="DGT50" s="9"/>
      <c r="DGU50" s="9"/>
      <c r="DGV50" s="9"/>
      <c r="DGW50" s="9"/>
      <c r="DGX50" s="9"/>
      <c r="DGY50" s="9"/>
      <c r="DGZ50" s="9"/>
      <c r="DHA50" s="9"/>
      <c r="DHB50" s="9"/>
      <c r="DHC50" s="9"/>
      <c r="DHD50" s="9"/>
      <c r="DHE50" s="9"/>
      <c r="DHF50" s="9"/>
      <c r="DHG50" s="9"/>
      <c r="DHH50" s="9"/>
      <c r="DHI50" s="9"/>
      <c r="DHJ50" s="9"/>
      <c r="DHK50" s="9"/>
      <c r="DHL50" s="9"/>
      <c r="DHM50" s="9"/>
      <c r="DHN50" s="9"/>
      <c r="DHO50" s="9"/>
      <c r="DHP50" s="9"/>
      <c r="DHQ50" s="9"/>
      <c r="DHR50" s="9"/>
      <c r="DHS50" s="9"/>
      <c r="DHT50" s="9"/>
      <c r="DHU50" s="9"/>
      <c r="DHV50" s="9"/>
      <c r="DHW50" s="9"/>
      <c r="DHX50" s="9"/>
      <c r="DHY50" s="9"/>
      <c r="DHZ50" s="9"/>
      <c r="DIA50" s="9"/>
      <c r="DIB50" s="9"/>
      <c r="DIC50" s="9"/>
      <c r="DID50" s="9"/>
      <c r="DIE50" s="9"/>
      <c r="DIF50" s="9"/>
      <c r="DIG50" s="9"/>
      <c r="DIH50" s="9"/>
      <c r="DII50" s="9"/>
      <c r="DIJ50" s="9"/>
      <c r="DIK50" s="9"/>
      <c r="DIL50" s="9"/>
      <c r="DIM50" s="9"/>
      <c r="DIN50" s="9"/>
      <c r="DIO50" s="9"/>
      <c r="DIP50" s="9"/>
      <c r="DIQ50" s="9"/>
      <c r="DIR50" s="9"/>
      <c r="DIS50" s="9"/>
      <c r="DIT50" s="9"/>
      <c r="DIU50" s="9"/>
      <c r="DIV50" s="9"/>
      <c r="DIW50" s="9"/>
      <c r="DIX50" s="9"/>
      <c r="DIY50" s="9"/>
      <c r="DIZ50" s="9"/>
      <c r="DJA50" s="9"/>
      <c r="DJB50" s="9"/>
      <c r="DJC50" s="9"/>
      <c r="DJD50" s="9"/>
      <c r="DJE50" s="9"/>
      <c r="DJF50" s="9"/>
      <c r="DJG50" s="9"/>
      <c r="DJH50" s="9"/>
      <c r="DJI50" s="9"/>
      <c r="DJJ50" s="9"/>
      <c r="DJK50" s="9"/>
      <c r="DJL50" s="9"/>
      <c r="DJM50" s="9"/>
      <c r="DJN50" s="9"/>
      <c r="DJO50" s="9"/>
      <c r="DJP50" s="9"/>
      <c r="DJQ50" s="9"/>
      <c r="DJR50" s="9"/>
      <c r="DJS50" s="9"/>
      <c r="DJT50" s="9"/>
      <c r="DJU50" s="9"/>
      <c r="DJV50" s="9"/>
      <c r="DJW50" s="9"/>
      <c r="DJX50" s="9"/>
      <c r="DJY50" s="9"/>
      <c r="DJZ50" s="9"/>
      <c r="DKA50" s="9"/>
      <c r="DKB50" s="9"/>
      <c r="DKC50" s="9"/>
      <c r="DKD50" s="9"/>
      <c r="DKE50" s="9"/>
      <c r="DKF50" s="9"/>
      <c r="DKG50" s="9"/>
      <c r="DKH50" s="9"/>
      <c r="DKI50" s="9"/>
      <c r="DKJ50" s="9"/>
      <c r="DKK50" s="9"/>
      <c r="DKL50" s="9"/>
      <c r="DKM50" s="9"/>
      <c r="DKN50" s="9"/>
      <c r="DKO50" s="9"/>
      <c r="DKP50" s="9"/>
      <c r="DKQ50" s="9"/>
      <c r="DKR50" s="9"/>
      <c r="DKS50" s="9"/>
      <c r="DKT50" s="9"/>
      <c r="DKU50" s="9"/>
      <c r="DKV50" s="9"/>
      <c r="DKW50" s="9"/>
      <c r="DKX50" s="9"/>
      <c r="DKY50" s="9"/>
      <c r="DKZ50" s="9"/>
      <c r="DLA50" s="9"/>
      <c r="DLB50" s="9"/>
      <c r="DLC50" s="9"/>
      <c r="DLD50" s="9"/>
      <c r="DLE50" s="9"/>
      <c r="DLF50" s="9"/>
      <c r="DLG50" s="9"/>
      <c r="DLH50" s="9"/>
      <c r="DLI50" s="9"/>
      <c r="DLJ50" s="9"/>
      <c r="DLK50" s="9"/>
      <c r="DLL50" s="9"/>
      <c r="DLM50" s="9"/>
      <c r="DLN50" s="9"/>
      <c r="DLO50" s="9"/>
      <c r="DLP50" s="9"/>
      <c r="DLQ50" s="9"/>
      <c r="DLR50" s="9"/>
      <c r="DLS50" s="9"/>
      <c r="DLT50" s="9"/>
      <c r="DLU50" s="9"/>
      <c r="DLV50" s="9"/>
      <c r="DLW50" s="9"/>
      <c r="DLX50" s="9"/>
      <c r="DLY50" s="9"/>
      <c r="DLZ50" s="9"/>
      <c r="DMA50" s="9"/>
      <c r="DMB50" s="9"/>
      <c r="DMC50" s="9"/>
      <c r="DMD50" s="9"/>
      <c r="DME50" s="9"/>
      <c r="DMF50" s="9"/>
      <c r="DMG50" s="9"/>
      <c r="DMH50" s="9"/>
      <c r="DMI50" s="9"/>
      <c r="DMJ50" s="9"/>
      <c r="DMK50" s="9"/>
      <c r="DML50" s="9"/>
      <c r="DMM50" s="9"/>
      <c r="DMN50" s="9"/>
      <c r="DMO50" s="9"/>
      <c r="DMP50" s="9"/>
      <c r="DMQ50" s="9"/>
      <c r="DMR50" s="9"/>
      <c r="DMS50" s="9"/>
      <c r="DMT50" s="9"/>
      <c r="DMU50" s="9"/>
      <c r="DMV50" s="9"/>
      <c r="DMW50" s="9"/>
      <c r="DMX50" s="9"/>
      <c r="DMY50" s="9"/>
      <c r="DMZ50" s="9"/>
      <c r="DNA50" s="9"/>
      <c r="DNB50" s="9"/>
      <c r="DNC50" s="9"/>
      <c r="DND50" s="9"/>
      <c r="DNE50" s="9"/>
      <c r="DNF50" s="9"/>
      <c r="DNG50" s="9"/>
      <c r="DNH50" s="9"/>
      <c r="DNI50" s="9"/>
      <c r="DNJ50" s="9"/>
      <c r="DNK50" s="9"/>
      <c r="DNL50" s="9"/>
      <c r="DNM50" s="9"/>
      <c r="DNN50" s="9"/>
      <c r="DNO50" s="9"/>
      <c r="DNP50" s="9"/>
      <c r="DNQ50" s="9"/>
      <c r="DNR50" s="9"/>
      <c r="DNS50" s="9"/>
      <c r="DNT50" s="9"/>
      <c r="DNU50" s="9"/>
      <c r="DNV50" s="9"/>
      <c r="DNW50" s="9"/>
      <c r="DNX50" s="9"/>
      <c r="DNY50" s="9"/>
      <c r="DNZ50" s="9"/>
      <c r="DOA50" s="9"/>
      <c r="DOB50" s="9"/>
      <c r="DOC50" s="9"/>
      <c r="DOD50" s="9"/>
      <c r="DOE50" s="9"/>
      <c r="DOF50" s="9"/>
      <c r="DOG50" s="9"/>
      <c r="DOH50" s="9"/>
      <c r="DOI50" s="9"/>
      <c r="DOJ50" s="9"/>
      <c r="DOK50" s="9"/>
      <c r="DOL50" s="9"/>
      <c r="DOM50" s="9"/>
      <c r="DON50" s="9"/>
      <c r="DOO50" s="9"/>
      <c r="DOP50" s="9"/>
      <c r="DOQ50" s="9"/>
      <c r="DOR50" s="9"/>
      <c r="DOS50" s="9"/>
      <c r="DOT50" s="9"/>
      <c r="DOU50" s="9"/>
      <c r="DOV50" s="9"/>
      <c r="DOW50" s="9"/>
      <c r="DOX50" s="9"/>
      <c r="DOY50" s="9"/>
      <c r="DOZ50" s="9"/>
      <c r="DPA50" s="9"/>
      <c r="DPB50" s="9"/>
      <c r="DPC50" s="9"/>
      <c r="DPD50" s="9"/>
      <c r="DPE50" s="9"/>
      <c r="DPF50" s="9"/>
      <c r="DPG50" s="9"/>
      <c r="DPH50" s="9"/>
      <c r="DPI50" s="9"/>
      <c r="DPJ50" s="9"/>
      <c r="DPK50" s="9"/>
      <c r="DPL50" s="9"/>
      <c r="DPM50" s="9"/>
      <c r="DPN50" s="9"/>
      <c r="DPO50" s="9"/>
      <c r="DPP50" s="9"/>
      <c r="DPQ50" s="9"/>
      <c r="DPR50" s="9"/>
      <c r="DPS50" s="9"/>
      <c r="DPT50" s="9"/>
      <c r="DPU50" s="9"/>
      <c r="DPV50" s="9"/>
      <c r="DPW50" s="9"/>
      <c r="DPX50" s="9"/>
      <c r="DPY50" s="9"/>
      <c r="DPZ50" s="9"/>
      <c r="DQA50" s="9"/>
      <c r="DQB50" s="9"/>
      <c r="DQC50" s="9"/>
      <c r="DQD50" s="9"/>
      <c r="DQE50" s="9"/>
      <c r="DQF50" s="9"/>
      <c r="DQG50" s="9"/>
      <c r="DQH50" s="9"/>
      <c r="DQI50" s="9"/>
      <c r="DQJ50" s="9"/>
      <c r="DQK50" s="9"/>
      <c r="DQL50" s="9"/>
      <c r="DQM50" s="9"/>
      <c r="DQN50" s="9"/>
      <c r="DQO50" s="9"/>
      <c r="DQP50" s="9"/>
      <c r="DQQ50" s="9"/>
      <c r="DQR50" s="9"/>
      <c r="DQS50" s="9"/>
      <c r="DQT50" s="9"/>
      <c r="DQU50" s="9"/>
      <c r="DQV50" s="9"/>
      <c r="DQW50" s="9"/>
      <c r="DQX50" s="9"/>
      <c r="DQY50" s="9"/>
      <c r="DQZ50" s="9"/>
      <c r="DRA50" s="9"/>
      <c r="DRB50" s="9"/>
      <c r="DRC50" s="9"/>
      <c r="DRD50" s="9"/>
      <c r="DRE50" s="9"/>
      <c r="DRF50" s="9"/>
      <c r="DRG50" s="9"/>
      <c r="DRH50" s="9"/>
      <c r="DRI50" s="9"/>
      <c r="DRJ50" s="9"/>
      <c r="DRK50" s="9"/>
      <c r="DRL50" s="9"/>
      <c r="DRM50" s="9"/>
      <c r="DRN50" s="9"/>
      <c r="DRO50" s="9"/>
      <c r="DRP50" s="9"/>
      <c r="DRQ50" s="9"/>
      <c r="DRR50" s="9"/>
      <c r="DRS50" s="9"/>
      <c r="DRT50" s="9"/>
      <c r="DRU50" s="9"/>
      <c r="DRV50" s="9"/>
      <c r="DRW50" s="9"/>
      <c r="DRX50" s="9"/>
      <c r="DRY50" s="9"/>
      <c r="DRZ50" s="9"/>
      <c r="DSA50" s="9"/>
      <c r="DSB50" s="9"/>
      <c r="DSC50" s="9"/>
      <c r="DSD50" s="9"/>
      <c r="DSE50" s="9"/>
      <c r="DSF50" s="9"/>
      <c r="DSG50" s="9"/>
      <c r="DSH50" s="9"/>
      <c r="DSI50" s="9"/>
      <c r="DSJ50" s="9"/>
      <c r="DSK50" s="9"/>
      <c r="DSL50" s="9"/>
      <c r="DSM50" s="9"/>
      <c r="DSN50" s="9"/>
      <c r="DSO50" s="9"/>
      <c r="DSP50" s="9"/>
      <c r="DSQ50" s="9"/>
      <c r="DSR50" s="9"/>
      <c r="DSS50" s="9"/>
      <c r="DST50" s="9"/>
      <c r="DSU50" s="9"/>
      <c r="DSV50" s="9"/>
      <c r="DSW50" s="9"/>
      <c r="DSX50" s="9"/>
      <c r="DSY50" s="9"/>
      <c r="DSZ50" s="9"/>
      <c r="DTA50" s="9"/>
      <c r="DTB50" s="9"/>
      <c r="DTC50" s="9"/>
      <c r="DTD50" s="9"/>
      <c r="DTE50" s="9"/>
      <c r="DTF50" s="9"/>
      <c r="DTG50" s="9"/>
      <c r="DTH50" s="9"/>
      <c r="DTI50" s="9"/>
      <c r="DTJ50" s="9"/>
      <c r="DTK50" s="9"/>
      <c r="DTL50" s="9"/>
      <c r="DTM50" s="9"/>
      <c r="DTN50" s="9"/>
      <c r="DTO50" s="9"/>
      <c r="DTP50" s="9"/>
      <c r="DTQ50" s="9"/>
      <c r="DTR50" s="9"/>
      <c r="DTS50" s="9"/>
      <c r="DTT50" s="9"/>
      <c r="DTU50" s="9"/>
      <c r="DTV50" s="9"/>
      <c r="DTW50" s="9"/>
      <c r="DTX50" s="9"/>
      <c r="DTY50" s="9"/>
      <c r="DTZ50" s="9"/>
      <c r="DUA50" s="9"/>
      <c r="DUB50" s="9"/>
      <c r="DUC50" s="9"/>
      <c r="DUD50" s="9"/>
      <c r="DUE50" s="9"/>
      <c r="DUF50" s="9"/>
      <c r="DUG50" s="9"/>
      <c r="DUH50" s="9"/>
      <c r="DUI50" s="9"/>
      <c r="DUJ50" s="9"/>
      <c r="DUK50" s="9"/>
      <c r="DUL50" s="9"/>
      <c r="DUM50" s="9"/>
      <c r="DUN50" s="9"/>
      <c r="DUO50" s="9"/>
      <c r="DUP50" s="9"/>
      <c r="DUQ50" s="9"/>
      <c r="DUR50" s="9"/>
      <c r="DUS50" s="9"/>
      <c r="DUT50" s="9"/>
      <c r="DUU50" s="9"/>
      <c r="DUV50" s="9"/>
      <c r="DUW50" s="9"/>
      <c r="DUX50" s="9"/>
      <c r="DUY50" s="9"/>
      <c r="DUZ50" s="9"/>
      <c r="DVA50" s="9"/>
      <c r="DVB50" s="9"/>
      <c r="DVC50" s="9"/>
      <c r="DVD50" s="9"/>
      <c r="DVE50" s="9"/>
      <c r="DVF50" s="9"/>
      <c r="DVG50" s="9"/>
      <c r="DVH50" s="9"/>
      <c r="DVI50" s="9"/>
      <c r="DVJ50" s="9"/>
      <c r="DVK50" s="9"/>
      <c r="DVL50" s="9"/>
      <c r="DVM50" s="9"/>
      <c r="DVN50" s="9"/>
      <c r="DVO50" s="9"/>
      <c r="DVP50" s="9"/>
      <c r="DVQ50" s="9"/>
      <c r="DVR50" s="9"/>
      <c r="DVS50" s="9"/>
      <c r="DVT50" s="9"/>
      <c r="DVU50" s="9"/>
      <c r="DVV50" s="9"/>
      <c r="DVW50" s="9"/>
      <c r="DVX50" s="9"/>
      <c r="DVY50" s="9"/>
      <c r="DVZ50" s="9"/>
      <c r="DWA50" s="9"/>
      <c r="DWB50" s="9"/>
      <c r="DWC50" s="9"/>
      <c r="DWD50" s="9"/>
      <c r="DWE50" s="9"/>
      <c r="DWF50" s="9"/>
      <c r="DWG50" s="9"/>
      <c r="DWH50" s="9"/>
      <c r="DWI50" s="9"/>
      <c r="DWJ50" s="9"/>
      <c r="DWK50" s="9"/>
      <c r="DWL50" s="9"/>
      <c r="DWM50" s="9"/>
      <c r="DWN50" s="9"/>
      <c r="DWO50" s="9"/>
      <c r="DWP50" s="9"/>
      <c r="DWQ50" s="9"/>
      <c r="DWR50" s="9"/>
      <c r="DWS50" s="9"/>
      <c r="DWT50" s="9"/>
      <c r="DWU50" s="9"/>
      <c r="DWV50" s="9"/>
      <c r="DWW50" s="9"/>
      <c r="DWX50" s="9"/>
      <c r="DWY50" s="9"/>
      <c r="DWZ50" s="9"/>
      <c r="DXA50" s="9"/>
      <c r="DXB50" s="9"/>
      <c r="DXC50" s="9"/>
      <c r="DXD50" s="9"/>
      <c r="DXE50" s="9"/>
      <c r="DXF50" s="9"/>
      <c r="DXG50" s="9"/>
      <c r="DXH50" s="9"/>
      <c r="DXI50" s="9"/>
      <c r="DXJ50" s="9"/>
      <c r="DXK50" s="9"/>
      <c r="DXL50" s="9"/>
      <c r="DXM50" s="9"/>
      <c r="DXN50" s="9"/>
      <c r="DXO50" s="9"/>
      <c r="DXP50" s="9"/>
      <c r="DXQ50" s="9"/>
      <c r="DXR50" s="9"/>
      <c r="DXS50" s="9"/>
      <c r="DXT50" s="9"/>
      <c r="DXU50" s="9"/>
      <c r="DXV50" s="9"/>
      <c r="DXW50" s="9"/>
      <c r="DXX50" s="9"/>
      <c r="DXY50" s="9"/>
      <c r="DXZ50" s="9"/>
      <c r="DYA50" s="9"/>
      <c r="DYB50" s="9"/>
      <c r="DYC50" s="9"/>
      <c r="DYD50" s="9"/>
      <c r="DYE50" s="9"/>
      <c r="DYF50" s="9"/>
      <c r="DYG50" s="9"/>
      <c r="DYH50" s="9"/>
      <c r="DYI50" s="9"/>
      <c r="DYJ50" s="9"/>
      <c r="DYK50" s="9"/>
      <c r="DYL50" s="9"/>
      <c r="DYM50" s="9"/>
      <c r="DYN50" s="9"/>
      <c r="DYO50" s="9"/>
      <c r="DYP50" s="9"/>
      <c r="DYQ50" s="9"/>
      <c r="DYR50" s="9"/>
      <c r="DYS50" s="9"/>
      <c r="DYT50" s="9"/>
      <c r="DYU50" s="9"/>
      <c r="DYV50" s="9"/>
      <c r="DYW50" s="9"/>
      <c r="DYX50" s="9"/>
      <c r="DYY50" s="9"/>
      <c r="DYZ50" s="9"/>
      <c r="DZA50" s="9"/>
      <c r="DZB50" s="9"/>
      <c r="DZC50" s="9"/>
      <c r="DZD50" s="9"/>
      <c r="DZE50" s="9"/>
      <c r="DZF50" s="9"/>
      <c r="DZG50" s="9"/>
      <c r="DZH50" s="9"/>
      <c r="DZI50" s="9"/>
      <c r="DZJ50" s="9"/>
      <c r="DZK50" s="9"/>
      <c r="DZL50" s="9"/>
      <c r="DZM50" s="9"/>
      <c r="DZN50" s="9"/>
      <c r="DZO50" s="9"/>
      <c r="DZP50" s="9"/>
      <c r="DZQ50" s="9"/>
      <c r="DZR50" s="9"/>
      <c r="DZS50" s="9"/>
      <c r="DZT50" s="9"/>
      <c r="DZU50" s="9"/>
      <c r="DZV50" s="9"/>
      <c r="DZW50" s="9"/>
      <c r="DZX50" s="9"/>
      <c r="DZY50" s="9"/>
      <c r="DZZ50" s="9"/>
      <c r="EAA50" s="9"/>
      <c r="EAB50" s="9"/>
      <c r="EAC50" s="9"/>
      <c r="EAD50" s="9"/>
      <c r="EAE50" s="9"/>
      <c r="EAF50" s="9"/>
      <c r="EAG50" s="9"/>
      <c r="EAH50" s="9"/>
      <c r="EAI50" s="9"/>
      <c r="EAJ50" s="9"/>
      <c r="EAK50" s="9"/>
      <c r="EAL50" s="9"/>
      <c r="EAM50" s="9"/>
      <c r="EAN50" s="9"/>
      <c r="EAO50" s="9"/>
      <c r="EAP50" s="9"/>
      <c r="EAQ50" s="9"/>
      <c r="EAR50" s="9"/>
      <c r="EAS50" s="9"/>
      <c r="EAT50" s="9"/>
      <c r="EAU50" s="9"/>
      <c r="EAV50" s="9"/>
      <c r="EAW50" s="9"/>
      <c r="EAX50" s="9"/>
      <c r="EAY50" s="9"/>
      <c r="EAZ50" s="9"/>
      <c r="EBA50" s="9"/>
      <c r="EBB50" s="9"/>
      <c r="EBC50" s="9"/>
      <c r="EBD50" s="9"/>
      <c r="EBE50" s="9"/>
      <c r="EBF50" s="9"/>
      <c r="EBG50" s="9"/>
      <c r="EBH50" s="9"/>
      <c r="EBI50" s="9"/>
      <c r="EBJ50" s="9"/>
      <c r="EBK50" s="9"/>
      <c r="EBL50" s="9"/>
      <c r="EBM50" s="9"/>
      <c r="EBN50" s="9"/>
      <c r="EBO50" s="9"/>
      <c r="EBP50" s="9"/>
      <c r="EBQ50" s="9"/>
      <c r="EBR50" s="9"/>
      <c r="EBS50" s="9"/>
      <c r="EBT50" s="9"/>
      <c r="EBU50" s="9"/>
      <c r="EBV50" s="9"/>
      <c r="EBW50" s="9"/>
      <c r="EBX50" s="9"/>
      <c r="EBY50" s="9"/>
      <c r="EBZ50" s="9"/>
      <c r="ECA50" s="9"/>
      <c r="ECB50" s="9"/>
      <c r="ECC50" s="9"/>
      <c r="ECD50" s="9"/>
      <c r="ECE50" s="9"/>
      <c r="ECF50" s="9"/>
      <c r="ECG50" s="9"/>
      <c r="ECH50" s="9"/>
      <c r="ECI50" s="9"/>
      <c r="ECJ50" s="9"/>
      <c r="ECK50" s="9"/>
      <c r="ECL50" s="9"/>
      <c r="ECM50" s="9"/>
      <c r="ECN50" s="9"/>
      <c r="ECO50" s="9"/>
      <c r="ECP50" s="9"/>
      <c r="ECQ50" s="9"/>
      <c r="ECR50" s="9"/>
      <c r="ECS50" s="9"/>
      <c r="ECT50" s="9"/>
      <c r="ECU50" s="9"/>
      <c r="ECV50" s="9"/>
      <c r="ECW50" s="9"/>
      <c r="ECX50" s="9"/>
      <c r="ECY50" s="9"/>
      <c r="ECZ50" s="9"/>
      <c r="EDA50" s="9"/>
      <c r="EDB50" s="9"/>
      <c r="EDC50" s="9"/>
      <c r="EDD50" s="9"/>
      <c r="EDE50" s="9"/>
      <c r="EDF50" s="9"/>
      <c r="EDG50" s="9"/>
      <c r="EDH50" s="9"/>
      <c r="EDI50" s="9"/>
      <c r="EDJ50" s="9"/>
      <c r="EDK50" s="9"/>
      <c r="EDL50" s="9"/>
      <c r="EDM50" s="9"/>
      <c r="EDN50" s="9"/>
      <c r="EDO50" s="9"/>
      <c r="EDP50" s="9"/>
      <c r="EDQ50" s="9"/>
      <c r="EDR50" s="9"/>
      <c r="EDS50" s="9"/>
      <c r="EDT50" s="9"/>
      <c r="EDU50" s="9"/>
      <c r="EDV50" s="9"/>
      <c r="EDW50" s="9"/>
      <c r="EDX50" s="9"/>
      <c r="EDY50" s="9"/>
      <c r="EDZ50" s="9"/>
      <c r="EEA50" s="9"/>
      <c r="EEB50" s="9"/>
      <c r="EEC50" s="9"/>
      <c r="EED50" s="9"/>
      <c r="EEE50" s="9"/>
      <c r="EEF50" s="9"/>
      <c r="EEG50" s="9"/>
      <c r="EEH50" s="9"/>
      <c r="EEI50" s="9"/>
      <c r="EEJ50" s="9"/>
      <c r="EEK50" s="9"/>
      <c r="EEL50" s="9"/>
      <c r="EEM50" s="9"/>
      <c r="EEN50" s="9"/>
      <c r="EEO50" s="9"/>
      <c r="EEP50" s="9"/>
      <c r="EEQ50" s="9"/>
      <c r="EER50" s="9"/>
      <c r="EES50" s="9"/>
      <c r="EET50" s="9"/>
      <c r="EEU50" s="9"/>
      <c r="EEV50" s="9"/>
      <c r="EEW50" s="9"/>
      <c r="EEX50" s="9"/>
      <c r="EEY50" s="9"/>
      <c r="EEZ50" s="9"/>
      <c r="EFA50" s="9"/>
      <c r="EFB50" s="9"/>
      <c r="EFC50" s="9"/>
      <c r="EFD50" s="9"/>
      <c r="EFE50" s="9"/>
      <c r="EFF50" s="9"/>
      <c r="EFG50" s="9"/>
      <c r="EFH50" s="9"/>
      <c r="EFI50" s="9"/>
      <c r="EFJ50" s="9"/>
      <c r="EFK50" s="9"/>
      <c r="EFL50" s="9"/>
      <c r="EFM50" s="9"/>
      <c r="EFN50" s="9"/>
      <c r="EFO50" s="9"/>
      <c r="EFP50" s="9"/>
      <c r="EFQ50" s="9"/>
      <c r="EFR50" s="9"/>
      <c r="EFS50" s="9"/>
      <c r="EFT50" s="9"/>
      <c r="EFU50" s="9"/>
      <c r="EFV50" s="9"/>
      <c r="EFW50" s="9"/>
      <c r="EFX50" s="9"/>
      <c r="EFY50" s="9"/>
      <c r="EFZ50" s="9"/>
      <c r="EGA50" s="9"/>
      <c r="EGB50" s="9"/>
      <c r="EGC50" s="9"/>
      <c r="EGD50" s="9"/>
      <c r="EGE50" s="9"/>
      <c r="EGF50" s="9"/>
      <c r="EGG50" s="9"/>
      <c r="EGH50" s="9"/>
      <c r="EGI50" s="9"/>
      <c r="EGJ50" s="9"/>
      <c r="EGK50" s="9"/>
      <c r="EGL50" s="9"/>
      <c r="EGM50" s="9"/>
      <c r="EGN50" s="9"/>
      <c r="EGO50" s="9"/>
      <c r="EGP50" s="9"/>
      <c r="EGQ50" s="9"/>
      <c r="EGR50" s="9"/>
      <c r="EGS50" s="9"/>
      <c r="EGT50" s="9"/>
      <c r="EGU50" s="9"/>
      <c r="EGV50" s="9"/>
      <c r="EGW50" s="9"/>
      <c r="EGX50" s="9"/>
      <c r="EGY50" s="9"/>
      <c r="EGZ50" s="9"/>
      <c r="EHA50" s="9"/>
      <c r="EHB50" s="9"/>
      <c r="EHC50" s="9"/>
      <c r="EHD50" s="9"/>
      <c r="EHE50" s="9"/>
      <c r="EHF50" s="9"/>
      <c r="EHG50" s="9"/>
      <c r="EHH50" s="9"/>
      <c r="EHI50" s="9"/>
      <c r="EHJ50" s="9"/>
      <c r="EHK50" s="9"/>
      <c r="EHL50" s="9"/>
      <c r="EHM50" s="9"/>
      <c r="EHN50" s="9"/>
      <c r="EHO50" s="9"/>
      <c r="EHP50" s="9"/>
      <c r="EHQ50" s="9"/>
      <c r="EHR50" s="9"/>
      <c r="EHS50" s="9"/>
      <c r="EHT50" s="9"/>
      <c r="EHU50" s="9"/>
      <c r="EHV50" s="9"/>
      <c r="EHW50" s="9"/>
      <c r="EHX50" s="9"/>
      <c r="EHY50" s="9"/>
      <c r="EHZ50" s="9"/>
      <c r="EIA50" s="9"/>
      <c r="EIB50" s="9"/>
      <c r="EIC50" s="9"/>
      <c r="EID50" s="9"/>
      <c r="EIE50" s="9"/>
      <c r="EIF50" s="9"/>
      <c r="EIG50" s="9"/>
      <c r="EIH50" s="9"/>
      <c r="EII50" s="9"/>
      <c r="EIJ50" s="9"/>
      <c r="EIK50" s="9"/>
      <c r="EIL50" s="9"/>
      <c r="EIM50" s="9"/>
      <c r="EIN50" s="9"/>
      <c r="EIO50" s="9"/>
      <c r="EIP50" s="9"/>
      <c r="EIQ50" s="9"/>
      <c r="EIR50" s="9"/>
      <c r="EIS50" s="9"/>
      <c r="EIT50" s="9"/>
      <c r="EIU50" s="9"/>
      <c r="EIV50" s="9"/>
      <c r="EIW50" s="9"/>
      <c r="EIX50" s="9"/>
      <c r="EIY50" s="9"/>
      <c r="EIZ50" s="9"/>
      <c r="EJA50" s="9"/>
      <c r="EJB50" s="9"/>
      <c r="EJC50" s="9"/>
      <c r="EJD50" s="9"/>
      <c r="EJE50" s="9"/>
      <c r="EJF50" s="9"/>
      <c r="EJG50" s="9"/>
      <c r="EJH50" s="9"/>
      <c r="EJI50" s="9"/>
      <c r="EJJ50" s="9"/>
      <c r="EJK50" s="9"/>
      <c r="EJL50" s="9"/>
      <c r="EJM50" s="9"/>
      <c r="EJN50" s="9"/>
      <c r="EJO50" s="9"/>
      <c r="EJP50" s="9"/>
      <c r="EJQ50" s="9"/>
      <c r="EJR50" s="9"/>
      <c r="EJS50" s="9"/>
      <c r="EJT50" s="9"/>
      <c r="EJU50" s="9"/>
      <c r="EJV50" s="9"/>
      <c r="EJW50" s="9"/>
      <c r="EJX50" s="9"/>
      <c r="EJY50" s="9"/>
      <c r="EJZ50" s="9"/>
      <c r="EKA50" s="9"/>
      <c r="EKB50" s="9"/>
      <c r="EKC50" s="9"/>
      <c r="EKD50" s="9"/>
      <c r="EKE50" s="9"/>
      <c r="EKF50" s="9"/>
      <c r="EKG50" s="9"/>
      <c r="EKH50" s="9"/>
      <c r="EKI50" s="9"/>
      <c r="EKJ50" s="9"/>
      <c r="EKK50" s="9"/>
      <c r="EKL50" s="9"/>
      <c r="EKM50" s="9"/>
      <c r="EKN50" s="9"/>
      <c r="EKO50" s="9"/>
      <c r="EKP50" s="9"/>
      <c r="EKQ50" s="9"/>
      <c r="EKR50" s="9"/>
      <c r="EKS50" s="9"/>
      <c r="EKT50" s="9"/>
      <c r="EKU50" s="9"/>
      <c r="EKV50" s="9"/>
      <c r="EKW50" s="9"/>
      <c r="EKX50" s="9"/>
      <c r="EKY50" s="9"/>
      <c r="EKZ50" s="9"/>
      <c r="ELA50" s="9"/>
      <c r="ELB50" s="9"/>
      <c r="ELC50" s="9"/>
      <c r="ELD50" s="9"/>
      <c r="ELE50" s="9"/>
      <c r="ELF50" s="9"/>
      <c r="ELG50" s="9"/>
      <c r="ELH50" s="9"/>
      <c r="ELI50" s="9"/>
      <c r="ELJ50" s="9"/>
      <c r="ELK50" s="9"/>
      <c r="ELL50" s="9"/>
      <c r="ELM50" s="9"/>
      <c r="ELN50" s="9"/>
      <c r="ELO50" s="9"/>
      <c r="ELP50" s="9"/>
      <c r="ELQ50" s="9"/>
      <c r="ELR50" s="9"/>
      <c r="ELS50" s="9"/>
      <c r="ELT50" s="9"/>
      <c r="ELU50" s="9"/>
      <c r="ELV50" s="9"/>
      <c r="ELW50" s="9"/>
      <c r="ELX50" s="9"/>
      <c r="ELY50" s="9"/>
      <c r="ELZ50" s="9"/>
      <c r="EMA50" s="9"/>
      <c r="EMB50" s="9"/>
      <c r="EMC50" s="9"/>
      <c r="EMD50" s="9"/>
      <c r="EME50" s="9"/>
      <c r="EMF50" s="9"/>
      <c r="EMG50" s="9"/>
      <c r="EMH50" s="9"/>
      <c r="EMI50" s="9"/>
      <c r="EMJ50" s="9"/>
      <c r="EMK50" s="9"/>
      <c r="EML50" s="9"/>
      <c r="EMM50" s="9"/>
      <c r="EMN50" s="9"/>
      <c r="EMO50" s="9"/>
      <c r="EMP50" s="9"/>
      <c r="EMQ50" s="9"/>
      <c r="EMR50" s="9"/>
      <c r="EMS50" s="9"/>
      <c r="EMT50" s="9"/>
      <c r="EMU50" s="9"/>
      <c r="EMV50" s="9"/>
      <c r="EMW50" s="9"/>
      <c r="EMX50" s="9"/>
      <c r="EMY50" s="9"/>
      <c r="EMZ50" s="9"/>
      <c r="ENA50" s="9"/>
      <c r="ENB50" s="9"/>
      <c r="ENC50" s="9"/>
      <c r="END50" s="9"/>
      <c r="ENE50" s="9"/>
      <c r="ENF50" s="9"/>
      <c r="ENG50" s="9"/>
      <c r="ENH50" s="9"/>
      <c r="ENI50" s="9"/>
      <c r="ENJ50" s="9"/>
      <c r="ENK50" s="9"/>
      <c r="ENL50" s="9"/>
      <c r="ENM50" s="9"/>
      <c r="ENN50" s="9"/>
      <c r="ENO50" s="9"/>
      <c r="ENP50" s="9"/>
      <c r="ENQ50" s="9"/>
      <c r="ENR50" s="9"/>
      <c r="ENS50" s="9"/>
      <c r="ENT50" s="9"/>
      <c r="ENU50" s="9"/>
      <c r="ENV50" s="9"/>
      <c r="ENW50" s="9"/>
      <c r="ENX50" s="9"/>
      <c r="ENY50" s="9"/>
      <c r="ENZ50" s="9"/>
      <c r="EOA50" s="9"/>
      <c r="EOB50" s="9"/>
      <c r="EOC50" s="9"/>
      <c r="EOD50" s="9"/>
      <c r="EOE50" s="9"/>
      <c r="EOF50" s="9"/>
      <c r="EOG50" s="9"/>
      <c r="EOH50" s="9"/>
      <c r="EOI50" s="9"/>
      <c r="EOJ50" s="9"/>
      <c r="EOK50" s="9"/>
      <c r="EOL50" s="9"/>
      <c r="EOM50" s="9"/>
      <c r="EON50" s="9"/>
      <c r="EOO50" s="9"/>
      <c r="EOP50" s="9"/>
      <c r="EOQ50" s="9"/>
      <c r="EOR50" s="9"/>
      <c r="EOS50" s="9"/>
      <c r="EOT50" s="9"/>
      <c r="EOU50" s="9"/>
      <c r="EOV50" s="9"/>
      <c r="EOW50" s="9"/>
      <c r="EOX50" s="9"/>
      <c r="EOY50" s="9"/>
      <c r="EOZ50" s="9"/>
      <c r="EPA50" s="9"/>
      <c r="EPB50" s="9"/>
      <c r="EPC50" s="9"/>
      <c r="EPD50" s="9"/>
      <c r="EPE50" s="9"/>
      <c r="EPF50" s="9"/>
      <c r="EPG50" s="9"/>
      <c r="EPH50" s="9"/>
      <c r="EPI50" s="9"/>
      <c r="EPJ50" s="9"/>
      <c r="EPK50" s="9"/>
      <c r="EPL50" s="9"/>
      <c r="EPM50" s="9"/>
      <c r="EPN50" s="9"/>
      <c r="EPO50" s="9"/>
      <c r="EPP50" s="9"/>
      <c r="EPQ50" s="9"/>
      <c r="EPR50" s="9"/>
      <c r="EPS50" s="9"/>
      <c r="EPT50" s="9"/>
      <c r="EPU50" s="9"/>
      <c r="EPV50" s="9"/>
      <c r="EPW50" s="9"/>
      <c r="EPX50" s="9"/>
      <c r="EPY50" s="9"/>
      <c r="EPZ50" s="9"/>
      <c r="EQA50" s="9"/>
      <c r="EQB50" s="9"/>
      <c r="EQC50" s="9"/>
      <c r="EQD50" s="9"/>
      <c r="EQE50" s="9"/>
      <c r="EQF50" s="9"/>
      <c r="EQG50" s="9"/>
      <c r="EQH50" s="9"/>
      <c r="EQI50" s="9"/>
      <c r="EQJ50" s="9"/>
      <c r="EQK50" s="9"/>
      <c r="EQL50" s="9"/>
      <c r="EQM50" s="9"/>
      <c r="EQN50" s="9"/>
      <c r="EQO50" s="9"/>
      <c r="EQP50" s="9"/>
      <c r="EQQ50" s="9"/>
      <c r="EQR50" s="9"/>
      <c r="EQS50" s="9"/>
      <c r="EQT50" s="9"/>
      <c r="EQU50" s="9"/>
      <c r="EQV50" s="9"/>
      <c r="EQW50" s="9"/>
      <c r="EQX50" s="9"/>
      <c r="EQY50" s="9"/>
      <c r="EQZ50" s="9"/>
      <c r="ERA50" s="9"/>
      <c r="ERB50" s="9"/>
      <c r="ERC50" s="9"/>
      <c r="ERD50" s="9"/>
      <c r="ERE50" s="9"/>
      <c r="ERF50" s="9"/>
      <c r="ERG50" s="9"/>
      <c r="ERH50" s="9"/>
      <c r="ERI50" s="9"/>
      <c r="ERJ50" s="9"/>
      <c r="ERK50" s="9"/>
      <c r="ERL50" s="9"/>
      <c r="ERM50" s="9"/>
      <c r="ERN50" s="9"/>
      <c r="ERO50" s="9"/>
      <c r="ERP50" s="9"/>
      <c r="ERQ50" s="9"/>
      <c r="ERR50" s="9"/>
      <c r="ERS50" s="9"/>
      <c r="ERT50" s="9"/>
      <c r="ERU50" s="9"/>
      <c r="ERV50" s="9"/>
      <c r="ERW50" s="9"/>
      <c r="ERX50" s="9"/>
      <c r="ERY50" s="9"/>
      <c r="ERZ50" s="9"/>
      <c r="ESA50" s="9"/>
      <c r="ESB50" s="9"/>
      <c r="ESC50" s="9"/>
      <c r="ESD50" s="9"/>
      <c r="ESE50" s="9"/>
      <c r="ESF50" s="9"/>
      <c r="ESG50" s="9"/>
      <c r="ESH50" s="9"/>
      <c r="ESI50" s="9"/>
      <c r="ESJ50" s="9"/>
      <c r="ESK50" s="9"/>
      <c r="ESL50" s="9"/>
      <c r="ESM50" s="9"/>
      <c r="ESN50" s="9"/>
      <c r="ESO50" s="9"/>
      <c r="ESP50" s="9"/>
      <c r="ESQ50" s="9"/>
      <c r="ESR50" s="9"/>
      <c r="ESS50" s="9"/>
      <c r="EST50" s="9"/>
      <c r="ESU50" s="9"/>
      <c r="ESV50" s="9"/>
      <c r="ESW50" s="9"/>
      <c r="ESX50" s="9"/>
      <c r="ESY50" s="9"/>
      <c r="ESZ50" s="9"/>
      <c r="ETA50" s="9"/>
      <c r="ETB50" s="9"/>
      <c r="ETC50" s="9"/>
      <c r="ETD50" s="9"/>
      <c r="ETE50" s="9"/>
      <c r="ETF50" s="9"/>
      <c r="ETG50" s="9"/>
      <c r="ETH50" s="9"/>
      <c r="ETI50" s="9"/>
      <c r="ETJ50" s="9"/>
      <c r="ETK50" s="9"/>
      <c r="ETL50" s="9"/>
      <c r="ETM50" s="9"/>
      <c r="ETN50" s="9"/>
      <c r="ETO50" s="9"/>
      <c r="ETP50" s="9"/>
      <c r="ETQ50" s="9"/>
      <c r="ETR50" s="9"/>
      <c r="ETS50" s="9"/>
      <c r="ETT50" s="9"/>
      <c r="ETU50" s="9"/>
      <c r="ETV50" s="9"/>
      <c r="ETW50" s="9"/>
      <c r="ETX50" s="9"/>
      <c r="ETY50" s="9"/>
      <c r="ETZ50" s="9"/>
      <c r="EUA50" s="9"/>
      <c r="EUB50" s="9"/>
      <c r="EUC50" s="9"/>
      <c r="EUD50" s="9"/>
      <c r="EUE50" s="9"/>
      <c r="EUF50" s="9"/>
      <c r="EUG50" s="9"/>
      <c r="EUH50" s="9"/>
      <c r="EUI50" s="9"/>
      <c r="EUJ50" s="9"/>
      <c r="EUK50" s="9"/>
      <c r="EUL50" s="9"/>
      <c r="EUM50" s="9"/>
      <c r="EUN50" s="9"/>
      <c r="EUO50" s="9"/>
      <c r="EUP50" s="9"/>
      <c r="EUQ50" s="9"/>
      <c r="EUR50" s="9"/>
      <c r="EUS50" s="9"/>
      <c r="EUT50" s="9"/>
      <c r="EUU50" s="9"/>
      <c r="EUV50" s="9"/>
      <c r="EUW50" s="9"/>
      <c r="EUX50" s="9"/>
      <c r="EUY50" s="9"/>
      <c r="EUZ50" s="9"/>
      <c r="EVA50" s="9"/>
      <c r="EVB50" s="9"/>
      <c r="EVC50" s="9"/>
      <c r="EVD50" s="9"/>
      <c r="EVE50" s="9"/>
      <c r="EVF50" s="9"/>
      <c r="EVG50" s="9"/>
      <c r="EVH50" s="9"/>
      <c r="EVI50" s="9"/>
      <c r="EVJ50" s="9"/>
      <c r="EVK50" s="9"/>
      <c r="EVL50" s="9"/>
      <c r="EVM50" s="9"/>
      <c r="EVN50" s="9"/>
      <c r="EVO50" s="9"/>
      <c r="EVP50" s="9"/>
      <c r="EVQ50" s="9"/>
      <c r="EVR50" s="9"/>
      <c r="EVS50" s="9"/>
      <c r="EVT50" s="9"/>
      <c r="EVU50" s="9"/>
      <c r="EVV50" s="9"/>
      <c r="EVW50" s="9"/>
      <c r="EVX50" s="9"/>
      <c r="EVY50" s="9"/>
      <c r="EVZ50" s="9"/>
      <c r="EWA50" s="9"/>
      <c r="EWB50" s="9"/>
      <c r="EWC50" s="9"/>
      <c r="EWD50" s="9"/>
      <c r="EWE50" s="9"/>
      <c r="EWF50" s="9"/>
      <c r="EWG50" s="9"/>
      <c r="EWH50" s="9"/>
      <c r="EWI50" s="9"/>
      <c r="EWJ50" s="9"/>
      <c r="EWK50" s="9"/>
      <c r="EWL50" s="9"/>
      <c r="EWM50" s="9"/>
      <c r="EWN50" s="9"/>
      <c r="EWO50" s="9"/>
      <c r="EWP50" s="9"/>
      <c r="EWQ50" s="9"/>
      <c r="EWR50" s="9"/>
      <c r="EWS50" s="9"/>
      <c r="EWT50" s="9"/>
      <c r="EWU50" s="9"/>
      <c r="EWV50" s="9"/>
      <c r="EWW50" s="9"/>
      <c r="EWX50" s="9"/>
      <c r="EWY50" s="9"/>
      <c r="EWZ50" s="9"/>
      <c r="EXA50" s="9"/>
      <c r="EXB50" s="9"/>
      <c r="EXC50" s="9"/>
      <c r="EXD50" s="9"/>
      <c r="EXE50" s="9"/>
      <c r="EXF50" s="9"/>
      <c r="EXG50" s="9"/>
      <c r="EXH50" s="9"/>
      <c r="EXI50" s="9"/>
      <c r="EXJ50" s="9"/>
      <c r="EXK50" s="9"/>
      <c r="EXL50" s="9"/>
      <c r="EXM50" s="9"/>
      <c r="EXN50" s="9"/>
      <c r="EXO50" s="9"/>
      <c r="EXP50" s="9"/>
      <c r="EXQ50" s="9"/>
      <c r="EXR50" s="9"/>
      <c r="EXS50" s="9"/>
      <c r="EXT50" s="9"/>
      <c r="EXU50" s="9"/>
      <c r="EXV50" s="9"/>
      <c r="EXW50" s="9"/>
      <c r="EXX50" s="9"/>
      <c r="EXY50" s="9"/>
      <c r="EXZ50" s="9"/>
      <c r="EYA50" s="9"/>
      <c r="EYB50" s="9"/>
      <c r="EYC50" s="9"/>
      <c r="EYD50" s="9"/>
      <c r="EYE50" s="9"/>
      <c r="EYF50" s="9"/>
      <c r="EYG50" s="9"/>
      <c r="EYH50" s="9"/>
      <c r="EYI50" s="9"/>
      <c r="EYJ50" s="9"/>
      <c r="EYK50" s="9"/>
      <c r="EYL50" s="9"/>
      <c r="EYM50" s="9"/>
      <c r="EYN50" s="9"/>
      <c r="EYO50" s="9"/>
      <c r="EYP50" s="9"/>
      <c r="EYQ50" s="9"/>
      <c r="EYR50" s="9"/>
      <c r="EYS50" s="9"/>
      <c r="EYT50" s="9"/>
      <c r="EYU50" s="9"/>
      <c r="EYV50" s="9"/>
      <c r="EYW50" s="9"/>
      <c r="EYX50" s="9"/>
      <c r="EYY50" s="9"/>
      <c r="EYZ50" s="9"/>
      <c r="EZA50" s="9"/>
      <c r="EZB50" s="9"/>
      <c r="EZC50" s="9"/>
      <c r="EZD50" s="9"/>
      <c r="EZE50" s="9"/>
      <c r="EZF50" s="9"/>
      <c r="EZG50" s="9"/>
      <c r="EZH50" s="9"/>
      <c r="EZI50" s="9"/>
      <c r="EZJ50" s="9"/>
      <c r="EZK50" s="9"/>
      <c r="EZL50" s="9"/>
      <c r="EZM50" s="9"/>
      <c r="EZN50" s="9"/>
      <c r="EZO50" s="9"/>
      <c r="EZP50" s="9"/>
      <c r="EZQ50" s="9"/>
      <c r="EZR50" s="9"/>
      <c r="EZS50" s="9"/>
      <c r="EZT50" s="9"/>
      <c r="EZU50" s="9"/>
      <c r="EZV50" s="9"/>
      <c r="EZW50" s="9"/>
      <c r="EZX50" s="9"/>
      <c r="EZY50" s="9"/>
      <c r="EZZ50" s="9"/>
      <c r="FAA50" s="9"/>
      <c r="FAB50" s="9"/>
      <c r="FAC50" s="9"/>
      <c r="FAD50" s="9"/>
      <c r="FAE50" s="9"/>
      <c r="FAF50" s="9"/>
      <c r="FAG50" s="9"/>
      <c r="FAH50" s="9"/>
      <c r="FAI50" s="9"/>
      <c r="FAJ50" s="9"/>
      <c r="FAK50" s="9"/>
      <c r="FAL50" s="9"/>
      <c r="FAM50" s="9"/>
      <c r="FAN50" s="9"/>
      <c r="FAO50" s="9"/>
      <c r="FAP50" s="9"/>
      <c r="FAQ50" s="9"/>
      <c r="FAR50" s="9"/>
      <c r="FAS50" s="9"/>
      <c r="FAT50" s="9"/>
      <c r="FAU50" s="9"/>
      <c r="FAV50" s="9"/>
      <c r="FAW50" s="9"/>
      <c r="FAX50" s="9"/>
      <c r="FAY50" s="9"/>
      <c r="FAZ50" s="9"/>
      <c r="FBA50" s="9"/>
      <c r="FBB50" s="9"/>
      <c r="FBC50" s="9"/>
      <c r="FBD50" s="9"/>
      <c r="FBE50" s="9"/>
      <c r="FBF50" s="9"/>
      <c r="FBG50" s="9"/>
      <c r="FBH50" s="9"/>
      <c r="FBI50" s="9"/>
      <c r="FBJ50" s="9"/>
      <c r="FBK50" s="9"/>
      <c r="FBL50" s="9"/>
      <c r="FBM50" s="9"/>
      <c r="FBN50" s="9"/>
      <c r="FBO50" s="9"/>
      <c r="FBP50" s="9"/>
      <c r="FBQ50" s="9"/>
      <c r="FBR50" s="9"/>
      <c r="FBS50" s="9"/>
      <c r="FBT50" s="9"/>
      <c r="FBU50" s="9"/>
      <c r="FBV50" s="9"/>
      <c r="FBW50" s="9"/>
      <c r="FBX50" s="9"/>
      <c r="FBY50" s="9"/>
      <c r="FBZ50" s="9"/>
      <c r="FCA50" s="9"/>
      <c r="FCB50" s="9"/>
      <c r="FCC50" s="9"/>
      <c r="FCD50" s="9"/>
      <c r="FCE50" s="9"/>
      <c r="FCF50" s="9"/>
      <c r="FCG50" s="9"/>
      <c r="FCH50" s="9"/>
      <c r="FCI50" s="9"/>
      <c r="FCJ50" s="9"/>
      <c r="FCK50" s="9"/>
      <c r="FCL50" s="9"/>
      <c r="FCM50" s="9"/>
      <c r="FCN50" s="9"/>
      <c r="FCO50" s="9"/>
      <c r="FCP50" s="9"/>
      <c r="FCQ50" s="9"/>
      <c r="FCR50" s="9"/>
      <c r="FCS50" s="9"/>
      <c r="FCT50" s="9"/>
      <c r="FCU50" s="9"/>
      <c r="FCV50" s="9"/>
      <c r="FCW50" s="9"/>
      <c r="FCX50" s="9"/>
      <c r="FCY50" s="9"/>
      <c r="FCZ50" s="9"/>
      <c r="FDA50" s="9"/>
      <c r="FDB50" s="9"/>
      <c r="FDC50" s="9"/>
      <c r="FDD50" s="9"/>
      <c r="FDE50" s="9"/>
      <c r="FDF50" s="9"/>
      <c r="FDG50" s="9"/>
      <c r="FDH50" s="9"/>
      <c r="FDI50" s="9"/>
      <c r="FDJ50" s="9"/>
      <c r="FDK50" s="9"/>
      <c r="FDL50" s="9"/>
      <c r="FDM50" s="9"/>
      <c r="FDN50" s="9"/>
      <c r="FDO50" s="9"/>
      <c r="FDP50" s="9"/>
      <c r="FDQ50" s="9"/>
      <c r="FDR50" s="9"/>
      <c r="FDS50" s="9"/>
      <c r="FDT50" s="9"/>
      <c r="FDU50" s="9"/>
      <c r="FDV50" s="9"/>
      <c r="FDW50" s="9"/>
      <c r="FDX50" s="9"/>
      <c r="FDY50" s="9"/>
      <c r="FDZ50" s="9"/>
      <c r="FEA50" s="9"/>
      <c r="FEB50" s="9"/>
      <c r="FEC50" s="9"/>
      <c r="FED50" s="9"/>
      <c r="FEE50" s="9"/>
      <c r="FEF50" s="9"/>
      <c r="FEG50" s="9"/>
      <c r="FEH50" s="9"/>
      <c r="FEI50" s="9"/>
      <c r="FEJ50" s="9"/>
      <c r="FEK50" s="9"/>
      <c r="FEL50" s="9"/>
      <c r="FEM50" s="9"/>
      <c r="FEN50" s="9"/>
      <c r="FEO50" s="9"/>
      <c r="FEP50" s="9"/>
      <c r="FEQ50" s="9"/>
      <c r="FER50" s="9"/>
      <c r="FES50" s="9"/>
      <c r="FET50" s="9"/>
      <c r="FEU50" s="9"/>
      <c r="FEV50" s="9"/>
      <c r="FEW50" s="9"/>
      <c r="FEX50" s="9"/>
      <c r="FEY50" s="9"/>
      <c r="FEZ50" s="9"/>
      <c r="FFA50" s="9"/>
      <c r="FFB50" s="9"/>
      <c r="FFC50" s="9"/>
      <c r="FFD50" s="9"/>
      <c r="FFE50" s="9"/>
      <c r="FFF50" s="9"/>
      <c r="FFG50" s="9"/>
      <c r="FFH50" s="9"/>
      <c r="FFI50" s="9"/>
      <c r="FFJ50" s="9"/>
      <c r="FFK50" s="9"/>
      <c r="FFL50" s="9"/>
      <c r="FFM50" s="9"/>
      <c r="FFN50" s="9"/>
      <c r="FFO50" s="9"/>
      <c r="FFP50" s="9"/>
      <c r="FFQ50" s="9"/>
      <c r="FFR50" s="9"/>
      <c r="FFS50" s="9"/>
      <c r="FFT50" s="9"/>
      <c r="FFU50" s="9"/>
      <c r="FFV50" s="9"/>
      <c r="FFW50" s="9"/>
      <c r="FFX50" s="9"/>
      <c r="FFY50" s="9"/>
      <c r="FFZ50" s="9"/>
      <c r="FGA50" s="9"/>
      <c r="FGB50" s="9"/>
      <c r="FGC50" s="9"/>
      <c r="FGD50" s="9"/>
      <c r="FGE50" s="9"/>
      <c r="FGF50" s="9"/>
      <c r="FGG50" s="9"/>
      <c r="FGH50" s="9"/>
      <c r="FGI50" s="9"/>
      <c r="FGJ50" s="9"/>
      <c r="FGK50" s="9"/>
      <c r="FGL50" s="9"/>
      <c r="FGM50" s="9"/>
      <c r="FGN50" s="9"/>
      <c r="FGO50" s="9"/>
      <c r="FGP50" s="9"/>
      <c r="FGQ50" s="9"/>
      <c r="FGR50" s="9"/>
      <c r="FGS50" s="9"/>
      <c r="FGT50" s="9"/>
      <c r="FGU50" s="9"/>
      <c r="FGV50" s="9"/>
      <c r="FGW50" s="9"/>
      <c r="FGX50" s="9"/>
      <c r="FGY50" s="9"/>
      <c r="FGZ50" s="9"/>
      <c r="FHA50" s="9"/>
      <c r="FHB50" s="9"/>
      <c r="FHC50" s="9"/>
      <c r="FHD50" s="9"/>
      <c r="FHE50" s="9"/>
      <c r="FHF50" s="9"/>
      <c r="FHG50" s="9"/>
      <c r="FHH50" s="9"/>
      <c r="FHI50" s="9"/>
      <c r="FHJ50" s="9"/>
      <c r="FHK50" s="9"/>
      <c r="FHL50" s="9"/>
      <c r="FHM50" s="9"/>
      <c r="FHN50" s="9"/>
      <c r="FHO50" s="9"/>
      <c r="FHP50" s="9"/>
      <c r="FHQ50" s="9"/>
      <c r="FHR50" s="9"/>
      <c r="FHS50" s="9"/>
      <c r="FHT50" s="9"/>
      <c r="FHU50" s="9"/>
      <c r="FHV50" s="9"/>
      <c r="FHW50" s="9"/>
      <c r="FHX50" s="9"/>
      <c r="FHY50" s="9"/>
      <c r="FHZ50" s="9"/>
      <c r="FIA50" s="9"/>
      <c r="FIB50" s="9"/>
      <c r="FIC50" s="9"/>
      <c r="FID50" s="9"/>
      <c r="FIE50" s="9"/>
      <c r="FIF50" s="9"/>
      <c r="FIG50" s="9"/>
      <c r="FIH50" s="9"/>
      <c r="FII50" s="9"/>
      <c r="FIJ50" s="9"/>
      <c r="FIK50" s="9"/>
      <c r="FIL50" s="9"/>
      <c r="FIM50" s="9"/>
      <c r="FIN50" s="9"/>
      <c r="FIO50" s="9"/>
      <c r="FIP50" s="9"/>
      <c r="FIQ50" s="9"/>
      <c r="FIR50" s="9"/>
      <c r="FIS50" s="9"/>
      <c r="FIT50" s="9"/>
      <c r="FIU50" s="9"/>
      <c r="FIV50" s="9"/>
      <c r="FIW50" s="9"/>
      <c r="FIX50" s="9"/>
      <c r="FIY50" s="9"/>
      <c r="FIZ50" s="9"/>
      <c r="FJA50" s="9"/>
      <c r="FJB50" s="9"/>
      <c r="FJC50" s="9"/>
      <c r="FJD50" s="9"/>
      <c r="FJE50" s="9"/>
      <c r="FJF50" s="9"/>
      <c r="FJG50" s="9"/>
      <c r="FJH50" s="9"/>
      <c r="FJI50" s="9"/>
      <c r="FJJ50" s="9"/>
      <c r="FJK50" s="9"/>
      <c r="FJL50" s="9"/>
      <c r="FJM50" s="9"/>
      <c r="FJN50" s="9"/>
      <c r="FJO50" s="9"/>
      <c r="FJP50" s="9"/>
      <c r="FJQ50" s="9"/>
      <c r="FJR50" s="9"/>
      <c r="FJS50" s="9"/>
      <c r="FJT50" s="9"/>
      <c r="FJU50" s="9"/>
      <c r="FJV50" s="9"/>
      <c r="FJW50" s="9"/>
      <c r="FJX50" s="9"/>
      <c r="FJY50" s="9"/>
      <c r="FJZ50" s="9"/>
      <c r="FKA50" s="9"/>
      <c r="FKB50" s="9"/>
      <c r="FKC50" s="9"/>
      <c r="FKD50" s="9"/>
      <c r="FKE50" s="9"/>
      <c r="FKF50" s="9"/>
      <c r="FKG50" s="9"/>
      <c r="FKH50" s="9"/>
      <c r="FKI50" s="9"/>
      <c r="FKJ50" s="9"/>
      <c r="FKK50" s="9"/>
      <c r="FKL50" s="9"/>
      <c r="FKM50" s="9"/>
      <c r="FKN50" s="9"/>
      <c r="FKO50" s="9"/>
      <c r="FKP50" s="9"/>
      <c r="FKQ50" s="9"/>
      <c r="FKR50" s="9"/>
      <c r="FKS50" s="9"/>
      <c r="FKT50" s="9"/>
      <c r="FKU50" s="9"/>
      <c r="FKV50" s="9"/>
      <c r="FKW50" s="9"/>
      <c r="FKX50" s="9"/>
      <c r="FKY50" s="9"/>
      <c r="FKZ50" s="9"/>
      <c r="FLA50" s="9"/>
      <c r="FLB50" s="9"/>
      <c r="FLC50" s="9"/>
      <c r="FLD50" s="9"/>
      <c r="FLE50" s="9"/>
      <c r="FLF50" s="9"/>
      <c r="FLG50" s="9"/>
      <c r="FLH50" s="9"/>
      <c r="FLI50" s="9"/>
      <c r="FLJ50" s="9"/>
      <c r="FLK50" s="9"/>
      <c r="FLL50" s="9"/>
      <c r="FLM50" s="9"/>
      <c r="FLN50" s="9"/>
      <c r="FLO50" s="9"/>
      <c r="FLP50" s="9"/>
      <c r="FLQ50" s="9"/>
      <c r="FLR50" s="9"/>
      <c r="FLS50" s="9"/>
      <c r="FLT50" s="9"/>
      <c r="FLU50" s="9"/>
      <c r="FLV50" s="9"/>
      <c r="FLW50" s="9"/>
      <c r="FLX50" s="9"/>
      <c r="FLY50" s="9"/>
      <c r="FLZ50" s="9"/>
      <c r="FMA50" s="9"/>
      <c r="FMB50" s="9"/>
      <c r="FMC50" s="9"/>
      <c r="FMD50" s="9"/>
      <c r="FME50" s="9"/>
      <c r="FMF50" s="9"/>
      <c r="FMG50" s="9"/>
      <c r="FMH50" s="9"/>
      <c r="FMI50" s="9"/>
      <c r="FMJ50" s="9"/>
      <c r="FMK50" s="9"/>
      <c r="FML50" s="9"/>
      <c r="FMM50" s="9"/>
      <c r="FMN50" s="9"/>
      <c r="FMO50" s="9"/>
      <c r="FMP50" s="9"/>
      <c r="FMQ50" s="9"/>
      <c r="FMR50" s="9"/>
      <c r="FMS50" s="9"/>
      <c r="FMT50" s="9"/>
      <c r="FMU50" s="9"/>
      <c r="FMV50" s="9"/>
      <c r="FMW50" s="9"/>
      <c r="FMX50" s="9"/>
      <c r="FMY50" s="9"/>
      <c r="FMZ50" s="9"/>
      <c r="FNA50" s="9"/>
      <c r="FNB50" s="9"/>
      <c r="FNC50" s="9"/>
      <c r="FND50" s="9"/>
      <c r="FNE50" s="9"/>
      <c r="FNF50" s="9"/>
      <c r="FNG50" s="9"/>
      <c r="FNH50" s="9"/>
      <c r="FNI50" s="9"/>
      <c r="FNJ50" s="9"/>
      <c r="FNK50" s="9"/>
      <c r="FNL50" s="9"/>
      <c r="FNM50" s="9"/>
      <c r="FNN50" s="9"/>
      <c r="FNO50" s="9"/>
      <c r="FNP50" s="9"/>
      <c r="FNQ50" s="9"/>
      <c r="FNR50" s="9"/>
      <c r="FNS50" s="9"/>
      <c r="FNT50" s="9"/>
      <c r="FNU50" s="9"/>
      <c r="FNV50" s="9"/>
      <c r="FNW50" s="9"/>
      <c r="FNX50" s="9"/>
      <c r="FNY50" s="9"/>
      <c r="FNZ50" s="9"/>
      <c r="FOA50" s="9"/>
      <c r="FOB50" s="9"/>
      <c r="FOC50" s="9"/>
      <c r="FOD50" s="9"/>
      <c r="FOE50" s="9"/>
      <c r="FOF50" s="9"/>
      <c r="FOG50" s="9"/>
      <c r="FOH50" s="9"/>
      <c r="FOI50" s="9"/>
      <c r="FOJ50" s="9"/>
      <c r="FOK50" s="9"/>
      <c r="FOL50" s="9"/>
      <c r="FOM50" s="9"/>
      <c r="FON50" s="9"/>
      <c r="FOO50" s="9"/>
      <c r="FOP50" s="9"/>
      <c r="FOQ50" s="9"/>
      <c r="FOR50" s="9"/>
      <c r="FOS50" s="9"/>
      <c r="FOT50" s="9"/>
      <c r="FOU50" s="9"/>
      <c r="FOV50" s="9"/>
      <c r="FOW50" s="9"/>
      <c r="FOX50" s="9"/>
      <c r="FOY50" s="9"/>
      <c r="FOZ50" s="9"/>
      <c r="FPA50" s="9"/>
      <c r="FPB50" s="9"/>
      <c r="FPC50" s="9"/>
      <c r="FPD50" s="9"/>
      <c r="FPE50" s="9"/>
      <c r="FPF50" s="9"/>
      <c r="FPG50" s="9"/>
      <c r="FPH50" s="9"/>
      <c r="FPI50" s="9"/>
      <c r="FPJ50" s="9"/>
      <c r="FPK50" s="9"/>
      <c r="FPL50" s="9"/>
      <c r="FPM50" s="9"/>
      <c r="FPN50" s="9"/>
      <c r="FPO50" s="9"/>
      <c r="FPP50" s="9"/>
      <c r="FPQ50" s="9"/>
      <c r="FPR50" s="9"/>
      <c r="FPS50" s="9"/>
      <c r="FPT50" s="9"/>
      <c r="FPU50" s="9"/>
      <c r="FPV50" s="9"/>
      <c r="FPW50" s="9"/>
      <c r="FPX50" s="9"/>
      <c r="FPY50" s="9"/>
      <c r="FPZ50" s="9"/>
      <c r="FQA50" s="9"/>
      <c r="FQB50" s="9"/>
      <c r="FQC50" s="9"/>
      <c r="FQD50" s="9"/>
      <c r="FQE50" s="9"/>
      <c r="FQF50" s="9"/>
      <c r="FQG50" s="9"/>
      <c r="FQH50" s="9"/>
      <c r="FQI50" s="9"/>
      <c r="FQJ50" s="9"/>
      <c r="FQK50" s="9"/>
      <c r="FQL50" s="9"/>
      <c r="FQM50" s="9"/>
      <c r="FQN50" s="9"/>
      <c r="FQO50" s="9"/>
      <c r="FQP50" s="9"/>
      <c r="FQQ50" s="9"/>
      <c r="FQR50" s="9"/>
      <c r="FQS50" s="9"/>
      <c r="FQT50" s="9"/>
      <c r="FQU50" s="9"/>
      <c r="FQV50" s="9"/>
      <c r="FQW50" s="9"/>
      <c r="FQX50" s="9"/>
      <c r="FQY50" s="9"/>
      <c r="FQZ50" s="9"/>
      <c r="FRA50" s="9"/>
      <c r="FRB50" s="9"/>
      <c r="FRC50" s="9"/>
      <c r="FRD50" s="9"/>
      <c r="FRE50" s="9"/>
      <c r="FRF50" s="9"/>
      <c r="FRG50" s="9"/>
      <c r="FRH50" s="9"/>
      <c r="FRI50" s="9"/>
      <c r="FRJ50" s="9"/>
      <c r="FRK50" s="9"/>
      <c r="FRL50" s="9"/>
      <c r="FRM50" s="9"/>
      <c r="FRN50" s="9"/>
      <c r="FRO50" s="9"/>
      <c r="FRP50" s="9"/>
      <c r="FRQ50" s="9"/>
      <c r="FRR50" s="9"/>
      <c r="FRS50" s="9"/>
      <c r="FRT50" s="9"/>
      <c r="FRU50" s="9"/>
      <c r="FRV50" s="9"/>
      <c r="FRW50" s="9"/>
      <c r="FRX50" s="9"/>
      <c r="FRY50" s="9"/>
      <c r="FRZ50" s="9"/>
      <c r="FSA50" s="9"/>
      <c r="FSB50" s="9"/>
      <c r="FSC50" s="9"/>
      <c r="FSD50" s="9"/>
      <c r="FSE50" s="9"/>
      <c r="FSF50" s="9"/>
      <c r="FSG50" s="9"/>
      <c r="FSH50" s="9"/>
      <c r="FSI50" s="9"/>
      <c r="FSJ50" s="9"/>
      <c r="FSK50" s="9"/>
      <c r="FSL50" s="9"/>
      <c r="FSM50" s="9"/>
      <c r="FSN50" s="9"/>
      <c r="FSO50" s="9"/>
      <c r="FSP50" s="9"/>
      <c r="FSQ50" s="9"/>
      <c r="FSR50" s="9"/>
      <c r="FSS50" s="9"/>
      <c r="FST50" s="9"/>
      <c r="FSU50" s="9"/>
      <c r="FSV50" s="9"/>
      <c r="FSW50" s="9"/>
      <c r="FSX50" s="9"/>
      <c r="FSY50" s="9"/>
      <c r="FSZ50" s="9"/>
      <c r="FTA50" s="9"/>
      <c r="FTB50" s="9"/>
      <c r="FTC50" s="9"/>
      <c r="FTD50" s="9"/>
      <c r="FTE50" s="9"/>
      <c r="FTF50" s="9"/>
      <c r="FTG50" s="9"/>
      <c r="FTH50" s="9"/>
      <c r="FTI50" s="9"/>
      <c r="FTJ50" s="9"/>
      <c r="FTK50" s="9"/>
      <c r="FTL50" s="9"/>
      <c r="FTM50" s="9"/>
      <c r="FTN50" s="9"/>
      <c r="FTO50" s="9"/>
      <c r="FTP50" s="9"/>
      <c r="FTQ50" s="9"/>
      <c r="FTR50" s="9"/>
      <c r="FTS50" s="9"/>
      <c r="FTT50" s="9"/>
      <c r="FTU50" s="9"/>
      <c r="FTV50" s="9"/>
      <c r="FTW50" s="9"/>
      <c r="FTX50" s="9"/>
      <c r="FTY50" s="9"/>
      <c r="FTZ50" s="9"/>
      <c r="FUA50" s="9"/>
      <c r="FUB50" s="9"/>
      <c r="FUC50" s="9"/>
      <c r="FUD50" s="9"/>
      <c r="FUE50" s="9"/>
      <c r="FUF50" s="9"/>
      <c r="FUG50" s="9"/>
      <c r="FUH50" s="9"/>
      <c r="FUI50" s="9"/>
      <c r="FUJ50" s="9"/>
      <c r="FUK50" s="9"/>
      <c r="FUL50" s="9"/>
      <c r="FUM50" s="9"/>
      <c r="FUN50" s="9"/>
      <c r="FUO50" s="9"/>
      <c r="FUP50" s="9"/>
      <c r="FUQ50" s="9"/>
      <c r="FUR50" s="9"/>
      <c r="FUS50" s="9"/>
      <c r="FUT50" s="9"/>
      <c r="FUU50" s="9"/>
      <c r="FUV50" s="9"/>
      <c r="FUW50" s="9"/>
      <c r="FUX50" s="9"/>
      <c r="FUY50" s="9"/>
      <c r="FUZ50" s="9"/>
      <c r="FVA50" s="9"/>
      <c r="FVB50" s="9"/>
      <c r="FVC50" s="9"/>
      <c r="FVD50" s="9"/>
      <c r="FVE50" s="9"/>
      <c r="FVF50" s="9"/>
      <c r="FVG50" s="9"/>
      <c r="FVH50" s="9"/>
      <c r="FVI50" s="9"/>
      <c r="FVJ50" s="9"/>
      <c r="FVK50" s="9"/>
      <c r="FVL50" s="9"/>
      <c r="FVM50" s="9"/>
      <c r="FVN50" s="9"/>
      <c r="FVO50" s="9"/>
      <c r="FVP50" s="9"/>
      <c r="FVQ50" s="9"/>
      <c r="FVR50" s="9"/>
      <c r="FVS50" s="9"/>
      <c r="FVT50" s="9"/>
      <c r="FVU50" s="9"/>
      <c r="FVV50" s="9"/>
      <c r="FVW50" s="9"/>
      <c r="FVX50" s="9"/>
      <c r="FVY50" s="9"/>
      <c r="FVZ50" s="9"/>
      <c r="FWA50" s="9"/>
      <c r="FWB50" s="9"/>
      <c r="FWC50" s="9"/>
      <c r="FWD50" s="9"/>
      <c r="FWE50" s="9"/>
      <c r="FWF50" s="9"/>
      <c r="FWG50" s="9"/>
      <c r="FWH50" s="9"/>
      <c r="FWI50" s="9"/>
      <c r="FWJ50" s="9"/>
      <c r="FWK50" s="9"/>
      <c r="FWL50" s="9"/>
      <c r="FWM50" s="9"/>
      <c r="FWN50" s="9"/>
      <c r="FWO50" s="9"/>
      <c r="FWP50" s="9"/>
      <c r="FWQ50" s="9"/>
      <c r="FWR50" s="9"/>
      <c r="FWS50" s="9"/>
      <c r="FWT50" s="9"/>
      <c r="FWU50" s="9"/>
      <c r="FWV50" s="9"/>
      <c r="FWW50" s="9"/>
      <c r="FWX50" s="9"/>
      <c r="FWY50" s="9"/>
      <c r="FWZ50" s="9"/>
      <c r="FXA50" s="9"/>
      <c r="FXB50" s="9"/>
      <c r="FXC50" s="9"/>
      <c r="FXD50" s="9"/>
      <c r="FXE50" s="9"/>
      <c r="FXF50" s="9"/>
      <c r="FXG50" s="9"/>
      <c r="FXH50" s="9"/>
      <c r="FXI50" s="9"/>
      <c r="FXJ50" s="9"/>
      <c r="FXK50" s="9"/>
      <c r="FXL50" s="9"/>
      <c r="FXM50" s="9"/>
      <c r="FXN50" s="9"/>
      <c r="FXO50" s="9"/>
      <c r="FXP50" s="9"/>
      <c r="FXQ50" s="9"/>
      <c r="FXR50" s="9"/>
      <c r="FXS50" s="9"/>
      <c r="FXT50" s="9"/>
      <c r="FXU50" s="9"/>
      <c r="FXV50" s="9"/>
      <c r="FXW50" s="9"/>
      <c r="FXX50" s="9"/>
      <c r="FXY50" s="9"/>
      <c r="FXZ50" s="9"/>
      <c r="FYA50" s="9"/>
      <c r="FYB50" s="9"/>
      <c r="FYC50" s="9"/>
      <c r="FYD50" s="9"/>
      <c r="FYE50" s="9"/>
      <c r="FYF50" s="9"/>
      <c r="FYG50" s="9"/>
      <c r="FYH50" s="9"/>
      <c r="FYI50" s="9"/>
      <c r="FYJ50" s="9"/>
      <c r="FYK50" s="9"/>
      <c r="FYL50" s="9"/>
      <c r="FYM50" s="9"/>
      <c r="FYN50" s="9"/>
      <c r="FYO50" s="9"/>
      <c r="FYP50" s="9"/>
      <c r="FYQ50" s="9"/>
      <c r="FYR50" s="9"/>
      <c r="FYS50" s="9"/>
      <c r="FYT50" s="9"/>
      <c r="FYU50" s="9"/>
      <c r="FYV50" s="9"/>
      <c r="FYW50" s="9"/>
      <c r="FYX50" s="9"/>
      <c r="FYY50" s="9"/>
      <c r="FYZ50" s="9"/>
      <c r="FZA50" s="9"/>
      <c r="FZB50" s="9"/>
      <c r="FZC50" s="9"/>
      <c r="FZD50" s="9"/>
      <c r="FZE50" s="9"/>
      <c r="FZF50" s="9"/>
      <c r="FZG50" s="9"/>
      <c r="FZH50" s="9"/>
      <c r="FZI50" s="9"/>
      <c r="FZJ50" s="9"/>
      <c r="FZK50" s="9"/>
      <c r="FZL50" s="9"/>
      <c r="FZM50" s="9"/>
      <c r="FZN50" s="9"/>
      <c r="FZO50" s="9"/>
      <c r="FZP50" s="9"/>
      <c r="FZQ50" s="9"/>
      <c r="FZR50" s="9"/>
      <c r="FZS50" s="9"/>
      <c r="FZT50" s="9"/>
      <c r="FZU50" s="9"/>
      <c r="FZV50" s="9"/>
      <c r="FZW50" s="9"/>
      <c r="FZX50" s="9"/>
      <c r="FZY50" s="9"/>
      <c r="FZZ50" s="9"/>
      <c r="GAA50" s="9"/>
      <c r="GAB50" s="9"/>
      <c r="GAC50" s="9"/>
      <c r="GAD50" s="9"/>
      <c r="GAE50" s="9"/>
      <c r="GAF50" s="9"/>
      <c r="GAG50" s="9"/>
      <c r="GAH50" s="9"/>
      <c r="GAI50" s="9"/>
      <c r="GAJ50" s="9"/>
      <c r="GAK50" s="9"/>
      <c r="GAL50" s="9"/>
      <c r="GAM50" s="9"/>
      <c r="GAN50" s="9"/>
      <c r="GAO50" s="9"/>
      <c r="GAP50" s="9"/>
      <c r="GAQ50" s="9"/>
      <c r="GAR50" s="9"/>
      <c r="GAS50" s="9"/>
      <c r="GAT50" s="9"/>
      <c r="GAU50" s="9"/>
      <c r="GAV50" s="9"/>
      <c r="GAW50" s="9"/>
      <c r="GAX50" s="9"/>
      <c r="GAY50" s="9"/>
      <c r="GAZ50" s="9"/>
      <c r="GBA50" s="9"/>
      <c r="GBB50" s="9"/>
      <c r="GBC50" s="9"/>
      <c r="GBD50" s="9"/>
      <c r="GBE50" s="9"/>
      <c r="GBF50" s="9"/>
      <c r="GBG50" s="9"/>
      <c r="GBH50" s="9"/>
      <c r="GBI50" s="9"/>
      <c r="GBJ50" s="9"/>
      <c r="GBK50" s="9"/>
      <c r="GBL50" s="9"/>
      <c r="GBM50" s="9"/>
      <c r="GBN50" s="9"/>
      <c r="GBO50" s="9"/>
      <c r="GBP50" s="9"/>
      <c r="GBQ50" s="9"/>
      <c r="GBR50" s="9"/>
      <c r="GBS50" s="9"/>
      <c r="GBT50" s="9"/>
      <c r="GBU50" s="9"/>
      <c r="GBV50" s="9"/>
      <c r="GBW50" s="9"/>
      <c r="GBX50" s="9"/>
      <c r="GBY50" s="9"/>
      <c r="GBZ50" s="9"/>
      <c r="GCA50" s="9"/>
      <c r="GCB50" s="9"/>
      <c r="GCC50" s="9"/>
      <c r="GCD50" s="9"/>
      <c r="GCE50" s="9"/>
      <c r="GCF50" s="9"/>
      <c r="GCG50" s="9"/>
      <c r="GCH50" s="9"/>
      <c r="GCI50" s="9"/>
      <c r="GCJ50" s="9"/>
      <c r="GCK50" s="9"/>
      <c r="GCL50" s="9"/>
      <c r="GCM50" s="9"/>
      <c r="GCN50" s="9"/>
      <c r="GCO50" s="9"/>
      <c r="GCP50" s="9"/>
      <c r="GCQ50" s="9"/>
      <c r="GCR50" s="9"/>
      <c r="GCS50" s="9"/>
      <c r="GCT50" s="9"/>
      <c r="GCU50" s="9"/>
      <c r="GCV50" s="9"/>
      <c r="GCW50" s="9"/>
      <c r="GCX50" s="9"/>
      <c r="GCY50" s="9"/>
      <c r="GCZ50" s="9"/>
      <c r="GDA50" s="9"/>
      <c r="GDB50" s="9"/>
      <c r="GDC50" s="9"/>
      <c r="GDD50" s="9"/>
      <c r="GDE50" s="9"/>
      <c r="GDF50" s="9"/>
      <c r="GDG50" s="9"/>
      <c r="GDH50" s="9"/>
      <c r="GDI50" s="9"/>
      <c r="GDJ50" s="9"/>
      <c r="GDK50" s="9"/>
      <c r="GDL50" s="9"/>
      <c r="GDM50" s="9"/>
      <c r="GDN50" s="9"/>
      <c r="GDO50" s="9"/>
      <c r="GDP50" s="9"/>
      <c r="GDQ50" s="9"/>
      <c r="GDR50" s="9"/>
      <c r="GDS50" s="9"/>
      <c r="GDT50" s="9"/>
      <c r="GDU50" s="9"/>
      <c r="GDV50" s="9"/>
      <c r="GDW50" s="9"/>
      <c r="GDX50" s="9"/>
      <c r="GDY50" s="9"/>
      <c r="GDZ50" s="9"/>
      <c r="GEA50" s="9"/>
      <c r="GEB50" s="9"/>
      <c r="GEC50" s="9"/>
      <c r="GED50" s="9"/>
      <c r="GEE50" s="9"/>
      <c r="GEF50" s="9"/>
      <c r="GEG50" s="9"/>
      <c r="GEH50" s="9"/>
      <c r="GEI50" s="9"/>
      <c r="GEJ50" s="9"/>
      <c r="GEK50" s="9"/>
      <c r="GEL50" s="9"/>
      <c r="GEM50" s="9"/>
      <c r="GEN50" s="9"/>
      <c r="GEO50" s="9"/>
      <c r="GEP50" s="9"/>
      <c r="GEQ50" s="9"/>
      <c r="GER50" s="9"/>
      <c r="GES50" s="9"/>
      <c r="GET50" s="9"/>
      <c r="GEU50" s="9"/>
      <c r="GEV50" s="9"/>
      <c r="GEW50" s="9"/>
      <c r="GEX50" s="9"/>
      <c r="GEY50" s="9"/>
      <c r="GEZ50" s="9"/>
      <c r="GFA50" s="9"/>
      <c r="GFB50" s="9"/>
      <c r="GFC50" s="9"/>
      <c r="GFD50" s="9"/>
      <c r="GFE50" s="9"/>
      <c r="GFF50" s="9"/>
      <c r="GFG50" s="9"/>
      <c r="GFH50" s="9"/>
      <c r="GFI50" s="9"/>
      <c r="GFJ50" s="9"/>
      <c r="GFK50" s="9"/>
      <c r="GFL50" s="9"/>
      <c r="GFM50" s="9"/>
      <c r="GFN50" s="9"/>
      <c r="GFO50" s="9"/>
      <c r="GFP50" s="9"/>
      <c r="GFQ50" s="9"/>
      <c r="GFR50" s="9"/>
      <c r="GFS50" s="9"/>
      <c r="GFT50" s="9"/>
      <c r="GFU50" s="9"/>
      <c r="GFV50" s="9"/>
      <c r="GFW50" s="9"/>
      <c r="GFX50" s="9"/>
      <c r="GFY50" s="9"/>
      <c r="GFZ50" s="9"/>
      <c r="GGA50" s="9"/>
      <c r="GGB50" s="9"/>
      <c r="GGC50" s="9"/>
      <c r="GGD50" s="9"/>
      <c r="GGE50" s="9"/>
      <c r="GGF50" s="9"/>
      <c r="GGG50" s="9"/>
      <c r="GGH50" s="9"/>
      <c r="GGI50" s="9"/>
      <c r="GGJ50" s="9"/>
      <c r="GGK50" s="9"/>
      <c r="GGL50" s="9"/>
      <c r="GGM50" s="9"/>
      <c r="GGN50" s="9"/>
      <c r="GGO50" s="9"/>
      <c r="GGP50" s="9"/>
      <c r="GGQ50" s="9"/>
      <c r="GGR50" s="9"/>
      <c r="GGS50" s="9"/>
      <c r="GGT50" s="9"/>
      <c r="GGU50" s="9"/>
      <c r="GGV50" s="9"/>
      <c r="GGW50" s="9"/>
      <c r="GGX50" s="9"/>
      <c r="GGY50" s="9"/>
      <c r="GGZ50" s="9"/>
      <c r="GHA50" s="9"/>
      <c r="GHB50" s="9"/>
      <c r="GHC50" s="9"/>
      <c r="GHD50" s="9"/>
      <c r="GHE50" s="9"/>
      <c r="GHF50" s="9"/>
      <c r="GHG50" s="9"/>
      <c r="GHH50" s="9"/>
      <c r="GHI50" s="9"/>
      <c r="GHJ50" s="9"/>
      <c r="GHK50" s="9"/>
      <c r="GHL50" s="9"/>
      <c r="GHM50" s="9"/>
      <c r="GHN50" s="9"/>
      <c r="GHO50" s="9"/>
      <c r="GHP50" s="9"/>
      <c r="GHQ50" s="9"/>
      <c r="GHR50" s="9"/>
      <c r="GHS50" s="9"/>
      <c r="GHT50" s="9"/>
      <c r="GHU50" s="9"/>
      <c r="GHV50" s="9"/>
      <c r="GHW50" s="9"/>
      <c r="GHX50" s="9"/>
      <c r="GHY50" s="9"/>
      <c r="GHZ50" s="9"/>
      <c r="GIA50" s="9"/>
      <c r="GIB50" s="9"/>
      <c r="GIC50" s="9"/>
      <c r="GID50" s="9"/>
      <c r="GIE50" s="9"/>
      <c r="GIF50" s="9"/>
      <c r="GIG50" s="9"/>
      <c r="GIH50" s="9"/>
      <c r="GII50" s="9"/>
      <c r="GIJ50" s="9"/>
      <c r="GIK50" s="9"/>
      <c r="GIL50" s="9"/>
      <c r="GIM50" s="9"/>
      <c r="GIN50" s="9"/>
      <c r="GIO50" s="9"/>
      <c r="GIP50" s="9"/>
      <c r="GIQ50" s="9"/>
      <c r="GIR50" s="9"/>
      <c r="GIS50" s="9"/>
      <c r="GIT50" s="9"/>
      <c r="GIU50" s="9"/>
      <c r="GIV50" s="9"/>
      <c r="GIW50" s="9"/>
      <c r="GIX50" s="9"/>
      <c r="GIY50" s="9"/>
      <c r="GIZ50" s="9"/>
      <c r="GJA50" s="9"/>
      <c r="GJB50" s="9"/>
      <c r="GJC50" s="9"/>
      <c r="GJD50" s="9"/>
      <c r="GJE50" s="9"/>
      <c r="GJF50" s="9"/>
      <c r="GJG50" s="9"/>
      <c r="GJH50" s="9"/>
      <c r="GJI50" s="9"/>
      <c r="GJJ50" s="9"/>
      <c r="GJK50" s="9"/>
      <c r="GJL50" s="9"/>
      <c r="GJM50" s="9"/>
      <c r="GJN50" s="9"/>
      <c r="GJO50" s="9"/>
      <c r="GJP50" s="9"/>
      <c r="GJQ50" s="9"/>
      <c r="GJR50" s="9"/>
      <c r="GJS50" s="9"/>
      <c r="GJT50" s="9"/>
      <c r="GJU50" s="9"/>
      <c r="GJV50" s="9"/>
      <c r="GJW50" s="9"/>
      <c r="GJX50" s="9"/>
      <c r="GJY50" s="9"/>
      <c r="GJZ50" s="9"/>
      <c r="GKA50" s="9"/>
      <c r="GKB50" s="9"/>
      <c r="GKC50" s="9"/>
      <c r="GKD50" s="9"/>
      <c r="GKE50" s="9"/>
      <c r="GKF50" s="9"/>
      <c r="GKG50" s="9"/>
      <c r="GKH50" s="9"/>
      <c r="GKI50" s="9"/>
      <c r="GKJ50" s="9"/>
      <c r="GKK50" s="9"/>
      <c r="GKL50" s="9"/>
      <c r="GKM50" s="9"/>
      <c r="GKN50" s="9"/>
      <c r="GKO50" s="9"/>
      <c r="GKP50" s="9"/>
      <c r="GKQ50" s="9"/>
      <c r="GKR50" s="9"/>
      <c r="GKS50" s="9"/>
      <c r="GKT50" s="9"/>
      <c r="GKU50" s="9"/>
      <c r="GKV50" s="9"/>
      <c r="GKW50" s="9"/>
      <c r="GKX50" s="9"/>
      <c r="GKY50" s="9"/>
      <c r="GKZ50" s="9"/>
      <c r="GLA50" s="9"/>
      <c r="GLB50" s="9"/>
      <c r="GLC50" s="9"/>
      <c r="GLD50" s="9"/>
      <c r="GLE50" s="9"/>
      <c r="GLF50" s="9"/>
      <c r="GLG50" s="9"/>
      <c r="GLH50" s="9"/>
      <c r="GLI50" s="9"/>
      <c r="GLJ50" s="9"/>
      <c r="GLK50" s="9"/>
      <c r="GLL50" s="9"/>
      <c r="GLM50" s="9"/>
      <c r="GLN50" s="9"/>
      <c r="GLO50" s="9"/>
      <c r="GLP50" s="9"/>
      <c r="GLQ50" s="9"/>
      <c r="GLR50" s="9"/>
      <c r="GLS50" s="9"/>
      <c r="GLT50" s="9"/>
      <c r="GLU50" s="9"/>
      <c r="GLV50" s="9"/>
      <c r="GLW50" s="9"/>
      <c r="GLX50" s="9"/>
      <c r="GLY50" s="9"/>
      <c r="GLZ50" s="9"/>
      <c r="GMA50" s="9"/>
      <c r="GMB50" s="9"/>
      <c r="GMC50" s="9"/>
      <c r="GMD50" s="9"/>
      <c r="GME50" s="9"/>
      <c r="GMF50" s="9"/>
      <c r="GMG50" s="9"/>
      <c r="GMH50" s="9"/>
      <c r="GMI50" s="9"/>
      <c r="GMJ50" s="9"/>
      <c r="GMK50" s="9"/>
      <c r="GML50" s="9"/>
      <c r="GMM50" s="9"/>
      <c r="GMN50" s="9"/>
      <c r="GMO50" s="9"/>
      <c r="GMP50" s="9"/>
      <c r="GMQ50" s="9"/>
      <c r="GMR50" s="9"/>
      <c r="GMS50" s="9"/>
      <c r="GMT50" s="9"/>
      <c r="GMU50" s="9"/>
      <c r="GMV50" s="9"/>
      <c r="GMW50" s="9"/>
      <c r="GMX50" s="9"/>
      <c r="GMY50" s="9"/>
      <c r="GMZ50" s="9"/>
      <c r="GNA50" s="9"/>
      <c r="GNB50" s="9"/>
      <c r="GNC50" s="9"/>
      <c r="GND50" s="9"/>
      <c r="GNE50" s="9"/>
      <c r="GNF50" s="9"/>
      <c r="GNG50" s="9"/>
      <c r="GNH50" s="9"/>
      <c r="GNI50" s="9"/>
      <c r="GNJ50" s="9"/>
      <c r="GNK50" s="9"/>
      <c r="GNL50" s="9"/>
      <c r="GNM50" s="9"/>
      <c r="GNN50" s="9"/>
      <c r="GNO50" s="9"/>
      <c r="GNP50" s="9"/>
      <c r="GNQ50" s="9"/>
      <c r="GNR50" s="9"/>
      <c r="GNS50" s="9"/>
      <c r="GNT50" s="9"/>
      <c r="GNU50" s="9"/>
      <c r="GNV50" s="9"/>
      <c r="GNW50" s="9"/>
      <c r="GNX50" s="9"/>
      <c r="GNY50" s="9"/>
      <c r="GNZ50" s="9"/>
      <c r="GOA50" s="9"/>
      <c r="GOB50" s="9"/>
      <c r="GOC50" s="9"/>
      <c r="GOD50" s="9"/>
      <c r="GOE50" s="9"/>
      <c r="GOF50" s="9"/>
      <c r="GOG50" s="9"/>
      <c r="GOH50" s="9"/>
      <c r="GOI50" s="9"/>
      <c r="GOJ50" s="9"/>
      <c r="GOK50" s="9"/>
      <c r="GOL50" s="9"/>
      <c r="GOM50" s="9"/>
      <c r="GON50" s="9"/>
      <c r="GOO50" s="9"/>
      <c r="GOP50" s="9"/>
      <c r="GOQ50" s="9"/>
      <c r="GOR50" s="9"/>
      <c r="GOS50" s="9"/>
      <c r="GOT50" s="9"/>
      <c r="GOU50" s="9"/>
      <c r="GOV50" s="9"/>
      <c r="GOW50" s="9"/>
      <c r="GOX50" s="9"/>
      <c r="GOY50" s="9"/>
      <c r="GOZ50" s="9"/>
      <c r="GPA50" s="9"/>
      <c r="GPB50" s="9"/>
      <c r="GPC50" s="9"/>
      <c r="GPD50" s="9"/>
      <c r="GPE50" s="9"/>
      <c r="GPF50" s="9"/>
      <c r="GPG50" s="9"/>
      <c r="GPH50" s="9"/>
      <c r="GPI50" s="9"/>
      <c r="GPJ50" s="9"/>
      <c r="GPK50" s="9"/>
      <c r="GPL50" s="9"/>
      <c r="GPM50" s="9"/>
      <c r="GPN50" s="9"/>
      <c r="GPO50" s="9"/>
      <c r="GPP50" s="9"/>
      <c r="GPQ50" s="9"/>
      <c r="GPR50" s="9"/>
      <c r="GPS50" s="9"/>
      <c r="GPT50" s="9"/>
      <c r="GPU50" s="9"/>
      <c r="GPV50" s="9"/>
      <c r="GPW50" s="9"/>
      <c r="GPX50" s="9"/>
      <c r="GPY50" s="9"/>
      <c r="GPZ50" s="9"/>
      <c r="GQA50" s="9"/>
      <c r="GQB50" s="9"/>
      <c r="GQC50" s="9"/>
      <c r="GQD50" s="9"/>
      <c r="GQE50" s="9"/>
      <c r="GQF50" s="9"/>
      <c r="GQG50" s="9"/>
      <c r="GQH50" s="9"/>
      <c r="GQI50" s="9"/>
      <c r="GQJ50" s="9"/>
      <c r="GQK50" s="9"/>
      <c r="GQL50" s="9"/>
      <c r="GQM50" s="9"/>
      <c r="GQN50" s="9"/>
      <c r="GQO50" s="9"/>
      <c r="GQP50" s="9"/>
      <c r="GQQ50" s="9"/>
      <c r="GQR50" s="9"/>
      <c r="GQS50" s="9"/>
      <c r="GQT50" s="9"/>
      <c r="GQU50" s="9"/>
      <c r="GQV50" s="9"/>
      <c r="GQW50" s="9"/>
      <c r="GQX50" s="9"/>
      <c r="GQY50" s="9"/>
      <c r="GQZ50" s="9"/>
      <c r="GRA50" s="9"/>
      <c r="GRB50" s="9"/>
      <c r="GRC50" s="9"/>
      <c r="GRD50" s="9"/>
      <c r="GRE50" s="9"/>
      <c r="GRF50" s="9"/>
      <c r="GRG50" s="9"/>
      <c r="GRH50" s="9"/>
      <c r="GRI50" s="9"/>
      <c r="GRJ50" s="9"/>
      <c r="GRK50" s="9"/>
      <c r="GRL50" s="9"/>
      <c r="GRM50" s="9"/>
      <c r="GRN50" s="9"/>
      <c r="GRO50" s="9"/>
      <c r="GRP50" s="9"/>
      <c r="GRQ50" s="9"/>
      <c r="GRR50" s="9"/>
      <c r="GRS50" s="9"/>
      <c r="GRT50" s="9"/>
      <c r="GRU50" s="9"/>
      <c r="GRV50" s="9"/>
      <c r="GRW50" s="9"/>
      <c r="GRX50" s="9"/>
      <c r="GRY50" s="9"/>
      <c r="GRZ50" s="9"/>
      <c r="GSA50" s="9"/>
      <c r="GSB50" s="9"/>
      <c r="GSC50" s="9"/>
      <c r="GSD50" s="9"/>
      <c r="GSE50" s="9"/>
      <c r="GSF50" s="9"/>
      <c r="GSG50" s="9"/>
      <c r="GSH50" s="9"/>
      <c r="GSI50" s="9"/>
      <c r="GSJ50" s="9"/>
      <c r="GSK50" s="9"/>
      <c r="GSL50" s="9"/>
      <c r="GSM50" s="9"/>
      <c r="GSN50" s="9"/>
      <c r="GSO50" s="9"/>
      <c r="GSP50" s="9"/>
      <c r="GSQ50" s="9"/>
      <c r="GSR50" s="9"/>
      <c r="GSS50" s="9"/>
      <c r="GST50" s="9"/>
      <c r="GSU50" s="9"/>
      <c r="GSV50" s="9"/>
      <c r="GSW50" s="9"/>
      <c r="GSX50" s="9"/>
      <c r="GSY50" s="9"/>
      <c r="GSZ50" s="9"/>
      <c r="GTA50" s="9"/>
      <c r="GTB50" s="9"/>
      <c r="GTC50" s="9"/>
      <c r="GTD50" s="9"/>
      <c r="GTE50" s="9"/>
      <c r="GTF50" s="9"/>
      <c r="GTG50" s="9"/>
      <c r="GTH50" s="9"/>
      <c r="GTI50" s="9"/>
      <c r="GTJ50" s="9"/>
      <c r="GTK50" s="9"/>
      <c r="GTL50" s="9"/>
      <c r="GTM50" s="9"/>
      <c r="GTN50" s="9"/>
      <c r="GTO50" s="9"/>
      <c r="GTP50" s="9"/>
      <c r="GTQ50" s="9"/>
      <c r="GTR50" s="9"/>
      <c r="GTS50" s="9"/>
      <c r="GTT50" s="9"/>
      <c r="GTU50" s="9"/>
      <c r="GTV50" s="9"/>
      <c r="GTW50" s="9"/>
      <c r="GTX50" s="9"/>
      <c r="GTY50" s="9"/>
      <c r="GTZ50" s="9"/>
      <c r="GUA50" s="9"/>
      <c r="GUB50" s="9"/>
      <c r="GUC50" s="9"/>
      <c r="GUD50" s="9"/>
      <c r="GUE50" s="9"/>
      <c r="GUF50" s="9"/>
      <c r="GUG50" s="9"/>
      <c r="GUH50" s="9"/>
      <c r="GUI50" s="9"/>
      <c r="GUJ50" s="9"/>
      <c r="GUK50" s="9"/>
      <c r="GUL50" s="9"/>
      <c r="GUM50" s="9"/>
      <c r="GUN50" s="9"/>
      <c r="GUO50" s="9"/>
      <c r="GUP50" s="9"/>
      <c r="GUQ50" s="9"/>
      <c r="GUR50" s="9"/>
      <c r="GUS50" s="9"/>
      <c r="GUT50" s="9"/>
      <c r="GUU50" s="9"/>
      <c r="GUV50" s="9"/>
      <c r="GUW50" s="9"/>
      <c r="GUX50" s="9"/>
      <c r="GUY50" s="9"/>
      <c r="GUZ50" s="9"/>
      <c r="GVA50" s="9"/>
      <c r="GVB50" s="9"/>
      <c r="GVC50" s="9"/>
      <c r="GVD50" s="9"/>
      <c r="GVE50" s="9"/>
      <c r="GVF50" s="9"/>
      <c r="GVG50" s="9"/>
      <c r="GVH50" s="9"/>
      <c r="GVI50" s="9"/>
      <c r="GVJ50" s="9"/>
      <c r="GVK50" s="9"/>
      <c r="GVL50" s="9"/>
      <c r="GVM50" s="9"/>
      <c r="GVN50" s="9"/>
      <c r="GVO50" s="9"/>
      <c r="GVP50" s="9"/>
      <c r="GVQ50" s="9"/>
      <c r="GVR50" s="9"/>
      <c r="GVS50" s="9"/>
      <c r="GVT50" s="9"/>
      <c r="GVU50" s="9"/>
      <c r="GVV50" s="9"/>
      <c r="GVW50" s="9"/>
      <c r="GVX50" s="9"/>
      <c r="GVY50" s="9"/>
      <c r="GVZ50" s="9"/>
      <c r="GWA50" s="9"/>
      <c r="GWB50" s="9"/>
      <c r="GWC50" s="9"/>
      <c r="GWD50" s="9"/>
      <c r="GWE50" s="9"/>
      <c r="GWF50" s="9"/>
      <c r="GWG50" s="9"/>
      <c r="GWH50" s="9"/>
      <c r="GWI50" s="9"/>
      <c r="GWJ50" s="9"/>
      <c r="GWK50" s="9"/>
      <c r="GWL50" s="9"/>
      <c r="GWM50" s="9"/>
      <c r="GWN50" s="9"/>
      <c r="GWO50" s="9"/>
      <c r="GWP50" s="9"/>
      <c r="GWQ50" s="9"/>
      <c r="GWR50" s="9"/>
      <c r="GWS50" s="9"/>
      <c r="GWT50" s="9"/>
      <c r="GWU50" s="9"/>
      <c r="GWV50" s="9"/>
      <c r="GWW50" s="9"/>
      <c r="GWX50" s="9"/>
      <c r="GWY50" s="9"/>
      <c r="GWZ50" s="9"/>
      <c r="GXA50" s="9"/>
      <c r="GXB50" s="9"/>
      <c r="GXC50" s="9"/>
      <c r="GXD50" s="9"/>
      <c r="GXE50" s="9"/>
      <c r="GXF50" s="9"/>
      <c r="GXG50" s="9"/>
      <c r="GXH50" s="9"/>
      <c r="GXI50" s="9"/>
      <c r="GXJ50" s="9"/>
      <c r="GXK50" s="9"/>
      <c r="GXL50" s="9"/>
      <c r="GXM50" s="9"/>
      <c r="GXN50" s="9"/>
      <c r="GXO50" s="9"/>
      <c r="GXP50" s="9"/>
      <c r="GXQ50" s="9"/>
      <c r="GXR50" s="9"/>
      <c r="GXS50" s="9"/>
      <c r="GXT50" s="9"/>
      <c r="GXU50" s="9"/>
      <c r="GXV50" s="9"/>
      <c r="GXW50" s="9"/>
      <c r="GXX50" s="9"/>
      <c r="GXY50" s="9"/>
      <c r="GXZ50" s="9"/>
      <c r="GYA50" s="9"/>
      <c r="GYB50" s="9"/>
      <c r="GYC50" s="9"/>
      <c r="GYD50" s="9"/>
      <c r="GYE50" s="9"/>
      <c r="GYF50" s="9"/>
      <c r="GYG50" s="9"/>
      <c r="GYH50" s="9"/>
      <c r="GYI50" s="9"/>
      <c r="GYJ50" s="9"/>
      <c r="GYK50" s="9"/>
      <c r="GYL50" s="9"/>
      <c r="GYM50" s="9"/>
      <c r="GYN50" s="9"/>
      <c r="GYO50" s="9"/>
      <c r="GYP50" s="9"/>
      <c r="GYQ50" s="9"/>
      <c r="GYR50" s="9"/>
      <c r="GYS50" s="9"/>
      <c r="GYT50" s="9"/>
      <c r="GYU50" s="9"/>
      <c r="GYV50" s="9"/>
      <c r="GYW50" s="9"/>
      <c r="GYX50" s="9"/>
      <c r="GYY50" s="9"/>
      <c r="GYZ50" s="9"/>
      <c r="GZA50" s="9"/>
      <c r="GZB50" s="9"/>
      <c r="GZC50" s="9"/>
      <c r="GZD50" s="9"/>
      <c r="GZE50" s="9"/>
      <c r="GZF50" s="9"/>
      <c r="GZG50" s="9"/>
      <c r="GZH50" s="9"/>
      <c r="GZI50" s="9"/>
      <c r="GZJ50" s="9"/>
      <c r="GZK50" s="9"/>
      <c r="GZL50" s="9"/>
      <c r="GZM50" s="9"/>
      <c r="GZN50" s="9"/>
      <c r="GZO50" s="9"/>
      <c r="GZP50" s="9"/>
      <c r="GZQ50" s="9"/>
      <c r="GZR50" s="9"/>
      <c r="GZS50" s="9"/>
      <c r="GZT50" s="9"/>
      <c r="GZU50" s="9"/>
      <c r="GZV50" s="9"/>
      <c r="GZW50" s="9"/>
      <c r="GZX50" s="9"/>
      <c r="GZY50" s="9"/>
      <c r="GZZ50" s="9"/>
      <c r="HAA50" s="9"/>
      <c r="HAB50" s="9"/>
      <c r="HAC50" s="9"/>
      <c r="HAD50" s="9"/>
      <c r="HAE50" s="9"/>
      <c r="HAF50" s="9"/>
      <c r="HAG50" s="9"/>
      <c r="HAH50" s="9"/>
      <c r="HAI50" s="9"/>
      <c r="HAJ50" s="9"/>
      <c r="HAK50" s="9"/>
      <c r="HAL50" s="9"/>
      <c r="HAM50" s="9"/>
      <c r="HAN50" s="9"/>
      <c r="HAO50" s="9"/>
      <c r="HAP50" s="9"/>
      <c r="HAQ50" s="9"/>
      <c r="HAR50" s="9"/>
      <c r="HAS50" s="9"/>
      <c r="HAT50" s="9"/>
      <c r="HAU50" s="9"/>
      <c r="HAV50" s="9"/>
      <c r="HAW50" s="9"/>
      <c r="HAX50" s="9"/>
      <c r="HAY50" s="9"/>
      <c r="HAZ50" s="9"/>
      <c r="HBA50" s="9"/>
      <c r="HBB50" s="9"/>
      <c r="HBC50" s="9"/>
      <c r="HBD50" s="9"/>
      <c r="HBE50" s="9"/>
      <c r="HBF50" s="9"/>
      <c r="HBG50" s="9"/>
      <c r="HBH50" s="9"/>
      <c r="HBI50" s="9"/>
      <c r="HBJ50" s="9"/>
      <c r="HBK50" s="9"/>
      <c r="HBL50" s="9"/>
      <c r="HBM50" s="9"/>
      <c r="HBN50" s="9"/>
      <c r="HBO50" s="9"/>
      <c r="HBP50" s="9"/>
      <c r="HBQ50" s="9"/>
      <c r="HBR50" s="9"/>
      <c r="HBS50" s="9"/>
      <c r="HBT50" s="9"/>
      <c r="HBU50" s="9"/>
      <c r="HBV50" s="9"/>
      <c r="HBW50" s="9"/>
      <c r="HBX50" s="9"/>
      <c r="HBY50" s="9"/>
      <c r="HBZ50" s="9"/>
      <c r="HCA50" s="9"/>
      <c r="HCB50" s="9"/>
      <c r="HCC50" s="9"/>
      <c r="HCD50" s="9"/>
      <c r="HCE50" s="9"/>
      <c r="HCF50" s="9"/>
      <c r="HCG50" s="9"/>
      <c r="HCH50" s="9"/>
      <c r="HCI50" s="9"/>
      <c r="HCJ50" s="9"/>
      <c r="HCK50" s="9"/>
      <c r="HCL50" s="9"/>
      <c r="HCM50" s="9"/>
      <c r="HCN50" s="9"/>
      <c r="HCO50" s="9"/>
      <c r="HCP50" s="9"/>
      <c r="HCQ50" s="9"/>
      <c r="HCR50" s="9"/>
      <c r="HCS50" s="9"/>
      <c r="HCT50" s="9"/>
      <c r="HCU50" s="9"/>
      <c r="HCV50" s="9"/>
      <c r="HCW50" s="9"/>
      <c r="HCX50" s="9"/>
      <c r="HCY50" s="9"/>
      <c r="HCZ50" s="9"/>
      <c r="HDA50" s="9"/>
      <c r="HDB50" s="9"/>
      <c r="HDC50" s="9"/>
      <c r="HDD50" s="9"/>
      <c r="HDE50" s="9"/>
      <c r="HDF50" s="9"/>
      <c r="HDG50" s="9"/>
      <c r="HDH50" s="9"/>
      <c r="HDI50" s="9"/>
      <c r="HDJ50" s="9"/>
      <c r="HDK50" s="9"/>
      <c r="HDL50" s="9"/>
      <c r="HDM50" s="9"/>
      <c r="HDN50" s="9"/>
      <c r="HDO50" s="9"/>
      <c r="HDP50" s="9"/>
      <c r="HDQ50" s="9"/>
      <c r="HDR50" s="9"/>
      <c r="HDS50" s="9"/>
      <c r="HDT50" s="9"/>
      <c r="HDU50" s="9"/>
      <c r="HDV50" s="9"/>
      <c r="HDW50" s="9"/>
      <c r="HDX50" s="9"/>
      <c r="HDY50" s="9"/>
      <c r="HDZ50" s="9"/>
      <c r="HEA50" s="9"/>
      <c r="HEB50" s="9"/>
      <c r="HEC50" s="9"/>
      <c r="HED50" s="9"/>
      <c r="HEE50" s="9"/>
      <c r="HEF50" s="9"/>
      <c r="HEG50" s="9"/>
      <c r="HEH50" s="9"/>
      <c r="HEI50" s="9"/>
      <c r="HEJ50" s="9"/>
      <c r="HEK50" s="9"/>
      <c r="HEL50" s="9"/>
      <c r="HEM50" s="9"/>
      <c r="HEN50" s="9"/>
      <c r="HEO50" s="9"/>
      <c r="HEP50" s="9"/>
      <c r="HEQ50" s="9"/>
      <c r="HER50" s="9"/>
      <c r="HES50" s="9"/>
      <c r="HET50" s="9"/>
      <c r="HEU50" s="9"/>
      <c r="HEV50" s="9"/>
      <c r="HEW50" s="9"/>
      <c r="HEX50" s="9"/>
      <c r="HEY50" s="9"/>
      <c r="HEZ50" s="9"/>
      <c r="HFA50" s="9"/>
      <c r="HFB50" s="9"/>
      <c r="HFC50" s="9"/>
      <c r="HFD50" s="9"/>
      <c r="HFE50" s="9"/>
      <c r="HFF50" s="9"/>
      <c r="HFG50" s="9"/>
      <c r="HFH50" s="9"/>
      <c r="HFI50" s="9"/>
      <c r="HFJ50" s="9"/>
      <c r="HFK50" s="9"/>
      <c r="HFL50" s="9"/>
      <c r="HFM50" s="9"/>
      <c r="HFN50" s="9"/>
      <c r="HFO50" s="9"/>
      <c r="HFP50" s="9"/>
      <c r="HFQ50" s="9"/>
      <c r="HFR50" s="9"/>
      <c r="HFS50" s="9"/>
      <c r="HFT50" s="9"/>
      <c r="HFU50" s="9"/>
      <c r="HFV50" s="9"/>
      <c r="HFW50" s="9"/>
      <c r="HFX50" s="9"/>
      <c r="HFY50" s="9"/>
      <c r="HFZ50" s="9"/>
      <c r="HGA50" s="9"/>
      <c r="HGB50" s="9"/>
      <c r="HGC50" s="9"/>
      <c r="HGD50" s="9"/>
      <c r="HGE50" s="9"/>
      <c r="HGF50" s="9"/>
      <c r="HGG50" s="9"/>
      <c r="HGH50" s="9"/>
      <c r="HGI50" s="9"/>
      <c r="HGJ50" s="9"/>
      <c r="HGK50" s="9"/>
      <c r="HGL50" s="9"/>
      <c r="HGM50" s="9"/>
      <c r="HGN50" s="9"/>
      <c r="HGO50" s="9"/>
      <c r="HGP50" s="9"/>
      <c r="HGQ50" s="9"/>
      <c r="HGR50" s="9"/>
      <c r="HGS50" s="9"/>
      <c r="HGT50" s="9"/>
      <c r="HGU50" s="9"/>
      <c r="HGV50" s="9"/>
      <c r="HGW50" s="9"/>
      <c r="HGX50" s="9"/>
      <c r="HGY50" s="9"/>
      <c r="HGZ50" s="9"/>
      <c r="HHA50" s="9"/>
      <c r="HHB50" s="9"/>
      <c r="HHC50" s="9"/>
      <c r="HHD50" s="9"/>
      <c r="HHE50" s="9"/>
      <c r="HHF50" s="9"/>
      <c r="HHG50" s="9"/>
      <c r="HHH50" s="9"/>
      <c r="HHI50" s="9"/>
      <c r="HHJ50" s="9"/>
      <c r="HHK50" s="9"/>
      <c r="HHL50" s="9"/>
      <c r="HHM50" s="9"/>
      <c r="HHN50" s="9"/>
      <c r="HHO50" s="9"/>
      <c r="HHP50" s="9"/>
      <c r="HHQ50" s="9"/>
      <c r="HHR50" s="9"/>
      <c r="HHS50" s="9"/>
      <c r="HHT50" s="9"/>
      <c r="HHU50" s="9"/>
      <c r="HHV50" s="9"/>
      <c r="HHW50" s="9"/>
      <c r="HHX50" s="9"/>
      <c r="HHY50" s="9"/>
      <c r="HHZ50" s="9"/>
      <c r="HIA50" s="9"/>
      <c r="HIB50" s="9"/>
      <c r="HIC50" s="9"/>
      <c r="HID50" s="9"/>
      <c r="HIE50" s="9"/>
      <c r="HIF50" s="9"/>
      <c r="HIG50" s="9"/>
      <c r="HIH50" s="9"/>
      <c r="HII50" s="9"/>
      <c r="HIJ50" s="9"/>
      <c r="HIK50" s="9"/>
      <c r="HIL50" s="9"/>
      <c r="HIM50" s="9"/>
      <c r="HIN50" s="9"/>
      <c r="HIO50" s="9"/>
      <c r="HIP50" s="9"/>
      <c r="HIQ50" s="9"/>
      <c r="HIR50" s="9"/>
      <c r="HIS50" s="9"/>
      <c r="HIT50" s="9"/>
      <c r="HIU50" s="9"/>
      <c r="HIV50" s="9"/>
      <c r="HIW50" s="9"/>
      <c r="HIX50" s="9"/>
      <c r="HIY50" s="9"/>
      <c r="HIZ50" s="9"/>
      <c r="HJA50" s="9"/>
      <c r="HJB50" s="9"/>
      <c r="HJC50" s="9"/>
      <c r="HJD50" s="9"/>
      <c r="HJE50" s="9"/>
      <c r="HJF50" s="9"/>
      <c r="HJG50" s="9"/>
      <c r="HJH50" s="9"/>
      <c r="HJI50" s="9"/>
      <c r="HJJ50" s="9"/>
      <c r="HJK50" s="9"/>
      <c r="HJL50" s="9"/>
      <c r="HJM50" s="9"/>
      <c r="HJN50" s="9"/>
      <c r="HJO50" s="9"/>
      <c r="HJP50" s="9"/>
      <c r="HJQ50" s="9"/>
      <c r="HJR50" s="9"/>
      <c r="HJS50" s="9"/>
      <c r="HJT50" s="9"/>
      <c r="HJU50" s="9"/>
      <c r="HJV50" s="9"/>
      <c r="HJW50" s="9"/>
      <c r="HJX50" s="9"/>
      <c r="HJY50" s="9"/>
      <c r="HJZ50" s="9"/>
      <c r="HKA50" s="9"/>
      <c r="HKB50" s="9"/>
      <c r="HKC50" s="9"/>
      <c r="HKD50" s="9"/>
      <c r="HKE50" s="9"/>
      <c r="HKF50" s="9"/>
      <c r="HKG50" s="9"/>
      <c r="HKH50" s="9"/>
      <c r="HKI50" s="9"/>
      <c r="HKJ50" s="9"/>
      <c r="HKK50" s="9"/>
      <c r="HKL50" s="9"/>
      <c r="HKM50" s="9"/>
      <c r="HKN50" s="9"/>
      <c r="HKO50" s="9"/>
      <c r="HKP50" s="9"/>
      <c r="HKQ50" s="9"/>
      <c r="HKR50" s="9"/>
      <c r="HKS50" s="9"/>
      <c r="HKT50" s="9"/>
      <c r="HKU50" s="9"/>
      <c r="HKV50" s="9"/>
      <c r="HKW50" s="9"/>
      <c r="HKX50" s="9"/>
      <c r="HKY50" s="9"/>
      <c r="HKZ50" s="9"/>
      <c r="HLA50" s="9"/>
      <c r="HLB50" s="9"/>
      <c r="HLC50" s="9"/>
      <c r="HLD50" s="9"/>
      <c r="HLE50" s="9"/>
      <c r="HLF50" s="9"/>
      <c r="HLG50" s="9"/>
      <c r="HLH50" s="9"/>
      <c r="HLI50" s="9"/>
      <c r="HLJ50" s="9"/>
      <c r="HLK50" s="9"/>
      <c r="HLL50" s="9"/>
      <c r="HLM50" s="9"/>
      <c r="HLN50" s="9"/>
      <c r="HLO50" s="9"/>
      <c r="HLP50" s="9"/>
      <c r="HLQ50" s="9"/>
      <c r="HLR50" s="9"/>
      <c r="HLS50" s="9"/>
      <c r="HLT50" s="9"/>
      <c r="HLU50" s="9"/>
      <c r="HLV50" s="9"/>
      <c r="HLW50" s="9"/>
      <c r="HLX50" s="9"/>
      <c r="HLY50" s="9"/>
      <c r="HLZ50" s="9"/>
      <c r="HMA50" s="9"/>
      <c r="HMB50" s="9"/>
      <c r="HMC50" s="9"/>
      <c r="HMD50" s="9"/>
      <c r="HME50" s="9"/>
      <c r="HMF50" s="9"/>
      <c r="HMG50" s="9"/>
      <c r="HMH50" s="9"/>
      <c r="HMI50" s="9"/>
      <c r="HMJ50" s="9"/>
      <c r="HMK50" s="9"/>
      <c r="HML50" s="9"/>
      <c r="HMM50" s="9"/>
      <c r="HMN50" s="9"/>
      <c r="HMO50" s="9"/>
      <c r="HMP50" s="9"/>
      <c r="HMQ50" s="9"/>
      <c r="HMR50" s="9"/>
      <c r="HMS50" s="9"/>
      <c r="HMT50" s="9"/>
      <c r="HMU50" s="9"/>
      <c r="HMV50" s="9"/>
      <c r="HMW50" s="9"/>
      <c r="HMX50" s="9"/>
      <c r="HMY50" s="9"/>
      <c r="HMZ50" s="9"/>
      <c r="HNA50" s="9"/>
      <c r="HNB50" s="9"/>
      <c r="HNC50" s="9"/>
      <c r="HND50" s="9"/>
      <c r="HNE50" s="9"/>
      <c r="HNF50" s="9"/>
      <c r="HNG50" s="9"/>
      <c r="HNH50" s="9"/>
      <c r="HNI50" s="9"/>
      <c r="HNJ50" s="9"/>
      <c r="HNK50" s="9"/>
      <c r="HNL50" s="9"/>
      <c r="HNM50" s="9"/>
      <c r="HNN50" s="9"/>
      <c r="HNO50" s="9"/>
      <c r="HNP50" s="9"/>
      <c r="HNQ50" s="9"/>
      <c r="HNR50" s="9"/>
      <c r="HNS50" s="9"/>
      <c r="HNT50" s="9"/>
      <c r="HNU50" s="9"/>
      <c r="HNV50" s="9"/>
      <c r="HNW50" s="9"/>
      <c r="HNX50" s="9"/>
      <c r="HNY50" s="9"/>
      <c r="HNZ50" s="9"/>
      <c r="HOA50" s="9"/>
      <c r="HOB50" s="9"/>
      <c r="HOC50" s="9"/>
      <c r="HOD50" s="9"/>
      <c r="HOE50" s="9"/>
      <c r="HOF50" s="9"/>
      <c r="HOG50" s="9"/>
      <c r="HOH50" s="9"/>
      <c r="HOI50" s="9"/>
      <c r="HOJ50" s="9"/>
      <c r="HOK50" s="9"/>
      <c r="HOL50" s="9"/>
      <c r="HOM50" s="9"/>
      <c r="HON50" s="9"/>
      <c r="HOO50" s="9"/>
      <c r="HOP50" s="9"/>
      <c r="HOQ50" s="9"/>
      <c r="HOR50" s="9"/>
      <c r="HOS50" s="9"/>
      <c r="HOT50" s="9"/>
      <c r="HOU50" s="9"/>
      <c r="HOV50" s="9"/>
      <c r="HOW50" s="9"/>
      <c r="HOX50" s="9"/>
      <c r="HOY50" s="9"/>
      <c r="HOZ50" s="9"/>
      <c r="HPA50" s="9"/>
      <c r="HPB50" s="9"/>
      <c r="HPC50" s="9"/>
      <c r="HPD50" s="9"/>
      <c r="HPE50" s="9"/>
      <c r="HPF50" s="9"/>
      <c r="HPG50" s="9"/>
      <c r="HPH50" s="9"/>
      <c r="HPI50" s="9"/>
      <c r="HPJ50" s="9"/>
      <c r="HPK50" s="9"/>
      <c r="HPL50" s="9"/>
      <c r="HPM50" s="9"/>
      <c r="HPN50" s="9"/>
      <c r="HPO50" s="9"/>
      <c r="HPP50" s="9"/>
      <c r="HPQ50" s="9"/>
      <c r="HPR50" s="9"/>
      <c r="HPS50" s="9"/>
      <c r="HPT50" s="9"/>
      <c r="HPU50" s="9"/>
      <c r="HPV50" s="9"/>
      <c r="HPW50" s="9"/>
      <c r="HPX50" s="9"/>
      <c r="HPY50" s="9"/>
      <c r="HPZ50" s="9"/>
      <c r="HQA50" s="9"/>
      <c r="HQB50" s="9"/>
      <c r="HQC50" s="9"/>
      <c r="HQD50" s="9"/>
      <c r="HQE50" s="9"/>
      <c r="HQF50" s="9"/>
      <c r="HQG50" s="9"/>
      <c r="HQH50" s="9"/>
      <c r="HQI50" s="9"/>
      <c r="HQJ50" s="9"/>
      <c r="HQK50" s="9"/>
      <c r="HQL50" s="9"/>
      <c r="HQM50" s="9"/>
      <c r="HQN50" s="9"/>
      <c r="HQO50" s="9"/>
      <c r="HQP50" s="9"/>
      <c r="HQQ50" s="9"/>
      <c r="HQR50" s="9"/>
      <c r="HQS50" s="9"/>
      <c r="HQT50" s="9"/>
      <c r="HQU50" s="9"/>
      <c r="HQV50" s="9"/>
      <c r="HQW50" s="9"/>
      <c r="HQX50" s="9"/>
      <c r="HQY50" s="9"/>
      <c r="HQZ50" s="9"/>
      <c r="HRA50" s="9"/>
      <c r="HRB50" s="9"/>
      <c r="HRC50" s="9"/>
      <c r="HRD50" s="9"/>
      <c r="HRE50" s="9"/>
      <c r="HRF50" s="9"/>
      <c r="HRG50" s="9"/>
      <c r="HRH50" s="9"/>
      <c r="HRI50" s="9"/>
      <c r="HRJ50" s="9"/>
      <c r="HRK50" s="9"/>
      <c r="HRL50" s="9"/>
      <c r="HRM50" s="9"/>
      <c r="HRN50" s="9"/>
      <c r="HRO50" s="9"/>
      <c r="HRP50" s="9"/>
      <c r="HRQ50" s="9"/>
      <c r="HRR50" s="9"/>
      <c r="HRS50" s="9"/>
      <c r="HRT50" s="9"/>
      <c r="HRU50" s="9"/>
      <c r="HRV50" s="9"/>
      <c r="HRW50" s="9"/>
      <c r="HRX50" s="9"/>
      <c r="HRY50" s="9"/>
      <c r="HRZ50" s="9"/>
      <c r="HSA50" s="9"/>
      <c r="HSB50" s="9"/>
      <c r="HSC50" s="9"/>
      <c r="HSD50" s="9"/>
      <c r="HSE50" s="9"/>
      <c r="HSF50" s="9"/>
      <c r="HSG50" s="9"/>
      <c r="HSH50" s="9"/>
      <c r="HSI50" s="9"/>
      <c r="HSJ50" s="9"/>
      <c r="HSK50" s="9"/>
      <c r="HSL50" s="9"/>
      <c r="HSM50" s="9"/>
      <c r="HSN50" s="9"/>
      <c r="HSO50" s="9"/>
      <c r="HSP50" s="9"/>
      <c r="HSQ50" s="9"/>
      <c r="HSR50" s="9"/>
      <c r="HSS50" s="9"/>
      <c r="HST50" s="9"/>
      <c r="HSU50" s="9"/>
      <c r="HSV50" s="9"/>
      <c r="HSW50" s="9"/>
      <c r="HSX50" s="9"/>
      <c r="HSY50" s="9"/>
      <c r="HSZ50" s="9"/>
      <c r="HTA50" s="9"/>
      <c r="HTB50" s="9"/>
      <c r="HTC50" s="9"/>
      <c r="HTD50" s="9"/>
      <c r="HTE50" s="9"/>
      <c r="HTF50" s="9"/>
      <c r="HTG50" s="9"/>
      <c r="HTH50" s="9"/>
      <c r="HTI50" s="9"/>
      <c r="HTJ50" s="9"/>
      <c r="HTK50" s="9"/>
      <c r="HTL50" s="9"/>
      <c r="HTM50" s="9"/>
      <c r="HTN50" s="9"/>
      <c r="HTO50" s="9"/>
      <c r="HTP50" s="9"/>
      <c r="HTQ50" s="9"/>
      <c r="HTR50" s="9"/>
      <c r="HTS50" s="9"/>
      <c r="HTT50" s="9"/>
      <c r="HTU50" s="9"/>
      <c r="HTV50" s="9"/>
      <c r="HTW50" s="9"/>
      <c r="HTX50" s="9"/>
      <c r="HTY50" s="9"/>
      <c r="HTZ50" s="9"/>
      <c r="HUA50" s="9"/>
      <c r="HUB50" s="9"/>
      <c r="HUC50" s="9"/>
      <c r="HUD50" s="9"/>
      <c r="HUE50" s="9"/>
      <c r="HUF50" s="9"/>
      <c r="HUG50" s="9"/>
      <c r="HUH50" s="9"/>
      <c r="HUI50" s="9"/>
      <c r="HUJ50" s="9"/>
      <c r="HUK50" s="9"/>
      <c r="HUL50" s="9"/>
      <c r="HUM50" s="9"/>
      <c r="HUN50" s="9"/>
      <c r="HUO50" s="9"/>
      <c r="HUP50" s="9"/>
      <c r="HUQ50" s="9"/>
      <c r="HUR50" s="9"/>
      <c r="HUS50" s="9"/>
      <c r="HUT50" s="9"/>
      <c r="HUU50" s="9"/>
      <c r="HUV50" s="9"/>
      <c r="HUW50" s="9"/>
      <c r="HUX50" s="9"/>
      <c r="HUY50" s="9"/>
      <c r="HUZ50" s="9"/>
      <c r="HVA50" s="9"/>
      <c r="HVB50" s="9"/>
      <c r="HVC50" s="9"/>
      <c r="HVD50" s="9"/>
      <c r="HVE50" s="9"/>
      <c r="HVF50" s="9"/>
      <c r="HVG50" s="9"/>
      <c r="HVH50" s="9"/>
      <c r="HVI50" s="9"/>
      <c r="HVJ50" s="9"/>
      <c r="HVK50" s="9"/>
      <c r="HVL50" s="9"/>
      <c r="HVM50" s="9"/>
      <c r="HVN50" s="9"/>
      <c r="HVO50" s="9"/>
      <c r="HVP50" s="9"/>
      <c r="HVQ50" s="9"/>
      <c r="HVR50" s="9"/>
      <c r="HVS50" s="9"/>
      <c r="HVT50" s="9"/>
      <c r="HVU50" s="9"/>
      <c r="HVV50" s="9"/>
      <c r="HVW50" s="9"/>
      <c r="HVX50" s="9"/>
      <c r="HVY50" s="9"/>
      <c r="HVZ50" s="9"/>
      <c r="HWA50" s="9"/>
      <c r="HWB50" s="9"/>
      <c r="HWC50" s="9"/>
      <c r="HWD50" s="9"/>
      <c r="HWE50" s="9"/>
      <c r="HWF50" s="9"/>
      <c r="HWG50" s="9"/>
      <c r="HWH50" s="9"/>
      <c r="HWI50" s="9"/>
      <c r="HWJ50" s="9"/>
      <c r="HWK50" s="9"/>
      <c r="HWL50" s="9"/>
      <c r="HWM50" s="9"/>
      <c r="HWN50" s="9"/>
      <c r="HWO50" s="9"/>
      <c r="HWP50" s="9"/>
      <c r="HWQ50" s="9"/>
      <c r="HWR50" s="9"/>
      <c r="HWS50" s="9"/>
      <c r="HWT50" s="9"/>
      <c r="HWU50" s="9"/>
      <c r="HWV50" s="9"/>
      <c r="HWW50" s="9"/>
      <c r="HWX50" s="9"/>
      <c r="HWY50" s="9"/>
      <c r="HWZ50" s="9"/>
      <c r="HXA50" s="9"/>
      <c r="HXB50" s="9"/>
      <c r="HXC50" s="9"/>
      <c r="HXD50" s="9"/>
      <c r="HXE50" s="9"/>
      <c r="HXF50" s="9"/>
      <c r="HXG50" s="9"/>
      <c r="HXH50" s="9"/>
      <c r="HXI50" s="9"/>
      <c r="HXJ50" s="9"/>
      <c r="HXK50" s="9"/>
      <c r="HXL50" s="9"/>
      <c r="HXM50" s="9"/>
      <c r="HXN50" s="9"/>
      <c r="HXO50" s="9"/>
      <c r="HXP50" s="9"/>
      <c r="HXQ50" s="9"/>
      <c r="HXR50" s="9"/>
      <c r="HXS50" s="9"/>
      <c r="HXT50" s="9"/>
      <c r="HXU50" s="9"/>
      <c r="HXV50" s="9"/>
      <c r="HXW50" s="9"/>
      <c r="HXX50" s="9"/>
      <c r="HXY50" s="9"/>
      <c r="HXZ50" s="9"/>
      <c r="HYA50" s="9"/>
      <c r="HYB50" s="9"/>
      <c r="HYC50" s="9"/>
      <c r="HYD50" s="9"/>
      <c r="HYE50" s="9"/>
      <c r="HYF50" s="9"/>
      <c r="HYG50" s="9"/>
      <c r="HYH50" s="9"/>
      <c r="HYI50" s="9"/>
      <c r="HYJ50" s="9"/>
      <c r="HYK50" s="9"/>
      <c r="HYL50" s="9"/>
      <c r="HYM50" s="9"/>
      <c r="HYN50" s="9"/>
      <c r="HYO50" s="9"/>
      <c r="HYP50" s="9"/>
      <c r="HYQ50" s="9"/>
      <c r="HYR50" s="9"/>
      <c r="HYS50" s="9"/>
      <c r="HYT50" s="9"/>
      <c r="HYU50" s="9"/>
      <c r="HYV50" s="9"/>
      <c r="HYW50" s="9"/>
      <c r="HYX50" s="9"/>
      <c r="HYY50" s="9"/>
      <c r="HYZ50" s="9"/>
      <c r="HZA50" s="9"/>
      <c r="HZB50" s="9"/>
      <c r="HZC50" s="9"/>
      <c r="HZD50" s="9"/>
      <c r="HZE50" s="9"/>
      <c r="HZF50" s="9"/>
      <c r="HZG50" s="9"/>
      <c r="HZH50" s="9"/>
      <c r="HZI50" s="9"/>
      <c r="HZJ50" s="9"/>
      <c r="HZK50" s="9"/>
      <c r="HZL50" s="9"/>
      <c r="HZM50" s="9"/>
      <c r="HZN50" s="9"/>
      <c r="HZO50" s="9"/>
      <c r="HZP50" s="9"/>
      <c r="HZQ50" s="9"/>
      <c r="HZR50" s="9"/>
      <c r="HZS50" s="9"/>
      <c r="HZT50" s="9"/>
      <c r="HZU50" s="9"/>
      <c r="HZV50" s="9"/>
      <c r="HZW50" s="9"/>
      <c r="HZX50" s="9"/>
      <c r="HZY50" s="9"/>
      <c r="HZZ50" s="9"/>
      <c r="IAA50" s="9"/>
      <c r="IAB50" s="9"/>
      <c r="IAC50" s="9"/>
      <c r="IAD50" s="9"/>
      <c r="IAE50" s="9"/>
      <c r="IAF50" s="9"/>
      <c r="IAG50" s="9"/>
      <c r="IAH50" s="9"/>
      <c r="IAI50" s="9"/>
      <c r="IAJ50" s="9"/>
      <c r="IAK50" s="9"/>
      <c r="IAL50" s="9"/>
      <c r="IAM50" s="9"/>
      <c r="IAN50" s="9"/>
      <c r="IAO50" s="9"/>
      <c r="IAP50" s="9"/>
      <c r="IAQ50" s="9"/>
      <c r="IAR50" s="9"/>
      <c r="IAS50" s="9"/>
      <c r="IAT50" s="9"/>
      <c r="IAU50" s="9"/>
      <c r="IAV50" s="9"/>
      <c r="IAW50" s="9"/>
      <c r="IAX50" s="9"/>
      <c r="IAY50" s="9"/>
      <c r="IAZ50" s="9"/>
      <c r="IBA50" s="9"/>
      <c r="IBB50" s="9"/>
      <c r="IBC50" s="9"/>
      <c r="IBD50" s="9"/>
      <c r="IBE50" s="9"/>
      <c r="IBF50" s="9"/>
      <c r="IBG50" s="9"/>
      <c r="IBH50" s="9"/>
      <c r="IBI50" s="9"/>
      <c r="IBJ50" s="9"/>
      <c r="IBK50" s="9"/>
      <c r="IBL50" s="9"/>
      <c r="IBM50" s="9"/>
      <c r="IBN50" s="9"/>
      <c r="IBO50" s="9"/>
      <c r="IBP50" s="9"/>
      <c r="IBQ50" s="9"/>
      <c r="IBR50" s="9"/>
      <c r="IBS50" s="9"/>
      <c r="IBT50" s="9"/>
      <c r="IBU50" s="9"/>
      <c r="IBV50" s="9"/>
      <c r="IBW50" s="9"/>
      <c r="IBX50" s="9"/>
      <c r="IBY50" s="9"/>
      <c r="IBZ50" s="9"/>
      <c r="ICA50" s="9"/>
      <c r="ICB50" s="9"/>
      <c r="ICC50" s="9"/>
      <c r="ICD50" s="9"/>
      <c r="ICE50" s="9"/>
      <c r="ICF50" s="9"/>
      <c r="ICG50" s="9"/>
      <c r="ICH50" s="9"/>
      <c r="ICI50" s="9"/>
      <c r="ICJ50" s="9"/>
      <c r="ICK50" s="9"/>
      <c r="ICL50" s="9"/>
      <c r="ICM50" s="9"/>
      <c r="ICN50" s="9"/>
      <c r="ICO50" s="9"/>
      <c r="ICP50" s="9"/>
      <c r="ICQ50" s="9"/>
      <c r="ICR50" s="9"/>
      <c r="ICS50" s="9"/>
      <c r="ICT50" s="9"/>
      <c r="ICU50" s="9"/>
      <c r="ICV50" s="9"/>
      <c r="ICW50" s="9"/>
      <c r="ICX50" s="9"/>
      <c r="ICY50" s="9"/>
      <c r="ICZ50" s="9"/>
      <c r="IDA50" s="9"/>
      <c r="IDB50" s="9"/>
      <c r="IDC50" s="9"/>
      <c r="IDD50" s="9"/>
      <c r="IDE50" s="9"/>
      <c r="IDF50" s="9"/>
      <c r="IDG50" s="9"/>
      <c r="IDH50" s="9"/>
      <c r="IDI50" s="9"/>
      <c r="IDJ50" s="9"/>
      <c r="IDK50" s="9"/>
      <c r="IDL50" s="9"/>
      <c r="IDM50" s="9"/>
      <c r="IDN50" s="9"/>
      <c r="IDO50" s="9"/>
      <c r="IDP50" s="9"/>
      <c r="IDQ50" s="9"/>
      <c r="IDR50" s="9"/>
      <c r="IDS50" s="9"/>
      <c r="IDT50" s="9"/>
      <c r="IDU50" s="9"/>
      <c r="IDV50" s="9"/>
      <c r="IDW50" s="9"/>
      <c r="IDX50" s="9"/>
      <c r="IDY50" s="9"/>
      <c r="IDZ50" s="9"/>
      <c r="IEA50" s="9"/>
      <c r="IEB50" s="9"/>
      <c r="IEC50" s="9"/>
      <c r="IED50" s="9"/>
      <c r="IEE50" s="9"/>
      <c r="IEF50" s="9"/>
      <c r="IEG50" s="9"/>
      <c r="IEH50" s="9"/>
      <c r="IEI50" s="9"/>
      <c r="IEJ50" s="9"/>
      <c r="IEK50" s="9"/>
      <c r="IEL50" s="9"/>
      <c r="IEM50" s="9"/>
      <c r="IEN50" s="9"/>
      <c r="IEO50" s="9"/>
      <c r="IEP50" s="9"/>
      <c r="IEQ50" s="9"/>
      <c r="IER50" s="9"/>
      <c r="IES50" s="9"/>
      <c r="IET50" s="9"/>
      <c r="IEU50" s="9"/>
      <c r="IEV50" s="9"/>
      <c r="IEW50" s="9"/>
      <c r="IEX50" s="9"/>
      <c r="IEY50" s="9"/>
      <c r="IEZ50" s="9"/>
      <c r="IFA50" s="9"/>
      <c r="IFB50" s="9"/>
      <c r="IFC50" s="9"/>
      <c r="IFD50" s="9"/>
      <c r="IFE50" s="9"/>
      <c r="IFF50" s="9"/>
      <c r="IFG50" s="9"/>
      <c r="IFH50" s="9"/>
      <c r="IFI50" s="9"/>
      <c r="IFJ50" s="9"/>
      <c r="IFK50" s="9"/>
      <c r="IFL50" s="9"/>
      <c r="IFM50" s="9"/>
      <c r="IFN50" s="9"/>
      <c r="IFO50" s="9"/>
      <c r="IFP50" s="9"/>
      <c r="IFQ50" s="9"/>
      <c r="IFR50" s="9"/>
      <c r="IFS50" s="9"/>
      <c r="IFT50" s="9"/>
      <c r="IFU50" s="9"/>
      <c r="IFV50" s="9"/>
      <c r="IFW50" s="9"/>
      <c r="IFX50" s="9"/>
      <c r="IFY50" s="9"/>
      <c r="IFZ50" s="9"/>
      <c r="IGA50" s="9"/>
      <c r="IGB50" s="9"/>
      <c r="IGC50" s="9"/>
      <c r="IGD50" s="9"/>
      <c r="IGE50" s="9"/>
      <c r="IGF50" s="9"/>
      <c r="IGG50" s="9"/>
      <c r="IGH50" s="9"/>
      <c r="IGI50" s="9"/>
      <c r="IGJ50" s="9"/>
      <c r="IGK50" s="9"/>
      <c r="IGL50" s="9"/>
      <c r="IGM50" s="9"/>
      <c r="IGN50" s="9"/>
      <c r="IGO50" s="9"/>
      <c r="IGP50" s="9"/>
      <c r="IGQ50" s="9"/>
      <c r="IGR50" s="9"/>
      <c r="IGS50" s="9"/>
      <c r="IGT50" s="9"/>
      <c r="IGU50" s="9"/>
      <c r="IGV50" s="9"/>
      <c r="IGW50" s="9"/>
      <c r="IGX50" s="9"/>
      <c r="IGY50" s="9"/>
      <c r="IGZ50" s="9"/>
      <c r="IHA50" s="9"/>
      <c r="IHB50" s="9"/>
      <c r="IHC50" s="9"/>
      <c r="IHD50" s="9"/>
      <c r="IHE50" s="9"/>
      <c r="IHF50" s="9"/>
      <c r="IHG50" s="9"/>
      <c r="IHH50" s="9"/>
      <c r="IHI50" s="9"/>
      <c r="IHJ50" s="9"/>
      <c r="IHK50" s="9"/>
      <c r="IHL50" s="9"/>
      <c r="IHM50" s="9"/>
      <c r="IHN50" s="9"/>
      <c r="IHO50" s="9"/>
      <c r="IHP50" s="9"/>
      <c r="IHQ50" s="9"/>
      <c r="IHR50" s="9"/>
      <c r="IHS50" s="9"/>
      <c r="IHT50" s="9"/>
      <c r="IHU50" s="9"/>
      <c r="IHV50" s="9"/>
      <c r="IHW50" s="9"/>
      <c r="IHX50" s="9"/>
      <c r="IHY50" s="9"/>
      <c r="IHZ50" s="9"/>
      <c r="IIA50" s="9"/>
      <c r="IIB50" s="9"/>
      <c r="IIC50" s="9"/>
      <c r="IID50" s="9"/>
      <c r="IIE50" s="9"/>
      <c r="IIF50" s="9"/>
      <c r="IIG50" s="9"/>
      <c r="IIH50" s="9"/>
      <c r="III50" s="9"/>
      <c r="IIJ50" s="9"/>
      <c r="IIK50" s="9"/>
      <c r="IIL50" s="9"/>
      <c r="IIM50" s="9"/>
      <c r="IIN50" s="9"/>
      <c r="IIO50" s="9"/>
      <c r="IIP50" s="9"/>
      <c r="IIQ50" s="9"/>
      <c r="IIR50" s="9"/>
      <c r="IIS50" s="9"/>
      <c r="IIT50" s="9"/>
      <c r="IIU50" s="9"/>
      <c r="IIV50" s="9"/>
      <c r="IIW50" s="9"/>
      <c r="IIX50" s="9"/>
      <c r="IIY50" s="9"/>
      <c r="IIZ50" s="9"/>
      <c r="IJA50" s="9"/>
      <c r="IJB50" s="9"/>
      <c r="IJC50" s="9"/>
      <c r="IJD50" s="9"/>
      <c r="IJE50" s="9"/>
      <c r="IJF50" s="9"/>
      <c r="IJG50" s="9"/>
      <c r="IJH50" s="9"/>
      <c r="IJI50" s="9"/>
      <c r="IJJ50" s="9"/>
      <c r="IJK50" s="9"/>
      <c r="IJL50" s="9"/>
      <c r="IJM50" s="9"/>
      <c r="IJN50" s="9"/>
      <c r="IJO50" s="9"/>
      <c r="IJP50" s="9"/>
      <c r="IJQ50" s="9"/>
      <c r="IJR50" s="9"/>
      <c r="IJS50" s="9"/>
      <c r="IJT50" s="9"/>
      <c r="IJU50" s="9"/>
      <c r="IJV50" s="9"/>
      <c r="IJW50" s="9"/>
      <c r="IJX50" s="9"/>
      <c r="IJY50" s="9"/>
      <c r="IJZ50" s="9"/>
      <c r="IKA50" s="9"/>
      <c r="IKB50" s="9"/>
      <c r="IKC50" s="9"/>
      <c r="IKD50" s="9"/>
      <c r="IKE50" s="9"/>
      <c r="IKF50" s="9"/>
      <c r="IKG50" s="9"/>
      <c r="IKH50" s="9"/>
      <c r="IKI50" s="9"/>
      <c r="IKJ50" s="9"/>
      <c r="IKK50" s="9"/>
      <c r="IKL50" s="9"/>
      <c r="IKM50" s="9"/>
      <c r="IKN50" s="9"/>
      <c r="IKO50" s="9"/>
      <c r="IKP50" s="9"/>
      <c r="IKQ50" s="9"/>
      <c r="IKR50" s="9"/>
      <c r="IKS50" s="9"/>
      <c r="IKT50" s="9"/>
      <c r="IKU50" s="9"/>
      <c r="IKV50" s="9"/>
      <c r="IKW50" s="9"/>
      <c r="IKX50" s="9"/>
      <c r="IKY50" s="9"/>
      <c r="IKZ50" s="9"/>
      <c r="ILA50" s="9"/>
      <c r="ILB50" s="9"/>
      <c r="ILC50" s="9"/>
      <c r="ILD50" s="9"/>
      <c r="ILE50" s="9"/>
      <c r="ILF50" s="9"/>
      <c r="ILG50" s="9"/>
      <c r="ILH50" s="9"/>
      <c r="ILI50" s="9"/>
      <c r="ILJ50" s="9"/>
      <c r="ILK50" s="9"/>
      <c r="ILL50" s="9"/>
      <c r="ILM50" s="9"/>
      <c r="ILN50" s="9"/>
      <c r="ILO50" s="9"/>
      <c r="ILP50" s="9"/>
      <c r="ILQ50" s="9"/>
      <c r="ILR50" s="9"/>
      <c r="ILS50" s="9"/>
      <c r="ILT50" s="9"/>
      <c r="ILU50" s="9"/>
      <c r="ILV50" s="9"/>
      <c r="ILW50" s="9"/>
      <c r="ILX50" s="9"/>
      <c r="ILY50" s="9"/>
      <c r="ILZ50" s="9"/>
      <c r="IMA50" s="9"/>
      <c r="IMB50" s="9"/>
      <c r="IMC50" s="9"/>
      <c r="IMD50" s="9"/>
      <c r="IME50" s="9"/>
      <c r="IMF50" s="9"/>
      <c r="IMG50" s="9"/>
      <c r="IMH50" s="9"/>
      <c r="IMI50" s="9"/>
      <c r="IMJ50" s="9"/>
      <c r="IMK50" s="9"/>
      <c r="IML50" s="9"/>
      <c r="IMM50" s="9"/>
      <c r="IMN50" s="9"/>
      <c r="IMO50" s="9"/>
      <c r="IMP50" s="9"/>
      <c r="IMQ50" s="9"/>
      <c r="IMR50" s="9"/>
      <c r="IMS50" s="9"/>
      <c r="IMT50" s="9"/>
      <c r="IMU50" s="9"/>
      <c r="IMV50" s="9"/>
      <c r="IMW50" s="9"/>
      <c r="IMX50" s="9"/>
      <c r="IMY50" s="9"/>
      <c r="IMZ50" s="9"/>
      <c r="INA50" s="9"/>
      <c r="INB50" s="9"/>
      <c r="INC50" s="9"/>
      <c r="IND50" s="9"/>
      <c r="INE50" s="9"/>
      <c r="INF50" s="9"/>
      <c r="ING50" s="9"/>
      <c r="INH50" s="9"/>
      <c r="INI50" s="9"/>
      <c r="INJ50" s="9"/>
      <c r="INK50" s="9"/>
      <c r="INL50" s="9"/>
      <c r="INM50" s="9"/>
      <c r="INN50" s="9"/>
      <c r="INO50" s="9"/>
      <c r="INP50" s="9"/>
      <c r="INQ50" s="9"/>
      <c r="INR50" s="9"/>
      <c r="INS50" s="9"/>
      <c r="INT50" s="9"/>
      <c r="INU50" s="9"/>
      <c r="INV50" s="9"/>
      <c r="INW50" s="9"/>
      <c r="INX50" s="9"/>
      <c r="INY50" s="9"/>
      <c r="INZ50" s="9"/>
      <c r="IOA50" s="9"/>
      <c r="IOB50" s="9"/>
      <c r="IOC50" s="9"/>
      <c r="IOD50" s="9"/>
      <c r="IOE50" s="9"/>
      <c r="IOF50" s="9"/>
      <c r="IOG50" s="9"/>
      <c r="IOH50" s="9"/>
      <c r="IOI50" s="9"/>
      <c r="IOJ50" s="9"/>
      <c r="IOK50" s="9"/>
      <c r="IOL50" s="9"/>
      <c r="IOM50" s="9"/>
      <c r="ION50" s="9"/>
      <c r="IOO50" s="9"/>
      <c r="IOP50" s="9"/>
      <c r="IOQ50" s="9"/>
      <c r="IOR50" s="9"/>
      <c r="IOS50" s="9"/>
      <c r="IOT50" s="9"/>
      <c r="IOU50" s="9"/>
      <c r="IOV50" s="9"/>
      <c r="IOW50" s="9"/>
      <c r="IOX50" s="9"/>
      <c r="IOY50" s="9"/>
      <c r="IOZ50" s="9"/>
      <c r="IPA50" s="9"/>
      <c r="IPB50" s="9"/>
      <c r="IPC50" s="9"/>
      <c r="IPD50" s="9"/>
      <c r="IPE50" s="9"/>
      <c r="IPF50" s="9"/>
      <c r="IPG50" s="9"/>
      <c r="IPH50" s="9"/>
      <c r="IPI50" s="9"/>
      <c r="IPJ50" s="9"/>
      <c r="IPK50" s="9"/>
      <c r="IPL50" s="9"/>
      <c r="IPM50" s="9"/>
      <c r="IPN50" s="9"/>
      <c r="IPO50" s="9"/>
      <c r="IPP50" s="9"/>
      <c r="IPQ50" s="9"/>
      <c r="IPR50" s="9"/>
      <c r="IPS50" s="9"/>
      <c r="IPT50" s="9"/>
      <c r="IPU50" s="9"/>
      <c r="IPV50" s="9"/>
      <c r="IPW50" s="9"/>
      <c r="IPX50" s="9"/>
      <c r="IPY50" s="9"/>
      <c r="IPZ50" s="9"/>
      <c r="IQA50" s="9"/>
      <c r="IQB50" s="9"/>
      <c r="IQC50" s="9"/>
      <c r="IQD50" s="9"/>
      <c r="IQE50" s="9"/>
      <c r="IQF50" s="9"/>
      <c r="IQG50" s="9"/>
      <c r="IQH50" s="9"/>
      <c r="IQI50" s="9"/>
      <c r="IQJ50" s="9"/>
      <c r="IQK50" s="9"/>
      <c r="IQL50" s="9"/>
      <c r="IQM50" s="9"/>
      <c r="IQN50" s="9"/>
      <c r="IQO50" s="9"/>
      <c r="IQP50" s="9"/>
      <c r="IQQ50" s="9"/>
      <c r="IQR50" s="9"/>
      <c r="IQS50" s="9"/>
      <c r="IQT50" s="9"/>
      <c r="IQU50" s="9"/>
      <c r="IQV50" s="9"/>
      <c r="IQW50" s="9"/>
      <c r="IQX50" s="9"/>
      <c r="IQY50" s="9"/>
      <c r="IQZ50" s="9"/>
      <c r="IRA50" s="9"/>
      <c r="IRB50" s="9"/>
      <c r="IRC50" s="9"/>
      <c r="IRD50" s="9"/>
      <c r="IRE50" s="9"/>
      <c r="IRF50" s="9"/>
      <c r="IRG50" s="9"/>
      <c r="IRH50" s="9"/>
      <c r="IRI50" s="9"/>
      <c r="IRJ50" s="9"/>
      <c r="IRK50" s="9"/>
      <c r="IRL50" s="9"/>
      <c r="IRM50" s="9"/>
      <c r="IRN50" s="9"/>
      <c r="IRO50" s="9"/>
      <c r="IRP50" s="9"/>
      <c r="IRQ50" s="9"/>
      <c r="IRR50" s="9"/>
      <c r="IRS50" s="9"/>
      <c r="IRT50" s="9"/>
      <c r="IRU50" s="9"/>
      <c r="IRV50" s="9"/>
      <c r="IRW50" s="9"/>
      <c r="IRX50" s="9"/>
      <c r="IRY50" s="9"/>
      <c r="IRZ50" s="9"/>
      <c r="ISA50" s="9"/>
      <c r="ISB50" s="9"/>
      <c r="ISC50" s="9"/>
      <c r="ISD50" s="9"/>
      <c r="ISE50" s="9"/>
      <c r="ISF50" s="9"/>
      <c r="ISG50" s="9"/>
      <c r="ISH50" s="9"/>
      <c r="ISI50" s="9"/>
      <c r="ISJ50" s="9"/>
      <c r="ISK50" s="9"/>
      <c r="ISL50" s="9"/>
      <c r="ISM50" s="9"/>
      <c r="ISN50" s="9"/>
      <c r="ISO50" s="9"/>
      <c r="ISP50" s="9"/>
      <c r="ISQ50" s="9"/>
      <c r="ISR50" s="9"/>
      <c r="ISS50" s="9"/>
      <c r="IST50" s="9"/>
      <c r="ISU50" s="9"/>
      <c r="ISV50" s="9"/>
      <c r="ISW50" s="9"/>
      <c r="ISX50" s="9"/>
      <c r="ISY50" s="9"/>
      <c r="ISZ50" s="9"/>
      <c r="ITA50" s="9"/>
      <c r="ITB50" s="9"/>
      <c r="ITC50" s="9"/>
      <c r="ITD50" s="9"/>
      <c r="ITE50" s="9"/>
      <c r="ITF50" s="9"/>
      <c r="ITG50" s="9"/>
      <c r="ITH50" s="9"/>
      <c r="ITI50" s="9"/>
      <c r="ITJ50" s="9"/>
      <c r="ITK50" s="9"/>
      <c r="ITL50" s="9"/>
      <c r="ITM50" s="9"/>
      <c r="ITN50" s="9"/>
      <c r="ITO50" s="9"/>
      <c r="ITP50" s="9"/>
      <c r="ITQ50" s="9"/>
      <c r="ITR50" s="9"/>
      <c r="ITS50" s="9"/>
      <c r="ITT50" s="9"/>
      <c r="ITU50" s="9"/>
      <c r="ITV50" s="9"/>
      <c r="ITW50" s="9"/>
      <c r="ITX50" s="9"/>
      <c r="ITY50" s="9"/>
      <c r="ITZ50" s="9"/>
      <c r="IUA50" s="9"/>
      <c r="IUB50" s="9"/>
      <c r="IUC50" s="9"/>
      <c r="IUD50" s="9"/>
      <c r="IUE50" s="9"/>
      <c r="IUF50" s="9"/>
      <c r="IUG50" s="9"/>
      <c r="IUH50" s="9"/>
      <c r="IUI50" s="9"/>
      <c r="IUJ50" s="9"/>
      <c r="IUK50" s="9"/>
      <c r="IUL50" s="9"/>
      <c r="IUM50" s="9"/>
      <c r="IUN50" s="9"/>
      <c r="IUO50" s="9"/>
      <c r="IUP50" s="9"/>
      <c r="IUQ50" s="9"/>
      <c r="IUR50" s="9"/>
      <c r="IUS50" s="9"/>
      <c r="IUT50" s="9"/>
      <c r="IUU50" s="9"/>
      <c r="IUV50" s="9"/>
      <c r="IUW50" s="9"/>
      <c r="IUX50" s="9"/>
      <c r="IUY50" s="9"/>
      <c r="IUZ50" s="9"/>
      <c r="IVA50" s="9"/>
      <c r="IVB50" s="9"/>
      <c r="IVC50" s="9"/>
      <c r="IVD50" s="9"/>
      <c r="IVE50" s="9"/>
      <c r="IVF50" s="9"/>
      <c r="IVG50" s="9"/>
      <c r="IVH50" s="9"/>
      <c r="IVI50" s="9"/>
      <c r="IVJ50" s="9"/>
      <c r="IVK50" s="9"/>
      <c r="IVL50" s="9"/>
      <c r="IVM50" s="9"/>
      <c r="IVN50" s="9"/>
      <c r="IVO50" s="9"/>
      <c r="IVP50" s="9"/>
      <c r="IVQ50" s="9"/>
      <c r="IVR50" s="9"/>
      <c r="IVS50" s="9"/>
      <c r="IVT50" s="9"/>
      <c r="IVU50" s="9"/>
      <c r="IVV50" s="9"/>
      <c r="IVW50" s="9"/>
      <c r="IVX50" s="9"/>
      <c r="IVY50" s="9"/>
      <c r="IVZ50" s="9"/>
      <c r="IWA50" s="9"/>
      <c r="IWB50" s="9"/>
      <c r="IWC50" s="9"/>
      <c r="IWD50" s="9"/>
      <c r="IWE50" s="9"/>
      <c r="IWF50" s="9"/>
      <c r="IWG50" s="9"/>
      <c r="IWH50" s="9"/>
      <c r="IWI50" s="9"/>
      <c r="IWJ50" s="9"/>
      <c r="IWK50" s="9"/>
      <c r="IWL50" s="9"/>
      <c r="IWM50" s="9"/>
      <c r="IWN50" s="9"/>
      <c r="IWO50" s="9"/>
      <c r="IWP50" s="9"/>
      <c r="IWQ50" s="9"/>
      <c r="IWR50" s="9"/>
      <c r="IWS50" s="9"/>
      <c r="IWT50" s="9"/>
      <c r="IWU50" s="9"/>
      <c r="IWV50" s="9"/>
      <c r="IWW50" s="9"/>
      <c r="IWX50" s="9"/>
      <c r="IWY50" s="9"/>
      <c r="IWZ50" s="9"/>
      <c r="IXA50" s="9"/>
      <c r="IXB50" s="9"/>
      <c r="IXC50" s="9"/>
      <c r="IXD50" s="9"/>
      <c r="IXE50" s="9"/>
      <c r="IXF50" s="9"/>
      <c r="IXG50" s="9"/>
      <c r="IXH50" s="9"/>
      <c r="IXI50" s="9"/>
      <c r="IXJ50" s="9"/>
      <c r="IXK50" s="9"/>
      <c r="IXL50" s="9"/>
      <c r="IXM50" s="9"/>
      <c r="IXN50" s="9"/>
      <c r="IXO50" s="9"/>
      <c r="IXP50" s="9"/>
      <c r="IXQ50" s="9"/>
      <c r="IXR50" s="9"/>
      <c r="IXS50" s="9"/>
      <c r="IXT50" s="9"/>
      <c r="IXU50" s="9"/>
      <c r="IXV50" s="9"/>
      <c r="IXW50" s="9"/>
      <c r="IXX50" s="9"/>
      <c r="IXY50" s="9"/>
      <c r="IXZ50" s="9"/>
      <c r="IYA50" s="9"/>
      <c r="IYB50" s="9"/>
      <c r="IYC50" s="9"/>
      <c r="IYD50" s="9"/>
      <c r="IYE50" s="9"/>
      <c r="IYF50" s="9"/>
      <c r="IYG50" s="9"/>
      <c r="IYH50" s="9"/>
      <c r="IYI50" s="9"/>
      <c r="IYJ50" s="9"/>
      <c r="IYK50" s="9"/>
      <c r="IYL50" s="9"/>
      <c r="IYM50" s="9"/>
      <c r="IYN50" s="9"/>
      <c r="IYO50" s="9"/>
      <c r="IYP50" s="9"/>
      <c r="IYQ50" s="9"/>
      <c r="IYR50" s="9"/>
      <c r="IYS50" s="9"/>
      <c r="IYT50" s="9"/>
      <c r="IYU50" s="9"/>
      <c r="IYV50" s="9"/>
      <c r="IYW50" s="9"/>
      <c r="IYX50" s="9"/>
      <c r="IYY50" s="9"/>
      <c r="IYZ50" s="9"/>
      <c r="IZA50" s="9"/>
      <c r="IZB50" s="9"/>
      <c r="IZC50" s="9"/>
      <c r="IZD50" s="9"/>
      <c r="IZE50" s="9"/>
      <c r="IZF50" s="9"/>
      <c r="IZG50" s="9"/>
      <c r="IZH50" s="9"/>
      <c r="IZI50" s="9"/>
      <c r="IZJ50" s="9"/>
      <c r="IZK50" s="9"/>
      <c r="IZL50" s="9"/>
      <c r="IZM50" s="9"/>
      <c r="IZN50" s="9"/>
      <c r="IZO50" s="9"/>
      <c r="IZP50" s="9"/>
      <c r="IZQ50" s="9"/>
      <c r="IZR50" s="9"/>
      <c r="IZS50" s="9"/>
      <c r="IZT50" s="9"/>
      <c r="IZU50" s="9"/>
      <c r="IZV50" s="9"/>
      <c r="IZW50" s="9"/>
      <c r="IZX50" s="9"/>
      <c r="IZY50" s="9"/>
      <c r="IZZ50" s="9"/>
      <c r="JAA50" s="9"/>
      <c r="JAB50" s="9"/>
      <c r="JAC50" s="9"/>
      <c r="JAD50" s="9"/>
      <c r="JAE50" s="9"/>
      <c r="JAF50" s="9"/>
      <c r="JAG50" s="9"/>
      <c r="JAH50" s="9"/>
      <c r="JAI50" s="9"/>
      <c r="JAJ50" s="9"/>
      <c r="JAK50" s="9"/>
      <c r="JAL50" s="9"/>
      <c r="JAM50" s="9"/>
      <c r="JAN50" s="9"/>
      <c r="JAO50" s="9"/>
      <c r="JAP50" s="9"/>
      <c r="JAQ50" s="9"/>
      <c r="JAR50" s="9"/>
      <c r="JAS50" s="9"/>
      <c r="JAT50" s="9"/>
      <c r="JAU50" s="9"/>
      <c r="JAV50" s="9"/>
      <c r="JAW50" s="9"/>
      <c r="JAX50" s="9"/>
      <c r="JAY50" s="9"/>
      <c r="JAZ50" s="9"/>
      <c r="JBA50" s="9"/>
      <c r="JBB50" s="9"/>
      <c r="JBC50" s="9"/>
      <c r="JBD50" s="9"/>
      <c r="JBE50" s="9"/>
      <c r="JBF50" s="9"/>
      <c r="JBG50" s="9"/>
      <c r="JBH50" s="9"/>
      <c r="JBI50" s="9"/>
      <c r="JBJ50" s="9"/>
      <c r="JBK50" s="9"/>
      <c r="JBL50" s="9"/>
      <c r="JBM50" s="9"/>
      <c r="JBN50" s="9"/>
      <c r="JBO50" s="9"/>
      <c r="JBP50" s="9"/>
      <c r="JBQ50" s="9"/>
      <c r="JBR50" s="9"/>
      <c r="JBS50" s="9"/>
      <c r="JBT50" s="9"/>
      <c r="JBU50" s="9"/>
      <c r="JBV50" s="9"/>
      <c r="JBW50" s="9"/>
      <c r="JBX50" s="9"/>
      <c r="JBY50" s="9"/>
      <c r="JBZ50" s="9"/>
      <c r="JCA50" s="9"/>
      <c r="JCB50" s="9"/>
      <c r="JCC50" s="9"/>
      <c r="JCD50" s="9"/>
      <c r="JCE50" s="9"/>
      <c r="JCF50" s="9"/>
      <c r="JCG50" s="9"/>
      <c r="JCH50" s="9"/>
      <c r="JCI50" s="9"/>
      <c r="JCJ50" s="9"/>
      <c r="JCK50" s="9"/>
      <c r="JCL50" s="9"/>
      <c r="JCM50" s="9"/>
      <c r="JCN50" s="9"/>
      <c r="JCO50" s="9"/>
      <c r="JCP50" s="9"/>
      <c r="JCQ50" s="9"/>
      <c r="JCR50" s="9"/>
      <c r="JCS50" s="9"/>
      <c r="JCT50" s="9"/>
      <c r="JCU50" s="9"/>
      <c r="JCV50" s="9"/>
      <c r="JCW50" s="9"/>
      <c r="JCX50" s="9"/>
      <c r="JCY50" s="9"/>
      <c r="JCZ50" s="9"/>
      <c r="JDA50" s="9"/>
      <c r="JDB50" s="9"/>
      <c r="JDC50" s="9"/>
      <c r="JDD50" s="9"/>
      <c r="JDE50" s="9"/>
      <c r="JDF50" s="9"/>
      <c r="JDG50" s="9"/>
      <c r="JDH50" s="9"/>
      <c r="JDI50" s="9"/>
      <c r="JDJ50" s="9"/>
      <c r="JDK50" s="9"/>
      <c r="JDL50" s="9"/>
      <c r="JDM50" s="9"/>
      <c r="JDN50" s="9"/>
      <c r="JDO50" s="9"/>
      <c r="JDP50" s="9"/>
      <c r="JDQ50" s="9"/>
      <c r="JDR50" s="9"/>
      <c r="JDS50" s="9"/>
      <c r="JDT50" s="9"/>
      <c r="JDU50" s="9"/>
      <c r="JDV50" s="9"/>
      <c r="JDW50" s="9"/>
      <c r="JDX50" s="9"/>
      <c r="JDY50" s="9"/>
      <c r="JDZ50" s="9"/>
      <c r="JEA50" s="9"/>
      <c r="JEB50" s="9"/>
      <c r="JEC50" s="9"/>
      <c r="JED50" s="9"/>
      <c r="JEE50" s="9"/>
      <c r="JEF50" s="9"/>
      <c r="JEG50" s="9"/>
      <c r="JEH50" s="9"/>
      <c r="JEI50" s="9"/>
      <c r="JEJ50" s="9"/>
      <c r="JEK50" s="9"/>
      <c r="JEL50" s="9"/>
      <c r="JEM50" s="9"/>
      <c r="JEN50" s="9"/>
      <c r="JEO50" s="9"/>
      <c r="JEP50" s="9"/>
      <c r="JEQ50" s="9"/>
      <c r="JER50" s="9"/>
      <c r="JES50" s="9"/>
      <c r="JET50" s="9"/>
      <c r="JEU50" s="9"/>
      <c r="JEV50" s="9"/>
      <c r="JEW50" s="9"/>
      <c r="JEX50" s="9"/>
      <c r="JEY50" s="9"/>
      <c r="JEZ50" s="9"/>
      <c r="JFA50" s="9"/>
      <c r="JFB50" s="9"/>
      <c r="JFC50" s="9"/>
      <c r="JFD50" s="9"/>
      <c r="JFE50" s="9"/>
      <c r="JFF50" s="9"/>
      <c r="JFG50" s="9"/>
      <c r="JFH50" s="9"/>
      <c r="JFI50" s="9"/>
      <c r="JFJ50" s="9"/>
      <c r="JFK50" s="9"/>
      <c r="JFL50" s="9"/>
      <c r="JFM50" s="9"/>
      <c r="JFN50" s="9"/>
      <c r="JFO50" s="9"/>
      <c r="JFP50" s="9"/>
      <c r="JFQ50" s="9"/>
      <c r="JFR50" s="9"/>
      <c r="JFS50" s="9"/>
      <c r="JFT50" s="9"/>
      <c r="JFU50" s="9"/>
      <c r="JFV50" s="9"/>
      <c r="JFW50" s="9"/>
      <c r="JFX50" s="9"/>
      <c r="JFY50" s="9"/>
      <c r="JFZ50" s="9"/>
      <c r="JGA50" s="9"/>
      <c r="JGB50" s="9"/>
      <c r="JGC50" s="9"/>
      <c r="JGD50" s="9"/>
      <c r="JGE50" s="9"/>
      <c r="JGF50" s="9"/>
      <c r="JGG50" s="9"/>
      <c r="JGH50" s="9"/>
      <c r="JGI50" s="9"/>
      <c r="JGJ50" s="9"/>
      <c r="JGK50" s="9"/>
      <c r="JGL50" s="9"/>
      <c r="JGM50" s="9"/>
      <c r="JGN50" s="9"/>
      <c r="JGO50" s="9"/>
      <c r="JGP50" s="9"/>
      <c r="JGQ50" s="9"/>
      <c r="JGR50" s="9"/>
      <c r="JGS50" s="9"/>
      <c r="JGT50" s="9"/>
      <c r="JGU50" s="9"/>
      <c r="JGV50" s="9"/>
      <c r="JGW50" s="9"/>
      <c r="JGX50" s="9"/>
      <c r="JGY50" s="9"/>
      <c r="JGZ50" s="9"/>
      <c r="JHA50" s="9"/>
      <c r="JHB50" s="9"/>
      <c r="JHC50" s="9"/>
      <c r="JHD50" s="9"/>
      <c r="JHE50" s="9"/>
      <c r="JHF50" s="9"/>
      <c r="JHG50" s="9"/>
      <c r="JHH50" s="9"/>
      <c r="JHI50" s="9"/>
      <c r="JHJ50" s="9"/>
      <c r="JHK50" s="9"/>
      <c r="JHL50" s="9"/>
      <c r="JHM50" s="9"/>
      <c r="JHN50" s="9"/>
      <c r="JHO50" s="9"/>
      <c r="JHP50" s="9"/>
      <c r="JHQ50" s="9"/>
      <c r="JHR50" s="9"/>
      <c r="JHS50" s="9"/>
      <c r="JHT50" s="9"/>
      <c r="JHU50" s="9"/>
      <c r="JHV50" s="9"/>
      <c r="JHW50" s="9"/>
      <c r="JHX50" s="9"/>
      <c r="JHY50" s="9"/>
      <c r="JHZ50" s="9"/>
      <c r="JIA50" s="9"/>
      <c r="JIB50" s="9"/>
      <c r="JIC50" s="9"/>
      <c r="JID50" s="9"/>
      <c r="JIE50" s="9"/>
      <c r="JIF50" s="9"/>
      <c r="JIG50" s="9"/>
      <c r="JIH50" s="9"/>
      <c r="JII50" s="9"/>
      <c r="JIJ50" s="9"/>
      <c r="JIK50" s="9"/>
      <c r="JIL50" s="9"/>
      <c r="JIM50" s="9"/>
      <c r="JIN50" s="9"/>
      <c r="JIO50" s="9"/>
      <c r="JIP50" s="9"/>
      <c r="JIQ50" s="9"/>
      <c r="JIR50" s="9"/>
      <c r="JIS50" s="9"/>
      <c r="JIT50" s="9"/>
      <c r="JIU50" s="9"/>
      <c r="JIV50" s="9"/>
      <c r="JIW50" s="9"/>
      <c r="JIX50" s="9"/>
      <c r="JIY50" s="9"/>
      <c r="JIZ50" s="9"/>
      <c r="JJA50" s="9"/>
      <c r="JJB50" s="9"/>
      <c r="JJC50" s="9"/>
      <c r="JJD50" s="9"/>
      <c r="JJE50" s="9"/>
      <c r="JJF50" s="9"/>
      <c r="JJG50" s="9"/>
      <c r="JJH50" s="9"/>
      <c r="JJI50" s="9"/>
      <c r="JJJ50" s="9"/>
      <c r="JJK50" s="9"/>
      <c r="JJL50" s="9"/>
      <c r="JJM50" s="9"/>
      <c r="JJN50" s="9"/>
      <c r="JJO50" s="9"/>
      <c r="JJP50" s="9"/>
      <c r="JJQ50" s="9"/>
      <c r="JJR50" s="9"/>
      <c r="JJS50" s="9"/>
      <c r="JJT50" s="9"/>
      <c r="JJU50" s="9"/>
      <c r="JJV50" s="9"/>
      <c r="JJW50" s="9"/>
      <c r="JJX50" s="9"/>
      <c r="JJY50" s="9"/>
      <c r="JJZ50" s="9"/>
      <c r="JKA50" s="9"/>
      <c r="JKB50" s="9"/>
      <c r="JKC50" s="9"/>
      <c r="JKD50" s="9"/>
      <c r="JKE50" s="9"/>
      <c r="JKF50" s="9"/>
      <c r="JKG50" s="9"/>
      <c r="JKH50" s="9"/>
      <c r="JKI50" s="9"/>
      <c r="JKJ50" s="9"/>
      <c r="JKK50" s="9"/>
      <c r="JKL50" s="9"/>
      <c r="JKM50" s="9"/>
      <c r="JKN50" s="9"/>
      <c r="JKO50" s="9"/>
      <c r="JKP50" s="9"/>
      <c r="JKQ50" s="9"/>
      <c r="JKR50" s="9"/>
      <c r="JKS50" s="9"/>
      <c r="JKT50" s="9"/>
      <c r="JKU50" s="9"/>
      <c r="JKV50" s="9"/>
      <c r="JKW50" s="9"/>
      <c r="JKX50" s="9"/>
      <c r="JKY50" s="9"/>
      <c r="JKZ50" s="9"/>
      <c r="JLA50" s="9"/>
      <c r="JLB50" s="9"/>
      <c r="JLC50" s="9"/>
      <c r="JLD50" s="9"/>
      <c r="JLE50" s="9"/>
      <c r="JLF50" s="9"/>
      <c r="JLG50" s="9"/>
      <c r="JLH50" s="9"/>
      <c r="JLI50" s="9"/>
      <c r="JLJ50" s="9"/>
      <c r="JLK50" s="9"/>
      <c r="JLL50" s="9"/>
      <c r="JLM50" s="9"/>
      <c r="JLN50" s="9"/>
      <c r="JLO50" s="9"/>
      <c r="JLP50" s="9"/>
      <c r="JLQ50" s="9"/>
      <c r="JLR50" s="9"/>
      <c r="JLS50" s="9"/>
      <c r="JLT50" s="9"/>
      <c r="JLU50" s="9"/>
      <c r="JLV50" s="9"/>
      <c r="JLW50" s="9"/>
      <c r="JLX50" s="9"/>
      <c r="JLY50" s="9"/>
      <c r="JLZ50" s="9"/>
      <c r="JMA50" s="9"/>
      <c r="JMB50" s="9"/>
      <c r="JMC50" s="9"/>
      <c r="JMD50" s="9"/>
      <c r="JME50" s="9"/>
      <c r="JMF50" s="9"/>
      <c r="JMG50" s="9"/>
      <c r="JMH50" s="9"/>
      <c r="JMI50" s="9"/>
      <c r="JMJ50" s="9"/>
      <c r="JMK50" s="9"/>
      <c r="JML50" s="9"/>
      <c r="JMM50" s="9"/>
      <c r="JMN50" s="9"/>
      <c r="JMO50" s="9"/>
      <c r="JMP50" s="9"/>
      <c r="JMQ50" s="9"/>
      <c r="JMR50" s="9"/>
      <c r="JMS50" s="9"/>
      <c r="JMT50" s="9"/>
      <c r="JMU50" s="9"/>
      <c r="JMV50" s="9"/>
      <c r="JMW50" s="9"/>
      <c r="JMX50" s="9"/>
      <c r="JMY50" s="9"/>
      <c r="JMZ50" s="9"/>
      <c r="JNA50" s="9"/>
      <c r="JNB50" s="9"/>
      <c r="JNC50" s="9"/>
      <c r="JND50" s="9"/>
      <c r="JNE50" s="9"/>
      <c r="JNF50" s="9"/>
      <c r="JNG50" s="9"/>
      <c r="JNH50" s="9"/>
      <c r="JNI50" s="9"/>
      <c r="JNJ50" s="9"/>
      <c r="JNK50" s="9"/>
      <c r="JNL50" s="9"/>
      <c r="JNM50" s="9"/>
      <c r="JNN50" s="9"/>
      <c r="JNO50" s="9"/>
      <c r="JNP50" s="9"/>
      <c r="JNQ50" s="9"/>
      <c r="JNR50" s="9"/>
      <c r="JNS50" s="9"/>
      <c r="JNT50" s="9"/>
      <c r="JNU50" s="9"/>
      <c r="JNV50" s="9"/>
      <c r="JNW50" s="9"/>
      <c r="JNX50" s="9"/>
      <c r="JNY50" s="9"/>
      <c r="JNZ50" s="9"/>
      <c r="JOA50" s="9"/>
      <c r="JOB50" s="9"/>
      <c r="JOC50" s="9"/>
      <c r="JOD50" s="9"/>
      <c r="JOE50" s="9"/>
      <c r="JOF50" s="9"/>
      <c r="JOG50" s="9"/>
      <c r="JOH50" s="9"/>
      <c r="JOI50" s="9"/>
      <c r="JOJ50" s="9"/>
      <c r="JOK50" s="9"/>
      <c r="JOL50" s="9"/>
      <c r="JOM50" s="9"/>
      <c r="JON50" s="9"/>
      <c r="JOO50" s="9"/>
      <c r="JOP50" s="9"/>
      <c r="JOQ50" s="9"/>
      <c r="JOR50" s="9"/>
      <c r="JOS50" s="9"/>
      <c r="JOT50" s="9"/>
      <c r="JOU50" s="9"/>
      <c r="JOV50" s="9"/>
      <c r="JOW50" s="9"/>
      <c r="JOX50" s="9"/>
      <c r="JOY50" s="9"/>
      <c r="JOZ50" s="9"/>
      <c r="JPA50" s="9"/>
      <c r="JPB50" s="9"/>
      <c r="JPC50" s="9"/>
      <c r="JPD50" s="9"/>
      <c r="JPE50" s="9"/>
      <c r="JPF50" s="9"/>
      <c r="JPG50" s="9"/>
      <c r="JPH50" s="9"/>
      <c r="JPI50" s="9"/>
      <c r="JPJ50" s="9"/>
      <c r="JPK50" s="9"/>
      <c r="JPL50" s="9"/>
      <c r="JPM50" s="9"/>
      <c r="JPN50" s="9"/>
      <c r="JPO50" s="9"/>
      <c r="JPP50" s="9"/>
      <c r="JPQ50" s="9"/>
      <c r="JPR50" s="9"/>
      <c r="JPS50" s="9"/>
      <c r="JPT50" s="9"/>
      <c r="JPU50" s="9"/>
      <c r="JPV50" s="9"/>
      <c r="JPW50" s="9"/>
      <c r="JPX50" s="9"/>
      <c r="JPY50" s="9"/>
      <c r="JPZ50" s="9"/>
      <c r="JQA50" s="9"/>
      <c r="JQB50" s="9"/>
      <c r="JQC50" s="9"/>
      <c r="JQD50" s="9"/>
      <c r="JQE50" s="9"/>
      <c r="JQF50" s="9"/>
      <c r="JQG50" s="9"/>
      <c r="JQH50" s="9"/>
      <c r="JQI50" s="9"/>
      <c r="JQJ50" s="9"/>
      <c r="JQK50" s="9"/>
      <c r="JQL50" s="9"/>
      <c r="JQM50" s="9"/>
      <c r="JQN50" s="9"/>
      <c r="JQO50" s="9"/>
      <c r="JQP50" s="9"/>
      <c r="JQQ50" s="9"/>
      <c r="JQR50" s="9"/>
      <c r="JQS50" s="9"/>
      <c r="JQT50" s="9"/>
      <c r="JQU50" s="9"/>
      <c r="JQV50" s="9"/>
      <c r="JQW50" s="9"/>
      <c r="JQX50" s="9"/>
      <c r="JQY50" s="9"/>
      <c r="JQZ50" s="9"/>
      <c r="JRA50" s="9"/>
      <c r="JRB50" s="9"/>
      <c r="JRC50" s="9"/>
      <c r="JRD50" s="9"/>
      <c r="JRE50" s="9"/>
      <c r="JRF50" s="9"/>
      <c r="JRG50" s="9"/>
      <c r="JRH50" s="9"/>
      <c r="JRI50" s="9"/>
      <c r="JRJ50" s="9"/>
      <c r="JRK50" s="9"/>
      <c r="JRL50" s="9"/>
      <c r="JRM50" s="9"/>
      <c r="JRN50" s="9"/>
      <c r="JRO50" s="9"/>
      <c r="JRP50" s="9"/>
      <c r="JRQ50" s="9"/>
      <c r="JRR50" s="9"/>
      <c r="JRS50" s="9"/>
      <c r="JRT50" s="9"/>
      <c r="JRU50" s="9"/>
      <c r="JRV50" s="9"/>
      <c r="JRW50" s="9"/>
      <c r="JRX50" s="9"/>
      <c r="JRY50" s="9"/>
      <c r="JRZ50" s="9"/>
      <c r="JSA50" s="9"/>
      <c r="JSB50" s="9"/>
      <c r="JSC50" s="9"/>
      <c r="JSD50" s="9"/>
      <c r="JSE50" s="9"/>
      <c r="JSF50" s="9"/>
      <c r="JSG50" s="9"/>
      <c r="JSH50" s="9"/>
      <c r="JSI50" s="9"/>
      <c r="JSJ50" s="9"/>
      <c r="JSK50" s="9"/>
      <c r="JSL50" s="9"/>
      <c r="JSM50" s="9"/>
      <c r="JSN50" s="9"/>
      <c r="JSO50" s="9"/>
      <c r="JSP50" s="9"/>
      <c r="JSQ50" s="9"/>
      <c r="JSR50" s="9"/>
      <c r="JSS50" s="9"/>
      <c r="JST50" s="9"/>
      <c r="JSU50" s="9"/>
      <c r="JSV50" s="9"/>
      <c r="JSW50" s="9"/>
      <c r="JSX50" s="9"/>
      <c r="JSY50" s="9"/>
      <c r="JSZ50" s="9"/>
      <c r="JTA50" s="9"/>
      <c r="JTB50" s="9"/>
      <c r="JTC50" s="9"/>
      <c r="JTD50" s="9"/>
      <c r="JTE50" s="9"/>
      <c r="JTF50" s="9"/>
      <c r="JTG50" s="9"/>
      <c r="JTH50" s="9"/>
      <c r="JTI50" s="9"/>
      <c r="JTJ50" s="9"/>
      <c r="JTK50" s="9"/>
      <c r="JTL50" s="9"/>
      <c r="JTM50" s="9"/>
      <c r="JTN50" s="9"/>
      <c r="JTO50" s="9"/>
      <c r="JTP50" s="9"/>
      <c r="JTQ50" s="9"/>
      <c r="JTR50" s="9"/>
      <c r="JTS50" s="9"/>
      <c r="JTT50" s="9"/>
      <c r="JTU50" s="9"/>
      <c r="JTV50" s="9"/>
      <c r="JTW50" s="9"/>
      <c r="JTX50" s="9"/>
      <c r="JTY50" s="9"/>
      <c r="JTZ50" s="9"/>
      <c r="JUA50" s="9"/>
      <c r="JUB50" s="9"/>
      <c r="JUC50" s="9"/>
      <c r="JUD50" s="9"/>
      <c r="JUE50" s="9"/>
      <c r="JUF50" s="9"/>
      <c r="JUG50" s="9"/>
      <c r="JUH50" s="9"/>
      <c r="JUI50" s="9"/>
      <c r="JUJ50" s="9"/>
      <c r="JUK50" s="9"/>
      <c r="JUL50" s="9"/>
      <c r="JUM50" s="9"/>
      <c r="JUN50" s="9"/>
      <c r="JUO50" s="9"/>
      <c r="JUP50" s="9"/>
      <c r="JUQ50" s="9"/>
      <c r="JUR50" s="9"/>
      <c r="JUS50" s="9"/>
      <c r="JUT50" s="9"/>
      <c r="JUU50" s="9"/>
      <c r="JUV50" s="9"/>
      <c r="JUW50" s="9"/>
      <c r="JUX50" s="9"/>
      <c r="JUY50" s="9"/>
      <c r="JUZ50" s="9"/>
      <c r="JVA50" s="9"/>
      <c r="JVB50" s="9"/>
      <c r="JVC50" s="9"/>
      <c r="JVD50" s="9"/>
      <c r="JVE50" s="9"/>
      <c r="JVF50" s="9"/>
      <c r="JVG50" s="9"/>
      <c r="JVH50" s="9"/>
      <c r="JVI50" s="9"/>
      <c r="JVJ50" s="9"/>
      <c r="JVK50" s="9"/>
      <c r="JVL50" s="9"/>
      <c r="JVM50" s="9"/>
      <c r="JVN50" s="9"/>
      <c r="JVO50" s="9"/>
      <c r="JVP50" s="9"/>
      <c r="JVQ50" s="9"/>
      <c r="JVR50" s="9"/>
      <c r="JVS50" s="9"/>
      <c r="JVT50" s="9"/>
      <c r="JVU50" s="9"/>
      <c r="JVV50" s="9"/>
      <c r="JVW50" s="9"/>
      <c r="JVX50" s="9"/>
      <c r="JVY50" s="9"/>
      <c r="JVZ50" s="9"/>
      <c r="JWA50" s="9"/>
      <c r="JWB50" s="9"/>
      <c r="JWC50" s="9"/>
      <c r="JWD50" s="9"/>
      <c r="JWE50" s="9"/>
      <c r="JWF50" s="9"/>
      <c r="JWG50" s="9"/>
      <c r="JWH50" s="9"/>
      <c r="JWI50" s="9"/>
      <c r="JWJ50" s="9"/>
      <c r="JWK50" s="9"/>
      <c r="JWL50" s="9"/>
      <c r="JWM50" s="9"/>
      <c r="JWN50" s="9"/>
      <c r="JWO50" s="9"/>
      <c r="JWP50" s="9"/>
      <c r="JWQ50" s="9"/>
      <c r="JWR50" s="9"/>
      <c r="JWS50" s="9"/>
      <c r="JWT50" s="9"/>
      <c r="JWU50" s="9"/>
      <c r="JWV50" s="9"/>
      <c r="JWW50" s="9"/>
      <c r="JWX50" s="9"/>
      <c r="JWY50" s="9"/>
      <c r="JWZ50" s="9"/>
      <c r="JXA50" s="9"/>
      <c r="JXB50" s="9"/>
      <c r="JXC50" s="9"/>
      <c r="JXD50" s="9"/>
      <c r="JXE50" s="9"/>
      <c r="JXF50" s="9"/>
      <c r="JXG50" s="9"/>
      <c r="JXH50" s="9"/>
      <c r="JXI50" s="9"/>
      <c r="JXJ50" s="9"/>
      <c r="JXK50" s="9"/>
      <c r="JXL50" s="9"/>
      <c r="JXM50" s="9"/>
      <c r="JXN50" s="9"/>
      <c r="JXO50" s="9"/>
      <c r="JXP50" s="9"/>
      <c r="JXQ50" s="9"/>
      <c r="JXR50" s="9"/>
      <c r="JXS50" s="9"/>
      <c r="JXT50" s="9"/>
      <c r="JXU50" s="9"/>
      <c r="JXV50" s="9"/>
      <c r="JXW50" s="9"/>
      <c r="JXX50" s="9"/>
      <c r="JXY50" s="9"/>
      <c r="JXZ50" s="9"/>
      <c r="JYA50" s="9"/>
      <c r="JYB50" s="9"/>
      <c r="JYC50" s="9"/>
      <c r="JYD50" s="9"/>
      <c r="JYE50" s="9"/>
      <c r="JYF50" s="9"/>
      <c r="JYG50" s="9"/>
      <c r="JYH50" s="9"/>
      <c r="JYI50" s="9"/>
      <c r="JYJ50" s="9"/>
      <c r="JYK50" s="9"/>
      <c r="JYL50" s="9"/>
      <c r="JYM50" s="9"/>
      <c r="JYN50" s="9"/>
      <c r="JYO50" s="9"/>
      <c r="JYP50" s="9"/>
      <c r="JYQ50" s="9"/>
      <c r="JYR50" s="9"/>
      <c r="JYS50" s="9"/>
      <c r="JYT50" s="9"/>
      <c r="JYU50" s="9"/>
      <c r="JYV50" s="9"/>
      <c r="JYW50" s="9"/>
      <c r="JYX50" s="9"/>
      <c r="JYY50" s="9"/>
      <c r="JYZ50" s="9"/>
      <c r="JZA50" s="9"/>
      <c r="JZB50" s="9"/>
      <c r="JZC50" s="9"/>
      <c r="JZD50" s="9"/>
      <c r="JZE50" s="9"/>
      <c r="JZF50" s="9"/>
      <c r="JZG50" s="9"/>
      <c r="JZH50" s="9"/>
      <c r="JZI50" s="9"/>
      <c r="JZJ50" s="9"/>
      <c r="JZK50" s="9"/>
      <c r="JZL50" s="9"/>
      <c r="JZM50" s="9"/>
      <c r="JZN50" s="9"/>
      <c r="JZO50" s="9"/>
      <c r="JZP50" s="9"/>
      <c r="JZQ50" s="9"/>
      <c r="JZR50" s="9"/>
      <c r="JZS50" s="9"/>
      <c r="JZT50" s="9"/>
      <c r="JZU50" s="9"/>
      <c r="JZV50" s="9"/>
      <c r="JZW50" s="9"/>
      <c r="JZX50" s="9"/>
      <c r="JZY50" s="9"/>
      <c r="JZZ50" s="9"/>
      <c r="KAA50" s="9"/>
      <c r="KAB50" s="9"/>
      <c r="KAC50" s="9"/>
      <c r="KAD50" s="9"/>
      <c r="KAE50" s="9"/>
      <c r="KAF50" s="9"/>
      <c r="KAG50" s="9"/>
      <c r="KAH50" s="9"/>
      <c r="KAI50" s="9"/>
      <c r="KAJ50" s="9"/>
      <c r="KAK50" s="9"/>
      <c r="KAL50" s="9"/>
      <c r="KAM50" s="9"/>
      <c r="KAN50" s="9"/>
      <c r="KAO50" s="9"/>
      <c r="KAP50" s="9"/>
      <c r="KAQ50" s="9"/>
      <c r="KAR50" s="9"/>
      <c r="KAS50" s="9"/>
      <c r="KAT50" s="9"/>
      <c r="KAU50" s="9"/>
      <c r="KAV50" s="9"/>
      <c r="KAW50" s="9"/>
      <c r="KAX50" s="9"/>
      <c r="KAY50" s="9"/>
      <c r="KAZ50" s="9"/>
      <c r="KBA50" s="9"/>
      <c r="KBB50" s="9"/>
      <c r="KBC50" s="9"/>
      <c r="KBD50" s="9"/>
      <c r="KBE50" s="9"/>
      <c r="KBF50" s="9"/>
      <c r="KBG50" s="9"/>
      <c r="KBH50" s="9"/>
      <c r="KBI50" s="9"/>
      <c r="KBJ50" s="9"/>
      <c r="KBK50" s="9"/>
      <c r="KBL50" s="9"/>
      <c r="KBM50" s="9"/>
      <c r="KBN50" s="9"/>
      <c r="KBO50" s="9"/>
      <c r="KBP50" s="9"/>
      <c r="KBQ50" s="9"/>
      <c r="KBR50" s="9"/>
      <c r="KBS50" s="9"/>
      <c r="KBT50" s="9"/>
      <c r="KBU50" s="9"/>
      <c r="KBV50" s="9"/>
      <c r="KBW50" s="9"/>
      <c r="KBX50" s="9"/>
      <c r="KBY50" s="9"/>
      <c r="KBZ50" s="9"/>
      <c r="KCA50" s="9"/>
      <c r="KCB50" s="9"/>
      <c r="KCC50" s="9"/>
      <c r="KCD50" s="9"/>
      <c r="KCE50" s="9"/>
      <c r="KCF50" s="9"/>
      <c r="KCG50" s="9"/>
      <c r="KCH50" s="9"/>
      <c r="KCI50" s="9"/>
      <c r="KCJ50" s="9"/>
      <c r="KCK50" s="9"/>
      <c r="KCL50" s="9"/>
      <c r="KCM50" s="9"/>
      <c r="KCN50" s="9"/>
      <c r="KCO50" s="9"/>
      <c r="KCP50" s="9"/>
      <c r="KCQ50" s="9"/>
      <c r="KCR50" s="9"/>
      <c r="KCS50" s="9"/>
      <c r="KCT50" s="9"/>
      <c r="KCU50" s="9"/>
      <c r="KCV50" s="9"/>
      <c r="KCW50" s="9"/>
      <c r="KCX50" s="9"/>
      <c r="KCY50" s="9"/>
      <c r="KCZ50" s="9"/>
      <c r="KDA50" s="9"/>
      <c r="KDB50" s="9"/>
      <c r="KDC50" s="9"/>
      <c r="KDD50" s="9"/>
      <c r="KDE50" s="9"/>
      <c r="KDF50" s="9"/>
      <c r="KDG50" s="9"/>
      <c r="KDH50" s="9"/>
      <c r="KDI50" s="9"/>
      <c r="KDJ50" s="9"/>
      <c r="KDK50" s="9"/>
      <c r="KDL50" s="9"/>
      <c r="KDM50" s="9"/>
      <c r="KDN50" s="9"/>
      <c r="KDO50" s="9"/>
      <c r="KDP50" s="9"/>
      <c r="KDQ50" s="9"/>
      <c r="KDR50" s="9"/>
      <c r="KDS50" s="9"/>
      <c r="KDT50" s="9"/>
      <c r="KDU50" s="9"/>
      <c r="KDV50" s="9"/>
      <c r="KDW50" s="9"/>
      <c r="KDX50" s="9"/>
      <c r="KDY50" s="9"/>
      <c r="KDZ50" s="9"/>
      <c r="KEA50" s="9"/>
      <c r="KEB50" s="9"/>
      <c r="KEC50" s="9"/>
      <c r="KED50" s="9"/>
      <c r="KEE50" s="9"/>
      <c r="KEF50" s="9"/>
      <c r="KEG50" s="9"/>
      <c r="KEH50" s="9"/>
      <c r="KEI50" s="9"/>
      <c r="KEJ50" s="9"/>
      <c r="KEK50" s="9"/>
      <c r="KEL50" s="9"/>
      <c r="KEM50" s="9"/>
      <c r="KEN50" s="9"/>
      <c r="KEO50" s="9"/>
      <c r="KEP50" s="9"/>
      <c r="KEQ50" s="9"/>
      <c r="KER50" s="9"/>
      <c r="KES50" s="9"/>
      <c r="KET50" s="9"/>
      <c r="KEU50" s="9"/>
      <c r="KEV50" s="9"/>
      <c r="KEW50" s="9"/>
      <c r="KEX50" s="9"/>
      <c r="KEY50" s="9"/>
      <c r="KEZ50" s="9"/>
      <c r="KFA50" s="9"/>
      <c r="KFB50" s="9"/>
      <c r="KFC50" s="9"/>
      <c r="KFD50" s="9"/>
      <c r="KFE50" s="9"/>
      <c r="KFF50" s="9"/>
      <c r="KFG50" s="9"/>
      <c r="KFH50" s="9"/>
      <c r="KFI50" s="9"/>
      <c r="KFJ50" s="9"/>
      <c r="KFK50" s="9"/>
      <c r="KFL50" s="9"/>
      <c r="KFM50" s="9"/>
      <c r="KFN50" s="9"/>
      <c r="KFO50" s="9"/>
      <c r="KFP50" s="9"/>
      <c r="KFQ50" s="9"/>
      <c r="KFR50" s="9"/>
      <c r="KFS50" s="9"/>
      <c r="KFT50" s="9"/>
      <c r="KFU50" s="9"/>
      <c r="KFV50" s="9"/>
      <c r="KFW50" s="9"/>
      <c r="KFX50" s="9"/>
      <c r="KFY50" s="9"/>
      <c r="KFZ50" s="9"/>
      <c r="KGA50" s="9"/>
      <c r="KGB50" s="9"/>
      <c r="KGC50" s="9"/>
      <c r="KGD50" s="9"/>
      <c r="KGE50" s="9"/>
      <c r="KGF50" s="9"/>
      <c r="KGG50" s="9"/>
      <c r="KGH50" s="9"/>
      <c r="KGI50" s="9"/>
      <c r="KGJ50" s="9"/>
      <c r="KGK50" s="9"/>
      <c r="KGL50" s="9"/>
      <c r="KGM50" s="9"/>
      <c r="KGN50" s="9"/>
      <c r="KGO50" s="9"/>
      <c r="KGP50" s="9"/>
      <c r="KGQ50" s="9"/>
      <c r="KGR50" s="9"/>
      <c r="KGS50" s="9"/>
      <c r="KGT50" s="9"/>
      <c r="KGU50" s="9"/>
      <c r="KGV50" s="9"/>
      <c r="KGW50" s="9"/>
      <c r="KGX50" s="9"/>
      <c r="KGY50" s="9"/>
      <c r="KGZ50" s="9"/>
      <c r="KHA50" s="9"/>
      <c r="KHB50" s="9"/>
      <c r="KHC50" s="9"/>
      <c r="KHD50" s="9"/>
      <c r="KHE50" s="9"/>
      <c r="KHF50" s="9"/>
      <c r="KHG50" s="9"/>
      <c r="KHH50" s="9"/>
      <c r="KHI50" s="9"/>
      <c r="KHJ50" s="9"/>
      <c r="KHK50" s="9"/>
      <c r="KHL50" s="9"/>
      <c r="KHM50" s="9"/>
      <c r="KHN50" s="9"/>
      <c r="KHO50" s="9"/>
      <c r="KHP50" s="9"/>
      <c r="KHQ50" s="9"/>
      <c r="KHR50" s="9"/>
      <c r="KHS50" s="9"/>
      <c r="KHT50" s="9"/>
      <c r="KHU50" s="9"/>
      <c r="KHV50" s="9"/>
      <c r="KHW50" s="9"/>
      <c r="KHX50" s="9"/>
      <c r="KHY50" s="9"/>
      <c r="KHZ50" s="9"/>
      <c r="KIA50" s="9"/>
      <c r="KIB50" s="9"/>
      <c r="KIC50" s="9"/>
      <c r="KID50" s="9"/>
      <c r="KIE50" s="9"/>
      <c r="KIF50" s="9"/>
      <c r="KIG50" s="9"/>
      <c r="KIH50" s="9"/>
      <c r="KII50" s="9"/>
      <c r="KIJ50" s="9"/>
      <c r="KIK50" s="9"/>
      <c r="KIL50" s="9"/>
      <c r="KIM50" s="9"/>
      <c r="KIN50" s="9"/>
      <c r="KIO50" s="9"/>
      <c r="KIP50" s="9"/>
      <c r="KIQ50" s="9"/>
      <c r="KIR50" s="9"/>
      <c r="KIS50" s="9"/>
      <c r="KIT50" s="9"/>
      <c r="KIU50" s="9"/>
      <c r="KIV50" s="9"/>
      <c r="KIW50" s="9"/>
      <c r="KIX50" s="9"/>
      <c r="KIY50" s="9"/>
      <c r="KIZ50" s="9"/>
      <c r="KJA50" s="9"/>
      <c r="KJB50" s="9"/>
      <c r="KJC50" s="9"/>
      <c r="KJD50" s="9"/>
      <c r="KJE50" s="9"/>
      <c r="KJF50" s="9"/>
      <c r="KJG50" s="9"/>
      <c r="KJH50" s="9"/>
      <c r="KJI50" s="9"/>
      <c r="KJJ50" s="9"/>
      <c r="KJK50" s="9"/>
      <c r="KJL50" s="9"/>
      <c r="KJM50" s="9"/>
      <c r="KJN50" s="9"/>
      <c r="KJO50" s="9"/>
      <c r="KJP50" s="9"/>
      <c r="KJQ50" s="9"/>
      <c r="KJR50" s="9"/>
      <c r="KJS50" s="9"/>
      <c r="KJT50" s="9"/>
      <c r="KJU50" s="9"/>
      <c r="KJV50" s="9"/>
      <c r="KJW50" s="9"/>
      <c r="KJX50" s="9"/>
      <c r="KJY50" s="9"/>
      <c r="KJZ50" s="9"/>
      <c r="KKA50" s="9"/>
      <c r="KKB50" s="9"/>
      <c r="KKC50" s="9"/>
      <c r="KKD50" s="9"/>
      <c r="KKE50" s="9"/>
      <c r="KKF50" s="9"/>
      <c r="KKG50" s="9"/>
      <c r="KKH50" s="9"/>
      <c r="KKI50" s="9"/>
      <c r="KKJ50" s="9"/>
      <c r="KKK50" s="9"/>
      <c r="KKL50" s="9"/>
      <c r="KKM50" s="9"/>
      <c r="KKN50" s="9"/>
      <c r="KKO50" s="9"/>
      <c r="KKP50" s="9"/>
      <c r="KKQ50" s="9"/>
      <c r="KKR50" s="9"/>
      <c r="KKS50" s="9"/>
      <c r="KKT50" s="9"/>
      <c r="KKU50" s="9"/>
      <c r="KKV50" s="9"/>
      <c r="KKW50" s="9"/>
      <c r="KKX50" s="9"/>
      <c r="KKY50" s="9"/>
      <c r="KKZ50" s="9"/>
      <c r="KLA50" s="9"/>
      <c r="KLB50" s="9"/>
      <c r="KLC50" s="9"/>
      <c r="KLD50" s="9"/>
      <c r="KLE50" s="9"/>
      <c r="KLF50" s="9"/>
      <c r="KLG50" s="9"/>
      <c r="KLH50" s="9"/>
      <c r="KLI50" s="9"/>
      <c r="KLJ50" s="9"/>
      <c r="KLK50" s="9"/>
      <c r="KLL50" s="9"/>
      <c r="KLM50" s="9"/>
      <c r="KLN50" s="9"/>
      <c r="KLO50" s="9"/>
      <c r="KLP50" s="9"/>
      <c r="KLQ50" s="9"/>
      <c r="KLR50" s="9"/>
      <c r="KLS50" s="9"/>
      <c r="KLT50" s="9"/>
      <c r="KLU50" s="9"/>
      <c r="KLV50" s="9"/>
      <c r="KLW50" s="9"/>
      <c r="KLX50" s="9"/>
      <c r="KLY50" s="9"/>
      <c r="KLZ50" s="9"/>
      <c r="KMA50" s="9"/>
      <c r="KMB50" s="9"/>
      <c r="KMC50" s="9"/>
      <c r="KMD50" s="9"/>
      <c r="KME50" s="9"/>
      <c r="KMF50" s="9"/>
      <c r="KMG50" s="9"/>
      <c r="KMH50" s="9"/>
      <c r="KMI50" s="9"/>
      <c r="KMJ50" s="9"/>
      <c r="KMK50" s="9"/>
      <c r="KML50" s="9"/>
      <c r="KMM50" s="9"/>
      <c r="KMN50" s="9"/>
      <c r="KMO50" s="9"/>
      <c r="KMP50" s="9"/>
      <c r="KMQ50" s="9"/>
      <c r="KMR50" s="9"/>
      <c r="KMS50" s="9"/>
      <c r="KMT50" s="9"/>
      <c r="KMU50" s="9"/>
      <c r="KMV50" s="9"/>
      <c r="KMW50" s="9"/>
      <c r="KMX50" s="9"/>
      <c r="KMY50" s="9"/>
      <c r="KMZ50" s="9"/>
      <c r="KNA50" s="9"/>
      <c r="KNB50" s="9"/>
      <c r="KNC50" s="9"/>
      <c r="KND50" s="9"/>
      <c r="KNE50" s="9"/>
      <c r="KNF50" s="9"/>
      <c r="KNG50" s="9"/>
      <c r="KNH50" s="9"/>
      <c r="KNI50" s="9"/>
      <c r="KNJ50" s="9"/>
      <c r="KNK50" s="9"/>
      <c r="KNL50" s="9"/>
      <c r="KNM50" s="9"/>
      <c r="KNN50" s="9"/>
      <c r="KNO50" s="9"/>
      <c r="KNP50" s="9"/>
      <c r="KNQ50" s="9"/>
      <c r="KNR50" s="9"/>
      <c r="KNS50" s="9"/>
      <c r="KNT50" s="9"/>
      <c r="KNU50" s="9"/>
      <c r="KNV50" s="9"/>
      <c r="KNW50" s="9"/>
      <c r="KNX50" s="9"/>
      <c r="KNY50" s="9"/>
      <c r="KNZ50" s="9"/>
      <c r="KOA50" s="9"/>
      <c r="KOB50" s="9"/>
      <c r="KOC50" s="9"/>
      <c r="KOD50" s="9"/>
      <c r="KOE50" s="9"/>
      <c r="KOF50" s="9"/>
      <c r="KOG50" s="9"/>
      <c r="KOH50" s="9"/>
      <c r="KOI50" s="9"/>
      <c r="KOJ50" s="9"/>
      <c r="KOK50" s="9"/>
      <c r="KOL50" s="9"/>
      <c r="KOM50" s="9"/>
      <c r="KON50" s="9"/>
      <c r="KOO50" s="9"/>
      <c r="KOP50" s="9"/>
      <c r="KOQ50" s="9"/>
      <c r="KOR50" s="9"/>
      <c r="KOS50" s="9"/>
      <c r="KOT50" s="9"/>
      <c r="KOU50" s="9"/>
      <c r="KOV50" s="9"/>
      <c r="KOW50" s="9"/>
      <c r="KOX50" s="9"/>
      <c r="KOY50" s="9"/>
      <c r="KOZ50" s="9"/>
      <c r="KPA50" s="9"/>
      <c r="KPB50" s="9"/>
      <c r="KPC50" s="9"/>
      <c r="KPD50" s="9"/>
      <c r="KPE50" s="9"/>
      <c r="KPF50" s="9"/>
      <c r="KPG50" s="9"/>
      <c r="KPH50" s="9"/>
      <c r="KPI50" s="9"/>
      <c r="KPJ50" s="9"/>
      <c r="KPK50" s="9"/>
      <c r="KPL50" s="9"/>
      <c r="KPM50" s="9"/>
      <c r="KPN50" s="9"/>
      <c r="KPO50" s="9"/>
      <c r="KPP50" s="9"/>
      <c r="KPQ50" s="9"/>
      <c r="KPR50" s="9"/>
      <c r="KPS50" s="9"/>
      <c r="KPT50" s="9"/>
      <c r="KPU50" s="9"/>
      <c r="KPV50" s="9"/>
      <c r="KPW50" s="9"/>
      <c r="KPX50" s="9"/>
      <c r="KPY50" s="9"/>
      <c r="KPZ50" s="9"/>
      <c r="KQA50" s="9"/>
      <c r="KQB50" s="9"/>
      <c r="KQC50" s="9"/>
      <c r="KQD50" s="9"/>
      <c r="KQE50" s="9"/>
      <c r="KQF50" s="9"/>
      <c r="KQG50" s="9"/>
      <c r="KQH50" s="9"/>
      <c r="KQI50" s="9"/>
      <c r="KQJ50" s="9"/>
      <c r="KQK50" s="9"/>
      <c r="KQL50" s="9"/>
      <c r="KQM50" s="9"/>
      <c r="KQN50" s="9"/>
      <c r="KQO50" s="9"/>
      <c r="KQP50" s="9"/>
      <c r="KQQ50" s="9"/>
      <c r="KQR50" s="9"/>
      <c r="KQS50" s="9"/>
      <c r="KQT50" s="9"/>
      <c r="KQU50" s="9"/>
      <c r="KQV50" s="9"/>
      <c r="KQW50" s="9"/>
      <c r="KQX50" s="9"/>
      <c r="KQY50" s="9"/>
      <c r="KQZ50" s="9"/>
      <c r="KRA50" s="9"/>
      <c r="KRB50" s="9"/>
      <c r="KRC50" s="9"/>
      <c r="KRD50" s="9"/>
      <c r="KRE50" s="9"/>
      <c r="KRF50" s="9"/>
      <c r="KRG50" s="9"/>
      <c r="KRH50" s="9"/>
      <c r="KRI50" s="9"/>
      <c r="KRJ50" s="9"/>
      <c r="KRK50" s="9"/>
      <c r="KRL50" s="9"/>
      <c r="KRM50" s="9"/>
      <c r="KRN50" s="9"/>
      <c r="KRO50" s="9"/>
      <c r="KRP50" s="9"/>
      <c r="KRQ50" s="9"/>
      <c r="KRR50" s="9"/>
      <c r="KRS50" s="9"/>
      <c r="KRT50" s="9"/>
      <c r="KRU50" s="9"/>
      <c r="KRV50" s="9"/>
      <c r="KRW50" s="9"/>
      <c r="KRX50" s="9"/>
      <c r="KRY50" s="9"/>
      <c r="KRZ50" s="9"/>
      <c r="KSA50" s="9"/>
      <c r="KSB50" s="9"/>
      <c r="KSC50" s="9"/>
      <c r="KSD50" s="9"/>
      <c r="KSE50" s="9"/>
      <c r="KSF50" s="9"/>
      <c r="KSG50" s="9"/>
      <c r="KSH50" s="9"/>
      <c r="KSI50" s="9"/>
      <c r="KSJ50" s="9"/>
      <c r="KSK50" s="9"/>
      <c r="KSL50" s="9"/>
      <c r="KSM50" s="9"/>
      <c r="KSN50" s="9"/>
      <c r="KSO50" s="9"/>
      <c r="KSP50" s="9"/>
      <c r="KSQ50" s="9"/>
      <c r="KSR50" s="9"/>
      <c r="KSS50" s="9"/>
      <c r="KST50" s="9"/>
      <c r="KSU50" s="9"/>
      <c r="KSV50" s="9"/>
      <c r="KSW50" s="9"/>
      <c r="KSX50" s="9"/>
      <c r="KSY50" s="9"/>
      <c r="KSZ50" s="9"/>
      <c r="KTA50" s="9"/>
      <c r="KTB50" s="9"/>
      <c r="KTC50" s="9"/>
      <c r="KTD50" s="9"/>
      <c r="KTE50" s="9"/>
      <c r="KTF50" s="9"/>
      <c r="KTG50" s="9"/>
      <c r="KTH50" s="9"/>
      <c r="KTI50" s="9"/>
      <c r="KTJ50" s="9"/>
      <c r="KTK50" s="9"/>
      <c r="KTL50" s="9"/>
      <c r="KTM50" s="9"/>
      <c r="KTN50" s="9"/>
      <c r="KTO50" s="9"/>
      <c r="KTP50" s="9"/>
      <c r="KTQ50" s="9"/>
      <c r="KTR50" s="9"/>
      <c r="KTS50" s="9"/>
      <c r="KTT50" s="9"/>
      <c r="KTU50" s="9"/>
      <c r="KTV50" s="9"/>
      <c r="KTW50" s="9"/>
      <c r="KTX50" s="9"/>
      <c r="KTY50" s="9"/>
      <c r="KTZ50" s="9"/>
      <c r="KUA50" s="9"/>
      <c r="KUB50" s="9"/>
      <c r="KUC50" s="9"/>
      <c r="KUD50" s="9"/>
      <c r="KUE50" s="9"/>
      <c r="KUF50" s="9"/>
      <c r="KUG50" s="9"/>
      <c r="KUH50" s="9"/>
      <c r="KUI50" s="9"/>
      <c r="KUJ50" s="9"/>
      <c r="KUK50" s="9"/>
      <c r="KUL50" s="9"/>
      <c r="KUM50" s="9"/>
      <c r="KUN50" s="9"/>
      <c r="KUO50" s="9"/>
      <c r="KUP50" s="9"/>
      <c r="KUQ50" s="9"/>
      <c r="KUR50" s="9"/>
      <c r="KUS50" s="9"/>
      <c r="KUT50" s="9"/>
      <c r="KUU50" s="9"/>
      <c r="KUV50" s="9"/>
      <c r="KUW50" s="9"/>
      <c r="KUX50" s="9"/>
      <c r="KUY50" s="9"/>
      <c r="KUZ50" s="9"/>
      <c r="KVA50" s="9"/>
      <c r="KVB50" s="9"/>
      <c r="KVC50" s="9"/>
      <c r="KVD50" s="9"/>
      <c r="KVE50" s="9"/>
      <c r="KVF50" s="9"/>
      <c r="KVG50" s="9"/>
      <c r="KVH50" s="9"/>
      <c r="KVI50" s="9"/>
      <c r="KVJ50" s="9"/>
      <c r="KVK50" s="9"/>
      <c r="KVL50" s="9"/>
      <c r="KVM50" s="9"/>
      <c r="KVN50" s="9"/>
      <c r="KVO50" s="9"/>
      <c r="KVP50" s="9"/>
      <c r="KVQ50" s="9"/>
      <c r="KVR50" s="9"/>
      <c r="KVS50" s="9"/>
      <c r="KVT50" s="9"/>
      <c r="KVU50" s="9"/>
      <c r="KVV50" s="9"/>
      <c r="KVW50" s="9"/>
      <c r="KVX50" s="9"/>
      <c r="KVY50" s="9"/>
      <c r="KVZ50" s="9"/>
      <c r="KWA50" s="9"/>
      <c r="KWB50" s="9"/>
      <c r="KWC50" s="9"/>
      <c r="KWD50" s="9"/>
      <c r="KWE50" s="9"/>
      <c r="KWF50" s="9"/>
      <c r="KWG50" s="9"/>
      <c r="KWH50" s="9"/>
      <c r="KWI50" s="9"/>
      <c r="KWJ50" s="9"/>
      <c r="KWK50" s="9"/>
      <c r="KWL50" s="9"/>
      <c r="KWM50" s="9"/>
      <c r="KWN50" s="9"/>
      <c r="KWO50" s="9"/>
      <c r="KWP50" s="9"/>
      <c r="KWQ50" s="9"/>
      <c r="KWR50" s="9"/>
      <c r="KWS50" s="9"/>
      <c r="KWT50" s="9"/>
      <c r="KWU50" s="9"/>
      <c r="KWV50" s="9"/>
      <c r="KWW50" s="9"/>
      <c r="KWX50" s="9"/>
      <c r="KWY50" s="9"/>
      <c r="KWZ50" s="9"/>
      <c r="KXA50" s="9"/>
      <c r="KXB50" s="9"/>
      <c r="KXC50" s="9"/>
      <c r="KXD50" s="9"/>
      <c r="KXE50" s="9"/>
      <c r="KXF50" s="9"/>
      <c r="KXG50" s="9"/>
      <c r="KXH50" s="9"/>
      <c r="KXI50" s="9"/>
      <c r="KXJ50" s="9"/>
      <c r="KXK50" s="9"/>
      <c r="KXL50" s="9"/>
      <c r="KXM50" s="9"/>
      <c r="KXN50" s="9"/>
      <c r="KXO50" s="9"/>
      <c r="KXP50" s="9"/>
      <c r="KXQ50" s="9"/>
      <c r="KXR50" s="9"/>
      <c r="KXS50" s="9"/>
      <c r="KXT50" s="9"/>
      <c r="KXU50" s="9"/>
      <c r="KXV50" s="9"/>
      <c r="KXW50" s="9"/>
      <c r="KXX50" s="9"/>
      <c r="KXY50" s="9"/>
      <c r="KXZ50" s="9"/>
      <c r="KYA50" s="9"/>
      <c r="KYB50" s="9"/>
      <c r="KYC50" s="9"/>
      <c r="KYD50" s="9"/>
      <c r="KYE50" s="9"/>
      <c r="KYF50" s="9"/>
      <c r="KYG50" s="9"/>
      <c r="KYH50" s="9"/>
      <c r="KYI50" s="9"/>
      <c r="KYJ50" s="9"/>
      <c r="KYK50" s="9"/>
      <c r="KYL50" s="9"/>
      <c r="KYM50" s="9"/>
      <c r="KYN50" s="9"/>
      <c r="KYO50" s="9"/>
      <c r="KYP50" s="9"/>
      <c r="KYQ50" s="9"/>
      <c r="KYR50" s="9"/>
      <c r="KYS50" s="9"/>
      <c r="KYT50" s="9"/>
      <c r="KYU50" s="9"/>
      <c r="KYV50" s="9"/>
      <c r="KYW50" s="9"/>
      <c r="KYX50" s="9"/>
      <c r="KYY50" s="9"/>
      <c r="KYZ50" s="9"/>
      <c r="KZA50" s="9"/>
      <c r="KZB50" s="9"/>
      <c r="KZC50" s="9"/>
      <c r="KZD50" s="9"/>
      <c r="KZE50" s="9"/>
      <c r="KZF50" s="9"/>
      <c r="KZG50" s="9"/>
      <c r="KZH50" s="9"/>
      <c r="KZI50" s="9"/>
      <c r="KZJ50" s="9"/>
      <c r="KZK50" s="9"/>
      <c r="KZL50" s="9"/>
      <c r="KZM50" s="9"/>
      <c r="KZN50" s="9"/>
      <c r="KZO50" s="9"/>
      <c r="KZP50" s="9"/>
      <c r="KZQ50" s="9"/>
      <c r="KZR50" s="9"/>
      <c r="KZS50" s="9"/>
      <c r="KZT50" s="9"/>
      <c r="KZU50" s="9"/>
      <c r="KZV50" s="9"/>
      <c r="KZW50" s="9"/>
      <c r="KZX50" s="9"/>
      <c r="KZY50" s="9"/>
      <c r="KZZ50" s="9"/>
      <c r="LAA50" s="9"/>
      <c r="LAB50" s="9"/>
      <c r="LAC50" s="9"/>
      <c r="LAD50" s="9"/>
      <c r="LAE50" s="9"/>
      <c r="LAF50" s="9"/>
      <c r="LAG50" s="9"/>
      <c r="LAH50" s="9"/>
      <c r="LAI50" s="9"/>
      <c r="LAJ50" s="9"/>
      <c r="LAK50" s="9"/>
      <c r="LAL50" s="9"/>
      <c r="LAM50" s="9"/>
      <c r="LAN50" s="9"/>
      <c r="LAO50" s="9"/>
      <c r="LAP50" s="9"/>
      <c r="LAQ50" s="9"/>
      <c r="LAR50" s="9"/>
      <c r="LAS50" s="9"/>
      <c r="LAT50" s="9"/>
      <c r="LAU50" s="9"/>
      <c r="LAV50" s="9"/>
      <c r="LAW50" s="9"/>
      <c r="LAX50" s="9"/>
      <c r="LAY50" s="9"/>
      <c r="LAZ50" s="9"/>
      <c r="LBA50" s="9"/>
      <c r="LBB50" s="9"/>
      <c r="LBC50" s="9"/>
      <c r="LBD50" s="9"/>
      <c r="LBE50" s="9"/>
      <c r="LBF50" s="9"/>
      <c r="LBG50" s="9"/>
      <c r="LBH50" s="9"/>
      <c r="LBI50" s="9"/>
      <c r="LBJ50" s="9"/>
      <c r="LBK50" s="9"/>
      <c r="LBL50" s="9"/>
      <c r="LBM50" s="9"/>
      <c r="LBN50" s="9"/>
      <c r="LBO50" s="9"/>
      <c r="LBP50" s="9"/>
      <c r="LBQ50" s="9"/>
      <c r="LBR50" s="9"/>
      <c r="LBS50" s="9"/>
      <c r="LBT50" s="9"/>
      <c r="LBU50" s="9"/>
      <c r="LBV50" s="9"/>
      <c r="LBW50" s="9"/>
      <c r="LBX50" s="9"/>
      <c r="LBY50" s="9"/>
      <c r="LBZ50" s="9"/>
      <c r="LCA50" s="9"/>
      <c r="LCB50" s="9"/>
      <c r="LCC50" s="9"/>
      <c r="LCD50" s="9"/>
      <c r="LCE50" s="9"/>
      <c r="LCF50" s="9"/>
      <c r="LCG50" s="9"/>
      <c r="LCH50" s="9"/>
      <c r="LCI50" s="9"/>
      <c r="LCJ50" s="9"/>
      <c r="LCK50" s="9"/>
      <c r="LCL50" s="9"/>
      <c r="LCM50" s="9"/>
      <c r="LCN50" s="9"/>
      <c r="LCO50" s="9"/>
      <c r="LCP50" s="9"/>
      <c r="LCQ50" s="9"/>
      <c r="LCR50" s="9"/>
      <c r="LCS50" s="9"/>
      <c r="LCT50" s="9"/>
      <c r="LCU50" s="9"/>
      <c r="LCV50" s="9"/>
      <c r="LCW50" s="9"/>
      <c r="LCX50" s="9"/>
      <c r="LCY50" s="9"/>
      <c r="LCZ50" s="9"/>
      <c r="LDA50" s="9"/>
      <c r="LDB50" s="9"/>
      <c r="LDC50" s="9"/>
      <c r="LDD50" s="9"/>
      <c r="LDE50" s="9"/>
      <c r="LDF50" s="9"/>
      <c r="LDG50" s="9"/>
      <c r="LDH50" s="9"/>
      <c r="LDI50" s="9"/>
      <c r="LDJ50" s="9"/>
      <c r="LDK50" s="9"/>
      <c r="LDL50" s="9"/>
      <c r="LDM50" s="9"/>
      <c r="LDN50" s="9"/>
      <c r="LDO50" s="9"/>
      <c r="LDP50" s="9"/>
      <c r="LDQ50" s="9"/>
      <c r="LDR50" s="9"/>
      <c r="LDS50" s="9"/>
      <c r="LDT50" s="9"/>
      <c r="LDU50" s="9"/>
      <c r="LDV50" s="9"/>
      <c r="LDW50" s="9"/>
      <c r="LDX50" s="9"/>
      <c r="LDY50" s="9"/>
      <c r="LDZ50" s="9"/>
      <c r="LEA50" s="9"/>
      <c r="LEB50" s="9"/>
      <c r="LEC50" s="9"/>
      <c r="LED50" s="9"/>
      <c r="LEE50" s="9"/>
      <c r="LEF50" s="9"/>
      <c r="LEG50" s="9"/>
      <c r="LEH50" s="9"/>
      <c r="LEI50" s="9"/>
      <c r="LEJ50" s="9"/>
      <c r="LEK50" s="9"/>
      <c r="LEL50" s="9"/>
      <c r="LEM50" s="9"/>
      <c r="LEN50" s="9"/>
      <c r="LEO50" s="9"/>
      <c r="LEP50" s="9"/>
      <c r="LEQ50" s="9"/>
      <c r="LER50" s="9"/>
      <c r="LES50" s="9"/>
      <c r="LET50" s="9"/>
      <c r="LEU50" s="9"/>
      <c r="LEV50" s="9"/>
      <c r="LEW50" s="9"/>
      <c r="LEX50" s="9"/>
      <c r="LEY50" s="9"/>
      <c r="LEZ50" s="9"/>
      <c r="LFA50" s="9"/>
      <c r="LFB50" s="9"/>
      <c r="LFC50" s="9"/>
      <c r="LFD50" s="9"/>
      <c r="LFE50" s="9"/>
      <c r="LFF50" s="9"/>
      <c r="LFG50" s="9"/>
      <c r="LFH50" s="9"/>
      <c r="LFI50" s="9"/>
      <c r="LFJ50" s="9"/>
      <c r="LFK50" s="9"/>
      <c r="LFL50" s="9"/>
      <c r="LFM50" s="9"/>
      <c r="LFN50" s="9"/>
      <c r="LFO50" s="9"/>
      <c r="LFP50" s="9"/>
      <c r="LFQ50" s="9"/>
      <c r="LFR50" s="9"/>
      <c r="LFS50" s="9"/>
      <c r="LFT50" s="9"/>
      <c r="LFU50" s="9"/>
      <c r="LFV50" s="9"/>
      <c r="LFW50" s="9"/>
      <c r="LFX50" s="9"/>
      <c r="LFY50" s="9"/>
      <c r="LFZ50" s="9"/>
      <c r="LGA50" s="9"/>
      <c r="LGB50" s="9"/>
      <c r="LGC50" s="9"/>
      <c r="LGD50" s="9"/>
      <c r="LGE50" s="9"/>
      <c r="LGF50" s="9"/>
      <c r="LGG50" s="9"/>
      <c r="LGH50" s="9"/>
      <c r="LGI50" s="9"/>
      <c r="LGJ50" s="9"/>
      <c r="LGK50" s="9"/>
      <c r="LGL50" s="9"/>
      <c r="LGM50" s="9"/>
      <c r="LGN50" s="9"/>
      <c r="LGO50" s="9"/>
      <c r="LGP50" s="9"/>
      <c r="LGQ50" s="9"/>
      <c r="LGR50" s="9"/>
      <c r="LGS50" s="9"/>
      <c r="LGT50" s="9"/>
      <c r="LGU50" s="9"/>
      <c r="LGV50" s="9"/>
      <c r="LGW50" s="9"/>
      <c r="LGX50" s="9"/>
      <c r="LGY50" s="9"/>
      <c r="LGZ50" s="9"/>
      <c r="LHA50" s="9"/>
      <c r="LHB50" s="9"/>
      <c r="LHC50" s="9"/>
      <c r="LHD50" s="9"/>
      <c r="LHE50" s="9"/>
      <c r="LHF50" s="9"/>
      <c r="LHG50" s="9"/>
      <c r="LHH50" s="9"/>
      <c r="LHI50" s="9"/>
      <c r="LHJ50" s="9"/>
      <c r="LHK50" s="9"/>
      <c r="LHL50" s="9"/>
      <c r="LHM50" s="9"/>
      <c r="LHN50" s="9"/>
      <c r="LHO50" s="9"/>
      <c r="LHP50" s="9"/>
      <c r="LHQ50" s="9"/>
      <c r="LHR50" s="9"/>
      <c r="LHS50" s="9"/>
      <c r="LHT50" s="9"/>
      <c r="LHU50" s="9"/>
      <c r="LHV50" s="9"/>
      <c r="LHW50" s="9"/>
      <c r="LHX50" s="9"/>
      <c r="LHY50" s="9"/>
      <c r="LHZ50" s="9"/>
      <c r="LIA50" s="9"/>
      <c r="LIB50" s="9"/>
      <c r="LIC50" s="9"/>
      <c r="LID50" s="9"/>
      <c r="LIE50" s="9"/>
      <c r="LIF50" s="9"/>
      <c r="LIG50" s="9"/>
      <c r="LIH50" s="9"/>
      <c r="LII50" s="9"/>
      <c r="LIJ50" s="9"/>
      <c r="LIK50" s="9"/>
      <c r="LIL50" s="9"/>
      <c r="LIM50" s="9"/>
      <c r="LIN50" s="9"/>
      <c r="LIO50" s="9"/>
      <c r="LIP50" s="9"/>
      <c r="LIQ50" s="9"/>
      <c r="LIR50" s="9"/>
      <c r="LIS50" s="9"/>
      <c r="LIT50" s="9"/>
      <c r="LIU50" s="9"/>
      <c r="LIV50" s="9"/>
      <c r="LIW50" s="9"/>
      <c r="LIX50" s="9"/>
      <c r="LIY50" s="9"/>
      <c r="LIZ50" s="9"/>
      <c r="LJA50" s="9"/>
      <c r="LJB50" s="9"/>
      <c r="LJC50" s="9"/>
      <c r="LJD50" s="9"/>
      <c r="LJE50" s="9"/>
      <c r="LJF50" s="9"/>
      <c r="LJG50" s="9"/>
      <c r="LJH50" s="9"/>
      <c r="LJI50" s="9"/>
      <c r="LJJ50" s="9"/>
      <c r="LJK50" s="9"/>
      <c r="LJL50" s="9"/>
      <c r="LJM50" s="9"/>
      <c r="LJN50" s="9"/>
      <c r="LJO50" s="9"/>
      <c r="LJP50" s="9"/>
      <c r="LJQ50" s="9"/>
      <c r="LJR50" s="9"/>
      <c r="LJS50" s="9"/>
      <c r="LJT50" s="9"/>
      <c r="LJU50" s="9"/>
      <c r="LJV50" s="9"/>
      <c r="LJW50" s="9"/>
      <c r="LJX50" s="9"/>
      <c r="LJY50" s="9"/>
      <c r="LJZ50" s="9"/>
      <c r="LKA50" s="9"/>
      <c r="LKB50" s="9"/>
      <c r="LKC50" s="9"/>
      <c r="LKD50" s="9"/>
      <c r="LKE50" s="9"/>
      <c r="LKF50" s="9"/>
      <c r="LKG50" s="9"/>
      <c r="LKH50" s="9"/>
      <c r="LKI50" s="9"/>
      <c r="LKJ50" s="9"/>
      <c r="LKK50" s="9"/>
      <c r="LKL50" s="9"/>
      <c r="LKM50" s="9"/>
      <c r="LKN50" s="9"/>
      <c r="LKO50" s="9"/>
      <c r="LKP50" s="9"/>
      <c r="LKQ50" s="9"/>
      <c r="LKR50" s="9"/>
      <c r="LKS50" s="9"/>
      <c r="LKT50" s="9"/>
      <c r="LKU50" s="9"/>
      <c r="LKV50" s="9"/>
      <c r="LKW50" s="9"/>
      <c r="LKX50" s="9"/>
      <c r="LKY50" s="9"/>
      <c r="LKZ50" s="9"/>
      <c r="LLA50" s="9"/>
      <c r="LLB50" s="9"/>
      <c r="LLC50" s="9"/>
      <c r="LLD50" s="9"/>
      <c r="LLE50" s="9"/>
      <c r="LLF50" s="9"/>
      <c r="LLG50" s="9"/>
      <c r="LLH50" s="9"/>
      <c r="LLI50" s="9"/>
      <c r="LLJ50" s="9"/>
      <c r="LLK50" s="9"/>
      <c r="LLL50" s="9"/>
      <c r="LLM50" s="9"/>
      <c r="LLN50" s="9"/>
      <c r="LLO50" s="9"/>
      <c r="LLP50" s="9"/>
      <c r="LLQ50" s="9"/>
      <c r="LLR50" s="9"/>
      <c r="LLS50" s="9"/>
      <c r="LLT50" s="9"/>
      <c r="LLU50" s="9"/>
      <c r="LLV50" s="9"/>
      <c r="LLW50" s="9"/>
      <c r="LLX50" s="9"/>
      <c r="LLY50" s="9"/>
      <c r="LLZ50" s="9"/>
      <c r="LMA50" s="9"/>
      <c r="LMB50" s="9"/>
      <c r="LMC50" s="9"/>
      <c r="LMD50" s="9"/>
      <c r="LME50" s="9"/>
      <c r="LMF50" s="9"/>
      <c r="LMG50" s="9"/>
      <c r="LMH50" s="9"/>
      <c r="LMI50" s="9"/>
      <c r="LMJ50" s="9"/>
      <c r="LMK50" s="9"/>
      <c r="LML50" s="9"/>
      <c r="LMM50" s="9"/>
      <c r="LMN50" s="9"/>
      <c r="LMO50" s="9"/>
      <c r="LMP50" s="9"/>
      <c r="LMQ50" s="9"/>
      <c r="LMR50" s="9"/>
      <c r="LMS50" s="9"/>
      <c r="LMT50" s="9"/>
      <c r="LMU50" s="9"/>
      <c r="LMV50" s="9"/>
      <c r="LMW50" s="9"/>
      <c r="LMX50" s="9"/>
      <c r="LMY50" s="9"/>
      <c r="LMZ50" s="9"/>
      <c r="LNA50" s="9"/>
      <c r="LNB50" s="9"/>
      <c r="LNC50" s="9"/>
      <c r="LND50" s="9"/>
      <c r="LNE50" s="9"/>
      <c r="LNF50" s="9"/>
      <c r="LNG50" s="9"/>
      <c r="LNH50" s="9"/>
      <c r="LNI50" s="9"/>
      <c r="LNJ50" s="9"/>
      <c r="LNK50" s="9"/>
      <c r="LNL50" s="9"/>
      <c r="LNM50" s="9"/>
      <c r="LNN50" s="9"/>
      <c r="LNO50" s="9"/>
      <c r="LNP50" s="9"/>
      <c r="LNQ50" s="9"/>
      <c r="LNR50" s="9"/>
      <c r="LNS50" s="9"/>
      <c r="LNT50" s="9"/>
      <c r="LNU50" s="9"/>
      <c r="LNV50" s="9"/>
      <c r="LNW50" s="9"/>
      <c r="LNX50" s="9"/>
      <c r="LNY50" s="9"/>
      <c r="LNZ50" s="9"/>
      <c r="LOA50" s="9"/>
      <c r="LOB50" s="9"/>
      <c r="LOC50" s="9"/>
      <c r="LOD50" s="9"/>
      <c r="LOE50" s="9"/>
      <c r="LOF50" s="9"/>
      <c r="LOG50" s="9"/>
      <c r="LOH50" s="9"/>
      <c r="LOI50" s="9"/>
      <c r="LOJ50" s="9"/>
      <c r="LOK50" s="9"/>
      <c r="LOL50" s="9"/>
      <c r="LOM50" s="9"/>
      <c r="LON50" s="9"/>
      <c r="LOO50" s="9"/>
      <c r="LOP50" s="9"/>
      <c r="LOQ50" s="9"/>
      <c r="LOR50" s="9"/>
      <c r="LOS50" s="9"/>
      <c r="LOT50" s="9"/>
      <c r="LOU50" s="9"/>
      <c r="LOV50" s="9"/>
      <c r="LOW50" s="9"/>
      <c r="LOX50" s="9"/>
      <c r="LOY50" s="9"/>
      <c r="LOZ50" s="9"/>
      <c r="LPA50" s="9"/>
      <c r="LPB50" s="9"/>
      <c r="LPC50" s="9"/>
      <c r="LPD50" s="9"/>
      <c r="LPE50" s="9"/>
      <c r="LPF50" s="9"/>
      <c r="LPG50" s="9"/>
      <c r="LPH50" s="9"/>
      <c r="LPI50" s="9"/>
      <c r="LPJ50" s="9"/>
      <c r="LPK50" s="9"/>
      <c r="LPL50" s="9"/>
      <c r="LPM50" s="9"/>
      <c r="LPN50" s="9"/>
      <c r="LPO50" s="9"/>
      <c r="LPP50" s="9"/>
      <c r="LPQ50" s="9"/>
      <c r="LPR50" s="9"/>
      <c r="LPS50" s="9"/>
      <c r="LPT50" s="9"/>
      <c r="LPU50" s="9"/>
      <c r="LPV50" s="9"/>
      <c r="LPW50" s="9"/>
      <c r="LPX50" s="9"/>
      <c r="LPY50" s="9"/>
      <c r="LPZ50" s="9"/>
      <c r="LQA50" s="9"/>
      <c r="LQB50" s="9"/>
      <c r="LQC50" s="9"/>
      <c r="LQD50" s="9"/>
      <c r="LQE50" s="9"/>
      <c r="LQF50" s="9"/>
      <c r="LQG50" s="9"/>
      <c r="LQH50" s="9"/>
      <c r="LQI50" s="9"/>
      <c r="LQJ50" s="9"/>
      <c r="LQK50" s="9"/>
      <c r="LQL50" s="9"/>
      <c r="LQM50" s="9"/>
      <c r="LQN50" s="9"/>
      <c r="LQO50" s="9"/>
      <c r="LQP50" s="9"/>
      <c r="LQQ50" s="9"/>
      <c r="LQR50" s="9"/>
      <c r="LQS50" s="9"/>
      <c r="LQT50" s="9"/>
      <c r="LQU50" s="9"/>
      <c r="LQV50" s="9"/>
      <c r="LQW50" s="9"/>
      <c r="LQX50" s="9"/>
      <c r="LQY50" s="9"/>
      <c r="LQZ50" s="9"/>
      <c r="LRA50" s="9"/>
      <c r="LRB50" s="9"/>
      <c r="LRC50" s="9"/>
      <c r="LRD50" s="9"/>
      <c r="LRE50" s="9"/>
      <c r="LRF50" s="9"/>
      <c r="LRG50" s="9"/>
      <c r="LRH50" s="9"/>
      <c r="LRI50" s="9"/>
      <c r="LRJ50" s="9"/>
      <c r="LRK50" s="9"/>
      <c r="LRL50" s="9"/>
      <c r="LRM50" s="9"/>
      <c r="LRN50" s="9"/>
      <c r="LRO50" s="9"/>
      <c r="LRP50" s="9"/>
      <c r="LRQ50" s="9"/>
      <c r="LRR50" s="9"/>
      <c r="LRS50" s="9"/>
      <c r="LRT50" s="9"/>
      <c r="LRU50" s="9"/>
      <c r="LRV50" s="9"/>
      <c r="LRW50" s="9"/>
      <c r="LRX50" s="9"/>
      <c r="LRY50" s="9"/>
      <c r="LRZ50" s="9"/>
      <c r="LSA50" s="9"/>
      <c r="LSB50" s="9"/>
      <c r="LSC50" s="9"/>
      <c r="LSD50" s="9"/>
      <c r="LSE50" s="9"/>
      <c r="LSF50" s="9"/>
      <c r="LSG50" s="9"/>
      <c r="LSH50" s="9"/>
      <c r="LSI50" s="9"/>
      <c r="LSJ50" s="9"/>
      <c r="LSK50" s="9"/>
      <c r="LSL50" s="9"/>
      <c r="LSM50" s="9"/>
      <c r="LSN50" s="9"/>
      <c r="LSO50" s="9"/>
      <c r="LSP50" s="9"/>
      <c r="LSQ50" s="9"/>
      <c r="LSR50" s="9"/>
      <c r="LSS50" s="9"/>
      <c r="LST50" s="9"/>
      <c r="LSU50" s="9"/>
      <c r="LSV50" s="9"/>
      <c r="LSW50" s="9"/>
      <c r="LSX50" s="9"/>
      <c r="LSY50" s="9"/>
      <c r="LSZ50" s="9"/>
      <c r="LTA50" s="9"/>
      <c r="LTB50" s="9"/>
      <c r="LTC50" s="9"/>
      <c r="LTD50" s="9"/>
      <c r="LTE50" s="9"/>
      <c r="LTF50" s="9"/>
      <c r="LTG50" s="9"/>
      <c r="LTH50" s="9"/>
      <c r="LTI50" s="9"/>
      <c r="LTJ50" s="9"/>
      <c r="LTK50" s="9"/>
      <c r="LTL50" s="9"/>
      <c r="LTM50" s="9"/>
      <c r="LTN50" s="9"/>
      <c r="LTO50" s="9"/>
      <c r="LTP50" s="9"/>
      <c r="LTQ50" s="9"/>
      <c r="LTR50" s="9"/>
      <c r="LTS50" s="9"/>
      <c r="LTT50" s="9"/>
      <c r="LTU50" s="9"/>
      <c r="LTV50" s="9"/>
      <c r="LTW50" s="9"/>
      <c r="LTX50" s="9"/>
      <c r="LTY50" s="9"/>
      <c r="LTZ50" s="9"/>
      <c r="LUA50" s="9"/>
      <c r="LUB50" s="9"/>
      <c r="LUC50" s="9"/>
      <c r="LUD50" s="9"/>
      <c r="LUE50" s="9"/>
      <c r="LUF50" s="9"/>
      <c r="LUG50" s="9"/>
      <c r="LUH50" s="9"/>
      <c r="LUI50" s="9"/>
      <c r="LUJ50" s="9"/>
      <c r="LUK50" s="9"/>
      <c r="LUL50" s="9"/>
      <c r="LUM50" s="9"/>
      <c r="LUN50" s="9"/>
      <c r="LUO50" s="9"/>
      <c r="LUP50" s="9"/>
      <c r="LUQ50" s="9"/>
      <c r="LUR50" s="9"/>
      <c r="LUS50" s="9"/>
      <c r="LUT50" s="9"/>
      <c r="LUU50" s="9"/>
      <c r="LUV50" s="9"/>
      <c r="LUW50" s="9"/>
      <c r="LUX50" s="9"/>
      <c r="LUY50" s="9"/>
      <c r="LUZ50" s="9"/>
      <c r="LVA50" s="9"/>
      <c r="LVB50" s="9"/>
      <c r="LVC50" s="9"/>
      <c r="LVD50" s="9"/>
      <c r="LVE50" s="9"/>
      <c r="LVF50" s="9"/>
      <c r="LVG50" s="9"/>
      <c r="LVH50" s="9"/>
      <c r="LVI50" s="9"/>
      <c r="LVJ50" s="9"/>
      <c r="LVK50" s="9"/>
      <c r="LVL50" s="9"/>
      <c r="LVM50" s="9"/>
      <c r="LVN50" s="9"/>
      <c r="LVO50" s="9"/>
      <c r="LVP50" s="9"/>
      <c r="LVQ50" s="9"/>
      <c r="LVR50" s="9"/>
      <c r="LVS50" s="9"/>
      <c r="LVT50" s="9"/>
      <c r="LVU50" s="9"/>
      <c r="LVV50" s="9"/>
      <c r="LVW50" s="9"/>
      <c r="LVX50" s="9"/>
      <c r="LVY50" s="9"/>
      <c r="LVZ50" s="9"/>
      <c r="LWA50" s="9"/>
      <c r="LWB50" s="9"/>
      <c r="LWC50" s="9"/>
      <c r="LWD50" s="9"/>
      <c r="LWE50" s="9"/>
      <c r="LWF50" s="9"/>
      <c r="LWG50" s="9"/>
      <c r="LWH50" s="9"/>
      <c r="LWI50" s="9"/>
      <c r="LWJ50" s="9"/>
      <c r="LWK50" s="9"/>
      <c r="LWL50" s="9"/>
      <c r="LWM50" s="9"/>
      <c r="LWN50" s="9"/>
      <c r="LWO50" s="9"/>
      <c r="LWP50" s="9"/>
      <c r="LWQ50" s="9"/>
      <c r="LWR50" s="9"/>
      <c r="LWS50" s="9"/>
      <c r="LWT50" s="9"/>
      <c r="LWU50" s="9"/>
      <c r="LWV50" s="9"/>
      <c r="LWW50" s="9"/>
      <c r="LWX50" s="9"/>
      <c r="LWY50" s="9"/>
      <c r="LWZ50" s="9"/>
      <c r="LXA50" s="9"/>
      <c r="LXB50" s="9"/>
      <c r="LXC50" s="9"/>
      <c r="LXD50" s="9"/>
      <c r="LXE50" s="9"/>
      <c r="LXF50" s="9"/>
      <c r="LXG50" s="9"/>
      <c r="LXH50" s="9"/>
      <c r="LXI50" s="9"/>
      <c r="LXJ50" s="9"/>
      <c r="LXK50" s="9"/>
      <c r="LXL50" s="9"/>
      <c r="LXM50" s="9"/>
      <c r="LXN50" s="9"/>
      <c r="LXO50" s="9"/>
      <c r="LXP50" s="9"/>
      <c r="LXQ50" s="9"/>
      <c r="LXR50" s="9"/>
      <c r="LXS50" s="9"/>
      <c r="LXT50" s="9"/>
      <c r="LXU50" s="9"/>
      <c r="LXV50" s="9"/>
      <c r="LXW50" s="9"/>
      <c r="LXX50" s="9"/>
      <c r="LXY50" s="9"/>
      <c r="LXZ50" s="9"/>
      <c r="LYA50" s="9"/>
      <c r="LYB50" s="9"/>
      <c r="LYC50" s="9"/>
      <c r="LYD50" s="9"/>
      <c r="LYE50" s="9"/>
      <c r="LYF50" s="9"/>
      <c r="LYG50" s="9"/>
      <c r="LYH50" s="9"/>
      <c r="LYI50" s="9"/>
      <c r="LYJ50" s="9"/>
      <c r="LYK50" s="9"/>
      <c r="LYL50" s="9"/>
      <c r="LYM50" s="9"/>
      <c r="LYN50" s="9"/>
      <c r="LYO50" s="9"/>
      <c r="LYP50" s="9"/>
      <c r="LYQ50" s="9"/>
      <c r="LYR50" s="9"/>
      <c r="LYS50" s="9"/>
      <c r="LYT50" s="9"/>
      <c r="LYU50" s="9"/>
      <c r="LYV50" s="9"/>
      <c r="LYW50" s="9"/>
      <c r="LYX50" s="9"/>
      <c r="LYY50" s="9"/>
      <c r="LYZ50" s="9"/>
      <c r="LZA50" s="9"/>
      <c r="LZB50" s="9"/>
      <c r="LZC50" s="9"/>
      <c r="LZD50" s="9"/>
      <c r="LZE50" s="9"/>
      <c r="LZF50" s="9"/>
      <c r="LZG50" s="9"/>
      <c r="LZH50" s="9"/>
      <c r="LZI50" s="9"/>
      <c r="LZJ50" s="9"/>
      <c r="LZK50" s="9"/>
      <c r="LZL50" s="9"/>
      <c r="LZM50" s="9"/>
      <c r="LZN50" s="9"/>
      <c r="LZO50" s="9"/>
      <c r="LZP50" s="9"/>
      <c r="LZQ50" s="9"/>
      <c r="LZR50" s="9"/>
      <c r="LZS50" s="9"/>
      <c r="LZT50" s="9"/>
      <c r="LZU50" s="9"/>
      <c r="LZV50" s="9"/>
      <c r="LZW50" s="9"/>
      <c r="LZX50" s="9"/>
      <c r="LZY50" s="9"/>
      <c r="LZZ50" s="9"/>
      <c r="MAA50" s="9"/>
      <c r="MAB50" s="9"/>
      <c r="MAC50" s="9"/>
      <c r="MAD50" s="9"/>
      <c r="MAE50" s="9"/>
      <c r="MAF50" s="9"/>
      <c r="MAG50" s="9"/>
      <c r="MAH50" s="9"/>
      <c r="MAI50" s="9"/>
      <c r="MAJ50" s="9"/>
      <c r="MAK50" s="9"/>
      <c r="MAL50" s="9"/>
      <c r="MAM50" s="9"/>
      <c r="MAN50" s="9"/>
      <c r="MAO50" s="9"/>
      <c r="MAP50" s="9"/>
      <c r="MAQ50" s="9"/>
      <c r="MAR50" s="9"/>
      <c r="MAS50" s="9"/>
      <c r="MAT50" s="9"/>
      <c r="MAU50" s="9"/>
      <c r="MAV50" s="9"/>
      <c r="MAW50" s="9"/>
      <c r="MAX50" s="9"/>
      <c r="MAY50" s="9"/>
      <c r="MAZ50" s="9"/>
      <c r="MBA50" s="9"/>
      <c r="MBB50" s="9"/>
      <c r="MBC50" s="9"/>
      <c r="MBD50" s="9"/>
      <c r="MBE50" s="9"/>
      <c r="MBF50" s="9"/>
      <c r="MBG50" s="9"/>
      <c r="MBH50" s="9"/>
      <c r="MBI50" s="9"/>
      <c r="MBJ50" s="9"/>
      <c r="MBK50" s="9"/>
      <c r="MBL50" s="9"/>
      <c r="MBM50" s="9"/>
      <c r="MBN50" s="9"/>
      <c r="MBO50" s="9"/>
      <c r="MBP50" s="9"/>
      <c r="MBQ50" s="9"/>
      <c r="MBR50" s="9"/>
      <c r="MBS50" s="9"/>
      <c r="MBT50" s="9"/>
      <c r="MBU50" s="9"/>
      <c r="MBV50" s="9"/>
      <c r="MBW50" s="9"/>
      <c r="MBX50" s="9"/>
      <c r="MBY50" s="9"/>
      <c r="MBZ50" s="9"/>
      <c r="MCA50" s="9"/>
      <c r="MCB50" s="9"/>
      <c r="MCC50" s="9"/>
      <c r="MCD50" s="9"/>
      <c r="MCE50" s="9"/>
      <c r="MCF50" s="9"/>
      <c r="MCG50" s="9"/>
      <c r="MCH50" s="9"/>
      <c r="MCI50" s="9"/>
      <c r="MCJ50" s="9"/>
      <c r="MCK50" s="9"/>
      <c r="MCL50" s="9"/>
      <c r="MCM50" s="9"/>
      <c r="MCN50" s="9"/>
      <c r="MCO50" s="9"/>
      <c r="MCP50" s="9"/>
      <c r="MCQ50" s="9"/>
      <c r="MCR50" s="9"/>
      <c r="MCS50" s="9"/>
      <c r="MCT50" s="9"/>
      <c r="MCU50" s="9"/>
      <c r="MCV50" s="9"/>
      <c r="MCW50" s="9"/>
      <c r="MCX50" s="9"/>
      <c r="MCY50" s="9"/>
      <c r="MCZ50" s="9"/>
      <c r="MDA50" s="9"/>
      <c r="MDB50" s="9"/>
      <c r="MDC50" s="9"/>
      <c r="MDD50" s="9"/>
      <c r="MDE50" s="9"/>
      <c r="MDF50" s="9"/>
      <c r="MDG50" s="9"/>
      <c r="MDH50" s="9"/>
      <c r="MDI50" s="9"/>
      <c r="MDJ50" s="9"/>
      <c r="MDK50" s="9"/>
      <c r="MDL50" s="9"/>
      <c r="MDM50" s="9"/>
      <c r="MDN50" s="9"/>
      <c r="MDO50" s="9"/>
      <c r="MDP50" s="9"/>
      <c r="MDQ50" s="9"/>
      <c r="MDR50" s="9"/>
      <c r="MDS50" s="9"/>
      <c r="MDT50" s="9"/>
      <c r="MDU50" s="9"/>
      <c r="MDV50" s="9"/>
      <c r="MDW50" s="9"/>
      <c r="MDX50" s="9"/>
      <c r="MDY50" s="9"/>
      <c r="MDZ50" s="9"/>
      <c r="MEA50" s="9"/>
      <c r="MEB50" s="9"/>
      <c r="MEC50" s="9"/>
      <c r="MED50" s="9"/>
      <c r="MEE50" s="9"/>
      <c r="MEF50" s="9"/>
      <c r="MEG50" s="9"/>
      <c r="MEH50" s="9"/>
      <c r="MEI50" s="9"/>
      <c r="MEJ50" s="9"/>
      <c r="MEK50" s="9"/>
      <c r="MEL50" s="9"/>
      <c r="MEM50" s="9"/>
      <c r="MEN50" s="9"/>
      <c r="MEO50" s="9"/>
      <c r="MEP50" s="9"/>
      <c r="MEQ50" s="9"/>
      <c r="MER50" s="9"/>
      <c r="MES50" s="9"/>
      <c r="MET50" s="9"/>
      <c r="MEU50" s="9"/>
      <c r="MEV50" s="9"/>
      <c r="MEW50" s="9"/>
      <c r="MEX50" s="9"/>
      <c r="MEY50" s="9"/>
      <c r="MEZ50" s="9"/>
      <c r="MFA50" s="9"/>
      <c r="MFB50" s="9"/>
      <c r="MFC50" s="9"/>
      <c r="MFD50" s="9"/>
      <c r="MFE50" s="9"/>
      <c r="MFF50" s="9"/>
      <c r="MFG50" s="9"/>
      <c r="MFH50" s="9"/>
      <c r="MFI50" s="9"/>
      <c r="MFJ50" s="9"/>
      <c r="MFK50" s="9"/>
      <c r="MFL50" s="9"/>
      <c r="MFM50" s="9"/>
      <c r="MFN50" s="9"/>
      <c r="MFO50" s="9"/>
      <c r="MFP50" s="9"/>
      <c r="MFQ50" s="9"/>
      <c r="MFR50" s="9"/>
      <c r="MFS50" s="9"/>
      <c r="MFT50" s="9"/>
      <c r="MFU50" s="9"/>
      <c r="MFV50" s="9"/>
      <c r="MFW50" s="9"/>
      <c r="MFX50" s="9"/>
      <c r="MFY50" s="9"/>
      <c r="MFZ50" s="9"/>
      <c r="MGA50" s="9"/>
      <c r="MGB50" s="9"/>
      <c r="MGC50" s="9"/>
      <c r="MGD50" s="9"/>
      <c r="MGE50" s="9"/>
      <c r="MGF50" s="9"/>
      <c r="MGG50" s="9"/>
      <c r="MGH50" s="9"/>
      <c r="MGI50" s="9"/>
      <c r="MGJ50" s="9"/>
      <c r="MGK50" s="9"/>
      <c r="MGL50" s="9"/>
      <c r="MGM50" s="9"/>
      <c r="MGN50" s="9"/>
      <c r="MGO50" s="9"/>
      <c r="MGP50" s="9"/>
      <c r="MGQ50" s="9"/>
      <c r="MGR50" s="9"/>
      <c r="MGS50" s="9"/>
      <c r="MGT50" s="9"/>
      <c r="MGU50" s="9"/>
      <c r="MGV50" s="9"/>
      <c r="MGW50" s="9"/>
      <c r="MGX50" s="9"/>
      <c r="MGY50" s="9"/>
      <c r="MGZ50" s="9"/>
      <c r="MHA50" s="9"/>
      <c r="MHB50" s="9"/>
      <c r="MHC50" s="9"/>
      <c r="MHD50" s="9"/>
      <c r="MHE50" s="9"/>
      <c r="MHF50" s="9"/>
      <c r="MHG50" s="9"/>
      <c r="MHH50" s="9"/>
      <c r="MHI50" s="9"/>
      <c r="MHJ50" s="9"/>
      <c r="MHK50" s="9"/>
      <c r="MHL50" s="9"/>
      <c r="MHM50" s="9"/>
      <c r="MHN50" s="9"/>
      <c r="MHO50" s="9"/>
      <c r="MHP50" s="9"/>
      <c r="MHQ50" s="9"/>
      <c r="MHR50" s="9"/>
      <c r="MHS50" s="9"/>
      <c r="MHT50" s="9"/>
      <c r="MHU50" s="9"/>
      <c r="MHV50" s="9"/>
      <c r="MHW50" s="9"/>
      <c r="MHX50" s="9"/>
      <c r="MHY50" s="9"/>
      <c r="MHZ50" s="9"/>
      <c r="MIA50" s="9"/>
      <c r="MIB50" s="9"/>
      <c r="MIC50" s="9"/>
      <c r="MID50" s="9"/>
      <c r="MIE50" s="9"/>
      <c r="MIF50" s="9"/>
      <c r="MIG50" s="9"/>
      <c r="MIH50" s="9"/>
      <c r="MII50" s="9"/>
      <c r="MIJ50" s="9"/>
      <c r="MIK50" s="9"/>
      <c r="MIL50" s="9"/>
      <c r="MIM50" s="9"/>
      <c r="MIN50" s="9"/>
      <c r="MIO50" s="9"/>
      <c r="MIP50" s="9"/>
      <c r="MIQ50" s="9"/>
      <c r="MIR50" s="9"/>
      <c r="MIS50" s="9"/>
      <c r="MIT50" s="9"/>
      <c r="MIU50" s="9"/>
      <c r="MIV50" s="9"/>
      <c r="MIW50" s="9"/>
      <c r="MIX50" s="9"/>
      <c r="MIY50" s="9"/>
      <c r="MIZ50" s="9"/>
      <c r="MJA50" s="9"/>
      <c r="MJB50" s="9"/>
      <c r="MJC50" s="9"/>
      <c r="MJD50" s="9"/>
      <c r="MJE50" s="9"/>
      <c r="MJF50" s="9"/>
      <c r="MJG50" s="9"/>
      <c r="MJH50" s="9"/>
      <c r="MJI50" s="9"/>
      <c r="MJJ50" s="9"/>
      <c r="MJK50" s="9"/>
      <c r="MJL50" s="9"/>
      <c r="MJM50" s="9"/>
      <c r="MJN50" s="9"/>
      <c r="MJO50" s="9"/>
      <c r="MJP50" s="9"/>
      <c r="MJQ50" s="9"/>
      <c r="MJR50" s="9"/>
      <c r="MJS50" s="9"/>
      <c r="MJT50" s="9"/>
      <c r="MJU50" s="9"/>
      <c r="MJV50" s="9"/>
      <c r="MJW50" s="9"/>
      <c r="MJX50" s="9"/>
      <c r="MJY50" s="9"/>
      <c r="MJZ50" s="9"/>
      <c r="MKA50" s="9"/>
      <c r="MKB50" s="9"/>
      <c r="MKC50" s="9"/>
      <c r="MKD50" s="9"/>
      <c r="MKE50" s="9"/>
      <c r="MKF50" s="9"/>
      <c r="MKG50" s="9"/>
      <c r="MKH50" s="9"/>
      <c r="MKI50" s="9"/>
      <c r="MKJ50" s="9"/>
      <c r="MKK50" s="9"/>
      <c r="MKL50" s="9"/>
      <c r="MKM50" s="9"/>
      <c r="MKN50" s="9"/>
      <c r="MKO50" s="9"/>
      <c r="MKP50" s="9"/>
      <c r="MKQ50" s="9"/>
      <c r="MKR50" s="9"/>
      <c r="MKS50" s="9"/>
      <c r="MKT50" s="9"/>
      <c r="MKU50" s="9"/>
      <c r="MKV50" s="9"/>
      <c r="MKW50" s="9"/>
      <c r="MKX50" s="9"/>
      <c r="MKY50" s="9"/>
      <c r="MKZ50" s="9"/>
      <c r="MLA50" s="9"/>
      <c r="MLB50" s="9"/>
      <c r="MLC50" s="9"/>
      <c r="MLD50" s="9"/>
      <c r="MLE50" s="9"/>
      <c r="MLF50" s="9"/>
      <c r="MLG50" s="9"/>
      <c r="MLH50" s="9"/>
      <c r="MLI50" s="9"/>
      <c r="MLJ50" s="9"/>
      <c r="MLK50" s="9"/>
      <c r="MLL50" s="9"/>
      <c r="MLM50" s="9"/>
      <c r="MLN50" s="9"/>
      <c r="MLO50" s="9"/>
      <c r="MLP50" s="9"/>
      <c r="MLQ50" s="9"/>
      <c r="MLR50" s="9"/>
      <c r="MLS50" s="9"/>
      <c r="MLT50" s="9"/>
      <c r="MLU50" s="9"/>
      <c r="MLV50" s="9"/>
      <c r="MLW50" s="9"/>
      <c r="MLX50" s="9"/>
      <c r="MLY50" s="9"/>
      <c r="MLZ50" s="9"/>
      <c r="MMA50" s="9"/>
      <c r="MMB50" s="9"/>
      <c r="MMC50" s="9"/>
      <c r="MMD50" s="9"/>
      <c r="MME50" s="9"/>
      <c r="MMF50" s="9"/>
      <c r="MMG50" s="9"/>
      <c r="MMH50" s="9"/>
      <c r="MMI50" s="9"/>
      <c r="MMJ50" s="9"/>
      <c r="MMK50" s="9"/>
      <c r="MML50" s="9"/>
      <c r="MMM50" s="9"/>
      <c r="MMN50" s="9"/>
      <c r="MMO50" s="9"/>
      <c r="MMP50" s="9"/>
      <c r="MMQ50" s="9"/>
      <c r="MMR50" s="9"/>
      <c r="MMS50" s="9"/>
      <c r="MMT50" s="9"/>
      <c r="MMU50" s="9"/>
      <c r="MMV50" s="9"/>
      <c r="MMW50" s="9"/>
      <c r="MMX50" s="9"/>
      <c r="MMY50" s="9"/>
      <c r="MMZ50" s="9"/>
      <c r="MNA50" s="9"/>
      <c r="MNB50" s="9"/>
      <c r="MNC50" s="9"/>
      <c r="MND50" s="9"/>
      <c r="MNE50" s="9"/>
      <c r="MNF50" s="9"/>
      <c r="MNG50" s="9"/>
      <c r="MNH50" s="9"/>
      <c r="MNI50" s="9"/>
      <c r="MNJ50" s="9"/>
      <c r="MNK50" s="9"/>
      <c r="MNL50" s="9"/>
      <c r="MNM50" s="9"/>
      <c r="MNN50" s="9"/>
      <c r="MNO50" s="9"/>
      <c r="MNP50" s="9"/>
      <c r="MNQ50" s="9"/>
      <c r="MNR50" s="9"/>
      <c r="MNS50" s="9"/>
      <c r="MNT50" s="9"/>
      <c r="MNU50" s="9"/>
      <c r="MNV50" s="9"/>
      <c r="MNW50" s="9"/>
      <c r="MNX50" s="9"/>
      <c r="MNY50" s="9"/>
      <c r="MNZ50" s="9"/>
      <c r="MOA50" s="9"/>
      <c r="MOB50" s="9"/>
      <c r="MOC50" s="9"/>
      <c r="MOD50" s="9"/>
      <c r="MOE50" s="9"/>
      <c r="MOF50" s="9"/>
      <c r="MOG50" s="9"/>
      <c r="MOH50" s="9"/>
      <c r="MOI50" s="9"/>
      <c r="MOJ50" s="9"/>
      <c r="MOK50" s="9"/>
      <c r="MOL50" s="9"/>
      <c r="MOM50" s="9"/>
      <c r="MON50" s="9"/>
      <c r="MOO50" s="9"/>
      <c r="MOP50" s="9"/>
      <c r="MOQ50" s="9"/>
      <c r="MOR50" s="9"/>
      <c r="MOS50" s="9"/>
      <c r="MOT50" s="9"/>
      <c r="MOU50" s="9"/>
      <c r="MOV50" s="9"/>
      <c r="MOW50" s="9"/>
      <c r="MOX50" s="9"/>
      <c r="MOY50" s="9"/>
      <c r="MOZ50" s="9"/>
      <c r="MPA50" s="9"/>
      <c r="MPB50" s="9"/>
      <c r="MPC50" s="9"/>
      <c r="MPD50" s="9"/>
      <c r="MPE50" s="9"/>
      <c r="MPF50" s="9"/>
      <c r="MPG50" s="9"/>
      <c r="MPH50" s="9"/>
      <c r="MPI50" s="9"/>
      <c r="MPJ50" s="9"/>
      <c r="MPK50" s="9"/>
      <c r="MPL50" s="9"/>
      <c r="MPM50" s="9"/>
      <c r="MPN50" s="9"/>
      <c r="MPO50" s="9"/>
      <c r="MPP50" s="9"/>
      <c r="MPQ50" s="9"/>
      <c r="MPR50" s="9"/>
      <c r="MPS50" s="9"/>
      <c r="MPT50" s="9"/>
      <c r="MPU50" s="9"/>
      <c r="MPV50" s="9"/>
      <c r="MPW50" s="9"/>
      <c r="MPX50" s="9"/>
      <c r="MPY50" s="9"/>
      <c r="MPZ50" s="9"/>
      <c r="MQA50" s="9"/>
      <c r="MQB50" s="9"/>
      <c r="MQC50" s="9"/>
      <c r="MQD50" s="9"/>
      <c r="MQE50" s="9"/>
      <c r="MQF50" s="9"/>
      <c r="MQG50" s="9"/>
      <c r="MQH50" s="9"/>
      <c r="MQI50" s="9"/>
      <c r="MQJ50" s="9"/>
      <c r="MQK50" s="9"/>
      <c r="MQL50" s="9"/>
      <c r="MQM50" s="9"/>
      <c r="MQN50" s="9"/>
      <c r="MQO50" s="9"/>
      <c r="MQP50" s="9"/>
      <c r="MQQ50" s="9"/>
      <c r="MQR50" s="9"/>
      <c r="MQS50" s="9"/>
      <c r="MQT50" s="9"/>
      <c r="MQU50" s="9"/>
      <c r="MQV50" s="9"/>
      <c r="MQW50" s="9"/>
      <c r="MQX50" s="9"/>
      <c r="MQY50" s="9"/>
      <c r="MQZ50" s="9"/>
      <c r="MRA50" s="9"/>
      <c r="MRB50" s="9"/>
      <c r="MRC50" s="9"/>
      <c r="MRD50" s="9"/>
      <c r="MRE50" s="9"/>
      <c r="MRF50" s="9"/>
      <c r="MRG50" s="9"/>
      <c r="MRH50" s="9"/>
      <c r="MRI50" s="9"/>
      <c r="MRJ50" s="9"/>
      <c r="MRK50" s="9"/>
      <c r="MRL50" s="9"/>
      <c r="MRM50" s="9"/>
      <c r="MRN50" s="9"/>
      <c r="MRO50" s="9"/>
      <c r="MRP50" s="9"/>
      <c r="MRQ50" s="9"/>
      <c r="MRR50" s="9"/>
      <c r="MRS50" s="9"/>
      <c r="MRT50" s="9"/>
      <c r="MRU50" s="9"/>
      <c r="MRV50" s="9"/>
      <c r="MRW50" s="9"/>
      <c r="MRX50" s="9"/>
      <c r="MRY50" s="9"/>
      <c r="MRZ50" s="9"/>
      <c r="MSA50" s="9"/>
      <c r="MSB50" s="9"/>
      <c r="MSC50" s="9"/>
      <c r="MSD50" s="9"/>
      <c r="MSE50" s="9"/>
      <c r="MSF50" s="9"/>
      <c r="MSG50" s="9"/>
      <c r="MSH50" s="9"/>
      <c r="MSI50" s="9"/>
      <c r="MSJ50" s="9"/>
      <c r="MSK50" s="9"/>
      <c r="MSL50" s="9"/>
      <c r="MSM50" s="9"/>
      <c r="MSN50" s="9"/>
      <c r="MSO50" s="9"/>
      <c r="MSP50" s="9"/>
      <c r="MSQ50" s="9"/>
      <c r="MSR50" s="9"/>
      <c r="MSS50" s="9"/>
      <c r="MST50" s="9"/>
      <c r="MSU50" s="9"/>
      <c r="MSV50" s="9"/>
      <c r="MSW50" s="9"/>
      <c r="MSX50" s="9"/>
      <c r="MSY50" s="9"/>
      <c r="MSZ50" s="9"/>
      <c r="MTA50" s="9"/>
      <c r="MTB50" s="9"/>
      <c r="MTC50" s="9"/>
      <c r="MTD50" s="9"/>
      <c r="MTE50" s="9"/>
      <c r="MTF50" s="9"/>
      <c r="MTG50" s="9"/>
      <c r="MTH50" s="9"/>
      <c r="MTI50" s="9"/>
      <c r="MTJ50" s="9"/>
      <c r="MTK50" s="9"/>
      <c r="MTL50" s="9"/>
      <c r="MTM50" s="9"/>
      <c r="MTN50" s="9"/>
      <c r="MTO50" s="9"/>
      <c r="MTP50" s="9"/>
      <c r="MTQ50" s="9"/>
      <c r="MTR50" s="9"/>
      <c r="MTS50" s="9"/>
      <c r="MTT50" s="9"/>
      <c r="MTU50" s="9"/>
      <c r="MTV50" s="9"/>
      <c r="MTW50" s="9"/>
      <c r="MTX50" s="9"/>
      <c r="MTY50" s="9"/>
      <c r="MTZ50" s="9"/>
      <c r="MUA50" s="9"/>
      <c r="MUB50" s="9"/>
      <c r="MUC50" s="9"/>
      <c r="MUD50" s="9"/>
      <c r="MUE50" s="9"/>
      <c r="MUF50" s="9"/>
      <c r="MUG50" s="9"/>
      <c r="MUH50" s="9"/>
      <c r="MUI50" s="9"/>
      <c r="MUJ50" s="9"/>
      <c r="MUK50" s="9"/>
      <c r="MUL50" s="9"/>
      <c r="MUM50" s="9"/>
      <c r="MUN50" s="9"/>
      <c r="MUO50" s="9"/>
      <c r="MUP50" s="9"/>
      <c r="MUQ50" s="9"/>
      <c r="MUR50" s="9"/>
      <c r="MUS50" s="9"/>
      <c r="MUT50" s="9"/>
      <c r="MUU50" s="9"/>
      <c r="MUV50" s="9"/>
      <c r="MUW50" s="9"/>
      <c r="MUX50" s="9"/>
      <c r="MUY50" s="9"/>
      <c r="MUZ50" s="9"/>
      <c r="MVA50" s="9"/>
      <c r="MVB50" s="9"/>
      <c r="MVC50" s="9"/>
      <c r="MVD50" s="9"/>
      <c r="MVE50" s="9"/>
      <c r="MVF50" s="9"/>
      <c r="MVG50" s="9"/>
      <c r="MVH50" s="9"/>
      <c r="MVI50" s="9"/>
      <c r="MVJ50" s="9"/>
      <c r="MVK50" s="9"/>
      <c r="MVL50" s="9"/>
      <c r="MVM50" s="9"/>
      <c r="MVN50" s="9"/>
      <c r="MVO50" s="9"/>
      <c r="MVP50" s="9"/>
      <c r="MVQ50" s="9"/>
      <c r="MVR50" s="9"/>
      <c r="MVS50" s="9"/>
      <c r="MVT50" s="9"/>
      <c r="MVU50" s="9"/>
      <c r="MVV50" s="9"/>
      <c r="MVW50" s="9"/>
      <c r="MVX50" s="9"/>
      <c r="MVY50" s="9"/>
      <c r="MVZ50" s="9"/>
      <c r="MWA50" s="9"/>
      <c r="MWB50" s="9"/>
      <c r="MWC50" s="9"/>
      <c r="MWD50" s="9"/>
      <c r="MWE50" s="9"/>
      <c r="MWF50" s="9"/>
      <c r="MWG50" s="9"/>
      <c r="MWH50" s="9"/>
      <c r="MWI50" s="9"/>
      <c r="MWJ50" s="9"/>
      <c r="MWK50" s="9"/>
      <c r="MWL50" s="9"/>
      <c r="MWM50" s="9"/>
      <c r="MWN50" s="9"/>
      <c r="MWO50" s="9"/>
      <c r="MWP50" s="9"/>
      <c r="MWQ50" s="9"/>
      <c r="MWR50" s="9"/>
      <c r="MWS50" s="9"/>
      <c r="MWT50" s="9"/>
      <c r="MWU50" s="9"/>
      <c r="MWV50" s="9"/>
      <c r="MWW50" s="9"/>
      <c r="MWX50" s="9"/>
      <c r="MWY50" s="9"/>
      <c r="MWZ50" s="9"/>
      <c r="MXA50" s="9"/>
      <c r="MXB50" s="9"/>
      <c r="MXC50" s="9"/>
      <c r="MXD50" s="9"/>
      <c r="MXE50" s="9"/>
      <c r="MXF50" s="9"/>
      <c r="MXG50" s="9"/>
      <c r="MXH50" s="9"/>
      <c r="MXI50" s="9"/>
      <c r="MXJ50" s="9"/>
      <c r="MXK50" s="9"/>
      <c r="MXL50" s="9"/>
      <c r="MXM50" s="9"/>
      <c r="MXN50" s="9"/>
      <c r="MXO50" s="9"/>
      <c r="MXP50" s="9"/>
      <c r="MXQ50" s="9"/>
      <c r="MXR50" s="9"/>
      <c r="MXS50" s="9"/>
      <c r="MXT50" s="9"/>
      <c r="MXU50" s="9"/>
      <c r="MXV50" s="9"/>
      <c r="MXW50" s="9"/>
      <c r="MXX50" s="9"/>
      <c r="MXY50" s="9"/>
      <c r="MXZ50" s="9"/>
      <c r="MYA50" s="9"/>
      <c r="MYB50" s="9"/>
      <c r="MYC50" s="9"/>
      <c r="MYD50" s="9"/>
      <c r="MYE50" s="9"/>
      <c r="MYF50" s="9"/>
      <c r="MYG50" s="9"/>
      <c r="MYH50" s="9"/>
      <c r="MYI50" s="9"/>
      <c r="MYJ50" s="9"/>
      <c r="MYK50" s="9"/>
      <c r="MYL50" s="9"/>
      <c r="MYM50" s="9"/>
      <c r="MYN50" s="9"/>
      <c r="MYO50" s="9"/>
      <c r="MYP50" s="9"/>
      <c r="MYQ50" s="9"/>
      <c r="MYR50" s="9"/>
      <c r="MYS50" s="9"/>
      <c r="MYT50" s="9"/>
      <c r="MYU50" s="9"/>
      <c r="MYV50" s="9"/>
      <c r="MYW50" s="9"/>
      <c r="MYX50" s="9"/>
      <c r="MYY50" s="9"/>
      <c r="MYZ50" s="9"/>
      <c r="MZA50" s="9"/>
      <c r="MZB50" s="9"/>
      <c r="MZC50" s="9"/>
      <c r="MZD50" s="9"/>
      <c r="MZE50" s="9"/>
      <c r="MZF50" s="9"/>
      <c r="MZG50" s="9"/>
      <c r="MZH50" s="9"/>
      <c r="MZI50" s="9"/>
      <c r="MZJ50" s="9"/>
      <c r="MZK50" s="9"/>
      <c r="MZL50" s="9"/>
      <c r="MZM50" s="9"/>
      <c r="MZN50" s="9"/>
      <c r="MZO50" s="9"/>
      <c r="MZP50" s="9"/>
      <c r="MZQ50" s="9"/>
      <c r="MZR50" s="9"/>
      <c r="MZS50" s="9"/>
      <c r="MZT50" s="9"/>
      <c r="MZU50" s="9"/>
      <c r="MZV50" s="9"/>
      <c r="MZW50" s="9"/>
      <c r="MZX50" s="9"/>
      <c r="MZY50" s="9"/>
      <c r="MZZ50" s="9"/>
      <c r="NAA50" s="9"/>
      <c r="NAB50" s="9"/>
      <c r="NAC50" s="9"/>
      <c r="NAD50" s="9"/>
      <c r="NAE50" s="9"/>
      <c r="NAF50" s="9"/>
      <c r="NAG50" s="9"/>
      <c r="NAH50" s="9"/>
      <c r="NAI50" s="9"/>
      <c r="NAJ50" s="9"/>
      <c r="NAK50" s="9"/>
      <c r="NAL50" s="9"/>
      <c r="NAM50" s="9"/>
      <c r="NAN50" s="9"/>
      <c r="NAO50" s="9"/>
      <c r="NAP50" s="9"/>
      <c r="NAQ50" s="9"/>
      <c r="NAR50" s="9"/>
      <c r="NAS50" s="9"/>
      <c r="NAT50" s="9"/>
      <c r="NAU50" s="9"/>
      <c r="NAV50" s="9"/>
      <c r="NAW50" s="9"/>
      <c r="NAX50" s="9"/>
      <c r="NAY50" s="9"/>
      <c r="NAZ50" s="9"/>
      <c r="NBA50" s="9"/>
      <c r="NBB50" s="9"/>
      <c r="NBC50" s="9"/>
      <c r="NBD50" s="9"/>
      <c r="NBE50" s="9"/>
      <c r="NBF50" s="9"/>
      <c r="NBG50" s="9"/>
      <c r="NBH50" s="9"/>
      <c r="NBI50" s="9"/>
      <c r="NBJ50" s="9"/>
      <c r="NBK50" s="9"/>
      <c r="NBL50" s="9"/>
      <c r="NBM50" s="9"/>
      <c r="NBN50" s="9"/>
      <c r="NBO50" s="9"/>
      <c r="NBP50" s="9"/>
      <c r="NBQ50" s="9"/>
      <c r="NBR50" s="9"/>
      <c r="NBS50" s="9"/>
      <c r="NBT50" s="9"/>
      <c r="NBU50" s="9"/>
      <c r="NBV50" s="9"/>
      <c r="NBW50" s="9"/>
      <c r="NBX50" s="9"/>
      <c r="NBY50" s="9"/>
      <c r="NBZ50" s="9"/>
      <c r="NCA50" s="9"/>
      <c r="NCB50" s="9"/>
      <c r="NCC50" s="9"/>
      <c r="NCD50" s="9"/>
      <c r="NCE50" s="9"/>
      <c r="NCF50" s="9"/>
      <c r="NCG50" s="9"/>
      <c r="NCH50" s="9"/>
      <c r="NCI50" s="9"/>
      <c r="NCJ50" s="9"/>
      <c r="NCK50" s="9"/>
      <c r="NCL50" s="9"/>
      <c r="NCM50" s="9"/>
      <c r="NCN50" s="9"/>
      <c r="NCO50" s="9"/>
      <c r="NCP50" s="9"/>
      <c r="NCQ50" s="9"/>
      <c r="NCR50" s="9"/>
      <c r="NCS50" s="9"/>
      <c r="NCT50" s="9"/>
      <c r="NCU50" s="9"/>
      <c r="NCV50" s="9"/>
      <c r="NCW50" s="9"/>
      <c r="NCX50" s="9"/>
      <c r="NCY50" s="9"/>
      <c r="NCZ50" s="9"/>
      <c r="NDA50" s="9"/>
      <c r="NDB50" s="9"/>
      <c r="NDC50" s="9"/>
      <c r="NDD50" s="9"/>
      <c r="NDE50" s="9"/>
      <c r="NDF50" s="9"/>
      <c r="NDG50" s="9"/>
      <c r="NDH50" s="9"/>
      <c r="NDI50" s="9"/>
      <c r="NDJ50" s="9"/>
      <c r="NDK50" s="9"/>
      <c r="NDL50" s="9"/>
      <c r="NDM50" s="9"/>
      <c r="NDN50" s="9"/>
      <c r="NDO50" s="9"/>
      <c r="NDP50" s="9"/>
      <c r="NDQ50" s="9"/>
      <c r="NDR50" s="9"/>
      <c r="NDS50" s="9"/>
      <c r="NDT50" s="9"/>
      <c r="NDU50" s="9"/>
      <c r="NDV50" s="9"/>
      <c r="NDW50" s="9"/>
      <c r="NDX50" s="9"/>
      <c r="NDY50" s="9"/>
      <c r="NDZ50" s="9"/>
      <c r="NEA50" s="9"/>
      <c r="NEB50" s="9"/>
      <c r="NEC50" s="9"/>
      <c r="NED50" s="9"/>
      <c r="NEE50" s="9"/>
      <c r="NEF50" s="9"/>
      <c r="NEG50" s="9"/>
      <c r="NEH50" s="9"/>
      <c r="NEI50" s="9"/>
      <c r="NEJ50" s="9"/>
      <c r="NEK50" s="9"/>
      <c r="NEL50" s="9"/>
      <c r="NEM50" s="9"/>
      <c r="NEN50" s="9"/>
      <c r="NEO50" s="9"/>
      <c r="NEP50" s="9"/>
      <c r="NEQ50" s="9"/>
      <c r="NER50" s="9"/>
      <c r="NES50" s="9"/>
      <c r="NET50" s="9"/>
      <c r="NEU50" s="9"/>
      <c r="NEV50" s="9"/>
      <c r="NEW50" s="9"/>
      <c r="NEX50" s="9"/>
      <c r="NEY50" s="9"/>
      <c r="NEZ50" s="9"/>
      <c r="NFA50" s="9"/>
      <c r="NFB50" s="9"/>
      <c r="NFC50" s="9"/>
      <c r="NFD50" s="9"/>
      <c r="NFE50" s="9"/>
      <c r="NFF50" s="9"/>
      <c r="NFG50" s="9"/>
      <c r="NFH50" s="9"/>
      <c r="NFI50" s="9"/>
      <c r="NFJ50" s="9"/>
      <c r="NFK50" s="9"/>
      <c r="NFL50" s="9"/>
      <c r="NFM50" s="9"/>
      <c r="NFN50" s="9"/>
      <c r="NFO50" s="9"/>
      <c r="NFP50" s="9"/>
      <c r="NFQ50" s="9"/>
      <c r="NFR50" s="9"/>
      <c r="NFS50" s="9"/>
      <c r="NFT50" s="9"/>
      <c r="NFU50" s="9"/>
      <c r="NFV50" s="9"/>
      <c r="NFW50" s="9"/>
      <c r="NFX50" s="9"/>
      <c r="NFY50" s="9"/>
      <c r="NFZ50" s="9"/>
      <c r="NGA50" s="9"/>
      <c r="NGB50" s="9"/>
      <c r="NGC50" s="9"/>
      <c r="NGD50" s="9"/>
      <c r="NGE50" s="9"/>
      <c r="NGF50" s="9"/>
      <c r="NGG50" s="9"/>
      <c r="NGH50" s="9"/>
      <c r="NGI50" s="9"/>
      <c r="NGJ50" s="9"/>
      <c r="NGK50" s="9"/>
      <c r="NGL50" s="9"/>
      <c r="NGM50" s="9"/>
      <c r="NGN50" s="9"/>
      <c r="NGO50" s="9"/>
      <c r="NGP50" s="9"/>
      <c r="NGQ50" s="9"/>
      <c r="NGR50" s="9"/>
      <c r="NGS50" s="9"/>
      <c r="NGT50" s="9"/>
      <c r="NGU50" s="9"/>
      <c r="NGV50" s="9"/>
      <c r="NGW50" s="9"/>
      <c r="NGX50" s="9"/>
      <c r="NGY50" s="9"/>
      <c r="NGZ50" s="9"/>
      <c r="NHA50" s="9"/>
      <c r="NHB50" s="9"/>
      <c r="NHC50" s="9"/>
      <c r="NHD50" s="9"/>
      <c r="NHE50" s="9"/>
      <c r="NHF50" s="9"/>
      <c r="NHG50" s="9"/>
      <c r="NHH50" s="9"/>
      <c r="NHI50" s="9"/>
      <c r="NHJ50" s="9"/>
      <c r="NHK50" s="9"/>
      <c r="NHL50" s="9"/>
      <c r="NHM50" s="9"/>
      <c r="NHN50" s="9"/>
      <c r="NHO50" s="9"/>
      <c r="NHP50" s="9"/>
      <c r="NHQ50" s="9"/>
      <c r="NHR50" s="9"/>
      <c r="NHS50" s="9"/>
      <c r="NHT50" s="9"/>
      <c r="NHU50" s="9"/>
      <c r="NHV50" s="9"/>
      <c r="NHW50" s="9"/>
      <c r="NHX50" s="9"/>
      <c r="NHY50" s="9"/>
      <c r="NHZ50" s="9"/>
      <c r="NIA50" s="9"/>
      <c r="NIB50" s="9"/>
      <c r="NIC50" s="9"/>
      <c r="NID50" s="9"/>
      <c r="NIE50" s="9"/>
      <c r="NIF50" s="9"/>
      <c r="NIG50" s="9"/>
      <c r="NIH50" s="9"/>
      <c r="NII50" s="9"/>
      <c r="NIJ50" s="9"/>
      <c r="NIK50" s="9"/>
      <c r="NIL50" s="9"/>
      <c r="NIM50" s="9"/>
      <c r="NIN50" s="9"/>
      <c r="NIO50" s="9"/>
      <c r="NIP50" s="9"/>
      <c r="NIQ50" s="9"/>
      <c r="NIR50" s="9"/>
      <c r="NIS50" s="9"/>
      <c r="NIT50" s="9"/>
      <c r="NIU50" s="9"/>
      <c r="NIV50" s="9"/>
      <c r="NIW50" s="9"/>
      <c r="NIX50" s="9"/>
      <c r="NIY50" s="9"/>
      <c r="NIZ50" s="9"/>
      <c r="NJA50" s="9"/>
      <c r="NJB50" s="9"/>
      <c r="NJC50" s="9"/>
      <c r="NJD50" s="9"/>
      <c r="NJE50" s="9"/>
      <c r="NJF50" s="9"/>
      <c r="NJG50" s="9"/>
      <c r="NJH50" s="9"/>
      <c r="NJI50" s="9"/>
      <c r="NJJ50" s="9"/>
      <c r="NJK50" s="9"/>
      <c r="NJL50" s="9"/>
      <c r="NJM50" s="9"/>
      <c r="NJN50" s="9"/>
      <c r="NJO50" s="9"/>
      <c r="NJP50" s="9"/>
      <c r="NJQ50" s="9"/>
      <c r="NJR50" s="9"/>
      <c r="NJS50" s="9"/>
      <c r="NJT50" s="9"/>
      <c r="NJU50" s="9"/>
      <c r="NJV50" s="9"/>
      <c r="NJW50" s="9"/>
      <c r="NJX50" s="9"/>
      <c r="NJY50" s="9"/>
      <c r="NJZ50" s="9"/>
      <c r="NKA50" s="9"/>
      <c r="NKB50" s="9"/>
      <c r="NKC50" s="9"/>
      <c r="NKD50" s="9"/>
      <c r="NKE50" s="9"/>
      <c r="NKF50" s="9"/>
      <c r="NKG50" s="9"/>
      <c r="NKH50" s="9"/>
      <c r="NKI50" s="9"/>
      <c r="NKJ50" s="9"/>
      <c r="NKK50" s="9"/>
      <c r="NKL50" s="9"/>
      <c r="NKM50" s="9"/>
      <c r="NKN50" s="9"/>
      <c r="NKO50" s="9"/>
      <c r="NKP50" s="9"/>
      <c r="NKQ50" s="9"/>
      <c r="NKR50" s="9"/>
      <c r="NKS50" s="9"/>
      <c r="NKT50" s="9"/>
      <c r="NKU50" s="9"/>
      <c r="NKV50" s="9"/>
      <c r="NKW50" s="9"/>
      <c r="NKX50" s="9"/>
      <c r="NKY50" s="9"/>
      <c r="NKZ50" s="9"/>
      <c r="NLA50" s="9"/>
      <c r="NLB50" s="9"/>
      <c r="NLC50" s="9"/>
      <c r="NLD50" s="9"/>
      <c r="NLE50" s="9"/>
      <c r="NLF50" s="9"/>
      <c r="NLG50" s="9"/>
      <c r="NLH50" s="9"/>
      <c r="NLI50" s="9"/>
      <c r="NLJ50" s="9"/>
      <c r="NLK50" s="9"/>
      <c r="NLL50" s="9"/>
      <c r="NLM50" s="9"/>
      <c r="NLN50" s="9"/>
      <c r="NLO50" s="9"/>
      <c r="NLP50" s="9"/>
      <c r="NLQ50" s="9"/>
      <c r="NLR50" s="9"/>
      <c r="NLS50" s="9"/>
      <c r="NLT50" s="9"/>
      <c r="NLU50" s="9"/>
      <c r="NLV50" s="9"/>
      <c r="NLW50" s="9"/>
      <c r="NLX50" s="9"/>
      <c r="NLY50" s="9"/>
      <c r="NLZ50" s="9"/>
      <c r="NMA50" s="9"/>
      <c r="NMB50" s="9"/>
      <c r="NMC50" s="9"/>
      <c r="NMD50" s="9"/>
      <c r="NME50" s="9"/>
      <c r="NMF50" s="9"/>
      <c r="NMG50" s="9"/>
      <c r="NMH50" s="9"/>
      <c r="NMI50" s="9"/>
      <c r="NMJ50" s="9"/>
      <c r="NMK50" s="9"/>
      <c r="NML50" s="9"/>
      <c r="NMM50" s="9"/>
      <c r="NMN50" s="9"/>
      <c r="NMO50" s="9"/>
      <c r="NMP50" s="9"/>
      <c r="NMQ50" s="9"/>
      <c r="NMR50" s="9"/>
      <c r="NMS50" s="9"/>
      <c r="NMT50" s="9"/>
      <c r="NMU50" s="9"/>
      <c r="NMV50" s="9"/>
      <c r="NMW50" s="9"/>
      <c r="NMX50" s="9"/>
      <c r="NMY50" s="9"/>
      <c r="NMZ50" s="9"/>
      <c r="NNA50" s="9"/>
      <c r="NNB50" s="9"/>
      <c r="NNC50" s="9"/>
      <c r="NND50" s="9"/>
      <c r="NNE50" s="9"/>
      <c r="NNF50" s="9"/>
      <c r="NNG50" s="9"/>
      <c r="NNH50" s="9"/>
      <c r="NNI50" s="9"/>
      <c r="NNJ50" s="9"/>
      <c r="NNK50" s="9"/>
      <c r="NNL50" s="9"/>
      <c r="NNM50" s="9"/>
      <c r="NNN50" s="9"/>
      <c r="NNO50" s="9"/>
      <c r="NNP50" s="9"/>
      <c r="NNQ50" s="9"/>
      <c r="NNR50" s="9"/>
      <c r="NNS50" s="9"/>
      <c r="NNT50" s="9"/>
      <c r="NNU50" s="9"/>
      <c r="NNV50" s="9"/>
      <c r="NNW50" s="9"/>
      <c r="NNX50" s="9"/>
      <c r="NNY50" s="9"/>
      <c r="NNZ50" s="9"/>
      <c r="NOA50" s="9"/>
      <c r="NOB50" s="9"/>
      <c r="NOC50" s="9"/>
      <c r="NOD50" s="9"/>
      <c r="NOE50" s="9"/>
      <c r="NOF50" s="9"/>
      <c r="NOG50" s="9"/>
      <c r="NOH50" s="9"/>
      <c r="NOI50" s="9"/>
      <c r="NOJ50" s="9"/>
      <c r="NOK50" s="9"/>
      <c r="NOL50" s="9"/>
      <c r="NOM50" s="9"/>
      <c r="NON50" s="9"/>
      <c r="NOO50" s="9"/>
      <c r="NOP50" s="9"/>
      <c r="NOQ50" s="9"/>
      <c r="NOR50" s="9"/>
      <c r="NOS50" s="9"/>
      <c r="NOT50" s="9"/>
      <c r="NOU50" s="9"/>
      <c r="NOV50" s="9"/>
      <c r="NOW50" s="9"/>
      <c r="NOX50" s="9"/>
      <c r="NOY50" s="9"/>
      <c r="NOZ50" s="9"/>
      <c r="NPA50" s="9"/>
      <c r="NPB50" s="9"/>
      <c r="NPC50" s="9"/>
      <c r="NPD50" s="9"/>
      <c r="NPE50" s="9"/>
      <c r="NPF50" s="9"/>
      <c r="NPG50" s="9"/>
      <c r="NPH50" s="9"/>
      <c r="NPI50" s="9"/>
      <c r="NPJ50" s="9"/>
      <c r="NPK50" s="9"/>
      <c r="NPL50" s="9"/>
      <c r="NPM50" s="9"/>
      <c r="NPN50" s="9"/>
      <c r="NPO50" s="9"/>
      <c r="NPP50" s="9"/>
      <c r="NPQ50" s="9"/>
      <c r="NPR50" s="9"/>
      <c r="NPS50" s="9"/>
      <c r="NPT50" s="9"/>
      <c r="NPU50" s="9"/>
      <c r="NPV50" s="9"/>
      <c r="NPW50" s="9"/>
      <c r="NPX50" s="9"/>
      <c r="NPY50" s="9"/>
      <c r="NPZ50" s="9"/>
      <c r="NQA50" s="9"/>
      <c r="NQB50" s="9"/>
      <c r="NQC50" s="9"/>
      <c r="NQD50" s="9"/>
      <c r="NQE50" s="9"/>
      <c r="NQF50" s="9"/>
      <c r="NQG50" s="9"/>
      <c r="NQH50" s="9"/>
      <c r="NQI50" s="9"/>
      <c r="NQJ50" s="9"/>
      <c r="NQK50" s="9"/>
      <c r="NQL50" s="9"/>
      <c r="NQM50" s="9"/>
      <c r="NQN50" s="9"/>
      <c r="NQO50" s="9"/>
      <c r="NQP50" s="9"/>
      <c r="NQQ50" s="9"/>
      <c r="NQR50" s="9"/>
      <c r="NQS50" s="9"/>
      <c r="NQT50" s="9"/>
      <c r="NQU50" s="9"/>
      <c r="NQV50" s="9"/>
      <c r="NQW50" s="9"/>
      <c r="NQX50" s="9"/>
      <c r="NQY50" s="9"/>
      <c r="NQZ50" s="9"/>
      <c r="NRA50" s="9"/>
      <c r="NRB50" s="9"/>
      <c r="NRC50" s="9"/>
      <c r="NRD50" s="9"/>
      <c r="NRE50" s="9"/>
      <c r="NRF50" s="9"/>
      <c r="NRG50" s="9"/>
      <c r="NRH50" s="9"/>
      <c r="NRI50" s="9"/>
      <c r="NRJ50" s="9"/>
      <c r="NRK50" s="9"/>
      <c r="NRL50" s="9"/>
      <c r="NRM50" s="9"/>
      <c r="NRN50" s="9"/>
      <c r="NRO50" s="9"/>
      <c r="NRP50" s="9"/>
      <c r="NRQ50" s="9"/>
      <c r="NRR50" s="9"/>
      <c r="NRS50" s="9"/>
      <c r="NRT50" s="9"/>
      <c r="NRU50" s="9"/>
      <c r="NRV50" s="9"/>
      <c r="NRW50" s="9"/>
      <c r="NRX50" s="9"/>
      <c r="NRY50" s="9"/>
      <c r="NRZ50" s="9"/>
      <c r="NSA50" s="9"/>
      <c r="NSB50" s="9"/>
      <c r="NSC50" s="9"/>
      <c r="NSD50" s="9"/>
      <c r="NSE50" s="9"/>
      <c r="NSF50" s="9"/>
      <c r="NSG50" s="9"/>
      <c r="NSH50" s="9"/>
      <c r="NSI50" s="9"/>
      <c r="NSJ50" s="9"/>
      <c r="NSK50" s="9"/>
      <c r="NSL50" s="9"/>
      <c r="NSM50" s="9"/>
      <c r="NSN50" s="9"/>
      <c r="NSO50" s="9"/>
      <c r="NSP50" s="9"/>
      <c r="NSQ50" s="9"/>
      <c r="NSR50" s="9"/>
      <c r="NSS50" s="9"/>
      <c r="NST50" s="9"/>
      <c r="NSU50" s="9"/>
      <c r="NSV50" s="9"/>
      <c r="NSW50" s="9"/>
      <c r="NSX50" s="9"/>
      <c r="NSY50" s="9"/>
      <c r="NSZ50" s="9"/>
      <c r="NTA50" s="9"/>
      <c r="NTB50" s="9"/>
      <c r="NTC50" s="9"/>
      <c r="NTD50" s="9"/>
      <c r="NTE50" s="9"/>
      <c r="NTF50" s="9"/>
      <c r="NTG50" s="9"/>
      <c r="NTH50" s="9"/>
      <c r="NTI50" s="9"/>
      <c r="NTJ50" s="9"/>
      <c r="NTK50" s="9"/>
      <c r="NTL50" s="9"/>
      <c r="NTM50" s="9"/>
      <c r="NTN50" s="9"/>
      <c r="NTO50" s="9"/>
      <c r="NTP50" s="9"/>
      <c r="NTQ50" s="9"/>
      <c r="NTR50" s="9"/>
      <c r="NTS50" s="9"/>
      <c r="NTT50" s="9"/>
      <c r="NTU50" s="9"/>
      <c r="NTV50" s="9"/>
      <c r="NTW50" s="9"/>
      <c r="NTX50" s="9"/>
      <c r="NTY50" s="9"/>
      <c r="NTZ50" s="9"/>
      <c r="NUA50" s="9"/>
      <c r="NUB50" s="9"/>
      <c r="NUC50" s="9"/>
      <c r="NUD50" s="9"/>
      <c r="NUE50" s="9"/>
      <c r="NUF50" s="9"/>
      <c r="NUG50" s="9"/>
      <c r="NUH50" s="9"/>
      <c r="NUI50" s="9"/>
      <c r="NUJ50" s="9"/>
      <c r="NUK50" s="9"/>
      <c r="NUL50" s="9"/>
      <c r="NUM50" s="9"/>
      <c r="NUN50" s="9"/>
      <c r="NUO50" s="9"/>
      <c r="NUP50" s="9"/>
      <c r="NUQ50" s="9"/>
      <c r="NUR50" s="9"/>
      <c r="NUS50" s="9"/>
      <c r="NUT50" s="9"/>
      <c r="NUU50" s="9"/>
      <c r="NUV50" s="9"/>
      <c r="NUW50" s="9"/>
      <c r="NUX50" s="9"/>
      <c r="NUY50" s="9"/>
      <c r="NUZ50" s="9"/>
      <c r="NVA50" s="9"/>
      <c r="NVB50" s="9"/>
      <c r="NVC50" s="9"/>
      <c r="NVD50" s="9"/>
      <c r="NVE50" s="9"/>
      <c r="NVF50" s="9"/>
      <c r="NVG50" s="9"/>
      <c r="NVH50" s="9"/>
      <c r="NVI50" s="9"/>
      <c r="NVJ50" s="9"/>
      <c r="NVK50" s="9"/>
      <c r="NVL50" s="9"/>
      <c r="NVM50" s="9"/>
      <c r="NVN50" s="9"/>
      <c r="NVO50" s="9"/>
      <c r="NVP50" s="9"/>
      <c r="NVQ50" s="9"/>
      <c r="NVR50" s="9"/>
      <c r="NVS50" s="9"/>
      <c r="NVT50" s="9"/>
      <c r="NVU50" s="9"/>
      <c r="NVV50" s="9"/>
      <c r="NVW50" s="9"/>
      <c r="NVX50" s="9"/>
      <c r="NVY50" s="9"/>
      <c r="NVZ50" s="9"/>
      <c r="NWA50" s="9"/>
      <c r="NWB50" s="9"/>
      <c r="NWC50" s="9"/>
      <c r="NWD50" s="9"/>
      <c r="NWE50" s="9"/>
      <c r="NWF50" s="9"/>
      <c r="NWG50" s="9"/>
      <c r="NWH50" s="9"/>
      <c r="NWI50" s="9"/>
      <c r="NWJ50" s="9"/>
      <c r="NWK50" s="9"/>
      <c r="NWL50" s="9"/>
      <c r="NWM50" s="9"/>
      <c r="NWN50" s="9"/>
      <c r="NWO50" s="9"/>
      <c r="NWP50" s="9"/>
      <c r="NWQ50" s="9"/>
      <c r="NWR50" s="9"/>
      <c r="NWS50" s="9"/>
      <c r="NWT50" s="9"/>
      <c r="NWU50" s="9"/>
      <c r="NWV50" s="9"/>
      <c r="NWW50" s="9"/>
      <c r="NWX50" s="9"/>
      <c r="NWY50" s="9"/>
      <c r="NWZ50" s="9"/>
      <c r="NXA50" s="9"/>
      <c r="NXB50" s="9"/>
      <c r="NXC50" s="9"/>
      <c r="NXD50" s="9"/>
      <c r="NXE50" s="9"/>
      <c r="NXF50" s="9"/>
      <c r="NXG50" s="9"/>
      <c r="NXH50" s="9"/>
      <c r="NXI50" s="9"/>
      <c r="NXJ50" s="9"/>
      <c r="NXK50" s="9"/>
      <c r="NXL50" s="9"/>
      <c r="NXM50" s="9"/>
      <c r="NXN50" s="9"/>
      <c r="NXO50" s="9"/>
      <c r="NXP50" s="9"/>
      <c r="NXQ50" s="9"/>
      <c r="NXR50" s="9"/>
      <c r="NXS50" s="9"/>
      <c r="NXT50" s="9"/>
      <c r="NXU50" s="9"/>
      <c r="NXV50" s="9"/>
      <c r="NXW50" s="9"/>
      <c r="NXX50" s="9"/>
      <c r="NXY50" s="9"/>
      <c r="NXZ50" s="9"/>
      <c r="NYA50" s="9"/>
      <c r="NYB50" s="9"/>
      <c r="NYC50" s="9"/>
      <c r="NYD50" s="9"/>
      <c r="NYE50" s="9"/>
      <c r="NYF50" s="9"/>
      <c r="NYG50" s="9"/>
      <c r="NYH50" s="9"/>
      <c r="NYI50" s="9"/>
      <c r="NYJ50" s="9"/>
      <c r="NYK50" s="9"/>
      <c r="NYL50" s="9"/>
      <c r="NYM50" s="9"/>
      <c r="NYN50" s="9"/>
      <c r="NYO50" s="9"/>
      <c r="NYP50" s="9"/>
      <c r="NYQ50" s="9"/>
      <c r="NYR50" s="9"/>
      <c r="NYS50" s="9"/>
      <c r="NYT50" s="9"/>
      <c r="NYU50" s="9"/>
      <c r="NYV50" s="9"/>
      <c r="NYW50" s="9"/>
      <c r="NYX50" s="9"/>
      <c r="NYY50" s="9"/>
      <c r="NYZ50" s="9"/>
      <c r="NZA50" s="9"/>
      <c r="NZB50" s="9"/>
      <c r="NZC50" s="9"/>
      <c r="NZD50" s="9"/>
      <c r="NZE50" s="9"/>
      <c r="NZF50" s="9"/>
      <c r="NZG50" s="9"/>
      <c r="NZH50" s="9"/>
      <c r="NZI50" s="9"/>
      <c r="NZJ50" s="9"/>
      <c r="NZK50" s="9"/>
      <c r="NZL50" s="9"/>
      <c r="NZM50" s="9"/>
      <c r="NZN50" s="9"/>
      <c r="NZO50" s="9"/>
      <c r="NZP50" s="9"/>
      <c r="NZQ50" s="9"/>
      <c r="NZR50" s="9"/>
      <c r="NZS50" s="9"/>
      <c r="NZT50" s="9"/>
      <c r="NZU50" s="9"/>
      <c r="NZV50" s="9"/>
      <c r="NZW50" s="9"/>
      <c r="NZX50" s="9"/>
      <c r="NZY50" s="9"/>
      <c r="NZZ50" s="9"/>
      <c r="OAA50" s="9"/>
      <c r="OAB50" s="9"/>
      <c r="OAC50" s="9"/>
      <c r="OAD50" s="9"/>
      <c r="OAE50" s="9"/>
      <c r="OAF50" s="9"/>
      <c r="OAG50" s="9"/>
      <c r="OAH50" s="9"/>
      <c r="OAI50" s="9"/>
      <c r="OAJ50" s="9"/>
      <c r="OAK50" s="9"/>
      <c r="OAL50" s="9"/>
      <c r="OAM50" s="9"/>
      <c r="OAN50" s="9"/>
      <c r="OAO50" s="9"/>
      <c r="OAP50" s="9"/>
      <c r="OAQ50" s="9"/>
      <c r="OAR50" s="9"/>
      <c r="OAS50" s="9"/>
      <c r="OAT50" s="9"/>
      <c r="OAU50" s="9"/>
      <c r="OAV50" s="9"/>
      <c r="OAW50" s="9"/>
      <c r="OAX50" s="9"/>
      <c r="OAY50" s="9"/>
      <c r="OAZ50" s="9"/>
      <c r="OBA50" s="9"/>
      <c r="OBB50" s="9"/>
      <c r="OBC50" s="9"/>
      <c r="OBD50" s="9"/>
      <c r="OBE50" s="9"/>
      <c r="OBF50" s="9"/>
      <c r="OBG50" s="9"/>
      <c r="OBH50" s="9"/>
      <c r="OBI50" s="9"/>
      <c r="OBJ50" s="9"/>
      <c r="OBK50" s="9"/>
      <c r="OBL50" s="9"/>
      <c r="OBM50" s="9"/>
      <c r="OBN50" s="9"/>
      <c r="OBO50" s="9"/>
      <c r="OBP50" s="9"/>
      <c r="OBQ50" s="9"/>
      <c r="OBR50" s="9"/>
      <c r="OBS50" s="9"/>
      <c r="OBT50" s="9"/>
      <c r="OBU50" s="9"/>
      <c r="OBV50" s="9"/>
      <c r="OBW50" s="9"/>
      <c r="OBX50" s="9"/>
      <c r="OBY50" s="9"/>
      <c r="OBZ50" s="9"/>
      <c r="OCA50" s="9"/>
      <c r="OCB50" s="9"/>
      <c r="OCC50" s="9"/>
      <c r="OCD50" s="9"/>
      <c r="OCE50" s="9"/>
      <c r="OCF50" s="9"/>
      <c r="OCG50" s="9"/>
      <c r="OCH50" s="9"/>
      <c r="OCI50" s="9"/>
      <c r="OCJ50" s="9"/>
      <c r="OCK50" s="9"/>
      <c r="OCL50" s="9"/>
      <c r="OCM50" s="9"/>
      <c r="OCN50" s="9"/>
      <c r="OCO50" s="9"/>
      <c r="OCP50" s="9"/>
      <c r="OCQ50" s="9"/>
      <c r="OCR50" s="9"/>
      <c r="OCS50" s="9"/>
      <c r="OCT50" s="9"/>
      <c r="OCU50" s="9"/>
      <c r="OCV50" s="9"/>
      <c r="OCW50" s="9"/>
      <c r="OCX50" s="9"/>
      <c r="OCY50" s="9"/>
      <c r="OCZ50" s="9"/>
      <c r="ODA50" s="9"/>
      <c r="ODB50" s="9"/>
      <c r="ODC50" s="9"/>
      <c r="ODD50" s="9"/>
      <c r="ODE50" s="9"/>
      <c r="ODF50" s="9"/>
      <c r="ODG50" s="9"/>
      <c r="ODH50" s="9"/>
      <c r="ODI50" s="9"/>
      <c r="ODJ50" s="9"/>
      <c r="ODK50" s="9"/>
      <c r="ODL50" s="9"/>
      <c r="ODM50" s="9"/>
      <c r="ODN50" s="9"/>
      <c r="ODO50" s="9"/>
      <c r="ODP50" s="9"/>
      <c r="ODQ50" s="9"/>
      <c r="ODR50" s="9"/>
      <c r="ODS50" s="9"/>
      <c r="ODT50" s="9"/>
      <c r="ODU50" s="9"/>
      <c r="ODV50" s="9"/>
      <c r="ODW50" s="9"/>
      <c r="ODX50" s="9"/>
      <c r="ODY50" s="9"/>
      <c r="ODZ50" s="9"/>
      <c r="OEA50" s="9"/>
      <c r="OEB50" s="9"/>
      <c r="OEC50" s="9"/>
      <c r="OED50" s="9"/>
      <c r="OEE50" s="9"/>
      <c r="OEF50" s="9"/>
      <c r="OEG50" s="9"/>
      <c r="OEH50" s="9"/>
      <c r="OEI50" s="9"/>
      <c r="OEJ50" s="9"/>
      <c r="OEK50" s="9"/>
      <c r="OEL50" s="9"/>
      <c r="OEM50" s="9"/>
      <c r="OEN50" s="9"/>
      <c r="OEO50" s="9"/>
      <c r="OEP50" s="9"/>
      <c r="OEQ50" s="9"/>
      <c r="OER50" s="9"/>
      <c r="OES50" s="9"/>
      <c r="OET50" s="9"/>
      <c r="OEU50" s="9"/>
      <c r="OEV50" s="9"/>
      <c r="OEW50" s="9"/>
      <c r="OEX50" s="9"/>
      <c r="OEY50" s="9"/>
      <c r="OEZ50" s="9"/>
      <c r="OFA50" s="9"/>
      <c r="OFB50" s="9"/>
      <c r="OFC50" s="9"/>
      <c r="OFD50" s="9"/>
      <c r="OFE50" s="9"/>
      <c r="OFF50" s="9"/>
      <c r="OFG50" s="9"/>
      <c r="OFH50" s="9"/>
      <c r="OFI50" s="9"/>
      <c r="OFJ50" s="9"/>
      <c r="OFK50" s="9"/>
      <c r="OFL50" s="9"/>
      <c r="OFM50" s="9"/>
      <c r="OFN50" s="9"/>
      <c r="OFO50" s="9"/>
      <c r="OFP50" s="9"/>
      <c r="OFQ50" s="9"/>
      <c r="OFR50" s="9"/>
      <c r="OFS50" s="9"/>
      <c r="OFT50" s="9"/>
      <c r="OFU50" s="9"/>
      <c r="OFV50" s="9"/>
      <c r="OFW50" s="9"/>
      <c r="OFX50" s="9"/>
      <c r="OFY50" s="9"/>
      <c r="OFZ50" s="9"/>
      <c r="OGA50" s="9"/>
      <c r="OGB50" s="9"/>
      <c r="OGC50" s="9"/>
      <c r="OGD50" s="9"/>
      <c r="OGE50" s="9"/>
      <c r="OGF50" s="9"/>
      <c r="OGG50" s="9"/>
      <c r="OGH50" s="9"/>
      <c r="OGI50" s="9"/>
      <c r="OGJ50" s="9"/>
      <c r="OGK50" s="9"/>
      <c r="OGL50" s="9"/>
      <c r="OGM50" s="9"/>
      <c r="OGN50" s="9"/>
      <c r="OGO50" s="9"/>
      <c r="OGP50" s="9"/>
      <c r="OGQ50" s="9"/>
      <c r="OGR50" s="9"/>
      <c r="OGS50" s="9"/>
      <c r="OGT50" s="9"/>
      <c r="OGU50" s="9"/>
      <c r="OGV50" s="9"/>
      <c r="OGW50" s="9"/>
      <c r="OGX50" s="9"/>
      <c r="OGY50" s="9"/>
      <c r="OGZ50" s="9"/>
      <c r="OHA50" s="9"/>
      <c r="OHB50" s="9"/>
      <c r="OHC50" s="9"/>
      <c r="OHD50" s="9"/>
      <c r="OHE50" s="9"/>
      <c r="OHF50" s="9"/>
      <c r="OHG50" s="9"/>
      <c r="OHH50" s="9"/>
      <c r="OHI50" s="9"/>
      <c r="OHJ50" s="9"/>
      <c r="OHK50" s="9"/>
      <c r="OHL50" s="9"/>
      <c r="OHM50" s="9"/>
      <c r="OHN50" s="9"/>
      <c r="OHO50" s="9"/>
      <c r="OHP50" s="9"/>
      <c r="OHQ50" s="9"/>
      <c r="OHR50" s="9"/>
      <c r="OHS50" s="9"/>
      <c r="OHT50" s="9"/>
      <c r="OHU50" s="9"/>
      <c r="OHV50" s="9"/>
      <c r="OHW50" s="9"/>
      <c r="OHX50" s="9"/>
      <c r="OHY50" s="9"/>
      <c r="OHZ50" s="9"/>
      <c r="OIA50" s="9"/>
      <c r="OIB50" s="9"/>
      <c r="OIC50" s="9"/>
      <c r="OID50" s="9"/>
      <c r="OIE50" s="9"/>
      <c r="OIF50" s="9"/>
      <c r="OIG50" s="9"/>
      <c r="OIH50" s="9"/>
      <c r="OII50" s="9"/>
      <c r="OIJ50" s="9"/>
      <c r="OIK50" s="9"/>
      <c r="OIL50" s="9"/>
      <c r="OIM50" s="9"/>
      <c r="OIN50" s="9"/>
      <c r="OIO50" s="9"/>
      <c r="OIP50" s="9"/>
      <c r="OIQ50" s="9"/>
      <c r="OIR50" s="9"/>
      <c r="OIS50" s="9"/>
      <c r="OIT50" s="9"/>
      <c r="OIU50" s="9"/>
      <c r="OIV50" s="9"/>
      <c r="OIW50" s="9"/>
      <c r="OIX50" s="9"/>
      <c r="OIY50" s="9"/>
      <c r="OIZ50" s="9"/>
      <c r="OJA50" s="9"/>
      <c r="OJB50" s="9"/>
      <c r="OJC50" s="9"/>
      <c r="OJD50" s="9"/>
      <c r="OJE50" s="9"/>
      <c r="OJF50" s="9"/>
      <c r="OJG50" s="9"/>
      <c r="OJH50" s="9"/>
      <c r="OJI50" s="9"/>
      <c r="OJJ50" s="9"/>
      <c r="OJK50" s="9"/>
      <c r="OJL50" s="9"/>
      <c r="OJM50" s="9"/>
      <c r="OJN50" s="9"/>
      <c r="OJO50" s="9"/>
      <c r="OJP50" s="9"/>
      <c r="OJQ50" s="9"/>
      <c r="OJR50" s="9"/>
      <c r="OJS50" s="9"/>
      <c r="OJT50" s="9"/>
      <c r="OJU50" s="9"/>
      <c r="OJV50" s="9"/>
      <c r="OJW50" s="9"/>
      <c r="OJX50" s="9"/>
      <c r="OJY50" s="9"/>
      <c r="OJZ50" s="9"/>
      <c r="OKA50" s="9"/>
      <c r="OKB50" s="9"/>
      <c r="OKC50" s="9"/>
      <c r="OKD50" s="9"/>
      <c r="OKE50" s="9"/>
      <c r="OKF50" s="9"/>
      <c r="OKG50" s="9"/>
      <c r="OKH50" s="9"/>
      <c r="OKI50" s="9"/>
      <c r="OKJ50" s="9"/>
      <c r="OKK50" s="9"/>
      <c r="OKL50" s="9"/>
      <c r="OKM50" s="9"/>
      <c r="OKN50" s="9"/>
      <c r="OKO50" s="9"/>
      <c r="OKP50" s="9"/>
      <c r="OKQ50" s="9"/>
      <c r="OKR50" s="9"/>
      <c r="OKS50" s="9"/>
      <c r="OKT50" s="9"/>
      <c r="OKU50" s="9"/>
      <c r="OKV50" s="9"/>
      <c r="OKW50" s="9"/>
      <c r="OKX50" s="9"/>
      <c r="OKY50" s="9"/>
      <c r="OKZ50" s="9"/>
      <c r="OLA50" s="9"/>
      <c r="OLB50" s="9"/>
      <c r="OLC50" s="9"/>
      <c r="OLD50" s="9"/>
      <c r="OLE50" s="9"/>
      <c r="OLF50" s="9"/>
      <c r="OLG50" s="9"/>
      <c r="OLH50" s="9"/>
      <c r="OLI50" s="9"/>
      <c r="OLJ50" s="9"/>
      <c r="OLK50" s="9"/>
      <c r="OLL50" s="9"/>
      <c r="OLM50" s="9"/>
      <c r="OLN50" s="9"/>
      <c r="OLO50" s="9"/>
      <c r="OLP50" s="9"/>
      <c r="OLQ50" s="9"/>
      <c r="OLR50" s="9"/>
      <c r="OLS50" s="9"/>
      <c r="OLT50" s="9"/>
      <c r="OLU50" s="9"/>
      <c r="OLV50" s="9"/>
      <c r="OLW50" s="9"/>
      <c r="OLX50" s="9"/>
      <c r="OLY50" s="9"/>
      <c r="OLZ50" s="9"/>
      <c r="OMA50" s="9"/>
      <c r="OMB50" s="9"/>
      <c r="OMC50" s="9"/>
      <c r="OMD50" s="9"/>
      <c r="OME50" s="9"/>
      <c r="OMF50" s="9"/>
      <c r="OMG50" s="9"/>
      <c r="OMH50" s="9"/>
      <c r="OMI50" s="9"/>
      <c r="OMJ50" s="9"/>
      <c r="OMK50" s="9"/>
      <c r="OML50" s="9"/>
      <c r="OMM50" s="9"/>
      <c r="OMN50" s="9"/>
      <c r="OMO50" s="9"/>
      <c r="OMP50" s="9"/>
      <c r="OMQ50" s="9"/>
      <c r="OMR50" s="9"/>
      <c r="OMS50" s="9"/>
      <c r="OMT50" s="9"/>
      <c r="OMU50" s="9"/>
      <c r="OMV50" s="9"/>
      <c r="OMW50" s="9"/>
      <c r="OMX50" s="9"/>
      <c r="OMY50" s="9"/>
      <c r="OMZ50" s="9"/>
      <c r="ONA50" s="9"/>
      <c r="ONB50" s="9"/>
      <c r="ONC50" s="9"/>
      <c r="OND50" s="9"/>
      <c r="ONE50" s="9"/>
      <c r="ONF50" s="9"/>
      <c r="ONG50" s="9"/>
      <c r="ONH50" s="9"/>
      <c r="ONI50" s="9"/>
      <c r="ONJ50" s="9"/>
      <c r="ONK50" s="9"/>
      <c r="ONL50" s="9"/>
      <c r="ONM50" s="9"/>
      <c r="ONN50" s="9"/>
      <c r="ONO50" s="9"/>
      <c r="ONP50" s="9"/>
      <c r="ONQ50" s="9"/>
      <c r="ONR50" s="9"/>
      <c r="ONS50" s="9"/>
      <c r="ONT50" s="9"/>
      <c r="ONU50" s="9"/>
      <c r="ONV50" s="9"/>
      <c r="ONW50" s="9"/>
      <c r="ONX50" s="9"/>
      <c r="ONY50" s="9"/>
      <c r="ONZ50" s="9"/>
      <c r="OOA50" s="9"/>
      <c r="OOB50" s="9"/>
      <c r="OOC50" s="9"/>
      <c r="OOD50" s="9"/>
      <c r="OOE50" s="9"/>
      <c r="OOF50" s="9"/>
      <c r="OOG50" s="9"/>
      <c r="OOH50" s="9"/>
      <c r="OOI50" s="9"/>
      <c r="OOJ50" s="9"/>
      <c r="OOK50" s="9"/>
      <c r="OOL50" s="9"/>
      <c r="OOM50" s="9"/>
      <c r="OON50" s="9"/>
      <c r="OOO50" s="9"/>
      <c r="OOP50" s="9"/>
      <c r="OOQ50" s="9"/>
      <c r="OOR50" s="9"/>
      <c r="OOS50" s="9"/>
      <c r="OOT50" s="9"/>
      <c r="OOU50" s="9"/>
      <c r="OOV50" s="9"/>
      <c r="OOW50" s="9"/>
      <c r="OOX50" s="9"/>
      <c r="OOY50" s="9"/>
      <c r="OOZ50" s="9"/>
      <c r="OPA50" s="9"/>
      <c r="OPB50" s="9"/>
      <c r="OPC50" s="9"/>
      <c r="OPD50" s="9"/>
      <c r="OPE50" s="9"/>
      <c r="OPF50" s="9"/>
      <c r="OPG50" s="9"/>
      <c r="OPH50" s="9"/>
      <c r="OPI50" s="9"/>
      <c r="OPJ50" s="9"/>
      <c r="OPK50" s="9"/>
      <c r="OPL50" s="9"/>
      <c r="OPM50" s="9"/>
      <c r="OPN50" s="9"/>
      <c r="OPO50" s="9"/>
      <c r="OPP50" s="9"/>
      <c r="OPQ50" s="9"/>
      <c r="OPR50" s="9"/>
      <c r="OPS50" s="9"/>
      <c r="OPT50" s="9"/>
      <c r="OPU50" s="9"/>
      <c r="OPV50" s="9"/>
      <c r="OPW50" s="9"/>
      <c r="OPX50" s="9"/>
      <c r="OPY50" s="9"/>
      <c r="OPZ50" s="9"/>
      <c r="OQA50" s="9"/>
      <c r="OQB50" s="9"/>
      <c r="OQC50" s="9"/>
      <c r="OQD50" s="9"/>
      <c r="OQE50" s="9"/>
      <c r="OQF50" s="9"/>
      <c r="OQG50" s="9"/>
      <c r="OQH50" s="9"/>
      <c r="OQI50" s="9"/>
      <c r="OQJ50" s="9"/>
      <c r="OQK50" s="9"/>
      <c r="OQL50" s="9"/>
      <c r="OQM50" s="9"/>
      <c r="OQN50" s="9"/>
      <c r="OQO50" s="9"/>
      <c r="OQP50" s="9"/>
      <c r="OQQ50" s="9"/>
      <c r="OQR50" s="9"/>
      <c r="OQS50" s="9"/>
      <c r="OQT50" s="9"/>
      <c r="OQU50" s="9"/>
      <c r="OQV50" s="9"/>
      <c r="OQW50" s="9"/>
      <c r="OQX50" s="9"/>
      <c r="OQY50" s="9"/>
      <c r="OQZ50" s="9"/>
      <c r="ORA50" s="9"/>
      <c r="ORB50" s="9"/>
      <c r="ORC50" s="9"/>
      <c r="ORD50" s="9"/>
      <c r="ORE50" s="9"/>
      <c r="ORF50" s="9"/>
      <c r="ORG50" s="9"/>
      <c r="ORH50" s="9"/>
      <c r="ORI50" s="9"/>
      <c r="ORJ50" s="9"/>
      <c r="ORK50" s="9"/>
      <c r="ORL50" s="9"/>
      <c r="ORM50" s="9"/>
      <c r="ORN50" s="9"/>
      <c r="ORO50" s="9"/>
      <c r="ORP50" s="9"/>
      <c r="ORQ50" s="9"/>
      <c r="ORR50" s="9"/>
      <c r="ORS50" s="9"/>
      <c r="ORT50" s="9"/>
      <c r="ORU50" s="9"/>
      <c r="ORV50" s="9"/>
      <c r="ORW50" s="9"/>
      <c r="ORX50" s="9"/>
      <c r="ORY50" s="9"/>
      <c r="ORZ50" s="9"/>
      <c r="OSA50" s="9"/>
      <c r="OSB50" s="9"/>
      <c r="OSC50" s="9"/>
      <c r="OSD50" s="9"/>
      <c r="OSE50" s="9"/>
      <c r="OSF50" s="9"/>
      <c r="OSG50" s="9"/>
      <c r="OSH50" s="9"/>
      <c r="OSI50" s="9"/>
      <c r="OSJ50" s="9"/>
      <c r="OSK50" s="9"/>
      <c r="OSL50" s="9"/>
      <c r="OSM50" s="9"/>
      <c r="OSN50" s="9"/>
      <c r="OSO50" s="9"/>
      <c r="OSP50" s="9"/>
      <c r="OSQ50" s="9"/>
      <c r="OSR50" s="9"/>
      <c r="OSS50" s="9"/>
      <c r="OST50" s="9"/>
      <c r="OSU50" s="9"/>
      <c r="OSV50" s="9"/>
      <c r="OSW50" s="9"/>
      <c r="OSX50" s="9"/>
      <c r="OSY50" s="9"/>
      <c r="OSZ50" s="9"/>
      <c r="OTA50" s="9"/>
      <c r="OTB50" s="9"/>
      <c r="OTC50" s="9"/>
      <c r="OTD50" s="9"/>
      <c r="OTE50" s="9"/>
      <c r="OTF50" s="9"/>
      <c r="OTG50" s="9"/>
      <c r="OTH50" s="9"/>
      <c r="OTI50" s="9"/>
      <c r="OTJ50" s="9"/>
      <c r="OTK50" s="9"/>
      <c r="OTL50" s="9"/>
      <c r="OTM50" s="9"/>
      <c r="OTN50" s="9"/>
      <c r="OTO50" s="9"/>
      <c r="OTP50" s="9"/>
      <c r="OTQ50" s="9"/>
      <c r="OTR50" s="9"/>
      <c r="OTS50" s="9"/>
      <c r="OTT50" s="9"/>
      <c r="OTU50" s="9"/>
      <c r="OTV50" s="9"/>
      <c r="OTW50" s="9"/>
      <c r="OTX50" s="9"/>
      <c r="OTY50" s="9"/>
      <c r="OTZ50" s="9"/>
      <c r="OUA50" s="9"/>
      <c r="OUB50" s="9"/>
      <c r="OUC50" s="9"/>
      <c r="OUD50" s="9"/>
      <c r="OUE50" s="9"/>
      <c r="OUF50" s="9"/>
      <c r="OUG50" s="9"/>
      <c r="OUH50" s="9"/>
      <c r="OUI50" s="9"/>
      <c r="OUJ50" s="9"/>
      <c r="OUK50" s="9"/>
      <c r="OUL50" s="9"/>
      <c r="OUM50" s="9"/>
      <c r="OUN50" s="9"/>
      <c r="OUO50" s="9"/>
      <c r="OUP50" s="9"/>
      <c r="OUQ50" s="9"/>
      <c r="OUR50" s="9"/>
      <c r="OUS50" s="9"/>
      <c r="OUT50" s="9"/>
      <c r="OUU50" s="9"/>
      <c r="OUV50" s="9"/>
      <c r="OUW50" s="9"/>
      <c r="OUX50" s="9"/>
      <c r="OUY50" s="9"/>
      <c r="OUZ50" s="9"/>
      <c r="OVA50" s="9"/>
      <c r="OVB50" s="9"/>
      <c r="OVC50" s="9"/>
      <c r="OVD50" s="9"/>
      <c r="OVE50" s="9"/>
      <c r="OVF50" s="9"/>
      <c r="OVG50" s="9"/>
      <c r="OVH50" s="9"/>
      <c r="OVI50" s="9"/>
      <c r="OVJ50" s="9"/>
      <c r="OVK50" s="9"/>
      <c r="OVL50" s="9"/>
      <c r="OVM50" s="9"/>
      <c r="OVN50" s="9"/>
      <c r="OVO50" s="9"/>
      <c r="OVP50" s="9"/>
      <c r="OVQ50" s="9"/>
      <c r="OVR50" s="9"/>
      <c r="OVS50" s="9"/>
      <c r="OVT50" s="9"/>
      <c r="OVU50" s="9"/>
      <c r="OVV50" s="9"/>
      <c r="OVW50" s="9"/>
      <c r="OVX50" s="9"/>
      <c r="OVY50" s="9"/>
      <c r="OVZ50" s="9"/>
      <c r="OWA50" s="9"/>
      <c r="OWB50" s="9"/>
      <c r="OWC50" s="9"/>
      <c r="OWD50" s="9"/>
      <c r="OWE50" s="9"/>
      <c r="OWF50" s="9"/>
      <c r="OWG50" s="9"/>
      <c r="OWH50" s="9"/>
      <c r="OWI50" s="9"/>
      <c r="OWJ50" s="9"/>
      <c r="OWK50" s="9"/>
      <c r="OWL50" s="9"/>
      <c r="OWM50" s="9"/>
      <c r="OWN50" s="9"/>
      <c r="OWO50" s="9"/>
      <c r="OWP50" s="9"/>
      <c r="OWQ50" s="9"/>
      <c r="OWR50" s="9"/>
      <c r="OWS50" s="9"/>
      <c r="OWT50" s="9"/>
      <c r="OWU50" s="9"/>
      <c r="OWV50" s="9"/>
      <c r="OWW50" s="9"/>
      <c r="OWX50" s="9"/>
      <c r="OWY50" s="9"/>
      <c r="OWZ50" s="9"/>
      <c r="OXA50" s="9"/>
      <c r="OXB50" s="9"/>
      <c r="OXC50" s="9"/>
      <c r="OXD50" s="9"/>
      <c r="OXE50" s="9"/>
      <c r="OXF50" s="9"/>
      <c r="OXG50" s="9"/>
      <c r="OXH50" s="9"/>
      <c r="OXI50" s="9"/>
      <c r="OXJ50" s="9"/>
      <c r="OXK50" s="9"/>
      <c r="OXL50" s="9"/>
      <c r="OXM50" s="9"/>
      <c r="OXN50" s="9"/>
      <c r="OXO50" s="9"/>
      <c r="OXP50" s="9"/>
      <c r="OXQ50" s="9"/>
      <c r="OXR50" s="9"/>
      <c r="OXS50" s="9"/>
      <c r="OXT50" s="9"/>
      <c r="OXU50" s="9"/>
      <c r="OXV50" s="9"/>
      <c r="OXW50" s="9"/>
      <c r="OXX50" s="9"/>
      <c r="OXY50" s="9"/>
      <c r="OXZ50" s="9"/>
      <c r="OYA50" s="9"/>
      <c r="OYB50" s="9"/>
      <c r="OYC50" s="9"/>
      <c r="OYD50" s="9"/>
      <c r="OYE50" s="9"/>
      <c r="OYF50" s="9"/>
      <c r="OYG50" s="9"/>
      <c r="OYH50" s="9"/>
      <c r="OYI50" s="9"/>
      <c r="OYJ50" s="9"/>
      <c r="OYK50" s="9"/>
      <c r="OYL50" s="9"/>
      <c r="OYM50" s="9"/>
      <c r="OYN50" s="9"/>
      <c r="OYO50" s="9"/>
      <c r="OYP50" s="9"/>
      <c r="OYQ50" s="9"/>
      <c r="OYR50" s="9"/>
      <c r="OYS50" s="9"/>
      <c r="OYT50" s="9"/>
      <c r="OYU50" s="9"/>
      <c r="OYV50" s="9"/>
      <c r="OYW50" s="9"/>
      <c r="OYX50" s="9"/>
      <c r="OYY50" s="9"/>
      <c r="OYZ50" s="9"/>
      <c r="OZA50" s="9"/>
      <c r="OZB50" s="9"/>
      <c r="OZC50" s="9"/>
      <c r="OZD50" s="9"/>
      <c r="OZE50" s="9"/>
      <c r="OZF50" s="9"/>
      <c r="OZG50" s="9"/>
      <c r="OZH50" s="9"/>
      <c r="OZI50" s="9"/>
      <c r="OZJ50" s="9"/>
      <c r="OZK50" s="9"/>
      <c r="OZL50" s="9"/>
      <c r="OZM50" s="9"/>
      <c r="OZN50" s="9"/>
      <c r="OZO50" s="9"/>
      <c r="OZP50" s="9"/>
      <c r="OZQ50" s="9"/>
      <c r="OZR50" s="9"/>
      <c r="OZS50" s="9"/>
      <c r="OZT50" s="9"/>
      <c r="OZU50" s="9"/>
      <c r="OZV50" s="9"/>
      <c r="OZW50" s="9"/>
      <c r="OZX50" s="9"/>
      <c r="OZY50" s="9"/>
      <c r="OZZ50" s="9"/>
      <c r="PAA50" s="9"/>
      <c r="PAB50" s="9"/>
      <c r="PAC50" s="9"/>
      <c r="PAD50" s="9"/>
      <c r="PAE50" s="9"/>
      <c r="PAF50" s="9"/>
      <c r="PAG50" s="9"/>
      <c r="PAH50" s="9"/>
      <c r="PAI50" s="9"/>
      <c r="PAJ50" s="9"/>
      <c r="PAK50" s="9"/>
      <c r="PAL50" s="9"/>
      <c r="PAM50" s="9"/>
      <c r="PAN50" s="9"/>
      <c r="PAO50" s="9"/>
      <c r="PAP50" s="9"/>
      <c r="PAQ50" s="9"/>
      <c r="PAR50" s="9"/>
      <c r="PAS50" s="9"/>
      <c r="PAT50" s="9"/>
      <c r="PAU50" s="9"/>
      <c r="PAV50" s="9"/>
      <c r="PAW50" s="9"/>
      <c r="PAX50" s="9"/>
      <c r="PAY50" s="9"/>
      <c r="PAZ50" s="9"/>
      <c r="PBA50" s="9"/>
      <c r="PBB50" s="9"/>
      <c r="PBC50" s="9"/>
      <c r="PBD50" s="9"/>
      <c r="PBE50" s="9"/>
      <c r="PBF50" s="9"/>
      <c r="PBG50" s="9"/>
      <c r="PBH50" s="9"/>
      <c r="PBI50" s="9"/>
      <c r="PBJ50" s="9"/>
      <c r="PBK50" s="9"/>
      <c r="PBL50" s="9"/>
      <c r="PBM50" s="9"/>
      <c r="PBN50" s="9"/>
      <c r="PBO50" s="9"/>
      <c r="PBP50" s="9"/>
      <c r="PBQ50" s="9"/>
      <c r="PBR50" s="9"/>
      <c r="PBS50" s="9"/>
      <c r="PBT50" s="9"/>
      <c r="PBU50" s="9"/>
      <c r="PBV50" s="9"/>
      <c r="PBW50" s="9"/>
      <c r="PBX50" s="9"/>
      <c r="PBY50" s="9"/>
      <c r="PBZ50" s="9"/>
      <c r="PCA50" s="9"/>
      <c r="PCB50" s="9"/>
      <c r="PCC50" s="9"/>
      <c r="PCD50" s="9"/>
      <c r="PCE50" s="9"/>
      <c r="PCF50" s="9"/>
      <c r="PCG50" s="9"/>
      <c r="PCH50" s="9"/>
      <c r="PCI50" s="9"/>
      <c r="PCJ50" s="9"/>
      <c r="PCK50" s="9"/>
      <c r="PCL50" s="9"/>
      <c r="PCM50" s="9"/>
      <c r="PCN50" s="9"/>
      <c r="PCO50" s="9"/>
      <c r="PCP50" s="9"/>
      <c r="PCQ50" s="9"/>
      <c r="PCR50" s="9"/>
      <c r="PCS50" s="9"/>
      <c r="PCT50" s="9"/>
      <c r="PCU50" s="9"/>
      <c r="PCV50" s="9"/>
      <c r="PCW50" s="9"/>
      <c r="PCX50" s="9"/>
      <c r="PCY50" s="9"/>
      <c r="PCZ50" s="9"/>
      <c r="PDA50" s="9"/>
      <c r="PDB50" s="9"/>
      <c r="PDC50" s="9"/>
      <c r="PDD50" s="9"/>
      <c r="PDE50" s="9"/>
      <c r="PDF50" s="9"/>
      <c r="PDG50" s="9"/>
      <c r="PDH50" s="9"/>
      <c r="PDI50" s="9"/>
      <c r="PDJ50" s="9"/>
      <c r="PDK50" s="9"/>
      <c r="PDL50" s="9"/>
      <c r="PDM50" s="9"/>
      <c r="PDN50" s="9"/>
      <c r="PDO50" s="9"/>
      <c r="PDP50" s="9"/>
      <c r="PDQ50" s="9"/>
      <c r="PDR50" s="9"/>
      <c r="PDS50" s="9"/>
      <c r="PDT50" s="9"/>
      <c r="PDU50" s="9"/>
      <c r="PDV50" s="9"/>
      <c r="PDW50" s="9"/>
      <c r="PDX50" s="9"/>
      <c r="PDY50" s="9"/>
      <c r="PDZ50" s="9"/>
      <c r="PEA50" s="9"/>
      <c r="PEB50" s="9"/>
      <c r="PEC50" s="9"/>
      <c r="PED50" s="9"/>
      <c r="PEE50" s="9"/>
      <c r="PEF50" s="9"/>
      <c r="PEG50" s="9"/>
      <c r="PEH50" s="9"/>
      <c r="PEI50" s="9"/>
      <c r="PEJ50" s="9"/>
      <c r="PEK50" s="9"/>
      <c r="PEL50" s="9"/>
      <c r="PEM50" s="9"/>
      <c r="PEN50" s="9"/>
      <c r="PEO50" s="9"/>
      <c r="PEP50" s="9"/>
      <c r="PEQ50" s="9"/>
      <c r="PER50" s="9"/>
      <c r="PES50" s="9"/>
      <c r="PET50" s="9"/>
      <c r="PEU50" s="9"/>
      <c r="PEV50" s="9"/>
      <c r="PEW50" s="9"/>
      <c r="PEX50" s="9"/>
      <c r="PEY50" s="9"/>
      <c r="PEZ50" s="9"/>
      <c r="PFA50" s="9"/>
      <c r="PFB50" s="9"/>
      <c r="PFC50" s="9"/>
      <c r="PFD50" s="9"/>
      <c r="PFE50" s="9"/>
      <c r="PFF50" s="9"/>
      <c r="PFG50" s="9"/>
      <c r="PFH50" s="9"/>
      <c r="PFI50" s="9"/>
      <c r="PFJ50" s="9"/>
      <c r="PFK50" s="9"/>
      <c r="PFL50" s="9"/>
      <c r="PFM50" s="9"/>
      <c r="PFN50" s="9"/>
      <c r="PFO50" s="9"/>
      <c r="PFP50" s="9"/>
      <c r="PFQ50" s="9"/>
      <c r="PFR50" s="9"/>
      <c r="PFS50" s="9"/>
      <c r="PFT50" s="9"/>
      <c r="PFU50" s="9"/>
      <c r="PFV50" s="9"/>
      <c r="PFW50" s="9"/>
      <c r="PFX50" s="9"/>
      <c r="PFY50" s="9"/>
      <c r="PFZ50" s="9"/>
      <c r="PGA50" s="9"/>
      <c r="PGB50" s="9"/>
      <c r="PGC50" s="9"/>
      <c r="PGD50" s="9"/>
      <c r="PGE50" s="9"/>
      <c r="PGF50" s="9"/>
      <c r="PGG50" s="9"/>
      <c r="PGH50" s="9"/>
      <c r="PGI50" s="9"/>
      <c r="PGJ50" s="9"/>
      <c r="PGK50" s="9"/>
      <c r="PGL50" s="9"/>
      <c r="PGM50" s="9"/>
      <c r="PGN50" s="9"/>
      <c r="PGO50" s="9"/>
      <c r="PGP50" s="9"/>
      <c r="PGQ50" s="9"/>
      <c r="PGR50" s="9"/>
      <c r="PGS50" s="9"/>
      <c r="PGT50" s="9"/>
      <c r="PGU50" s="9"/>
      <c r="PGV50" s="9"/>
      <c r="PGW50" s="9"/>
      <c r="PGX50" s="9"/>
      <c r="PGY50" s="9"/>
      <c r="PGZ50" s="9"/>
      <c r="PHA50" s="9"/>
      <c r="PHB50" s="9"/>
      <c r="PHC50" s="9"/>
      <c r="PHD50" s="9"/>
      <c r="PHE50" s="9"/>
      <c r="PHF50" s="9"/>
      <c r="PHG50" s="9"/>
      <c r="PHH50" s="9"/>
      <c r="PHI50" s="9"/>
      <c r="PHJ50" s="9"/>
      <c r="PHK50" s="9"/>
      <c r="PHL50" s="9"/>
      <c r="PHM50" s="9"/>
      <c r="PHN50" s="9"/>
      <c r="PHO50" s="9"/>
      <c r="PHP50" s="9"/>
      <c r="PHQ50" s="9"/>
      <c r="PHR50" s="9"/>
      <c r="PHS50" s="9"/>
      <c r="PHT50" s="9"/>
      <c r="PHU50" s="9"/>
      <c r="PHV50" s="9"/>
      <c r="PHW50" s="9"/>
      <c r="PHX50" s="9"/>
      <c r="PHY50" s="9"/>
      <c r="PHZ50" s="9"/>
      <c r="PIA50" s="9"/>
      <c r="PIB50" s="9"/>
      <c r="PIC50" s="9"/>
      <c r="PID50" s="9"/>
      <c r="PIE50" s="9"/>
      <c r="PIF50" s="9"/>
      <c r="PIG50" s="9"/>
      <c r="PIH50" s="9"/>
      <c r="PII50" s="9"/>
      <c r="PIJ50" s="9"/>
      <c r="PIK50" s="9"/>
      <c r="PIL50" s="9"/>
      <c r="PIM50" s="9"/>
      <c r="PIN50" s="9"/>
      <c r="PIO50" s="9"/>
      <c r="PIP50" s="9"/>
      <c r="PIQ50" s="9"/>
      <c r="PIR50" s="9"/>
      <c r="PIS50" s="9"/>
      <c r="PIT50" s="9"/>
      <c r="PIU50" s="9"/>
      <c r="PIV50" s="9"/>
      <c r="PIW50" s="9"/>
      <c r="PIX50" s="9"/>
      <c r="PIY50" s="9"/>
      <c r="PIZ50" s="9"/>
      <c r="PJA50" s="9"/>
      <c r="PJB50" s="9"/>
      <c r="PJC50" s="9"/>
      <c r="PJD50" s="9"/>
      <c r="PJE50" s="9"/>
      <c r="PJF50" s="9"/>
      <c r="PJG50" s="9"/>
      <c r="PJH50" s="9"/>
      <c r="PJI50" s="9"/>
      <c r="PJJ50" s="9"/>
      <c r="PJK50" s="9"/>
      <c r="PJL50" s="9"/>
      <c r="PJM50" s="9"/>
      <c r="PJN50" s="9"/>
      <c r="PJO50" s="9"/>
      <c r="PJP50" s="9"/>
      <c r="PJQ50" s="9"/>
      <c r="PJR50" s="9"/>
      <c r="PJS50" s="9"/>
      <c r="PJT50" s="9"/>
      <c r="PJU50" s="9"/>
      <c r="PJV50" s="9"/>
      <c r="PJW50" s="9"/>
      <c r="PJX50" s="9"/>
      <c r="PJY50" s="9"/>
      <c r="PJZ50" s="9"/>
      <c r="PKA50" s="9"/>
      <c r="PKB50" s="9"/>
      <c r="PKC50" s="9"/>
      <c r="PKD50" s="9"/>
      <c r="PKE50" s="9"/>
      <c r="PKF50" s="9"/>
      <c r="PKG50" s="9"/>
      <c r="PKH50" s="9"/>
      <c r="PKI50" s="9"/>
      <c r="PKJ50" s="9"/>
      <c r="PKK50" s="9"/>
      <c r="PKL50" s="9"/>
      <c r="PKM50" s="9"/>
      <c r="PKN50" s="9"/>
      <c r="PKO50" s="9"/>
      <c r="PKP50" s="9"/>
      <c r="PKQ50" s="9"/>
      <c r="PKR50" s="9"/>
      <c r="PKS50" s="9"/>
      <c r="PKT50" s="9"/>
      <c r="PKU50" s="9"/>
      <c r="PKV50" s="9"/>
      <c r="PKW50" s="9"/>
      <c r="PKX50" s="9"/>
      <c r="PKY50" s="9"/>
      <c r="PKZ50" s="9"/>
      <c r="PLA50" s="9"/>
      <c r="PLB50" s="9"/>
      <c r="PLC50" s="9"/>
      <c r="PLD50" s="9"/>
      <c r="PLE50" s="9"/>
      <c r="PLF50" s="9"/>
      <c r="PLG50" s="9"/>
      <c r="PLH50" s="9"/>
      <c r="PLI50" s="9"/>
      <c r="PLJ50" s="9"/>
      <c r="PLK50" s="9"/>
      <c r="PLL50" s="9"/>
      <c r="PLM50" s="9"/>
      <c r="PLN50" s="9"/>
      <c r="PLO50" s="9"/>
      <c r="PLP50" s="9"/>
      <c r="PLQ50" s="9"/>
      <c r="PLR50" s="9"/>
      <c r="PLS50" s="9"/>
      <c r="PLT50" s="9"/>
      <c r="PLU50" s="9"/>
      <c r="PLV50" s="9"/>
      <c r="PLW50" s="9"/>
      <c r="PLX50" s="9"/>
      <c r="PLY50" s="9"/>
      <c r="PLZ50" s="9"/>
      <c r="PMA50" s="9"/>
      <c r="PMB50" s="9"/>
      <c r="PMC50" s="9"/>
      <c r="PMD50" s="9"/>
      <c r="PME50" s="9"/>
      <c r="PMF50" s="9"/>
      <c r="PMG50" s="9"/>
      <c r="PMH50" s="9"/>
      <c r="PMI50" s="9"/>
      <c r="PMJ50" s="9"/>
      <c r="PMK50" s="9"/>
      <c r="PML50" s="9"/>
      <c r="PMM50" s="9"/>
      <c r="PMN50" s="9"/>
      <c r="PMO50" s="9"/>
      <c r="PMP50" s="9"/>
      <c r="PMQ50" s="9"/>
      <c r="PMR50" s="9"/>
      <c r="PMS50" s="9"/>
      <c r="PMT50" s="9"/>
      <c r="PMU50" s="9"/>
      <c r="PMV50" s="9"/>
      <c r="PMW50" s="9"/>
      <c r="PMX50" s="9"/>
      <c r="PMY50" s="9"/>
      <c r="PMZ50" s="9"/>
      <c r="PNA50" s="9"/>
      <c r="PNB50" s="9"/>
      <c r="PNC50" s="9"/>
      <c r="PND50" s="9"/>
      <c r="PNE50" s="9"/>
      <c r="PNF50" s="9"/>
      <c r="PNG50" s="9"/>
      <c r="PNH50" s="9"/>
      <c r="PNI50" s="9"/>
      <c r="PNJ50" s="9"/>
      <c r="PNK50" s="9"/>
      <c r="PNL50" s="9"/>
      <c r="PNM50" s="9"/>
      <c r="PNN50" s="9"/>
      <c r="PNO50" s="9"/>
      <c r="PNP50" s="9"/>
      <c r="PNQ50" s="9"/>
      <c r="PNR50" s="9"/>
      <c r="PNS50" s="9"/>
      <c r="PNT50" s="9"/>
      <c r="PNU50" s="9"/>
      <c r="PNV50" s="9"/>
      <c r="PNW50" s="9"/>
      <c r="PNX50" s="9"/>
      <c r="PNY50" s="9"/>
      <c r="PNZ50" s="9"/>
      <c r="POA50" s="9"/>
      <c r="POB50" s="9"/>
      <c r="POC50" s="9"/>
      <c r="POD50" s="9"/>
      <c r="POE50" s="9"/>
      <c r="POF50" s="9"/>
      <c r="POG50" s="9"/>
      <c r="POH50" s="9"/>
      <c r="POI50" s="9"/>
      <c r="POJ50" s="9"/>
      <c r="POK50" s="9"/>
      <c r="POL50" s="9"/>
      <c r="POM50" s="9"/>
      <c r="PON50" s="9"/>
      <c r="POO50" s="9"/>
      <c r="POP50" s="9"/>
      <c r="POQ50" s="9"/>
      <c r="POR50" s="9"/>
      <c r="POS50" s="9"/>
      <c r="POT50" s="9"/>
      <c r="POU50" s="9"/>
      <c r="POV50" s="9"/>
      <c r="POW50" s="9"/>
      <c r="POX50" s="9"/>
      <c r="POY50" s="9"/>
      <c r="POZ50" s="9"/>
      <c r="PPA50" s="9"/>
      <c r="PPB50" s="9"/>
      <c r="PPC50" s="9"/>
      <c r="PPD50" s="9"/>
      <c r="PPE50" s="9"/>
      <c r="PPF50" s="9"/>
      <c r="PPG50" s="9"/>
      <c r="PPH50" s="9"/>
      <c r="PPI50" s="9"/>
      <c r="PPJ50" s="9"/>
      <c r="PPK50" s="9"/>
      <c r="PPL50" s="9"/>
      <c r="PPM50" s="9"/>
      <c r="PPN50" s="9"/>
      <c r="PPO50" s="9"/>
      <c r="PPP50" s="9"/>
      <c r="PPQ50" s="9"/>
      <c r="PPR50" s="9"/>
      <c r="PPS50" s="9"/>
      <c r="PPT50" s="9"/>
      <c r="PPU50" s="9"/>
      <c r="PPV50" s="9"/>
      <c r="PPW50" s="9"/>
      <c r="PPX50" s="9"/>
      <c r="PPY50" s="9"/>
      <c r="PPZ50" s="9"/>
      <c r="PQA50" s="9"/>
      <c r="PQB50" s="9"/>
      <c r="PQC50" s="9"/>
      <c r="PQD50" s="9"/>
      <c r="PQE50" s="9"/>
      <c r="PQF50" s="9"/>
      <c r="PQG50" s="9"/>
      <c r="PQH50" s="9"/>
      <c r="PQI50" s="9"/>
      <c r="PQJ50" s="9"/>
      <c r="PQK50" s="9"/>
      <c r="PQL50" s="9"/>
      <c r="PQM50" s="9"/>
      <c r="PQN50" s="9"/>
      <c r="PQO50" s="9"/>
      <c r="PQP50" s="9"/>
      <c r="PQQ50" s="9"/>
      <c r="PQR50" s="9"/>
      <c r="PQS50" s="9"/>
      <c r="PQT50" s="9"/>
      <c r="PQU50" s="9"/>
      <c r="PQV50" s="9"/>
      <c r="PQW50" s="9"/>
      <c r="PQX50" s="9"/>
      <c r="PQY50" s="9"/>
      <c r="PQZ50" s="9"/>
      <c r="PRA50" s="9"/>
      <c r="PRB50" s="9"/>
      <c r="PRC50" s="9"/>
      <c r="PRD50" s="9"/>
      <c r="PRE50" s="9"/>
      <c r="PRF50" s="9"/>
      <c r="PRG50" s="9"/>
      <c r="PRH50" s="9"/>
      <c r="PRI50" s="9"/>
      <c r="PRJ50" s="9"/>
      <c r="PRK50" s="9"/>
      <c r="PRL50" s="9"/>
      <c r="PRM50" s="9"/>
      <c r="PRN50" s="9"/>
      <c r="PRO50" s="9"/>
      <c r="PRP50" s="9"/>
      <c r="PRQ50" s="9"/>
      <c r="PRR50" s="9"/>
      <c r="PRS50" s="9"/>
      <c r="PRT50" s="9"/>
      <c r="PRU50" s="9"/>
      <c r="PRV50" s="9"/>
      <c r="PRW50" s="9"/>
      <c r="PRX50" s="9"/>
      <c r="PRY50" s="9"/>
      <c r="PRZ50" s="9"/>
      <c r="PSA50" s="9"/>
      <c r="PSB50" s="9"/>
      <c r="PSC50" s="9"/>
      <c r="PSD50" s="9"/>
      <c r="PSE50" s="9"/>
      <c r="PSF50" s="9"/>
      <c r="PSG50" s="9"/>
      <c r="PSH50" s="9"/>
      <c r="PSI50" s="9"/>
      <c r="PSJ50" s="9"/>
      <c r="PSK50" s="9"/>
      <c r="PSL50" s="9"/>
      <c r="PSM50" s="9"/>
      <c r="PSN50" s="9"/>
      <c r="PSO50" s="9"/>
      <c r="PSP50" s="9"/>
      <c r="PSQ50" s="9"/>
      <c r="PSR50" s="9"/>
      <c r="PSS50" s="9"/>
      <c r="PST50" s="9"/>
      <c r="PSU50" s="9"/>
      <c r="PSV50" s="9"/>
      <c r="PSW50" s="9"/>
      <c r="PSX50" s="9"/>
      <c r="PSY50" s="9"/>
      <c r="PSZ50" s="9"/>
      <c r="PTA50" s="9"/>
      <c r="PTB50" s="9"/>
      <c r="PTC50" s="9"/>
      <c r="PTD50" s="9"/>
      <c r="PTE50" s="9"/>
      <c r="PTF50" s="9"/>
      <c r="PTG50" s="9"/>
      <c r="PTH50" s="9"/>
      <c r="PTI50" s="9"/>
      <c r="PTJ50" s="9"/>
      <c r="PTK50" s="9"/>
      <c r="PTL50" s="9"/>
      <c r="PTM50" s="9"/>
      <c r="PTN50" s="9"/>
      <c r="PTO50" s="9"/>
      <c r="PTP50" s="9"/>
      <c r="PTQ50" s="9"/>
      <c r="PTR50" s="9"/>
      <c r="PTS50" s="9"/>
      <c r="PTT50" s="9"/>
      <c r="PTU50" s="9"/>
      <c r="PTV50" s="9"/>
      <c r="PTW50" s="9"/>
      <c r="PTX50" s="9"/>
      <c r="PTY50" s="9"/>
      <c r="PTZ50" s="9"/>
      <c r="PUA50" s="9"/>
      <c r="PUB50" s="9"/>
      <c r="PUC50" s="9"/>
      <c r="PUD50" s="9"/>
      <c r="PUE50" s="9"/>
      <c r="PUF50" s="9"/>
      <c r="PUG50" s="9"/>
      <c r="PUH50" s="9"/>
      <c r="PUI50" s="9"/>
      <c r="PUJ50" s="9"/>
      <c r="PUK50" s="9"/>
      <c r="PUL50" s="9"/>
      <c r="PUM50" s="9"/>
      <c r="PUN50" s="9"/>
      <c r="PUO50" s="9"/>
      <c r="PUP50" s="9"/>
      <c r="PUQ50" s="9"/>
      <c r="PUR50" s="9"/>
      <c r="PUS50" s="9"/>
      <c r="PUT50" s="9"/>
      <c r="PUU50" s="9"/>
      <c r="PUV50" s="9"/>
      <c r="PUW50" s="9"/>
      <c r="PUX50" s="9"/>
      <c r="PUY50" s="9"/>
      <c r="PUZ50" s="9"/>
      <c r="PVA50" s="9"/>
      <c r="PVB50" s="9"/>
      <c r="PVC50" s="9"/>
      <c r="PVD50" s="9"/>
      <c r="PVE50" s="9"/>
      <c r="PVF50" s="9"/>
      <c r="PVG50" s="9"/>
      <c r="PVH50" s="9"/>
      <c r="PVI50" s="9"/>
      <c r="PVJ50" s="9"/>
      <c r="PVK50" s="9"/>
      <c r="PVL50" s="9"/>
      <c r="PVM50" s="9"/>
      <c r="PVN50" s="9"/>
      <c r="PVO50" s="9"/>
      <c r="PVP50" s="9"/>
      <c r="PVQ50" s="9"/>
      <c r="PVR50" s="9"/>
      <c r="PVS50" s="9"/>
      <c r="PVT50" s="9"/>
      <c r="PVU50" s="9"/>
      <c r="PVV50" s="9"/>
      <c r="PVW50" s="9"/>
      <c r="PVX50" s="9"/>
      <c r="PVY50" s="9"/>
      <c r="PVZ50" s="9"/>
      <c r="PWA50" s="9"/>
      <c r="PWB50" s="9"/>
      <c r="PWC50" s="9"/>
      <c r="PWD50" s="9"/>
      <c r="PWE50" s="9"/>
      <c r="PWF50" s="9"/>
      <c r="PWG50" s="9"/>
      <c r="PWH50" s="9"/>
      <c r="PWI50" s="9"/>
      <c r="PWJ50" s="9"/>
      <c r="PWK50" s="9"/>
      <c r="PWL50" s="9"/>
      <c r="PWM50" s="9"/>
      <c r="PWN50" s="9"/>
      <c r="PWO50" s="9"/>
      <c r="PWP50" s="9"/>
      <c r="PWQ50" s="9"/>
      <c r="PWR50" s="9"/>
      <c r="PWS50" s="9"/>
      <c r="PWT50" s="9"/>
      <c r="PWU50" s="9"/>
      <c r="PWV50" s="9"/>
      <c r="PWW50" s="9"/>
      <c r="PWX50" s="9"/>
      <c r="PWY50" s="9"/>
      <c r="PWZ50" s="9"/>
      <c r="PXA50" s="9"/>
      <c r="PXB50" s="9"/>
      <c r="PXC50" s="9"/>
      <c r="PXD50" s="9"/>
      <c r="PXE50" s="9"/>
      <c r="PXF50" s="9"/>
      <c r="PXG50" s="9"/>
      <c r="PXH50" s="9"/>
      <c r="PXI50" s="9"/>
      <c r="PXJ50" s="9"/>
      <c r="PXK50" s="9"/>
      <c r="PXL50" s="9"/>
      <c r="PXM50" s="9"/>
      <c r="PXN50" s="9"/>
      <c r="PXO50" s="9"/>
      <c r="PXP50" s="9"/>
      <c r="PXQ50" s="9"/>
      <c r="PXR50" s="9"/>
      <c r="PXS50" s="9"/>
      <c r="PXT50" s="9"/>
      <c r="PXU50" s="9"/>
      <c r="PXV50" s="9"/>
      <c r="PXW50" s="9"/>
      <c r="PXX50" s="9"/>
      <c r="PXY50" s="9"/>
      <c r="PXZ50" s="9"/>
      <c r="PYA50" s="9"/>
      <c r="PYB50" s="9"/>
      <c r="PYC50" s="9"/>
      <c r="PYD50" s="9"/>
      <c r="PYE50" s="9"/>
      <c r="PYF50" s="9"/>
      <c r="PYG50" s="9"/>
      <c r="PYH50" s="9"/>
      <c r="PYI50" s="9"/>
      <c r="PYJ50" s="9"/>
      <c r="PYK50" s="9"/>
      <c r="PYL50" s="9"/>
      <c r="PYM50" s="9"/>
      <c r="PYN50" s="9"/>
      <c r="PYO50" s="9"/>
      <c r="PYP50" s="9"/>
      <c r="PYQ50" s="9"/>
      <c r="PYR50" s="9"/>
      <c r="PYS50" s="9"/>
      <c r="PYT50" s="9"/>
      <c r="PYU50" s="9"/>
      <c r="PYV50" s="9"/>
      <c r="PYW50" s="9"/>
      <c r="PYX50" s="9"/>
      <c r="PYY50" s="9"/>
      <c r="PYZ50" s="9"/>
      <c r="PZA50" s="9"/>
      <c r="PZB50" s="9"/>
      <c r="PZC50" s="9"/>
      <c r="PZD50" s="9"/>
      <c r="PZE50" s="9"/>
      <c r="PZF50" s="9"/>
      <c r="PZG50" s="9"/>
      <c r="PZH50" s="9"/>
      <c r="PZI50" s="9"/>
      <c r="PZJ50" s="9"/>
      <c r="PZK50" s="9"/>
      <c r="PZL50" s="9"/>
      <c r="PZM50" s="9"/>
      <c r="PZN50" s="9"/>
      <c r="PZO50" s="9"/>
      <c r="PZP50" s="9"/>
      <c r="PZQ50" s="9"/>
      <c r="PZR50" s="9"/>
      <c r="PZS50" s="9"/>
      <c r="PZT50" s="9"/>
      <c r="PZU50" s="9"/>
      <c r="PZV50" s="9"/>
      <c r="PZW50" s="9"/>
      <c r="PZX50" s="9"/>
      <c r="PZY50" s="9"/>
      <c r="PZZ50" s="9"/>
      <c r="QAA50" s="9"/>
      <c r="QAB50" s="9"/>
      <c r="QAC50" s="9"/>
      <c r="QAD50" s="9"/>
      <c r="QAE50" s="9"/>
      <c r="QAF50" s="9"/>
      <c r="QAG50" s="9"/>
      <c r="QAH50" s="9"/>
      <c r="QAI50" s="9"/>
      <c r="QAJ50" s="9"/>
      <c r="QAK50" s="9"/>
      <c r="QAL50" s="9"/>
      <c r="QAM50" s="9"/>
      <c r="QAN50" s="9"/>
      <c r="QAO50" s="9"/>
      <c r="QAP50" s="9"/>
      <c r="QAQ50" s="9"/>
      <c r="QAR50" s="9"/>
      <c r="QAS50" s="9"/>
      <c r="QAT50" s="9"/>
      <c r="QAU50" s="9"/>
      <c r="QAV50" s="9"/>
      <c r="QAW50" s="9"/>
      <c r="QAX50" s="9"/>
      <c r="QAY50" s="9"/>
      <c r="QAZ50" s="9"/>
      <c r="QBA50" s="9"/>
      <c r="QBB50" s="9"/>
      <c r="QBC50" s="9"/>
      <c r="QBD50" s="9"/>
      <c r="QBE50" s="9"/>
      <c r="QBF50" s="9"/>
      <c r="QBG50" s="9"/>
      <c r="QBH50" s="9"/>
      <c r="QBI50" s="9"/>
      <c r="QBJ50" s="9"/>
      <c r="QBK50" s="9"/>
      <c r="QBL50" s="9"/>
      <c r="QBM50" s="9"/>
      <c r="QBN50" s="9"/>
      <c r="QBO50" s="9"/>
      <c r="QBP50" s="9"/>
      <c r="QBQ50" s="9"/>
      <c r="QBR50" s="9"/>
      <c r="QBS50" s="9"/>
      <c r="QBT50" s="9"/>
      <c r="QBU50" s="9"/>
      <c r="QBV50" s="9"/>
      <c r="QBW50" s="9"/>
      <c r="QBX50" s="9"/>
      <c r="QBY50" s="9"/>
      <c r="QBZ50" s="9"/>
      <c r="QCA50" s="9"/>
      <c r="QCB50" s="9"/>
      <c r="QCC50" s="9"/>
      <c r="QCD50" s="9"/>
      <c r="QCE50" s="9"/>
      <c r="QCF50" s="9"/>
      <c r="QCG50" s="9"/>
      <c r="QCH50" s="9"/>
      <c r="QCI50" s="9"/>
      <c r="QCJ50" s="9"/>
      <c r="QCK50" s="9"/>
      <c r="QCL50" s="9"/>
      <c r="QCM50" s="9"/>
      <c r="QCN50" s="9"/>
      <c r="QCO50" s="9"/>
      <c r="QCP50" s="9"/>
      <c r="QCQ50" s="9"/>
      <c r="QCR50" s="9"/>
      <c r="QCS50" s="9"/>
      <c r="QCT50" s="9"/>
      <c r="QCU50" s="9"/>
      <c r="QCV50" s="9"/>
      <c r="QCW50" s="9"/>
      <c r="QCX50" s="9"/>
      <c r="QCY50" s="9"/>
      <c r="QCZ50" s="9"/>
      <c r="QDA50" s="9"/>
      <c r="QDB50" s="9"/>
      <c r="QDC50" s="9"/>
      <c r="QDD50" s="9"/>
      <c r="QDE50" s="9"/>
      <c r="QDF50" s="9"/>
      <c r="QDG50" s="9"/>
      <c r="QDH50" s="9"/>
      <c r="QDI50" s="9"/>
      <c r="QDJ50" s="9"/>
      <c r="QDK50" s="9"/>
      <c r="QDL50" s="9"/>
      <c r="QDM50" s="9"/>
      <c r="QDN50" s="9"/>
      <c r="QDO50" s="9"/>
      <c r="QDP50" s="9"/>
      <c r="QDQ50" s="9"/>
      <c r="QDR50" s="9"/>
      <c r="QDS50" s="9"/>
      <c r="QDT50" s="9"/>
      <c r="QDU50" s="9"/>
      <c r="QDV50" s="9"/>
      <c r="QDW50" s="9"/>
      <c r="QDX50" s="9"/>
      <c r="QDY50" s="9"/>
      <c r="QDZ50" s="9"/>
      <c r="QEA50" s="9"/>
      <c r="QEB50" s="9"/>
      <c r="QEC50" s="9"/>
      <c r="QED50" s="9"/>
      <c r="QEE50" s="9"/>
      <c r="QEF50" s="9"/>
      <c r="QEG50" s="9"/>
      <c r="QEH50" s="9"/>
      <c r="QEI50" s="9"/>
      <c r="QEJ50" s="9"/>
      <c r="QEK50" s="9"/>
      <c r="QEL50" s="9"/>
      <c r="QEM50" s="9"/>
      <c r="QEN50" s="9"/>
      <c r="QEO50" s="9"/>
      <c r="QEP50" s="9"/>
      <c r="QEQ50" s="9"/>
      <c r="QER50" s="9"/>
      <c r="QES50" s="9"/>
      <c r="QET50" s="9"/>
      <c r="QEU50" s="9"/>
      <c r="QEV50" s="9"/>
      <c r="QEW50" s="9"/>
      <c r="QEX50" s="9"/>
      <c r="QEY50" s="9"/>
      <c r="QEZ50" s="9"/>
      <c r="QFA50" s="9"/>
      <c r="QFB50" s="9"/>
      <c r="QFC50" s="9"/>
      <c r="QFD50" s="9"/>
      <c r="QFE50" s="9"/>
      <c r="QFF50" s="9"/>
      <c r="QFG50" s="9"/>
      <c r="QFH50" s="9"/>
      <c r="QFI50" s="9"/>
      <c r="QFJ50" s="9"/>
      <c r="QFK50" s="9"/>
      <c r="QFL50" s="9"/>
      <c r="QFM50" s="9"/>
      <c r="QFN50" s="9"/>
      <c r="QFO50" s="9"/>
      <c r="QFP50" s="9"/>
      <c r="QFQ50" s="9"/>
      <c r="QFR50" s="9"/>
      <c r="QFS50" s="9"/>
      <c r="QFT50" s="9"/>
      <c r="QFU50" s="9"/>
      <c r="QFV50" s="9"/>
      <c r="QFW50" s="9"/>
      <c r="QFX50" s="9"/>
      <c r="QFY50" s="9"/>
      <c r="QFZ50" s="9"/>
      <c r="QGA50" s="9"/>
      <c r="QGB50" s="9"/>
      <c r="QGC50" s="9"/>
      <c r="QGD50" s="9"/>
      <c r="QGE50" s="9"/>
      <c r="QGF50" s="9"/>
      <c r="QGG50" s="9"/>
      <c r="QGH50" s="9"/>
      <c r="QGI50" s="9"/>
      <c r="QGJ50" s="9"/>
      <c r="QGK50" s="9"/>
      <c r="QGL50" s="9"/>
      <c r="QGM50" s="9"/>
      <c r="QGN50" s="9"/>
      <c r="QGO50" s="9"/>
      <c r="QGP50" s="9"/>
      <c r="QGQ50" s="9"/>
      <c r="QGR50" s="9"/>
      <c r="QGS50" s="9"/>
      <c r="QGT50" s="9"/>
      <c r="QGU50" s="9"/>
      <c r="QGV50" s="9"/>
      <c r="QGW50" s="9"/>
      <c r="QGX50" s="9"/>
      <c r="QGY50" s="9"/>
      <c r="QGZ50" s="9"/>
      <c r="QHA50" s="9"/>
      <c r="QHB50" s="9"/>
      <c r="QHC50" s="9"/>
      <c r="QHD50" s="9"/>
      <c r="QHE50" s="9"/>
      <c r="QHF50" s="9"/>
      <c r="QHG50" s="9"/>
      <c r="QHH50" s="9"/>
      <c r="QHI50" s="9"/>
      <c r="QHJ50" s="9"/>
      <c r="QHK50" s="9"/>
      <c r="QHL50" s="9"/>
      <c r="QHM50" s="9"/>
      <c r="QHN50" s="9"/>
      <c r="QHO50" s="9"/>
      <c r="QHP50" s="9"/>
      <c r="QHQ50" s="9"/>
      <c r="QHR50" s="9"/>
      <c r="QHS50" s="9"/>
      <c r="QHT50" s="9"/>
      <c r="QHU50" s="9"/>
      <c r="QHV50" s="9"/>
      <c r="QHW50" s="9"/>
      <c r="QHX50" s="9"/>
      <c r="QHY50" s="9"/>
      <c r="QHZ50" s="9"/>
      <c r="QIA50" s="9"/>
      <c r="QIB50" s="9"/>
      <c r="QIC50" s="9"/>
      <c r="QID50" s="9"/>
      <c r="QIE50" s="9"/>
      <c r="QIF50" s="9"/>
      <c r="QIG50" s="9"/>
      <c r="QIH50" s="9"/>
      <c r="QII50" s="9"/>
      <c r="QIJ50" s="9"/>
      <c r="QIK50" s="9"/>
      <c r="QIL50" s="9"/>
      <c r="QIM50" s="9"/>
      <c r="QIN50" s="9"/>
      <c r="QIO50" s="9"/>
      <c r="QIP50" s="9"/>
      <c r="QIQ50" s="9"/>
      <c r="QIR50" s="9"/>
      <c r="QIS50" s="9"/>
      <c r="QIT50" s="9"/>
      <c r="QIU50" s="9"/>
      <c r="QIV50" s="9"/>
      <c r="QIW50" s="9"/>
      <c r="QIX50" s="9"/>
      <c r="QIY50" s="9"/>
      <c r="QIZ50" s="9"/>
      <c r="QJA50" s="9"/>
      <c r="QJB50" s="9"/>
      <c r="QJC50" s="9"/>
      <c r="QJD50" s="9"/>
      <c r="QJE50" s="9"/>
      <c r="QJF50" s="9"/>
      <c r="QJG50" s="9"/>
      <c r="QJH50" s="9"/>
      <c r="QJI50" s="9"/>
      <c r="QJJ50" s="9"/>
      <c r="QJK50" s="9"/>
      <c r="QJL50" s="9"/>
      <c r="QJM50" s="9"/>
      <c r="QJN50" s="9"/>
      <c r="QJO50" s="9"/>
      <c r="QJP50" s="9"/>
      <c r="QJQ50" s="9"/>
      <c r="QJR50" s="9"/>
      <c r="QJS50" s="9"/>
      <c r="QJT50" s="9"/>
      <c r="QJU50" s="9"/>
      <c r="QJV50" s="9"/>
      <c r="QJW50" s="9"/>
      <c r="QJX50" s="9"/>
      <c r="QJY50" s="9"/>
      <c r="QJZ50" s="9"/>
      <c r="QKA50" s="9"/>
      <c r="QKB50" s="9"/>
      <c r="QKC50" s="9"/>
      <c r="QKD50" s="9"/>
      <c r="QKE50" s="9"/>
      <c r="QKF50" s="9"/>
      <c r="QKG50" s="9"/>
      <c r="QKH50" s="9"/>
      <c r="QKI50" s="9"/>
      <c r="QKJ50" s="9"/>
      <c r="QKK50" s="9"/>
      <c r="QKL50" s="9"/>
      <c r="QKM50" s="9"/>
      <c r="QKN50" s="9"/>
      <c r="QKO50" s="9"/>
      <c r="QKP50" s="9"/>
      <c r="QKQ50" s="9"/>
      <c r="QKR50" s="9"/>
      <c r="QKS50" s="9"/>
      <c r="QKT50" s="9"/>
      <c r="QKU50" s="9"/>
      <c r="QKV50" s="9"/>
      <c r="QKW50" s="9"/>
      <c r="QKX50" s="9"/>
      <c r="QKY50" s="9"/>
      <c r="QKZ50" s="9"/>
      <c r="QLA50" s="9"/>
      <c r="QLB50" s="9"/>
      <c r="QLC50" s="9"/>
      <c r="QLD50" s="9"/>
      <c r="QLE50" s="9"/>
      <c r="QLF50" s="9"/>
      <c r="QLG50" s="9"/>
      <c r="QLH50" s="9"/>
      <c r="QLI50" s="9"/>
      <c r="QLJ50" s="9"/>
      <c r="QLK50" s="9"/>
      <c r="QLL50" s="9"/>
      <c r="QLM50" s="9"/>
      <c r="QLN50" s="9"/>
      <c r="QLO50" s="9"/>
      <c r="QLP50" s="9"/>
      <c r="QLQ50" s="9"/>
      <c r="QLR50" s="9"/>
      <c r="QLS50" s="9"/>
      <c r="QLT50" s="9"/>
      <c r="QLU50" s="9"/>
      <c r="QLV50" s="9"/>
      <c r="QLW50" s="9"/>
      <c r="QLX50" s="9"/>
      <c r="QLY50" s="9"/>
      <c r="QLZ50" s="9"/>
      <c r="QMA50" s="9"/>
      <c r="QMB50" s="9"/>
      <c r="QMC50" s="9"/>
      <c r="QMD50" s="9"/>
      <c r="QME50" s="9"/>
      <c r="QMF50" s="9"/>
      <c r="QMG50" s="9"/>
      <c r="QMH50" s="9"/>
      <c r="QMI50" s="9"/>
      <c r="QMJ50" s="9"/>
      <c r="QMK50" s="9"/>
      <c r="QML50" s="9"/>
      <c r="QMM50" s="9"/>
      <c r="QMN50" s="9"/>
      <c r="QMO50" s="9"/>
      <c r="QMP50" s="9"/>
      <c r="QMQ50" s="9"/>
      <c r="QMR50" s="9"/>
      <c r="QMS50" s="9"/>
      <c r="QMT50" s="9"/>
      <c r="QMU50" s="9"/>
      <c r="QMV50" s="9"/>
      <c r="QMW50" s="9"/>
      <c r="QMX50" s="9"/>
      <c r="QMY50" s="9"/>
      <c r="QMZ50" s="9"/>
      <c r="QNA50" s="9"/>
      <c r="QNB50" s="9"/>
      <c r="QNC50" s="9"/>
      <c r="QND50" s="9"/>
      <c r="QNE50" s="9"/>
      <c r="QNF50" s="9"/>
      <c r="QNG50" s="9"/>
      <c r="QNH50" s="9"/>
      <c r="QNI50" s="9"/>
      <c r="QNJ50" s="9"/>
      <c r="QNK50" s="9"/>
      <c r="QNL50" s="9"/>
      <c r="QNM50" s="9"/>
      <c r="QNN50" s="9"/>
      <c r="QNO50" s="9"/>
      <c r="QNP50" s="9"/>
      <c r="QNQ50" s="9"/>
      <c r="QNR50" s="9"/>
      <c r="QNS50" s="9"/>
      <c r="QNT50" s="9"/>
      <c r="QNU50" s="9"/>
      <c r="QNV50" s="9"/>
      <c r="QNW50" s="9"/>
      <c r="QNX50" s="9"/>
      <c r="QNY50" s="9"/>
      <c r="QNZ50" s="9"/>
      <c r="QOA50" s="9"/>
      <c r="QOB50" s="9"/>
      <c r="QOC50" s="9"/>
      <c r="QOD50" s="9"/>
      <c r="QOE50" s="9"/>
      <c r="QOF50" s="9"/>
      <c r="QOG50" s="9"/>
      <c r="QOH50" s="9"/>
      <c r="QOI50" s="9"/>
      <c r="QOJ50" s="9"/>
      <c r="QOK50" s="9"/>
      <c r="QOL50" s="9"/>
      <c r="QOM50" s="9"/>
      <c r="QON50" s="9"/>
      <c r="QOO50" s="9"/>
      <c r="QOP50" s="9"/>
      <c r="QOQ50" s="9"/>
      <c r="QOR50" s="9"/>
      <c r="QOS50" s="9"/>
      <c r="QOT50" s="9"/>
      <c r="QOU50" s="9"/>
      <c r="QOV50" s="9"/>
      <c r="QOW50" s="9"/>
      <c r="QOX50" s="9"/>
      <c r="QOY50" s="9"/>
      <c r="QOZ50" s="9"/>
      <c r="QPA50" s="9"/>
      <c r="QPB50" s="9"/>
      <c r="QPC50" s="9"/>
      <c r="QPD50" s="9"/>
      <c r="QPE50" s="9"/>
      <c r="QPF50" s="9"/>
      <c r="QPG50" s="9"/>
      <c r="QPH50" s="9"/>
      <c r="QPI50" s="9"/>
      <c r="QPJ50" s="9"/>
      <c r="QPK50" s="9"/>
      <c r="QPL50" s="9"/>
      <c r="QPM50" s="9"/>
      <c r="QPN50" s="9"/>
      <c r="QPO50" s="9"/>
      <c r="QPP50" s="9"/>
      <c r="QPQ50" s="9"/>
      <c r="QPR50" s="9"/>
      <c r="QPS50" s="9"/>
      <c r="QPT50" s="9"/>
      <c r="QPU50" s="9"/>
      <c r="QPV50" s="9"/>
      <c r="QPW50" s="9"/>
      <c r="QPX50" s="9"/>
      <c r="QPY50" s="9"/>
      <c r="QPZ50" s="9"/>
      <c r="QQA50" s="9"/>
      <c r="QQB50" s="9"/>
      <c r="QQC50" s="9"/>
      <c r="QQD50" s="9"/>
      <c r="QQE50" s="9"/>
      <c r="QQF50" s="9"/>
      <c r="QQG50" s="9"/>
      <c r="QQH50" s="9"/>
      <c r="QQI50" s="9"/>
      <c r="QQJ50" s="9"/>
      <c r="QQK50" s="9"/>
      <c r="QQL50" s="9"/>
      <c r="QQM50" s="9"/>
      <c r="QQN50" s="9"/>
      <c r="QQO50" s="9"/>
      <c r="QQP50" s="9"/>
      <c r="QQQ50" s="9"/>
      <c r="QQR50" s="9"/>
      <c r="QQS50" s="9"/>
      <c r="QQT50" s="9"/>
      <c r="QQU50" s="9"/>
      <c r="QQV50" s="9"/>
      <c r="QQW50" s="9"/>
      <c r="QQX50" s="9"/>
      <c r="QQY50" s="9"/>
      <c r="QQZ50" s="9"/>
      <c r="QRA50" s="9"/>
      <c r="QRB50" s="9"/>
      <c r="QRC50" s="9"/>
      <c r="QRD50" s="9"/>
      <c r="QRE50" s="9"/>
      <c r="QRF50" s="9"/>
      <c r="QRG50" s="9"/>
      <c r="QRH50" s="9"/>
      <c r="QRI50" s="9"/>
      <c r="QRJ50" s="9"/>
      <c r="QRK50" s="9"/>
      <c r="QRL50" s="9"/>
      <c r="QRM50" s="9"/>
      <c r="QRN50" s="9"/>
      <c r="QRO50" s="9"/>
      <c r="QRP50" s="9"/>
      <c r="QRQ50" s="9"/>
      <c r="QRR50" s="9"/>
      <c r="QRS50" s="9"/>
      <c r="QRT50" s="9"/>
      <c r="QRU50" s="9"/>
      <c r="QRV50" s="9"/>
      <c r="QRW50" s="9"/>
      <c r="QRX50" s="9"/>
      <c r="QRY50" s="9"/>
      <c r="QRZ50" s="9"/>
      <c r="QSA50" s="9"/>
      <c r="QSB50" s="9"/>
      <c r="QSC50" s="9"/>
      <c r="QSD50" s="9"/>
      <c r="QSE50" s="9"/>
      <c r="QSF50" s="9"/>
      <c r="QSG50" s="9"/>
      <c r="QSH50" s="9"/>
      <c r="QSI50" s="9"/>
      <c r="QSJ50" s="9"/>
      <c r="QSK50" s="9"/>
      <c r="QSL50" s="9"/>
      <c r="QSM50" s="9"/>
      <c r="QSN50" s="9"/>
      <c r="QSO50" s="9"/>
      <c r="QSP50" s="9"/>
      <c r="QSQ50" s="9"/>
      <c r="QSR50" s="9"/>
      <c r="QSS50" s="9"/>
      <c r="QST50" s="9"/>
      <c r="QSU50" s="9"/>
      <c r="QSV50" s="9"/>
      <c r="QSW50" s="9"/>
      <c r="QSX50" s="9"/>
      <c r="QSY50" s="9"/>
      <c r="QSZ50" s="9"/>
      <c r="QTA50" s="9"/>
      <c r="QTB50" s="9"/>
      <c r="QTC50" s="9"/>
      <c r="QTD50" s="9"/>
      <c r="QTE50" s="9"/>
      <c r="QTF50" s="9"/>
      <c r="QTG50" s="9"/>
      <c r="QTH50" s="9"/>
      <c r="QTI50" s="9"/>
      <c r="QTJ50" s="9"/>
      <c r="QTK50" s="9"/>
      <c r="QTL50" s="9"/>
      <c r="QTM50" s="9"/>
      <c r="QTN50" s="9"/>
      <c r="QTO50" s="9"/>
      <c r="QTP50" s="9"/>
      <c r="QTQ50" s="9"/>
      <c r="QTR50" s="9"/>
      <c r="QTS50" s="9"/>
      <c r="QTT50" s="9"/>
      <c r="QTU50" s="9"/>
      <c r="QTV50" s="9"/>
      <c r="QTW50" s="9"/>
      <c r="QTX50" s="9"/>
      <c r="QTY50" s="9"/>
      <c r="QTZ50" s="9"/>
      <c r="QUA50" s="9"/>
      <c r="QUB50" s="9"/>
      <c r="QUC50" s="9"/>
      <c r="QUD50" s="9"/>
      <c r="QUE50" s="9"/>
      <c r="QUF50" s="9"/>
      <c r="QUG50" s="9"/>
      <c r="QUH50" s="9"/>
      <c r="QUI50" s="9"/>
      <c r="QUJ50" s="9"/>
      <c r="QUK50" s="9"/>
      <c r="QUL50" s="9"/>
      <c r="QUM50" s="9"/>
      <c r="QUN50" s="9"/>
      <c r="QUO50" s="9"/>
      <c r="QUP50" s="9"/>
      <c r="QUQ50" s="9"/>
      <c r="QUR50" s="9"/>
      <c r="QUS50" s="9"/>
      <c r="QUT50" s="9"/>
      <c r="QUU50" s="9"/>
      <c r="QUV50" s="9"/>
      <c r="QUW50" s="9"/>
      <c r="QUX50" s="9"/>
      <c r="QUY50" s="9"/>
      <c r="QUZ50" s="9"/>
      <c r="QVA50" s="9"/>
      <c r="QVB50" s="9"/>
      <c r="QVC50" s="9"/>
      <c r="QVD50" s="9"/>
      <c r="QVE50" s="9"/>
      <c r="QVF50" s="9"/>
      <c r="QVG50" s="9"/>
      <c r="QVH50" s="9"/>
      <c r="QVI50" s="9"/>
      <c r="QVJ50" s="9"/>
      <c r="QVK50" s="9"/>
      <c r="QVL50" s="9"/>
      <c r="QVM50" s="9"/>
      <c r="QVN50" s="9"/>
      <c r="QVO50" s="9"/>
      <c r="QVP50" s="9"/>
      <c r="QVQ50" s="9"/>
      <c r="QVR50" s="9"/>
      <c r="QVS50" s="9"/>
      <c r="QVT50" s="9"/>
      <c r="QVU50" s="9"/>
      <c r="QVV50" s="9"/>
      <c r="QVW50" s="9"/>
      <c r="QVX50" s="9"/>
      <c r="QVY50" s="9"/>
      <c r="QVZ50" s="9"/>
      <c r="QWA50" s="9"/>
      <c r="QWB50" s="9"/>
      <c r="QWC50" s="9"/>
      <c r="QWD50" s="9"/>
      <c r="QWE50" s="9"/>
      <c r="QWF50" s="9"/>
      <c r="QWG50" s="9"/>
      <c r="QWH50" s="9"/>
      <c r="QWI50" s="9"/>
      <c r="QWJ50" s="9"/>
      <c r="QWK50" s="9"/>
      <c r="QWL50" s="9"/>
      <c r="QWM50" s="9"/>
      <c r="QWN50" s="9"/>
      <c r="QWO50" s="9"/>
      <c r="QWP50" s="9"/>
      <c r="QWQ50" s="9"/>
      <c r="QWR50" s="9"/>
      <c r="QWS50" s="9"/>
      <c r="QWT50" s="9"/>
      <c r="QWU50" s="9"/>
      <c r="QWV50" s="9"/>
      <c r="QWW50" s="9"/>
      <c r="QWX50" s="9"/>
      <c r="QWY50" s="9"/>
      <c r="QWZ50" s="9"/>
      <c r="QXA50" s="9"/>
      <c r="QXB50" s="9"/>
      <c r="QXC50" s="9"/>
      <c r="QXD50" s="9"/>
      <c r="QXE50" s="9"/>
      <c r="QXF50" s="9"/>
      <c r="QXG50" s="9"/>
      <c r="QXH50" s="9"/>
      <c r="QXI50" s="9"/>
      <c r="QXJ50" s="9"/>
      <c r="QXK50" s="9"/>
      <c r="QXL50" s="9"/>
      <c r="QXM50" s="9"/>
      <c r="QXN50" s="9"/>
      <c r="QXO50" s="9"/>
      <c r="QXP50" s="9"/>
      <c r="QXQ50" s="9"/>
      <c r="QXR50" s="9"/>
      <c r="QXS50" s="9"/>
      <c r="QXT50" s="9"/>
      <c r="QXU50" s="9"/>
      <c r="QXV50" s="9"/>
      <c r="QXW50" s="9"/>
      <c r="QXX50" s="9"/>
      <c r="QXY50" s="9"/>
      <c r="QXZ50" s="9"/>
      <c r="QYA50" s="9"/>
      <c r="QYB50" s="9"/>
      <c r="QYC50" s="9"/>
      <c r="QYD50" s="9"/>
      <c r="QYE50" s="9"/>
      <c r="QYF50" s="9"/>
      <c r="QYG50" s="9"/>
      <c r="QYH50" s="9"/>
      <c r="QYI50" s="9"/>
      <c r="QYJ50" s="9"/>
      <c r="QYK50" s="9"/>
      <c r="QYL50" s="9"/>
      <c r="QYM50" s="9"/>
      <c r="QYN50" s="9"/>
      <c r="QYO50" s="9"/>
      <c r="QYP50" s="9"/>
      <c r="QYQ50" s="9"/>
      <c r="QYR50" s="9"/>
      <c r="QYS50" s="9"/>
      <c r="QYT50" s="9"/>
      <c r="QYU50" s="9"/>
      <c r="QYV50" s="9"/>
      <c r="QYW50" s="9"/>
      <c r="QYX50" s="9"/>
      <c r="QYY50" s="9"/>
      <c r="QYZ50" s="9"/>
      <c r="QZA50" s="9"/>
      <c r="QZB50" s="9"/>
      <c r="QZC50" s="9"/>
      <c r="QZD50" s="9"/>
      <c r="QZE50" s="9"/>
      <c r="QZF50" s="9"/>
      <c r="QZG50" s="9"/>
      <c r="QZH50" s="9"/>
      <c r="QZI50" s="9"/>
      <c r="QZJ50" s="9"/>
      <c r="QZK50" s="9"/>
      <c r="QZL50" s="9"/>
      <c r="QZM50" s="9"/>
      <c r="QZN50" s="9"/>
      <c r="QZO50" s="9"/>
      <c r="QZP50" s="9"/>
      <c r="QZQ50" s="9"/>
      <c r="QZR50" s="9"/>
      <c r="QZS50" s="9"/>
      <c r="QZT50" s="9"/>
      <c r="QZU50" s="9"/>
      <c r="QZV50" s="9"/>
      <c r="QZW50" s="9"/>
      <c r="QZX50" s="9"/>
      <c r="QZY50" s="9"/>
      <c r="QZZ50" s="9"/>
      <c r="RAA50" s="9"/>
      <c r="RAB50" s="9"/>
      <c r="RAC50" s="9"/>
      <c r="RAD50" s="9"/>
      <c r="RAE50" s="9"/>
      <c r="RAF50" s="9"/>
      <c r="RAG50" s="9"/>
      <c r="RAH50" s="9"/>
      <c r="RAI50" s="9"/>
      <c r="RAJ50" s="9"/>
      <c r="RAK50" s="9"/>
      <c r="RAL50" s="9"/>
      <c r="RAM50" s="9"/>
      <c r="RAN50" s="9"/>
      <c r="RAO50" s="9"/>
      <c r="RAP50" s="9"/>
      <c r="RAQ50" s="9"/>
      <c r="RAR50" s="9"/>
      <c r="RAS50" s="9"/>
      <c r="RAT50" s="9"/>
      <c r="RAU50" s="9"/>
      <c r="RAV50" s="9"/>
      <c r="RAW50" s="9"/>
      <c r="RAX50" s="9"/>
      <c r="RAY50" s="9"/>
      <c r="RAZ50" s="9"/>
      <c r="RBA50" s="9"/>
      <c r="RBB50" s="9"/>
      <c r="RBC50" s="9"/>
      <c r="RBD50" s="9"/>
      <c r="RBE50" s="9"/>
      <c r="RBF50" s="9"/>
      <c r="RBG50" s="9"/>
      <c r="RBH50" s="9"/>
      <c r="RBI50" s="9"/>
      <c r="RBJ50" s="9"/>
      <c r="RBK50" s="9"/>
      <c r="RBL50" s="9"/>
      <c r="RBM50" s="9"/>
      <c r="RBN50" s="9"/>
      <c r="RBO50" s="9"/>
      <c r="RBP50" s="9"/>
      <c r="RBQ50" s="9"/>
      <c r="RBR50" s="9"/>
      <c r="RBS50" s="9"/>
      <c r="RBT50" s="9"/>
      <c r="RBU50" s="9"/>
      <c r="RBV50" s="9"/>
      <c r="RBW50" s="9"/>
      <c r="RBX50" s="9"/>
      <c r="RBY50" s="9"/>
      <c r="RBZ50" s="9"/>
      <c r="RCA50" s="9"/>
      <c r="RCB50" s="9"/>
      <c r="RCC50" s="9"/>
      <c r="RCD50" s="9"/>
      <c r="RCE50" s="9"/>
      <c r="RCF50" s="9"/>
      <c r="RCG50" s="9"/>
      <c r="RCH50" s="9"/>
      <c r="RCI50" s="9"/>
      <c r="RCJ50" s="9"/>
      <c r="RCK50" s="9"/>
      <c r="RCL50" s="9"/>
      <c r="RCM50" s="9"/>
      <c r="RCN50" s="9"/>
      <c r="RCO50" s="9"/>
      <c r="RCP50" s="9"/>
      <c r="RCQ50" s="9"/>
      <c r="RCR50" s="9"/>
      <c r="RCS50" s="9"/>
      <c r="RCT50" s="9"/>
      <c r="RCU50" s="9"/>
      <c r="RCV50" s="9"/>
      <c r="RCW50" s="9"/>
      <c r="RCX50" s="9"/>
      <c r="RCY50" s="9"/>
      <c r="RCZ50" s="9"/>
      <c r="RDA50" s="9"/>
      <c r="RDB50" s="9"/>
      <c r="RDC50" s="9"/>
      <c r="RDD50" s="9"/>
      <c r="RDE50" s="9"/>
      <c r="RDF50" s="9"/>
      <c r="RDG50" s="9"/>
      <c r="RDH50" s="9"/>
      <c r="RDI50" s="9"/>
      <c r="RDJ50" s="9"/>
      <c r="RDK50" s="9"/>
      <c r="RDL50" s="9"/>
      <c r="RDM50" s="9"/>
      <c r="RDN50" s="9"/>
      <c r="RDO50" s="9"/>
      <c r="RDP50" s="9"/>
      <c r="RDQ50" s="9"/>
      <c r="RDR50" s="9"/>
      <c r="RDS50" s="9"/>
      <c r="RDT50" s="9"/>
      <c r="RDU50" s="9"/>
      <c r="RDV50" s="9"/>
      <c r="RDW50" s="9"/>
      <c r="RDX50" s="9"/>
      <c r="RDY50" s="9"/>
      <c r="RDZ50" s="9"/>
      <c r="REA50" s="9"/>
      <c r="REB50" s="9"/>
      <c r="REC50" s="9"/>
      <c r="RED50" s="9"/>
      <c r="REE50" s="9"/>
      <c r="REF50" s="9"/>
      <c r="REG50" s="9"/>
      <c r="REH50" s="9"/>
      <c r="REI50" s="9"/>
      <c r="REJ50" s="9"/>
      <c r="REK50" s="9"/>
      <c r="REL50" s="9"/>
      <c r="REM50" s="9"/>
      <c r="REN50" s="9"/>
      <c r="REO50" s="9"/>
      <c r="REP50" s="9"/>
      <c r="REQ50" s="9"/>
      <c r="RER50" s="9"/>
      <c r="RES50" s="9"/>
      <c r="RET50" s="9"/>
      <c r="REU50" s="9"/>
      <c r="REV50" s="9"/>
      <c r="REW50" s="9"/>
      <c r="REX50" s="9"/>
      <c r="REY50" s="9"/>
      <c r="REZ50" s="9"/>
      <c r="RFA50" s="9"/>
      <c r="RFB50" s="9"/>
      <c r="RFC50" s="9"/>
      <c r="RFD50" s="9"/>
      <c r="RFE50" s="9"/>
      <c r="RFF50" s="9"/>
      <c r="RFG50" s="9"/>
      <c r="RFH50" s="9"/>
      <c r="RFI50" s="9"/>
      <c r="RFJ50" s="9"/>
      <c r="RFK50" s="9"/>
      <c r="RFL50" s="9"/>
      <c r="RFM50" s="9"/>
      <c r="RFN50" s="9"/>
      <c r="RFO50" s="9"/>
      <c r="RFP50" s="9"/>
      <c r="RFQ50" s="9"/>
      <c r="RFR50" s="9"/>
      <c r="RFS50" s="9"/>
      <c r="RFT50" s="9"/>
      <c r="RFU50" s="9"/>
      <c r="RFV50" s="9"/>
      <c r="RFW50" s="9"/>
      <c r="RFX50" s="9"/>
      <c r="RFY50" s="9"/>
      <c r="RFZ50" s="9"/>
      <c r="RGA50" s="9"/>
      <c r="RGB50" s="9"/>
      <c r="RGC50" s="9"/>
      <c r="RGD50" s="9"/>
      <c r="RGE50" s="9"/>
      <c r="RGF50" s="9"/>
      <c r="RGG50" s="9"/>
      <c r="RGH50" s="9"/>
      <c r="RGI50" s="9"/>
      <c r="RGJ50" s="9"/>
      <c r="RGK50" s="9"/>
      <c r="RGL50" s="9"/>
      <c r="RGM50" s="9"/>
      <c r="RGN50" s="9"/>
      <c r="RGO50" s="9"/>
      <c r="RGP50" s="9"/>
      <c r="RGQ50" s="9"/>
      <c r="RGR50" s="9"/>
      <c r="RGS50" s="9"/>
      <c r="RGT50" s="9"/>
      <c r="RGU50" s="9"/>
      <c r="RGV50" s="9"/>
      <c r="RGW50" s="9"/>
      <c r="RGX50" s="9"/>
      <c r="RGY50" s="9"/>
      <c r="RGZ50" s="9"/>
      <c r="RHA50" s="9"/>
      <c r="RHB50" s="9"/>
      <c r="RHC50" s="9"/>
      <c r="RHD50" s="9"/>
      <c r="RHE50" s="9"/>
      <c r="RHF50" s="9"/>
      <c r="RHG50" s="9"/>
      <c r="RHH50" s="9"/>
      <c r="RHI50" s="9"/>
      <c r="RHJ50" s="9"/>
      <c r="RHK50" s="9"/>
      <c r="RHL50" s="9"/>
      <c r="RHM50" s="9"/>
      <c r="RHN50" s="9"/>
      <c r="RHO50" s="9"/>
      <c r="RHP50" s="9"/>
      <c r="RHQ50" s="9"/>
      <c r="RHR50" s="9"/>
      <c r="RHS50" s="9"/>
      <c r="RHT50" s="9"/>
      <c r="RHU50" s="9"/>
      <c r="RHV50" s="9"/>
      <c r="RHW50" s="9"/>
      <c r="RHX50" s="9"/>
      <c r="RHY50" s="9"/>
      <c r="RHZ50" s="9"/>
      <c r="RIA50" s="9"/>
      <c r="RIB50" s="9"/>
      <c r="RIC50" s="9"/>
      <c r="RID50" s="9"/>
      <c r="RIE50" s="9"/>
      <c r="RIF50" s="9"/>
      <c r="RIG50" s="9"/>
      <c r="RIH50" s="9"/>
      <c r="RII50" s="9"/>
      <c r="RIJ50" s="9"/>
      <c r="RIK50" s="9"/>
      <c r="RIL50" s="9"/>
      <c r="RIM50" s="9"/>
      <c r="RIN50" s="9"/>
      <c r="RIO50" s="9"/>
      <c r="RIP50" s="9"/>
      <c r="RIQ50" s="9"/>
      <c r="RIR50" s="9"/>
      <c r="RIS50" s="9"/>
      <c r="RIT50" s="9"/>
      <c r="RIU50" s="9"/>
      <c r="RIV50" s="9"/>
      <c r="RIW50" s="9"/>
      <c r="RIX50" s="9"/>
      <c r="RIY50" s="9"/>
      <c r="RIZ50" s="9"/>
      <c r="RJA50" s="9"/>
      <c r="RJB50" s="9"/>
      <c r="RJC50" s="9"/>
      <c r="RJD50" s="9"/>
      <c r="RJE50" s="9"/>
      <c r="RJF50" s="9"/>
      <c r="RJG50" s="9"/>
      <c r="RJH50" s="9"/>
      <c r="RJI50" s="9"/>
      <c r="RJJ50" s="9"/>
      <c r="RJK50" s="9"/>
      <c r="RJL50" s="9"/>
      <c r="RJM50" s="9"/>
      <c r="RJN50" s="9"/>
      <c r="RJO50" s="9"/>
      <c r="RJP50" s="9"/>
      <c r="RJQ50" s="9"/>
      <c r="RJR50" s="9"/>
      <c r="RJS50" s="9"/>
      <c r="RJT50" s="9"/>
      <c r="RJU50" s="9"/>
      <c r="RJV50" s="9"/>
      <c r="RJW50" s="9"/>
      <c r="RJX50" s="9"/>
      <c r="RJY50" s="9"/>
      <c r="RJZ50" s="9"/>
      <c r="RKA50" s="9"/>
      <c r="RKB50" s="9"/>
      <c r="RKC50" s="9"/>
      <c r="RKD50" s="9"/>
      <c r="RKE50" s="9"/>
      <c r="RKF50" s="9"/>
      <c r="RKG50" s="9"/>
      <c r="RKH50" s="9"/>
      <c r="RKI50" s="9"/>
      <c r="RKJ50" s="9"/>
      <c r="RKK50" s="9"/>
      <c r="RKL50" s="9"/>
      <c r="RKM50" s="9"/>
      <c r="RKN50" s="9"/>
      <c r="RKO50" s="9"/>
      <c r="RKP50" s="9"/>
      <c r="RKQ50" s="9"/>
      <c r="RKR50" s="9"/>
      <c r="RKS50" s="9"/>
      <c r="RKT50" s="9"/>
      <c r="RKU50" s="9"/>
      <c r="RKV50" s="9"/>
      <c r="RKW50" s="9"/>
      <c r="RKX50" s="9"/>
      <c r="RKY50" s="9"/>
      <c r="RKZ50" s="9"/>
      <c r="RLA50" s="9"/>
      <c r="RLB50" s="9"/>
      <c r="RLC50" s="9"/>
      <c r="RLD50" s="9"/>
      <c r="RLE50" s="9"/>
      <c r="RLF50" s="9"/>
      <c r="RLG50" s="9"/>
      <c r="RLH50" s="9"/>
      <c r="RLI50" s="9"/>
      <c r="RLJ50" s="9"/>
      <c r="RLK50" s="9"/>
      <c r="RLL50" s="9"/>
      <c r="RLM50" s="9"/>
      <c r="RLN50" s="9"/>
      <c r="RLO50" s="9"/>
      <c r="RLP50" s="9"/>
      <c r="RLQ50" s="9"/>
      <c r="RLR50" s="9"/>
      <c r="RLS50" s="9"/>
      <c r="RLT50" s="9"/>
      <c r="RLU50" s="9"/>
      <c r="RLV50" s="9"/>
      <c r="RLW50" s="9"/>
      <c r="RLX50" s="9"/>
      <c r="RLY50" s="9"/>
      <c r="RLZ50" s="9"/>
      <c r="RMA50" s="9"/>
      <c r="RMB50" s="9"/>
      <c r="RMC50" s="9"/>
      <c r="RMD50" s="9"/>
      <c r="RME50" s="9"/>
      <c r="RMF50" s="9"/>
      <c r="RMG50" s="9"/>
      <c r="RMH50" s="9"/>
      <c r="RMI50" s="9"/>
      <c r="RMJ50" s="9"/>
      <c r="RMK50" s="9"/>
      <c r="RML50" s="9"/>
      <c r="RMM50" s="9"/>
      <c r="RMN50" s="9"/>
      <c r="RMO50" s="9"/>
      <c r="RMP50" s="9"/>
      <c r="RMQ50" s="9"/>
      <c r="RMR50" s="9"/>
      <c r="RMS50" s="9"/>
      <c r="RMT50" s="9"/>
      <c r="RMU50" s="9"/>
      <c r="RMV50" s="9"/>
      <c r="RMW50" s="9"/>
      <c r="RMX50" s="9"/>
      <c r="RMY50" s="9"/>
      <c r="RMZ50" s="9"/>
      <c r="RNA50" s="9"/>
      <c r="RNB50" s="9"/>
      <c r="RNC50" s="9"/>
      <c r="RND50" s="9"/>
      <c r="RNE50" s="9"/>
      <c r="RNF50" s="9"/>
      <c r="RNG50" s="9"/>
      <c r="RNH50" s="9"/>
      <c r="RNI50" s="9"/>
      <c r="RNJ50" s="9"/>
      <c r="RNK50" s="9"/>
      <c r="RNL50" s="9"/>
      <c r="RNM50" s="9"/>
      <c r="RNN50" s="9"/>
      <c r="RNO50" s="9"/>
      <c r="RNP50" s="9"/>
      <c r="RNQ50" s="9"/>
      <c r="RNR50" s="9"/>
      <c r="RNS50" s="9"/>
      <c r="RNT50" s="9"/>
      <c r="RNU50" s="9"/>
      <c r="RNV50" s="9"/>
      <c r="RNW50" s="9"/>
      <c r="RNX50" s="9"/>
      <c r="RNY50" s="9"/>
      <c r="RNZ50" s="9"/>
      <c r="ROA50" s="9"/>
      <c r="ROB50" s="9"/>
      <c r="ROC50" s="9"/>
      <c r="ROD50" s="9"/>
      <c r="ROE50" s="9"/>
      <c r="ROF50" s="9"/>
      <c r="ROG50" s="9"/>
      <c r="ROH50" s="9"/>
      <c r="ROI50" s="9"/>
      <c r="ROJ50" s="9"/>
      <c r="ROK50" s="9"/>
      <c r="ROL50" s="9"/>
      <c r="ROM50" s="9"/>
      <c r="RON50" s="9"/>
      <c r="ROO50" s="9"/>
      <c r="ROP50" s="9"/>
      <c r="ROQ50" s="9"/>
      <c r="ROR50" s="9"/>
      <c r="ROS50" s="9"/>
      <c r="ROT50" s="9"/>
      <c r="ROU50" s="9"/>
      <c r="ROV50" s="9"/>
      <c r="ROW50" s="9"/>
      <c r="ROX50" s="9"/>
      <c r="ROY50" s="9"/>
      <c r="ROZ50" s="9"/>
      <c r="RPA50" s="9"/>
      <c r="RPB50" s="9"/>
      <c r="RPC50" s="9"/>
      <c r="RPD50" s="9"/>
      <c r="RPE50" s="9"/>
      <c r="RPF50" s="9"/>
      <c r="RPG50" s="9"/>
      <c r="RPH50" s="9"/>
      <c r="RPI50" s="9"/>
      <c r="RPJ50" s="9"/>
      <c r="RPK50" s="9"/>
      <c r="RPL50" s="9"/>
      <c r="RPM50" s="9"/>
      <c r="RPN50" s="9"/>
      <c r="RPO50" s="9"/>
      <c r="RPP50" s="9"/>
      <c r="RPQ50" s="9"/>
      <c r="RPR50" s="9"/>
      <c r="RPS50" s="9"/>
      <c r="RPT50" s="9"/>
      <c r="RPU50" s="9"/>
      <c r="RPV50" s="9"/>
      <c r="RPW50" s="9"/>
      <c r="RPX50" s="9"/>
      <c r="RPY50" s="9"/>
      <c r="RPZ50" s="9"/>
      <c r="RQA50" s="9"/>
      <c r="RQB50" s="9"/>
      <c r="RQC50" s="9"/>
      <c r="RQD50" s="9"/>
      <c r="RQE50" s="9"/>
      <c r="RQF50" s="9"/>
      <c r="RQG50" s="9"/>
      <c r="RQH50" s="9"/>
      <c r="RQI50" s="9"/>
      <c r="RQJ50" s="9"/>
      <c r="RQK50" s="9"/>
      <c r="RQL50" s="9"/>
      <c r="RQM50" s="9"/>
      <c r="RQN50" s="9"/>
      <c r="RQO50" s="9"/>
      <c r="RQP50" s="9"/>
      <c r="RQQ50" s="9"/>
      <c r="RQR50" s="9"/>
      <c r="RQS50" s="9"/>
      <c r="RQT50" s="9"/>
      <c r="RQU50" s="9"/>
      <c r="RQV50" s="9"/>
      <c r="RQW50" s="9"/>
      <c r="RQX50" s="9"/>
      <c r="RQY50" s="9"/>
      <c r="RQZ50" s="9"/>
      <c r="RRA50" s="9"/>
      <c r="RRB50" s="9"/>
      <c r="RRC50" s="9"/>
      <c r="RRD50" s="9"/>
      <c r="RRE50" s="9"/>
      <c r="RRF50" s="9"/>
      <c r="RRG50" s="9"/>
      <c r="RRH50" s="9"/>
      <c r="RRI50" s="9"/>
      <c r="RRJ50" s="9"/>
      <c r="RRK50" s="9"/>
      <c r="RRL50" s="9"/>
      <c r="RRM50" s="9"/>
      <c r="RRN50" s="9"/>
      <c r="RRO50" s="9"/>
      <c r="RRP50" s="9"/>
      <c r="RRQ50" s="9"/>
      <c r="RRR50" s="9"/>
      <c r="RRS50" s="9"/>
      <c r="RRT50" s="9"/>
      <c r="RRU50" s="9"/>
      <c r="RRV50" s="9"/>
      <c r="RRW50" s="9"/>
      <c r="RRX50" s="9"/>
      <c r="RRY50" s="9"/>
      <c r="RRZ50" s="9"/>
      <c r="RSA50" s="9"/>
      <c r="RSB50" s="9"/>
      <c r="RSC50" s="9"/>
      <c r="RSD50" s="9"/>
      <c r="RSE50" s="9"/>
      <c r="RSF50" s="9"/>
      <c r="RSG50" s="9"/>
      <c r="RSH50" s="9"/>
      <c r="RSI50" s="9"/>
      <c r="RSJ50" s="9"/>
      <c r="RSK50" s="9"/>
      <c r="RSL50" s="9"/>
      <c r="RSM50" s="9"/>
      <c r="RSN50" s="9"/>
      <c r="RSO50" s="9"/>
      <c r="RSP50" s="9"/>
      <c r="RSQ50" s="9"/>
      <c r="RSR50" s="9"/>
      <c r="RSS50" s="9"/>
      <c r="RST50" s="9"/>
      <c r="RSU50" s="9"/>
      <c r="RSV50" s="9"/>
      <c r="RSW50" s="9"/>
      <c r="RSX50" s="9"/>
      <c r="RSY50" s="9"/>
      <c r="RSZ50" s="9"/>
      <c r="RTA50" s="9"/>
      <c r="RTB50" s="9"/>
      <c r="RTC50" s="9"/>
      <c r="RTD50" s="9"/>
      <c r="RTE50" s="9"/>
      <c r="RTF50" s="9"/>
      <c r="RTG50" s="9"/>
      <c r="RTH50" s="9"/>
      <c r="RTI50" s="9"/>
      <c r="RTJ50" s="9"/>
      <c r="RTK50" s="9"/>
      <c r="RTL50" s="9"/>
      <c r="RTM50" s="9"/>
      <c r="RTN50" s="9"/>
      <c r="RTO50" s="9"/>
      <c r="RTP50" s="9"/>
      <c r="RTQ50" s="9"/>
      <c r="RTR50" s="9"/>
      <c r="RTS50" s="9"/>
      <c r="RTT50" s="9"/>
      <c r="RTU50" s="9"/>
      <c r="RTV50" s="9"/>
      <c r="RTW50" s="9"/>
      <c r="RTX50" s="9"/>
      <c r="RTY50" s="9"/>
      <c r="RTZ50" s="9"/>
      <c r="RUA50" s="9"/>
      <c r="RUB50" s="9"/>
      <c r="RUC50" s="9"/>
      <c r="RUD50" s="9"/>
      <c r="RUE50" s="9"/>
      <c r="RUF50" s="9"/>
      <c r="RUG50" s="9"/>
      <c r="RUH50" s="9"/>
      <c r="RUI50" s="9"/>
      <c r="RUJ50" s="9"/>
      <c r="RUK50" s="9"/>
      <c r="RUL50" s="9"/>
      <c r="RUM50" s="9"/>
      <c r="RUN50" s="9"/>
      <c r="RUO50" s="9"/>
      <c r="RUP50" s="9"/>
      <c r="RUQ50" s="9"/>
      <c r="RUR50" s="9"/>
      <c r="RUS50" s="9"/>
      <c r="RUT50" s="9"/>
      <c r="RUU50" s="9"/>
      <c r="RUV50" s="9"/>
      <c r="RUW50" s="9"/>
      <c r="RUX50" s="9"/>
      <c r="RUY50" s="9"/>
      <c r="RUZ50" s="9"/>
      <c r="RVA50" s="9"/>
      <c r="RVB50" s="9"/>
      <c r="RVC50" s="9"/>
      <c r="RVD50" s="9"/>
      <c r="RVE50" s="9"/>
      <c r="RVF50" s="9"/>
      <c r="RVG50" s="9"/>
      <c r="RVH50" s="9"/>
      <c r="RVI50" s="9"/>
      <c r="RVJ50" s="9"/>
      <c r="RVK50" s="9"/>
      <c r="RVL50" s="9"/>
      <c r="RVM50" s="9"/>
      <c r="RVN50" s="9"/>
      <c r="RVO50" s="9"/>
      <c r="RVP50" s="9"/>
      <c r="RVQ50" s="9"/>
      <c r="RVR50" s="9"/>
      <c r="RVS50" s="9"/>
      <c r="RVT50" s="9"/>
      <c r="RVU50" s="9"/>
      <c r="RVV50" s="9"/>
      <c r="RVW50" s="9"/>
      <c r="RVX50" s="9"/>
      <c r="RVY50" s="9"/>
      <c r="RVZ50" s="9"/>
      <c r="RWA50" s="9"/>
      <c r="RWB50" s="9"/>
      <c r="RWC50" s="9"/>
      <c r="RWD50" s="9"/>
      <c r="RWE50" s="9"/>
      <c r="RWF50" s="9"/>
      <c r="RWG50" s="9"/>
      <c r="RWH50" s="9"/>
      <c r="RWI50" s="9"/>
      <c r="RWJ50" s="9"/>
      <c r="RWK50" s="9"/>
      <c r="RWL50" s="9"/>
      <c r="RWM50" s="9"/>
      <c r="RWN50" s="9"/>
      <c r="RWO50" s="9"/>
      <c r="RWP50" s="9"/>
      <c r="RWQ50" s="9"/>
      <c r="RWR50" s="9"/>
      <c r="RWS50" s="9"/>
      <c r="RWT50" s="9"/>
      <c r="RWU50" s="9"/>
      <c r="RWV50" s="9"/>
      <c r="RWW50" s="9"/>
      <c r="RWX50" s="9"/>
      <c r="RWY50" s="9"/>
      <c r="RWZ50" s="9"/>
      <c r="RXA50" s="9"/>
      <c r="RXB50" s="9"/>
      <c r="RXC50" s="9"/>
      <c r="RXD50" s="9"/>
      <c r="RXE50" s="9"/>
      <c r="RXF50" s="9"/>
      <c r="RXG50" s="9"/>
      <c r="RXH50" s="9"/>
      <c r="RXI50" s="9"/>
      <c r="RXJ50" s="9"/>
      <c r="RXK50" s="9"/>
      <c r="RXL50" s="9"/>
      <c r="RXM50" s="9"/>
      <c r="RXN50" s="9"/>
      <c r="RXO50" s="9"/>
      <c r="RXP50" s="9"/>
      <c r="RXQ50" s="9"/>
      <c r="RXR50" s="9"/>
      <c r="RXS50" s="9"/>
      <c r="RXT50" s="9"/>
      <c r="RXU50" s="9"/>
      <c r="RXV50" s="9"/>
      <c r="RXW50" s="9"/>
      <c r="RXX50" s="9"/>
      <c r="RXY50" s="9"/>
      <c r="RXZ50" s="9"/>
      <c r="RYA50" s="9"/>
      <c r="RYB50" s="9"/>
      <c r="RYC50" s="9"/>
      <c r="RYD50" s="9"/>
      <c r="RYE50" s="9"/>
      <c r="RYF50" s="9"/>
      <c r="RYG50" s="9"/>
      <c r="RYH50" s="9"/>
      <c r="RYI50" s="9"/>
      <c r="RYJ50" s="9"/>
      <c r="RYK50" s="9"/>
      <c r="RYL50" s="9"/>
      <c r="RYM50" s="9"/>
      <c r="RYN50" s="9"/>
      <c r="RYO50" s="9"/>
      <c r="RYP50" s="9"/>
      <c r="RYQ50" s="9"/>
      <c r="RYR50" s="9"/>
      <c r="RYS50" s="9"/>
      <c r="RYT50" s="9"/>
      <c r="RYU50" s="9"/>
      <c r="RYV50" s="9"/>
      <c r="RYW50" s="9"/>
      <c r="RYX50" s="9"/>
      <c r="RYY50" s="9"/>
      <c r="RYZ50" s="9"/>
      <c r="RZA50" s="9"/>
      <c r="RZB50" s="9"/>
      <c r="RZC50" s="9"/>
      <c r="RZD50" s="9"/>
      <c r="RZE50" s="9"/>
      <c r="RZF50" s="9"/>
      <c r="RZG50" s="9"/>
      <c r="RZH50" s="9"/>
      <c r="RZI50" s="9"/>
      <c r="RZJ50" s="9"/>
      <c r="RZK50" s="9"/>
      <c r="RZL50" s="9"/>
      <c r="RZM50" s="9"/>
      <c r="RZN50" s="9"/>
      <c r="RZO50" s="9"/>
      <c r="RZP50" s="9"/>
      <c r="RZQ50" s="9"/>
      <c r="RZR50" s="9"/>
      <c r="RZS50" s="9"/>
      <c r="RZT50" s="9"/>
      <c r="RZU50" s="9"/>
      <c r="RZV50" s="9"/>
      <c r="RZW50" s="9"/>
      <c r="RZX50" s="9"/>
      <c r="RZY50" s="9"/>
      <c r="RZZ50" s="9"/>
      <c r="SAA50" s="9"/>
      <c r="SAB50" s="9"/>
      <c r="SAC50" s="9"/>
      <c r="SAD50" s="9"/>
      <c r="SAE50" s="9"/>
      <c r="SAF50" s="9"/>
      <c r="SAG50" s="9"/>
      <c r="SAH50" s="9"/>
      <c r="SAI50" s="9"/>
      <c r="SAJ50" s="9"/>
      <c r="SAK50" s="9"/>
      <c r="SAL50" s="9"/>
      <c r="SAM50" s="9"/>
      <c r="SAN50" s="9"/>
      <c r="SAO50" s="9"/>
      <c r="SAP50" s="9"/>
      <c r="SAQ50" s="9"/>
      <c r="SAR50" s="9"/>
      <c r="SAS50" s="9"/>
      <c r="SAT50" s="9"/>
      <c r="SAU50" s="9"/>
      <c r="SAV50" s="9"/>
      <c r="SAW50" s="9"/>
      <c r="SAX50" s="9"/>
      <c r="SAY50" s="9"/>
      <c r="SAZ50" s="9"/>
      <c r="SBA50" s="9"/>
      <c r="SBB50" s="9"/>
      <c r="SBC50" s="9"/>
      <c r="SBD50" s="9"/>
      <c r="SBE50" s="9"/>
      <c r="SBF50" s="9"/>
      <c r="SBG50" s="9"/>
      <c r="SBH50" s="9"/>
      <c r="SBI50" s="9"/>
      <c r="SBJ50" s="9"/>
      <c r="SBK50" s="9"/>
      <c r="SBL50" s="9"/>
      <c r="SBM50" s="9"/>
      <c r="SBN50" s="9"/>
      <c r="SBO50" s="9"/>
      <c r="SBP50" s="9"/>
      <c r="SBQ50" s="9"/>
      <c r="SBR50" s="9"/>
      <c r="SBS50" s="9"/>
      <c r="SBT50" s="9"/>
      <c r="SBU50" s="9"/>
      <c r="SBV50" s="9"/>
      <c r="SBW50" s="9"/>
      <c r="SBX50" s="9"/>
      <c r="SBY50" s="9"/>
      <c r="SBZ50" s="9"/>
      <c r="SCA50" s="9"/>
      <c r="SCB50" s="9"/>
      <c r="SCC50" s="9"/>
      <c r="SCD50" s="9"/>
      <c r="SCE50" s="9"/>
      <c r="SCF50" s="9"/>
      <c r="SCG50" s="9"/>
      <c r="SCH50" s="9"/>
      <c r="SCI50" s="9"/>
      <c r="SCJ50" s="9"/>
      <c r="SCK50" s="9"/>
      <c r="SCL50" s="9"/>
      <c r="SCM50" s="9"/>
      <c r="SCN50" s="9"/>
      <c r="SCO50" s="9"/>
      <c r="SCP50" s="9"/>
      <c r="SCQ50" s="9"/>
      <c r="SCR50" s="9"/>
      <c r="SCS50" s="9"/>
      <c r="SCT50" s="9"/>
      <c r="SCU50" s="9"/>
      <c r="SCV50" s="9"/>
      <c r="SCW50" s="9"/>
      <c r="SCX50" s="9"/>
      <c r="SCY50" s="9"/>
      <c r="SCZ50" s="9"/>
      <c r="SDA50" s="9"/>
      <c r="SDB50" s="9"/>
      <c r="SDC50" s="9"/>
      <c r="SDD50" s="9"/>
      <c r="SDE50" s="9"/>
      <c r="SDF50" s="9"/>
      <c r="SDG50" s="9"/>
      <c r="SDH50" s="9"/>
      <c r="SDI50" s="9"/>
      <c r="SDJ50" s="9"/>
      <c r="SDK50" s="9"/>
      <c r="SDL50" s="9"/>
      <c r="SDM50" s="9"/>
      <c r="SDN50" s="9"/>
      <c r="SDO50" s="9"/>
      <c r="SDP50" s="9"/>
      <c r="SDQ50" s="9"/>
      <c r="SDR50" s="9"/>
      <c r="SDS50" s="9"/>
      <c r="SDT50" s="9"/>
      <c r="SDU50" s="9"/>
      <c r="SDV50" s="9"/>
      <c r="SDW50" s="9"/>
      <c r="SDX50" s="9"/>
      <c r="SDY50" s="9"/>
      <c r="SDZ50" s="9"/>
      <c r="SEA50" s="9"/>
      <c r="SEB50" s="9"/>
      <c r="SEC50" s="9"/>
      <c r="SED50" s="9"/>
      <c r="SEE50" s="9"/>
      <c r="SEF50" s="9"/>
      <c r="SEG50" s="9"/>
      <c r="SEH50" s="9"/>
      <c r="SEI50" s="9"/>
      <c r="SEJ50" s="9"/>
      <c r="SEK50" s="9"/>
      <c r="SEL50" s="9"/>
      <c r="SEM50" s="9"/>
      <c r="SEN50" s="9"/>
      <c r="SEO50" s="9"/>
      <c r="SEP50" s="9"/>
      <c r="SEQ50" s="9"/>
      <c r="SER50" s="9"/>
      <c r="SES50" s="9"/>
      <c r="SET50" s="9"/>
      <c r="SEU50" s="9"/>
      <c r="SEV50" s="9"/>
      <c r="SEW50" s="9"/>
      <c r="SEX50" s="9"/>
      <c r="SEY50" s="9"/>
      <c r="SEZ50" s="9"/>
      <c r="SFA50" s="9"/>
      <c r="SFB50" s="9"/>
      <c r="SFC50" s="9"/>
      <c r="SFD50" s="9"/>
      <c r="SFE50" s="9"/>
      <c r="SFF50" s="9"/>
      <c r="SFG50" s="9"/>
      <c r="SFH50" s="9"/>
      <c r="SFI50" s="9"/>
      <c r="SFJ50" s="9"/>
      <c r="SFK50" s="9"/>
      <c r="SFL50" s="9"/>
      <c r="SFM50" s="9"/>
      <c r="SFN50" s="9"/>
      <c r="SFO50" s="9"/>
      <c r="SFP50" s="9"/>
      <c r="SFQ50" s="9"/>
      <c r="SFR50" s="9"/>
      <c r="SFS50" s="9"/>
      <c r="SFT50" s="9"/>
      <c r="SFU50" s="9"/>
      <c r="SFV50" s="9"/>
      <c r="SFW50" s="9"/>
      <c r="SFX50" s="9"/>
      <c r="SFY50" s="9"/>
      <c r="SFZ50" s="9"/>
      <c r="SGA50" s="9"/>
      <c r="SGB50" s="9"/>
      <c r="SGC50" s="9"/>
      <c r="SGD50" s="9"/>
      <c r="SGE50" s="9"/>
      <c r="SGF50" s="9"/>
      <c r="SGG50" s="9"/>
      <c r="SGH50" s="9"/>
      <c r="SGI50" s="9"/>
      <c r="SGJ50" s="9"/>
      <c r="SGK50" s="9"/>
      <c r="SGL50" s="9"/>
      <c r="SGM50" s="9"/>
      <c r="SGN50" s="9"/>
      <c r="SGO50" s="9"/>
      <c r="SGP50" s="9"/>
      <c r="SGQ50" s="9"/>
      <c r="SGR50" s="9"/>
      <c r="SGS50" s="9"/>
      <c r="SGT50" s="9"/>
      <c r="SGU50" s="9"/>
      <c r="SGV50" s="9"/>
      <c r="SGW50" s="9"/>
      <c r="SGX50" s="9"/>
      <c r="SGY50" s="9"/>
      <c r="SGZ50" s="9"/>
      <c r="SHA50" s="9"/>
      <c r="SHB50" s="9"/>
      <c r="SHC50" s="9"/>
      <c r="SHD50" s="9"/>
      <c r="SHE50" s="9"/>
      <c r="SHF50" s="9"/>
      <c r="SHG50" s="9"/>
      <c r="SHH50" s="9"/>
      <c r="SHI50" s="9"/>
      <c r="SHJ50" s="9"/>
      <c r="SHK50" s="9"/>
      <c r="SHL50" s="9"/>
      <c r="SHM50" s="9"/>
      <c r="SHN50" s="9"/>
      <c r="SHO50" s="9"/>
      <c r="SHP50" s="9"/>
      <c r="SHQ50" s="9"/>
      <c r="SHR50" s="9"/>
      <c r="SHS50" s="9"/>
      <c r="SHT50" s="9"/>
      <c r="SHU50" s="9"/>
      <c r="SHV50" s="9"/>
      <c r="SHW50" s="9"/>
      <c r="SHX50" s="9"/>
      <c r="SHY50" s="9"/>
      <c r="SHZ50" s="9"/>
      <c r="SIA50" s="9"/>
      <c r="SIB50" s="9"/>
      <c r="SIC50" s="9"/>
      <c r="SID50" s="9"/>
      <c r="SIE50" s="9"/>
      <c r="SIF50" s="9"/>
      <c r="SIG50" s="9"/>
      <c r="SIH50" s="9"/>
      <c r="SII50" s="9"/>
      <c r="SIJ50" s="9"/>
      <c r="SIK50" s="9"/>
      <c r="SIL50" s="9"/>
      <c r="SIM50" s="9"/>
      <c r="SIN50" s="9"/>
      <c r="SIO50" s="9"/>
      <c r="SIP50" s="9"/>
      <c r="SIQ50" s="9"/>
      <c r="SIR50" s="9"/>
      <c r="SIS50" s="9"/>
      <c r="SIT50" s="9"/>
      <c r="SIU50" s="9"/>
      <c r="SIV50" s="9"/>
      <c r="SIW50" s="9"/>
      <c r="SIX50" s="9"/>
      <c r="SIY50" s="9"/>
      <c r="SIZ50" s="9"/>
      <c r="SJA50" s="9"/>
      <c r="SJB50" s="9"/>
      <c r="SJC50" s="9"/>
      <c r="SJD50" s="9"/>
      <c r="SJE50" s="9"/>
      <c r="SJF50" s="9"/>
      <c r="SJG50" s="9"/>
      <c r="SJH50" s="9"/>
      <c r="SJI50" s="9"/>
      <c r="SJJ50" s="9"/>
      <c r="SJK50" s="9"/>
      <c r="SJL50" s="9"/>
      <c r="SJM50" s="9"/>
      <c r="SJN50" s="9"/>
      <c r="SJO50" s="9"/>
      <c r="SJP50" s="9"/>
      <c r="SJQ50" s="9"/>
      <c r="SJR50" s="9"/>
      <c r="SJS50" s="9"/>
      <c r="SJT50" s="9"/>
      <c r="SJU50" s="9"/>
      <c r="SJV50" s="9"/>
      <c r="SJW50" s="9"/>
      <c r="SJX50" s="9"/>
      <c r="SJY50" s="9"/>
      <c r="SJZ50" s="9"/>
      <c r="SKA50" s="9"/>
      <c r="SKB50" s="9"/>
      <c r="SKC50" s="9"/>
      <c r="SKD50" s="9"/>
      <c r="SKE50" s="9"/>
      <c r="SKF50" s="9"/>
      <c r="SKG50" s="9"/>
      <c r="SKH50" s="9"/>
      <c r="SKI50" s="9"/>
      <c r="SKJ50" s="9"/>
      <c r="SKK50" s="9"/>
      <c r="SKL50" s="9"/>
      <c r="SKM50" s="9"/>
      <c r="SKN50" s="9"/>
      <c r="SKO50" s="9"/>
      <c r="SKP50" s="9"/>
      <c r="SKQ50" s="9"/>
      <c r="SKR50" s="9"/>
      <c r="SKS50" s="9"/>
      <c r="SKT50" s="9"/>
      <c r="SKU50" s="9"/>
      <c r="SKV50" s="9"/>
      <c r="SKW50" s="9"/>
      <c r="SKX50" s="9"/>
      <c r="SKY50" s="9"/>
      <c r="SKZ50" s="9"/>
      <c r="SLA50" s="9"/>
      <c r="SLB50" s="9"/>
      <c r="SLC50" s="9"/>
      <c r="SLD50" s="9"/>
      <c r="SLE50" s="9"/>
      <c r="SLF50" s="9"/>
      <c r="SLG50" s="9"/>
      <c r="SLH50" s="9"/>
      <c r="SLI50" s="9"/>
      <c r="SLJ50" s="9"/>
      <c r="SLK50" s="9"/>
      <c r="SLL50" s="9"/>
      <c r="SLM50" s="9"/>
      <c r="SLN50" s="9"/>
      <c r="SLO50" s="9"/>
      <c r="SLP50" s="9"/>
      <c r="SLQ50" s="9"/>
      <c r="SLR50" s="9"/>
      <c r="SLS50" s="9"/>
      <c r="SLT50" s="9"/>
      <c r="SLU50" s="9"/>
      <c r="SLV50" s="9"/>
      <c r="SLW50" s="9"/>
      <c r="SLX50" s="9"/>
      <c r="SLY50" s="9"/>
      <c r="SLZ50" s="9"/>
      <c r="SMA50" s="9"/>
      <c r="SMB50" s="9"/>
      <c r="SMC50" s="9"/>
      <c r="SMD50" s="9"/>
      <c r="SME50" s="9"/>
      <c r="SMF50" s="9"/>
      <c r="SMG50" s="9"/>
      <c r="SMH50" s="9"/>
      <c r="SMI50" s="9"/>
      <c r="SMJ50" s="9"/>
      <c r="SMK50" s="9"/>
      <c r="SML50" s="9"/>
      <c r="SMM50" s="9"/>
      <c r="SMN50" s="9"/>
      <c r="SMO50" s="9"/>
      <c r="SMP50" s="9"/>
      <c r="SMQ50" s="9"/>
      <c r="SMR50" s="9"/>
      <c r="SMS50" s="9"/>
      <c r="SMT50" s="9"/>
      <c r="SMU50" s="9"/>
      <c r="SMV50" s="9"/>
      <c r="SMW50" s="9"/>
      <c r="SMX50" s="9"/>
      <c r="SMY50" s="9"/>
      <c r="SMZ50" s="9"/>
      <c r="SNA50" s="9"/>
      <c r="SNB50" s="9"/>
      <c r="SNC50" s="9"/>
      <c r="SND50" s="9"/>
      <c r="SNE50" s="9"/>
      <c r="SNF50" s="9"/>
      <c r="SNG50" s="9"/>
      <c r="SNH50" s="9"/>
      <c r="SNI50" s="9"/>
      <c r="SNJ50" s="9"/>
      <c r="SNK50" s="9"/>
      <c r="SNL50" s="9"/>
      <c r="SNM50" s="9"/>
      <c r="SNN50" s="9"/>
      <c r="SNO50" s="9"/>
      <c r="SNP50" s="9"/>
      <c r="SNQ50" s="9"/>
      <c r="SNR50" s="9"/>
      <c r="SNS50" s="9"/>
      <c r="SNT50" s="9"/>
      <c r="SNU50" s="9"/>
      <c r="SNV50" s="9"/>
      <c r="SNW50" s="9"/>
      <c r="SNX50" s="9"/>
      <c r="SNY50" s="9"/>
      <c r="SNZ50" s="9"/>
      <c r="SOA50" s="9"/>
      <c r="SOB50" s="9"/>
      <c r="SOC50" s="9"/>
      <c r="SOD50" s="9"/>
      <c r="SOE50" s="9"/>
      <c r="SOF50" s="9"/>
      <c r="SOG50" s="9"/>
      <c r="SOH50" s="9"/>
      <c r="SOI50" s="9"/>
      <c r="SOJ50" s="9"/>
      <c r="SOK50" s="9"/>
      <c r="SOL50" s="9"/>
      <c r="SOM50" s="9"/>
      <c r="SON50" s="9"/>
      <c r="SOO50" s="9"/>
      <c r="SOP50" s="9"/>
      <c r="SOQ50" s="9"/>
      <c r="SOR50" s="9"/>
      <c r="SOS50" s="9"/>
      <c r="SOT50" s="9"/>
      <c r="SOU50" s="9"/>
      <c r="SOV50" s="9"/>
      <c r="SOW50" s="9"/>
      <c r="SOX50" s="9"/>
      <c r="SOY50" s="9"/>
      <c r="SOZ50" s="9"/>
      <c r="SPA50" s="9"/>
      <c r="SPB50" s="9"/>
      <c r="SPC50" s="9"/>
      <c r="SPD50" s="9"/>
      <c r="SPE50" s="9"/>
      <c r="SPF50" s="9"/>
      <c r="SPG50" s="9"/>
      <c r="SPH50" s="9"/>
      <c r="SPI50" s="9"/>
      <c r="SPJ50" s="9"/>
      <c r="SPK50" s="9"/>
      <c r="SPL50" s="9"/>
      <c r="SPM50" s="9"/>
      <c r="SPN50" s="9"/>
      <c r="SPO50" s="9"/>
      <c r="SPP50" s="9"/>
      <c r="SPQ50" s="9"/>
      <c r="SPR50" s="9"/>
      <c r="SPS50" s="9"/>
      <c r="SPT50" s="9"/>
      <c r="SPU50" s="9"/>
      <c r="SPV50" s="9"/>
      <c r="SPW50" s="9"/>
      <c r="SPX50" s="9"/>
      <c r="SPY50" s="9"/>
      <c r="SPZ50" s="9"/>
      <c r="SQA50" s="9"/>
      <c r="SQB50" s="9"/>
      <c r="SQC50" s="9"/>
      <c r="SQD50" s="9"/>
      <c r="SQE50" s="9"/>
      <c r="SQF50" s="9"/>
      <c r="SQG50" s="9"/>
      <c r="SQH50" s="9"/>
      <c r="SQI50" s="9"/>
      <c r="SQJ50" s="9"/>
      <c r="SQK50" s="9"/>
      <c r="SQL50" s="9"/>
      <c r="SQM50" s="9"/>
      <c r="SQN50" s="9"/>
      <c r="SQO50" s="9"/>
      <c r="SQP50" s="9"/>
      <c r="SQQ50" s="9"/>
      <c r="SQR50" s="9"/>
      <c r="SQS50" s="9"/>
      <c r="SQT50" s="9"/>
      <c r="SQU50" s="9"/>
      <c r="SQV50" s="9"/>
      <c r="SQW50" s="9"/>
      <c r="SQX50" s="9"/>
      <c r="SQY50" s="9"/>
      <c r="SQZ50" s="9"/>
      <c r="SRA50" s="9"/>
      <c r="SRB50" s="9"/>
      <c r="SRC50" s="9"/>
      <c r="SRD50" s="9"/>
      <c r="SRE50" s="9"/>
      <c r="SRF50" s="9"/>
      <c r="SRG50" s="9"/>
      <c r="SRH50" s="9"/>
      <c r="SRI50" s="9"/>
      <c r="SRJ50" s="9"/>
      <c r="SRK50" s="9"/>
      <c r="SRL50" s="9"/>
      <c r="SRM50" s="9"/>
      <c r="SRN50" s="9"/>
      <c r="SRO50" s="9"/>
      <c r="SRP50" s="9"/>
      <c r="SRQ50" s="9"/>
      <c r="SRR50" s="9"/>
      <c r="SRS50" s="9"/>
      <c r="SRT50" s="9"/>
      <c r="SRU50" s="9"/>
      <c r="SRV50" s="9"/>
      <c r="SRW50" s="9"/>
      <c r="SRX50" s="9"/>
      <c r="SRY50" s="9"/>
      <c r="SRZ50" s="9"/>
      <c r="SSA50" s="9"/>
      <c r="SSB50" s="9"/>
      <c r="SSC50" s="9"/>
      <c r="SSD50" s="9"/>
      <c r="SSE50" s="9"/>
      <c r="SSF50" s="9"/>
      <c r="SSG50" s="9"/>
      <c r="SSH50" s="9"/>
      <c r="SSI50" s="9"/>
      <c r="SSJ50" s="9"/>
      <c r="SSK50" s="9"/>
      <c r="SSL50" s="9"/>
      <c r="SSM50" s="9"/>
      <c r="SSN50" s="9"/>
      <c r="SSO50" s="9"/>
      <c r="SSP50" s="9"/>
      <c r="SSQ50" s="9"/>
      <c r="SSR50" s="9"/>
      <c r="SSS50" s="9"/>
      <c r="SST50" s="9"/>
      <c r="SSU50" s="9"/>
      <c r="SSV50" s="9"/>
      <c r="SSW50" s="9"/>
      <c r="SSX50" s="9"/>
      <c r="SSY50" s="9"/>
      <c r="SSZ50" s="9"/>
      <c r="STA50" s="9"/>
      <c r="STB50" s="9"/>
      <c r="STC50" s="9"/>
      <c r="STD50" s="9"/>
      <c r="STE50" s="9"/>
      <c r="STF50" s="9"/>
      <c r="STG50" s="9"/>
      <c r="STH50" s="9"/>
      <c r="STI50" s="9"/>
      <c r="STJ50" s="9"/>
      <c r="STK50" s="9"/>
      <c r="STL50" s="9"/>
      <c r="STM50" s="9"/>
      <c r="STN50" s="9"/>
      <c r="STO50" s="9"/>
      <c r="STP50" s="9"/>
      <c r="STQ50" s="9"/>
      <c r="STR50" s="9"/>
      <c r="STS50" s="9"/>
      <c r="STT50" s="9"/>
      <c r="STU50" s="9"/>
      <c r="STV50" s="9"/>
      <c r="STW50" s="9"/>
      <c r="STX50" s="9"/>
      <c r="STY50" s="9"/>
      <c r="STZ50" s="9"/>
      <c r="SUA50" s="9"/>
      <c r="SUB50" s="9"/>
      <c r="SUC50" s="9"/>
      <c r="SUD50" s="9"/>
      <c r="SUE50" s="9"/>
      <c r="SUF50" s="9"/>
      <c r="SUG50" s="9"/>
      <c r="SUH50" s="9"/>
      <c r="SUI50" s="9"/>
      <c r="SUJ50" s="9"/>
      <c r="SUK50" s="9"/>
      <c r="SUL50" s="9"/>
      <c r="SUM50" s="9"/>
      <c r="SUN50" s="9"/>
      <c r="SUO50" s="9"/>
      <c r="SUP50" s="9"/>
      <c r="SUQ50" s="9"/>
      <c r="SUR50" s="9"/>
      <c r="SUS50" s="9"/>
      <c r="SUT50" s="9"/>
      <c r="SUU50" s="9"/>
      <c r="SUV50" s="9"/>
      <c r="SUW50" s="9"/>
      <c r="SUX50" s="9"/>
      <c r="SUY50" s="9"/>
      <c r="SUZ50" s="9"/>
      <c r="SVA50" s="9"/>
      <c r="SVB50" s="9"/>
      <c r="SVC50" s="9"/>
      <c r="SVD50" s="9"/>
      <c r="SVE50" s="9"/>
      <c r="SVF50" s="9"/>
      <c r="SVG50" s="9"/>
      <c r="SVH50" s="9"/>
      <c r="SVI50" s="9"/>
      <c r="SVJ50" s="9"/>
      <c r="SVK50" s="9"/>
      <c r="SVL50" s="9"/>
      <c r="SVM50" s="9"/>
      <c r="SVN50" s="9"/>
      <c r="SVO50" s="9"/>
      <c r="SVP50" s="9"/>
      <c r="SVQ50" s="9"/>
      <c r="SVR50" s="9"/>
      <c r="SVS50" s="9"/>
      <c r="SVT50" s="9"/>
      <c r="SVU50" s="9"/>
      <c r="SVV50" s="9"/>
      <c r="SVW50" s="9"/>
      <c r="SVX50" s="9"/>
      <c r="SVY50" s="9"/>
      <c r="SVZ50" s="9"/>
      <c r="SWA50" s="9"/>
      <c r="SWB50" s="9"/>
      <c r="SWC50" s="9"/>
      <c r="SWD50" s="9"/>
      <c r="SWE50" s="9"/>
      <c r="SWF50" s="9"/>
      <c r="SWG50" s="9"/>
      <c r="SWH50" s="9"/>
      <c r="SWI50" s="9"/>
      <c r="SWJ50" s="9"/>
      <c r="SWK50" s="9"/>
      <c r="SWL50" s="9"/>
      <c r="SWM50" s="9"/>
      <c r="SWN50" s="9"/>
      <c r="SWO50" s="9"/>
      <c r="SWP50" s="9"/>
      <c r="SWQ50" s="9"/>
      <c r="SWR50" s="9"/>
      <c r="SWS50" s="9"/>
      <c r="SWT50" s="9"/>
      <c r="SWU50" s="9"/>
      <c r="SWV50" s="9"/>
      <c r="SWW50" s="9"/>
      <c r="SWX50" s="9"/>
      <c r="SWY50" s="9"/>
      <c r="SWZ50" s="9"/>
      <c r="SXA50" s="9"/>
      <c r="SXB50" s="9"/>
      <c r="SXC50" s="9"/>
      <c r="SXD50" s="9"/>
      <c r="SXE50" s="9"/>
      <c r="SXF50" s="9"/>
      <c r="SXG50" s="9"/>
      <c r="SXH50" s="9"/>
      <c r="SXI50" s="9"/>
      <c r="SXJ50" s="9"/>
      <c r="SXK50" s="9"/>
      <c r="SXL50" s="9"/>
      <c r="SXM50" s="9"/>
      <c r="SXN50" s="9"/>
      <c r="SXO50" s="9"/>
      <c r="SXP50" s="9"/>
      <c r="SXQ50" s="9"/>
      <c r="SXR50" s="9"/>
      <c r="SXS50" s="9"/>
      <c r="SXT50" s="9"/>
      <c r="SXU50" s="9"/>
      <c r="SXV50" s="9"/>
      <c r="SXW50" s="9"/>
      <c r="SXX50" s="9"/>
      <c r="SXY50" s="9"/>
      <c r="SXZ50" s="9"/>
      <c r="SYA50" s="9"/>
      <c r="SYB50" s="9"/>
      <c r="SYC50" s="9"/>
      <c r="SYD50" s="9"/>
      <c r="SYE50" s="9"/>
      <c r="SYF50" s="9"/>
      <c r="SYG50" s="9"/>
      <c r="SYH50" s="9"/>
      <c r="SYI50" s="9"/>
      <c r="SYJ50" s="9"/>
      <c r="SYK50" s="9"/>
      <c r="SYL50" s="9"/>
      <c r="SYM50" s="9"/>
      <c r="SYN50" s="9"/>
      <c r="SYO50" s="9"/>
      <c r="SYP50" s="9"/>
      <c r="SYQ50" s="9"/>
      <c r="SYR50" s="9"/>
      <c r="SYS50" s="9"/>
      <c r="SYT50" s="9"/>
      <c r="SYU50" s="9"/>
      <c r="SYV50" s="9"/>
      <c r="SYW50" s="9"/>
      <c r="SYX50" s="9"/>
      <c r="SYY50" s="9"/>
      <c r="SYZ50" s="9"/>
      <c r="SZA50" s="9"/>
      <c r="SZB50" s="9"/>
      <c r="SZC50" s="9"/>
      <c r="SZD50" s="9"/>
      <c r="SZE50" s="9"/>
      <c r="SZF50" s="9"/>
      <c r="SZG50" s="9"/>
      <c r="SZH50" s="9"/>
      <c r="SZI50" s="9"/>
      <c r="SZJ50" s="9"/>
      <c r="SZK50" s="9"/>
      <c r="SZL50" s="9"/>
      <c r="SZM50" s="9"/>
      <c r="SZN50" s="9"/>
      <c r="SZO50" s="9"/>
      <c r="SZP50" s="9"/>
      <c r="SZQ50" s="9"/>
      <c r="SZR50" s="9"/>
      <c r="SZS50" s="9"/>
      <c r="SZT50" s="9"/>
      <c r="SZU50" s="9"/>
      <c r="SZV50" s="9"/>
      <c r="SZW50" s="9"/>
      <c r="SZX50" s="9"/>
      <c r="SZY50" s="9"/>
      <c r="SZZ50" s="9"/>
      <c r="TAA50" s="9"/>
      <c r="TAB50" s="9"/>
      <c r="TAC50" s="9"/>
      <c r="TAD50" s="9"/>
      <c r="TAE50" s="9"/>
      <c r="TAF50" s="9"/>
      <c r="TAG50" s="9"/>
      <c r="TAH50" s="9"/>
      <c r="TAI50" s="9"/>
      <c r="TAJ50" s="9"/>
      <c r="TAK50" s="9"/>
      <c r="TAL50" s="9"/>
      <c r="TAM50" s="9"/>
      <c r="TAN50" s="9"/>
      <c r="TAO50" s="9"/>
      <c r="TAP50" s="9"/>
      <c r="TAQ50" s="9"/>
      <c r="TAR50" s="9"/>
      <c r="TAS50" s="9"/>
      <c r="TAT50" s="9"/>
      <c r="TAU50" s="9"/>
      <c r="TAV50" s="9"/>
      <c r="TAW50" s="9"/>
      <c r="TAX50" s="9"/>
      <c r="TAY50" s="9"/>
      <c r="TAZ50" s="9"/>
      <c r="TBA50" s="9"/>
      <c r="TBB50" s="9"/>
      <c r="TBC50" s="9"/>
      <c r="TBD50" s="9"/>
      <c r="TBE50" s="9"/>
      <c r="TBF50" s="9"/>
      <c r="TBG50" s="9"/>
      <c r="TBH50" s="9"/>
      <c r="TBI50" s="9"/>
      <c r="TBJ50" s="9"/>
      <c r="TBK50" s="9"/>
      <c r="TBL50" s="9"/>
      <c r="TBM50" s="9"/>
      <c r="TBN50" s="9"/>
      <c r="TBO50" s="9"/>
      <c r="TBP50" s="9"/>
      <c r="TBQ50" s="9"/>
      <c r="TBR50" s="9"/>
      <c r="TBS50" s="9"/>
      <c r="TBT50" s="9"/>
      <c r="TBU50" s="9"/>
      <c r="TBV50" s="9"/>
      <c r="TBW50" s="9"/>
      <c r="TBX50" s="9"/>
      <c r="TBY50" s="9"/>
      <c r="TBZ50" s="9"/>
      <c r="TCA50" s="9"/>
      <c r="TCB50" s="9"/>
      <c r="TCC50" s="9"/>
      <c r="TCD50" s="9"/>
      <c r="TCE50" s="9"/>
      <c r="TCF50" s="9"/>
      <c r="TCG50" s="9"/>
      <c r="TCH50" s="9"/>
      <c r="TCI50" s="9"/>
      <c r="TCJ50" s="9"/>
      <c r="TCK50" s="9"/>
      <c r="TCL50" s="9"/>
      <c r="TCM50" s="9"/>
      <c r="TCN50" s="9"/>
      <c r="TCO50" s="9"/>
      <c r="TCP50" s="9"/>
      <c r="TCQ50" s="9"/>
      <c r="TCR50" s="9"/>
      <c r="TCS50" s="9"/>
      <c r="TCT50" s="9"/>
      <c r="TCU50" s="9"/>
      <c r="TCV50" s="9"/>
      <c r="TCW50" s="9"/>
      <c r="TCX50" s="9"/>
      <c r="TCY50" s="9"/>
      <c r="TCZ50" s="9"/>
      <c r="TDA50" s="9"/>
      <c r="TDB50" s="9"/>
      <c r="TDC50" s="9"/>
      <c r="TDD50" s="9"/>
      <c r="TDE50" s="9"/>
      <c r="TDF50" s="9"/>
      <c r="TDG50" s="9"/>
      <c r="TDH50" s="9"/>
      <c r="TDI50" s="9"/>
      <c r="TDJ50" s="9"/>
      <c r="TDK50" s="9"/>
      <c r="TDL50" s="9"/>
      <c r="TDM50" s="9"/>
      <c r="TDN50" s="9"/>
      <c r="TDO50" s="9"/>
      <c r="TDP50" s="9"/>
      <c r="TDQ50" s="9"/>
      <c r="TDR50" s="9"/>
      <c r="TDS50" s="9"/>
      <c r="TDT50" s="9"/>
      <c r="TDU50" s="9"/>
      <c r="TDV50" s="9"/>
      <c r="TDW50" s="9"/>
      <c r="TDX50" s="9"/>
      <c r="TDY50" s="9"/>
      <c r="TDZ50" s="9"/>
      <c r="TEA50" s="9"/>
      <c r="TEB50" s="9"/>
      <c r="TEC50" s="9"/>
      <c r="TED50" s="9"/>
      <c r="TEE50" s="9"/>
      <c r="TEF50" s="9"/>
      <c r="TEG50" s="9"/>
      <c r="TEH50" s="9"/>
      <c r="TEI50" s="9"/>
      <c r="TEJ50" s="9"/>
      <c r="TEK50" s="9"/>
      <c r="TEL50" s="9"/>
      <c r="TEM50" s="9"/>
      <c r="TEN50" s="9"/>
      <c r="TEO50" s="9"/>
      <c r="TEP50" s="9"/>
      <c r="TEQ50" s="9"/>
      <c r="TER50" s="9"/>
      <c r="TES50" s="9"/>
      <c r="TET50" s="9"/>
      <c r="TEU50" s="9"/>
      <c r="TEV50" s="9"/>
      <c r="TEW50" s="9"/>
      <c r="TEX50" s="9"/>
      <c r="TEY50" s="9"/>
      <c r="TEZ50" s="9"/>
      <c r="TFA50" s="9"/>
      <c r="TFB50" s="9"/>
      <c r="TFC50" s="9"/>
      <c r="TFD50" s="9"/>
      <c r="TFE50" s="9"/>
      <c r="TFF50" s="9"/>
      <c r="TFG50" s="9"/>
      <c r="TFH50" s="9"/>
      <c r="TFI50" s="9"/>
      <c r="TFJ50" s="9"/>
      <c r="TFK50" s="9"/>
      <c r="TFL50" s="9"/>
      <c r="TFM50" s="9"/>
      <c r="TFN50" s="9"/>
      <c r="TFO50" s="9"/>
      <c r="TFP50" s="9"/>
      <c r="TFQ50" s="9"/>
      <c r="TFR50" s="9"/>
      <c r="TFS50" s="9"/>
      <c r="TFT50" s="9"/>
      <c r="TFU50" s="9"/>
      <c r="TFV50" s="9"/>
      <c r="TFW50" s="9"/>
      <c r="TFX50" s="9"/>
      <c r="TFY50" s="9"/>
      <c r="TFZ50" s="9"/>
      <c r="TGA50" s="9"/>
      <c r="TGB50" s="9"/>
      <c r="TGC50" s="9"/>
      <c r="TGD50" s="9"/>
      <c r="TGE50" s="9"/>
      <c r="TGF50" s="9"/>
      <c r="TGG50" s="9"/>
      <c r="TGH50" s="9"/>
      <c r="TGI50" s="9"/>
      <c r="TGJ50" s="9"/>
      <c r="TGK50" s="9"/>
      <c r="TGL50" s="9"/>
      <c r="TGM50" s="9"/>
      <c r="TGN50" s="9"/>
      <c r="TGO50" s="9"/>
      <c r="TGP50" s="9"/>
      <c r="TGQ50" s="9"/>
      <c r="TGR50" s="9"/>
      <c r="TGS50" s="9"/>
      <c r="TGT50" s="9"/>
      <c r="TGU50" s="9"/>
      <c r="TGV50" s="9"/>
      <c r="TGW50" s="9"/>
      <c r="TGX50" s="9"/>
      <c r="TGY50" s="9"/>
      <c r="TGZ50" s="9"/>
      <c r="THA50" s="9"/>
      <c r="THB50" s="9"/>
      <c r="THC50" s="9"/>
      <c r="THD50" s="9"/>
      <c r="THE50" s="9"/>
      <c r="THF50" s="9"/>
      <c r="THG50" s="9"/>
      <c r="THH50" s="9"/>
      <c r="THI50" s="9"/>
      <c r="THJ50" s="9"/>
      <c r="THK50" s="9"/>
      <c r="THL50" s="9"/>
      <c r="THM50" s="9"/>
      <c r="THN50" s="9"/>
      <c r="THO50" s="9"/>
      <c r="THP50" s="9"/>
      <c r="THQ50" s="9"/>
      <c r="THR50" s="9"/>
      <c r="THS50" s="9"/>
      <c r="THT50" s="9"/>
      <c r="THU50" s="9"/>
      <c r="THV50" s="9"/>
      <c r="THW50" s="9"/>
      <c r="THX50" s="9"/>
      <c r="THY50" s="9"/>
      <c r="THZ50" s="9"/>
      <c r="TIA50" s="9"/>
      <c r="TIB50" s="9"/>
      <c r="TIC50" s="9"/>
      <c r="TID50" s="9"/>
      <c r="TIE50" s="9"/>
      <c r="TIF50" s="9"/>
      <c r="TIG50" s="9"/>
      <c r="TIH50" s="9"/>
      <c r="TII50" s="9"/>
      <c r="TIJ50" s="9"/>
      <c r="TIK50" s="9"/>
      <c r="TIL50" s="9"/>
      <c r="TIM50" s="9"/>
      <c r="TIN50" s="9"/>
      <c r="TIO50" s="9"/>
      <c r="TIP50" s="9"/>
      <c r="TIQ50" s="9"/>
      <c r="TIR50" s="9"/>
      <c r="TIS50" s="9"/>
      <c r="TIT50" s="9"/>
      <c r="TIU50" s="9"/>
      <c r="TIV50" s="9"/>
      <c r="TIW50" s="9"/>
      <c r="TIX50" s="9"/>
      <c r="TIY50" s="9"/>
      <c r="TIZ50" s="9"/>
      <c r="TJA50" s="9"/>
      <c r="TJB50" s="9"/>
      <c r="TJC50" s="9"/>
      <c r="TJD50" s="9"/>
      <c r="TJE50" s="9"/>
      <c r="TJF50" s="9"/>
      <c r="TJG50" s="9"/>
      <c r="TJH50" s="9"/>
      <c r="TJI50" s="9"/>
      <c r="TJJ50" s="9"/>
      <c r="TJK50" s="9"/>
      <c r="TJL50" s="9"/>
      <c r="TJM50" s="9"/>
      <c r="TJN50" s="9"/>
      <c r="TJO50" s="9"/>
      <c r="TJP50" s="9"/>
      <c r="TJQ50" s="9"/>
      <c r="TJR50" s="9"/>
      <c r="TJS50" s="9"/>
      <c r="TJT50" s="9"/>
      <c r="TJU50" s="9"/>
      <c r="TJV50" s="9"/>
      <c r="TJW50" s="9"/>
      <c r="TJX50" s="9"/>
      <c r="TJY50" s="9"/>
      <c r="TJZ50" s="9"/>
      <c r="TKA50" s="9"/>
      <c r="TKB50" s="9"/>
      <c r="TKC50" s="9"/>
      <c r="TKD50" s="9"/>
      <c r="TKE50" s="9"/>
      <c r="TKF50" s="9"/>
      <c r="TKG50" s="9"/>
      <c r="TKH50" s="9"/>
      <c r="TKI50" s="9"/>
      <c r="TKJ50" s="9"/>
      <c r="TKK50" s="9"/>
      <c r="TKL50" s="9"/>
      <c r="TKM50" s="9"/>
      <c r="TKN50" s="9"/>
      <c r="TKO50" s="9"/>
      <c r="TKP50" s="9"/>
      <c r="TKQ50" s="9"/>
      <c r="TKR50" s="9"/>
      <c r="TKS50" s="9"/>
      <c r="TKT50" s="9"/>
      <c r="TKU50" s="9"/>
      <c r="TKV50" s="9"/>
      <c r="TKW50" s="9"/>
      <c r="TKX50" s="9"/>
      <c r="TKY50" s="9"/>
      <c r="TKZ50" s="9"/>
      <c r="TLA50" s="9"/>
      <c r="TLB50" s="9"/>
      <c r="TLC50" s="9"/>
      <c r="TLD50" s="9"/>
      <c r="TLE50" s="9"/>
      <c r="TLF50" s="9"/>
      <c r="TLG50" s="9"/>
      <c r="TLH50" s="9"/>
      <c r="TLI50" s="9"/>
      <c r="TLJ50" s="9"/>
      <c r="TLK50" s="9"/>
      <c r="TLL50" s="9"/>
      <c r="TLM50" s="9"/>
      <c r="TLN50" s="9"/>
      <c r="TLO50" s="9"/>
      <c r="TLP50" s="9"/>
      <c r="TLQ50" s="9"/>
      <c r="TLR50" s="9"/>
      <c r="TLS50" s="9"/>
      <c r="TLT50" s="9"/>
      <c r="TLU50" s="9"/>
      <c r="TLV50" s="9"/>
      <c r="TLW50" s="9"/>
      <c r="TLX50" s="9"/>
      <c r="TLY50" s="9"/>
      <c r="TLZ50" s="9"/>
      <c r="TMA50" s="9"/>
      <c r="TMB50" s="9"/>
      <c r="TMC50" s="9"/>
      <c r="TMD50" s="9"/>
      <c r="TME50" s="9"/>
      <c r="TMF50" s="9"/>
      <c r="TMG50" s="9"/>
      <c r="TMH50" s="9"/>
      <c r="TMI50" s="9"/>
      <c r="TMJ50" s="9"/>
      <c r="TMK50" s="9"/>
      <c r="TML50" s="9"/>
      <c r="TMM50" s="9"/>
      <c r="TMN50" s="9"/>
      <c r="TMO50" s="9"/>
      <c r="TMP50" s="9"/>
      <c r="TMQ50" s="9"/>
      <c r="TMR50" s="9"/>
      <c r="TMS50" s="9"/>
      <c r="TMT50" s="9"/>
      <c r="TMU50" s="9"/>
      <c r="TMV50" s="9"/>
      <c r="TMW50" s="9"/>
      <c r="TMX50" s="9"/>
      <c r="TMY50" s="9"/>
      <c r="TMZ50" s="9"/>
      <c r="TNA50" s="9"/>
      <c r="TNB50" s="9"/>
      <c r="TNC50" s="9"/>
      <c r="TND50" s="9"/>
      <c r="TNE50" s="9"/>
      <c r="TNF50" s="9"/>
      <c r="TNG50" s="9"/>
      <c r="TNH50" s="9"/>
      <c r="TNI50" s="9"/>
      <c r="TNJ50" s="9"/>
      <c r="TNK50" s="9"/>
      <c r="TNL50" s="9"/>
      <c r="TNM50" s="9"/>
      <c r="TNN50" s="9"/>
      <c r="TNO50" s="9"/>
      <c r="TNP50" s="9"/>
      <c r="TNQ50" s="9"/>
      <c r="TNR50" s="9"/>
      <c r="TNS50" s="9"/>
      <c r="TNT50" s="9"/>
      <c r="TNU50" s="9"/>
      <c r="TNV50" s="9"/>
      <c r="TNW50" s="9"/>
      <c r="TNX50" s="9"/>
      <c r="TNY50" s="9"/>
      <c r="TNZ50" s="9"/>
      <c r="TOA50" s="9"/>
      <c r="TOB50" s="9"/>
      <c r="TOC50" s="9"/>
      <c r="TOD50" s="9"/>
      <c r="TOE50" s="9"/>
      <c r="TOF50" s="9"/>
      <c r="TOG50" s="9"/>
      <c r="TOH50" s="9"/>
      <c r="TOI50" s="9"/>
      <c r="TOJ50" s="9"/>
      <c r="TOK50" s="9"/>
      <c r="TOL50" s="9"/>
      <c r="TOM50" s="9"/>
      <c r="TON50" s="9"/>
      <c r="TOO50" s="9"/>
      <c r="TOP50" s="9"/>
      <c r="TOQ50" s="9"/>
      <c r="TOR50" s="9"/>
      <c r="TOS50" s="9"/>
      <c r="TOT50" s="9"/>
      <c r="TOU50" s="9"/>
      <c r="TOV50" s="9"/>
      <c r="TOW50" s="9"/>
      <c r="TOX50" s="9"/>
      <c r="TOY50" s="9"/>
      <c r="TOZ50" s="9"/>
      <c r="TPA50" s="9"/>
      <c r="TPB50" s="9"/>
      <c r="TPC50" s="9"/>
      <c r="TPD50" s="9"/>
      <c r="TPE50" s="9"/>
      <c r="TPF50" s="9"/>
      <c r="TPG50" s="9"/>
      <c r="TPH50" s="9"/>
      <c r="TPI50" s="9"/>
      <c r="TPJ50" s="9"/>
      <c r="TPK50" s="9"/>
      <c r="TPL50" s="9"/>
      <c r="TPM50" s="9"/>
      <c r="TPN50" s="9"/>
      <c r="TPO50" s="9"/>
      <c r="TPP50" s="9"/>
      <c r="TPQ50" s="9"/>
      <c r="TPR50" s="9"/>
      <c r="TPS50" s="9"/>
      <c r="TPT50" s="9"/>
      <c r="TPU50" s="9"/>
      <c r="TPV50" s="9"/>
      <c r="TPW50" s="9"/>
      <c r="TPX50" s="9"/>
      <c r="TPY50" s="9"/>
      <c r="TPZ50" s="9"/>
      <c r="TQA50" s="9"/>
      <c r="TQB50" s="9"/>
      <c r="TQC50" s="9"/>
      <c r="TQD50" s="9"/>
      <c r="TQE50" s="9"/>
      <c r="TQF50" s="9"/>
      <c r="TQG50" s="9"/>
      <c r="TQH50" s="9"/>
      <c r="TQI50" s="9"/>
      <c r="TQJ50" s="9"/>
      <c r="TQK50" s="9"/>
      <c r="TQL50" s="9"/>
      <c r="TQM50" s="9"/>
      <c r="TQN50" s="9"/>
      <c r="TQO50" s="9"/>
      <c r="TQP50" s="9"/>
      <c r="TQQ50" s="9"/>
      <c r="TQR50" s="9"/>
      <c r="TQS50" s="9"/>
      <c r="TQT50" s="9"/>
      <c r="TQU50" s="9"/>
      <c r="TQV50" s="9"/>
      <c r="TQW50" s="9"/>
      <c r="TQX50" s="9"/>
      <c r="TQY50" s="9"/>
      <c r="TQZ50" s="9"/>
      <c r="TRA50" s="9"/>
      <c r="TRB50" s="9"/>
      <c r="TRC50" s="9"/>
      <c r="TRD50" s="9"/>
      <c r="TRE50" s="9"/>
      <c r="TRF50" s="9"/>
      <c r="TRG50" s="9"/>
      <c r="TRH50" s="9"/>
      <c r="TRI50" s="9"/>
      <c r="TRJ50" s="9"/>
      <c r="TRK50" s="9"/>
      <c r="TRL50" s="9"/>
      <c r="TRM50" s="9"/>
      <c r="TRN50" s="9"/>
      <c r="TRO50" s="9"/>
      <c r="TRP50" s="9"/>
      <c r="TRQ50" s="9"/>
      <c r="TRR50" s="9"/>
      <c r="TRS50" s="9"/>
      <c r="TRT50" s="9"/>
      <c r="TRU50" s="9"/>
      <c r="TRV50" s="9"/>
      <c r="TRW50" s="9"/>
      <c r="TRX50" s="9"/>
      <c r="TRY50" s="9"/>
      <c r="TRZ50" s="9"/>
      <c r="TSA50" s="9"/>
      <c r="TSB50" s="9"/>
      <c r="TSC50" s="9"/>
      <c r="TSD50" s="9"/>
      <c r="TSE50" s="9"/>
      <c r="TSF50" s="9"/>
      <c r="TSG50" s="9"/>
      <c r="TSH50" s="9"/>
      <c r="TSI50" s="9"/>
      <c r="TSJ50" s="9"/>
      <c r="TSK50" s="9"/>
      <c r="TSL50" s="9"/>
      <c r="TSM50" s="9"/>
      <c r="TSN50" s="9"/>
      <c r="TSO50" s="9"/>
      <c r="TSP50" s="9"/>
      <c r="TSQ50" s="9"/>
      <c r="TSR50" s="9"/>
      <c r="TSS50" s="9"/>
      <c r="TST50" s="9"/>
      <c r="TSU50" s="9"/>
      <c r="TSV50" s="9"/>
      <c r="TSW50" s="9"/>
      <c r="TSX50" s="9"/>
      <c r="TSY50" s="9"/>
      <c r="TSZ50" s="9"/>
      <c r="TTA50" s="9"/>
      <c r="TTB50" s="9"/>
      <c r="TTC50" s="9"/>
      <c r="TTD50" s="9"/>
      <c r="TTE50" s="9"/>
      <c r="TTF50" s="9"/>
      <c r="TTG50" s="9"/>
      <c r="TTH50" s="9"/>
      <c r="TTI50" s="9"/>
      <c r="TTJ50" s="9"/>
      <c r="TTK50" s="9"/>
      <c r="TTL50" s="9"/>
      <c r="TTM50" s="9"/>
      <c r="TTN50" s="9"/>
      <c r="TTO50" s="9"/>
      <c r="TTP50" s="9"/>
      <c r="TTQ50" s="9"/>
      <c r="TTR50" s="9"/>
      <c r="TTS50" s="9"/>
      <c r="TTT50" s="9"/>
      <c r="TTU50" s="9"/>
      <c r="TTV50" s="9"/>
      <c r="TTW50" s="9"/>
      <c r="TTX50" s="9"/>
      <c r="TTY50" s="9"/>
      <c r="TTZ50" s="9"/>
      <c r="TUA50" s="9"/>
      <c r="TUB50" s="9"/>
      <c r="TUC50" s="9"/>
      <c r="TUD50" s="9"/>
      <c r="TUE50" s="9"/>
      <c r="TUF50" s="9"/>
      <c r="TUG50" s="9"/>
      <c r="TUH50" s="9"/>
      <c r="TUI50" s="9"/>
      <c r="TUJ50" s="9"/>
      <c r="TUK50" s="9"/>
      <c r="TUL50" s="9"/>
      <c r="TUM50" s="9"/>
      <c r="TUN50" s="9"/>
      <c r="TUO50" s="9"/>
      <c r="TUP50" s="9"/>
      <c r="TUQ50" s="9"/>
      <c r="TUR50" s="9"/>
      <c r="TUS50" s="9"/>
      <c r="TUT50" s="9"/>
      <c r="TUU50" s="9"/>
      <c r="TUV50" s="9"/>
      <c r="TUW50" s="9"/>
      <c r="TUX50" s="9"/>
      <c r="TUY50" s="9"/>
      <c r="TUZ50" s="9"/>
      <c r="TVA50" s="9"/>
      <c r="TVB50" s="9"/>
      <c r="TVC50" s="9"/>
      <c r="TVD50" s="9"/>
      <c r="TVE50" s="9"/>
      <c r="TVF50" s="9"/>
      <c r="TVG50" s="9"/>
      <c r="TVH50" s="9"/>
      <c r="TVI50" s="9"/>
      <c r="TVJ50" s="9"/>
      <c r="TVK50" s="9"/>
      <c r="TVL50" s="9"/>
      <c r="TVM50" s="9"/>
      <c r="TVN50" s="9"/>
      <c r="TVO50" s="9"/>
      <c r="TVP50" s="9"/>
      <c r="TVQ50" s="9"/>
      <c r="TVR50" s="9"/>
      <c r="TVS50" s="9"/>
      <c r="TVT50" s="9"/>
      <c r="TVU50" s="9"/>
      <c r="TVV50" s="9"/>
      <c r="TVW50" s="9"/>
      <c r="TVX50" s="9"/>
      <c r="TVY50" s="9"/>
      <c r="TVZ50" s="9"/>
      <c r="TWA50" s="9"/>
      <c r="TWB50" s="9"/>
      <c r="TWC50" s="9"/>
      <c r="TWD50" s="9"/>
      <c r="TWE50" s="9"/>
      <c r="TWF50" s="9"/>
      <c r="TWG50" s="9"/>
      <c r="TWH50" s="9"/>
      <c r="TWI50" s="9"/>
      <c r="TWJ50" s="9"/>
      <c r="TWK50" s="9"/>
      <c r="TWL50" s="9"/>
      <c r="TWM50" s="9"/>
      <c r="TWN50" s="9"/>
      <c r="TWO50" s="9"/>
      <c r="TWP50" s="9"/>
      <c r="TWQ50" s="9"/>
      <c r="TWR50" s="9"/>
      <c r="TWS50" s="9"/>
      <c r="TWT50" s="9"/>
      <c r="TWU50" s="9"/>
      <c r="TWV50" s="9"/>
      <c r="TWW50" s="9"/>
      <c r="TWX50" s="9"/>
      <c r="TWY50" s="9"/>
      <c r="TWZ50" s="9"/>
      <c r="TXA50" s="9"/>
      <c r="TXB50" s="9"/>
      <c r="TXC50" s="9"/>
      <c r="TXD50" s="9"/>
      <c r="TXE50" s="9"/>
      <c r="TXF50" s="9"/>
      <c r="TXG50" s="9"/>
      <c r="TXH50" s="9"/>
      <c r="TXI50" s="9"/>
      <c r="TXJ50" s="9"/>
      <c r="TXK50" s="9"/>
      <c r="TXL50" s="9"/>
      <c r="TXM50" s="9"/>
      <c r="TXN50" s="9"/>
      <c r="TXO50" s="9"/>
      <c r="TXP50" s="9"/>
      <c r="TXQ50" s="9"/>
      <c r="TXR50" s="9"/>
      <c r="TXS50" s="9"/>
      <c r="TXT50" s="9"/>
      <c r="TXU50" s="9"/>
      <c r="TXV50" s="9"/>
      <c r="TXW50" s="9"/>
      <c r="TXX50" s="9"/>
      <c r="TXY50" s="9"/>
      <c r="TXZ50" s="9"/>
      <c r="TYA50" s="9"/>
      <c r="TYB50" s="9"/>
      <c r="TYC50" s="9"/>
      <c r="TYD50" s="9"/>
      <c r="TYE50" s="9"/>
      <c r="TYF50" s="9"/>
      <c r="TYG50" s="9"/>
      <c r="TYH50" s="9"/>
      <c r="TYI50" s="9"/>
      <c r="TYJ50" s="9"/>
      <c r="TYK50" s="9"/>
      <c r="TYL50" s="9"/>
      <c r="TYM50" s="9"/>
      <c r="TYN50" s="9"/>
      <c r="TYO50" s="9"/>
      <c r="TYP50" s="9"/>
      <c r="TYQ50" s="9"/>
      <c r="TYR50" s="9"/>
      <c r="TYS50" s="9"/>
      <c r="TYT50" s="9"/>
      <c r="TYU50" s="9"/>
      <c r="TYV50" s="9"/>
      <c r="TYW50" s="9"/>
      <c r="TYX50" s="9"/>
      <c r="TYY50" s="9"/>
      <c r="TYZ50" s="9"/>
      <c r="TZA50" s="9"/>
      <c r="TZB50" s="9"/>
      <c r="TZC50" s="9"/>
      <c r="TZD50" s="9"/>
      <c r="TZE50" s="9"/>
      <c r="TZF50" s="9"/>
      <c r="TZG50" s="9"/>
      <c r="TZH50" s="9"/>
      <c r="TZI50" s="9"/>
      <c r="TZJ50" s="9"/>
      <c r="TZK50" s="9"/>
      <c r="TZL50" s="9"/>
      <c r="TZM50" s="9"/>
      <c r="TZN50" s="9"/>
      <c r="TZO50" s="9"/>
      <c r="TZP50" s="9"/>
      <c r="TZQ50" s="9"/>
      <c r="TZR50" s="9"/>
      <c r="TZS50" s="9"/>
      <c r="TZT50" s="9"/>
      <c r="TZU50" s="9"/>
      <c r="TZV50" s="9"/>
      <c r="TZW50" s="9"/>
      <c r="TZX50" s="9"/>
      <c r="TZY50" s="9"/>
      <c r="TZZ50" s="9"/>
      <c r="UAA50" s="9"/>
      <c r="UAB50" s="9"/>
      <c r="UAC50" s="9"/>
      <c r="UAD50" s="9"/>
      <c r="UAE50" s="9"/>
      <c r="UAF50" s="9"/>
      <c r="UAG50" s="9"/>
      <c r="UAH50" s="9"/>
      <c r="UAI50" s="9"/>
      <c r="UAJ50" s="9"/>
      <c r="UAK50" s="9"/>
      <c r="UAL50" s="9"/>
      <c r="UAM50" s="9"/>
      <c r="UAN50" s="9"/>
      <c r="UAO50" s="9"/>
      <c r="UAP50" s="9"/>
      <c r="UAQ50" s="9"/>
      <c r="UAR50" s="9"/>
      <c r="UAS50" s="9"/>
      <c r="UAT50" s="9"/>
      <c r="UAU50" s="9"/>
      <c r="UAV50" s="9"/>
      <c r="UAW50" s="9"/>
      <c r="UAX50" s="9"/>
      <c r="UAY50" s="9"/>
      <c r="UAZ50" s="9"/>
      <c r="UBA50" s="9"/>
      <c r="UBB50" s="9"/>
      <c r="UBC50" s="9"/>
      <c r="UBD50" s="9"/>
      <c r="UBE50" s="9"/>
      <c r="UBF50" s="9"/>
      <c r="UBG50" s="9"/>
      <c r="UBH50" s="9"/>
      <c r="UBI50" s="9"/>
      <c r="UBJ50" s="9"/>
      <c r="UBK50" s="9"/>
      <c r="UBL50" s="9"/>
      <c r="UBM50" s="9"/>
      <c r="UBN50" s="9"/>
      <c r="UBO50" s="9"/>
      <c r="UBP50" s="9"/>
      <c r="UBQ50" s="9"/>
      <c r="UBR50" s="9"/>
      <c r="UBS50" s="9"/>
      <c r="UBT50" s="9"/>
      <c r="UBU50" s="9"/>
      <c r="UBV50" s="9"/>
      <c r="UBW50" s="9"/>
      <c r="UBX50" s="9"/>
      <c r="UBY50" s="9"/>
      <c r="UBZ50" s="9"/>
      <c r="UCA50" s="9"/>
      <c r="UCB50" s="9"/>
      <c r="UCC50" s="9"/>
      <c r="UCD50" s="9"/>
      <c r="UCE50" s="9"/>
      <c r="UCF50" s="9"/>
      <c r="UCG50" s="9"/>
      <c r="UCH50" s="9"/>
      <c r="UCI50" s="9"/>
      <c r="UCJ50" s="9"/>
      <c r="UCK50" s="9"/>
      <c r="UCL50" s="9"/>
      <c r="UCM50" s="9"/>
      <c r="UCN50" s="9"/>
      <c r="UCO50" s="9"/>
      <c r="UCP50" s="9"/>
      <c r="UCQ50" s="9"/>
      <c r="UCR50" s="9"/>
      <c r="UCS50" s="9"/>
      <c r="UCT50" s="9"/>
      <c r="UCU50" s="9"/>
      <c r="UCV50" s="9"/>
      <c r="UCW50" s="9"/>
      <c r="UCX50" s="9"/>
      <c r="UCY50" s="9"/>
      <c r="UCZ50" s="9"/>
      <c r="UDA50" s="9"/>
      <c r="UDB50" s="9"/>
      <c r="UDC50" s="9"/>
      <c r="UDD50" s="9"/>
      <c r="UDE50" s="9"/>
      <c r="UDF50" s="9"/>
      <c r="UDG50" s="9"/>
      <c r="UDH50" s="9"/>
      <c r="UDI50" s="9"/>
      <c r="UDJ50" s="9"/>
      <c r="UDK50" s="9"/>
      <c r="UDL50" s="9"/>
      <c r="UDM50" s="9"/>
      <c r="UDN50" s="9"/>
      <c r="UDO50" s="9"/>
      <c r="UDP50" s="9"/>
      <c r="UDQ50" s="9"/>
      <c r="UDR50" s="9"/>
      <c r="UDS50" s="9"/>
      <c r="UDT50" s="9"/>
      <c r="UDU50" s="9"/>
      <c r="UDV50" s="9"/>
      <c r="UDW50" s="9"/>
      <c r="UDX50" s="9"/>
      <c r="UDY50" s="9"/>
      <c r="UDZ50" s="9"/>
      <c r="UEA50" s="9"/>
      <c r="UEB50" s="9"/>
      <c r="UEC50" s="9"/>
      <c r="UED50" s="9"/>
      <c r="UEE50" s="9"/>
      <c r="UEF50" s="9"/>
      <c r="UEG50" s="9"/>
      <c r="UEH50" s="9"/>
      <c r="UEI50" s="9"/>
      <c r="UEJ50" s="9"/>
      <c r="UEK50" s="9"/>
      <c r="UEL50" s="9"/>
      <c r="UEM50" s="9"/>
      <c r="UEN50" s="9"/>
      <c r="UEO50" s="9"/>
      <c r="UEP50" s="9"/>
      <c r="UEQ50" s="9"/>
      <c r="UER50" s="9"/>
      <c r="UES50" s="9"/>
      <c r="UET50" s="9"/>
      <c r="UEU50" s="9"/>
      <c r="UEV50" s="9"/>
      <c r="UEW50" s="9"/>
      <c r="UEX50" s="9"/>
      <c r="UEY50" s="9"/>
      <c r="UEZ50" s="9"/>
      <c r="UFA50" s="9"/>
      <c r="UFB50" s="9"/>
      <c r="UFC50" s="9"/>
      <c r="UFD50" s="9"/>
      <c r="UFE50" s="9"/>
      <c r="UFF50" s="9"/>
      <c r="UFG50" s="9"/>
      <c r="UFH50" s="9"/>
      <c r="UFI50" s="9"/>
      <c r="UFJ50" s="9"/>
      <c r="UFK50" s="9"/>
      <c r="UFL50" s="9"/>
      <c r="UFM50" s="9"/>
      <c r="UFN50" s="9"/>
      <c r="UFO50" s="9"/>
      <c r="UFP50" s="9"/>
      <c r="UFQ50" s="9"/>
      <c r="UFR50" s="9"/>
      <c r="UFS50" s="9"/>
      <c r="UFT50" s="9"/>
      <c r="UFU50" s="9"/>
      <c r="UFV50" s="9"/>
      <c r="UFW50" s="9"/>
      <c r="UFX50" s="9"/>
      <c r="UFY50" s="9"/>
      <c r="UFZ50" s="9"/>
      <c r="UGA50" s="9"/>
      <c r="UGB50" s="9"/>
      <c r="UGC50" s="9"/>
      <c r="UGD50" s="9"/>
      <c r="UGE50" s="9"/>
      <c r="UGF50" s="9"/>
      <c r="UGG50" s="9"/>
      <c r="UGH50" s="9"/>
      <c r="UGI50" s="9"/>
      <c r="UGJ50" s="9"/>
      <c r="UGK50" s="9"/>
      <c r="UGL50" s="9"/>
      <c r="UGM50" s="9"/>
      <c r="UGN50" s="9"/>
      <c r="UGO50" s="9"/>
      <c r="UGP50" s="9"/>
      <c r="UGQ50" s="9"/>
      <c r="UGR50" s="9"/>
      <c r="UGS50" s="9"/>
      <c r="UGT50" s="9"/>
      <c r="UGU50" s="9"/>
      <c r="UGV50" s="9"/>
      <c r="UGW50" s="9"/>
      <c r="UGX50" s="9"/>
      <c r="UGY50" s="9"/>
      <c r="UGZ50" s="9"/>
      <c r="UHA50" s="9"/>
      <c r="UHB50" s="9"/>
      <c r="UHC50" s="9"/>
      <c r="UHD50" s="9"/>
      <c r="UHE50" s="9"/>
      <c r="UHF50" s="9"/>
      <c r="UHG50" s="9"/>
      <c r="UHH50" s="9"/>
      <c r="UHI50" s="9"/>
      <c r="UHJ50" s="9"/>
      <c r="UHK50" s="9"/>
      <c r="UHL50" s="9"/>
      <c r="UHM50" s="9"/>
      <c r="UHN50" s="9"/>
      <c r="UHO50" s="9"/>
      <c r="UHP50" s="9"/>
      <c r="UHQ50" s="9"/>
      <c r="UHR50" s="9"/>
      <c r="UHS50" s="9"/>
      <c r="UHT50" s="9"/>
      <c r="UHU50" s="9"/>
      <c r="UHV50" s="9"/>
      <c r="UHW50" s="9"/>
      <c r="UHX50" s="9"/>
      <c r="UHY50" s="9"/>
      <c r="UHZ50" s="9"/>
      <c r="UIA50" s="9"/>
      <c r="UIB50" s="9"/>
      <c r="UIC50" s="9"/>
      <c r="UID50" s="9"/>
      <c r="UIE50" s="9"/>
      <c r="UIF50" s="9"/>
      <c r="UIG50" s="9"/>
      <c r="UIH50" s="9"/>
      <c r="UII50" s="9"/>
      <c r="UIJ50" s="9"/>
      <c r="UIK50" s="9"/>
      <c r="UIL50" s="9"/>
      <c r="UIM50" s="9"/>
      <c r="UIN50" s="9"/>
      <c r="UIO50" s="9"/>
      <c r="UIP50" s="9"/>
      <c r="UIQ50" s="9"/>
      <c r="UIR50" s="9"/>
      <c r="UIS50" s="9"/>
      <c r="UIT50" s="9"/>
      <c r="UIU50" s="9"/>
      <c r="UIV50" s="9"/>
      <c r="UIW50" s="9"/>
      <c r="UIX50" s="9"/>
      <c r="UIY50" s="9"/>
      <c r="UIZ50" s="9"/>
      <c r="UJA50" s="9"/>
      <c r="UJB50" s="9"/>
      <c r="UJC50" s="9"/>
      <c r="UJD50" s="9"/>
      <c r="UJE50" s="9"/>
      <c r="UJF50" s="9"/>
      <c r="UJG50" s="9"/>
      <c r="UJH50" s="9"/>
      <c r="UJI50" s="9"/>
      <c r="UJJ50" s="9"/>
      <c r="UJK50" s="9"/>
      <c r="UJL50" s="9"/>
      <c r="UJM50" s="9"/>
      <c r="UJN50" s="9"/>
      <c r="UJO50" s="9"/>
      <c r="UJP50" s="9"/>
      <c r="UJQ50" s="9"/>
      <c r="UJR50" s="9"/>
      <c r="UJS50" s="9"/>
      <c r="UJT50" s="9"/>
      <c r="UJU50" s="9"/>
      <c r="UJV50" s="9"/>
      <c r="UJW50" s="9"/>
      <c r="UJX50" s="9"/>
      <c r="UJY50" s="9"/>
      <c r="UJZ50" s="9"/>
      <c r="UKA50" s="9"/>
      <c r="UKB50" s="9"/>
      <c r="UKC50" s="9"/>
      <c r="UKD50" s="9"/>
      <c r="UKE50" s="9"/>
      <c r="UKF50" s="9"/>
      <c r="UKG50" s="9"/>
      <c r="UKH50" s="9"/>
      <c r="UKI50" s="9"/>
      <c r="UKJ50" s="9"/>
      <c r="UKK50" s="9"/>
      <c r="UKL50" s="9"/>
      <c r="UKM50" s="9"/>
      <c r="UKN50" s="9"/>
      <c r="UKO50" s="9"/>
      <c r="UKP50" s="9"/>
      <c r="UKQ50" s="9"/>
      <c r="UKR50" s="9"/>
      <c r="UKS50" s="9"/>
      <c r="UKT50" s="9"/>
      <c r="UKU50" s="9"/>
      <c r="UKV50" s="9"/>
      <c r="UKW50" s="9"/>
      <c r="UKX50" s="9"/>
      <c r="UKY50" s="9"/>
      <c r="UKZ50" s="9"/>
      <c r="ULA50" s="9"/>
      <c r="ULB50" s="9"/>
      <c r="ULC50" s="9"/>
      <c r="ULD50" s="9"/>
      <c r="ULE50" s="9"/>
      <c r="ULF50" s="9"/>
      <c r="ULG50" s="9"/>
      <c r="ULH50" s="9"/>
      <c r="ULI50" s="9"/>
      <c r="ULJ50" s="9"/>
      <c r="ULK50" s="9"/>
      <c r="ULL50" s="9"/>
      <c r="ULM50" s="9"/>
      <c r="ULN50" s="9"/>
      <c r="ULO50" s="9"/>
      <c r="ULP50" s="9"/>
      <c r="ULQ50" s="9"/>
      <c r="ULR50" s="9"/>
      <c r="ULS50" s="9"/>
      <c r="ULT50" s="9"/>
      <c r="ULU50" s="9"/>
      <c r="ULV50" s="9"/>
      <c r="ULW50" s="9"/>
      <c r="ULX50" s="9"/>
      <c r="ULY50" s="9"/>
      <c r="ULZ50" s="9"/>
      <c r="UMA50" s="9"/>
      <c r="UMB50" s="9"/>
      <c r="UMC50" s="9"/>
      <c r="UMD50" s="9"/>
      <c r="UME50" s="9"/>
      <c r="UMF50" s="9"/>
      <c r="UMG50" s="9"/>
      <c r="UMH50" s="9"/>
      <c r="UMI50" s="9"/>
      <c r="UMJ50" s="9"/>
      <c r="UMK50" s="9"/>
      <c r="UML50" s="9"/>
      <c r="UMM50" s="9"/>
      <c r="UMN50" s="9"/>
      <c r="UMO50" s="9"/>
      <c r="UMP50" s="9"/>
      <c r="UMQ50" s="9"/>
      <c r="UMR50" s="9"/>
      <c r="UMS50" s="9"/>
      <c r="UMT50" s="9"/>
      <c r="UMU50" s="9"/>
      <c r="UMV50" s="9"/>
      <c r="UMW50" s="9"/>
      <c r="UMX50" s="9"/>
      <c r="UMY50" s="9"/>
      <c r="UMZ50" s="9"/>
      <c r="UNA50" s="9"/>
      <c r="UNB50" s="9"/>
      <c r="UNC50" s="9"/>
      <c r="UND50" s="9"/>
      <c r="UNE50" s="9"/>
      <c r="UNF50" s="9"/>
      <c r="UNG50" s="9"/>
      <c r="UNH50" s="9"/>
      <c r="UNI50" s="9"/>
      <c r="UNJ50" s="9"/>
      <c r="UNK50" s="9"/>
      <c r="UNL50" s="9"/>
      <c r="UNM50" s="9"/>
      <c r="UNN50" s="9"/>
      <c r="UNO50" s="9"/>
      <c r="UNP50" s="9"/>
      <c r="UNQ50" s="9"/>
      <c r="UNR50" s="9"/>
      <c r="UNS50" s="9"/>
      <c r="UNT50" s="9"/>
      <c r="UNU50" s="9"/>
      <c r="UNV50" s="9"/>
      <c r="UNW50" s="9"/>
      <c r="UNX50" s="9"/>
      <c r="UNY50" s="9"/>
      <c r="UNZ50" s="9"/>
      <c r="UOA50" s="9"/>
      <c r="UOB50" s="9"/>
      <c r="UOC50" s="9"/>
      <c r="UOD50" s="9"/>
      <c r="UOE50" s="9"/>
      <c r="UOF50" s="9"/>
      <c r="UOG50" s="9"/>
      <c r="UOH50" s="9"/>
      <c r="UOI50" s="9"/>
      <c r="UOJ50" s="9"/>
      <c r="UOK50" s="9"/>
      <c r="UOL50" s="9"/>
      <c r="UOM50" s="9"/>
      <c r="UON50" s="9"/>
      <c r="UOO50" s="9"/>
      <c r="UOP50" s="9"/>
      <c r="UOQ50" s="9"/>
      <c r="UOR50" s="9"/>
      <c r="UOS50" s="9"/>
      <c r="UOT50" s="9"/>
      <c r="UOU50" s="9"/>
      <c r="UOV50" s="9"/>
      <c r="UOW50" s="9"/>
      <c r="UOX50" s="9"/>
      <c r="UOY50" s="9"/>
      <c r="UOZ50" s="9"/>
      <c r="UPA50" s="9"/>
      <c r="UPB50" s="9"/>
      <c r="UPC50" s="9"/>
      <c r="UPD50" s="9"/>
      <c r="UPE50" s="9"/>
      <c r="UPF50" s="9"/>
      <c r="UPG50" s="9"/>
      <c r="UPH50" s="9"/>
      <c r="UPI50" s="9"/>
      <c r="UPJ50" s="9"/>
      <c r="UPK50" s="9"/>
      <c r="UPL50" s="9"/>
      <c r="UPM50" s="9"/>
      <c r="UPN50" s="9"/>
      <c r="UPO50" s="9"/>
      <c r="UPP50" s="9"/>
      <c r="UPQ50" s="9"/>
      <c r="UPR50" s="9"/>
      <c r="UPS50" s="9"/>
      <c r="UPT50" s="9"/>
      <c r="UPU50" s="9"/>
      <c r="UPV50" s="9"/>
      <c r="UPW50" s="9"/>
      <c r="UPX50" s="9"/>
      <c r="UPY50" s="9"/>
      <c r="UPZ50" s="9"/>
      <c r="UQA50" s="9"/>
      <c r="UQB50" s="9"/>
      <c r="UQC50" s="9"/>
      <c r="UQD50" s="9"/>
      <c r="UQE50" s="9"/>
      <c r="UQF50" s="9"/>
      <c r="UQG50" s="9"/>
      <c r="UQH50" s="9"/>
      <c r="UQI50" s="9"/>
      <c r="UQJ50" s="9"/>
      <c r="UQK50" s="9"/>
      <c r="UQL50" s="9"/>
      <c r="UQM50" s="9"/>
      <c r="UQN50" s="9"/>
      <c r="UQO50" s="9"/>
      <c r="UQP50" s="9"/>
      <c r="UQQ50" s="9"/>
      <c r="UQR50" s="9"/>
      <c r="UQS50" s="9"/>
      <c r="UQT50" s="9"/>
      <c r="UQU50" s="9"/>
      <c r="UQV50" s="9"/>
      <c r="UQW50" s="9"/>
      <c r="UQX50" s="9"/>
      <c r="UQY50" s="9"/>
      <c r="UQZ50" s="9"/>
      <c r="URA50" s="9"/>
      <c r="URB50" s="9"/>
      <c r="URC50" s="9"/>
      <c r="URD50" s="9"/>
      <c r="URE50" s="9"/>
      <c r="URF50" s="9"/>
      <c r="URG50" s="9"/>
      <c r="URH50" s="9"/>
      <c r="URI50" s="9"/>
      <c r="URJ50" s="9"/>
      <c r="URK50" s="9"/>
      <c r="URL50" s="9"/>
      <c r="URM50" s="9"/>
      <c r="URN50" s="9"/>
      <c r="URO50" s="9"/>
      <c r="URP50" s="9"/>
      <c r="URQ50" s="9"/>
      <c r="URR50" s="9"/>
      <c r="URS50" s="9"/>
      <c r="URT50" s="9"/>
      <c r="URU50" s="9"/>
      <c r="URV50" s="9"/>
      <c r="URW50" s="9"/>
      <c r="URX50" s="9"/>
      <c r="URY50" s="9"/>
      <c r="URZ50" s="9"/>
      <c r="USA50" s="9"/>
      <c r="USB50" s="9"/>
      <c r="USC50" s="9"/>
      <c r="USD50" s="9"/>
      <c r="USE50" s="9"/>
      <c r="USF50" s="9"/>
      <c r="USG50" s="9"/>
      <c r="USH50" s="9"/>
      <c r="USI50" s="9"/>
      <c r="USJ50" s="9"/>
      <c r="USK50" s="9"/>
      <c r="USL50" s="9"/>
      <c r="USM50" s="9"/>
      <c r="USN50" s="9"/>
      <c r="USO50" s="9"/>
      <c r="USP50" s="9"/>
      <c r="USQ50" s="9"/>
      <c r="USR50" s="9"/>
      <c r="USS50" s="9"/>
      <c r="UST50" s="9"/>
      <c r="USU50" s="9"/>
      <c r="USV50" s="9"/>
      <c r="USW50" s="9"/>
      <c r="USX50" s="9"/>
      <c r="USY50" s="9"/>
      <c r="USZ50" s="9"/>
      <c r="UTA50" s="9"/>
      <c r="UTB50" s="9"/>
      <c r="UTC50" s="9"/>
      <c r="UTD50" s="9"/>
      <c r="UTE50" s="9"/>
      <c r="UTF50" s="9"/>
      <c r="UTG50" s="9"/>
      <c r="UTH50" s="9"/>
      <c r="UTI50" s="9"/>
      <c r="UTJ50" s="9"/>
      <c r="UTK50" s="9"/>
      <c r="UTL50" s="9"/>
      <c r="UTM50" s="9"/>
      <c r="UTN50" s="9"/>
      <c r="UTO50" s="9"/>
      <c r="UTP50" s="9"/>
      <c r="UTQ50" s="9"/>
      <c r="UTR50" s="9"/>
      <c r="UTS50" s="9"/>
      <c r="UTT50" s="9"/>
      <c r="UTU50" s="9"/>
      <c r="UTV50" s="9"/>
      <c r="UTW50" s="9"/>
      <c r="UTX50" s="9"/>
      <c r="UTY50" s="9"/>
      <c r="UTZ50" s="9"/>
      <c r="UUA50" s="9"/>
      <c r="UUB50" s="9"/>
      <c r="UUC50" s="9"/>
      <c r="UUD50" s="9"/>
      <c r="UUE50" s="9"/>
      <c r="UUF50" s="9"/>
      <c r="UUG50" s="9"/>
      <c r="UUH50" s="9"/>
      <c r="UUI50" s="9"/>
      <c r="UUJ50" s="9"/>
      <c r="UUK50" s="9"/>
      <c r="UUL50" s="9"/>
      <c r="UUM50" s="9"/>
      <c r="UUN50" s="9"/>
      <c r="UUO50" s="9"/>
      <c r="UUP50" s="9"/>
      <c r="UUQ50" s="9"/>
      <c r="UUR50" s="9"/>
      <c r="UUS50" s="9"/>
      <c r="UUT50" s="9"/>
      <c r="UUU50" s="9"/>
      <c r="UUV50" s="9"/>
      <c r="UUW50" s="9"/>
      <c r="UUX50" s="9"/>
      <c r="UUY50" s="9"/>
      <c r="UUZ50" s="9"/>
      <c r="UVA50" s="9"/>
      <c r="UVB50" s="9"/>
      <c r="UVC50" s="9"/>
      <c r="UVD50" s="9"/>
      <c r="UVE50" s="9"/>
      <c r="UVF50" s="9"/>
      <c r="UVG50" s="9"/>
      <c r="UVH50" s="9"/>
      <c r="UVI50" s="9"/>
      <c r="UVJ50" s="9"/>
      <c r="UVK50" s="9"/>
      <c r="UVL50" s="9"/>
      <c r="UVM50" s="9"/>
      <c r="UVN50" s="9"/>
      <c r="UVO50" s="9"/>
      <c r="UVP50" s="9"/>
      <c r="UVQ50" s="9"/>
      <c r="UVR50" s="9"/>
      <c r="UVS50" s="9"/>
      <c r="UVT50" s="9"/>
      <c r="UVU50" s="9"/>
      <c r="UVV50" s="9"/>
      <c r="UVW50" s="9"/>
      <c r="UVX50" s="9"/>
      <c r="UVY50" s="9"/>
      <c r="UVZ50" s="9"/>
      <c r="UWA50" s="9"/>
      <c r="UWB50" s="9"/>
      <c r="UWC50" s="9"/>
      <c r="UWD50" s="9"/>
      <c r="UWE50" s="9"/>
      <c r="UWF50" s="9"/>
      <c r="UWG50" s="9"/>
      <c r="UWH50" s="9"/>
      <c r="UWI50" s="9"/>
      <c r="UWJ50" s="9"/>
      <c r="UWK50" s="9"/>
      <c r="UWL50" s="9"/>
      <c r="UWM50" s="9"/>
      <c r="UWN50" s="9"/>
      <c r="UWO50" s="9"/>
      <c r="UWP50" s="9"/>
      <c r="UWQ50" s="9"/>
      <c r="UWR50" s="9"/>
      <c r="UWS50" s="9"/>
      <c r="UWT50" s="9"/>
      <c r="UWU50" s="9"/>
      <c r="UWV50" s="9"/>
      <c r="UWW50" s="9"/>
      <c r="UWX50" s="9"/>
      <c r="UWY50" s="9"/>
      <c r="UWZ50" s="9"/>
      <c r="UXA50" s="9"/>
      <c r="UXB50" s="9"/>
      <c r="UXC50" s="9"/>
      <c r="UXD50" s="9"/>
      <c r="UXE50" s="9"/>
      <c r="UXF50" s="9"/>
      <c r="UXG50" s="9"/>
      <c r="UXH50" s="9"/>
      <c r="UXI50" s="9"/>
      <c r="UXJ50" s="9"/>
      <c r="UXK50" s="9"/>
      <c r="UXL50" s="9"/>
      <c r="UXM50" s="9"/>
      <c r="UXN50" s="9"/>
      <c r="UXO50" s="9"/>
      <c r="UXP50" s="9"/>
      <c r="UXQ50" s="9"/>
      <c r="UXR50" s="9"/>
      <c r="UXS50" s="9"/>
      <c r="UXT50" s="9"/>
      <c r="UXU50" s="9"/>
      <c r="UXV50" s="9"/>
      <c r="UXW50" s="9"/>
      <c r="UXX50" s="9"/>
      <c r="UXY50" s="9"/>
      <c r="UXZ50" s="9"/>
      <c r="UYA50" s="9"/>
      <c r="UYB50" s="9"/>
      <c r="UYC50" s="9"/>
      <c r="UYD50" s="9"/>
      <c r="UYE50" s="9"/>
      <c r="UYF50" s="9"/>
      <c r="UYG50" s="9"/>
      <c r="UYH50" s="9"/>
      <c r="UYI50" s="9"/>
      <c r="UYJ50" s="9"/>
      <c r="UYK50" s="9"/>
      <c r="UYL50" s="9"/>
      <c r="UYM50" s="9"/>
      <c r="UYN50" s="9"/>
      <c r="UYO50" s="9"/>
      <c r="UYP50" s="9"/>
      <c r="UYQ50" s="9"/>
      <c r="UYR50" s="9"/>
      <c r="UYS50" s="9"/>
      <c r="UYT50" s="9"/>
      <c r="UYU50" s="9"/>
      <c r="UYV50" s="9"/>
      <c r="UYW50" s="9"/>
      <c r="UYX50" s="9"/>
      <c r="UYY50" s="9"/>
      <c r="UYZ50" s="9"/>
      <c r="UZA50" s="9"/>
      <c r="UZB50" s="9"/>
      <c r="UZC50" s="9"/>
      <c r="UZD50" s="9"/>
      <c r="UZE50" s="9"/>
      <c r="UZF50" s="9"/>
      <c r="UZG50" s="9"/>
      <c r="UZH50" s="9"/>
      <c r="UZI50" s="9"/>
      <c r="UZJ50" s="9"/>
      <c r="UZK50" s="9"/>
      <c r="UZL50" s="9"/>
      <c r="UZM50" s="9"/>
      <c r="UZN50" s="9"/>
      <c r="UZO50" s="9"/>
      <c r="UZP50" s="9"/>
      <c r="UZQ50" s="9"/>
      <c r="UZR50" s="9"/>
      <c r="UZS50" s="9"/>
      <c r="UZT50" s="9"/>
      <c r="UZU50" s="9"/>
      <c r="UZV50" s="9"/>
      <c r="UZW50" s="9"/>
      <c r="UZX50" s="9"/>
      <c r="UZY50" s="9"/>
      <c r="UZZ50" s="9"/>
      <c r="VAA50" s="9"/>
      <c r="VAB50" s="9"/>
      <c r="VAC50" s="9"/>
      <c r="VAD50" s="9"/>
      <c r="VAE50" s="9"/>
      <c r="VAF50" s="9"/>
      <c r="VAG50" s="9"/>
      <c r="VAH50" s="9"/>
      <c r="VAI50" s="9"/>
      <c r="VAJ50" s="9"/>
      <c r="VAK50" s="9"/>
      <c r="VAL50" s="9"/>
      <c r="VAM50" s="9"/>
      <c r="VAN50" s="9"/>
      <c r="VAO50" s="9"/>
      <c r="VAP50" s="9"/>
      <c r="VAQ50" s="9"/>
      <c r="VAR50" s="9"/>
      <c r="VAS50" s="9"/>
      <c r="VAT50" s="9"/>
      <c r="VAU50" s="9"/>
      <c r="VAV50" s="9"/>
      <c r="VAW50" s="9"/>
      <c r="VAX50" s="9"/>
      <c r="VAY50" s="9"/>
      <c r="VAZ50" s="9"/>
      <c r="VBA50" s="9"/>
      <c r="VBB50" s="9"/>
      <c r="VBC50" s="9"/>
      <c r="VBD50" s="9"/>
      <c r="VBE50" s="9"/>
      <c r="VBF50" s="9"/>
      <c r="VBG50" s="9"/>
      <c r="VBH50" s="9"/>
      <c r="VBI50" s="9"/>
      <c r="VBJ50" s="9"/>
      <c r="VBK50" s="9"/>
      <c r="VBL50" s="9"/>
      <c r="VBM50" s="9"/>
      <c r="VBN50" s="9"/>
      <c r="VBO50" s="9"/>
      <c r="VBP50" s="9"/>
      <c r="VBQ50" s="9"/>
      <c r="VBR50" s="9"/>
      <c r="VBS50" s="9"/>
      <c r="VBT50" s="9"/>
      <c r="VBU50" s="9"/>
      <c r="VBV50" s="9"/>
      <c r="VBW50" s="9"/>
      <c r="VBX50" s="9"/>
      <c r="VBY50" s="9"/>
      <c r="VBZ50" s="9"/>
      <c r="VCA50" s="9"/>
      <c r="VCB50" s="9"/>
      <c r="VCC50" s="9"/>
      <c r="VCD50" s="9"/>
      <c r="VCE50" s="9"/>
      <c r="VCF50" s="9"/>
      <c r="VCG50" s="9"/>
      <c r="VCH50" s="9"/>
      <c r="VCI50" s="9"/>
      <c r="VCJ50" s="9"/>
      <c r="VCK50" s="9"/>
      <c r="VCL50" s="9"/>
      <c r="VCM50" s="9"/>
      <c r="VCN50" s="9"/>
      <c r="VCO50" s="9"/>
      <c r="VCP50" s="9"/>
      <c r="VCQ50" s="9"/>
      <c r="VCR50" s="9"/>
      <c r="VCS50" s="9"/>
      <c r="VCT50" s="9"/>
      <c r="VCU50" s="9"/>
      <c r="VCV50" s="9"/>
      <c r="VCW50" s="9"/>
      <c r="VCX50" s="9"/>
      <c r="VCY50" s="9"/>
      <c r="VCZ50" s="9"/>
      <c r="VDA50" s="9"/>
      <c r="VDB50" s="9"/>
      <c r="VDC50" s="9"/>
      <c r="VDD50" s="9"/>
      <c r="VDE50" s="9"/>
      <c r="VDF50" s="9"/>
      <c r="VDG50" s="9"/>
      <c r="VDH50" s="9"/>
      <c r="VDI50" s="9"/>
      <c r="VDJ50" s="9"/>
      <c r="VDK50" s="9"/>
      <c r="VDL50" s="9"/>
      <c r="VDM50" s="9"/>
      <c r="VDN50" s="9"/>
      <c r="VDO50" s="9"/>
      <c r="VDP50" s="9"/>
      <c r="VDQ50" s="9"/>
      <c r="VDR50" s="9"/>
      <c r="VDS50" s="9"/>
      <c r="VDT50" s="9"/>
      <c r="VDU50" s="9"/>
      <c r="VDV50" s="9"/>
      <c r="VDW50" s="9"/>
      <c r="VDX50" s="9"/>
      <c r="VDY50" s="9"/>
      <c r="VDZ50" s="9"/>
      <c r="VEA50" s="9"/>
      <c r="VEB50" s="9"/>
      <c r="VEC50" s="9"/>
      <c r="VED50" s="9"/>
      <c r="VEE50" s="9"/>
      <c r="VEF50" s="9"/>
      <c r="VEG50" s="9"/>
      <c r="VEH50" s="9"/>
      <c r="VEI50" s="9"/>
      <c r="VEJ50" s="9"/>
      <c r="VEK50" s="9"/>
      <c r="VEL50" s="9"/>
      <c r="VEM50" s="9"/>
      <c r="VEN50" s="9"/>
      <c r="VEO50" s="9"/>
      <c r="VEP50" s="9"/>
      <c r="VEQ50" s="9"/>
      <c r="VER50" s="9"/>
      <c r="VES50" s="9"/>
      <c r="VET50" s="9"/>
      <c r="VEU50" s="9"/>
      <c r="VEV50" s="9"/>
      <c r="VEW50" s="9"/>
      <c r="VEX50" s="9"/>
      <c r="VEY50" s="9"/>
      <c r="VEZ50" s="9"/>
      <c r="VFA50" s="9"/>
      <c r="VFB50" s="9"/>
      <c r="VFC50" s="9"/>
      <c r="VFD50" s="9"/>
      <c r="VFE50" s="9"/>
      <c r="VFF50" s="9"/>
      <c r="VFG50" s="9"/>
      <c r="VFH50" s="9"/>
      <c r="VFI50" s="9"/>
      <c r="VFJ50" s="9"/>
      <c r="VFK50" s="9"/>
      <c r="VFL50" s="9"/>
      <c r="VFM50" s="9"/>
      <c r="VFN50" s="9"/>
      <c r="VFO50" s="9"/>
      <c r="VFP50" s="9"/>
      <c r="VFQ50" s="9"/>
      <c r="VFR50" s="9"/>
      <c r="VFS50" s="9"/>
      <c r="VFT50" s="9"/>
      <c r="VFU50" s="9"/>
      <c r="VFV50" s="9"/>
      <c r="VFW50" s="9"/>
      <c r="VFX50" s="9"/>
      <c r="VFY50" s="9"/>
      <c r="VFZ50" s="9"/>
      <c r="VGA50" s="9"/>
      <c r="VGB50" s="9"/>
      <c r="VGC50" s="9"/>
      <c r="VGD50" s="9"/>
      <c r="VGE50" s="9"/>
      <c r="VGF50" s="9"/>
      <c r="VGG50" s="9"/>
      <c r="VGH50" s="9"/>
      <c r="VGI50" s="9"/>
      <c r="VGJ50" s="9"/>
      <c r="VGK50" s="9"/>
      <c r="VGL50" s="9"/>
      <c r="VGM50" s="9"/>
      <c r="VGN50" s="9"/>
      <c r="VGO50" s="9"/>
      <c r="VGP50" s="9"/>
      <c r="VGQ50" s="9"/>
      <c r="VGR50" s="9"/>
      <c r="VGS50" s="9"/>
      <c r="VGT50" s="9"/>
      <c r="VGU50" s="9"/>
      <c r="VGV50" s="9"/>
      <c r="VGW50" s="9"/>
      <c r="VGX50" s="9"/>
      <c r="VGY50" s="9"/>
      <c r="VGZ50" s="9"/>
      <c r="VHA50" s="9"/>
      <c r="VHB50" s="9"/>
      <c r="VHC50" s="9"/>
      <c r="VHD50" s="9"/>
      <c r="VHE50" s="9"/>
      <c r="VHF50" s="9"/>
      <c r="VHG50" s="9"/>
      <c r="VHH50" s="9"/>
      <c r="VHI50" s="9"/>
      <c r="VHJ50" s="9"/>
      <c r="VHK50" s="9"/>
      <c r="VHL50" s="9"/>
      <c r="VHM50" s="9"/>
      <c r="VHN50" s="9"/>
      <c r="VHO50" s="9"/>
      <c r="VHP50" s="9"/>
      <c r="VHQ50" s="9"/>
      <c r="VHR50" s="9"/>
      <c r="VHS50" s="9"/>
      <c r="VHT50" s="9"/>
      <c r="VHU50" s="9"/>
      <c r="VHV50" s="9"/>
      <c r="VHW50" s="9"/>
      <c r="VHX50" s="9"/>
      <c r="VHY50" s="9"/>
      <c r="VHZ50" s="9"/>
      <c r="VIA50" s="9"/>
      <c r="VIB50" s="9"/>
      <c r="VIC50" s="9"/>
      <c r="VID50" s="9"/>
      <c r="VIE50" s="9"/>
      <c r="VIF50" s="9"/>
      <c r="VIG50" s="9"/>
      <c r="VIH50" s="9"/>
      <c r="VII50" s="9"/>
      <c r="VIJ50" s="9"/>
      <c r="VIK50" s="9"/>
      <c r="VIL50" s="9"/>
      <c r="VIM50" s="9"/>
      <c r="VIN50" s="9"/>
      <c r="VIO50" s="9"/>
      <c r="VIP50" s="9"/>
      <c r="VIQ50" s="9"/>
      <c r="VIR50" s="9"/>
      <c r="VIS50" s="9"/>
      <c r="VIT50" s="9"/>
      <c r="VIU50" s="9"/>
      <c r="VIV50" s="9"/>
      <c r="VIW50" s="9"/>
      <c r="VIX50" s="9"/>
      <c r="VIY50" s="9"/>
      <c r="VIZ50" s="9"/>
      <c r="VJA50" s="9"/>
      <c r="VJB50" s="9"/>
      <c r="VJC50" s="9"/>
      <c r="VJD50" s="9"/>
      <c r="VJE50" s="9"/>
      <c r="VJF50" s="9"/>
      <c r="VJG50" s="9"/>
      <c r="VJH50" s="9"/>
      <c r="VJI50" s="9"/>
      <c r="VJJ50" s="9"/>
      <c r="VJK50" s="9"/>
      <c r="VJL50" s="9"/>
      <c r="VJM50" s="9"/>
      <c r="VJN50" s="9"/>
      <c r="VJO50" s="9"/>
      <c r="VJP50" s="9"/>
      <c r="VJQ50" s="9"/>
      <c r="VJR50" s="9"/>
      <c r="VJS50" s="9"/>
      <c r="VJT50" s="9"/>
      <c r="VJU50" s="9"/>
      <c r="VJV50" s="9"/>
      <c r="VJW50" s="9"/>
      <c r="VJX50" s="9"/>
      <c r="VJY50" s="9"/>
      <c r="VJZ50" s="9"/>
      <c r="VKA50" s="9"/>
      <c r="VKB50" s="9"/>
      <c r="VKC50" s="9"/>
      <c r="VKD50" s="9"/>
      <c r="VKE50" s="9"/>
      <c r="VKF50" s="9"/>
      <c r="VKG50" s="9"/>
      <c r="VKH50" s="9"/>
      <c r="VKI50" s="9"/>
      <c r="VKJ50" s="9"/>
      <c r="VKK50" s="9"/>
      <c r="VKL50" s="9"/>
      <c r="VKM50" s="9"/>
      <c r="VKN50" s="9"/>
      <c r="VKO50" s="9"/>
      <c r="VKP50" s="9"/>
      <c r="VKQ50" s="9"/>
      <c r="VKR50" s="9"/>
      <c r="VKS50" s="9"/>
      <c r="VKT50" s="9"/>
      <c r="VKU50" s="9"/>
      <c r="VKV50" s="9"/>
      <c r="VKW50" s="9"/>
      <c r="VKX50" s="9"/>
      <c r="VKY50" s="9"/>
      <c r="VKZ50" s="9"/>
      <c r="VLA50" s="9"/>
      <c r="VLB50" s="9"/>
      <c r="VLC50" s="9"/>
      <c r="VLD50" s="9"/>
      <c r="VLE50" s="9"/>
      <c r="VLF50" s="9"/>
      <c r="VLG50" s="9"/>
      <c r="VLH50" s="9"/>
      <c r="VLI50" s="9"/>
      <c r="VLJ50" s="9"/>
      <c r="VLK50" s="9"/>
      <c r="VLL50" s="9"/>
      <c r="VLM50" s="9"/>
      <c r="VLN50" s="9"/>
      <c r="VLO50" s="9"/>
      <c r="VLP50" s="9"/>
      <c r="VLQ50" s="9"/>
      <c r="VLR50" s="9"/>
      <c r="VLS50" s="9"/>
      <c r="VLT50" s="9"/>
      <c r="VLU50" s="9"/>
      <c r="VLV50" s="9"/>
      <c r="VLW50" s="9"/>
      <c r="VLX50" s="9"/>
      <c r="VLY50" s="9"/>
      <c r="VLZ50" s="9"/>
      <c r="VMA50" s="9"/>
      <c r="VMB50" s="9"/>
      <c r="VMC50" s="9"/>
      <c r="VMD50" s="9"/>
      <c r="VME50" s="9"/>
      <c r="VMF50" s="9"/>
      <c r="VMG50" s="9"/>
      <c r="VMH50" s="9"/>
      <c r="VMI50" s="9"/>
      <c r="VMJ50" s="9"/>
      <c r="VMK50" s="9"/>
      <c r="VML50" s="9"/>
      <c r="VMM50" s="9"/>
      <c r="VMN50" s="9"/>
      <c r="VMO50" s="9"/>
      <c r="VMP50" s="9"/>
      <c r="VMQ50" s="9"/>
      <c r="VMR50" s="9"/>
      <c r="VMS50" s="9"/>
      <c r="VMT50" s="9"/>
      <c r="VMU50" s="9"/>
      <c r="VMV50" s="9"/>
      <c r="VMW50" s="9"/>
      <c r="VMX50" s="9"/>
      <c r="VMY50" s="9"/>
      <c r="VMZ50" s="9"/>
      <c r="VNA50" s="9"/>
      <c r="VNB50" s="9"/>
      <c r="VNC50" s="9"/>
      <c r="VND50" s="9"/>
      <c r="VNE50" s="9"/>
      <c r="VNF50" s="9"/>
      <c r="VNG50" s="9"/>
      <c r="VNH50" s="9"/>
      <c r="VNI50" s="9"/>
      <c r="VNJ50" s="9"/>
      <c r="VNK50" s="9"/>
      <c r="VNL50" s="9"/>
      <c r="VNM50" s="9"/>
      <c r="VNN50" s="9"/>
      <c r="VNO50" s="9"/>
      <c r="VNP50" s="9"/>
      <c r="VNQ50" s="9"/>
      <c r="VNR50" s="9"/>
      <c r="VNS50" s="9"/>
      <c r="VNT50" s="9"/>
      <c r="VNU50" s="9"/>
      <c r="VNV50" s="9"/>
      <c r="VNW50" s="9"/>
      <c r="VNX50" s="9"/>
      <c r="VNY50" s="9"/>
      <c r="VNZ50" s="9"/>
      <c r="VOA50" s="9"/>
      <c r="VOB50" s="9"/>
      <c r="VOC50" s="9"/>
      <c r="VOD50" s="9"/>
      <c r="VOE50" s="9"/>
      <c r="VOF50" s="9"/>
      <c r="VOG50" s="9"/>
      <c r="VOH50" s="9"/>
      <c r="VOI50" s="9"/>
      <c r="VOJ50" s="9"/>
      <c r="VOK50" s="9"/>
      <c r="VOL50" s="9"/>
      <c r="VOM50" s="9"/>
      <c r="VON50" s="9"/>
      <c r="VOO50" s="9"/>
      <c r="VOP50" s="9"/>
      <c r="VOQ50" s="9"/>
      <c r="VOR50" s="9"/>
      <c r="VOS50" s="9"/>
      <c r="VOT50" s="9"/>
      <c r="VOU50" s="9"/>
      <c r="VOV50" s="9"/>
      <c r="VOW50" s="9"/>
      <c r="VOX50" s="9"/>
      <c r="VOY50" s="9"/>
      <c r="VOZ50" s="9"/>
      <c r="VPA50" s="9"/>
      <c r="VPB50" s="9"/>
      <c r="VPC50" s="9"/>
      <c r="VPD50" s="9"/>
      <c r="VPE50" s="9"/>
      <c r="VPF50" s="9"/>
      <c r="VPG50" s="9"/>
      <c r="VPH50" s="9"/>
      <c r="VPI50" s="9"/>
      <c r="VPJ50" s="9"/>
      <c r="VPK50" s="9"/>
      <c r="VPL50" s="9"/>
      <c r="VPM50" s="9"/>
      <c r="VPN50" s="9"/>
      <c r="VPO50" s="9"/>
      <c r="VPP50" s="9"/>
      <c r="VPQ50" s="9"/>
      <c r="VPR50" s="9"/>
      <c r="VPS50" s="9"/>
      <c r="VPT50" s="9"/>
      <c r="VPU50" s="9"/>
      <c r="VPV50" s="9"/>
      <c r="VPW50" s="9"/>
      <c r="VPX50" s="9"/>
      <c r="VPY50" s="9"/>
      <c r="VPZ50" s="9"/>
      <c r="VQA50" s="9"/>
      <c r="VQB50" s="9"/>
      <c r="VQC50" s="9"/>
      <c r="VQD50" s="9"/>
      <c r="VQE50" s="9"/>
      <c r="VQF50" s="9"/>
      <c r="VQG50" s="9"/>
      <c r="VQH50" s="9"/>
      <c r="VQI50" s="9"/>
      <c r="VQJ50" s="9"/>
      <c r="VQK50" s="9"/>
      <c r="VQL50" s="9"/>
      <c r="VQM50" s="9"/>
      <c r="VQN50" s="9"/>
      <c r="VQO50" s="9"/>
      <c r="VQP50" s="9"/>
      <c r="VQQ50" s="9"/>
      <c r="VQR50" s="9"/>
      <c r="VQS50" s="9"/>
      <c r="VQT50" s="9"/>
      <c r="VQU50" s="9"/>
      <c r="VQV50" s="9"/>
      <c r="VQW50" s="9"/>
      <c r="VQX50" s="9"/>
      <c r="VQY50" s="9"/>
      <c r="VQZ50" s="9"/>
      <c r="VRA50" s="9"/>
      <c r="VRB50" s="9"/>
      <c r="VRC50" s="9"/>
      <c r="VRD50" s="9"/>
      <c r="VRE50" s="9"/>
      <c r="VRF50" s="9"/>
      <c r="VRG50" s="9"/>
      <c r="VRH50" s="9"/>
      <c r="VRI50" s="9"/>
      <c r="VRJ50" s="9"/>
      <c r="VRK50" s="9"/>
      <c r="VRL50" s="9"/>
      <c r="VRM50" s="9"/>
      <c r="VRN50" s="9"/>
      <c r="VRO50" s="9"/>
      <c r="VRP50" s="9"/>
      <c r="VRQ50" s="9"/>
      <c r="VRR50" s="9"/>
      <c r="VRS50" s="9"/>
      <c r="VRT50" s="9"/>
      <c r="VRU50" s="9"/>
      <c r="VRV50" s="9"/>
      <c r="VRW50" s="9"/>
      <c r="VRX50" s="9"/>
      <c r="VRY50" s="9"/>
      <c r="VRZ50" s="9"/>
      <c r="VSA50" s="9"/>
      <c r="VSB50" s="9"/>
      <c r="VSC50" s="9"/>
      <c r="VSD50" s="9"/>
      <c r="VSE50" s="9"/>
      <c r="VSF50" s="9"/>
      <c r="VSG50" s="9"/>
      <c r="VSH50" s="9"/>
      <c r="VSI50" s="9"/>
      <c r="VSJ50" s="9"/>
      <c r="VSK50" s="9"/>
      <c r="VSL50" s="9"/>
      <c r="VSM50" s="9"/>
      <c r="VSN50" s="9"/>
      <c r="VSO50" s="9"/>
      <c r="VSP50" s="9"/>
      <c r="VSQ50" s="9"/>
      <c r="VSR50" s="9"/>
      <c r="VSS50" s="9"/>
      <c r="VST50" s="9"/>
      <c r="VSU50" s="9"/>
      <c r="VSV50" s="9"/>
      <c r="VSW50" s="9"/>
      <c r="VSX50" s="9"/>
      <c r="VSY50" s="9"/>
      <c r="VSZ50" s="9"/>
      <c r="VTA50" s="9"/>
      <c r="VTB50" s="9"/>
      <c r="VTC50" s="9"/>
      <c r="VTD50" s="9"/>
      <c r="VTE50" s="9"/>
      <c r="VTF50" s="9"/>
      <c r="VTG50" s="9"/>
      <c r="VTH50" s="9"/>
      <c r="VTI50" s="9"/>
      <c r="VTJ50" s="9"/>
      <c r="VTK50" s="9"/>
      <c r="VTL50" s="9"/>
      <c r="VTM50" s="9"/>
      <c r="VTN50" s="9"/>
      <c r="VTO50" s="9"/>
      <c r="VTP50" s="9"/>
      <c r="VTQ50" s="9"/>
      <c r="VTR50" s="9"/>
      <c r="VTS50" s="9"/>
      <c r="VTT50" s="9"/>
      <c r="VTU50" s="9"/>
      <c r="VTV50" s="9"/>
      <c r="VTW50" s="9"/>
      <c r="VTX50" s="9"/>
      <c r="VTY50" s="9"/>
      <c r="VTZ50" s="9"/>
      <c r="VUA50" s="9"/>
      <c r="VUB50" s="9"/>
      <c r="VUC50" s="9"/>
      <c r="VUD50" s="9"/>
      <c r="VUE50" s="9"/>
      <c r="VUF50" s="9"/>
      <c r="VUG50" s="9"/>
      <c r="VUH50" s="9"/>
      <c r="VUI50" s="9"/>
      <c r="VUJ50" s="9"/>
      <c r="VUK50" s="9"/>
      <c r="VUL50" s="9"/>
      <c r="VUM50" s="9"/>
      <c r="VUN50" s="9"/>
      <c r="VUO50" s="9"/>
      <c r="VUP50" s="9"/>
      <c r="VUQ50" s="9"/>
      <c r="VUR50" s="9"/>
      <c r="VUS50" s="9"/>
      <c r="VUT50" s="9"/>
      <c r="VUU50" s="9"/>
      <c r="VUV50" s="9"/>
      <c r="VUW50" s="9"/>
      <c r="VUX50" s="9"/>
      <c r="VUY50" s="9"/>
      <c r="VUZ50" s="9"/>
      <c r="VVA50" s="9"/>
      <c r="VVB50" s="9"/>
      <c r="VVC50" s="9"/>
      <c r="VVD50" s="9"/>
      <c r="VVE50" s="9"/>
      <c r="VVF50" s="9"/>
      <c r="VVG50" s="9"/>
      <c r="VVH50" s="9"/>
      <c r="VVI50" s="9"/>
      <c r="VVJ50" s="9"/>
      <c r="VVK50" s="9"/>
      <c r="VVL50" s="9"/>
      <c r="VVM50" s="9"/>
      <c r="VVN50" s="9"/>
      <c r="VVO50" s="9"/>
      <c r="VVP50" s="9"/>
      <c r="VVQ50" s="9"/>
      <c r="VVR50" s="9"/>
      <c r="VVS50" s="9"/>
      <c r="VVT50" s="9"/>
      <c r="VVU50" s="9"/>
      <c r="VVV50" s="9"/>
      <c r="VVW50" s="9"/>
      <c r="VVX50" s="9"/>
      <c r="VVY50" s="9"/>
      <c r="VVZ50" s="9"/>
      <c r="VWA50" s="9"/>
      <c r="VWB50" s="9"/>
      <c r="VWC50" s="9"/>
      <c r="VWD50" s="9"/>
      <c r="VWE50" s="9"/>
      <c r="VWF50" s="9"/>
      <c r="VWG50" s="9"/>
      <c r="VWH50" s="9"/>
      <c r="VWI50" s="9"/>
      <c r="VWJ50" s="9"/>
      <c r="VWK50" s="9"/>
      <c r="VWL50" s="9"/>
      <c r="VWM50" s="9"/>
      <c r="VWN50" s="9"/>
      <c r="VWO50" s="9"/>
      <c r="VWP50" s="9"/>
      <c r="VWQ50" s="9"/>
      <c r="VWR50" s="9"/>
      <c r="VWS50" s="9"/>
      <c r="VWT50" s="9"/>
      <c r="VWU50" s="9"/>
      <c r="VWV50" s="9"/>
      <c r="VWW50" s="9"/>
      <c r="VWX50" s="9"/>
      <c r="VWY50" s="9"/>
      <c r="VWZ50" s="9"/>
      <c r="VXA50" s="9"/>
      <c r="VXB50" s="9"/>
      <c r="VXC50" s="9"/>
      <c r="VXD50" s="9"/>
      <c r="VXE50" s="9"/>
      <c r="VXF50" s="9"/>
      <c r="VXG50" s="9"/>
      <c r="VXH50" s="9"/>
      <c r="VXI50" s="9"/>
      <c r="VXJ50" s="9"/>
      <c r="VXK50" s="9"/>
      <c r="VXL50" s="9"/>
      <c r="VXM50" s="9"/>
      <c r="VXN50" s="9"/>
      <c r="VXO50" s="9"/>
      <c r="VXP50" s="9"/>
      <c r="VXQ50" s="9"/>
      <c r="VXR50" s="9"/>
      <c r="VXS50" s="9"/>
      <c r="VXT50" s="9"/>
      <c r="VXU50" s="9"/>
      <c r="VXV50" s="9"/>
      <c r="VXW50" s="9"/>
      <c r="VXX50" s="9"/>
      <c r="VXY50" s="9"/>
      <c r="VXZ50" s="9"/>
      <c r="VYA50" s="9"/>
      <c r="VYB50" s="9"/>
      <c r="VYC50" s="9"/>
      <c r="VYD50" s="9"/>
      <c r="VYE50" s="9"/>
      <c r="VYF50" s="9"/>
      <c r="VYG50" s="9"/>
      <c r="VYH50" s="9"/>
      <c r="VYI50" s="9"/>
      <c r="VYJ50" s="9"/>
      <c r="VYK50" s="9"/>
      <c r="VYL50" s="9"/>
      <c r="VYM50" s="9"/>
      <c r="VYN50" s="9"/>
      <c r="VYO50" s="9"/>
      <c r="VYP50" s="9"/>
      <c r="VYQ50" s="9"/>
      <c r="VYR50" s="9"/>
      <c r="VYS50" s="9"/>
      <c r="VYT50" s="9"/>
      <c r="VYU50" s="9"/>
      <c r="VYV50" s="9"/>
      <c r="VYW50" s="9"/>
      <c r="VYX50" s="9"/>
      <c r="VYY50" s="9"/>
      <c r="VYZ50" s="9"/>
      <c r="VZA50" s="9"/>
      <c r="VZB50" s="9"/>
      <c r="VZC50" s="9"/>
      <c r="VZD50" s="9"/>
      <c r="VZE50" s="9"/>
      <c r="VZF50" s="9"/>
      <c r="VZG50" s="9"/>
      <c r="VZH50" s="9"/>
      <c r="VZI50" s="9"/>
      <c r="VZJ50" s="9"/>
      <c r="VZK50" s="9"/>
      <c r="VZL50" s="9"/>
      <c r="VZM50" s="9"/>
      <c r="VZN50" s="9"/>
      <c r="VZO50" s="9"/>
      <c r="VZP50" s="9"/>
      <c r="VZQ50" s="9"/>
      <c r="VZR50" s="9"/>
      <c r="VZS50" s="9"/>
      <c r="VZT50" s="9"/>
      <c r="VZU50" s="9"/>
      <c r="VZV50" s="9"/>
      <c r="VZW50" s="9"/>
      <c r="VZX50" s="9"/>
      <c r="VZY50" s="9"/>
      <c r="VZZ50" s="9"/>
      <c r="WAA50" s="9"/>
      <c r="WAB50" s="9"/>
      <c r="WAC50" s="9"/>
      <c r="WAD50" s="9"/>
      <c r="WAE50" s="9"/>
      <c r="WAF50" s="9"/>
      <c r="WAG50" s="9"/>
      <c r="WAH50" s="9"/>
      <c r="WAI50" s="9"/>
      <c r="WAJ50" s="9"/>
      <c r="WAK50" s="9"/>
      <c r="WAL50" s="9"/>
      <c r="WAM50" s="9"/>
      <c r="WAN50" s="9"/>
      <c r="WAO50" s="9"/>
      <c r="WAP50" s="9"/>
      <c r="WAQ50" s="9"/>
      <c r="WAR50" s="9"/>
      <c r="WAS50" s="9"/>
      <c r="WAT50" s="9"/>
      <c r="WAU50" s="9"/>
      <c r="WAV50" s="9"/>
      <c r="WAW50" s="9"/>
      <c r="WAX50" s="9"/>
      <c r="WAY50" s="9"/>
      <c r="WAZ50" s="9"/>
      <c r="WBA50" s="9"/>
      <c r="WBB50" s="9"/>
      <c r="WBC50" s="9"/>
      <c r="WBD50" s="9"/>
      <c r="WBE50" s="9"/>
      <c r="WBF50" s="9"/>
      <c r="WBG50" s="9"/>
      <c r="WBH50" s="9"/>
      <c r="WBI50" s="9"/>
      <c r="WBJ50" s="9"/>
      <c r="WBK50" s="9"/>
      <c r="WBL50" s="9"/>
      <c r="WBM50" s="9"/>
      <c r="WBN50" s="9"/>
      <c r="WBO50" s="9"/>
      <c r="WBP50" s="9"/>
      <c r="WBQ50" s="9"/>
      <c r="WBR50" s="9"/>
      <c r="WBS50" s="9"/>
      <c r="WBT50" s="9"/>
      <c r="WBU50" s="9"/>
      <c r="WBV50" s="9"/>
      <c r="WBW50" s="9"/>
      <c r="WBX50" s="9"/>
      <c r="WBY50" s="9"/>
      <c r="WBZ50" s="9"/>
      <c r="WCA50" s="9"/>
      <c r="WCB50" s="9"/>
      <c r="WCC50" s="9"/>
      <c r="WCD50" s="9"/>
      <c r="WCE50" s="9"/>
      <c r="WCF50" s="9"/>
      <c r="WCG50" s="9"/>
      <c r="WCH50" s="9"/>
      <c r="WCI50" s="9"/>
      <c r="WCJ50" s="9"/>
      <c r="WCK50" s="9"/>
      <c r="WCL50" s="9"/>
      <c r="WCM50" s="9"/>
      <c r="WCN50" s="9"/>
      <c r="WCO50" s="9"/>
      <c r="WCP50" s="9"/>
      <c r="WCQ50" s="9"/>
      <c r="WCR50" s="9"/>
      <c r="WCS50" s="9"/>
      <c r="WCT50" s="9"/>
      <c r="WCU50" s="9"/>
      <c r="WCV50" s="9"/>
      <c r="WCW50" s="9"/>
      <c r="WCX50" s="9"/>
      <c r="WCY50" s="9"/>
      <c r="WCZ50" s="9"/>
      <c r="WDA50" s="9"/>
      <c r="WDB50" s="9"/>
      <c r="WDC50" s="9"/>
      <c r="WDD50" s="9"/>
      <c r="WDE50" s="9"/>
      <c r="WDF50" s="9"/>
      <c r="WDG50" s="9"/>
      <c r="WDH50" s="9"/>
      <c r="WDI50" s="9"/>
      <c r="WDJ50" s="9"/>
      <c r="WDK50" s="9"/>
      <c r="WDL50" s="9"/>
      <c r="WDM50" s="9"/>
      <c r="WDN50" s="9"/>
      <c r="WDO50" s="9"/>
      <c r="WDP50" s="9"/>
      <c r="WDQ50" s="9"/>
      <c r="WDR50" s="9"/>
      <c r="WDS50" s="9"/>
      <c r="WDT50" s="9"/>
      <c r="WDU50" s="9"/>
      <c r="WDV50" s="9"/>
      <c r="WDW50" s="9"/>
      <c r="WDX50" s="9"/>
      <c r="WDY50" s="9"/>
      <c r="WDZ50" s="9"/>
      <c r="WEA50" s="9"/>
      <c r="WEB50" s="9"/>
      <c r="WEC50" s="9"/>
      <c r="WED50" s="9"/>
      <c r="WEE50" s="9"/>
      <c r="WEF50" s="9"/>
      <c r="WEG50" s="9"/>
      <c r="WEH50" s="9"/>
      <c r="WEI50" s="9"/>
      <c r="WEJ50" s="9"/>
      <c r="WEK50" s="9"/>
      <c r="WEL50" s="9"/>
      <c r="WEM50" s="9"/>
      <c r="WEN50" s="9"/>
      <c r="WEO50" s="9"/>
      <c r="WEP50" s="9"/>
      <c r="WEQ50" s="9"/>
      <c r="WER50" s="9"/>
      <c r="WES50" s="9"/>
      <c r="WET50" s="9"/>
      <c r="WEU50" s="9"/>
      <c r="WEV50" s="9"/>
      <c r="WEW50" s="9"/>
      <c r="WEX50" s="9"/>
      <c r="WEY50" s="9"/>
      <c r="WEZ50" s="9"/>
      <c r="WFA50" s="9"/>
      <c r="WFB50" s="9"/>
      <c r="WFC50" s="9"/>
      <c r="WFD50" s="9"/>
      <c r="WFE50" s="9"/>
      <c r="WFF50" s="9"/>
      <c r="WFG50" s="9"/>
      <c r="WFH50" s="9"/>
      <c r="WFI50" s="9"/>
      <c r="WFJ50" s="9"/>
      <c r="WFK50" s="9"/>
      <c r="WFL50" s="9"/>
      <c r="WFM50" s="9"/>
      <c r="WFN50" s="9"/>
      <c r="WFO50" s="9"/>
      <c r="WFP50" s="9"/>
      <c r="WFQ50" s="9"/>
      <c r="WFR50" s="9"/>
      <c r="WFS50" s="9"/>
      <c r="WFT50" s="9"/>
      <c r="WFU50" s="9"/>
      <c r="WFV50" s="9"/>
      <c r="WFW50" s="9"/>
      <c r="WFX50" s="9"/>
      <c r="WFY50" s="9"/>
      <c r="WFZ50" s="9"/>
      <c r="WGA50" s="9"/>
      <c r="WGB50" s="9"/>
      <c r="WGC50" s="9"/>
      <c r="WGD50" s="9"/>
      <c r="WGE50" s="9"/>
      <c r="WGF50" s="9"/>
      <c r="WGG50" s="9"/>
      <c r="WGH50" s="9"/>
      <c r="WGI50" s="9"/>
      <c r="WGJ50" s="9"/>
      <c r="WGK50" s="9"/>
      <c r="WGL50" s="9"/>
      <c r="WGM50" s="9"/>
      <c r="WGN50" s="9"/>
      <c r="WGO50" s="9"/>
      <c r="WGP50" s="9"/>
      <c r="WGQ50" s="9"/>
      <c r="WGR50" s="9"/>
      <c r="WGS50" s="9"/>
      <c r="WGT50" s="9"/>
      <c r="WGU50" s="9"/>
      <c r="WGV50" s="9"/>
      <c r="WGW50" s="9"/>
      <c r="WGX50" s="9"/>
      <c r="WGY50" s="9"/>
      <c r="WGZ50" s="9"/>
      <c r="WHA50" s="9"/>
      <c r="WHB50" s="9"/>
      <c r="WHC50" s="9"/>
      <c r="WHD50" s="9"/>
      <c r="WHE50" s="9"/>
      <c r="WHF50" s="9"/>
      <c r="WHG50" s="9"/>
      <c r="WHH50" s="9"/>
      <c r="WHI50" s="9"/>
      <c r="WHJ50" s="9"/>
      <c r="WHK50" s="9"/>
      <c r="WHL50" s="9"/>
      <c r="WHM50" s="9"/>
      <c r="WHN50" s="9"/>
      <c r="WHO50" s="9"/>
      <c r="WHP50" s="9"/>
      <c r="WHQ50" s="9"/>
      <c r="WHR50" s="9"/>
      <c r="WHS50" s="9"/>
      <c r="WHT50" s="9"/>
      <c r="WHU50" s="9"/>
      <c r="WHV50" s="9"/>
      <c r="WHW50" s="9"/>
      <c r="WHX50" s="9"/>
      <c r="WHY50" s="9"/>
      <c r="WHZ50" s="9"/>
      <c r="WIA50" s="9"/>
      <c r="WIB50" s="9"/>
      <c r="WIC50" s="9"/>
      <c r="WID50" s="9"/>
      <c r="WIE50" s="9"/>
      <c r="WIF50" s="9"/>
      <c r="WIG50" s="9"/>
      <c r="WIH50" s="9"/>
      <c r="WII50" s="9"/>
      <c r="WIJ50" s="9"/>
      <c r="WIK50" s="9"/>
      <c r="WIL50" s="9"/>
      <c r="WIM50" s="9"/>
      <c r="WIN50" s="9"/>
      <c r="WIO50" s="9"/>
      <c r="WIP50" s="9"/>
      <c r="WIQ50" s="9"/>
      <c r="WIR50" s="9"/>
      <c r="WIS50" s="9"/>
      <c r="WIT50" s="9"/>
      <c r="WIU50" s="9"/>
      <c r="WIV50" s="9"/>
      <c r="WIW50" s="9"/>
      <c r="WIX50" s="9"/>
      <c r="WIY50" s="9"/>
      <c r="WIZ50" s="9"/>
      <c r="WJA50" s="9"/>
      <c r="WJB50" s="9"/>
      <c r="WJC50" s="9"/>
      <c r="WJD50" s="9"/>
      <c r="WJE50" s="9"/>
      <c r="WJF50" s="9"/>
      <c r="WJG50" s="9"/>
      <c r="WJH50" s="9"/>
      <c r="WJI50" s="9"/>
      <c r="WJJ50" s="9"/>
      <c r="WJK50" s="9"/>
      <c r="WJL50" s="9"/>
      <c r="WJM50" s="9"/>
      <c r="WJN50" s="9"/>
      <c r="WJO50" s="9"/>
      <c r="WJP50" s="9"/>
      <c r="WJQ50" s="9"/>
      <c r="WJR50" s="9"/>
      <c r="WJS50" s="9"/>
      <c r="WJT50" s="9"/>
      <c r="WJU50" s="9"/>
      <c r="WJV50" s="9"/>
      <c r="WJW50" s="9"/>
      <c r="WJX50" s="9"/>
      <c r="WJY50" s="9"/>
      <c r="WJZ50" s="9"/>
      <c r="WKA50" s="9"/>
      <c r="WKB50" s="9"/>
      <c r="WKC50" s="9"/>
      <c r="WKD50" s="9"/>
      <c r="WKE50" s="9"/>
      <c r="WKF50" s="9"/>
      <c r="WKG50" s="9"/>
      <c r="WKH50" s="9"/>
      <c r="WKI50" s="9"/>
      <c r="WKJ50" s="9"/>
      <c r="WKK50" s="9"/>
      <c r="WKL50" s="9"/>
      <c r="WKM50" s="9"/>
      <c r="WKN50" s="9"/>
      <c r="WKO50" s="9"/>
      <c r="WKP50" s="9"/>
      <c r="WKQ50" s="9"/>
      <c r="WKR50" s="9"/>
      <c r="WKS50" s="9"/>
      <c r="WKT50" s="9"/>
      <c r="WKU50" s="9"/>
      <c r="WKV50" s="9"/>
      <c r="WKW50" s="9"/>
      <c r="WKX50" s="9"/>
      <c r="WKY50" s="9"/>
      <c r="WKZ50" s="9"/>
      <c r="WLA50" s="9"/>
      <c r="WLB50" s="9"/>
      <c r="WLC50" s="9"/>
      <c r="WLD50" s="9"/>
      <c r="WLE50" s="9"/>
      <c r="WLF50" s="9"/>
      <c r="WLG50" s="9"/>
      <c r="WLH50" s="9"/>
      <c r="WLI50" s="9"/>
      <c r="WLJ50" s="9"/>
      <c r="WLK50" s="9"/>
      <c r="WLL50" s="9"/>
      <c r="WLM50" s="9"/>
      <c r="WLN50" s="9"/>
      <c r="WLO50" s="9"/>
      <c r="WLP50" s="9"/>
      <c r="WLQ50" s="9"/>
      <c r="WLR50" s="9"/>
      <c r="WLS50" s="9"/>
      <c r="WLT50" s="9"/>
      <c r="WLU50" s="9"/>
      <c r="WLV50" s="9"/>
      <c r="WLW50" s="9"/>
      <c r="WLX50" s="9"/>
      <c r="WLY50" s="9"/>
      <c r="WLZ50" s="9"/>
      <c r="WMA50" s="9"/>
      <c r="WMB50" s="9"/>
      <c r="WMC50" s="9"/>
      <c r="WMD50" s="9"/>
      <c r="WME50" s="9"/>
      <c r="WMF50" s="9"/>
      <c r="WMG50" s="9"/>
      <c r="WMH50" s="9"/>
      <c r="WMI50" s="9"/>
      <c r="WMJ50" s="9"/>
      <c r="WMK50" s="9"/>
      <c r="WML50" s="9"/>
      <c r="WMM50" s="9"/>
      <c r="WMN50" s="9"/>
      <c r="WMO50" s="9"/>
      <c r="WMP50" s="9"/>
      <c r="WMQ50" s="9"/>
      <c r="WMR50" s="9"/>
      <c r="WMS50" s="9"/>
      <c r="WMT50" s="9"/>
      <c r="WMU50" s="9"/>
      <c r="WMV50" s="9"/>
      <c r="WMW50" s="9"/>
      <c r="WMX50" s="9"/>
      <c r="WMY50" s="9"/>
      <c r="WMZ50" s="9"/>
      <c r="WNA50" s="9"/>
      <c r="WNB50" s="9"/>
      <c r="WNC50" s="9"/>
      <c r="WND50" s="9"/>
      <c r="WNE50" s="9"/>
      <c r="WNF50" s="9"/>
      <c r="WNG50" s="9"/>
      <c r="WNH50" s="9"/>
      <c r="WNI50" s="9"/>
      <c r="WNJ50" s="9"/>
      <c r="WNK50" s="9"/>
      <c r="WNL50" s="9"/>
      <c r="WNM50" s="9"/>
      <c r="WNN50" s="9"/>
      <c r="WNO50" s="9"/>
      <c r="WNP50" s="9"/>
      <c r="WNQ50" s="9"/>
      <c r="WNR50" s="9"/>
      <c r="WNS50" s="9"/>
      <c r="WNT50" s="9"/>
      <c r="WNU50" s="9"/>
      <c r="WNV50" s="9"/>
      <c r="WNW50" s="9"/>
      <c r="WNX50" s="9"/>
      <c r="WNY50" s="9"/>
      <c r="WNZ50" s="9"/>
      <c r="WOA50" s="9"/>
      <c r="WOB50" s="9"/>
      <c r="WOC50" s="9"/>
      <c r="WOD50" s="9"/>
      <c r="WOE50" s="9"/>
      <c r="WOF50" s="9"/>
      <c r="WOG50" s="9"/>
      <c r="WOH50" s="9"/>
      <c r="WOI50" s="9"/>
      <c r="WOJ50" s="9"/>
      <c r="WOK50" s="9"/>
      <c r="WOL50" s="9"/>
      <c r="WOM50" s="9"/>
      <c r="WON50" s="9"/>
      <c r="WOO50" s="9"/>
      <c r="WOP50" s="9"/>
      <c r="WOQ50" s="9"/>
      <c r="WOR50" s="9"/>
      <c r="WOS50" s="9"/>
      <c r="WOT50" s="9"/>
      <c r="WOU50" s="9"/>
      <c r="WOV50" s="9"/>
      <c r="WOW50" s="9"/>
      <c r="WOX50" s="9"/>
      <c r="WOY50" s="9"/>
      <c r="WOZ50" s="9"/>
      <c r="WPA50" s="9"/>
      <c r="WPB50" s="9"/>
      <c r="WPC50" s="9"/>
      <c r="WPD50" s="9"/>
      <c r="WPE50" s="9"/>
      <c r="WPF50" s="9"/>
      <c r="WPG50" s="9"/>
      <c r="WPH50" s="9"/>
      <c r="WPI50" s="9"/>
      <c r="WPJ50" s="9"/>
      <c r="WPK50" s="9"/>
      <c r="WPL50" s="9"/>
      <c r="WPM50" s="9"/>
      <c r="WPN50" s="9"/>
      <c r="WPO50" s="9"/>
      <c r="WPP50" s="9"/>
      <c r="WPQ50" s="9"/>
      <c r="WPR50" s="9"/>
      <c r="WPS50" s="9"/>
      <c r="WPT50" s="9"/>
      <c r="WPU50" s="9"/>
      <c r="WPV50" s="9"/>
      <c r="WPW50" s="9"/>
      <c r="WPX50" s="9"/>
      <c r="WPY50" s="9"/>
      <c r="WPZ50" s="9"/>
      <c r="WQA50" s="9"/>
      <c r="WQB50" s="9"/>
      <c r="WQC50" s="9"/>
      <c r="WQD50" s="9"/>
      <c r="WQE50" s="9"/>
      <c r="WQF50" s="9"/>
      <c r="WQG50" s="9"/>
      <c r="WQH50" s="9"/>
      <c r="WQI50" s="9"/>
      <c r="WQJ50" s="9"/>
      <c r="WQK50" s="9"/>
      <c r="WQL50" s="9"/>
      <c r="WQM50" s="9"/>
      <c r="WQN50" s="9"/>
      <c r="WQO50" s="9"/>
      <c r="WQP50" s="9"/>
      <c r="WQQ50" s="9"/>
      <c r="WQR50" s="9"/>
      <c r="WQS50" s="9"/>
      <c r="WQT50" s="9"/>
      <c r="WQU50" s="9"/>
      <c r="WQV50" s="9"/>
      <c r="WQW50" s="9"/>
      <c r="WQX50" s="9"/>
      <c r="WQY50" s="9"/>
      <c r="WQZ50" s="9"/>
      <c r="WRA50" s="9"/>
      <c r="WRB50" s="9"/>
      <c r="WRC50" s="9"/>
      <c r="WRD50" s="9"/>
      <c r="WRE50" s="9"/>
      <c r="WRF50" s="9"/>
      <c r="WRG50" s="9"/>
      <c r="WRH50" s="9"/>
      <c r="WRI50" s="9"/>
      <c r="WRJ50" s="9"/>
      <c r="WRK50" s="9"/>
      <c r="WRL50" s="9"/>
      <c r="WRM50" s="9"/>
      <c r="WRN50" s="9"/>
      <c r="WRO50" s="9"/>
      <c r="WRP50" s="9"/>
      <c r="WRQ50" s="9"/>
      <c r="WRR50" s="9"/>
      <c r="WRS50" s="9"/>
      <c r="WRT50" s="9"/>
      <c r="WRU50" s="9"/>
      <c r="WRV50" s="9"/>
      <c r="WRW50" s="9"/>
      <c r="WRX50" s="9"/>
      <c r="WRY50" s="9"/>
      <c r="WRZ50" s="9"/>
      <c r="WSA50" s="9"/>
      <c r="WSB50" s="9"/>
      <c r="WSC50" s="9"/>
      <c r="WSD50" s="9"/>
      <c r="WSE50" s="9"/>
      <c r="WSF50" s="9"/>
      <c r="WSG50" s="9"/>
      <c r="WSH50" s="9"/>
      <c r="WSI50" s="9"/>
      <c r="WSJ50" s="9"/>
      <c r="WSK50" s="9"/>
      <c r="WSL50" s="9"/>
      <c r="WSM50" s="9"/>
      <c r="WSN50" s="9"/>
      <c r="WSO50" s="9"/>
      <c r="WSP50" s="9"/>
      <c r="WSQ50" s="9"/>
      <c r="WSR50" s="9"/>
      <c r="WSS50" s="9"/>
      <c r="WST50" s="9"/>
      <c r="WSU50" s="9"/>
      <c r="WSV50" s="9"/>
      <c r="WSW50" s="9"/>
      <c r="WSX50" s="9"/>
      <c r="WSY50" s="9"/>
      <c r="WSZ50" s="9"/>
      <c r="WTA50" s="9"/>
      <c r="WTB50" s="9"/>
      <c r="WTC50" s="9"/>
      <c r="WTD50" s="9"/>
      <c r="WTE50" s="9"/>
      <c r="WTF50" s="9"/>
      <c r="WTG50" s="9"/>
      <c r="WTH50" s="9"/>
      <c r="WTI50" s="9"/>
      <c r="WTJ50" s="9"/>
      <c r="WTK50" s="9"/>
      <c r="WTL50" s="9"/>
      <c r="WTM50" s="9"/>
      <c r="WTN50" s="9"/>
      <c r="WTO50" s="9"/>
      <c r="WTP50" s="9"/>
      <c r="WTQ50" s="9"/>
      <c r="WTR50" s="9"/>
      <c r="WTS50" s="9"/>
      <c r="WTT50" s="9"/>
      <c r="WTU50" s="9"/>
      <c r="WTV50" s="9"/>
      <c r="WTW50" s="9"/>
      <c r="WTX50" s="9"/>
      <c r="WTY50" s="9"/>
      <c r="WTZ50" s="9"/>
      <c r="WUA50" s="9"/>
      <c r="WUB50" s="9"/>
      <c r="WUC50" s="9"/>
      <c r="WUD50" s="9"/>
      <c r="WUE50" s="9"/>
      <c r="WUF50" s="9"/>
      <c r="WUG50" s="9"/>
      <c r="WUH50" s="9"/>
      <c r="WUI50" s="9"/>
      <c r="WUJ50" s="9"/>
      <c r="WUK50" s="9"/>
      <c r="WUL50" s="9"/>
      <c r="WUM50" s="9"/>
      <c r="WUN50" s="9"/>
      <c r="WUO50" s="9"/>
      <c r="WUP50" s="9"/>
      <c r="WUQ50" s="9"/>
      <c r="WUR50" s="9"/>
      <c r="WUS50" s="9"/>
      <c r="WUT50" s="9"/>
      <c r="WUU50" s="9"/>
      <c r="WUV50" s="9"/>
      <c r="WUW50" s="9"/>
      <c r="WUX50" s="9"/>
      <c r="WUY50" s="9"/>
      <c r="WUZ50" s="9"/>
      <c r="WVA50" s="9"/>
      <c r="WVB50" s="9"/>
      <c r="WVC50" s="9"/>
      <c r="WVD50" s="9"/>
      <c r="WVE50" s="9"/>
      <c r="WVF50" s="9"/>
      <c r="WVG50" s="9"/>
      <c r="WVH50" s="9"/>
      <c r="WVI50" s="9"/>
      <c r="WVJ50" s="9"/>
      <c r="WVK50" s="9"/>
      <c r="WVL50" s="9"/>
      <c r="WVM50" s="9"/>
      <c r="WVN50" s="9"/>
      <c r="WVO50" s="9"/>
      <c r="WVP50" s="9"/>
      <c r="WVQ50" s="9"/>
      <c r="WVR50" s="9"/>
      <c r="WVS50" s="9"/>
      <c r="WVT50" s="9"/>
      <c r="WVU50" s="9"/>
      <c r="WVV50" s="9"/>
      <c r="WVW50" s="9"/>
      <c r="WVX50" s="9"/>
      <c r="WVY50" s="9"/>
      <c r="WVZ50" s="9"/>
      <c r="WWA50" s="9"/>
      <c r="WWB50" s="9"/>
      <c r="WWC50" s="9"/>
      <c r="WWD50" s="9"/>
      <c r="WWE50" s="9"/>
      <c r="WWF50" s="9"/>
      <c r="WWG50" s="9"/>
      <c r="WWH50" s="9"/>
      <c r="WWI50" s="9"/>
      <c r="WWJ50" s="9"/>
      <c r="WWK50" s="9"/>
      <c r="WWL50" s="9"/>
      <c r="WWM50" s="9"/>
      <c r="WWN50" s="9"/>
      <c r="WWO50" s="9"/>
      <c r="WWP50" s="9"/>
      <c r="WWQ50" s="9"/>
      <c r="WWR50" s="9"/>
      <c r="WWS50" s="9"/>
      <c r="WWT50" s="9"/>
      <c r="WWU50" s="9"/>
      <c r="WWV50" s="9"/>
      <c r="WWW50" s="9"/>
      <c r="WWX50" s="9"/>
      <c r="WWY50" s="9"/>
      <c r="WWZ50" s="9"/>
      <c r="WXA50" s="9"/>
      <c r="WXB50" s="9"/>
      <c r="WXC50" s="9"/>
      <c r="WXD50" s="9"/>
      <c r="WXE50" s="9"/>
      <c r="WXF50" s="9"/>
      <c r="WXG50" s="9"/>
      <c r="WXH50" s="9"/>
      <c r="WXI50" s="9"/>
      <c r="WXJ50" s="9"/>
      <c r="WXK50" s="9"/>
      <c r="WXL50" s="9"/>
      <c r="WXM50" s="9"/>
      <c r="WXN50" s="9"/>
      <c r="WXO50" s="9"/>
      <c r="WXP50" s="9"/>
      <c r="WXQ50" s="9"/>
      <c r="WXR50" s="9"/>
      <c r="WXS50" s="9"/>
      <c r="WXT50" s="9"/>
      <c r="WXU50" s="9"/>
      <c r="WXV50" s="9"/>
      <c r="WXW50" s="9"/>
      <c r="WXX50" s="9"/>
      <c r="WXY50" s="9"/>
      <c r="WXZ50" s="9"/>
      <c r="WYA50" s="9"/>
      <c r="WYB50" s="9"/>
      <c r="WYC50" s="9"/>
      <c r="WYD50" s="9"/>
      <c r="WYE50" s="9"/>
      <c r="WYF50" s="9"/>
      <c r="WYG50" s="9"/>
      <c r="WYH50" s="9"/>
      <c r="WYI50" s="9"/>
      <c r="WYJ50" s="9"/>
      <c r="WYK50" s="9"/>
      <c r="WYL50" s="9"/>
      <c r="WYM50" s="9"/>
      <c r="WYN50" s="9"/>
      <c r="WYO50" s="9"/>
      <c r="WYP50" s="9"/>
      <c r="WYQ50" s="9"/>
      <c r="WYR50" s="9"/>
      <c r="WYS50" s="9"/>
      <c r="WYT50" s="9"/>
      <c r="WYU50" s="9"/>
      <c r="WYV50" s="9"/>
      <c r="WYW50" s="9"/>
      <c r="WYX50" s="9"/>
      <c r="WYY50" s="9"/>
      <c r="WYZ50" s="9"/>
      <c r="WZA50" s="9"/>
      <c r="WZB50" s="9"/>
      <c r="WZC50" s="9"/>
      <c r="WZD50" s="9"/>
      <c r="WZE50" s="9"/>
      <c r="WZF50" s="9"/>
      <c r="WZG50" s="9"/>
      <c r="WZH50" s="9"/>
      <c r="WZI50" s="9"/>
      <c r="WZJ50" s="9"/>
      <c r="WZK50" s="9"/>
      <c r="WZL50" s="9"/>
      <c r="WZM50" s="9"/>
      <c r="WZN50" s="9"/>
      <c r="WZO50" s="9"/>
      <c r="WZP50" s="9"/>
      <c r="WZQ50" s="9"/>
      <c r="WZR50" s="9"/>
      <c r="WZS50" s="9"/>
      <c r="WZT50" s="9"/>
      <c r="WZU50" s="9"/>
      <c r="WZV50" s="9"/>
      <c r="WZW50" s="9"/>
      <c r="WZX50" s="9"/>
      <c r="WZY50" s="9"/>
      <c r="WZZ50" s="9"/>
      <c r="XAA50" s="9"/>
      <c r="XAB50" s="9"/>
      <c r="XAC50" s="9"/>
      <c r="XAD50" s="9"/>
      <c r="XAE50" s="9"/>
      <c r="XAF50" s="9"/>
      <c r="XAG50" s="9"/>
      <c r="XAH50" s="9"/>
      <c r="XAI50" s="9"/>
      <c r="XAJ50" s="9"/>
      <c r="XAK50" s="9"/>
      <c r="XAL50" s="9"/>
      <c r="XAM50" s="9"/>
      <c r="XAN50" s="9"/>
      <c r="XAO50" s="9"/>
      <c r="XAP50" s="9"/>
      <c r="XAQ50" s="9"/>
      <c r="XAR50" s="9"/>
      <c r="XAS50" s="9"/>
      <c r="XAT50" s="9"/>
      <c r="XAU50" s="9"/>
      <c r="XAV50" s="9"/>
      <c r="XAW50" s="9"/>
      <c r="XAX50" s="9"/>
      <c r="XAY50" s="9"/>
      <c r="XAZ50" s="9"/>
      <c r="XBA50" s="9"/>
      <c r="XBB50" s="9"/>
      <c r="XBC50" s="9"/>
      <c r="XBD50" s="9"/>
      <c r="XBE50" s="9"/>
      <c r="XBF50" s="9"/>
      <c r="XBG50" s="9"/>
      <c r="XBH50" s="9"/>
      <c r="XBI50" s="9"/>
      <c r="XBJ50" s="9"/>
      <c r="XBK50" s="9"/>
      <c r="XBL50" s="9"/>
      <c r="XBM50" s="9"/>
      <c r="XBN50" s="9"/>
      <c r="XBO50" s="9"/>
      <c r="XBP50" s="9"/>
      <c r="XBQ50" s="9"/>
      <c r="XBR50" s="9"/>
      <c r="XBS50" s="9"/>
      <c r="XBT50" s="9"/>
      <c r="XBU50" s="9"/>
      <c r="XBV50" s="9"/>
      <c r="XBW50" s="9"/>
      <c r="XBX50" s="9"/>
      <c r="XBY50" s="9"/>
      <c r="XBZ50" s="9"/>
      <c r="XCA50" s="9"/>
      <c r="XCB50" s="9"/>
      <c r="XCC50" s="9"/>
      <c r="XCD50" s="9"/>
      <c r="XCE50" s="9"/>
      <c r="XCF50" s="9"/>
      <c r="XCG50" s="9"/>
      <c r="XCH50" s="9"/>
      <c r="XCI50" s="9"/>
      <c r="XCJ50" s="9"/>
      <c r="XCK50" s="9"/>
      <c r="XCL50" s="9"/>
      <c r="XCM50" s="9"/>
      <c r="XCN50" s="9"/>
      <c r="XCO50" s="9"/>
      <c r="XCP50" s="9"/>
      <c r="XCQ50" s="9"/>
      <c r="XCR50" s="9"/>
      <c r="XCS50" s="9"/>
      <c r="XCT50" s="9"/>
      <c r="XCU50" s="9"/>
      <c r="XCV50" s="9"/>
      <c r="XCW50" s="9"/>
      <c r="XCX50" s="9"/>
      <c r="XCY50" s="9"/>
      <c r="XCZ50" s="9"/>
      <c r="XDA50" s="9"/>
      <c r="XDB50" s="9"/>
      <c r="XDC50" s="9"/>
      <c r="XDD50" s="9"/>
      <c r="XDE50" s="9"/>
      <c r="XDF50" s="9"/>
      <c r="XDG50" s="9"/>
      <c r="XDH50" s="9"/>
      <c r="XDI50" s="9"/>
      <c r="XDJ50" s="9"/>
      <c r="XDK50" s="9"/>
      <c r="XDL50" s="9"/>
      <c r="XDM50" s="9"/>
      <c r="XDN50" s="9"/>
      <c r="XDO50" s="9"/>
      <c r="XDP50" s="9"/>
      <c r="XDQ50" s="9"/>
      <c r="XDR50" s="9"/>
      <c r="XDS50" s="9"/>
      <c r="XDT50" s="9"/>
      <c r="XDU50" s="9"/>
      <c r="XDV50" s="9"/>
      <c r="XDW50" s="9"/>
      <c r="XDX50" s="9"/>
      <c r="XDY50" s="9"/>
      <c r="XDZ50" s="9"/>
      <c r="XEA50" s="9"/>
      <c r="XEB50" s="9"/>
      <c r="XEC50" s="9"/>
      <c r="XED50" s="9"/>
      <c r="XEE50" s="9"/>
      <c r="XEF50" s="9"/>
      <c r="XEG50" s="9"/>
      <c r="XEH50" s="9"/>
      <c r="XEI50" s="9"/>
      <c r="XEJ50" s="9"/>
      <c r="XEK50" s="9"/>
      <c r="XEL50" s="9"/>
      <c r="XEM50" s="9"/>
      <c r="XEN50" s="9"/>
      <c r="XEO50" s="9"/>
      <c r="XEP50" s="9"/>
      <c r="XEQ50" s="9"/>
      <c r="XER50" s="9"/>
      <c r="XES50" s="9"/>
      <c r="XET50" s="9"/>
      <c r="XEU50" s="9"/>
      <c r="XEV50" s="9"/>
      <c r="XEW50" s="9"/>
      <c r="XEX50" s="9"/>
      <c r="XEY50" s="9"/>
      <c r="XEZ50" s="9"/>
      <c r="XFA50" s="9"/>
      <c r="XFB50" s="9"/>
      <c r="XFC50" s="9"/>
      <c r="XFD50" s="9"/>
    </row>
    <row r="51" spans="1:16384" ht="23.25" customHeight="1">
      <c r="A51">
        <f>Table4[[#This Row],[Column1]]</f>
        <v>0</v>
      </c>
      <c r="B51">
        <f>Table4[[#This Row],[Column2]]</f>
        <v>0</v>
      </c>
      <c r="C51" t="s">
        <v>229</v>
      </c>
      <c r="D51" s="9">
        <v>43328</v>
      </c>
      <c r="E51" s="9">
        <v>43328</v>
      </c>
      <c r="F51" s="15">
        <v>0.3125</v>
      </c>
      <c r="G51" t="s">
        <v>252</v>
      </c>
      <c r="H51" s="9">
        <f>Table13[[#This Row],[dicharge_date]]</f>
        <v>43334</v>
      </c>
      <c r="I51" s="13">
        <f t="shared" si="7"/>
        <v>6</v>
      </c>
      <c r="J51" s="9">
        <f t="shared" si="0"/>
        <v>43364</v>
      </c>
      <c r="K51" t="s">
        <v>4</v>
      </c>
    </row>
    <row r="52" spans="1:16384" ht="23.25" customHeight="1">
      <c r="A52">
        <f>Table4[[#This Row],[Column1]]</f>
        <v>0</v>
      </c>
      <c r="B52">
        <f>Table4[[#This Row],[Column2]]</f>
        <v>0</v>
      </c>
      <c r="C52" t="s">
        <v>15</v>
      </c>
      <c r="D52" s="9">
        <v>43329</v>
      </c>
      <c r="E52" s="9">
        <v>43329</v>
      </c>
      <c r="F52" s="15">
        <v>0.1875</v>
      </c>
      <c r="G52" t="s">
        <v>143</v>
      </c>
      <c r="H52" s="9">
        <f>Table13[[#This Row],[dicharge_date]]</f>
        <v>43330</v>
      </c>
      <c r="I52" s="13">
        <f t="shared" si="7"/>
        <v>1</v>
      </c>
      <c r="J52" s="9">
        <f t="shared" si="0"/>
        <v>43360</v>
      </c>
      <c r="K52" t="s">
        <v>4</v>
      </c>
    </row>
    <row r="53" spans="1:16384" ht="23.25" customHeight="1">
      <c r="A53">
        <f>Table4[[#This Row],[Column1]]</f>
        <v>0</v>
      </c>
      <c r="B53">
        <f>Table4[[#This Row],[Column2]]</f>
        <v>0</v>
      </c>
      <c r="C53" t="s">
        <v>15</v>
      </c>
      <c r="D53" s="9">
        <v>43329</v>
      </c>
      <c r="E53" s="9">
        <v>43329</v>
      </c>
      <c r="G53" t="s">
        <v>143</v>
      </c>
      <c r="H53" s="9">
        <f>Table13[[#This Row],[dicharge_date]]</f>
        <v>43331</v>
      </c>
      <c r="I53" s="13">
        <f t="shared" si="7"/>
        <v>2</v>
      </c>
      <c r="J53" s="9">
        <f t="shared" si="0"/>
        <v>43361</v>
      </c>
      <c r="K53" t="s">
        <v>4</v>
      </c>
    </row>
    <row r="54" spans="1:16384" ht="23.25" customHeight="1">
      <c r="A54">
        <f>Table4[[#This Row],[Column1]]</f>
        <v>0</v>
      </c>
      <c r="B54">
        <f>Table4[[#This Row],[Column2]]</f>
        <v>0</v>
      </c>
      <c r="C54" t="s">
        <v>15</v>
      </c>
      <c r="D54" s="9">
        <v>43329</v>
      </c>
      <c r="E54" s="9">
        <v>43329</v>
      </c>
      <c r="G54" t="s">
        <v>143</v>
      </c>
      <c r="H54" s="9">
        <f>Table13[[#This Row],[dicharge_date]]</f>
        <v>43330</v>
      </c>
      <c r="I54" s="13">
        <f t="shared" si="7"/>
        <v>1</v>
      </c>
      <c r="J54" s="9">
        <f t="shared" si="0"/>
        <v>43360</v>
      </c>
      <c r="K54" t="s">
        <v>4</v>
      </c>
    </row>
    <row r="55" spans="1:16384" ht="23.25" customHeight="1">
      <c r="A55">
        <f>Table4[[#This Row],[Column1]]</f>
        <v>0</v>
      </c>
      <c r="B55">
        <f>Table4[[#This Row],[Column2]]</f>
        <v>0</v>
      </c>
      <c r="C55" t="s">
        <v>15</v>
      </c>
      <c r="D55" s="9">
        <v>43332</v>
      </c>
      <c r="E55" s="9">
        <v>43332</v>
      </c>
      <c r="G55" t="s">
        <v>143</v>
      </c>
      <c r="H55" s="9">
        <f>Table13[[#This Row],[dicharge_date]]</f>
        <v>43333</v>
      </c>
      <c r="I55" s="13">
        <f t="shared" si="7"/>
        <v>1</v>
      </c>
      <c r="J55" s="9">
        <f t="shared" si="0"/>
        <v>43363</v>
      </c>
      <c r="K55" t="s">
        <v>4</v>
      </c>
    </row>
    <row r="56" spans="1:16384" ht="23.25" customHeight="1">
      <c r="A56">
        <f>Table4[[#This Row],[Column1]]</f>
        <v>0</v>
      </c>
      <c r="B56">
        <f>Table4[[#This Row],[Column2]]</f>
        <v>0</v>
      </c>
      <c r="C56" t="s">
        <v>15</v>
      </c>
      <c r="D56" s="9">
        <v>43332</v>
      </c>
      <c r="E56" s="9">
        <v>43332</v>
      </c>
      <c r="F56" s="15">
        <v>0.34375</v>
      </c>
      <c r="G56" t="s">
        <v>143</v>
      </c>
      <c r="H56" s="9">
        <f>Table13[[#This Row],[dicharge_date]]</f>
        <v>43334</v>
      </c>
      <c r="I56" s="13">
        <f t="shared" si="7"/>
        <v>2</v>
      </c>
      <c r="J56" s="9">
        <f t="shared" si="0"/>
        <v>43364</v>
      </c>
      <c r="K56" t="s">
        <v>4</v>
      </c>
    </row>
    <row r="57" spans="1:16384" ht="23.25" customHeight="1">
      <c r="A57">
        <f>Table4[[#This Row],[Column1]]</f>
        <v>0</v>
      </c>
      <c r="B57">
        <f>Table4[[#This Row],[Column2]]</f>
        <v>0</v>
      </c>
      <c r="C57" t="s">
        <v>15</v>
      </c>
      <c r="D57" s="9">
        <v>43334</v>
      </c>
      <c r="E57" s="9">
        <v>43334</v>
      </c>
      <c r="F57" s="15">
        <v>0.1875</v>
      </c>
      <c r="G57" t="s">
        <v>143</v>
      </c>
      <c r="H57" s="9">
        <f>Table13[[#This Row],[dicharge_date]]</f>
        <v>43335</v>
      </c>
      <c r="I57" s="13">
        <f t="shared" si="7"/>
        <v>1</v>
      </c>
      <c r="J57" s="9">
        <f t="shared" si="0"/>
        <v>43365</v>
      </c>
      <c r="K57" t="s">
        <v>4</v>
      </c>
    </row>
    <row r="58" spans="1:16384" ht="23.25" customHeight="1">
      <c r="A58">
        <f>Table4[[#This Row],[Column1]]</f>
        <v>0</v>
      </c>
      <c r="B58">
        <f>Table4[[#This Row],[Column2]]</f>
        <v>0</v>
      </c>
      <c r="C58" t="s">
        <v>229</v>
      </c>
      <c r="D58" s="9">
        <v>43333</v>
      </c>
      <c r="E58" s="9">
        <v>43333</v>
      </c>
      <c r="F58" s="15">
        <v>0.38541666666666669</v>
      </c>
      <c r="G58" t="s">
        <v>252</v>
      </c>
      <c r="H58" s="9">
        <f>Table13[[#This Row],[dicharge_date]]</f>
        <v>43338</v>
      </c>
      <c r="I58" s="13">
        <f t="shared" si="7"/>
        <v>5</v>
      </c>
      <c r="J58" s="9">
        <f t="shared" si="0"/>
        <v>43368</v>
      </c>
      <c r="K58" t="s">
        <v>4</v>
      </c>
    </row>
    <row r="59" spans="1:16384" ht="23.25" customHeight="1">
      <c r="A59">
        <f>Table4[[#This Row],[Column1]]</f>
        <v>0</v>
      </c>
      <c r="B59">
        <f>Table4[[#This Row],[Column2]]</f>
        <v>0</v>
      </c>
      <c r="C59" t="s">
        <v>15</v>
      </c>
      <c r="D59" s="9">
        <v>43333</v>
      </c>
      <c r="E59" s="9">
        <v>43333</v>
      </c>
      <c r="F59" s="15">
        <v>0.41666666666666669</v>
      </c>
      <c r="G59" t="s">
        <v>285</v>
      </c>
      <c r="H59" s="9">
        <f>Table13[[#This Row],[dicharge_date]]</f>
        <v>43340</v>
      </c>
      <c r="I59" s="13">
        <f t="shared" si="7"/>
        <v>7</v>
      </c>
      <c r="J59" s="9">
        <f t="shared" si="0"/>
        <v>43370</v>
      </c>
      <c r="K59" t="s">
        <v>4</v>
      </c>
    </row>
    <row r="60" spans="1:16384" ht="23.25" customHeight="1">
      <c r="A60">
        <f>Table4[[#This Row],[Column1]]</f>
        <v>0</v>
      </c>
      <c r="B60">
        <f>Table4[[#This Row],[Column2]]</f>
        <v>0</v>
      </c>
      <c r="C60" t="s">
        <v>15</v>
      </c>
      <c r="D60" s="9">
        <v>43333</v>
      </c>
      <c r="E60" s="9">
        <v>43333</v>
      </c>
      <c r="F60" s="15">
        <v>0.14583333333333334</v>
      </c>
      <c r="G60" t="s">
        <v>346</v>
      </c>
      <c r="H60" s="9">
        <f>Table13[[#This Row],[dicharge_date]]</f>
        <v>43335</v>
      </c>
      <c r="I60" s="13">
        <f t="shared" si="7"/>
        <v>2</v>
      </c>
      <c r="J60" s="9">
        <f t="shared" si="0"/>
        <v>43365</v>
      </c>
      <c r="K60" t="s">
        <v>4</v>
      </c>
    </row>
    <row r="61" spans="1:16384" ht="23.25" customHeight="1">
      <c r="A61">
        <f>Table4[[#This Row],[Column1]]</f>
        <v>0</v>
      </c>
      <c r="B61">
        <f>Table4[[#This Row],[Column2]]</f>
        <v>0</v>
      </c>
      <c r="C61" t="s">
        <v>7</v>
      </c>
      <c r="D61" s="9">
        <v>43333</v>
      </c>
      <c r="E61" s="9">
        <v>43333</v>
      </c>
      <c r="F61" s="15">
        <v>0.1875</v>
      </c>
      <c r="G61" t="s">
        <v>252</v>
      </c>
      <c r="H61" s="9">
        <f>Table13[[#This Row],[dicharge_date]]</f>
        <v>43340</v>
      </c>
      <c r="I61" s="13">
        <f t="shared" si="7"/>
        <v>7</v>
      </c>
      <c r="J61" s="9">
        <f t="shared" si="0"/>
        <v>43370</v>
      </c>
      <c r="K61" t="s">
        <v>4</v>
      </c>
    </row>
    <row r="62" spans="1:16384" ht="23.25" customHeight="1">
      <c r="A62">
        <f>Table4[[#This Row],[Column1]]</f>
        <v>0</v>
      </c>
      <c r="B62">
        <f>Table4[[#This Row],[Column2]]</f>
        <v>0</v>
      </c>
      <c r="C62" t="s">
        <v>13</v>
      </c>
      <c r="D62" s="9">
        <v>43334</v>
      </c>
      <c r="E62" s="9">
        <v>43334</v>
      </c>
      <c r="G62" t="s">
        <v>419</v>
      </c>
      <c r="H62" s="9">
        <f>Table13[[#This Row],[dicharge_date]]</f>
        <v>0</v>
      </c>
      <c r="I62" s="13">
        <f t="shared" si="7"/>
        <v>-43334</v>
      </c>
      <c r="J62" s="9">
        <f t="shared" si="0"/>
        <v>30</v>
      </c>
    </row>
    <row r="63" spans="1:16384" ht="23.25" customHeight="1">
      <c r="A63">
        <f>Table4[[#This Row],[Column1]]</f>
        <v>0</v>
      </c>
      <c r="B63">
        <f>Table4[[#This Row],[Column2]]</f>
        <v>0</v>
      </c>
      <c r="C63" t="s">
        <v>229</v>
      </c>
      <c r="D63" s="9">
        <v>43334</v>
      </c>
      <c r="E63" s="9">
        <v>43334</v>
      </c>
      <c r="F63" s="15">
        <v>9.375E-2</v>
      </c>
      <c r="G63" t="s">
        <v>252</v>
      </c>
      <c r="H63" s="9">
        <f>Table13[[#This Row],[dicharge_date]]</f>
        <v>43337</v>
      </c>
      <c r="I63" s="13">
        <f t="shared" si="7"/>
        <v>3</v>
      </c>
      <c r="J63" s="9">
        <f t="shared" si="0"/>
        <v>43367</v>
      </c>
      <c r="K63" t="s">
        <v>4</v>
      </c>
    </row>
    <row r="64" spans="1:16384" ht="23.25" customHeight="1">
      <c r="A64">
        <f>Table4[[#This Row],[Column1]]</f>
        <v>0</v>
      </c>
      <c r="B64">
        <f>Table4[[#This Row],[Column2]]</f>
        <v>0</v>
      </c>
      <c r="C64" t="s">
        <v>1</v>
      </c>
      <c r="D64" s="9">
        <v>43334</v>
      </c>
      <c r="E64" s="9">
        <v>43334</v>
      </c>
      <c r="F64" s="15">
        <v>0.19444444444444445</v>
      </c>
      <c r="G64" t="s">
        <v>257</v>
      </c>
      <c r="H64" s="9">
        <f>Table13[[#This Row],[dicharge_date]]</f>
        <v>43335</v>
      </c>
      <c r="I64" s="13">
        <f t="shared" si="7"/>
        <v>1</v>
      </c>
      <c r="J64" s="9">
        <f t="shared" si="0"/>
        <v>43365</v>
      </c>
      <c r="K64" t="s">
        <v>4</v>
      </c>
    </row>
    <row r="65" spans="1:11" ht="23.25" customHeight="1">
      <c r="A65">
        <f>Table4[[#This Row],[Column1]]</f>
        <v>0</v>
      </c>
      <c r="B65">
        <f>Table4[[#This Row],[Column2]]</f>
        <v>0</v>
      </c>
      <c r="C65" t="s">
        <v>7</v>
      </c>
      <c r="D65" s="9">
        <v>43333</v>
      </c>
      <c r="E65" s="9">
        <v>43333</v>
      </c>
      <c r="F65" s="15">
        <v>0.27777777777777779</v>
      </c>
      <c r="G65" t="s">
        <v>252</v>
      </c>
      <c r="H65" s="9">
        <f>Table13[[#This Row],[dicharge_date]]</f>
        <v>43340</v>
      </c>
      <c r="I65" s="13">
        <f t="shared" si="7"/>
        <v>7</v>
      </c>
      <c r="J65" s="9">
        <f t="shared" si="0"/>
        <v>43370</v>
      </c>
      <c r="K65" t="s">
        <v>4</v>
      </c>
    </row>
    <row r="66" spans="1:11" ht="23.25" customHeight="1">
      <c r="A66">
        <f>Table4[[#This Row],[Column1]]</f>
        <v>0</v>
      </c>
      <c r="B66">
        <f>Table4[[#This Row],[Column2]]</f>
        <v>0</v>
      </c>
      <c r="C66" t="s">
        <v>229</v>
      </c>
      <c r="D66" s="9">
        <v>43334</v>
      </c>
      <c r="E66" s="9">
        <v>43335</v>
      </c>
      <c r="F66" s="15">
        <v>0.29166666666666669</v>
      </c>
      <c r="G66" t="s">
        <v>252</v>
      </c>
      <c r="H66" s="9">
        <f>Table13[[#This Row],[dicharge_date]]</f>
        <v>43347</v>
      </c>
      <c r="I66" s="13">
        <f t="shared" si="7"/>
        <v>12</v>
      </c>
      <c r="J66" s="9">
        <f t="shared" ref="J66:J129" si="8">IF( H66&lt;&gt;"", H66+30,"")</f>
        <v>43377</v>
      </c>
      <c r="K66" t="s">
        <v>4</v>
      </c>
    </row>
    <row r="67" spans="1:11" ht="23.25" customHeight="1">
      <c r="A67">
        <f>Table4[[#This Row],[Column1]]</f>
        <v>0</v>
      </c>
      <c r="B67">
        <f>Table4[[#This Row],[Column2]]</f>
        <v>0</v>
      </c>
      <c r="C67" t="s">
        <v>9</v>
      </c>
      <c r="D67" s="9">
        <v>43335</v>
      </c>
      <c r="E67" s="9">
        <v>43335</v>
      </c>
      <c r="F67" s="15">
        <v>0.41666666666666669</v>
      </c>
      <c r="G67" t="s">
        <v>252</v>
      </c>
      <c r="H67" s="9">
        <f>Table13[[#This Row],[dicharge_date]]</f>
        <v>43342</v>
      </c>
      <c r="I67" s="13">
        <f t="shared" si="7"/>
        <v>7</v>
      </c>
      <c r="J67" s="9">
        <f t="shared" si="8"/>
        <v>43372</v>
      </c>
      <c r="K67" t="s">
        <v>4</v>
      </c>
    </row>
    <row r="68" spans="1:11" ht="23.25" customHeight="1">
      <c r="A68">
        <f>Table4[[#This Row],[Column1]]</f>
        <v>0</v>
      </c>
      <c r="B68">
        <f>Table4[[#This Row],[Column2]]</f>
        <v>0</v>
      </c>
      <c r="C68" t="s">
        <v>7</v>
      </c>
      <c r="D68" s="9">
        <v>43335</v>
      </c>
      <c r="E68" s="9">
        <v>43335</v>
      </c>
      <c r="F68" s="15">
        <v>0.1875</v>
      </c>
      <c r="G68" t="s">
        <v>252</v>
      </c>
      <c r="H68" s="9">
        <f>Table13[[#This Row],[dicharge_date]]</f>
        <v>43343</v>
      </c>
      <c r="I68" s="13">
        <f t="shared" si="7"/>
        <v>8</v>
      </c>
      <c r="J68" s="9">
        <f t="shared" si="8"/>
        <v>43373</v>
      </c>
      <c r="K68" t="s">
        <v>4</v>
      </c>
    </row>
    <row r="69" spans="1:11" ht="23.25" customHeight="1">
      <c r="A69">
        <f>Table4[[#This Row],[Column1]]</f>
        <v>0</v>
      </c>
      <c r="B69">
        <f>Table4[[#This Row],[Column2]]</f>
        <v>0</v>
      </c>
      <c r="C69" t="s">
        <v>15</v>
      </c>
      <c r="D69" s="9">
        <v>43335</v>
      </c>
      <c r="E69" s="9">
        <v>43335</v>
      </c>
      <c r="F69" s="15">
        <v>8.3333333333333329E-2</v>
      </c>
      <c r="G69" t="s">
        <v>432</v>
      </c>
      <c r="H69" s="9">
        <f>Table13[[#This Row],[dicharge_date]]</f>
        <v>43337</v>
      </c>
      <c r="I69" s="13">
        <f t="shared" si="7"/>
        <v>2</v>
      </c>
      <c r="J69" s="9">
        <f t="shared" si="8"/>
        <v>43367</v>
      </c>
      <c r="K69" t="s">
        <v>4</v>
      </c>
    </row>
    <row r="70" spans="1:11" ht="23.25" customHeight="1">
      <c r="A70">
        <f>Table4[[#This Row],[Column1]]</f>
        <v>0</v>
      </c>
      <c r="B70">
        <f>Table4[[#This Row],[Column2]]</f>
        <v>0</v>
      </c>
      <c r="C70" t="s">
        <v>15</v>
      </c>
      <c r="D70" s="9">
        <v>43336</v>
      </c>
      <c r="E70" s="9">
        <v>43336</v>
      </c>
      <c r="G70" t="s">
        <v>346</v>
      </c>
      <c r="H70" s="9">
        <f>Table13[[#This Row],[dicharge_date]]</f>
        <v>43338</v>
      </c>
      <c r="I70" s="13">
        <f t="shared" si="7"/>
        <v>2</v>
      </c>
      <c r="J70" s="9">
        <f t="shared" si="8"/>
        <v>43368</v>
      </c>
    </row>
    <row r="71" spans="1:11" ht="23.25" customHeight="1">
      <c r="A71">
        <f>Table4[[#This Row],[Column1]]</f>
        <v>0</v>
      </c>
      <c r="B71">
        <f>Table4[[#This Row],[Column2]]</f>
        <v>0</v>
      </c>
      <c r="C71" t="s">
        <v>15</v>
      </c>
      <c r="D71" s="9">
        <v>43336</v>
      </c>
      <c r="E71" s="9">
        <v>43336</v>
      </c>
      <c r="G71" t="s">
        <v>277</v>
      </c>
      <c r="H71" s="9">
        <f>Table13[[#This Row],[dicharge_date]]</f>
        <v>43342</v>
      </c>
      <c r="I71" s="13">
        <f t="shared" si="7"/>
        <v>6</v>
      </c>
      <c r="J71" s="9">
        <f t="shared" si="8"/>
        <v>43372</v>
      </c>
      <c r="K71" t="s">
        <v>4</v>
      </c>
    </row>
    <row r="72" spans="1:11" ht="23.25" customHeight="1">
      <c r="A72">
        <f>Table4[[#This Row],[Column1]]</f>
        <v>0</v>
      </c>
      <c r="B72">
        <f>Table4[[#This Row],[Column2]]</f>
        <v>0</v>
      </c>
      <c r="C72" t="s">
        <v>15</v>
      </c>
      <c r="D72" s="9">
        <v>43340</v>
      </c>
      <c r="E72" s="9">
        <v>43340</v>
      </c>
      <c r="G72" t="s">
        <v>277</v>
      </c>
      <c r="H72" s="9">
        <f>Table13[[#This Row],[dicharge_date]]</f>
        <v>0</v>
      </c>
      <c r="I72" s="13">
        <f t="shared" si="7"/>
        <v>-43340</v>
      </c>
      <c r="J72" s="9">
        <f t="shared" si="8"/>
        <v>30</v>
      </c>
    </row>
    <row r="73" spans="1:11" ht="23.25" customHeight="1">
      <c r="A73">
        <f>Table4[[#This Row],[Column1]]</f>
        <v>0</v>
      </c>
      <c r="B73">
        <f>Table4[[#This Row],[Column2]]</f>
        <v>0</v>
      </c>
      <c r="C73" t="s">
        <v>13</v>
      </c>
      <c r="D73" s="9">
        <v>43340</v>
      </c>
      <c r="E73" s="9">
        <v>43340</v>
      </c>
      <c r="F73" s="15">
        <v>0.22916666666666666</v>
      </c>
      <c r="G73" t="s">
        <v>252</v>
      </c>
      <c r="H73" s="9">
        <f>Table13[[#This Row],[dicharge_date]]</f>
        <v>43349</v>
      </c>
      <c r="I73" s="13">
        <f t="shared" si="7"/>
        <v>9</v>
      </c>
      <c r="J73" s="9">
        <f t="shared" si="8"/>
        <v>43379</v>
      </c>
      <c r="K73" t="s">
        <v>4</v>
      </c>
    </row>
    <row r="74" spans="1:11" ht="23.25" customHeight="1">
      <c r="A74">
        <f>Table4[[#This Row],[Column1]]</f>
        <v>0</v>
      </c>
      <c r="B74">
        <f>Table4[[#This Row],[Column2]]</f>
        <v>0</v>
      </c>
      <c r="C74" t="s">
        <v>13</v>
      </c>
      <c r="D74" s="9">
        <v>43340</v>
      </c>
      <c r="E74" s="9">
        <v>43340</v>
      </c>
      <c r="F74" s="15">
        <v>0.33333333333333331</v>
      </c>
      <c r="G74" t="s">
        <v>296</v>
      </c>
      <c r="H74" s="9">
        <f>Table13[[#This Row],[dicharge_date]]</f>
        <v>43348</v>
      </c>
      <c r="I74" s="13">
        <f t="shared" si="7"/>
        <v>8</v>
      </c>
      <c r="J74" s="9">
        <f t="shared" si="8"/>
        <v>43378</v>
      </c>
      <c r="K74" t="s">
        <v>4</v>
      </c>
    </row>
    <row r="75" spans="1:11" ht="23.25" customHeight="1">
      <c r="A75">
        <f>Table4[[#This Row],[Column1]]</f>
        <v>0</v>
      </c>
      <c r="B75">
        <f>Table4[[#This Row],[Column2]]</f>
        <v>0</v>
      </c>
      <c r="C75" t="s">
        <v>7</v>
      </c>
      <c r="D75" s="9">
        <v>43341</v>
      </c>
      <c r="E75" s="9">
        <v>43341</v>
      </c>
      <c r="F75" s="15">
        <v>0.4236111111111111</v>
      </c>
      <c r="G75" t="s">
        <v>329</v>
      </c>
      <c r="H75" s="9">
        <f>Table13[[#This Row],[dicharge_date]]</f>
        <v>43350</v>
      </c>
      <c r="I75" s="13">
        <f t="shared" si="7"/>
        <v>9</v>
      </c>
      <c r="J75" s="9">
        <f t="shared" si="8"/>
        <v>43380</v>
      </c>
      <c r="K75" t="s">
        <v>3</v>
      </c>
    </row>
    <row r="76" spans="1:11" ht="23.25" customHeight="1">
      <c r="A76">
        <f>Table4[[#This Row],[Column1]]</f>
        <v>0</v>
      </c>
      <c r="B76">
        <f>Table4[[#This Row],[Column2]]</f>
        <v>0</v>
      </c>
      <c r="C76" t="s">
        <v>6</v>
      </c>
      <c r="D76" s="9">
        <v>43341</v>
      </c>
      <c r="E76" s="9">
        <v>43341</v>
      </c>
      <c r="F76" s="15">
        <v>0.30208333333333331</v>
      </c>
      <c r="G76" t="s">
        <v>432</v>
      </c>
      <c r="H76" s="9">
        <f>Table13[[#This Row],[dicharge_date]]</f>
        <v>43354</v>
      </c>
      <c r="I76" s="13">
        <f t="shared" si="7"/>
        <v>13</v>
      </c>
      <c r="J76" s="9">
        <f t="shared" si="8"/>
        <v>43384</v>
      </c>
      <c r="K76" t="s">
        <v>4</v>
      </c>
    </row>
    <row r="77" spans="1:11" ht="23.25" customHeight="1">
      <c r="A77">
        <f>Table4[[#This Row],[Column1]]</f>
        <v>0</v>
      </c>
      <c r="B77">
        <f>Table4[[#This Row],[Column2]]</f>
        <v>0</v>
      </c>
      <c r="C77" t="s">
        <v>229</v>
      </c>
      <c r="D77" s="9">
        <v>43341</v>
      </c>
      <c r="E77" s="9">
        <v>43341</v>
      </c>
      <c r="F77" s="15">
        <v>0.17708333333333334</v>
      </c>
      <c r="G77" t="s">
        <v>252</v>
      </c>
      <c r="H77" s="9">
        <f>Table13[[#This Row],[dicharge_date]]</f>
        <v>43344</v>
      </c>
      <c r="I77" s="13">
        <f t="shared" si="7"/>
        <v>3</v>
      </c>
      <c r="J77" s="9">
        <f t="shared" si="8"/>
        <v>43374</v>
      </c>
      <c r="K77" t="s">
        <v>4</v>
      </c>
    </row>
    <row r="78" spans="1:11" ht="23.25" customHeight="1">
      <c r="A78">
        <f>Table4[[#This Row],[Column1]]</f>
        <v>0</v>
      </c>
      <c r="B78">
        <f>Table4[[#This Row],[Column2]]</f>
        <v>0</v>
      </c>
      <c r="C78" t="s">
        <v>15</v>
      </c>
      <c r="D78" s="9">
        <v>43342</v>
      </c>
      <c r="E78" s="9">
        <v>43342</v>
      </c>
      <c r="G78" t="s">
        <v>324</v>
      </c>
      <c r="H78" s="9">
        <f>Table13[[#This Row],[dicharge_date]]</f>
        <v>0</v>
      </c>
      <c r="I78" s="13">
        <f t="shared" si="7"/>
        <v>-43342</v>
      </c>
      <c r="J78" s="9">
        <f t="shared" si="8"/>
        <v>30</v>
      </c>
    </row>
    <row r="79" spans="1:11" ht="23.25" customHeight="1">
      <c r="A79">
        <f>Table4[[#This Row],[Column1]]</f>
        <v>0</v>
      </c>
      <c r="B79">
        <f>Table4[[#This Row],[Column2]]</f>
        <v>0</v>
      </c>
      <c r="C79" t="s">
        <v>229</v>
      </c>
      <c r="D79" s="9">
        <v>43342</v>
      </c>
      <c r="E79" s="9">
        <v>43342</v>
      </c>
      <c r="F79" s="15">
        <v>0.19791666666666666</v>
      </c>
      <c r="G79" t="s">
        <v>252</v>
      </c>
      <c r="H79" s="9">
        <f>Table13[[#This Row],[dicharge_date]]</f>
        <v>43348</v>
      </c>
      <c r="I79" s="13">
        <f t="shared" si="7"/>
        <v>6</v>
      </c>
      <c r="J79" s="9">
        <f t="shared" si="8"/>
        <v>43378</v>
      </c>
      <c r="K79" t="s">
        <v>4</v>
      </c>
    </row>
    <row r="80" spans="1:11" ht="23.25" customHeight="1">
      <c r="A80">
        <f>Table4[[#This Row],[Column1]]</f>
        <v>0</v>
      </c>
      <c r="B80">
        <f>Table4[[#This Row],[Column2]]</f>
        <v>0</v>
      </c>
      <c r="C80" t="s">
        <v>15</v>
      </c>
      <c r="D80" s="9">
        <v>43342</v>
      </c>
      <c r="E80" s="9">
        <v>43342</v>
      </c>
      <c r="F80" s="15">
        <v>0.45833333333333331</v>
      </c>
      <c r="G80" t="s">
        <v>324</v>
      </c>
      <c r="H80" s="9">
        <f>Table13[[#This Row],[dicharge_date]]</f>
        <v>43363</v>
      </c>
      <c r="I80" s="13">
        <f t="shared" si="7"/>
        <v>21</v>
      </c>
      <c r="J80" s="9">
        <f t="shared" si="8"/>
        <v>43393</v>
      </c>
      <c r="K80" t="s">
        <v>4</v>
      </c>
    </row>
    <row r="81" spans="1:11" ht="23.25" customHeight="1">
      <c r="A81">
        <f>Table4[[#This Row],[Column1]]</f>
        <v>0</v>
      </c>
      <c r="B81">
        <f>Table4[[#This Row],[Column2]]</f>
        <v>0</v>
      </c>
      <c r="C81" t="s">
        <v>6</v>
      </c>
      <c r="D81" s="9">
        <v>43342</v>
      </c>
      <c r="E81" s="9">
        <v>43342</v>
      </c>
      <c r="G81" t="s">
        <v>432</v>
      </c>
      <c r="H81" s="9">
        <f>Table13[[#This Row],[dicharge_date]]</f>
        <v>43345</v>
      </c>
      <c r="I81" s="13">
        <f t="shared" si="7"/>
        <v>3</v>
      </c>
      <c r="J81" s="9">
        <f t="shared" si="8"/>
        <v>43375</v>
      </c>
      <c r="K81" t="s">
        <v>4</v>
      </c>
    </row>
    <row r="82" spans="1:11" ht="23.25" customHeight="1">
      <c r="A82">
        <f>Table4[[#This Row],[Column1]]</f>
        <v>0</v>
      </c>
      <c r="B82">
        <f>Table4[[#This Row],[Column2]]</f>
        <v>0</v>
      </c>
      <c r="C82" t="s">
        <v>7</v>
      </c>
      <c r="D82" s="9">
        <v>43342</v>
      </c>
      <c r="E82" s="9">
        <v>43342</v>
      </c>
      <c r="F82" s="15">
        <v>0.40277777777777773</v>
      </c>
      <c r="G82" t="s">
        <v>252</v>
      </c>
      <c r="H82" s="9">
        <f>Table13[[#This Row],[dicharge_date]]</f>
        <v>43348</v>
      </c>
      <c r="I82" s="13">
        <f t="shared" si="7"/>
        <v>6</v>
      </c>
      <c r="J82" s="9">
        <f t="shared" si="8"/>
        <v>43378</v>
      </c>
      <c r="K82" t="s">
        <v>4</v>
      </c>
    </row>
    <row r="83" spans="1:11" ht="23.25" customHeight="1">
      <c r="A83">
        <f>Table4[[#This Row],[Column1]]</f>
        <v>0</v>
      </c>
      <c r="B83">
        <f>Table4[[#This Row],[Column2]]</f>
        <v>0</v>
      </c>
      <c r="C83" t="s">
        <v>15</v>
      </c>
      <c r="D83" s="9">
        <v>43343</v>
      </c>
      <c r="E83" s="9">
        <v>43343</v>
      </c>
      <c r="F83" s="15">
        <v>0.27083333333333331</v>
      </c>
      <c r="G83" t="s">
        <v>143</v>
      </c>
      <c r="H83" s="9">
        <f>Table13[[#This Row],[dicharge_date]]</f>
        <v>43357</v>
      </c>
      <c r="I83" s="13">
        <f t="shared" si="7"/>
        <v>14</v>
      </c>
      <c r="J83" s="9">
        <f t="shared" si="8"/>
        <v>43387</v>
      </c>
      <c r="K83" t="s">
        <v>4</v>
      </c>
    </row>
    <row r="84" spans="1:11" ht="23.25" customHeight="1">
      <c r="A84">
        <f>Table4[[#This Row],[Column1]]</f>
        <v>0</v>
      </c>
      <c r="B84">
        <f>Table4[[#This Row],[Column2]]</f>
        <v>0</v>
      </c>
      <c r="C84" t="s">
        <v>15</v>
      </c>
      <c r="D84" s="9">
        <v>43343</v>
      </c>
      <c r="E84" s="9">
        <v>43343</v>
      </c>
      <c r="F84" s="15">
        <v>0.29166666666666669</v>
      </c>
      <c r="G84" t="s">
        <v>324</v>
      </c>
      <c r="H84" s="9">
        <f>Table13[[#This Row],[dicharge_date]]</f>
        <v>43349</v>
      </c>
      <c r="I84" s="13">
        <f t="shared" si="7"/>
        <v>6</v>
      </c>
      <c r="J84" s="9">
        <f t="shared" si="8"/>
        <v>43379</v>
      </c>
      <c r="K84" t="s">
        <v>4</v>
      </c>
    </row>
    <row r="85" spans="1:11" ht="23.25" customHeight="1">
      <c r="A85">
        <f>Table4[[#This Row],[Column1]]</f>
        <v>0</v>
      </c>
      <c r="B85">
        <f>Table4[[#This Row],[Column2]]</f>
        <v>0</v>
      </c>
      <c r="C85" t="s">
        <v>15</v>
      </c>
      <c r="D85" s="9">
        <v>43346</v>
      </c>
      <c r="E85" s="9">
        <v>43346</v>
      </c>
      <c r="G85" t="s">
        <v>277</v>
      </c>
      <c r="H85" s="9">
        <f>Table13[[#This Row],[dicharge_date]]</f>
        <v>43347</v>
      </c>
      <c r="I85" s="13">
        <f t="shared" si="7"/>
        <v>1</v>
      </c>
      <c r="J85" s="9">
        <f t="shared" si="8"/>
        <v>43377</v>
      </c>
      <c r="K85" t="s">
        <v>4</v>
      </c>
    </row>
    <row r="86" spans="1:11" ht="23.25" customHeight="1">
      <c r="A86">
        <f>Table4[[#This Row],[Column1]]</f>
        <v>0</v>
      </c>
      <c r="B86">
        <f>Table4[[#This Row],[Column2]]</f>
        <v>0</v>
      </c>
      <c r="C86" t="s">
        <v>15</v>
      </c>
      <c r="D86" s="9">
        <v>43346</v>
      </c>
      <c r="E86" s="9">
        <v>43346</v>
      </c>
      <c r="F86" s="15">
        <v>0.20833333333333334</v>
      </c>
      <c r="G86" t="s">
        <v>324</v>
      </c>
      <c r="H86" s="9">
        <f>Table13[[#This Row],[dicharge_date]]</f>
        <v>43354</v>
      </c>
      <c r="I86" s="13">
        <f t="shared" si="7"/>
        <v>8</v>
      </c>
      <c r="J86" s="9">
        <f t="shared" si="8"/>
        <v>43384</v>
      </c>
      <c r="K86" t="s">
        <v>4</v>
      </c>
    </row>
    <row r="87" spans="1:11" ht="23.25" customHeight="1">
      <c r="A87">
        <f>Table4[[#This Row],[Column1]]</f>
        <v>0</v>
      </c>
      <c r="B87">
        <f>Table4[[#This Row],[Column2]]</f>
        <v>0</v>
      </c>
      <c r="C87" t="s">
        <v>7</v>
      </c>
      <c r="D87" s="9">
        <v>43347</v>
      </c>
      <c r="E87" s="9">
        <v>43347</v>
      </c>
      <c r="F87" s="15">
        <v>0.29166666666666669</v>
      </c>
      <c r="G87" t="s">
        <v>252</v>
      </c>
      <c r="H87" s="9">
        <f>Table13[[#This Row],[dicharge_date]]</f>
        <v>43351</v>
      </c>
      <c r="I87" s="13">
        <f t="shared" si="7"/>
        <v>4</v>
      </c>
      <c r="J87" s="9">
        <f t="shared" si="8"/>
        <v>43381</v>
      </c>
      <c r="K87" t="s">
        <v>4</v>
      </c>
    </row>
    <row r="88" spans="1:11" ht="23.25" customHeight="1">
      <c r="A88">
        <f>Table4[[#This Row],[Column1]]</f>
        <v>0</v>
      </c>
      <c r="B88">
        <f>Table4[[#This Row],[Column2]]</f>
        <v>0</v>
      </c>
      <c r="C88" t="s">
        <v>229</v>
      </c>
      <c r="D88" s="9">
        <v>43347</v>
      </c>
      <c r="E88" s="9">
        <v>43347</v>
      </c>
      <c r="F88" s="15">
        <v>0.20833333333333334</v>
      </c>
      <c r="G88" t="s">
        <v>252</v>
      </c>
      <c r="H88" s="9">
        <f>Table13[[#This Row],[dicharge_date]]</f>
        <v>43350</v>
      </c>
      <c r="I88" s="13">
        <f t="shared" si="7"/>
        <v>3</v>
      </c>
      <c r="J88" s="9">
        <f t="shared" si="8"/>
        <v>43380</v>
      </c>
      <c r="K88" t="s">
        <v>4</v>
      </c>
    </row>
    <row r="89" spans="1:11" ht="23.25" customHeight="1">
      <c r="A89">
        <f>Table4[[#This Row],[Column1]]</f>
        <v>0</v>
      </c>
      <c r="B89">
        <f>Table4[[#This Row],[Column2]]</f>
        <v>0</v>
      </c>
      <c r="C89" t="s">
        <v>15</v>
      </c>
      <c r="D89" s="9">
        <v>43334</v>
      </c>
      <c r="E89" s="9">
        <v>43347</v>
      </c>
      <c r="F89" s="15">
        <v>0.25</v>
      </c>
      <c r="G89" t="s">
        <v>324</v>
      </c>
      <c r="H89" s="9">
        <f>Table13[[#This Row],[dicharge_date]]</f>
        <v>43357</v>
      </c>
      <c r="I89" s="13">
        <f t="shared" si="7"/>
        <v>10</v>
      </c>
      <c r="J89" s="9">
        <f t="shared" si="8"/>
        <v>43387</v>
      </c>
      <c r="K89" t="s">
        <v>4</v>
      </c>
    </row>
    <row r="90" spans="1:11" ht="23.25" customHeight="1">
      <c r="A90">
        <f>Table4[[#This Row],[Column1]]</f>
        <v>0</v>
      </c>
      <c r="B90">
        <f>Table4[[#This Row],[Column2]]</f>
        <v>0</v>
      </c>
      <c r="C90" t="s">
        <v>6</v>
      </c>
      <c r="D90" s="9">
        <v>43348</v>
      </c>
      <c r="E90" s="9">
        <v>43348</v>
      </c>
      <c r="F90" s="15">
        <v>0.4375</v>
      </c>
      <c r="G90" t="s">
        <v>473</v>
      </c>
      <c r="H90" s="9">
        <f>Table13[[#This Row],[dicharge_date]]</f>
        <v>43376</v>
      </c>
      <c r="I90" s="13">
        <f t="shared" si="7"/>
        <v>28</v>
      </c>
      <c r="J90" s="9">
        <f t="shared" si="8"/>
        <v>43406</v>
      </c>
      <c r="K90" t="s">
        <v>4</v>
      </c>
    </row>
    <row r="91" spans="1:11" ht="23.25" customHeight="1">
      <c r="A91">
        <f>Table4[[#This Row],[Column1]]</f>
        <v>0</v>
      </c>
      <c r="B91">
        <f>Table4[[#This Row],[Column2]]</f>
        <v>0</v>
      </c>
      <c r="C91" t="s">
        <v>9</v>
      </c>
      <c r="D91" s="9">
        <v>43348</v>
      </c>
      <c r="E91" s="9">
        <v>43348</v>
      </c>
      <c r="G91" t="s">
        <v>475</v>
      </c>
      <c r="H91" s="9">
        <f>Table13[[#This Row],[dicharge_date]]</f>
        <v>43352</v>
      </c>
      <c r="I91" s="13">
        <f t="shared" si="7"/>
        <v>4</v>
      </c>
      <c r="J91" s="9">
        <f t="shared" si="8"/>
        <v>43382</v>
      </c>
      <c r="K91" t="s">
        <v>4</v>
      </c>
    </row>
    <row r="92" spans="1:11" ht="23.25" customHeight="1">
      <c r="A92">
        <f>Table4[[#This Row],[Column1]]</f>
        <v>0</v>
      </c>
      <c r="B92">
        <f>Table4[[#This Row],[Column2]]</f>
        <v>0</v>
      </c>
      <c r="C92" t="s">
        <v>6</v>
      </c>
      <c r="D92" s="9">
        <v>43349</v>
      </c>
      <c r="E92" s="9">
        <v>43349</v>
      </c>
      <c r="F92" s="15">
        <v>0.11458333333333333</v>
      </c>
      <c r="G92" t="s">
        <v>473</v>
      </c>
      <c r="H92" s="9">
        <f>Table13[[#This Row],[dicharge_date]]</f>
        <v>43352</v>
      </c>
      <c r="I92" s="13">
        <f t="shared" si="7"/>
        <v>3</v>
      </c>
      <c r="J92" s="9">
        <f t="shared" si="8"/>
        <v>43382</v>
      </c>
      <c r="K92" t="s">
        <v>4</v>
      </c>
    </row>
    <row r="93" spans="1:11" ht="23.25" customHeight="1">
      <c r="A93">
        <f>Table4[[#This Row],[Column1]]</f>
        <v>0</v>
      </c>
      <c r="B93">
        <f>Table4[[#This Row],[Column2]]</f>
        <v>0</v>
      </c>
      <c r="C93" t="s">
        <v>229</v>
      </c>
      <c r="D93" s="9">
        <v>43349</v>
      </c>
      <c r="E93" s="9">
        <v>43349</v>
      </c>
      <c r="F93" s="15">
        <v>0.22222222222222221</v>
      </c>
      <c r="G93" t="s">
        <v>252</v>
      </c>
      <c r="H93" s="9">
        <f>Table13[[#This Row],[dicharge_date]]</f>
        <v>43354</v>
      </c>
      <c r="I93" s="13">
        <f t="shared" si="7"/>
        <v>5</v>
      </c>
      <c r="J93" s="9">
        <f t="shared" si="8"/>
        <v>43384</v>
      </c>
      <c r="K93" t="s">
        <v>4</v>
      </c>
    </row>
    <row r="94" spans="1:11" ht="23.25" customHeight="1">
      <c r="A94">
        <f>Table4[[#This Row],[Column1]]</f>
        <v>0</v>
      </c>
      <c r="B94">
        <f>Table4[[#This Row],[Column2]]</f>
        <v>0</v>
      </c>
      <c r="C94" t="s">
        <v>7</v>
      </c>
      <c r="D94" s="9">
        <v>43349</v>
      </c>
      <c r="E94" s="9">
        <v>43349</v>
      </c>
      <c r="F94" s="15">
        <v>0.17013888888888887</v>
      </c>
      <c r="G94" t="s">
        <v>252</v>
      </c>
      <c r="H94" s="9">
        <f>Table13[[#This Row],[dicharge_date]]</f>
        <v>43352</v>
      </c>
      <c r="I94" s="13">
        <f t="shared" si="7"/>
        <v>3</v>
      </c>
      <c r="J94" s="9">
        <f t="shared" si="8"/>
        <v>43382</v>
      </c>
      <c r="K94" t="s">
        <v>4</v>
      </c>
    </row>
    <row r="95" spans="1:11" ht="23.25" customHeight="1">
      <c r="A95">
        <f>Table4[[#This Row],[Column1]]</f>
        <v>0</v>
      </c>
      <c r="B95">
        <f>Table4[[#This Row],[Column2]]</f>
        <v>0</v>
      </c>
      <c r="C95" t="s">
        <v>15</v>
      </c>
      <c r="D95" s="9">
        <v>43349</v>
      </c>
      <c r="E95" s="9">
        <v>43349</v>
      </c>
      <c r="F95" s="15">
        <v>0.45833333333333331</v>
      </c>
      <c r="G95" t="s">
        <v>277</v>
      </c>
      <c r="H95" s="9">
        <f>Table13[[#This Row],[dicharge_date]]</f>
        <v>43355</v>
      </c>
      <c r="I95" s="13">
        <f t="shared" si="7"/>
        <v>6</v>
      </c>
      <c r="J95" s="9">
        <f t="shared" si="8"/>
        <v>43385</v>
      </c>
      <c r="K95" t="s">
        <v>4</v>
      </c>
    </row>
    <row r="96" spans="1:11" ht="23.25" customHeight="1">
      <c r="A96">
        <f>Table4[[#This Row],[Column1]]</f>
        <v>0</v>
      </c>
      <c r="B96">
        <f>Table4[[#This Row],[Column2]]</f>
        <v>0</v>
      </c>
      <c r="C96" t="s">
        <v>15</v>
      </c>
      <c r="D96" s="9">
        <v>43326</v>
      </c>
      <c r="E96" s="9">
        <v>43350</v>
      </c>
      <c r="F96" s="15">
        <v>0.19791666666666666</v>
      </c>
      <c r="G96" t="s">
        <v>324</v>
      </c>
      <c r="H96" s="9">
        <f>Table13[[#This Row],[dicharge_date]]</f>
        <v>43402</v>
      </c>
      <c r="I96" s="13">
        <f t="shared" si="7"/>
        <v>52</v>
      </c>
      <c r="J96" s="9">
        <f t="shared" si="8"/>
        <v>43432</v>
      </c>
    </row>
    <row r="97" spans="1:11" ht="23.25" customHeight="1">
      <c r="A97">
        <f>Table4[[#This Row],[Column1]]</f>
        <v>0</v>
      </c>
      <c r="B97">
        <f>Table4[[#This Row],[Column2]]</f>
        <v>0</v>
      </c>
      <c r="C97" t="s">
        <v>7</v>
      </c>
      <c r="D97" s="9">
        <v>43305</v>
      </c>
      <c r="E97" s="9">
        <v>43350</v>
      </c>
      <c r="F97" s="15">
        <v>0.19791666666666666</v>
      </c>
      <c r="G97" t="s">
        <v>432</v>
      </c>
      <c r="H97" s="9">
        <f>Table13[[#This Row],[dicharge_date]]</f>
        <v>43361</v>
      </c>
      <c r="I97" s="13">
        <f t="shared" si="7"/>
        <v>11</v>
      </c>
      <c r="J97" s="9">
        <f t="shared" si="8"/>
        <v>43391</v>
      </c>
      <c r="K97" t="s">
        <v>3</v>
      </c>
    </row>
    <row r="98" spans="1:11" ht="23.25" customHeight="1">
      <c r="A98">
        <f>Table4[[#This Row],[Column1]]</f>
        <v>0</v>
      </c>
      <c r="B98">
        <f>Table4[[#This Row],[Column2]]</f>
        <v>0</v>
      </c>
      <c r="C98" t="s">
        <v>15</v>
      </c>
      <c r="D98" s="9">
        <v>43350</v>
      </c>
      <c r="E98" s="9">
        <v>43353</v>
      </c>
      <c r="G98" t="s">
        <v>285</v>
      </c>
      <c r="H98" s="9">
        <f>Table13[[#This Row],[dicharge_date]]</f>
        <v>0</v>
      </c>
      <c r="I98" s="13">
        <f t="shared" si="7"/>
        <v>-43353</v>
      </c>
      <c r="J98" s="9">
        <f t="shared" si="8"/>
        <v>30</v>
      </c>
    </row>
    <row r="99" spans="1:11" ht="23.25" customHeight="1">
      <c r="A99">
        <f>Table4[[#This Row],[Column1]]</f>
        <v>0</v>
      </c>
      <c r="B99">
        <f>Table4[[#This Row],[Column2]]</f>
        <v>0</v>
      </c>
      <c r="C99" t="s">
        <v>6</v>
      </c>
      <c r="D99" s="9">
        <v>43353</v>
      </c>
      <c r="E99" s="9">
        <v>43353</v>
      </c>
      <c r="F99" s="15">
        <v>0.22916666666666666</v>
      </c>
      <c r="G99" t="s">
        <v>329</v>
      </c>
      <c r="H99" s="9">
        <f>Table13[[#This Row],[dicharge_date]]</f>
        <v>43386</v>
      </c>
      <c r="I99" s="13">
        <f t="shared" si="7"/>
        <v>33</v>
      </c>
      <c r="J99" s="9">
        <f t="shared" si="8"/>
        <v>43416</v>
      </c>
    </row>
    <row r="100" spans="1:11" ht="23.25" customHeight="1">
      <c r="A100">
        <f>Table4[[#This Row],[Column1]]</f>
        <v>0</v>
      </c>
      <c r="B100">
        <f>Table4[[#This Row],[Column2]]</f>
        <v>0</v>
      </c>
      <c r="C100" t="s">
        <v>6</v>
      </c>
      <c r="D100" s="9">
        <v>43353</v>
      </c>
      <c r="E100" s="9">
        <v>43353</v>
      </c>
      <c r="F100" s="15">
        <v>0.41666666666666669</v>
      </c>
      <c r="G100" t="s">
        <v>432</v>
      </c>
      <c r="H100" s="9">
        <f>Table13[[#This Row],[dicharge_date]]</f>
        <v>43372</v>
      </c>
      <c r="I100" s="13">
        <f t="shared" si="7"/>
        <v>19</v>
      </c>
      <c r="J100" s="9">
        <f t="shared" si="8"/>
        <v>43402</v>
      </c>
      <c r="K100" t="s">
        <v>4</v>
      </c>
    </row>
    <row r="101" spans="1:11" ht="23.25" customHeight="1">
      <c r="A101">
        <f>Table4[[#This Row],[Column1]]</f>
        <v>0</v>
      </c>
      <c r="B101">
        <f>Table4[[#This Row],[Column2]]</f>
        <v>0</v>
      </c>
      <c r="C101" t="s">
        <v>7</v>
      </c>
      <c r="D101" s="9">
        <v>43353</v>
      </c>
      <c r="E101" s="9">
        <v>43353</v>
      </c>
      <c r="F101" s="15">
        <v>0.45833333333333331</v>
      </c>
      <c r="G101" t="s">
        <v>252</v>
      </c>
      <c r="H101" s="9">
        <f>Table13[[#This Row],[dicharge_date]]</f>
        <v>43358</v>
      </c>
      <c r="I101" s="13">
        <f t="shared" si="7"/>
        <v>5</v>
      </c>
      <c r="J101" s="9">
        <f t="shared" si="8"/>
        <v>43388</v>
      </c>
      <c r="K101" t="s">
        <v>4</v>
      </c>
    </row>
    <row r="102" spans="1:11" ht="23.25" customHeight="1">
      <c r="A102">
        <f>Table4[[#This Row],[Column1]]</f>
        <v>0</v>
      </c>
      <c r="B102">
        <f>Table4[[#This Row],[Column2]]</f>
        <v>0</v>
      </c>
      <c r="C102" t="s">
        <v>15</v>
      </c>
      <c r="D102" s="9">
        <v>43279</v>
      </c>
      <c r="E102" s="9">
        <v>43353</v>
      </c>
      <c r="F102" s="15">
        <v>0.27083333333333331</v>
      </c>
      <c r="G102" t="s">
        <v>277</v>
      </c>
      <c r="H102" s="9">
        <f>Table13[[#This Row],[dicharge_date]]</f>
        <v>43399</v>
      </c>
      <c r="I102" s="13">
        <f t="shared" ref="I102" si="9">IF( E102&lt;&gt;"", H102-E102,"")</f>
        <v>46</v>
      </c>
      <c r="J102" s="9">
        <f t="shared" si="8"/>
        <v>43429</v>
      </c>
    </row>
    <row r="103" spans="1:11" ht="23.25" customHeight="1">
      <c r="A103">
        <f>Table4[[#This Row],[Column1]]</f>
        <v>0</v>
      </c>
      <c r="B103">
        <f>Table4[[#This Row],[Column2]]</f>
        <v>0</v>
      </c>
      <c r="C103" t="s">
        <v>7</v>
      </c>
      <c r="D103" s="9">
        <v>43354</v>
      </c>
      <c r="E103" s="9">
        <v>43354</v>
      </c>
      <c r="F103" s="15">
        <v>0.19791666666666666</v>
      </c>
      <c r="G103" t="s">
        <v>252</v>
      </c>
      <c r="H103" s="9">
        <f>Table13[[#This Row],[dicharge_date]]</f>
        <v>43363</v>
      </c>
      <c r="I103" s="13">
        <f t="shared" ref="I103:I166" si="10">IF( E103&lt;&gt;"", H103-E103,"")</f>
        <v>9</v>
      </c>
      <c r="J103" s="9">
        <f t="shared" si="8"/>
        <v>43393</v>
      </c>
      <c r="K103" t="s">
        <v>4</v>
      </c>
    </row>
    <row r="104" spans="1:11" ht="23.25" customHeight="1">
      <c r="A104">
        <f>Table4[[#This Row],[Column1]]</f>
        <v>0</v>
      </c>
      <c r="B104">
        <f>Table4[[#This Row],[Column2]]</f>
        <v>0</v>
      </c>
      <c r="C104" t="s">
        <v>13</v>
      </c>
      <c r="D104" s="9">
        <v>43354</v>
      </c>
      <c r="E104" s="9">
        <v>43354</v>
      </c>
      <c r="F104" s="15">
        <v>0.375</v>
      </c>
      <c r="G104" t="s">
        <v>252</v>
      </c>
      <c r="H104" s="9">
        <f>Table13[[#This Row],[dicharge_date]]</f>
        <v>43362</v>
      </c>
      <c r="I104" s="13">
        <f t="shared" si="10"/>
        <v>8</v>
      </c>
      <c r="J104" s="9">
        <f t="shared" si="8"/>
        <v>43392</v>
      </c>
      <c r="K104" t="s">
        <v>4</v>
      </c>
    </row>
    <row r="105" spans="1:11" ht="23.25" customHeight="1">
      <c r="A105">
        <f>Table4[[#This Row],[Column1]]</f>
        <v>0</v>
      </c>
      <c r="B105">
        <f>Table4[[#This Row],[Column2]]</f>
        <v>0</v>
      </c>
      <c r="C105" t="s">
        <v>6</v>
      </c>
      <c r="D105" s="9">
        <v>43355</v>
      </c>
      <c r="E105" s="9">
        <v>43355</v>
      </c>
      <c r="F105" s="15">
        <v>0.35416666666666669</v>
      </c>
      <c r="G105" t="s">
        <v>329</v>
      </c>
      <c r="H105" s="9">
        <f>Table13[[#This Row],[dicharge_date]]</f>
        <v>43385</v>
      </c>
      <c r="I105" s="13">
        <f t="shared" si="10"/>
        <v>30</v>
      </c>
      <c r="J105" s="9">
        <f t="shared" si="8"/>
        <v>43415</v>
      </c>
    </row>
    <row r="106" spans="1:11" ht="23.25" customHeight="1">
      <c r="A106">
        <f>Table4[[#This Row],[Column1]]</f>
        <v>0</v>
      </c>
      <c r="B106">
        <f>Table4[[#This Row],[Column2]]</f>
        <v>0</v>
      </c>
      <c r="C106" t="s">
        <v>98</v>
      </c>
      <c r="D106" s="9">
        <v>43355</v>
      </c>
      <c r="E106" s="9">
        <v>43355</v>
      </c>
      <c r="G106" t="s">
        <v>252</v>
      </c>
      <c r="H106" s="9">
        <f>Table13[[#This Row],[dicharge_date]]</f>
        <v>43360</v>
      </c>
      <c r="I106" s="13">
        <f t="shared" si="10"/>
        <v>5</v>
      </c>
      <c r="J106" s="9">
        <f t="shared" si="8"/>
        <v>43390</v>
      </c>
      <c r="K106" t="s">
        <v>4</v>
      </c>
    </row>
    <row r="107" spans="1:11" ht="23.25" customHeight="1">
      <c r="A107">
        <f>Table4[[#This Row],[Column1]]</f>
        <v>0</v>
      </c>
      <c r="B107">
        <f>Table4[[#This Row],[Column2]]</f>
        <v>0</v>
      </c>
      <c r="C107" t="s">
        <v>7</v>
      </c>
      <c r="D107" s="9">
        <v>43356</v>
      </c>
      <c r="E107" s="9">
        <v>43356</v>
      </c>
      <c r="F107" s="15">
        <v>0.35416666666666669</v>
      </c>
      <c r="G107" t="s">
        <v>252</v>
      </c>
      <c r="H107" s="9">
        <f>Table13[[#This Row],[dicharge_date]]</f>
        <v>43361</v>
      </c>
      <c r="I107" s="13">
        <f t="shared" si="10"/>
        <v>5</v>
      </c>
      <c r="J107" s="9">
        <f t="shared" si="8"/>
        <v>43391</v>
      </c>
      <c r="K107" t="s">
        <v>4</v>
      </c>
    </row>
    <row r="108" spans="1:11" ht="23.25" customHeight="1">
      <c r="A108">
        <f>Table4[[#This Row],[Column1]]</f>
        <v>0</v>
      </c>
      <c r="B108">
        <f>Table4[[#This Row],[Column2]]</f>
        <v>0</v>
      </c>
      <c r="C108" t="s">
        <v>229</v>
      </c>
      <c r="D108" s="9">
        <v>43356</v>
      </c>
      <c r="E108" s="9">
        <v>43356</v>
      </c>
      <c r="F108" s="15">
        <v>0.20833333333333334</v>
      </c>
      <c r="G108" t="s">
        <v>252</v>
      </c>
      <c r="H108" s="9">
        <f>Table13[[#This Row],[dicharge_date]]</f>
        <v>43361</v>
      </c>
      <c r="I108" s="13">
        <f t="shared" si="10"/>
        <v>5</v>
      </c>
      <c r="J108" s="9">
        <f t="shared" si="8"/>
        <v>43391</v>
      </c>
      <c r="K108" t="s">
        <v>4</v>
      </c>
    </row>
    <row r="109" spans="1:11" ht="23.25" customHeight="1">
      <c r="A109">
        <f>Table4[[#This Row],[Column1]]</f>
        <v>0</v>
      </c>
      <c r="B109">
        <f>Table4[[#This Row],[Column2]]</f>
        <v>0</v>
      </c>
      <c r="C109" t="s">
        <v>6</v>
      </c>
      <c r="D109" s="9">
        <v>43356</v>
      </c>
      <c r="E109" s="9">
        <v>43356</v>
      </c>
      <c r="F109" s="15">
        <v>0.13541666666666666</v>
      </c>
      <c r="G109" t="s">
        <v>257</v>
      </c>
      <c r="H109" s="9">
        <f>Table13[[#This Row],[dicharge_date]]</f>
        <v>43358</v>
      </c>
      <c r="I109" s="13">
        <f t="shared" si="10"/>
        <v>2</v>
      </c>
      <c r="J109" s="9">
        <f t="shared" si="8"/>
        <v>43388</v>
      </c>
      <c r="K109" t="s">
        <v>4</v>
      </c>
    </row>
    <row r="110" spans="1:11" ht="23.25" customHeight="1">
      <c r="A110">
        <f>Table4[[#This Row],[Column1]]</f>
        <v>0</v>
      </c>
      <c r="B110">
        <f>Table4[[#This Row],[Column2]]</f>
        <v>0</v>
      </c>
      <c r="C110" t="s">
        <v>229</v>
      </c>
      <c r="D110" s="9">
        <v>43368</v>
      </c>
      <c r="E110" s="9">
        <v>43368</v>
      </c>
      <c r="F110" s="15">
        <v>0.125</v>
      </c>
      <c r="G110" t="s">
        <v>252</v>
      </c>
      <c r="H110" s="9">
        <f>Table13[[#This Row],[dicharge_date]]</f>
        <v>43373</v>
      </c>
      <c r="I110" s="13">
        <f t="shared" si="10"/>
        <v>5</v>
      </c>
      <c r="J110" s="9">
        <f t="shared" si="8"/>
        <v>43403</v>
      </c>
      <c r="K110" t="s">
        <v>4</v>
      </c>
    </row>
    <row r="111" spans="1:11" ht="23.25" customHeight="1">
      <c r="A111">
        <f>Table4[[#This Row],[Column1]]</f>
        <v>0</v>
      </c>
      <c r="B111">
        <f>Table4[[#This Row],[Column2]]</f>
        <v>0</v>
      </c>
      <c r="C111" t="s">
        <v>229</v>
      </c>
      <c r="D111" s="9">
        <v>43368</v>
      </c>
      <c r="E111" s="9">
        <v>43368</v>
      </c>
      <c r="F111" s="15">
        <v>0.125</v>
      </c>
      <c r="G111" t="s">
        <v>252</v>
      </c>
      <c r="H111" s="9">
        <f>Table13[[#This Row],[dicharge_date]]</f>
        <v>43371</v>
      </c>
      <c r="I111" s="13">
        <f t="shared" si="10"/>
        <v>3</v>
      </c>
      <c r="J111" s="9">
        <f t="shared" si="8"/>
        <v>43401</v>
      </c>
      <c r="K111" t="s">
        <v>4</v>
      </c>
    </row>
    <row r="112" spans="1:11" ht="23.25" customHeight="1">
      <c r="A112">
        <f>Table4[[#This Row],[Column1]]</f>
        <v>0</v>
      </c>
      <c r="B112">
        <f>Table4[[#This Row],[Column2]]</f>
        <v>0</v>
      </c>
      <c r="C112" t="s">
        <v>229</v>
      </c>
      <c r="D112" s="9">
        <v>43357</v>
      </c>
      <c r="E112" s="9">
        <v>43357</v>
      </c>
      <c r="F112" s="15">
        <v>0.14583333333333334</v>
      </c>
      <c r="G112" t="s">
        <v>252</v>
      </c>
      <c r="H112" s="9">
        <f>Table13[[#This Row],[dicharge_date]]</f>
        <v>43362</v>
      </c>
      <c r="I112" s="13">
        <f t="shared" si="10"/>
        <v>5</v>
      </c>
      <c r="J112" s="9">
        <f t="shared" si="8"/>
        <v>43392</v>
      </c>
      <c r="K112" t="s">
        <v>4</v>
      </c>
    </row>
    <row r="113" spans="1:11" ht="23.25" customHeight="1">
      <c r="A113">
        <f>Table4[[#This Row],[Column1]]</f>
        <v>0</v>
      </c>
      <c r="B113">
        <f>Table4[[#This Row],[Column2]]</f>
        <v>0</v>
      </c>
      <c r="C113" t="s">
        <v>7</v>
      </c>
      <c r="D113" s="9">
        <v>43360</v>
      </c>
      <c r="E113" s="9">
        <v>43360</v>
      </c>
      <c r="F113" s="15">
        <v>0.34375</v>
      </c>
      <c r="G113" t="s">
        <v>432</v>
      </c>
      <c r="H113" s="9">
        <f>Table13[[#This Row],[dicharge_date]]</f>
        <v>43381</v>
      </c>
      <c r="I113" s="13">
        <f t="shared" si="10"/>
        <v>21</v>
      </c>
      <c r="J113" s="9">
        <f t="shared" si="8"/>
        <v>43411</v>
      </c>
      <c r="K113" t="s">
        <v>4</v>
      </c>
    </row>
    <row r="114" spans="1:11" ht="23.25" customHeight="1">
      <c r="A114">
        <f>Table4[[#This Row],[Column1]]</f>
        <v>0</v>
      </c>
      <c r="B114">
        <f>Table4[[#This Row],[Column2]]</f>
        <v>0</v>
      </c>
      <c r="C114" t="s">
        <v>6</v>
      </c>
      <c r="D114" s="9">
        <v>43360</v>
      </c>
      <c r="E114" s="9">
        <v>43360</v>
      </c>
      <c r="F114" s="15">
        <v>0.41666666666666669</v>
      </c>
      <c r="G114" t="s">
        <v>329</v>
      </c>
      <c r="H114" s="9">
        <f>Table13[[#This Row],[dicharge_date]]</f>
        <v>43375</v>
      </c>
      <c r="I114" s="13">
        <f t="shared" si="10"/>
        <v>15</v>
      </c>
      <c r="J114" s="9">
        <f t="shared" si="8"/>
        <v>43405</v>
      </c>
      <c r="K114" t="s">
        <v>4</v>
      </c>
    </row>
    <row r="115" spans="1:11" ht="23.25" customHeight="1">
      <c r="A115">
        <f>Table4[[#This Row],[Column1]]</f>
        <v>0</v>
      </c>
      <c r="B115">
        <f>Table4[[#This Row],[Column2]]</f>
        <v>0</v>
      </c>
      <c r="C115" t="s">
        <v>7</v>
      </c>
      <c r="D115" s="9">
        <v>43361</v>
      </c>
      <c r="E115" s="9">
        <v>43361</v>
      </c>
      <c r="F115" s="15">
        <v>0.19791666666666666</v>
      </c>
      <c r="G115" t="s">
        <v>252</v>
      </c>
      <c r="H115" s="9">
        <f>Table13[[#This Row],[dicharge_date]]</f>
        <v>43376</v>
      </c>
      <c r="I115" s="13">
        <f t="shared" si="10"/>
        <v>15</v>
      </c>
      <c r="J115" s="9">
        <f t="shared" si="8"/>
        <v>43406</v>
      </c>
      <c r="K115" t="s">
        <v>4</v>
      </c>
    </row>
    <row r="116" spans="1:11" ht="23.25" customHeight="1">
      <c r="A116">
        <f>Table4[[#This Row],[Column1]]</f>
        <v>0</v>
      </c>
      <c r="B116">
        <f>Table4[[#This Row],[Column2]]</f>
        <v>0</v>
      </c>
      <c r="C116" t="s">
        <v>229</v>
      </c>
      <c r="D116" s="9">
        <v>43361</v>
      </c>
      <c r="E116" s="9">
        <v>43361</v>
      </c>
      <c r="F116" s="15">
        <v>0.29166666666666669</v>
      </c>
      <c r="G116" t="s">
        <v>252</v>
      </c>
      <c r="H116" s="9">
        <f>Table13[[#This Row],[dicharge_date]]</f>
        <v>43370</v>
      </c>
      <c r="I116" s="13">
        <f t="shared" si="10"/>
        <v>9</v>
      </c>
      <c r="J116" s="9">
        <f t="shared" si="8"/>
        <v>43400</v>
      </c>
      <c r="K116" t="s">
        <v>4</v>
      </c>
    </row>
    <row r="117" spans="1:11" ht="23.25" customHeight="1">
      <c r="A117">
        <f>Table4[[#This Row],[Column1]]</f>
        <v>0</v>
      </c>
      <c r="B117">
        <f>Table4[[#This Row],[Column2]]</f>
        <v>0</v>
      </c>
      <c r="C117" t="s">
        <v>6</v>
      </c>
      <c r="D117" s="9">
        <v>43362</v>
      </c>
      <c r="E117" s="9">
        <v>43362</v>
      </c>
      <c r="F117" s="15">
        <v>0.42708333333333331</v>
      </c>
      <c r="G117" t="s">
        <v>329</v>
      </c>
      <c r="H117" s="9">
        <f>Table13[[#This Row],[dicharge_date]]</f>
        <v>43376</v>
      </c>
      <c r="I117" s="13">
        <f t="shared" si="10"/>
        <v>14</v>
      </c>
      <c r="J117" s="9">
        <f t="shared" si="8"/>
        <v>43406</v>
      </c>
      <c r="K117" t="s">
        <v>4</v>
      </c>
    </row>
    <row r="118" spans="1:11" ht="23.25" customHeight="1">
      <c r="A118">
        <f>Table4[[#This Row],[Column1]]</f>
        <v>0</v>
      </c>
      <c r="B118">
        <f>Table4[[#This Row],[Column2]]</f>
        <v>0</v>
      </c>
      <c r="C118" t="s">
        <v>98</v>
      </c>
      <c r="D118" s="9">
        <v>43362</v>
      </c>
      <c r="E118" s="9">
        <v>43362</v>
      </c>
      <c r="G118" t="s">
        <v>252</v>
      </c>
      <c r="H118" s="9">
        <f>Table13[[#This Row],[dicharge_date]]</f>
        <v>43365</v>
      </c>
      <c r="I118" s="13">
        <f t="shared" si="10"/>
        <v>3</v>
      </c>
      <c r="J118" s="9">
        <f t="shared" si="8"/>
        <v>43395</v>
      </c>
      <c r="K118" t="s">
        <v>4</v>
      </c>
    </row>
    <row r="119" spans="1:11" ht="23.25" customHeight="1">
      <c r="A119">
        <f>Table4[[#This Row],[Column1]]</f>
        <v>0</v>
      </c>
      <c r="B119">
        <f>Table4[[#This Row],[Column2]]</f>
        <v>0</v>
      </c>
      <c r="C119" t="s">
        <v>9</v>
      </c>
      <c r="D119" s="9">
        <v>43363</v>
      </c>
      <c r="E119" s="9">
        <v>43363</v>
      </c>
      <c r="G119" t="s">
        <v>252</v>
      </c>
      <c r="H119" s="9">
        <f>Table13[[#This Row],[dicharge_date]]</f>
        <v>43369</v>
      </c>
      <c r="I119" s="13">
        <f t="shared" si="10"/>
        <v>6</v>
      </c>
      <c r="J119" s="9">
        <f t="shared" si="8"/>
        <v>43399</v>
      </c>
      <c r="K119" t="s">
        <v>4</v>
      </c>
    </row>
    <row r="120" spans="1:11" ht="23.25" customHeight="1">
      <c r="A120">
        <f>Table4[[#This Row],[Column1]]</f>
        <v>0</v>
      </c>
      <c r="B120">
        <f>Table4[[#This Row],[Column2]]</f>
        <v>0</v>
      </c>
      <c r="C120" t="s">
        <v>7</v>
      </c>
      <c r="D120" s="9">
        <v>43367</v>
      </c>
      <c r="E120" s="9">
        <v>43367</v>
      </c>
      <c r="F120" s="15">
        <v>0.38541666666666669</v>
      </c>
      <c r="G120" t="s">
        <v>252</v>
      </c>
      <c r="H120" s="9">
        <f>Table13[[#This Row],[dicharge_date]]</f>
        <v>43371</v>
      </c>
      <c r="I120" s="13">
        <f t="shared" si="10"/>
        <v>4</v>
      </c>
      <c r="J120" s="9">
        <f t="shared" si="8"/>
        <v>43401</v>
      </c>
      <c r="K120" t="s">
        <v>4</v>
      </c>
    </row>
    <row r="121" spans="1:11" ht="23.25" customHeight="1">
      <c r="A121">
        <f>Table4[[#This Row],[Column1]]</f>
        <v>0</v>
      </c>
      <c r="B121">
        <f>Table4[[#This Row],[Column2]]</f>
        <v>0</v>
      </c>
      <c r="C121" t="s">
        <v>6</v>
      </c>
      <c r="D121" s="9">
        <v>43367</v>
      </c>
      <c r="E121" s="9">
        <v>43367</v>
      </c>
      <c r="F121" s="15">
        <v>0.41666666666666669</v>
      </c>
      <c r="G121" t="s">
        <v>473</v>
      </c>
      <c r="H121" s="9">
        <f>Table13[[#This Row],[dicharge_date]]</f>
        <v>43382</v>
      </c>
      <c r="I121" s="13">
        <f t="shared" si="10"/>
        <v>15</v>
      </c>
      <c r="J121" s="9">
        <f t="shared" si="8"/>
        <v>43412</v>
      </c>
      <c r="K121" t="s">
        <v>4</v>
      </c>
    </row>
    <row r="122" spans="1:11" ht="23.25" customHeight="1">
      <c r="A122">
        <f>Table4[[#This Row],[Column1]]</f>
        <v>0</v>
      </c>
      <c r="B122">
        <f>Table4[[#This Row],[Column2]]</f>
        <v>0</v>
      </c>
      <c r="C122" t="s">
        <v>7</v>
      </c>
      <c r="D122" s="9">
        <v>43367</v>
      </c>
      <c r="E122" s="9">
        <v>43367</v>
      </c>
      <c r="F122" s="15">
        <v>0.27083333333333331</v>
      </c>
      <c r="G122" t="s">
        <v>252</v>
      </c>
      <c r="H122" s="9">
        <f>Table13[[#This Row],[dicharge_date]]</f>
        <v>43383</v>
      </c>
      <c r="I122" s="13">
        <f t="shared" si="10"/>
        <v>16</v>
      </c>
      <c r="J122" s="9">
        <f t="shared" si="8"/>
        <v>43413</v>
      </c>
      <c r="K122" t="s">
        <v>4</v>
      </c>
    </row>
    <row r="123" spans="1:11" ht="23.25" customHeight="1">
      <c r="A123">
        <f>Table4[[#This Row],[Column1]]</f>
        <v>0</v>
      </c>
      <c r="B123">
        <f>Table4[[#This Row],[Column2]]</f>
        <v>0</v>
      </c>
      <c r="C123" t="s">
        <v>229</v>
      </c>
      <c r="D123" s="9">
        <v>43367</v>
      </c>
      <c r="E123" s="9">
        <v>43368</v>
      </c>
      <c r="F123" s="15">
        <v>0.15625</v>
      </c>
      <c r="G123" s="65" t="s">
        <v>252</v>
      </c>
      <c r="H123" s="9">
        <f>Table13[[#This Row],[dicharge_date]]</f>
        <v>43372</v>
      </c>
      <c r="I123" s="13">
        <f t="shared" si="10"/>
        <v>4</v>
      </c>
      <c r="J123" s="9">
        <f t="shared" si="8"/>
        <v>43402</v>
      </c>
      <c r="K123" t="s">
        <v>4</v>
      </c>
    </row>
    <row r="124" spans="1:11" ht="23.25" customHeight="1">
      <c r="A124">
        <f>Table4[[#This Row],[Column1]]</f>
        <v>0</v>
      </c>
      <c r="B124">
        <f>Table4[[#This Row],[Column2]]</f>
        <v>0</v>
      </c>
      <c r="C124" t="s">
        <v>6</v>
      </c>
      <c r="D124" s="9">
        <v>43369</v>
      </c>
      <c r="E124" s="9">
        <v>43369</v>
      </c>
      <c r="F124" s="15">
        <v>0.33333333333333331</v>
      </c>
      <c r="G124" t="s">
        <v>432</v>
      </c>
      <c r="H124" s="9">
        <f>Table13[[#This Row],[dicharge_date]]</f>
        <v>43379</v>
      </c>
      <c r="I124" s="13">
        <f t="shared" si="10"/>
        <v>10</v>
      </c>
      <c r="J124" s="9">
        <f t="shared" si="8"/>
        <v>43409</v>
      </c>
      <c r="K124" t="s">
        <v>4</v>
      </c>
    </row>
    <row r="125" spans="1:11" ht="23.25" customHeight="1">
      <c r="A125">
        <f>Table4[[#This Row],[Column1]]</f>
        <v>0</v>
      </c>
      <c r="B125">
        <f>Table4[[#This Row],[Column2]]</f>
        <v>0</v>
      </c>
      <c r="C125" t="s">
        <v>6</v>
      </c>
      <c r="D125" s="9">
        <v>43369</v>
      </c>
      <c r="E125" s="9">
        <v>43369</v>
      </c>
      <c r="F125" s="15">
        <v>0.25</v>
      </c>
      <c r="G125" t="s">
        <v>432</v>
      </c>
      <c r="H125" s="9">
        <f>Table13[[#This Row],[dicharge_date]]</f>
        <v>0</v>
      </c>
      <c r="I125" s="13">
        <f t="shared" si="10"/>
        <v>-43369</v>
      </c>
      <c r="J125" s="9">
        <f t="shared" si="8"/>
        <v>30</v>
      </c>
    </row>
    <row r="126" spans="1:11" ht="23.25" customHeight="1">
      <c r="A126">
        <f>Table4[[#This Row],[Column1]]</f>
        <v>0</v>
      </c>
      <c r="B126">
        <f>Table4[[#This Row],[Column2]]</f>
        <v>0</v>
      </c>
      <c r="C126" t="s">
        <v>229</v>
      </c>
      <c r="D126" s="9">
        <v>43369</v>
      </c>
      <c r="E126" s="9">
        <v>43369</v>
      </c>
      <c r="F126" s="15">
        <v>0.1875</v>
      </c>
      <c r="G126" s="65" t="s">
        <v>252</v>
      </c>
      <c r="H126" s="9">
        <f>Table13[[#This Row],[dicharge_date]]</f>
        <v>43374</v>
      </c>
      <c r="I126" s="13">
        <f t="shared" si="10"/>
        <v>5</v>
      </c>
      <c r="J126" s="9">
        <f t="shared" si="8"/>
        <v>43404</v>
      </c>
    </row>
    <row r="127" spans="1:11" ht="23.25" customHeight="1">
      <c r="A127">
        <f>Table4[[#This Row],[Column1]]</f>
        <v>0</v>
      </c>
      <c r="B127">
        <f>Table4[[#This Row],[Column2]]</f>
        <v>0</v>
      </c>
      <c r="C127" t="s">
        <v>229</v>
      </c>
      <c r="D127" s="9">
        <v>43370</v>
      </c>
      <c r="E127" s="9">
        <v>43370</v>
      </c>
      <c r="F127" s="15">
        <v>0.1875</v>
      </c>
      <c r="G127" s="65" t="s">
        <v>252</v>
      </c>
      <c r="H127" s="9">
        <f>Table13[[#This Row],[dicharge_date]]</f>
        <v>43375</v>
      </c>
      <c r="I127" s="13">
        <f t="shared" si="10"/>
        <v>5</v>
      </c>
      <c r="J127" s="9">
        <f t="shared" si="8"/>
        <v>43405</v>
      </c>
      <c r="K127" t="s">
        <v>3</v>
      </c>
    </row>
    <row r="128" spans="1:11" ht="23.25" customHeight="1">
      <c r="A128">
        <f>Table4[[#This Row],[Column1]]</f>
        <v>0</v>
      </c>
      <c r="B128">
        <f>Table4[[#This Row],[Column2]]</f>
        <v>0</v>
      </c>
      <c r="C128" t="s">
        <v>6</v>
      </c>
      <c r="D128" s="9">
        <v>43370</v>
      </c>
      <c r="E128" s="9">
        <v>43370</v>
      </c>
      <c r="F128" s="15">
        <v>0.19097222222222221</v>
      </c>
      <c r="G128" t="s">
        <v>473</v>
      </c>
      <c r="H128" s="9">
        <f>Table13[[#This Row],[dicharge_date]]</f>
        <v>43381</v>
      </c>
      <c r="I128" s="13">
        <f t="shared" si="10"/>
        <v>11</v>
      </c>
      <c r="J128" s="9">
        <f t="shared" si="8"/>
        <v>43411</v>
      </c>
      <c r="K128" t="s">
        <v>4</v>
      </c>
    </row>
    <row r="129" spans="1:11" ht="23.25" customHeight="1">
      <c r="A129">
        <f>Table4[[#This Row],[Column1]]</f>
        <v>0</v>
      </c>
      <c r="B129">
        <f>Table4[[#This Row],[Column2]]</f>
        <v>0</v>
      </c>
      <c r="C129" t="s">
        <v>7</v>
      </c>
      <c r="D129" s="9">
        <v>43370</v>
      </c>
      <c r="E129" s="9">
        <v>43370</v>
      </c>
      <c r="F129" s="15">
        <v>0.20833333333333334</v>
      </c>
      <c r="G129" t="s">
        <v>252</v>
      </c>
      <c r="H129" s="9">
        <f>Table13[[#This Row],[dicharge_date]]</f>
        <v>43378</v>
      </c>
      <c r="I129" s="13">
        <f t="shared" si="10"/>
        <v>8</v>
      </c>
      <c r="J129" s="9">
        <f t="shared" si="8"/>
        <v>43408</v>
      </c>
      <c r="K129" t="s">
        <v>4</v>
      </c>
    </row>
    <row r="130" spans="1:11" ht="23.25" customHeight="1">
      <c r="A130">
        <f>Table4[[#This Row],[Column1]]</f>
        <v>0</v>
      </c>
      <c r="B130">
        <f>Table4[[#This Row],[Column2]]</f>
        <v>0</v>
      </c>
      <c r="C130" t="s">
        <v>7</v>
      </c>
      <c r="D130" s="9">
        <v>43371</v>
      </c>
      <c r="E130" s="9">
        <v>43371</v>
      </c>
      <c r="F130" s="15">
        <v>0.17708333333333334</v>
      </c>
      <c r="G130" t="s">
        <v>473</v>
      </c>
      <c r="H130" s="9">
        <f>Table13[[#This Row],[dicharge_date]]</f>
        <v>43378</v>
      </c>
      <c r="I130" s="13">
        <f t="shared" si="10"/>
        <v>7</v>
      </c>
      <c r="J130" s="9">
        <f t="shared" ref="J130:J193" si="11">IF( H130&lt;&gt;"", H130+30,"")</f>
        <v>43408</v>
      </c>
      <c r="K130" t="s">
        <v>4</v>
      </c>
    </row>
    <row r="131" spans="1:11" ht="23.25" customHeight="1">
      <c r="A131">
        <f>Table4[[#This Row],[Column1]]</f>
        <v>0</v>
      </c>
      <c r="B131">
        <f>Table4[[#This Row],[Column2]]</f>
        <v>0</v>
      </c>
      <c r="C131" t="s">
        <v>13</v>
      </c>
      <c r="D131" s="9">
        <v>43395</v>
      </c>
      <c r="E131" s="9">
        <v>43395</v>
      </c>
      <c r="F131" s="15">
        <v>0.28125</v>
      </c>
      <c r="G131" t="s">
        <v>252</v>
      </c>
      <c r="H131" s="9">
        <f>Table13[[#This Row],[dicharge_date]]</f>
        <v>43400</v>
      </c>
      <c r="I131" s="13">
        <f t="shared" si="10"/>
        <v>5</v>
      </c>
      <c r="J131" s="9">
        <f t="shared" si="11"/>
        <v>43430</v>
      </c>
    </row>
    <row r="132" spans="1:11" ht="23.25" customHeight="1">
      <c r="A132">
        <f>Table4[[#This Row],[Column1]]</f>
        <v>0</v>
      </c>
      <c r="B132">
        <f>Table4[[#This Row],[Column2]]</f>
        <v>0</v>
      </c>
      <c r="C132" t="s">
        <v>13</v>
      </c>
      <c r="D132" s="9">
        <v>43374</v>
      </c>
      <c r="E132" s="9">
        <v>43374</v>
      </c>
      <c r="F132" s="15">
        <v>0.11458333333333333</v>
      </c>
      <c r="G132" t="s">
        <v>257</v>
      </c>
      <c r="H132" s="9">
        <f>Table13[[#This Row],[dicharge_date]]</f>
        <v>43377</v>
      </c>
      <c r="I132" s="13">
        <f t="shared" si="10"/>
        <v>3</v>
      </c>
      <c r="J132" s="9">
        <f t="shared" si="11"/>
        <v>43407</v>
      </c>
      <c r="K132" t="s">
        <v>4</v>
      </c>
    </row>
    <row r="133" spans="1:11" ht="23.25" customHeight="1">
      <c r="A133">
        <f>Table4[[#This Row],[Column1]]</f>
        <v>0</v>
      </c>
      <c r="B133">
        <f>Table4[[#This Row],[Column2]]</f>
        <v>0</v>
      </c>
      <c r="C133" t="s">
        <v>6</v>
      </c>
      <c r="D133" s="9">
        <v>43374</v>
      </c>
      <c r="E133" s="9">
        <v>43374</v>
      </c>
      <c r="F133" s="15">
        <v>0.21875</v>
      </c>
      <c r="G133" t="s">
        <v>473</v>
      </c>
      <c r="H133" s="9">
        <f>Table13[[#This Row],[dicharge_date]]</f>
        <v>43384</v>
      </c>
      <c r="I133" s="13">
        <f t="shared" si="10"/>
        <v>10</v>
      </c>
      <c r="J133" s="9">
        <f t="shared" si="11"/>
        <v>43414</v>
      </c>
      <c r="K133" t="s">
        <v>4</v>
      </c>
    </row>
    <row r="134" spans="1:11" ht="23.25" customHeight="1">
      <c r="A134">
        <f>Table4[[#This Row],[Column1]]</f>
        <v>0</v>
      </c>
      <c r="B134">
        <f>Table4[[#This Row],[Column2]]</f>
        <v>0</v>
      </c>
      <c r="C134" t="s">
        <v>13</v>
      </c>
      <c r="D134" s="9">
        <v>43375</v>
      </c>
      <c r="E134" s="9">
        <v>43375</v>
      </c>
      <c r="F134" s="15">
        <v>0.26041666666666669</v>
      </c>
      <c r="G134" t="s">
        <v>252</v>
      </c>
      <c r="H134" s="9">
        <f>Table13[[#This Row],[dicharge_date]]</f>
        <v>43381</v>
      </c>
      <c r="I134" s="13">
        <f t="shared" si="10"/>
        <v>6</v>
      </c>
      <c r="J134" s="9">
        <f t="shared" si="11"/>
        <v>43411</v>
      </c>
      <c r="K134" t="s">
        <v>4</v>
      </c>
    </row>
    <row r="135" spans="1:11" ht="23.25" customHeight="1">
      <c r="A135">
        <f>Table4[[#This Row],[Column1]]</f>
        <v>0</v>
      </c>
      <c r="B135">
        <f>Table4[[#This Row],[Column2]]</f>
        <v>0</v>
      </c>
      <c r="C135" t="s">
        <v>6</v>
      </c>
      <c r="D135" s="9">
        <v>43376</v>
      </c>
      <c r="E135" s="9">
        <v>43376</v>
      </c>
      <c r="F135" s="15">
        <v>0.41666666666666669</v>
      </c>
      <c r="G135" t="s">
        <v>329</v>
      </c>
      <c r="H135" s="9">
        <f>Table13[[#This Row],[dicharge_date]]</f>
        <v>43384</v>
      </c>
      <c r="I135" s="13">
        <f t="shared" si="10"/>
        <v>8</v>
      </c>
      <c r="J135" s="9">
        <f t="shared" si="11"/>
        <v>43414</v>
      </c>
    </row>
    <row r="136" spans="1:11" ht="23.25" customHeight="1">
      <c r="A136">
        <f>Table4[[#This Row],[Column1]]</f>
        <v>0</v>
      </c>
      <c r="B136">
        <f>Table4[[#This Row],[Column2]]</f>
        <v>0</v>
      </c>
      <c r="C136" t="s">
        <v>13</v>
      </c>
      <c r="D136" s="9">
        <v>43376</v>
      </c>
      <c r="E136" s="9">
        <v>43376</v>
      </c>
      <c r="F136" s="15">
        <v>0.14583333333333334</v>
      </c>
      <c r="G136" t="s">
        <v>252</v>
      </c>
      <c r="H136" s="9">
        <f>Table13[[#This Row],[dicharge_date]]</f>
        <v>43382</v>
      </c>
      <c r="I136" s="13">
        <f t="shared" si="10"/>
        <v>6</v>
      </c>
      <c r="J136" s="9">
        <f t="shared" si="11"/>
        <v>43412</v>
      </c>
    </row>
    <row r="137" spans="1:11" ht="23.25" customHeight="1">
      <c r="A137">
        <f>Table4[[#This Row],[Column1]]</f>
        <v>0</v>
      </c>
      <c r="B137">
        <f>Table4[[#This Row],[Column2]]</f>
        <v>0</v>
      </c>
      <c r="C137" t="s">
        <v>13</v>
      </c>
      <c r="D137" s="9">
        <v>43376</v>
      </c>
      <c r="E137" s="9">
        <v>43376</v>
      </c>
      <c r="F137" s="15">
        <v>0.11458333333333333</v>
      </c>
      <c r="G137" t="s">
        <v>252</v>
      </c>
      <c r="H137" s="9">
        <f>Table13[[#This Row],[dicharge_date]]</f>
        <v>43378</v>
      </c>
      <c r="I137" s="13">
        <f t="shared" si="10"/>
        <v>2</v>
      </c>
      <c r="J137" s="9">
        <f t="shared" si="11"/>
        <v>43408</v>
      </c>
      <c r="K137" t="s">
        <v>4</v>
      </c>
    </row>
    <row r="138" spans="1:11" ht="23.25" customHeight="1">
      <c r="A138">
        <f>Table4[[#This Row],[Column1]]</f>
        <v>0</v>
      </c>
      <c r="B138">
        <f>Table4[[#This Row],[Column2]]</f>
        <v>0</v>
      </c>
      <c r="C138" t="s">
        <v>6</v>
      </c>
      <c r="D138" s="9">
        <v>43377</v>
      </c>
      <c r="E138" s="9">
        <v>43377</v>
      </c>
      <c r="F138" s="15">
        <v>0.25</v>
      </c>
      <c r="G138" t="s">
        <v>432</v>
      </c>
      <c r="H138" s="9">
        <f>Table13[[#This Row],[dicharge_date]]</f>
        <v>43384</v>
      </c>
      <c r="I138" s="13">
        <f t="shared" si="10"/>
        <v>7</v>
      </c>
      <c r="J138" s="9">
        <f t="shared" si="11"/>
        <v>43414</v>
      </c>
    </row>
    <row r="139" spans="1:11" ht="23.25" customHeight="1">
      <c r="A139">
        <f>Table4[[#This Row],[Column1]]</f>
        <v>0</v>
      </c>
      <c r="B139">
        <f>Table4[[#This Row],[Column2]]</f>
        <v>0</v>
      </c>
      <c r="C139" t="s">
        <v>7</v>
      </c>
      <c r="D139" s="9">
        <v>43377</v>
      </c>
      <c r="E139" s="9">
        <v>43377</v>
      </c>
      <c r="F139" s="15">
        <v>0.14583333333333334</v>
      </c>
      <c r="G139" t="s">
        <v>252</v>
      </c>
      <c r="H139" s="9">
        <f>Table13[[#This Row],[dicharge_date]]</f>
        <v>43381</v>
      </c>
      <c r="I139" s="13">
        <f t="shared" si="10"/>
        <v>4</v>
      </c>
      <c r="J139" s="9">
        <f t="shared" si="11"/>
        <v>43411</v>
      </c>
      <c r="K139" t="s">
        <v>4</v>
      </c>
    </row>
    <row r="140" spans="1:11" ht="23.25" customHeight="1">
      <c r="A140">
        <f>Table4[[#This Row],[Column1]]</f>
        <v>0</v>
      </c>
      <c r="B140">
        <f>Table4[[#This Row],[Column2]]</f>
        <v>0</v>
      </c>
      <c r="C140" t="s">
        <v>13</v>
      </c>
      <c r="D140" s="9">
        <v>43377</v>
      </c>
      <c r="E140" s="9">
        <v>43377</v>
      </c>
      <c r="F140" s="15">
        <v>0.20833333333333334</v>
      </c>
      <c r="G140" t="s">
        <v>252</v>
      </c>
      <c r="H140" s="9">
        <f>Table13[[#This Row],[dicharge_date]]</f>
        <v>43380</v>
      </c>
      <c r="I140" s="13">
        <f t="shared" si="10"/>
        <v>3</v>
      </c>
      <c r="J140" s="9">
        <f t="shared" si="11"/>
        <v>43410</v>
      </c>
    </row>
    <row r="141" spans="1:11" ht="23.25" customHeight="1">
      <c r="A141">
        <f>Table4[[#This Row],[Column1]]</f>
        <v>0</v>
      </c>
      <c r="B141">
        <f>Table4[[#This Row],[Column2]]</f>
        <v>0</v>
      </c>
      <c r="C141" t="s">
        <v>13</v>
      </c>
      <c r="D141" s="9">
        <v>43377</v>
      </c>
      <c r="E141" s="9">
        <v>43377</v>
      </c>
      <c r="F141" s="15">
        <v>0.1875</v>
      </c>
      <c r="G141" t="s">
        <v>252</v>
      </c>
      <c r="H141" s="9">
        <f>Table13[[#This Row],[dicharge_date]]</f>
        <v>43384</v>
      </c>
      <c r="I141" s="13">
        <f t="shared" si="10"/>
        <v>7</v>
      </c>
      <c r="J141" s="9">
        <f t="shared" si="11"/>
        <v>43414</v>
      </c>
    </row>
    <row r="142" spans="1:11" ht="23.25" customHeight="1">
      <c r="A142">
        <f>Table4[[#This Row],[Column1]]</f>
        <v>0</v>
      </c>
      <c r="B142">
        <f>Table4[[#This Row],[Column2]]</f>
        <v>0</v>
      </c>
      <c r="C142" t="s">
        <v>9</v>
      </c>
      <c r="D142" s="9">
        <v>43369</v>
      </c>
      <c r="E142" s="9">
        <v>43381</v>
      </c>
      <c r="F142" s="15">
        <v>0.42708333333333331</v>
      </c>
      <c r="G142" t="s">
        <v>252</v>
      </c>
      <c r="H142" s="9">
        <f>Table13[[#This Row],[dicharge_date]]</f>
        <v>43403</v>
      </c>
      <c r="I142" s="13">
        <f t="shared" si="10"/>
        <v>22</v>
      </c>
      <c r="J142" s="9">
        <f t="shared" si="11"/>
        <v>43433</v>
      </c>
    </row>
    <row r="143" spans="1:11" ht="23.25" customHeight="1">
      <c r="A143">
        <f>Table4[[#This Row],[Column1]]</f>
        <v>0</v>
      </c>
      <c r="B143">
        <f>Table4[[#This Row],[Column2]]</f>
        <v>0</v>
      </c>
      <c r="C143" t="s">
        <v>6</v>
      </c>
      <c r="D143" s="9">
        <v>43381</v>
      </c>
      <c r="E143" s="9">
        <v>43381</v>
      </c>
      <c r="F143" s="15">
        <v>0.28125</v>
      </c>
      <c r="G143" t="s">
        <v>473</v>
      </c>
      <c r="H143" s="9">
        <f>Table13[[#This Row],[dicharge_date]]</f>
        <v>43396</v>
      </c>
      <c r="I143" s="13">
        <f t="shared" si="10"/>
        <v>15</v>
      </c>
      <c r="J143" s="9">
        <f t="shared" si="11"/>
        <v>43426</v>
      </c>
    </row>
    <row r="144" spans="1:11" ht="23.25" customHeight="1">
      <c r="A144">
        <f>Table4[[#This Row],[Column1]]</f>
        <v>0</v>
      </c>
      <c r="B144">
        <f>Table4[[#This Row],[Column2]]</f>
        <v>0</v>
      </c>
      <c r="C144" t="s">
        <v>7</v>
      </c>
      <c r="D144" s="9">
        <v>43381</v>
      </c>
      <c r="E144" s="9">
        <v>43381</v>
      </c>
      <c r="F144" s="15">
        <v>0.19791666666666666</v>
      </c>
      <c r="G144" t="s">
        <v>252</v>
      </c>
      <c r="H144" s="9">
        <f>Table13[[#This Row],[dicharge_date]]</f>
        <v>43384</v>
      </c>
      <c r="I144" s="13">
        <f t="shared" si="10"/>
        <v>3</v>
      </c>
      <c r="J144" s="9">
        <f t="shared" si="11"/>
        <v>43414</v>
      </c>
      <c r="K144" t="s">
        <v>4</v>
      </c>
    </row>
    <row r="145" spans="1:10" ht="23.25" customHeight="1">
      <c r="A145">
        <f>Table4[[#This Row],[Column1]]</f>
        <v>0</v>
      </c>
      <c r="B145">
        <f>Table4[[#This Row],[Column2]]</f>
        <v>0</v>
      </c>
      <c r="C145" t="s">
        <v>13</v>
      </c>
      <c r="D145" s="9">
        <v>43382</v>
      </c>
      <c r="E145" s="9">
        <v>43382</v>
      </c>
      <c r="F145" s="15">
        <v>0.36458333333333331</v>
      </c>
      <c r="G145" t="s">
        <v>252</v>
      </c>
      <c r="H145" s="9">
        <f>Table13[[#This Row],[dicharge_date]]</f>
        <v>43391</v>
      </c>
      <c r="I145" s="13">
        <f t="shared" si="10"/>
        <v>9</v>
      </c>
      <c r="J145" s="9">
        <f t="shared" si="11"/>
        <v>43421</v>
      </c>
    </row>
    <row r="146" spans="1:10" ht="23.25" customHeight="1">
      <c r="A146">
        <f>Table4[[#This Row],[Column1]]</f>
        <v>0</v>
      </c>
      <c r="B146">
        <f>Table4[[#This Row],[Column2]]</f>
        <v>0</v>
      </c>
      <c r="C146" t="s">
        <v>7</v>
      </c>
      <c r="D146" s="9">
        <v>43382</v>
      </c>
      <c r="E146" s="9">
        <v>43382</v>
      </c>
      <c r="F146" s="15">
        <v>0.23958333333333334</v>
      </c>
      <c r="G146" t="s">
        <v>252</v>
      </c>
      <c r="H146" s="9">
        <f>Table13[[#This Row],[dicharge_date]]</f>
        <v>43386</v>
      </c>
      <c r="I146" s="13">
        <f t="shared" si="10"/>
        <v>4</v>
      </c>
      <c r="J146" s="9">
        <f t="shared" si="11"/>
        <v>43416</v>
      </c>
    </row>
    <row r="147" spans="1:10" ht="23.25" customHeight="1">
      <c r="A147">
        <f>Table4[[#This Row],[Column1]]</f>
        <v>0</v>
      </c>
      <c r="B147">
        <f>Table4[[#This Row],[Column2]]</f>
        <v>0</v>
      </c>
      <c r="C147" t="s">
        <v>7</v>
      </c>
      <c r="D147" s="9">
        <v>43382</v>
      </c>
      <c r="E147" s="9">
        <v>43382</v>
      </c>
      <c r="G147" t="s">
        <v>329</v>
      </c>
      <c r="H147" s="9">
        <f>Table13[[#This Row],[dicharge_date]]</f>
        <v>43392</v>
      </c>
      <c r="I147" s="13">
        <f t="shared" si="10"/>
        <v>10</v>
      </c>
      <c r="J147" s="9">
        <f t="shared" si="11"/>
        <v>43422</v>
      </c>
    </row>
    <row r="148" spans="1:10" ht="23.25" customHeight="1">
      <c r="A148">
        <f>Table4[[#This Row],[Column1]]</f>
        <v>0</v>
      </c>
      <c r="B148">
        <f>Table4[[#This Row],[Column2]]</f>
        <v>0</v>
      </c>
      <c r="C148" t="s">
        <v>6</v>
      </c>
      <c r="D148" s="9">
        <v>43383</v>
      </c>
      <c r="E148" s="9">
        <v>43383</v>
      </c>
      <c r="F148" s="15">
        <v>0.28125</v>
      </c>
      <c r="G148" t="s">
        <v>329</v>
      </c>
      <c r="H148" s="9">
        <f>Table13[[#This Row],[dicharge_date]]</f>
        <v>0</v>
      </c>
      <c r="I148" s="13">
        <f t="shared" si="10"/>
        <v>-43383</v>
      </c>
      <c r="J148" s="9">
        <f t="shared" si="11"/>
        <v>30</v>
      </c>
    </row>
    <row r="149" spans="1:10" ht="23.25" customHeight="1">
      <c r="A149">
        <f>Table4[[#This Row],[Column1]]</f>
        <v>0</v>
      </c>
      <c r="B149">
        <f>Table4[[#This Row],[Column2]]</f>
        <v>0</v>
      </c>
      <c r="C149" t="s">
        <v>7</v>
      </c>
      <c r="D149" s="9">
        <v>43383</v>
      </c>
      <c r="E149" s="9">
        <v>43383</v>
      </c>
      <c r="F149" s="15">
        <v>0.20138888888888887</v>
      </c>
      <c r="G149" t="s">
        <v>252</v>
      </c>
      <c r="H149" s="9">
        <f>Table13[[#This Row],[dicharge_date]]</f>
        <v>43389</v>
      </c>
      <c r="I149" s="13">
        <f t="shared" si="10"/>
        <v>6</v>
      </c>
      <c r="J149" s="9">
        <f t="shared" si="11"/>
        <v>43419</v>
      </c>
    </row>
    <row r="150" spans="1:10" ht="23.25" customHeight="1">
      <c r="A150">
        <f>Table4[[#This Row],[Column1]]</f>
        <v>0</v>
      </c>
      <c r="B150">
        <f>Table4[[#This Row],[Column2]]</f>
        <v>0</v>
      </c>
      <c r="C150" t="s">
        <v>6</v>
      </c>
      <c r="D150" s="9">
        <v>43384</v>
      </c>
      <c r="E150" s="9">
        <v>43384</v>
      </c>
      <c r="G150" t="s">
        <v>432</v>
      </c>
      <c r="H150" s="9">
        <f>Table13[[#This Row],[dicharge_date]]</f>
        <v>43406</v>
      </c>
      <c r="I150" s="13">
        <f t="shared" si="10"/>
        <v>22</v>
      </c>
      <c r="J150" s="9">
        <f t="shared" si="11"/>
        <v>43436</v>
      </c>
    </row>
    <row r="151" spans="1:10" ht="23.25" customHeight="1">
      <c r="A151">
        <f>Table4[[#This Row],[Column1]]</f>
        <v>0</v>
      </c>
      <c r="B151">
        <f>Table4[[#This Row],[Column2]]</f>
        <v>0</v>
      </c>
      <c r="C151" t="s">
        <v>13</v>
      </c>
      <c r="D151" s="9">
        <v>43383</v>
      </c>
      <c r="E151" s="9">
        <v>43384</v>
      </c>
      <c r="G151" t="s">
        <v>432</v>
      </c>
      <c r="H151" s="9">
        <f>Table13[[#This Row],[dicharge_date]]</f>
        <v>43393</v>
      </c>
      <c r="I151" s="13">
        <f t="shared" si="10"/>
        <v>9</v>
      </c>
      <c r="J151" s="9">
        <f t="shared" si="11"/>
        <v>43423</v>
      </c>
    </row>
    <row r="152" spans="1:10" ht="23.25" customHeight="1">
      <c r="A152">
        <f>Table4[[#This Row],[Column1]]</f>
        <v>0</v>
      </c>
      <c r="B152">
        <f>Table4[[#This Row],[Column2]]</f>
        <v>0</v>
      </c>
      <c r="C152" t="s">
        <v>7</v>
      </c>
      <c r="D152" s="9">
        <v>43385</v>
      </c>
      <c r="E152" s="9">
        <v>43385</v>
      </c>
      <c r="G152" t="s">
        <v>252</v>
      </c>
      <c r="H152" s="9">
        <f>Table13[[#This Row],[dicharge_date]]</f>
        <v>43391</v>
      </c>
      <c r="I152" s="13">
        <f t="shared" si="10"/>
        <v>6</v>
      </c>
      <c r="J152" s="9">
        <f t="shared" si="11"/>
        <v>43421</v>
      </c>
    </row>
    <row r="153" spans="1:10" ht="23.25" customHeight="1">
      <c r="A153">
        <f>Table4[[#This Row],[Column1]]</f>
        <v>0</v>
      </c>
      <c r="B153">
        <f>Table4[[#This Row],[Column2]]</f>
        <v>0</v>
      </c>
      <c r="C153" t="s">
        <v>6</v>
      </c>
      <c r="D153" s="9">
        <v>43395</v>
      </c>
      <c r="E153" s="9">
        <v>43395</v>
      </c>
      <c r="F153" s="15">
        <v>0.52083333333333337</v>
      </c>
      <c r="G153" t="s">
        <v>329</v>
      </c>
      <c r="H153" s="9">
        <f>Table13[[#This Row],[dicharge_date]]</f>
        <v>0</v>
      </c>
      <c r="I153" s="13">
        <f t="shared" si="10"/>
        <v>-43395</v>
      </c>
      <c r="J153" s="9">
        <f t="shared" si="11"/>
        <v>30</v>
      </c>
    </row>
    <row r="154" spans="1:10" ht="23.25" customHeight="1">
      <c r="A154">
        <f>Table4[[#This Row],[Column1]]</f>
        <v>0</v>
      </c>
      <c r="B154">
        <f>Table4[[#This Row],[Column2]]</f>
        <v>0</v>
      </c>
      <c r="C154" t="s">
        <v>7</v>
      </c>
      <c r="D154" s="9">
        <v>43396</v>
      </c>
      <c r="E154" s="9">
        <v>43396</v>
      </c>
      <c r="F154" s="15">
        <v>0.23958333333333334</v>
      </c>
      <c r="G154" t="s">
        <v>329</v>
      </c>
      <c r="H154" s="9">
        <f>Table13[[#This Row],[dicharge_date]]</f>
        <v>43405</v>
      </c>
      <c r="I154" s="13">
        <f t="shared" si="10"/>
        <v>9</v>
      </c>
      <c r="J154" s="9">
        <f t="shared" si="11"/>
        <v>43435</v>
      </c>
    </row>
    <row r="155" spans="1:10" ht="23.25" customHeight="1">
      <c r="A155">
        <f>Table4[[#This Row],[Column1]]</f>
        <v>0</v>
      </c>
      <c r="B155">
        <f>Table4[[#This Row],[Column2]]</f>
        <v>0</v>
      </c>
      <c r="C155" t="s">
        <v>13</v>
      </c>
      <c r="D155" s="9">
        <v>43396</v>
      </c>
      <c r="E155" s="9">
        <v>43396</v>
      </c>
      <c r="F155" s="15">
        <v>0.20833333333333334</v>
      </c>
      <c r="G155" t="s">
        <v>252</v>
      </c>
      <c r="H155" s="9">
        <f>Table13[[#This Row],[dicharge_date]]</f>
        <v>43402</v>
      </c>
      <c r="I155" s="13">
        <f t="shared" si="10"/>
        <v>6</v>
      </c>
      <c r="J155" s="9">
        <f t="shared" si="11"/>
        <v>43432</v>
      </c>
    </row>
    <row r="156" spans="1:10" ht="23.25" customHeight="1">
      <c r="A156">
        <f>Table4[[#This Row],[Column1]]</f>
        <v>0</v>
      </c>
      <c r="B156">
        <f>Table4[[#This Row],[Column2]]</f>
        <v>0</v>
      </c>
      <c r="C156" t="s">
        <v>13</v>
      </c>
      <c r="D156" s="9">
        <v>43396</v>
      </c>
      <c r="E156" s="9">
        <v>43396</v>
      </c>
      <c r="F156" s="15">
        <v>0.1875</v>
      </c>
      <c r="G156" t="s">
        <v>252</v>
      </c>
      <c r="H156" s="9">
        <f>Table13[[#This Row],[dicharge_date]]</f>
        <v>43402</v>
      </c>
      <c r="I156" s="13">
        <f t="shared" si="10"/>
        <v>6</v>
      </c>
      <c r="J156" s="9">
        <f t="shared" si="11"/>
        <v>43432</v>
      </c>
    </row>
    <row r="157" spans="1:10" ht="23.25" customHeight="1">
      <c r="A157">
        <f>Table4[[#This Row],[Column1]]</f>
        <v>0</v>
      </c>
      <c r="B157">
        <f>Table4[[#This Row],[Column2]]</f>
        <v>0</v>
      </c>
      <c r="C157" t="s">
        <v>7</v>
      </c>
      <c r="D157" s="9">
        <v>43392</v>
      </c>
      <c r="E157" s="9">
        <v>43396</v>
      </c>
      <c r="F157" s="15">
        <v>0.33333333333333331</v>
      </c>
      <c r="G157" t="s">
        <v>329</v>
      </c>
      <c r="H157" s="9">
        <f>Table13[[#This Row],[dicharge_date]]</f>
        <v>0</v>
      </c>
      <c r="I157" s="13">
        <f t="shared" si="10"/>
        <v>-43396</v>
      </c>
      <c r="J157" s="9">
        <f t="shared" si="11"/>
        <v>30</v>
      </c>
    </row>
    <row r="158" spans="1:10" ht="23.25" customHeight="1">
      <c r="A158">
        <f>Table4[[#This Row],[Column1]]</f>
        <v>0</v>
      </c>
      <c r="B158">
        <f>Table4[[#This Row],[Column2]]</f>
        <v>0</v>
      </c>
      <c r="C158" t="s">
        <v>7</v>
      </c>
      <c r="D158" s="9">
        <v>43396</v>
      </c>
      <c r="E158" s="9">
        <v>43397</v>
      </c>
      <c r="F158" s="15">
        <v>0.29166666666666669</v>
      </c>
      <c r="G158" t="s">
        <v>252</v>
      </c>
      <c r="H158" s="9">
        <f>Table13[[#This Row],[dicharge_date]]</f>
        <v>0</v>
      </c>
      <c r="I158" s="13">
        <f t="shared" si="10"/>
        <v>-43397</v>
      </c>
      <c r="J158" s="9">
        <f t="shared" si="11"/>
        <v>30</v>
      </c>
    </row>
    <row r="159" spans="1:10" ht="23.25" customHeight="1">
      <c r="A159">
        <f>Table4[[#This Row],[Column1]]</f>
        <v>0</v>
      </c>
      <c r="B159">
        <f>Table4[[#This Row],[Column2]]</f>
        <v>0</v>
      </c>
      <c r="C159" t="s">
        <v>6</v>
      </c>
      <c r="D159" s="9">
        <v>43397</v>
      </c>
      <c r="E159" s="9">
        <v>43397</v>
      </c>
      <c r="F159" s="15">
        <v>0.11458333333333333</v>
      </c>
      <c r="G159" t="s">
        <v>143</v>
      </c>
      <c r="H159" s="9">
        <f>Table13[[#This Row],[dicharge_date]]</f>
        <v>43399</v>
      </c>
      <c r="I159" s="13">
        <f t="shared" si="10"/>
        <v>2</v>
      </c>
      <c r="J159" s="9">
        <f t="shared" si="11"/>
        <v>43429</v>
      </c>
    </row>
    <row r="160" spans="1:10" ht="23.25" customHeight="1">
      <c r="A160">
        <f>Table4[[#This Row],[Column1]]</f>
        <v>0</v>
      </c>
      <c r="B160">
        <f>Table4[[#This Row],[Column2]]</f>
        <v>0</v>
      </c>
      <c r="C160" t="s">
        <v>13</v>
      </c>
      <c r="D160" s="9">
        <v>43397</v>
      </c>
      <c r="E160" s="9">
        <v>43397</v>
      </c>
      <c r="G160" t="s">
        <v>252</v>
      </c>
      <c r="H160" s="9">
        <f>Table13[[#This Row],[dicharge_date]]</f>
        <v>43402</v>
      </c>
      <c r="I160" s="13">
        <f t="shared" si="10"/>
        <v>5</v>
      </c>
      <c r="J160" s="9">
        <f t="shared" si="11"/>
        <v>43432</v>
      </c>
    </row>
    <row r="161" spans="1:10" ht="23.25" customHeight="1">
      <c r="A161">
        <f>Table4[[#This Row],[Column1]]</f>
        <v>0</v>
      </c>
      <c r="B161">
        <f>Table4[[#This Row],[Column2]]</f>
        <v>0</v>
      </c>
      <c r="C161" t="s">
        <v>13</v>
      </c>
      <c r="D161" s="9">
        <v>43397</v>
      </c>
      <c r="E161" s="9">
        <v>43397</v>
      </c>
      <c r="G161" t="s">
        <v>252</v>
      </c>
      <c r="H161" s="9">
        <f>Table13[[#This Row],[dicharge_date]]</f>
        <v>43402</v>
      </c>
      <c r="I161" s="13">
        <f t="shared" si="10"/>
        <v>5</v>
      </c>
      <c r="J161" s="9">
        <f t="shared" si="11"/>
        <v>43432</v>
      </c>
    </row>
    <row r="162" spans="1:10" ht="23.25" customHeight="1">
      <c r="A162">
        <f>Table4[[#This Row],[Column1]]</f>
        <v>0</v>
      </c>
      <c r="B162">
        <f>Table4[[#This Row],[Column2]]</f>
        <v>0</v>
      </c>
      <c r="C162" t="s">
        <v>6</v>
      </c>
      <c r="D162" s="9">
        <v>43398</v>
      </c>
      <c r="E162" s="9">
        <v>43398</v>
      </c>
      <c r="G162" t="s">
        <v>329</v>
      </c>
      <c r="H162" s="9">
        <f>Table13[[#This Row],[dicharge_date]]</f>
        <v>0</v>
      </c>
      <c r="I162" s="13">
        <f t="shared" si="10"/>
        <v>-43398</v>
      </c>
      <c r="J162" s="9">
        <f t="shared" si="11"/>
        <v>30</v>
      </c>
    </row>
    <row r="163" spans="1:10" ht="23.25" customHeight="1">
      <c r="A163">
        <f>Table4[[#This Row],[Column1]]</f>
        <v>0</v>
      </c>
      <c r="B163">
        <f>Table4[[#This Row],[Column2]]</f>
        <v>0</v>
      </c>
      <c r="C163" t="s">
        <v>13</v>
      </c>
      <c r="D163" s="9">
        <v>43398</v>
      </c>
      <c r="E163" s="9">
        <v>43398</v>
      </c>
      <c r="G163" t="s">
        <v>252</v>
      </c>
      <c r="H163" s="9">
        <f>Table13[[#This Row],[dicharge_date]]</f>
        <v>43402</v>
      </c>
      <c r="I163" s="13">
        <f t="shared" si="10"/>
        <v>4</v>
      </c>
      <c r="J163" s="9">
        <f t="shared" si="11"/>
        <v>43432</v>
      </c>
    </row>
    <row r="164" spans="1:10" ht="23.25" customHeight="1">
      <c r="A164">
        <f>Table4[[#This Row],[Column1]]</f>
        <v>0</v>
      </c>
      <c r="B164">
        <f>Table4[[#This Row],[Column2]]</f>
        <v>0</v>
      </c>
      <c r="C164" t="s">
        <v>6</v>
      </c>
      <c r="D164" s="9">
        <v>43402</v>
      </c>
      <c r="E164" s="9">
        <v>43402</v>
      </c>
      <c r="F164" s="15">
        <v>0.35416666666666669</v>
      </c>
      <c r="G164" t="s">
        <v>252</v>
      </c>
      <c r="H164" s="9">
        <f>Table13[[#This Row],[dicharge_date]]</f>
        <v>0</v>
      </c>
      <c r="I164" s="13">
        <f t="shared" si="10"/>
        <v>-43402</v>
      </c>
      <c r="J164" s="9">
        <f t="shared" si="11"/>
        <v>30</v>
      </c>
    </row>
    <row r="165" spans="1:10" ht="23.25" customHeight="1">
      <c r="A165">
        <f>Table4[[#This Row],[Column1]]</f>
        <v>0</v>
      </c>
      <c r="B165">
        <f>Table4[[#This Row],[Column2]]</f>
        <v>0</v>
      </c>
      <c r="C165" t="s">
        <v>6</v>
      </c>
      <c r="D165" s="9">
        <v>43402</v>
      </c>
      <c r="E165" s="9">
        <v>43402</v>
      </c>
      <c r="F165" s="15">
        <v>0.29166666666666669</v>
      </c>
      <c r="G165" t="s">
        <v>432</v>
      </c>
      <c r="H165" s="9">
        <f>Table13[[#This Row],[dicharge_date]]</f>
        <v>43409</v>
      </c>
      <c r="I165" s="13">
        <f t="shared" si="10"/>
        <v>7</v>
      </c>
      <c r="J165" s="9">
        <f t="shared" si="11"/>
        <v>43439</v>
      </c>
    </row>
    <row r="166" spans="1:10" ht="23.25" customHeight="1">
      <c r="A166">
        <f>Table4[[#This Row],[Column1]]</f>
        <v>0</v>
      </c>
      <c r="B166">
        <f>Table4[[#This Row],[Column2]]</f>
        <v>0</v>
      </c>
      <c r="C166" t="s">
        <v>13</v>
      </c>
      <c r="D166" s="9">
        <v>43402</v>
      </c>
      <c r="E166" s="9">
        <v>43402</v>
      </c>
      <c r="G166" t="s">
        <v>257</v>
      </c>
      <c r="H166" s="9">
        <f>Table13[[#This Row],[dicharge_date]]</f>
        <v>43404</v>
      </c>
      <c r="I166" s="13">
        <f t="shared" si="10"/>
        <v>2</v>
      </c>
      <c r="J166" s="9">
        <f t="shared" si="11"/>
        <v>43434</v>
      </c>
    </row>
    <row r="167" spans="1:10" ht="23.25" customHeight="1">
      <c r="A167">
        <f>Table4[[#This Row],[Column1]]</f>
        <v>0</v>
      </c>
      <c r="B167">
        <f>Table4[[#This Row],[Column2]]</f>
        <v>0</v>
      </c>
      <c r="C167" t="s">
        <v>7</v>
      </c>
      <c r="D167" s="9">
        <v>43402</v>
      </c>
      <c r="E167" s="9">
        <v>43403</v>
      </c>
      <c r="F167" s="15">
        <v>0.14583333333333334</v>
      </c>
      <c r="G167" t="s">
        <v>329</v>
      </c>
      <c r="H167" s="9">
        <f>Table13[[#This Row],[dicharge_date]]</f>
        <v>0</v>
      </c>
      <c r="I167" s="13">
        <f t="shared" ref="I167:I230" si="12">IF( E167&lt;&gt;"", H167-E167,"")</f>
        <v>-43403</v>
      </c>
      <c r="J167" s="9">
        <f t="shared" si="11"/>
        <v>30</v>
      </c>
    </row>
    <row r="168" spans="1:10" ht="23.25" customHeight="1">
      <c r="A168">
        <f>Table4[[#This Row],[Column1]]</f>
        <v>0</v>
      </c>
      <c r="B168">
        <f>Table4[[#This Row],[Column2]]</f>
        <v>0</v>
      </c>
      <c r="C168" t="s">
        <v>13</v>
      </c>
      <c r="D168" s="9">
        <v>43403</v>
      </c>
      <c r="E168" s="9">
        <v>43403</v>
      </c>
      <c r="F168" s="15">
        <v>0.21875</v>
      </c>
      <c r="G168" t="s">
        <v>432</v>
      </c>
      <c r="H168" s="9">
        <f>Table13[[#This Row],[dicharge_date]]</f>
        <v>0</v>
      </c>
      <c r="I168" s="13">
        <f t="shared" si="12"/>
        <v>-43403</v>
      </c>
      <c r="J168" s="9">
        <f t="shared" si="11"/>
        <v>30</v>
      </c>
    </row>
    <row r="169" spans="1:10" ht="23.25" customHeight="1">
      <c r="A169">
        <f>Table4[[#This Row],[Column1]]</f>
        <v>0</v>
      </c>
      <c r="B169">
        <f>Table4[[#This Row],[Column2]]</f>
        <v>0</v>
      </c>
      <c r="C169" t="s">
        <v>6</v>
      </c>
      <c r="D169" s="9">
        <v>43404</v>
      </c>
      <c r="E169" s="9">
        <v>43404</v>
      </c>
      <c r="F169" s="15">
        <v>0.45833333333333331</v>
      </c>
      <c r="G169" t="s">
        <v>329</v>
      </c>
      <c r="H169" s="9">
        <f>Table13[[#This Row],[dicharge_date]]</f>
        <v>0</v>
      </c>
      <c r="I169" s="13">
        <f t="shared" si="12"/>
        <v>-43404</v>
      </c>
      <c r="J169" s="9">
        <f t="shared" si="11"/>
        <v>30</v>
      </c>
    </row>
    <row r="170" spans="1:10" ht="23.25" customHeight="1">
      <c r="A170">
        <f>Table4[[#This Row],[Column1]]</f>
        <v>0</v>
      </c>
      <c r="B170">
        <f>Table4[[#This Row],[Column2]]</f>
        <v>0</v>
      </c>
      <c r="C170" t="s">
        <v>98</v>
      </c>
      <c r="D170" s="9">
        <v>43404</v>
      </c>
      <c r="E170" s="9">
        <v>43404</v>
      </c>
      <c r="G170" t="s">
        <v>329</v>
      </c>
      <c r="H170" s="9">
        <f>Table13[[#This Row],[dicharge_date]]</f>
        <v>43408</v>
      </c>
      <c r="I170" s="13">
        <f t="shared" si="12"/>
        <v>4</v>
      </c>
      <c r="J170" s="9">
        <f t="shared" si="11"/>
        <v>43438</v>
      </c>
    </row>
    <row r="171" spans="1:10" ht="23.25" customHeight="1">
      <c r="A171">
        <f>Table4[[#This Row],[Column1]]</f>
        <v>0</v>
      </c>
      <c r="B171">
        <f>Table4[[#This Row],[Column2]]</f>
        <v>0</v>
      </c>
      <c r="C171" t="s">
        <v>6</v>
      </c>
      <c r="D171" s="9">
        <v>43404</v>
      </c>
      <c r="E171" s="9">
        <v>43404</v>
      </c>
      <c r="G171" t="s">
        <v>257</v>
      </c>
      <c r="H171" s="9">
        <f>Table13[[#This Row],[dicharge_date]]</f>
        <v>0</v>
      </c>
      <c r="I171" s="13">
        <f t="shared" si="12"/>
        <v>-43404</v>
      </c>
      <c r="J171" s="9">
        <f t="shared" si="11"/>
        <v>30</v>
      </c>
    </row>
    <row r="172" spans="1:10" ht="23.25" customHeight="1">
      <c r="A172">
        <f>Table4[[#This Row],[Column1]]</f>
        <v>0</v>
      </c>
      <c r="B172">
        <f>Table4[[#This Row],[Column2]]</f>
        <v>0</v>
      </c>
      <c r="C172" t="s">
        <v>7</v>
      </c>
      <c r="D172" s="9">
        <v>43404</v>
      </c>
      <c r="E172" s="9">
        <v>43404</v>
      </c>
      <c r="F172" s="15">
        <v>0.23958333333333334</v>
      </c>
      <c r="G172" t="s">
        <v>329</v>
      </c>
      <c r="H172" s="9">
        <f>Table13[[#This Row],[dicharge_date]]</f>
        <v>43409</v>
      </c>
      <c r="I172" s="13">
        <f t="shared" si="12"/>
        <v>5</v>
      </c>
      <c r="J172" s="9">
        <f t="shared" si="11"/>
        <v>43439</v>
      </c>
    </row>
    <row r="173" spans="1:10" ht="23.25" customHeight="1">
      <c r="A173">
        <f>Table4[[#This Row],[Column1]]</f>
        <v>0</v>
      </c>
      <c r="B173">
        <f>Table4[[#This Row],[Column2]]</f>
        <v>0</v>
      </c>
      <c r="C173" t="s">
        <v>7</v>
      </c>
      <c r="D173" s="9">
        <v>43405</v>
      </c>
      <c r="E173" s="9">
        <v>43405</v>
      </c>
      <c r="G173" t="s">
        <v>252</v>
      </c>
      <c r="H173" s="9">
        <f>Table13[[#This Row],[dicharge_date]]</f>
        <v>0</v>
      </c>
      <c r="I173" s="13">
        <f t="shared" si="12"/>
        <v>-43405</v>
      </c>
      <c r="J173" s="9">
        <f t="shared" si="11"/>
        <v>30</v>
      </c>
    </row>
    <row r="174" spans="1:10" ht="23.25" customHeight="1">
      <c r="A174">
        <f>Table4[[#This Row],[Column1]]</f>
        <v>0</v>
      </c>
      <c r="B174">
        <f>Table4[[#This Row],[Column2]]</f>
        <v>0</v>
      </c>
      <c r="C174" t="s">
        <v>7</v>
      </c>
      <c r="D174" s="9">
        <v>43405</v>
      </c>
      <c r="E174" s="9">
        <v>43405</v>
      </c>
      <c r="F174" s="9"/>
      <c r="G174" t="s">
        <v>252</v>
      </c>
      <c r="H174" s="9">
        <f>Table13[[#This Row],[dicharge_date]]</f>
        <v>0</v>
      </c>
      <c r="I174" s="13">
        <f t="shared" si="12"/>
        <v>-43405</v>
      </c>
      <c r="J174" s="9">
        <f t="shared" si="11"/>
        <v>30</v>
      </c>
    </row>
    <row r="175" spans="1:10" ht="23.25" customHeight="1">
      <c r="A175">
        <f>Table4[[#This Row],[Column1]]</f>
        <v>0</v>
      </c>
      <c r="B175">
        <f>Table4[[#This Row],[Column2]]</f>
        <v>0</v>
      </c>
      <c r="C175" t="s">
        <v>13</v>
      </c>
      <c r="D175" s="9">
        <v>43405</v>
      </c>
      <c r="E175" s="9">
        <v>43405</v>
      </c>
      <c r="G175" t="s">
        <v>252</v>
      </c>
      <c r="H175" s="9">
        <f>Table13[[#This Row],[dicharge_date]]</f>
        <v>0</v>
      </c>
      <c r="I175" s="13">
        <f t="shared" si="12"/>
        <v>-43405</v>
      </c>
      <c r="J175" s="9">
        <f t="shared" si="11"/>
        <v>30</v>
      </c>
    </row>
    <row r="176" spans="1:10" ht="23.25" customHeight="1">
      <c r="A176">
        <f>Table4[[#This Row],[Column1]]</f>
        <v>0</v>
      </c>
      <c r="B176">
        <f>Table4[[#This Row],[Column2]]</f>
        <v>0</v>
      </c>
      <c r="C176" t="s">
        <v>7</v>
      </c>
      <c r="D176" s="9">
        <v>43407</v>
      </c>
      <c r="E176" s="9">
        <v>43409</v>
      </c>
      <c r="G176" t="s">
        <v>252</v>
      </c>
      <c r="H176" s="9">
        <f>Table13[[#This Row],[dicharge_date]]</f>
        <v>0</v>
      </c>
      <c r="I176" s="13">
        <f t="shared" si="12"/>
        <v>-43409</v>
      </c>
      <c r="J176" s="9">
        <f t="shared" si="11"/>
        <v>30</v>
      </c>
    </row>
    <row r="177" spans="1:10" ht="23.25" customHeight="1">
      <c r="A177">
        <f>Table4[[#This Row],[Column1]]</f>
        <v>0</v>
      </c>
      <c r="B177">
        <f>Table4[[#This Row],[Column2]]</f>
        <v>0</v>
      </c>
      <c r="C177" t="s">
        <v>13</v>
      </c>
      <c r="D177" s="9">
        <v>43410</v>
      </c>
      <c r="E177" s="9">
        <v>43410</v>
      </c>
      <c r="F177" s="15">
        <v>0.375</v>
      </c>
      <c r="G177" t="s">
        <v>252</v>
      </c>
      <c r="H177" s="9">
        <f>Table13[[#This Row],[dicharge_date]]</f>
        <v>0</v>
      </c>
      <c r="I177" s="13">
        <f t="shared" si="12"/>
        <v>-43410</v>
      </c>
      <c r="J177" s="9">
        <f t="shared" si="11"/>
        <v>30</v>
      </c>
    </row>
    <row r="178" spans="1:10" ht="23.25" customHeight="1">
      <c r="A178">
        <f>Table4[[#This Row],[Column1]]</f>
        <v>0</v>
      </c>
      <c r="B178">
        <f>Table4[[#This Row],[Column2]]</f>
        <v>0</v>
      </c>
      <c r="C178" t="s">
        <v>7</v>
      </c>
      <c r="D178" s="9">
        <v>43403</v>
      </c>
      <c r="E178" s="9">
        <v>43410</v>
      </c>
      <c r="F178" s="15">
        <v>0.27777777777777779</v>
      </c>
      <c r="G178" t="s">
        <v>329</v>
      </c>
      <c r="H178" s="9">
        <f>Table13[[#This Row],[dicharge_date]]</f>
        <v>0</v>
      </c>
      <c r="I178" s="13">
        <f t="shared" si="12"/>
        <v>-43410</v>
      </c>
      <c r="J178" s="9">
        <f t="shared" si="11"/>
        <v>30</v>
      </c>
    </row>
    <row r="179" spans="1:10" ht="23.25" customHeight="1">
      <c r="A179">
        <f>Table4[[#This Row],[Column1]]</f>
        <v>0</v>
      </c>
      <c r="B179">
        <f>Table4[[#This Row],[Column2]]</f>
        <v>0</v>
      </c>
      <c r="C179" t="s">
        <v>7</v>
      </c>
      <c r="D179" s="9">
        <v>43411</v>
      </c>
      <c r="E179" s="9">
        <v>43411</v>
      </c>
      <c r="F179" s="15">
        <v>0.26041666666666669</v>
      </c>
      <c r="G179" t="s">
        <v>252</v>
      </c>
      <c r="H179" s="9">
        <f>Table13[[#This Row],[dicharge_date]]</f>
        <v>0</v>
      </c>
      <c r="I179" s="13">
        <f t="shared" si="12"/>
        <v>-43411</v>
      </c>
      <c r="J179" s="9">
        <f t="shared" si="11"/>
        <v>30</v>
      </c>
    </row>
    <row r="180" spans="1:10" ht="23.25" customHeight="1">
      <c r="A180">
        <f>Table4[[#This Row],[Column1]]</f>
        <v>0</v>
      </c>
      <c r="B180">
        <f>Table4[[#This Row],[Column2]]</f>
        <v>0</v>
      </c>
      <c r="C180" t="s">
        <v>98</v>
      </c>
      <c r="D180" s="9">
        <v>43411</v>
      </c>
      <c r="E180" s="9">
        <v>43411</v>
      </c>
      <c r="F180" s="15">
        <v>0.28125</v>
      </c>
      <c r="G180" t="s">
        <v>329</v>
      </c>
      <c r="H180" s="9">
        <f>Table13[[#This Row],[dicharge_date]]</f>
        <v>0</v>
      </c>
      <c r="I180" s="13">
        <f t="shared" si="12"/>
        <v>-43411</v>
      </c>
      <c r="J180" s="9">
        <f t="shared" si="11"/>
        <v>30</v>
      </c>
    </row>
    <row r="181" spans="1:10" ht="23.25" customHeight="1">
      <c r="A181">
        <f>Table4[[#This Row],[Column1]]</f>
        <v>0</v>
      </c>
      <c r="B181">
        <f>Table4[[#This Row],[Column2]]</f>
        <v>0</v>
      </c>
      <c r="C181" t="s">
        <v>7</v>
      </c>
      <c r="D181" s="9">
        <v>43411</v>
      </c>
      <c r="E181" s="9">
        <v>43411</v>
      </c>
      <c r="F181" s="15">
        <v>0.35416666666666669</v>
      </c>
      <c r="G181" t="s">
        <v>252</v>
      </c>
      <c r="H181" s="9">
        <f>Table13[[#This Row],[dicharge_date]]</f>
        <v>0</v>
      </c>
      <c r="I181" s="13">
        <f t="shared" si="12"/>
        <v>-43411</v>
      </c>
      <c r="J181" s="9">
        <f t="shared" si="11"/>
        <v>30</v>
      </c>
    </row>
    <row r="182" spans="1:10" ht="23.25" customHeight="1">
      <c r="A182">
        <f>Table4[[#This Row],[Column1]]</f>
        <v>0</v>
      </c>
      <c r="B182">
        <f>Table4[[#This Row],[Column2]]</f>
        <v>0</v>
      </c>
      <c r="C182" t="s">
        <v>6</v>
      </c>
      <c r="D182" s="9">
        <v>43413</v>
      </c>
      <c r="E182" s="9">
        <v>43413</v>
      </c>
      <c r="G182" t="s">
        <v>257</v>
      </c>
      <c r="H182" s="9">
        <f>Table13[[#This Row],[dicharge_date]]</f>
        <v>0</v>
      </c>
      <c r="I182" s="13">
        <f t="shared" si="12"/>
        <v>-43413</v>
      </c>
      <c r="J182" s="9">
        <f t="shared" si="11"/>
        <v>30</v>
      </c>
    </row>
    <row r="183" spans="1:10" ht="23.25" customHeight="1">
      <c r="A183">
        <f>Table4[[#This Row],[Column1]]</f>
        <v>0</v>
      </c>
      <c r="B183">
        <f>Table4[[#This Row],[Column2]]</f>
        <v>0</v>
      </c>
      <c r="C183" t="s">
        <v>7</v>
      </c>
      <c r="D183" s="9">
        <v>43412</v>
      </c>
      <c r="E183" s="9">
        <v>43412</v>
      </c>
      <c r="F183" s="102">
        <v>0.33333333333333331</v>
      </c>
      <c r="G183" t="s">
        <v>252</v>
      </c>
      <c r="H183" s="9">
        <f>Table13[[#This Row],[dicharge_date]]</f>
        <v>0</v>
      </c>
      <c r="I183" s="13">
        <f t="shared" si="12"/>
        <v>-43412</v>
      </c>
      <c r="J183" s="9">
        <f t="shared" si="11"/>
        <v>30</v>
      </c>
    </row>
    <row r="184" spans="1:10" ht="23.25" customHeight="1">
      <c r="A184">
        <f>Table4[[#This Row],[Column1]]</f>
        <v>0</v>
      </c>
      <c r="B184">
        <f>Table4[[#This Row],[Column2]]</f>
        <v>0</v>
      </c>
      <c r="C184" t="s">
        <v>7</v>
      </c>
      <c r="D184" s="9">
        <v>43412</v>
      </c>
      <c r="E184" s="9">
        <v>43412</v>
      </c>
      <c r="F184" s="15">
        <v>0.29166666666666669</v>
      </c>
      <c r="G184" t="s">
        <v>143</v>
      </c>
      <c r="H184" s="9">
        <f>Table13[[#This Row],[dicharge_date]]</f>
        <v>0</v>
      </c>
      <c r="I184" s="13">
        <f t="shared" si="12"/>
        <v>-43412</v>
      </c>
      <c r="J184" s="9">
        <f t="shared" si="11"/>
        <v>30</v>
      </c>
    </row>
    <row r="185" spans="1:10" ht="23.25" customHeight="1">
      <c r="A185">
        <f>Table4[[#This Row],[Column1]]</f>
        <v>0</v>
      </c>
      <c r="B185">
        <f>Table4[[#This Row],[Column2]]</f>
        <v>0</v>
      </c>
      <c r="C185" t="s">
        <v>13</v>
      </c>
      <c r="D185" s="9">
        <v>43412</v>
      </c>
      <c r="E185" s="9">
        <v>43412</v>
      </c>
      <c r="F185" s="15">
        <v>0.15277777777777776</v>
      </c>
      <c r="G185" t="s">
        <v>252</v>
      </c>
      <c r="H185" s="9">
        <f>Table13[[#This Row],[dicharge_date]]</f>
        <v>0</v>
      </c>
      <c r="I185" s="13">
        <f t="shared" si="12"/>
        <v>-43412</v>
      </c>
      <c r="J185" s="9">
        <f t="shared" si="11"/>
        <v>30</v>
      </c>
    </row>
    <row r="186" spans="1:10" ht="23.25" customHeight="1">
      <c r="A186">
        <f>Table4[[#This Row],[Column1]]</f>
        <v>0</v>
      </c>
      <c r="B186">
        <f>Table4[[#This Row],[Column2]]</f>
        <v>0</v>
      </c>
      <c r="H186" s="9">
        <f>Table13[[#This Row],[dicharge_date]]</f>
        <v>0</v>
      </c>
      <c r="I186" s="13" t="str">
        <f t="shared" si="12"/>
        <v/>
      </c>
      <c r="J186" s="9">
        <f t="shared" si="11"/>
        <v>30</v>
      </c>
    </row>
    <row r="187" spans="1:10" ht="23.25" customHeight="1">
      <c r="A187">
        <f>Table4[[#This Row],[Column1]]</f>
        <v>0</v>
      </c>
      <c r="B187">
        <f>Table4[[#This Row],[Column2]]</f>
        <v>0</v>
      </c>
      <c r="H187" s="9">
        <f>Table13[[#This Row],[dicharge_date]]</f>
        <v>0</v>
      </c>
      <c r="I187" s="13" t="str">
        <f t="shared" si="12"/>
        <v/>
      </c>
      <c r="J187" s="9">
        <f t="shared" si="11"/>
        <v>30</v>
      </c>
    </row>
    <row r="188" spans="1:10" ht="23.25" customHeight="1">
      <c r="A188">
        <f>Table4[[#This Row],[Column1]]</f>
        <v>0</v>
      </c>
      <c r="B188">
        <f>Table4[[#This Row],[Column2]]</f>
        <v>0</v>
      </c>
      <c r="H188" s="9">
        <f>Table13[[#This Row],[dicharge_date]]</f>
        <v>0</v>
      </c>
      <c r="I188" s="13" t="str">
        <f t="shared" si="12"/>
        <v/>
      </c>
      <c r="J188" s="9">
        <f t="shared" si="11"/>
        <v>30</v>
      </c>
    </row>
    <row r="189" spans="1:10" ht="23.25" customHeight="1">
      <c r="A189">
        <f>Table4[[#This Row],[Column1]]</f>
        <v>0</v>
      </c>
      <c r="B189">
        <f>Table4[[#This Row],[Column2]]</f>
        <v>0</v>
      </c>
      <c r="H189" s="9">
        <f>Table13[[#This Row],[dicharge_date]]</f>
        <v>0</v>
      </c>
      <c r="I189" s="13" t="str">
        <f t="shared" si="12"/>
        <v/>
      </c>
      <c r="J189" s="9">
        <f t="shared" si="11"/>
        <v>30</v>
      </c>
    </row>
    <row r="190" spans="1:10" ht="23.25" customHeight="1">
      <c r="A190">
        <f>Table4[[#This Row],[Column1]]</f>
        <v>0</v>
      </c>
      <c r="B190">
        <f>Table4[[#This Row],[Column2]]</f>
        <v>0</v>
      </c>
      <c r="H190" s="9">
        <f>Table13[[#This Row],[dicharge_date]]</f>
        <v>0</v>
      </c>
      <c r="I190" s="13" t="str">
        <f t="shared" si="12"/>
        <v/>
      </c>
      <c r="J190" s="9">
        <f t="shared" si="11"/>
        <v>30</v>
      </c>
    </row>
    <row r="191" spans="1:10" ht="23.25" customHeight="1">
      <c r="A191">
        <f>Table4[[#This Row],[Column1]]</f>
        <v>0</v>
      </c>
      <c r="B191">
        <f>Table4[[#This Row],[Column2]]</f>
        <v>0</v>
      </c>
      <c r="H191" s="9">
        <f>Table13[[#This Row],[dicharge_date]]</f>
        <v>0</v>
      </c>
      <c r="I191" s="13" t="str">
        <f t="shared" si="12"/>
        <v/>
      </c>
      <c r="J191" s="9">
        <f t="shared" si="11"/>
        <v>30</v>
      </c>
    </row>
    <row r="192" spans="1:10" ht="23.25" customHeight="1">
      <c r="A192">
        <f>Table4[[#This Row],[Column1]]</f>
        <v>0</v>
      </c>
      <c r="B192">
        <f>Table4[[#This Row],[Column2]]</f>
        <v>0</v>
      </c>
      <c r="H192" s="9">
        <f>Table13[[#This Row],[dicharge_date]]</f>
        <v>0</v>
      </c>
      <c r="I192" s="13" t="str">
        <f t="shared" si="12"/>
        <v/>
      </c>
      <c r="J192" s="9">
        <f t="shared" si="11"/>
        <v>30</v>
      </c>
    </row>
    <row r="193" spans="1:10" ht="23.25" customHeight="1">
      <c r="A193">
        <f>Table4[[#This Row],[Column1]]</f>
        <v>0</v>
      </c>
      <c r="B193">
        <f>Table4[[#This Row],[Column2]]</f>
        <v>0</v>
      </c>
      <c r="H193" s="9">
        <f>Table13[[#This Row],[dicharge_date]]</f>
        <v>0</v>
      </c>
      <c r="I193" s="13" t="str">
        <f t="shared" si="12"/>
        <v/>
      </c>
      <c r="J193" s="9">
        <f t="shared" si="11"/>
        <v>30</v>
      </c>
    </row>
    <row r="194" spans="1:10" ht="23.25" customHeight="1">
      <c r="A194">
        <f>Table4[[#This Row],[Column1]]</f>
        <v>0</v>
      </c>
      <c r="B194">
        <f>Table4[[#This Row],[Column2]]</f>
        <v>0</v>
      </c>
      <c r="H194" s="9">
        <f>Table13[[#This Row],[dicharge_date]]</f>
        <v>0</v>
      </c>
      <c r="I194" s="13" t="str">
        <f t="shared" si="12"/>
        <v/>
      </c>
      <c r="J194" s="9">
        <f t="shared" ref="J194:J257" si="13">IF( H194&lt;&gt;"", H194+30,"")</f>
        <v>30</v>
      </c>
    </row>
    <row r="195" spans="1:10" ht="23.25" customHeight="1">
      <c r="A195">
        <f>Table4[[#This Row],[Column1]]</f>
        <v>0</v>
      </c>
      <c r="B195">
        <f>Table4[[#This Row],[Column2]]</f>
        <v>0</v>
      </c>
      <c r="H195" s="9">
        <f>Table13[[#This Row],[dicharge_date]]</f>
        <v>0</v>
      </c>
      <c r="I195" s="13" t="str">
        <f t="shared" si="12"/>
        <v/>
      </c>
      <c r="J195" s="9">
        <f t="shared" si="13"/>
        <v>30</v>
      </c>
    </row>
    <row r="196" spans="1:10" ht="23.25" customHeight="1">
      <c r="A196">
        <f>Table4[[#This Row],[Column1]]</f>
        <v>0</v>
      </c>
      <c r="B196">
        <f>Table4[[#This Row],[Column2]]</f>
        <v>0</v>
      </c>
      <c r="H196" s="9">
        <f>Table13[[#This Row],[dicharge_date]]</f>
        <v>0</v>
      </c>
      <c r="I196" s="13" t="str">
        <f t="shared" si="12"/>
        <v/>
      </c>
      <c r="J196" s="9">
        <f t="shared" si="13"/>
        <v>30</v>
      </c>
    </row>
    <row r="197" spans="1:10" ht="23.25" customHeight="1">
      <c r="A197">
        <f>Table4[[#This Row],[Column1]]</f>
        <v>0</v>
      </c>
      <c r="B197">
        <f>Table4[[#This Row],[Column2]]</f>
        <v>0</v>
      </c>
      <c r="H197" s="9">
        <f>Table13[[#This Row],[dicharge_date]]</f>
        <v>0</v>
      </c>
      <c r="I197" s="13" t="str">
        <f t="shared" si="12"/>
        <v/>
      </c>
      <c r="J197" s="9">
        <f t="shared" si="13"/>
        <v>30</v>
      </c>
    </row>
    <row r="198" spans="1:10" ht="23.25" customHeight="1">
      <c r="A198">
        <f>Table4[[#This Row],[Column1]]</f>
        <v>0</v>
      </c>
      <c r="B198">
        <f>Table4[[#This Row],[Column2]]</f>
        <v>0</v>
      </c>
      <c r="H198" s="9">
        <f>Table13[[#This Row],[dicharge_date]]</f>
        <v>0</v>
      </c>
      <c r="I198" s="13" t="str">
        <f t="shared" si="12"/>
        <v/>
      </c>
      <c r="J198" s="9">
        <f t="shared" si="13"/>
        <v>30</v>
      </c>
    </row>
    <row r="199" spans="1:10" ht="23.25" customHeight="1">
      <c r="A199">
        <f>Table4[[#This Row],[Column1]]</f>
        <v>0</v>
      </c>
      <c r="B199">
        <f>Table4[[#This Row],[Column2]]</f>
        <v>0</v>
      </c>
      <c r="H199" s="9">
        <f>Table13[[#This Row],[dicharge_date]]</f>
        <v>0</v>
      </c>
      <c r="I199" s="13" t="str">
        <f t="shared" si="12"/>
        <v/>
      </c>
      <c r="J199" s="9">
        <f t="shared" si="13"/>
        <v>30</v>
      </c>
    </row>
    <row r="200" spans="1:10" ht="23.25" customHeight="1">
      <c r="A200">
        <f>Table4[[#This Row],[Column1]]</f>
        <v>0</v>
      </c>
      <c r="B200">
        <f>Table4[[#This Row],[Column2]]</f>
        <v>0</v>
      </c>
      <c r="H200" s="9">
        <f>Table13[[#This Row],[dicharge_date]]</f>
        <v>0</v>
      </c>
      <c r="I200" s="13" t="str">
        <f t="shared" si="12"/>
        <v/>
      </c>
      <c r="J200" s="9">
        <f t="shared" si="13"/>
        <v>30</v>
      </c>
    </row>
    <row r="201" spans="1:10" ht="23.25" customHeight="1">
      <c r="A201">
        <f>Table4[[#This Row],[Column1]]</f>
        <v>0</v>
      </c>
      <c r="B201">
        <f>Table4[[#This Row],[Column2]]</f>
        <v>0</v>
      </c>
      <c r="H201" s="9">
        <f>Table13[[#This Row],[dicharge_date]]</f>
        <v>0</v>
      </c>
      <c r="I201" s="13" t="str">
        <f t="shared" si="12"/>
        <v/>
      </c>
      <c r="J201" s="9">
        <f t="shared" si="13"/>
        <v>30</v>
      </c>
    </row>
    <row r="202" spans="1:10" ht="23.25" customHeight="1">
      <c r="A202">
        <f>Table4[[#This Row],[Column1]]</f>
        <v>0</v>
      </c>
      <c r="B202">
        <f>Table4[[#This Row],[Column2]]</f>
        <v>0</v>
      </c>
      <c r="H202" s="9">
        <f>Table13[[#This Row],[dicharge_date]]</f>
        <v>0</v>
      </c>
      <c r="I202" s="13" t="str">
        <f t="shared" si="12"/>
        <v/>
      </c>
      <c r="J202" s="9">
        <f t="shared" si="13"/>
        <v>30</v>
      </c>
    </row>
    <row r="203" spans="1:10" ht="23.25" customHeight="1">
      <c r="A203">
        <f>Table4[[#This Row],[Column1]]</f>
        <v>0</v>
      </c>
      <c r="B203">
        <f>Table4[[#This Row],[Column2]]</f>
        <v>0</v>
      </c>
      <c r="H203" s="9">
        <f>Table13[[#This Row],[dicharge_date]]</f>
        <v>0</v>
      </c>
      <c r="I203" s="13" t="str">
        <f t="shared" si="12"/>
        <v/>
      </c>
      <c r="J203" s="9">
        <f t="shared" si="13"/>
        <v>30</v>
      </c>
    </row>
    <row r="204" spans="1:10" ht="23.25" customHeight="1">
      <c r="A204">
        <f>Table4[[#This Row],[Column1]]</f>
        <v>0</v>
      </c>
      <c r="B204">
        <f>Table4[[#This Row],[Column2]]</f>
        <v>0</v>
      </c>
      <c r="H204" s="9">
        <f>Table13[[#This Row],[dicharge_date]]</f>
        <v>0</v>
      </c>
      <c r="I204" s="13" t="str">
        <f t="shared" si="12"/>
        <v/>
      </c>
      <c r="J204" s="9">
        <f t="shared" si="13"/>
        <v>30</v>
      </c>
    </row>
    <row r="205" spans="1:10" ht="23.25" customHeight="1">
      <c r="A205">
        <f>Table4[[#This Row],[Column1]]</f>
        <v>0</v>
      </c>
      <c r="B205">
        <f>Table4[[#This Row],[Column2]]</f>
        <v>0</v>
      </c>
      <c r="H205" s="9">
        <f>Table13[[#This Row],[dicharge_date]]</f>
        <v>0</v>
      </c>
      <c r="I205" s="13" t="str">
        <f t="shared" si="12"/>
        <v/>
      </c>
      <c r="J205" s="9">
        <f t="shared" si="13"/>
        <v>30</v>
      </c>
    </row>
    <row r="206" spans="1:10" ht="23.25" customHeight="1">
      <c r="A206">
        <f>Table4[[#This Row],[Column1]]</f>
        <v>0</v>
      </c>
      <c r="B206">
        <f>Table4[[#This Row],[Column2]]</f>
        <v>0</v>
      </c>
      <c r="H206" s="9">
        <f>Table13[[#This Row],[dicharge_date]]</f>
        <v>0</v>
      </c>
      <c r="I206" s="13" t="str">
        <f t="shared" si="12"/>
        <v/>
      </c>
      <c r="J206" s="9">
        <f t="shared" si="13"/>
        <v>30</v>
      </c>
    </row>
    <row r="207" spans="1:10" ht="23.25" customHeight="1">
      <c r="A207">
        <f>Table4[[#This Row],[Column1]]</f>
        <v>0</v>
      </c>
      <c r="B207">
        <f>Table4[[#This Row],[Column2]]</f>
        <v>0</v>
      </c>
      <c r="H207" s="9">
        <f>Table13[[#This Row],[dicharge_date]]</f>
        <v>0</v>
      </c>
      <c r="I207" s="13" t="str">
        <f t="shared" si="12"/>
        <v/>
      </c>
      <c r="J207" s="9">
        <f t="shared" si="13"/>
        <v>30</v>
      </c>
    </row>
    <row r="208" spans="1:10" ht="23.25" customHeight="1">
      <c r="A208">
        <f>Table4[[#This Row],[Column1]]</f>
        <v>0</v>
      </c>
      <c r="B208">
        <f>Table4[[#This Row],[Column2]]</f>
        <v>0</v>
      </c>
      <c r="H208" s="9">
        <f>Table13[[#This Row],[dicharge_date]]</f>
        <v>0</v>
      </c>
      <c r="I208" s="13" t="str">
        <f t="shared" si="12"/>
        <v/>
      </c>
      <c r="J208" s="9">
        <f t="shared" si="13"/>
        <v>30</v>
      </c>
    </row>
    <row r="209" spans="1:10" ht="23.25" customHeight="1">
      <c r="A209">
        <f>Table4[[#This Row],[Column1]]</f>
        <v>0</v>
      </c>
      <c r="B209">
        <f>Table4[[#This Row],[Column2]]</f>
        <v>0</v>
      </c>
      <c r="H209" s="9">
        <f>Table13[[#This Row],[dicharge_date]]</f>
        <v>0</v>
      </c>
      <c r="I209" s="13" t="str">
        <f t="shared" si="12"/>
        <v/>
      </c>
      <c r="J209" s="9">
        <f t="shared" si="13"/>
        <v>30</v>
      </c>
    </row>
    <row r="210" spans="1:10" ht="23.25" customHeight="1">
      <c r="A210">
        <f>Table4[[#This Row],[Column1]]</f>
        <v>0</v>
      </c>
      <c r="B210">
        <f>Table4[[#This Row],[Column2]]</f>
        <v>0</v>
      </c>
      <c r="H210" s="9">
        <f>Table13[[#This Row],[dicharge_date]]</f>
        <v>0</v>
      </c>
      <c r="I210" s="13" t="str">
        <f t="shared" si="12"/>
        <v/>
      </c>
      <c r="J210" s="9">
        <f t="shared" si="13"/>
        <v>30</v>
      </c>
    </row>
    <row r="211" spans="1:10" ht="23.25" customHeight="1">
      <c r="A211">
        <f>Table4[[#This Row],[Column1]]</f>
        <v>0</v>
      </c>
      <c r="B211">
        <f>Table4[[#This Row],[Column2]]</f>
        <v>0</v>
      </c>
      <c r="H211" s="9">
        <f>Table13[[#This Row],[dicharge_date]]</f>
        <v>0</v>
      </c>
      <c r="I211" s="13" t="str">
        <f t="shared" si="12"/>
        <v/>
      </c>
      <c r="J211" s="9">
        <f t="shared" si="13"/>
        <v>30</v>
      </c>
    </row>
    <row r="212" spans="1:10" ht="23.25" customHeight="1">
      <c r="A212">
        <f>Table4[[#This Row],[Column1]]</f>
        <v>0</v>
      </c>
      <c r="B212">
        <f>Table4[[#This Row],[Column2]]</f>
        <v>0</v>
      </c>
      <c r="H212" s="9">
        <f>Table13[[#This Row],[dicharge_date]]</f>
        <v>0</v>
      </c>
      <c r="I212" s="13" t="str">
        <f t="shared" si="12"/>
        <v/>
      </c>
      <c r="J212" s="9">
        <f t="shared" si="13"/>
        <v>30</v>
      </c>
    </row>
    <row r="213" spans="1:10" ht="23.25" customHeight="1">
      <c r="A213">
        <f>Table4[[#This Row],[Column1]]</f>
        <v>0</v>
      </c>
      <c r="B213">
        <f>Table4[[#This Row],[Column2]]</f>
        <v>0</v>
      </c>
      <c r="H213" s="9">
        <f>Table13[[#This Row],[dicharge_date]]</f>
        <v>0</v>
      </c>
      <c r="I213" s="13" t="str">
        <f t="shared" si="12"/>
        <v/>
      </c>
      <c r="J213" s="9">
        <f t="shared" si="13"/>
        <v>30</v>
      </c>
    </row>
    <row r="214" spans="1:10" ht="23.25" customHeight="1">
      <c r="A214">
        <f>Table4[[#This Row],[Column1]]</f>
        <v>0</v>
      </c>
      <c r="B214">
        <f>Table4[[#This Row],[Column2]]</f>
        <v>0</v>
      </c>
      <c r="H214" s="9">
        <f>Table13[[#This Row],[dicharge_date]]</f>
        <v>0</v>
      </c>
      <c r="I214" s="13" t="str">
        <f t="shared" si="12"/>
        <v/>
      </c>
      <c r="J214" s="9">
        <f t="shared" si="13"/>
        <v>30</v>
      </c>
    </row>
    <row r="215" spans="1:10" ht="23.25" customHeight="1">
      <c r="A215">
        <f>Table4[[#This Row],[Column1]]</f>
        <v>0</v>
      </c>
      <c r="B215">
        <f>Table4[[#This Row],[Column2]]</f>
        <v>0</v>
      </c>
      <c r="H215" s="9">
        <f>Table13[[#This Row],[dicharge_date]]</f>
        <v>0</v>
      </c>
      <c r="I215" s="13" t="str">
        <f t="shared" si="12"/>
        <v/>
      </c>
      <c r="J215" s="9">
        <f t="shared" si="13"/>
        <v>30</v>
      </c>
    </row>
    <row r="216" spans="1:10" ht="23.25" customHeight="1">
      <c r="A216">
        <f>Table4[[#This Row],[Column1]]</f>
        <v>0</v>
      </c>
      <c r="B216">
        <f>Table4[[#This Row],[Column2]]</f>
        <v>0</v>
      </c>
      <c r="H216" s="9">
        <f>Table13[[#This Row],[dicharge_date]]</f>
        <v>0</v>
      </c>
      <c r="I216" s="13" t="str">
        <f t="shared" si="12"/>
        <v/>
      </c>
      <c r="J216" s="9">
        <f t="shared" si="13"/>
        <v>30</v>
      </c>
    </row>
    <row r="217" spans="1:10" ht="23.25" customHeight="1">
      <c r="A217">
        <f>Table4[[#This Row],[Column1]]</f>
        <v>0</v>
      </c>
      <c r="B217">
        <f>Table4[[#This Row],[Column2]]</f>
        <v>0</v>
      </c>
      <c r="H217" s="9">
        <f>Table13[[#This Row],[dicharge_date]]</f>
        <v>0</v>
      </c>
      <c r="I217" s="13" t="str">
        <f t="shared" si="12"/>
        <v/>
      </c>
      <c r="J217" s="9">
        <f t="shared" si="13"/>
        <v>30</v>
      </c>
    </row>
    <row r="218" spans="1:10" ht="23.25" customHeight="1">
      <c r="A218">
        <f>Table4[[#This Row],[Column1]]</f>
        <v>0</v>
      </c>
      <c r="B218">
        <f>Table4[[#This Row],[Column2]]</f>
        <v>0</v>
      </c>
      <c r="H218" s="9">
        <f>Table13[[#This Row],[dicharge_date]]</f>
        <v>0</v>
      </c>
      <c r="I218" s="13" t="str">
        <f t="shared" si="12"/>
        <v/>
      </c>
      <c r="J218" s="9">
        <f t="shared" si="13"/>
        <v>30</v>
      </c>
    </row>
    <row r="219" spans="1:10" ht="23.25" customHeight="1">
      <c r="A219">
        <f>Table4[[#This Row],[Column1]]</f>
        <v>0</v>
      </c>
      <c r="B219">
        <f>Table4[[#This Row],[Column2]]</f>
        <v>0</v>
      </c>
      <c r="H219" s="9">
        <f>Table13[[#This Row],[dicharge_date]]</f>
        <v>0</v>
      </c>
      <c r="I219" s="13" t="str">
        <f t="shared" si="12"/>
        <v/>
      </c>
      <c r="J219" s="9">
        <f t="shared" si="13"/>
        <v>30</v>
      </c>
    </row>
    <row r="220" spans="1:10" ht="23.25" customHeight="1">
      <c r="A220">
        <f>Table4[[#This Row],[Column1]]</f>
        <v>0</v>
      </c>
      <c r="B220">
        <f>Table4[[#This Row],[Column2]]</f>
        <v>0</v>
      </c>
      <c r="H220" s="9">
        <f>Table13[[#This Row],[dicharge_date]]</f>
        <v>0</v>
      </c>
      <c r="I220" s="13" t="str">
        <f t="shared" si="12"/>
        <v/>
      </c>
      <c r="J220" s="9">
        <f t="shared" si="13"/>
        <v>30</v>
      </c>
    </row>
    <row r="221" spans="1:10" ht="23.25" customHeight="1">
      <c r="A221">
        <f>Table4[[#This Row],[Column1]]</f>
        <v>0</v>
      </c>
      <c r="B221">
        <f>Table4[[#This Row],[Column2]]</f>
        <v>0</v>
      </c>
      <c r="H221" s="9">
        <f>Table13[[#This Row],[dicharge_date]]</f>
        <v>0</v>
      </c>
      <c r="I221" s="13" t="str">
        <f t="shared" si="12"/>
        <v/>
      </c>
      <c r="J221" s="9">
        <f t="shared" si="13"/>
        <v>30</v>
      </c>
    </row>
    <row r="222" spans="1:10" ht="23.25" customHeight="1">
      <c r="A222">
        <f>Table4[[#This Row],[Column1]]</f>
        <v>0</v>
      </c>
      <c r="B222">
        <f>Table4[[#This Row],[Column2]]</f>
        <v>0</v>
      </c>
      <c r="H222" s="9">
        <f>Table13[[#This Row],[dicharge_date]]</f>
        <v>0</v>
      </c>
      <c r="I222" s="13" t="str">
        <f t="shared" si="12"/>
        <v/>
      </c>
      <c r="J222" s="9">
        <f t="shared" si="13"/>
        <v>30</v>
      </c>
    </row>
    <row r="223" spans="1:10" ht="23.25" customHeight="1">
      <c r="A223">
        <f>Table4[[#This Row],[Column1]]</f>
        <v>0</v>
      </c>
      <c r="B223">
        <f>Table4[[#This Row],[Column2]]</f>
        <v>0</v>
      </c>
      <c r="H223" s="9">
        <f>Table13[[#This Row],[dicharge_date]]</f>
        <v>0</v>
      </c>
      <c r="I223" s="13" t="str">
        <f t="shared" si="12"/>
        <v/>
      </c>
      <c r="J223" s="9">
        <f t="shared" si="13"/>
        <v>30</v>
      </c>
    </row>
    <row r="224" spans="1:10" ht="23.25" customHeight="1">
      <c r="A224">
        <f>Table4[[#This Row],[Column1]]</f>
        <v>0</v>
      </c>
      <c r="B224">
        <f>Table4[[#This Row],[Column2]]</f>
        <v>0</v>
      </c>
      <c r="H224" s="9">
        <f>Table13[[#This Row],[dicharge_date]]</f>
        <v>0</v>
      </c>
      <c r="I224" s="13" t="str">
        <f t="shared" si="12"/>
        <v/>
      </c>
      <c r="J224" s="9">
        <f t="shared" si="13"/>
        <v>30</v>
      </c>
    </row>
    <row r="225" spans="1:10" ht="23.25" customHeight="1">
      <c r="A225">
        <f>Table4[[#This Row],[Column1]]</f>
        <v>0</v>
      </c>
      <c r="B225">
        <f>Table4[[#This Row],[Column2]]</f>
        <v>0</v>
      </c>
      <c r="H225" s="9">
        <f>Table13[[#This Row],[dicharge_date]]</f>
        <v>0</v>
      </c>
      <c r="I225" s="13" t="str">
        <f t="shared" si="12"/>
        <v/>
      </c>
      <c r="J225" s="9">
        <f t="shared" si="13"/>
        <v>30</v>
      </c>
    </row>
    <row r="226" spans="1:10" ht="23.25" customHeight="1">
      <c r="A226">
        <f>Table4[[#This Row],[Column1]]</f>
        <v>0</v>
      </c>
      <c r="B226">
        <f>Table4[[#This Row],[Column2]]</f>
        <v>0</v>
      </c>
      <c r="H226" s="9">
        <f>Table13[[#This Row],[dicharge_date]]</f>
        <v>0</v>
      </c>
      <c r="I226" s="13" t="str">
        <f t="shared" si="12"/>
        <v/>
      </c>
      <c r="J226" s="9">
        <f t="shared" si="13"/>
        <v>30</v>
      </c>
    </row>
    <row r="227" spans="1:10" ht="23.25" customHeight="1">
      <c r="A227">
        <f>Table4[[#This Row],[Column1]]</f>
        <v>0</v>
      </c>
      <c r="B227">
        <f>Table4[[#This Row],[Column2]]</f>
        <v>0</v>
      </c>
      <c r="H227" s="9">
        <f>Table13[[#This Row],[dicharge_date]]</f>
        <v>0</v>
      </c>
      <c r="I227" s="13" t="str">
        <f t="shared" si="12"/>
        <v/>
      </c>
      <c r="J227" s="9">
        <f t="shared" si="13"/>
        <v>30</v>
      </c>
    </row>
    <row r="228" spans="1:10" ht="23.25" customHeight="1">
      <c r="A228">
        <f>Table4[[#This Row],[Column1]]</f>
        <v>0</v>
      </c>
      <c r="B228">
        <f>Table4[[#This Row],[Column2]]</f>
        <v>0</v>
      </c>
      <c r="H228" s="9">
        <f>Table13[[#This Row],[dicharge_date]]</f>
        <v>0</v>
      </c>
      <c r="I228" s="13" t="str">
        <f t="shared" si="12"/>
        <v/>
      </c>
      <c r="J228" s="9">
        <f t="shared" si="13"/>
        <v>30</v>
      </c>
    </row>
    <row r="229" spans="1:10" ht="23.25" customHeight="1">
      <c r="A229">
        <f>Table4[[#This Row],[Column1]]</f>
        <v>0</v>
      </c>
      <c r="B229">
        <f>Table4[[#This Row],[Column2]]</f>
        <v>0</v>
      </c>
      <c r="H229" s="9">
        <f>Table13[[#This Row],[dicharge_date]]</f>
        <v>0</v>
      </c>
      <c r="I229" s="13" t="str">
        <f t="shared" si="12"/>
        <v/>
      </c>
      <c r="J229" s="9">
        <f t="shared" si="13"/>
        <v>30</v>
      </c>
    </row>
    <row r="230" spans="1:10" ht="23.25" customHeight="1">
      <c r="A230">
        <f>Table4[[#This Row],[Column1]]</f>
        <v>0</v>
      </c>
      <c r="B230">
        <f>Table4[[#This Row],[Column2]]</f>
        <v>0</v>
      </c>
      <c r="H230" s="9">
        <f>Table13[[#This Row],[dicharge_date]]</f>
        <v>0</v>
      </c>
      <c r="I230" s="13" t="str">
        <f t="shared" si="12"/>
        <v/>
      </c>
      <c r="J230" s="9">
        <f t="shared" si="13"/>
        <v>30</v>
      </c>
    </row>
    <row r="231" spans="1:10" ht="23.25" customHeight="1">
      <c r="A231">
        <f>Table4[[#This Row],[Column1]]</f>
        <v>0</v>
      </c>
      <c r="B231">
        <f>Table4[[#This Row],[Column2]]</f>
        <v>0</v>
      </c>
      <c r="H231" s="9">
        <f>Table13[[#This Row],[dicharge_date]]</f>
        <v>0</v>
      </c>
      <c r="I231" s="13" t="str">
        <f t="shared" ref="I231:I294" si="14">IF( E231&lt;&gt;"", H231-E231,"")</f>
        <v/>
      </c>
      <c r="J231" s="9">
        <f t="shared" si="13"/>
        <v>30</v>
      </c>
    </row>
    <row r="232" spans="1:10" ht="23.25" customHeight="1">
      <c r="A232">
        <f>Table4[[#This Row],[Column1]]</f>
        <v>0</v>
      </c>
      <c r="B232">
        <f>Table4[[#This Row],[Column2]]</f>
        <v>0</v>
      </c>
      <c r="H232" s="9">
        <f>Table13[[#This Row],[dicharge_date]]</f>
        <v>0</v>
      </c>
      <c r="I232" s="13" t="str">
        <f t="shared" si="14"/>
        <v/>
      </c>
      <c r="J232" s="9">
        <f t="shared" si="13"/>
        <v>30</v>
      </c>
    </row>
    <row r="233" spans="1:10" ht="23.25" customHeight="1">
      <c r="A233">
        <f>Table4[[#This Row],[Column1]]</f>
        <v>0</v>
      </c>
      <c r="B233">
        <f>Table4[[#This Row],[Column2]]</f>
        <v>0</v>
      </c>
      <c r="H233" s="9">
        <f>Table13[[#This Row],[dicharge_date]]</f>
        <v>0</v>
      </c>
      <c r="I233" s="13" t="str">
        <f t="shared" si="14"/>
        <v/>
      </c>
      <c r="J233" s="9">
        <f t="shared" si="13"/>
        <v>30</v>
      </c>
    </row>
    <row r="234" spans="1:10" ht="23.25" customHeight="1">
      <c r="A234">
        <f>Table4[[#This Row],[Column1]]</f>
        <v>0</v>
      </c>
      <c r="B234">
        <f>Table4[[#This Row],[Column2]]</f>
        <v>0</v>
      </c>
      <c r="H234" s="9">
        <f>Table13[[#This Row],[dicharge_date]]</f>
        <v>0</v>
      </c>
      <c r="I234" s="13" t="str">
        <f t="shared" si="14"/>
        <v/>
      </c>
      <c r="J234" s="9">
        <f t="shared" si="13"/>
        <v>30</v>
      </c>
    </row>
    <row r="235" spans="1:10" ht="23.25" customHeight="1">
      <c r="A235">
        <f>Table4[[#This Row],[Column1]]</f>
        <v>0</v>
      </c>
      <c r="B235">
        <f>Table4[[#This Row],[Column2]]</f>
        <v>0</v>
      </c>
      <c r="H235" s="9">
        <f>Table13[[#This Row],[dicharge_date]]</f>
        <v>0</v>
      </c>
      <c r="I235" s="13" t="str">
        <f t="shared" si="14"/>
        <v/>
      </c>
      <c r="J235" s="9">
        <f t="shared" si="13"/>
        <v>30</v>
      </c>
    </row>
    <row r="236" spans="1:10" ht="23.25" customHeight="1">
      <c r="A236">
        <f>Table4[[#This Row],[Column1]]</f>
        <v>0</v>
      </c>
      <c r="B236">
        <f>Table4[[#This Row],[Column2]]</f>
        <v>0</v>
      </c>
      <c r="H236" s="9">
        <f>Table13[[#This Row],[dicharge_date]]</f>
        <v>0</v>
      </c>
      <c r="I236" s="13" t="str">
        <f t="shared" si="14"/>
        <v/>
      </c>
      <c r="J236" s="9">
        <f t="shared" si="13"/>
        <v>30</v>
      </c>
    </row>
    <row r="237" spans="1:10" ht="23.25" customHeight="1">
      <c r="A237">
        <f>Table4[[#This Row],[Column1]]</f>
        <v>0</v>
      </c>
      <c r="B237">
        <f>Table4[[#This Row],[Column2]]</f>
        <v>0</v>
      </c>
      <c r="H237" s="9">
        <f>Table13[[#This Row],[dicharge_date]]</f>
        <v>0</v>
      </c>
      <c r="I237" s="13" t="str">
        <f t="shared" si="14"/>
        <v/>
      </c>
      <c r="J237" s="9">
        <f t="shared" si="13"/>
        <v>30</v>
      </c>
    </row>
    <row r="238" spans="1:10" ht="23.25" customHeight="1">
      <c r="A238">
        <f>Table4[[#This Row],[Column1]]</f>
        <v>0</v>
      </c>
      <c r="B238">
        <f>Table4[[#This Row],[Column2]]</f>
        <v>0</v>
      </c>
      <c r="H238" s="9">
        <f>Table13[[#This Row],[dicharge_date]]</f>
        <v>0</v>
      </c>
      <c r="I238" s="13" t="str">
        <f t="shared" si="14"/>
        <v/>
      </c>
      <c r="J238" s="9">
        <f t="shared" si="13"/>
        <v>30</v>
      </c>
    </row>
    <row r="239" spans="1:10" ht="23.25" customHeight="1">
      <c r="A239">
        <f>Table4[[#This Row],[Column1]]</f>
        <v>0</v>
      </c>
      <c r="B239">
        <f>Table4[[#This Row],[Column2]]</f>
        <v>0</v>
      </c>
      <c r="H239" s="9">
        <f>Table13[[#This Row],[dicharge_date]]</f>
        <v>0</v>
      </c>
      <c r="I239" s="13" t="str">
        <f t="shared" si="14"/>
        <v/>
      </c>
      <c r="J239" s="9">
        <f t="shared" si="13"/>
        <v>30</v>
      </c>
    </row>
    <row r="240" spans="1:10" ht="23.25" customHeight="1">
      <c r="A240">
        <f>Table4[[#This Row],[Column1]]</f>
        <v>0</v>
      </c>
      <c r="B240">
        <f>Table4[[#This Row],[Column2]]</f>
        <v>0</v>
      </c>
      <c r="H240" s="9">
        <f>Table13[[#This Row],[dicharge_date]]</f>
        <v>0</v>
      </c>
      <c r="I240" s="13" t="str">
        <f t="shared" si="14"/>
        <v/>
      </c>
      <c r="J240" s="9">
        <f t="shared" si="13"/>
        <v>30</v>
      </c>
    </row>
    <row r="241" spans="1:10" ht="23.25" customHeight="1">
      <c r="A241">
        <f>Table4[[#This Row],[Column1]]</f>
        <v>0</v>
      </c>
      <c r="B241">
        <f>Table4[[#This Row],[Column2]]</f>
        <v>0</v>
      </c>
      <c r="H241" s="9">
        <f>Table13[[#This Row],[dicharge_date]]</f>
        <v>0</v>
      </c>
      <c r="I241" s="13" t="str">
        <f t="shared" si="14"/>
        <v/>
      </c>
      <c r="J241" s="9">
        <f t="shared" si="13"/>
        <v>30</v>
      </c>
    </row>
    <row r="242" spans="1:10" ht="23.25" customHeight="1">
      <c r="A242">
        <f>Table4[[#This Row],[Column1]]</f>
        <v>0</v>
      </c>
      <c r="B242">
        <f>Table4[[#This Row],[Column2]]</f>
        <v>0</v>
      </c>
      <c r="H242" s="9">
        <f>Table13[[#This Row],[dicharge_date]]</f>
        <v>0</v>
      </c>
      <c r="I242" s="13" t="str">
        <f t="shared" si="14"/>
        <v/>
      </c>
      <c r="J242" s="9">
        <f t="shared" si="13"/>
        <v>30</v>
      </c>
    </row>
    <row r="243" spans="1:10" ht="23.25" customHeight="1">
      <c r="A243">
        <f>Table4[[#This Row],[Column1]]</f>
        <v>0</v>
      </c>
      <c r="B243">
        <f>Table4[[#This Row],[Column2]]</f>
        <v>0</v>
      </c>
      <c r="H243" s="9">
        <f>Table13[[#This Row],[dicharge_date]]</f>
        <v>0</v>
      </c>
      <c r="I243" s="13" t="str">
        <f t="shared" si="14"/>
        <v/>
      </c>
      <c r="J243" s="9">
        <f t="shared" si="13"/>
        <v>30</v>
      </c>
    </row>
    <row r="244" spans="1:10" ht="23.25" customHeight="1">
      <c r="A244">
        <f>Table4[[#This Row],[Column1]]</f>
        <v>0</v>
      </c>
      <c r="B244">
        <f>Table4[[#This Row],[Column2]]</f>
        <v>0</v>
      </c>
      <c r="H244" s="9">
        <f>Table13[[#This Row],[dicharge_date]]</f>
        <v>0</v>
      </c>
      <c r="I244" s="13" t="str">
        <f t="shared" si="14"/>
        <v/>
      </c>
      <c r="J244" s="9">
        <f t="shared" si="13"/>
        <v>30</v>
      </c>
    </row>
    <row r="245" spans="1:10" ht="23.25" customHeight="1">
      <c r="A245">
        <f>Table4[[#This Row],[Column1]]</f>
        <v>0</v>
      </c>
      <c r="B245">
        <f>Table4[[#This Row],[Column2]]</f>
        <v>0</v>
      </c>
      <c r="H245" s="9">
        <f>Table13[[#This Row],[dicharge_date]]</f>
        <v>0</v>
      </c>
      <c r="I245" s="13" t="str">
        <f t="shared" si="14"/>
        <v/>
      </c>
      <c r="J245" s="9">
        <f t="shared" si="13"/>
        <v>30</v>
      </c>
    </row>
    <row r="246" spans="1:10" ht="23.25" customHeight="1">
      <c r="A246">
        <f>Table4[[#This Row],[Column1]]</f>
        <v>0</v>
      </c>
      <c r="B246">
        <f>Table4[[#This Row],[Column2]]</f>
        <v>0</v>
      </c>
      <c r="H246" s="9">
        <f>Table13[[#This Row],[dicharge_date]]</f>
        <v>0</v>
      </c>
      <c r="I246" s="13" t="str">
        <f t="shared" si="14"/>
        <v/>
      </c>
      <c r="J246" s="9">
        <f t="shared" si="13"/>
        <v>30</v>
      </c>
    </row>
    <row r="247" spans="1:10" ht="23.25" customHeight="1">
      <c r="A247">
        <f>Table4[[#This Row],[Column1]]</f>
        <v>0</v>
      </c>
      <c r="B247">
        <f>Table4[[#This Row],[Column2]]</f>
        <v>0</v>
      </c>
      <c r="H247" s="9">
        <f>Table13[[#This Row],[dicharge_date]]</f>
        <v>0</v>
      </c>
      <c r="I247" s="13" t="str">
        <f t="shared" si="14"/>
        <v/>
      </c>
      <c r="J247" s="9">
        <f t="shared" si="13"/>
        <v>30</v>
      </c>
    </row>
    <row r="248" spans="1:10" ht="23.25" customHeight="1">
      <c r="A248">
        <f>Table4[[#This Row],[Column1]]</f>
        <v>0</v>
      </c>
      <c r="B248">
        <f>Table4[[#This Row],[Column2]]</f>
        <v>0</v>
      </c>
      <c r="H248" s="9">
        <f>Table13[[#This Row],[dicharge_date]]</f>
        <v>0</v>
      </c>
      <c r="I248" s="13" t="str">
        <f t="shared" si="14"/>
        <v/>
      </c>
      <c r="J248" s="9">
        <f t="shared" si="13"/>
        <v>30</v>
      </c>
    </row>
    <row r="249" spans="1:10" ht="23.25" customHeight="1">
      <c r="A249">
        <f>Table4[[#This Row],[Column1]]</f>
        <v>0</v>
      </c>
      <c r="B249">
        <f>Table4[[#This Row],[Column2]]</f>
        <v>0</v>
      </c>
      <c r="H249" s="9">
        <f>Table13[[#This Row],[dicharge_date]]</f>
        <v>0</v>
      </c>
      <c r="I249" s="13" t="str">
        <f t="shared" si="14"/>
        <v/>
      </c>
      <c r="J249" s="9">
        <f t="shared" si="13"/>
        <v>30</v>
      </c>
    </row>
    <row r="250" spans="1:10" ht="23.25" customHeight="1">
      <c r="A250">
        <f>Table4[[#This Row],[Column1]]</f>
        <v>0</v>
      </c>
      <c r="B250">
        <f>Table4[[#This Row],[Column2]]</f>
        <v>0</v>
      </c>
      <c r="H250" s="9">
        <f>Table13[[#This Row],[dicharge_date]]</f>
        <v>0</v>
      </c>
      <c r="I250" s="13" t="str">
        <f t="shared" si="14"/>
        <v/>
      </c>
      <c r="J250" s="9">
        <f t="shared" si="13"/>
        <v>30</v>
      </c>
    </row>
    <row r="251" spans="1:10" ht="23.25" customHeight="1">
      <c r="A251">
        <f>Table4[[#This Row],[Column1]]</f>
        <v>0</v>
      </c>
      <c r="B251">
        <f>Table4[[#This Row],[Column2]]</f>
        <v>0</v>
      </c>
      <c r="H251" s="9">
        <f>Table13[[#This Row],[dicharge_date]]</f>
        <v>0</v>
      </c>
      <c r="I251" s="13" t="str">
        <f t="shared" si="14"/>
        <v/>
      </c>
      <c r="J251" s="9">
        <f t="shared" si="13"/>
        <v>30</v>
      </c>
    </row>
    <row r="252" spans="1:10" ht="23.25" customHeight="1">
      <c r="A252">
        <f>Table4[[#This Row],[Column1]]</f>
        <v>0</v>
      </c>
      <c r="B252">
        <f>Table4[[#This Row],[Column2]]</f>
        <v>0</v>
      </c>
      <c r="H252" s="9">
        <f>Table13[[#This Row],[dicharge_date]]</f>
        <v>0</v>
      </c>
      <c r="I252" s="13" t="str">
        <f t="shared" si="14"/>
        <v/>
      </c>
      <c r="J252" s="9">
        <f t="shared" si="13"/>
        <v>30</v>
      </c>
    </row>
    <row r="253" spans="1:10" ht="23.25" customHeight="1">
      <c r="A253">
        <f>Table4[[#This Row],[Column1]]</f>
        <v>0</v>
      </c>
      <c r="B253">
        <f>Table4[[#This Row],[Column2]]</f>
        <v>0</v>
      </c>
      <c r="H253" s="9">
        <f>Table13[[#This Row],[dicharge_date]]</f>
        <v>0</v>
      </c>
      <c r="I253" s="13" t="str">
        <f t="shared" si="14"/>
        <v/>
      </c>
      <c r="J253" s="9">
        <f t="shared" si="13"/>
        <v>30</v>
      </c>
    </row>
    <row r="254" spans="1:10" ht="23.25" customHeight="1">
      <c r="A254">
        <f>Table4[[#This Row],[Column1]]</f>
        <v>0</v>
      </c>
      <c r="B254">
        <f>Table4[[#This Row],[Column2]]</f>
        <v>0</v>
      </c>
      <c r="H254" s="9">
        <f>Table13[[#This Row],[dicharge_date]]</f>
        <v>0</v>
      </c>
      <c r="I254" s="13" t="str">
        <f t="shared" si="14"/>
        <v/>
      </c>
      <c r="J254" s="9">
        <f t="shared" si="13"/>
        <v>30</v>
      </c>
    </row>
    <row r="255" spans="1:10" ht="23.25" customHeight="1">
      <c r="A255">
        <f>Table4[[#This Row],[Column1]]</f>
        <v>0</v>
      </c>
      <c r="B255">
        <f>Table4[[#This Row],[Column2]]</f>
        <v>0</v>
      </c>
      <c r="H255" s="9">
        <f>Table13[[#This Row],[dicharge_date]]</f>
        <v>0</v>
      </c>
      <c r="I255" s="13" t="str">
        <f t="shared" si="14"/>
        <v/>
      </c>
      <c r="J255" s="9">
        <f t="shared" si="13"/>
        <v>30</v>
      </c>
    </row>
    <row r="256" spans="1:10" ht="23.25" customHeight="1">
      <c r="A256">
        <f>Table4[[#This Row],[Column1]]</f>
        <v>0</v>
      </c>
      <c r="B256">
        <f>Table4[[#This Row],[Column2]]</f>
        <v>0</v>
      </c>
      <c r="H256" s="9">
        <f>Table13[[#This Row],[dicharge_date]]</f>
        <v>0</v>
      </c>
      <c r="I256" s="13" t="str">
        <f t="shared" si="14"/>
        <v/>
      </c>
      <c r="J256" s="9">
        <f t="shared" si="13"/>
        <v>30</v>
      </c>
    </row>
    <row r="257" spans="1:10" ht="23.25" customHeight="1">
      <c r="A257">
        <f>Table4[[#This Row],[Column1]]</f>
        <v>0</v>
      </c>
      <c r="B257">
        <f>Table4[[#This Row],[Column2]]</f>
        <v>0</v>
      </c>
      <c r="H257" s="9">
        <f>Table13[[#This Row],[dicharge_date]]</f>
        <v>0</v>
      </c>
      <c r="I257" s="13" t="str">
        <f t="shared" si="14"/>
        <v/>
      </c>
      <c r="J257" s="9">
        <f t="shared" si="13"/>
        <v>30</v>
      </c>
    </row>
    <row r="258" spans="1:10" ht="23.25" customHeight="1">
      <c r="A258">
        <f>Table4[[#This Row],[Column1]]</f>
        <v>0</v>
      </c>
      <c r="B258">
        <f>Table4[[#This Row],[Column2]]</f>
        <v>0</v>
      </c>
      <c r="H258" s="9">
        <f>Table13[[#This Row],[dicharge_date]]</f>
        <v>0</v>
      </c>
      <c r="I258" s="13" t="str">
        <f t="shared" si="14"/>
        <v/>
      </c>
      <c r="J258" s="9">
        <f t="shared" ref="J258:J321" si="15">IF( H258&lt;&gt;"", H258+30,"")</f>
        <v>30</v>
      </c>
    </row>
    <row r="259" spans="1:10" ht="23.25" customHeight="1">
      <c r="A259">
        <f>Table4[[#This Row],[Column1]]</f>
        <v>0</v>
      </c>
      <c r="B259">
        <f>Table4[[#This Row],[Column2]]</f>
        <v>0</v>
      </c>
      <c r="H259" s="9">
        <f>Table13[[#This Row],[dicharge_date]]</f>
        <v>0</v>
      </c>
      <c r="I259" s="13" t="str">
        <f t="shared" si="14"/>
        <v/>
      </c>
      <c r="J259" s="9">
        <f t="shared" si="15"/>
        <v>30</v>
      </c>
    </row>
    <row r="260" spans="1:10" ht="23.25" customHeight="1">
      <c r="A260">
        <f>Table4[[#This Row],[Column1]]</f>
        <v>0</v>
      </c>
      <c r="B260">
        <f>Table4[[#This Row],[Column2]]</f>
        <v>0</v>
      </c>
      <c r="H260" s="9">
        <f>Table13[[#This Row],[dicharge_date]]</f>
        <v>0</v>
      </c>
      <c r="I260" s="13" t="str">
        <f t="shared" si="14"/>
        <v/>
      </c>
      <c r="J260" s="9">
        <f t="shared" si="15"/>
        <v>30</v>
      </c>
    </row>
    <row r="261" spans="1:10" ht="23.25" customHeight="1">
      <c r="A261">
        <f>Table4[[#This Row],[Column1]]</f>
        <v>0</v>
      </c>
      <c r="B261">
        <f>Table4[[#This Row],[Column2]]</f>
        <v>0</v>
      </c>
      <c r="H261" s="9">
        <f>Table13[[#This Row],[dicharge_date]]</f>
        <v>0</v>
      </c>
      <c r="I261" s="13" t="str">
        <f t="shared" si="14"/>
        <v/>
      </c>
      <c r="J261" s="9">
        <f t="shared" si="15"/>
        <v>30</v>
      </c>
    </row>
    <row r="262" spans="1:10" ht="23.25" customHeight="1">
      <c r="A262">
        <f>Table4[[#This Row],[Column1]]</f>
        <v>0</v>
      </c>
      <c r="B262">
        <f>Table4[[#This Row],[Column2]]</f>
        <v>0</v>
      </c>
      <c r="H262" s="9">
        <f>Table13[[#This Row],[dicharge_date]]</f>
        <v>0</v>
      </c>
      <c r="I262" s="13" t="str">
        <f t="shared" si="14"/>
        <v/>
      </c>
      <c r="J262" s="9">
        <f t="shared" si="15"/>
        <v>30</v>
      </c>
    </row>
    <row r="263" spans="1:10" ht="23.25" customHeight="1">
      <c r="A263">
        <f>Table4[[#This Row],[Column1]]</f>
        <v>0</v>
      </c>
      <c r="B263">
        <f>Table4[[#This Row],[Column2]]</f>
        <v>0</v>
      </c>
      <c r="H263" s="9">
        <f>Table13[[#This Row],[dicharge_date]]</f>
        <v>0</v>
      </c>
      <c r="I263" s="13" t="str">
        <f t="shared" si="14"/>
        <v/>
      </c>
      <c r="J263" s="9">
        <f t="shared" si="15"/>
        <v>30</v>
      </c>
    </row>
    <row r="264" spans="1:10" ht="23.25" customHeight="1">
      <c r="A264">
        <f>Table4[[#This Row],[Column1]]</f>
        <v>0</v>
      </c>
      <c r="B264">
        <f>Table4[[#This Row],[Column2]]</f>
        <v>0</v>
      </c>
      <c r="H264" s="9">
        <f>Table13[[#This Row],[dicharge_date]]</f>
        <v>0</v>
      </c>
      <c r="I264" s="13" t="str">
        <f t="shared" si="14"/>
        <v/>
      </c>
      <c r="J264" s="9">
        <f t="shared" si="15"/>
        <v>30</v>
      </c>
    </row>
    <row r="265" spans="1:10" ht="23.25" customHeight="1">
      <c r="A265">
        <f>Table4[[#This Row],[Column1]]</f>
        <v>0</v>
      </c>
      <c r="B265">
        <f>Table4[[#This Row],[Column2]]</f>
        <v>0</v>
      </c>
      <c r="H265" s="9">
        <f>Table13[[#This Row],[dicharge_date]]</f>
        <v>0</v>
      </c>
      <c r="I265" s="13" t="str">
        <f t="shared" si="14"/>
        <v/>
      </c>
      <c r="J265" s="9">
        <f t="shared" si="15"/>
        <v>30</v>
      </c>
    </row>
    <row r="266" spans="1:10" ht="23.25" customHeight="1">
      <c r="A266">
        <f>Table4[[#This Row],[Column1]]</f>
        <v>0</v>
      </c>
      <c r="B266">
        <f>Table4[[#This Row],[Column2]]</f>
        <v>0</v>
      </c>
      <c r="H266" s="9">
        <f>Table13[[#This Row],[dicharge_date]]</f>
        <v>0</v>
      </c>
      <c r="I266" s="13" t="str">
        <f t="shared" si="14"/>
        <v/>
      </c>
      <c r="J266" s="9">
        <f t="shared" si="15"/>
        <v>30</v>
      </c>
    </row>
    <row r="267" spans="1:10" ht="23.25" customHeight="1">
      <c r="A267">
        <f>Table4[[#This Row],[Column1]]</f>
        <v>0</v>
      </c>
      <c r="B267">
        <f>Table4[[#This Row],[Column2]]</f>
        <v>0</v>
      </c>
      <c r="H267" s="9">
        <f>Table13[[#This Row],[dicharge_date]]</f>
        <v>0</v>
      </c>
      <c r="I267" s="13" t="str">
        <f t="shared" si="14"/>
        <v/>
      </c>
      <c r="J267" s="9">
        <f t="shared" si="15"/>
        <v>30</v>
      </c>
    </row>
    <row r="268" spans="1:10" ht="23.25" customHeight="1">
      <c r="A268">
        <f>Table4[[#This Row],[Column1]]</f>
        <v>0</v>
      </c>
      <c r="B268">
        <f>Table4[[#This Row],[Column2]]</f>
        <v>0</v>
      </c>
      <c r="H268" s="9">
        <f>Table13[[#This Row],[dicharge_date]]</f>
        <v>0</v>
      </c>
      <c r="I268" s="13" t="str">
        <f t="shared" si="14"/>
        <v/>
      </c>
      <c r="J268" s="9">
        <f t="shared" si="15"/>
        <v>30</v>
      </c>
    </row>
    <row r="269" spans="1:10" ht="23.25" customHeight="1">
      <c r="A269">
        <f>Table4[[#This Row],[Column1]]</f>
        <v>0</v>
      </c>
      <c r="B269">
        <f>Table4[[#This Row],[Column2]]</f>
        <v>0</v>
      </c>
      <c r="H269" s="9">
        <f>Table13[[#This Row],[dicharge_date]]</f>
        <v>0</v>
      </c>
      <c r="I269" s="13" t="str">
        <f t="shared" si="14"/>
        <v/>
      </c>
      <c r="J269" s="9">
        <f t="shared" si="15"/>
        <v>30</v>
      </c>
    </row>
    <row r="270" spans="1:10" ht="23.25" customHeight="1">
      <c r="A270">
        <f>Table4[[#This Row],[Column1]]</f>
        <v>0</v>
      </c>
      <c r="B270">
        <f>Table4[[#This Row],[Column2]]</f>
        <v>0</v>
      </c>
      <c r="H270" s="9">
        <f>Table13[[#This Row],[dicharge_date]]</f>
        <v>0</v>
      </c>
      <c r="I270" s="13" t="str">
        <f t="shared" si="14"/>
        <v/>
      </c>
      <c r="J270" s="9">
        <f t="shared" si="15"/>
        <v>30</v>
      </c>
    </row>
    <row r="271" spans="1:10" ht="23.25" customHeight="1">
      <c r="A271">
        <f>Table4[[#This Row],[Column1]]</f>
        <v>0</v>
      </c>
      <c r="B271">
        <f>Table4[[#This Row],[Column2]]</f>
        <v>0</v>
      </c>
      <c r="H271" s="9">
        <f>Table13[[#This Row],[dicharge_date]]</f>
        <v>0</v>
      </c>
      <c r="I271" s="13" t="str">
        <f t="shared" si="14"/>
        <v/>
      </c>
      <c r="J271" s="9">
        <f t="shared" si="15"/>
        <v>30</v>
      </c>
    </row>
    <row r="272" spans="1:10" ht="23.25" customHeight="1">
      <c r="A272">
        <f>Table4[[#This Row],[Column1]]</f>
        <v>0</v>
      </c>
      <c r="B272">
        <f>Table4[[#This Row],[Column2]]</f>
        <v>0</v>
      </c>
      <c r="H272" s="9">
        <f>Table13[[#This Row],[dicharge_date]]</f>
        <v>0</v>
      </c>
      <c r="I272" s="13" t="str">
        <f t="shared" si="14"/>
        <v/>
      </c>
      <c r="J272" s="9">
        <f t="shared" si="15"/>
        <v>30</v>
      </c>
    </row>
    <row r="273" spans="1:10" ht="23.25" customHeight="1">
      <c r="A273">
        <f>Table4[[#This Row],[Column1]]</f>
        <v>0</v>
      </c>
      <c r="B273">
        <f>Table4[[#This Row],[Column2]]</f>
        <v>0</v>
      </c>
      <c r="H273" s="9">
        <f>Table13[[#This Row],[dicharge_date]]</f>
        <v>0</v>
      </c>
      <c r="I273" s="13" t="str">
        <f t="shared" si="14"/>
        <v/>
      </c>
      <c r="J273" s="9">
        <f t="shared" si="15"/>
        <v>30</v>
      </c>
    </row>
    <row r="274" spans="1:10" ht="23.25" customHeight="1">
      <c r="A274">
        <f>Table4[[#This Row],[Column1]]</f>
        <v>0</v>
      </c>
      <c r="B274">
        <f>Table4[[#This Row],[Column2]]</f>
        <v>0</v>
      </c>
      <c r="H274" s="9">
        <f>Table13[[#This Row],[dicharge_date]]</f>
        <v>0</v>
      </c>
      <c r="I274" s="13" t="str">
        <f t="shared" si="14"/>
        <v/>
      </c>
      <c r="J274" s="9">
        <f t="shared" si="15"/>
        <v>30</v>
      </c>
    </row>
    <row r="275" spans="1:10" ht="23.25" customHeight="1">
      <c r="A275">
        <f>Table4[[#This Row],[Column1]]</f>
        <v>0</v>
      </c>
      <c r="B275">
        <f>Table4[[#This Row],[Column2]]</f>
        <v>0</v>
      </c>
      <c r="H275" s="9">
        <f>Table13[[#This Row],[dicharge_date]]</f>
        <v>0</v>
      </c>
      <c r="I275" s="13" t="str">
        <f t="shared" si="14"/>
        <v/>
      </c>
      <c r="J275" s="9">
        <f t="shared" si="15"/>
        <v>30</v>
      </c>
    </row>
    <row r="276" spans="1:10" ht="23.25" customHeight="1">
      <c r="A276">
        <f>Table4[[#This Row],[Column1]]</f>
        <v>0</v>
      </c>
      <c r="B276">
        <f>Table4[[#This Row],[Column2]]</f>
        <v>0</v>
      </c>
      <c r="H276" s="9">
        <f>Table13[[#This Row],[dicharge_date]]</f>
        <v>0</v>
      </c>
      <c r="I276" s="13" t="str">
        <f t="shared" si="14"/>
        <v/>
      </c>
      <c r="J276" s="9">
        <f t="shared" si="15"/>
        <v>30</v>
      </c>
    </row>
    <row r="277" spans="1:10" ht="23.25" customHeight="1">
      <c r="A277">
        <f>Table4[[#This Row],[Column1]]</f>
        <v>0</v>
      </c>
      <c r="B277">
        <f>Table4[[#This Row],[Column2]]</f>
        <v>0</v>
      </c>
      <c r="H277" s="9">
        <f>Table13[[#This Row],[dicharge_date]]</f>
        <v>0</v>
      </c>
      <c r="I277" s="13" t="str">
        <f t="shared" si="14"/>
        <v/>
      </c>
      <c r="J277" s="9">
        <f t="shared" si="15"/>
        <v>30</v>
      </c>
    </row>
    <row r="278" spans="1:10" ht="23.25" customHeight="1">
      <c r="A278">
        <f>Table4[[#This Row],[Column1]]</f>
        <v>0</v>
      </c>
      <c r="B278">
        <f>Table4[[#This Row],[Column2]]</f>
        <v>0</v>
      </c>
      <c r="H278" s="9">
        <f>Table13[[#This Row],[dicharge_date]]</f>
        <v>0</v>
      </c>
      <c r="I278" s="13" t="str">
        <f t="shared" si="14"/>
        <v/>
      </c>
      <c r="J278" s="9">
        <f t="shared" si="15"/>
        <v>30</v>
      </c>
    </row>
    <row r="279" spans="1:10" ht="23.25" customHeight="1">
      <c r="A279">
        <f>Table4[[#This Row],[Column1]]</f>
        <v>0</v>
      </c>
      <c r="B279">
        <f>Table4[[#This Row],[Column2]]</f>
        <v>0</v>
      </c>
      <c r="H279" s="9">
        <f>Table13[[#This Row],[dicharge_date]]</f>
        <v>0</v>
      </c>
      <c r="I279" s="13" t="str">
        <f t="shared" si="14"/>
        <v/>
      </c>
      <c r="J279" s="9">
        <f t="shared" si="15"/>
        <v>30</v>
      </c>
    </row>
    <row r="280" spans="1:10" ht="23.25" customHeight="1">
      <c r="A280">
        <f>Table4[[#This Row],[Column1]]</f>
        <v>0</v>
      </c>
      <c r="B280">
        <f>Table4[[#This Row],[Column2]]</f>
        <v>0</v>
      </c>
      <c r="H280" s="9">
        <f>Table13[[#This Row],[dicharge_date]]</f>
        <v>0</v>
      </c>
      <c r="I280" s="13" t="str">
        <f t="shared" si="14"/>
        <v/>
      </c>
      <c r="J280" s="9">
        <f t="shared" si="15"/>
        <v>30</v>
      </c>
    </row>
    <row r="281" spans="1:10" ht="23.25" customHeight="1">
      <c r="A281">
        <f>Table4[[#This Row],[Column1]]</f>
        <v>0</v>
      </c>
      <c r="B281">
        <f>Table4[[#This Row],[Column2]]</f>
        <v>0</v>
      </c>
      <c r="H281" s="9">
        <f>Table13[[#This Row],[dicharge_date]]</f>
        <v>0</v>
      </c>
      <c r="I281" s="13" t="str">
        <f t="shared" si="14"/>
        <v/>
      </c>
      <c r="J281" s="9">
        <f t="shared" si="15"/>
        <v>30</v>
      </c>
    </row>
    <row r="282" spans="1:10" ht="23.25" customHeight="1">
      <c r="A282">
        <f>Table4[[#This Row],[Column1]]</f>
        <v>0</v>
      </c>
      <c r="B282">
        <f>Table4[[#This Row],[Column2]]</f>
        <v>0</v>
      </c>
      <c r="H282" s="9">
        <f>Table13[[#This Row],[dicharge_date]]</f>
        <v>0</v>
      </c>
      <c r="I282" s="13" t="str">
        <f t="shared" si="14"/>
        <v/>
      </c>
      <c r="J282" s="9">
        <f t="shared" si="15"/>
        <v>30</v>
      </c>
    </row>
    <row r="283" spans="1:10" ht="23.25" customHeight="1">
      <c r="A283">
        <f>Table4[[#This Row],[Column1]]</f>
        <v>0</v>
      </c>
      <c r="B283">
        <f>Table4[[#This Row],[Column2]]</f>
        <v>0</v>
      </c>
      <c r="H283" s="9">
        <f>Table13[[#This Row],[dicharge_date]]</f>
        <v>0</v>
      </c>
      <c r="I283" s="13" t="str">
        <f t="shared" si="14"/>
        <v/>
      </c>
      <c r="J283" s="9">
        <f t="shared" si="15"/>
        <v>30</v>
      </c>
    </row>
    <row r="284" spans="1:10" ht="23.25" customHeight="1">
      <c r="A284">
        <f>Table4[[#This Row],[Column1]]</f>
        <v>0</v>
      </c>
      <c r="B284">
        <f>Table4[[#This Row],[Column2]]</f>
        <v>0</v>
      </c>
      <c r="H284" s="9">
        <f>Table13[[#This Row],[dicharge_date]]</f>
        <v>0</v>
      </c>
      <c r="I284" s="13" t="str">
        <f t="shared" si="14"/>
        <v/>
      </c>
      <c r="J284" s="9">
        <f t="shared" si="15"/>
        <v>30</v>
      </c>
    </row>
    <row r="285" spans="1:10" ht="23.25" customHeight="1">
      <c r="A285">
        <f>Table4[[#This Row],[Column1]]</f>
        <v>0</v>
      </c>
      <c r="B285">
        <f>Table4[[#This Row],[Column2]]</f>
        <v>0</v>
      </c>
      <c r="H285" s="9">
        <f>Table13[[#This Row],[dicharge_date]]</f>
        <v>0</v>
      </c>
      <c r="I285" s="13" t="str">
        <f t="shared" si="14"/>
        <v/>
      </c>
      <c r="J285" s="9">
        <f t="shared" si="15"/>
        <v>30</v>
      </c>
    </row>
    <row r="286" spans="1:10" ht="23.25" customHeight="1">
      <c r="A286">
        <f>Table4[[#This Row],[Column1]]</f>
        <v>0</v>
      </c>
      <c r="B286">
        <f>Table4[[#This Row],[Column2]]</f>
        <v>0</v>
      </c>
      <c r="H286" s="9">
        <f>Table13[[#This Row],[dicharge_date]]</f>
        <v>0</v>
      </c>
      <c r="I286" s="13" t="str">
        <f t="shared" si="14"/>
        <v/>
      </c>
      <c r="J286" s="9">
        <f t="shared" si="15"/>
        <v>30</v>
      </c>
    </row>
    <row r="287" spans="1:10" ht="23.25" customHeight="1">
      <c r="A287">
        <f>Table4[[#This Row],[Column1]]</f>
        <v>0</v>
      </c>
      <c r="B287">
        <f>Table4[[#This Row],[Column2]]</f>
        <v>0</v>
      </c>
      <c r="H287" s="9">
        <f>Table13[[#This Row],[dicharge_date]]</f>
        <v>0</v>
      </c>
      <c r="I287" s="13" t="str">
        <f t="shared" si="14"/>
        <v/>
      </c>
      <c r="J287" s="9">
        <f t="shared" si="15"/>
        <v>30</v>
      </c>
    </row>
    <row r="288" spans="1:10" ht="23.25" customHeight="1">
      <c r="A288">
        <f>Table4[[#This Row],[Column1]]</f>
        <v>0</v>
      </c>
      <c r="B288">
        <f>Table4[[#This Row],[Column2]]</f>
        <v>0</v>
      </c>
      <c r="H288" s="9">
        <f>Table13[[#This Row],[dicharge_date]]</f>
        <v>0</v>
      </c>
      <c r="I288" s="13" t="str">
        <f t="shared" si="14"/>
        <v/>
      </c>
      <c r="J288" s="9">
        <f t="shared" si="15"/>
        <v>30</v>
      </c>
    </row>
    <row r="289" spans="1:10" ht="23.25" customHeight="1">
      <c r="A289">
        <f>Table4[[#This Row],[Column1]]</f>
        <v>0</v>
      </c>
      <c r="B289">
        <f>Table4[[#This Row],[Column2]]</f>
        <v>0</v>
      </c>
      <c r="H289" s="9">
        <f>Table13[[#This Row],[dicharge_date]]</f>
        <v>0</v>
      </c>
      <c r="I289" s="13" t="str">
        <f t="shared" si="14"/>
        <v/>
      </c>
      <c r="J289" s="9">
        <f t="shared" si="15"/>
        <v>30</v>
      </c>
    </row>
    <row r="290" spans="1:10" ht="23.25" customHeight="1">
      <c r="A290">
        <f>Table4[[#This Row],[Column1]]</f>
        <v>0</v>
      </c>
      <c r="B290">
        <f>Table4[[#This Row],[Column2]]</f>
        <v>0</v>
      </c>
      <c r="H290" s="9">
        <f>Table13[[#This Row],[dicharge_date]]</f>
        <v>0</v>
      </c>
      <c r="I290" s="13" t="str">
        <f t="shared" si="14"/>
        <v/>
      </c>
      <c r="J290" s="9">
        <f t="shared" si="15"/>
        <v>30</v>
      </c>
    </row>
    <row r="291" spans="1:10" ht="23.25" customHeight="1">
      <c r="A291">
        <f>Table4[[#This Row],[Column1]]</f>
        <v>0</v>
      </c>
      <c r="B291">
        <f>Table4[[#This Row],[Column2]]</f>
        <v>0</v>
      </c>
      <c r="H291" s="9">
        <f>Table13[[#This Row],[dicharge_date]]</f>
        <v>0</v>
      </c>
      <c r="I291" s="13" t="str">
        <f t="shared" si="14"/>
        <v/>
      </c>
      <c r="J291" s="9">
        <f t="shared" si="15"/>
        <v>30</v>
      </c>
    </row>
    <row r="292" spans="1:10" ht="23.25" customHeight="1">
      <c r="A292">
        <f>Table4[[#This Row],[Column1]]</f>
        <v>0</v>
      </c>
      <c r="B292">
        <f>Table4[[#This Row],[Column2]]</f>
        <v>0</v>
      </c>
      <c r="H292" s="9">
        <f>Table13[[#This Row],[dicharge_date]]</f>
        <v>0</v>
      </c>
      <c r="I292" s="13" t="str">
        <f t="shared" si="14"/>
        <v/>
      </c>
      <c r="J292" s="9">
        <f t="shared" si="15"/>
        <v>30</v>
      </c>
    </row>
    <row r="293" spans="1:10" ht="23.25" customHeight="1">
      <c r="A293">
        <f>Table4[[#This Row],[Column1]]</f>
        <v>0</v>
      </c>
      <c r="B293">
        <f>Table4[[#This Row],[Column2]]</f>
        <v>0</v>
      </c>
      <c r="H293" s="9">
        <f>Table13[[#This Row],[dicharge_date]]</f>
        <v>0</v>
      </c>
      <c r="I293" s="13" t="str">
        <f t="shared" si="14"/>
        <v/>
      </c>
      <c r="J293" s="9">
        <f t="shared" si="15"/>
        <v>30</v>
      </c>
    </row>
    <row r="294" spans="1:10" ht="23.25" customHeight="1">
      <c r="A294">
        <f>Table4[[#This Row],[Column1]]</f>
        <v>0</v>
      </c>
      <c r="B294">
        <f>Table4[[#This Row],[Column2]]</f>
        <v>0</v>
      </c>
      <c r="H294" s="9">
        <f>Table13[[#This Row],[dicharge_date]]</f>
        <v>0</v>
      </c>
      <c r="I294" s="13" t="str">
        <f t="shared" si="14"/>
        <v/>
      </c>
      <c r="J294" s="9">
        <f t="shared" si="15"/>
        <v>30</v>
      </c>
    </row>
    <row r="295" spans="1:10" ht="23.25" customHeight="1">
      <c r="A295">
        <f>Table4[[#This Row],[Column1]]</f>
        <v>0</v>
      </c>
      <c r="B295">
        <f>Table4[[#This Row],[Column2]]</f>
        <v>0</v>
      </c>
      <c r="H295" s="9">
        <f>Table13[[#This Row],[dicharge_date]]</f>
        <v>0</v>
      </c>
      <c r="I295" s="13" t="str">
        <f t="shared" ref="I295:I358" si="16">IF( E295&lt;&gt;"", H295-E295,"")</f>
        <v/>
      </c>
      <c r="J295" s="9">
        <f t="shared" si="15"/>
        <v>30</v>
      </c>
    </row>
    <row r="296" spans="1:10" ht="23.25" customHeight="1">
      <c r="A296">
        <f>Table4[[#This Row],[Column1]]</f>
        <v>0</v>
      </c>
      <c r="B296">
        <f>Table4[[#This Row],[Column2]]</f>
        <v>0</v>
      </c>
      <c r="H296" s="9">
        <f>Table13[[#This Row],[dicharge_date]]</f>
        <v>0</v>
      </c>
      <c r="I296" s="13" t="str">
        <f t="shared" si="16"/>
        <v/>
      </c>
      <c r="J296" s="9">
        <f t="shared" si="15"/>
        <v>30</v>
      </c>
    </row>
    <row r="297" spans="1:10" ht="23.25" customHeight="1">
      <c r="A297">
        <f>Table4[[#This Row],[Column1]]</f>
        <v>0</v>
      </c>
      <c r="B297">
        <f>Table4[[#This Row],[Column2]]</f>
        <v>0</v>
      </c>
      <c r="H297" s="9">
        <f>Table13[[#This Row],[dicharge_date]]</f>
        <v>0</v>
      </c>
      <c r="I297" s="13" t="str">
        <f t="shared" si="16"/>
        <v/>
      </c>
      <c r="J297" s="9">
        <f t="shared" si="15"/>
        <v>30</v>
      </c>
    </row>
    <row r="298" spans="1:10" ht="23.25" customHeight="1">
      <c r="A298">
        <f>Table4[[#This Row],[Column1]]</f>
        <v>0</v>
      </c>
      <c r="B298">
        <f>Table4[[#This Row],[Column2]]</f>
        <v>0</v>
      </c>
      <c r="H298" s="9">
        <f>Table13[[#This Row],[dicharge_date]]</f>
        <v>0</v>
      </c>
      <c r="I298" s="13" t="str">
        <f t="shared" si="16"/>
        <v/>
      </c>
      <c r="J298" s="9">
        <f t="shared" si="15"/>
        <v>30</v>
      </c>
    </row>
    <row r="299" spans="1:10" ht="23.25" customHeight="1">
      <c r="A299">
        <f>Table4[[#This Row],[Column1]]</f>
        <v>0</v>
      </c>
      <c r="B299">
        <f>Table4[[#This Row],[Column2]]</f>
        <v>0</v>
      </c>
      <c r="H299" s="9">
        <f>Table13[[#This Row],[dicharge_date]]</f>
        <v>0</v>
      </c>
      <c r="I299" s="13" t="str">
        <f t="shared" si="16"/>
        <v/>
      </c>
      <c r="J299" s="9">
        <f t="shared" si="15"/>
        <v>30</v>
      </c>
    </row>
    <row r="300" spans="1:10" ht="23.25" customHeight="1">
      <c r="A300">
        <f>Table4[[#This Row],[Column1]]</f>
        <v>0</v>
      </c>
      <c r="B300">
        <f>Table4[[#This Row],[Column2]]</f>
        <v>0</v>
      </c>
      <c r="H300" s="9">
        <f>Table13[[#This Row],[dicharge_date]]</f>
        <v>0</v>
      </c>
      <c r="I300" s="13" t="str">
        <f t="shared" si="16"/>
        <v/>
      </c>
      <c r="J300" s="9">
        <f t="shared" si="15"/>
        <v>30</v>
      </c>
    </row>
    <row r="301" spans="1:10" ht="23.25" customHeight="1">
      <c r="A301">
        <f>Table4[[#This Row],[Column1]]</f>
        <v>0</v>
      </c>
      <c r="B301">
        <f>Table4[[#This Row],[Column2]]</f>
        <v>0</v>
      </c>
      <c r="H301" s="9">
        <f>Table13[[#This Row],[dicharge_date]]</f>
        <v>0</v>
      </c>
      <c r="I301" s="13" t="str">
        <f t="shared" si="16"/>
        <v/>
      </c>
      <c r="J301" s="9">
        <f t="shared" si="15"/>
        <v>30</v>
      </c>
    </row>
    <row r="302" spans="1:10" ht="23.25" customHeight="1">
      <c r="A302">
        <f>Table4[[#This Row],[Column1]]</f>
        <v>0</v>
      </c>
      <c r="B302">
        <f>Table4[[#This Row],[Column2]]</f>
        <v>0</v>
      </c>
      <c r="H302" s="9">
        <f>Table13[[#This Row],[dicharge_date]]</f>
        <v>0</v>
      </c>
      <c r="I302" s="13" t="str">
        <f t="shared" si="16"/>
        <v/>
      </c>
      <c r="J302" s="9">
        <f t="shared" si="15"/>
        <v>30</v>
      </c>
    </row>
    <row r="303" spans="1:10" ht="23.25" customHeight="1">
      <c r="A303">
        <f>Table4[[#This Row],[Column1]]</f>
        <v>0</v>
      </c>
      <c r="B303">
        <f>Table4[[#This Row],[Column2]]</f>
        <v>0</v>
      </c>
      <c r="H303" s="9">
        <f>Table13[[#This Row],[dicharge_date]]</f>
        <v>0</v>
      </c>
      <c r="I303" s="13" t="str">
        <f t="shared" si="16"/>
        <v/>
      </c>
      <c r="J303" s="9">
        <f t="shared" si="15"/>
        <v>30</v>
      </c>
    </row>
    <row r="304" spans="1:10" ht="23.25" customHeight="1">
      <c r="A304">
        <f>Table4[[#This Row],[Column1]]</f>
        <v>0</v>
      </c>
      <c r="B304">
        <f>Table4[[#This Row],[Column2]]</f>
        <v>0</v>
      </c>
      <c r="H304" s="9">
        <f>Table13[[#This Row],[dicharge_date]]</f>
        <v>0</v>
      </c>
      <c r="I304" s="13" t="str">
        <f t="shared" si="16"/>
        <v/>
      </c>
      <c r="J304" s="9">
        <f t="shared" si="15"/>
        <v>30</v>
      </c>
    </row>
    <row r="305" spans="1:10" ht="23.25" customHeight="1">
      <c r="A305">
        <f>Table4[[#This Row],[Column1]]</f>
        <v>0</v>
      </c>
      <c r="B305">
        <f>Table4[[#This Row],[Column2]]</f>
        <v>0</v>
      </c>
      <c r="H305" s="9">
        <f>Table13[[#This Row],[dicharge_date]]</f>
        <v>0</v>
      </c>
      <c r="I305" s="13" t="str">
        <f t="shared" si="16"/>
        <v/>
      </c>
      <c r="J305" s="9">
        <f t="shared" si="15"/>
        <v>30</v>
      </c>
    </row>
    <row r="306" spans="1:10" ht="23.25" customHeight="1">
      <c r="A306">
        <f>Table4[[#This Row],[Column1]]</f>
        <v>0</v>
      </c>
      <c r="B306">
        <f>Table4[[#This Row],[Column2]]</f>
        <v>0</v>
      </c>
      <c r="H306" s="9">
        <f>Table13[[#This Row],[dicharge_date]]</f>
        <v>0</v>
      </c>
      <c r="I306" s="13" t="str">
        <f t="shared" si="16"/>
        <v/>
      </c>
      <c r="J306" s="9">
        <f t="shared" si="15"/>
        <v>30</v>
      </c>
    </row>
    <row r="307" spans="1:10" ht="23.25" customHeight="1">
      <c r="A307">
        <f>Table4[[#This Row],[Column1]]</f>
        <v>0</v>
      </c>
      <c r="B307">
        <f>Table4[[#This Row],[Column2]]</f>
        <v>0</v>
      </c>
      <c r="H307" s="9">
        <f>Table13[[#This Row],[dicharge_date]]</f>
        <v>0</v>
      </c>
      <c r="I307" s="13" t="str">
        <f t="shared" si="16"/>
        <v/>
      </c>
      <c r="J307" s="9">
        <f t="shared" si="15"/>
        <v>30</v>
      </c>
    </row>
    <row r="308" spans="1:10" ht="23.25" customHeight="1">
      <c r="A308">
        <f>Table4[[#This Row],[Column1]]</f>
        <v>0</v>
      </c>
      <c r="B308">
        <f>Table4[[#This Row],[Column2]]</f>
        <v>0</v>
      </c>
      <c r="H308" s="9">
        <f>Table13[[#This Row],[dicharge_date]]</f>
        <v>0</v>
      </c>
      <c r="I308" s="13" t="str">
        <f t="shared" si="16"/>
        <v/>
      </c>
      <c r="J308" s="9">
        <f t="shared" si="15"/>
        <v>30</v>
      </c>
    </row>
    <row r="309" spans="1:10" ht="23.25" customHeight="1">
      <c r="A309">
        <f>Table4[[#This Row],[Column1]]</f>
        <v>0</v>
      </c>
      <c r="B309">
        <f>Table4[[#This Row],[Column2]]</f>
        <v>0</v>
      </c>
      <c r="H309" s="9">
        <f>Table13[[#This Row],[dicharge_date]]</f>
        <v>0</v>
      </c>
      <c r="I309" s="13" t="str">
        <f t="shared" si="16"/>
        <v/>
      </c>
      <c r="J309" s="9">
        <f t="shared" si="15"/>
        <v>30</v>
      </c>
    </row>
    <row r="310" spans="1:10" ht="23.25" customHeight="1">
      <c r="A310">
        <f>Table4[[#This Row],[Column1]]</f>
        <v>0</v>
      </c>
      <c r="B310">
        <f>Table4[[#This Row],[Column2]]</f>
        <v>0</v>
      </c>
      <c r="H310" s="9">
        <f>Table13[[#This Row],[dicharge_date]]</f>
        <v>0</v>
      </c>
      <c r="I310" s="13" t="str">
        <f t="shared" si="16"/>
        <v/>
      </c>
      <c r="J310" s="9">
        <f t="shared" si="15"/>
        <v>30</v>
      </c>
    </row>
    <row r="311" spans="1:10" ht="23.25" customHeight="1">
      <c r="A311">
        <f>Table4[[#This Row],[Column1]]</f>
        <v>0</v>
      </c>
      <c r="B311">
        <f>Table4[[#This Row],[Column2]]</f>
        <v>0</v>
      </c>
      <c r="H311" s="9">
        <f>Table13[[#This Row],[dicharge_date]]</f>
        <v>0</v>
      </c>
      <c r="I311" s="13" t="str">
        <f t="shared" si="16"/>
        <v/>
      </c>
      <c r="J311" s="9">
        <f t="shared" si="15"/>
        <v>30</v>
      </c>
    </row>
    <row r="312" spans="1:10" ht="23.25" customHeight="1">
      <c r="A312">
        <f>Table4[[#This Row],[Column1]]</f>
        <v>0</v>
      </c>
      <c r="B312">
        <f>Table4[[#This Row],[Column2]]</f>
        <v>0</v>
      </c>
      <c r="H312" s="9">
        <f>Table13[[#This Row],[dicharge_date]]</f>
        <v>0</v>
      </c>
      <c r="I312" s="13" t="str">
        <f t="shared" si="16"/>
        <v/>
      </c>
      <c r="J312" s="9">
        <f t="shared" si="15"/>
        <v>30</v>
      </c>
    </row>
    <row r="313" spans="1:10" ht="23.25" customHeight="1">
      <c r="A313">
        <f>Table4[[#This Row],[Column1]]</f>
        <v>0</v>
      </c>
      <c r="B313">
        <f>Table4[[#This Row],[Column2]]</f>
        <v>0</v>
      </c>
      <c r="H313" s="9">
        <f>Table13[[#This Row],[dicharge_date]]</f>
        <v>0</v>
      </c>
      <c r="I313" s="13" t="str">
        <f t="shared" si="16"/>
        <v/>
      </c>
      <c r="J313" s="9">
        <f t="shared" si="15"/>
        <v>30</v>
      </c>
    </row>
    <row r="314" spans="1:10" ht="23.25" customHeight="1">
      <c r="A314">
        <f>Table4[[#This Row],[Column1]]</f>
        <v>0</v>
      </c>
      <c r="B314">
        <f>Table4[[#This Row],[Column2]]</f>
        <v>0</v>
      </c>
      <c r="H314" s="9">
        <f>Table13[[#This Row],[dicharge_date]]</f>
        <v>0</v>
      </c>
      <c r="I314" s="13" t="str">
        <f t="shared" si="16"/>
        <v/>
      </c>
      <c r="J314" s="9">
        <f t="shared" si="15"/>
        <v>30</v>
      </c>
    </row>
    <row r="315" spans="1:10" ht="23.25" customHeight="1">
      <c r="A315">
        <f>Table4[[#This Row],[Column1]]</f>
        <v>0</v>
      </c>
      <c r="B315">
        <f>Table4[[#This Row],[Column2]]</f>
        <v>0</v>
      </c>
      <c r="H315" s="9">
        <f>Table13[[#This Row],[dicharge_date]]</f>
        <v>0</v>
      </c>
      <c r="I315" s="13" t="str">
        <f t="shared" si="16"/>
        <v/>
      </c>
      <c r="J315" s="9">
        <f t="shared" si="15"/>
        <v>30</v>
      </c>
    </row>
    <row r="316" spans="1:10" ht="23.25" customHeight="1">
      <c r="A316">
        <f>Table4[[#This Row],[Column1]]</f>
        <v>0</v>
      </c>
      <c r="B316">
        <f>Table4[[#This Row],[Column2]]</f>
        <v>0</v>
      </c>
      <c r="H316" s="9">
        <f>Table13[[#This Row],[dicharge_date]]</f>
        <v>0</v>
      </c>
      <c r="I316" s="13" t="str">
        <f t="shared" si="16"/>
        <v/>
      </c>
      <c r="J316" s="9">
        <f t="shared" si="15"/>
        <v>30</v>
      </c>
    </row>
    <row r="317" spans="1:10" ht="23.25" customHeight="1">
      <c r="A317">
        <f>Table4[[#This Row],[Column1]]</f>
        <v>0</v>
      </c>
      <c r="B317">
        <f>Table4[[#This Row],[Column2]]</f>
        <v>0</v>
      </c>
      <c r="H317" s="9">
        <f>Table13[[#This Row],[dicharge_date]]</f>
        <v>0</v>
      </c>
      <c r="I317" s="13" t="str">
        <f t="shared" si="16"/>
        <v/>
      </c>
      <c r="J317" s="9">
        <f t="shared" si="15"/>
        <v>30</v>
      </c>
    </row>
    <row r="318" spans="1:10" ht="23.25" customHeight="1">
      <c r="A318">
        <f>Table4[[#This Row],[Column1]]</f>
        <v>0</v>
      </c>
      <c r="B318">
        <f>Table4[[#This Row],[Column2]]</f>
        <v>0</v>
      </c>
      <c r="H318" s="9">
        <f>Table13[[#This Row],[dicharge_date]]</f>
        <v>0</v>
      </c>
      <c r="I318" s="13" t="str">
        <f t="shared" si="16"/>
        <v/>
      </c>
      <c r="J318" s="9">
        <f t="shared" si="15"/>
        <v>30</v>
      </c>
    </row>
    <row r="319" spans="1:10" ht="23.25" customHeight="1">
      <c r="A319">
        <f>Table4[[#This Row],[Column1]]</f>
        <v>0</v>
      </c>
      <c r="B319">
        <f>Table4[[#This Row],[Column2]]</f>
        <v>0</v>
      </c>
      <c r="H319" s="9">
        <f>Table13[[#This Row],[dicharge_date]]</f>
        <v>0</v>
      </c>
      <c r="I319" s="13" t="str">
        <f t="shared" si="16"/>
        <v/>
      </c>
      <c r="J319" s="9">
        <f t="shared" si="15"/>
        <v>30</v>
      </c>
    </row>
    <row r="320" spans="1:10" ht="23.25" customHeight="1">
      <c r="A320">
        <f>Table4[[#This Row],[Column1]]</f>
        <v>0</v>
      </c>
      <c r="B320">
        <f>Table4[[#This Row],[Column2]]</f>
        <v>0</v>
      </c>
      <c r="H320" s="9">
        <f>Table13[[#This Row],[dicharge_date]]</f>
        <v>0</v>
      </c>
      <c r="I320" s="13" t="str">
        <f t="shared" si="16"/>
        <v/>
      </c>
      <c r="J320" s="9">
        <f t="shared" si="15"/>
        <v>30</v>
      </c>
    </row>
    <row r="321" spans="1:10" ht="23.25" customHeight="1">
      <c r="A321">
        <f>Table4[[#This Row],[Column1]]</f>
        <v>0</v>
      </c>
      <c r="B321">
        <f>Table4[[#This Row],[Column2]]</f>
        <v>0</v>
      </c>
      <c r="H321" s="9">
        <f>Table13[[#This Row],[dicharge_date]]</f>
        <v>0</v>
      </c>
      <c r="I321" s="13" t="str">
        <f t="shared" si="16"/>
        <v/>
      </c>
      <c r="J321" s="9">
        <f t="shared" si="15"/>
        <v>30</v>
      </c>
    </row>
    <row r="322" spans="1:10" ht="23.25" customHeight="1">
      <c r="A322">
        <f>Table4[[#This Row],[Column1]]</f>
        <v>0</v>
      </c>
      <c r="B322">
        <f>Table4[[#This Row],[Column2]]</f>
        <v>0</v>
      </c>
      <c r="H322" s="9">
        <f>Table13[[#This Row],[dicharge_date]]</f>
        <v>0</v>
      </c>
      <c r="I322" s="13" t="str">
        <f t="shared" si="16"/>
        <v/>
      </c>
      <c r="J322" s="9">
        <f t="shared" ref="J322:J385" si="17">IF( H322&lt;&gt;"", H322+30,"")</f>
        <v>30</v>
      </c>
    </row>
    <row r="323" spans="1:10" ht="23.25" customHeight="1">
      <c r="A323">
        <f>Table4[[#This Row],[Column1]]</f>
        <v>0</v>
      </c>
      <c r="B323">
        <f>Table4[[#This Row],[Column2]]</f>
        <v>0</v>
      </c>
      <c r="H323" s="9">
        <f>Table13[[#This Row],[dicharge_date]]</f>
        <v>0</v>
      </c>
      <c r="I323" s="13" t="str">
        <f t="shared" si="16"/>
        <v/>
      </c>
      <c r="J323" s="9">
        <f t="shared" si="17"/>
        <v>30</v>
      </c>
    </row>
    <row r="324" spans="1:10" ht="23.25" customHeight="1">
      <c r="A324">
        <f>Table4[[#This Row],[Column1]]</f>
        <v>0</v>
      </c>
      <c r="B324">
        <f>Table4[[#This Row],[Column2]]</f>
        <v>0</v>
      </c>
      <c r="H324" s="9">
        <f>Table13[[#This Row],[dicharge_date]]</f>
        <v>0</v>
      </c>
      <c r="I324" s="13" t="str">
        <f t="shared" si="16"/>
        <v/>
      </c>
      <c r="J324" s="9">
        <f t="shared" si="17"/>
        <v>30</v>
      </c>
    </row>
    <row r="325" spans="1:10" ht="23.25" customHeight="1">
      <c r="A325">
        <f>Table4[[#This Row],[Column1]]</f>
        <v>0</v>
      </c>
      <c r="B325">
        <f>Table4[[#This Row],[Column2]]</f>
        <v>0</v>
      </c>
      <c r="H325" s="9">
        <f>Table13[[#This Row],[dicharge_date]]</f>
        <v>0</v>
      </c>
      <c r="I325" s="13" t="str">
        <f t="shared" si="16"/>
        <v/>
      </c>
      <c r="J325" s="9">
        <f t="shared" si="17"/>
        <v>30</v>
      </c>
    </row>
    <row r="326" spans="1:10" ht="23.25" customHeight="1">
      <c r="A326">
        <f>Table4[[#This Row],[Column1]]</f>
        <v>0</v>
      </c>
      <c r="B326">
        <f>Table4[[#This Row],[Column2]]</f>
        <v>0</v>
      </c>
      <c r="H326" s="9">
        <f>Table13[[#This Row],[dicharge_date]]</f>
        <v>0</v>
      </c>
      <c r="I326" s="13" t="str">
        <f t="shared" si="16"/>
        <v/>
      </c>
      <c r="J326" s="9">
        <f t="shared" si="17"/>
        <v>30</v>
      </c>
    </row>
    <row r="327" spans="1:10" ht="23.25" customHeight="1">
      <c r="A327">
        <f>Table4[[#This Row],[Column1]]</f>
        <v>0</v>
      </c>
      <c r="B327">
        <f>Table4[[#This Row],[Column2]]</f>
        <v>0</v>
      </c>
      <c r="H327" s="9">
        <f>Table13[[#This Row],[dicharge_date]]</f>
        <v>0</v>
      </c>
      <c r="I327" s="13" t="str">
        <f t="shared" si="16"/>
        <v/>
      </c>
      <c r="J327" s="9">
        <f t="shared" si="17"/>
        <v>30</v>
      </c>
    </row>
    <row r="328" spans="1:10" ht="23.25" customHeight="1">
      <c r="A328">
        <f>Table4[[#This Row],[Column1]]</f>
        <v>0</v>
      </c>
      <c r="B328">
        <f>Table4[[#This Row],[Column2]]</f>
        <v>0</v>
      </c>
      <c r="H328" s="9">
        <f>Table13[[#This Row],[dicharge_date]]</f>
        <v>0</v>
      </c>
      <c r="I328" s="13" t="str">
        <f t="shared" si="16"/>
        <v/>
      </c>
      <c r="J328" s="9">
        <f t="shared" si="17"/>
        <v>30</v>
      </c>
    </row>
    <row r="329" spans="1:10" ht="23.25" customHeight="1">
      <c r="A329">
        <f>Table4[[#This Row],[Column1]]</f>
        <v>0</v>
      </c>
      <c r="B329">
        <f>Table4[[#This Row],[Column2]]</f>
        <v>0</v>
      </c>
      <c r="H329" s="9">
        <f>Table13[[#This Row],[dicharge_date]]</f>
        <v>0</v>
      </c>
      <c r="I329" s="13" t="str">
        <f t="shared" si="16"/>
        <v/>
      </c>
      <c r="J329" s="9">
        <f t="shared" si="17"/>
        <v>30</v>
      </c>
    </row>
    <row r="330" spans="1:10" ht="23.25" customHeight="1">
      <c r="A330">
        <f>Table4[[#This Row],[Column1]]</f>
        <v>0</v>
      </c>
      <c r="B330">
        <f>Table4[[#This Row],[Column2]]</f>
        <v>0</v>
      </c>
      <c r="H330" s="9">
        <f>Table13[[#This Row],[dicharge_date]]</f>
        <v>0</v>
      </c>
      <c r="I330" s="13" t="str">
        <f t="shared" si="16"/>
        <v/>
      </c>
      <c r="J330" s="9">
        <f t="shared" si="17"/>
        <v>30</v>
      </c>
    </row>
    <row r="331" spans="1:10" ht="23.25" customHeight="1">
      <c r="A331">
        <f>Table4[[#This Row],[Column1]]</f>
        <v>0</v>
      </c>
      <c r="B331">
        <f>Table4[[#This Row],[Column2]]</f>
        <v>0</v>
      </c>
      <c r="H331" s="9">
        <f>Table13[[#This Row],[dicharge_date]]</f>
        <v>0</v>
      </c>
      <c r="I331" s="13" t="str">
        <f t="shared" si="16"/>
        <v/>
      </c>
      <c r="J331" s="9">
        <f t="shared" si="17"/>
        <v>30</v>
      </c>
    </row>
    <row r="332" spans="1:10" ht="23.25" customHeight="1">
      <c r="A332">
        <f>Table4[[#This Row],[Column1]]</f>
        <v>0</v>
      </c>
      <c r="B332">
        <f>Table4[[#This Row],[Column2]]</f>
        <v>0</v>
      </c>
      <c r="H332" s="9">
        <f>Table13[[#This Row],[dicharge_date]]</f>
        <v>0</v>
      </c>
      <c r="I332" s="13" t="str">
        <f t="shared" si="16"/>
        <v/>
      </c>
      <c r="J332" s="9">
        <f t="shared" si="17"/>
        <v>30</v>
      </c>
    </row>
    <row r="333" spans="1:10" ht="23.25" customHeight="1">
      <c r="A333">
        <f>Table4[[#This Row],[Column1]]</f>
        <v>0</v>
      </c>
      <c r="B333">
        <f>Table4[[#This Row],[Column2]]</f>
        <v>0</v>
      </c>
      <c r="H333" s="9">
        <f>Table13[[#This Row],[dicharge_date]]</f>
        <v>0</v>
      </c>
      <c r="I333" s="13" t="str">
        <f t="shared" si="16"/>
        <v/>
      </c>
      <c r="J333" s="9">
        <f t="shared" si="17"/>
        <v>30</v>
      </c>
    </row>
    <row r="334" spans="1:10" ht="23.25" customHeight="1">
      <c r="A334">
        <f>Table4[[#This Row],[Column1]]</f>
        <v>0</v>
      </c>
      <c r="B334">
        <f>Table4[[#This Row],[Column2]]</f>
        <v>0</v>
      </c>
      <c r="H334" s="9">
        <f>Table13[[#This Row],[dicharge_date]]</f>
        <v>0</v>
      </c>
      <c r="I334" s="13" t="str">
        <f t="shared" si="16"/>
        <v/>
      </c>
      <c r="J334" s="9">
        <f t="shared" si="17"/>
        <v>30</v>
      </c>
    </row>
    <row r="335" spans="1:10" ht="23.25" customHeight="1">
      <c r="A335">
        <f>Table4[[#This Row],[Column1]]</f>
        <v>0</v>
      </c>
      <c r="B335">
        <f>Table4[[#This Row],[Column2]]</f>
        <v>0</v>
      </c>
      <c r="H335" s="9">
        <f>Table13[[#This Row],[dicharge_date]]</f>
        <v>0</v>
      </c>
      <c r="I335" s="13" t="str">
        <f t="shared" si="16"/>
        <v/>
      </c>
      <c r="J335" s="9">
        <f t="shared" si="17"/>
        <v>30</v>
      </c>
    </row>
    <row r="336" spans="1:10" ht="23.25" customHeight="1">
      <c r="A336">
        <f>Table4[[#This Row],[Column1]]</f>
        <v>0</v>
      </c>
      <c r="B336">
        <f>Table4[[#This Row],[Column2]]</f>
        <v>0</v>
      </c>
      <c r="H336" s="9">
        <f>Table13[[#This Row],[dicharge_date]]</f>
        <v>0</v>
      </c>
      <c r="I336" s="13" t="str">
        <f t="shared" si="16"/>
        <v/>
      </c>
      <c r="J336" s="9">
        <f t="shared" si="17"/>
        <v>30</v>
      </c>
    </row>
    <row r="337" spans="1:10" ht="23.25" customHeight="1">
      <c r="A337">
        <f>Table4[[#This Row],[Column1]]</f>
        <v>0</v>
      </c>
      <c r="B337">
        <f>Table4[[#This Row],[Column2]]</f>
        <v>0</v>
      </c>
      <c r="H337" s="9">
        <f>Table13[[#This Row],[dicharge_date]]</f>
        <v>0</v>
      </c>
      <c r="I337" s="13" t="str">
        <f t="shared" si="16"/>
        <v/>
      </c>
      <c r="J337" s="9">
        <f t="shared" si="17"/>
        <v>30</v>
      </c>
    </row>
    <row r="338" spans="1:10" ht="23.25" customHeight="1">
      <c r="A338">
        <f>Table4[[#This Row],[Column1]]</f>
        <v>0</v>
      </c>
      <c r="B338">
        <f>Table4[[#This Row],[Column2]]</f>
        <v>0</v>
      </c>
      <c r="H338" s="9">
        <f>Table13[[#This Row],[dicharge_date]]</f>
        <v>0</v>
      </c>
      <c r="I338" s="13" t="str">
        <f t="shared" si="16"/>
        <v/>
      </c>
      <c r="J338" s="9">
        <f t="shared" si="17"/>
        <v>30</v>
      </c>
    </row>
    <row r="339" spans="1:10" ht="23.25" customHeight="1">
      <c r="A339">
        <f>Table4[[#This Row],[Column1]]</f>
        <v>0</v>
      </c>
      <c r="B339">
        <f>Table4[[#This Row],[Column2]]</f>
        <v>0</v>
      </c>
      <c r="H339" s="9">
        <f>Table13[[#This Row],[dicharge_date]]</f>
        <v>0</v>
      </c>
      <c r="I339" s="13" t="str">
        <f t="shared" si="16"/>
        <v/>
      </c>
      <c r="J339" s="9">
        <f t="shared" si="17"/>
        <v>30</v>
      </c>
    </row>
    <row r="340" spans="1:10" ht="23.25" customHeight="1">
      <c r="A340">
        <f>Table4[[#This Row],[Column1]]</f>
        <v>0</v>
      </c>
      <c r="B340">
        <f>Table4[[#This Row],[Column2]]</f>
        <v>0</v>
      </c>
      <c r="H340" s="9">
        <f>Table13[[#This Row],[dicharge_date]]</f>
        <v>0</v>
      </c>
      <c r="I340" s="13" t="str">
        <f t="shared" si="16"/>
        <v/>
      </c>
      <c r="J340" s="9">
        <f t="shared" si="17"/>
        <v>30</v>
      </c>
    </row>
    <row r="341" spans="1:10" ht="23.25" customHeight="1">
      <c r="A341">
        <f>Table4[[#This Row],[Column1]]</f>
        <v>0</v>
      </c>
      <c r="B341">
        <f>Table4[[#This Row],[Column2]]</f>
        <v>0</v>
      </c>
      <c r="H341" s="9">
        <f>Table13[[#This Row],[dicharge_date]]</f>
        <v>0</v>
      </c>
      <c r="I341" s="13" t="str">
        <f t="shared" si="16"/>
        <v/>
      </c>
      <c r="J341" s="9">
        <f t="shared" si="17"/>
        <v>30</v>
      </c>
    </row>
    <row r="342" spans="1:10" ht="23.25" customHeight="1">
      <c r="A342">
        <f>Table4[[#This Row],[Column1]]</f>
        <v>0</v>
      </c>
      <c r="B342">
        <f>Table4[[#This Row],[Column2]]</f>
        <v>0</v>
      </c>
      <c r="H342" s="9">
        <f>Table13[[#This Row],[dicharge_date]]</f>
        <v>0</v>
      </c>
      <c r="I342" s="13" t="str">
        <f t="shared" si="16"/>
        <v/>
      </c>
      <c r="J342" s="9">
        <f t="shared" si="17"/>
        <v>30</v>
      </c>
    </row>
    <row r="343" spans="1:10" ht="23.25" customHeight="1">
      <c r="A343">
        <f>Table4[[#This Row],[Column1]]</f>
        <v>0</v>
      </c>
      <c r="B343">
        <f>Table4[[#This Row],[Column2]]</f>
        <v>0</v>
      </c>
      <c r="H343" s="9">
        <f>Table13[[#This Row],[dicharge_date]]</f>
        <v>0</v>
      </c>
      <c r="I343" s="13" t="str">
        <f t="shared" si="16"/>
        <v/>
      </c>
      <c r="J343" s="9">
        <f t="shared" si="17"/>
        <v>30</v>
      </c>
    </row>
    <row r="344" spans="1:10" ht="23.25" customHeight="1">
      <c r="A344">
        <f>Table4[[#This Row],[Column1]]</f>
        <v>0</v>
      </c>
      <c r="B344">
        <f>Table4[[#This Row],[Column2]]</f>
        <v>0</v>
      </c>
      <c r="H344" s="9">
        <f>Table13[[#This Row],[dicharge_date]]</f>
        <v>0</v>
      </c>
      <c r="I344" s="13" t="str">
        <f t="shared" si="16"/>
        <v/>
      </c>
      <c r="J344" s="9">
        <f t="shared" si="17"/>
        <v>30</v>
      </c>
    </row>
    <row r="345" spans="1:10" ht="23.25" customHeight="1">
      <c r="A345">
        <f>Table4[[#This Row],[Column1]]</f>
        <v>0</v>
      </c>
      <c r="B345">
        <f>Table4[[#This Row],[Column2]]</f>
        <v>0</v>
      </c>
      <c r="H345" s="9">
        <f>Table13[[#This Row],[dicharge_date]]</f>
        <v>0</v>
      </c>
      <c r="I345" s="13" t="str">
        <f t="shared" si="16"/>
        <v/>
      </c>
      <c r="J345" s="9">
        <f t="shared" si="17"/>
        <v>30</v>
      </c>
    </row>
    <row r="346" spans="1:10" ht="23.25" customHeight="1">
      <c r="A346">
        <f>Table4[[#This Row],[Column1]]</f>
        <v>0</v>
      </c>
      <c r="B346">
        <f>Table4[[#This Row],[Column2]]</f>
        <v>0</v>
      </c>
      <c r="H346" s="9">
        <f>Table13[[#This Row],[dicharge_date]]</f>
        <v>0</v>
      </c>
      <c r="I346" s="13" t="str">
        <f t="shared" si="16"/>
        <v/>
      </c>
      <c r="J346" s="9">
        <f t="shared" si="17"/>
        <v>30</v>
      </c>
    </row>
    <row r="347" spans="1:10" ht="23.25" customHeight="1">
      <c r="A347">
        <f>Table4[[#This Row],[Column1]]</f>
        <v>0</v>
      </c>
      <c r="B347">
        <f>Table4[[#This Row],[Column2]]</f>
        <v>0</v>
      </c>
      <c r="H347" s="9">
        <f>Table13[[#This Row],[dicharge_date]]</f>
        <v>0</v>
      </c>
      <c r="I347" s="13" t="str">
        <f t="shared" si="16"/>
        <v/>
      </c>
      <c r="J347" s="9">
        <f t="shared" si="17"/>
        <v>30</v>
      </c>
    </row>
    <row r="348" spans="1:10" ht="23.25" customHeight="1">
      <c r="A348">
        <f>Table4[[#This Row],[Column1]]</f>
        <v>0</v>
      </c>
      <c r="B348">
        <f>Table4[[#This Row],[Column2]]</f>
        <v>0</v>
      </c>
      <c r="H348" s="9">
        <f>Table13[[#This Row],[dicharge_date]]</f>
        <v>0</v>
      </c>
      <c r="I348" s="13" t="str">
        <f t="shared" si="16"/>
        <v/>
      </c>
      <c r="J348" s="9">
        <f t="shared" si="17"/>
        <v>30</v>
      </c>
    </row>
    <row r="349" spans="1:10" ht="23.25" customHeight="1">
      <c r="A349">
        <f>Table4[[#This Row],[Column1]]</f>
        <v>0</v>
      </c>
      <c r="B349">
        <f>Table4[[#This Row],[Column2]]</f>
        <v>0</v>
      </c>
      <c r="H349" s="9">
        <f>Table13[[#This Row],[dicharge_date]]</f>
        <v>0</v>
      </c>
      <c r="I349" s="13" t="str">
        <f t="shared" si="16"/>
        <v/>
      </c>
      <c r="J349" s="9">
        <f t="shared" si="17"/>
        <v>30</v>
      </c>
    </row>
    <row r="350" spans="1:10" ht="23.25" customHeight="1">
      <c r="A350">
        <f>Table4[[#This Row],[Column1]]</f>
        <v>0</v>
      </c>
      <c r="B350">
        <f>Table4[[#This Row],[Column2]]</f>
        <v>0</v>
      </c>
      <c r="H350" s="9">
        <f>Table13[[#This Row],[dicharge_date]]</f>
        <v>0</v>
      </c>
      <c r="I350" s="13" t="str">
        <f t="shared" si="16"/>
        <v/>
      </c>
      <c r="J350" s="9">
        <f t="shared" si="17"/>
        <v>30</v>
      </c>
    </row>
    <row r="351" spans="1:10" ht="23.25" customHeight="1">
      <c r="A351">
        <f>Table4[[#This Row],[Column1]]</f>
        <v>0</v>
      </c>
      <c r="B351">
        <f>Table4[[#This Row],[Column2]]</f>
        <v>0</v>
      </c>
      <c r="H351" s="9">
        <f>Table13[[#This Row],[dicharge_date]]</f>
        <v>0</v>
      </c>
      <c r="I351" s="13" t="str">
        <f t="shared" si="16"/>
        <v/>
      </c>
      <c r="J351" s="9">
        <f t="shared" si="17"/>
        <v>30</v>
      </c>
    </row>
    <row r="352" spans="1:10" ht="23.25" customHeight="1">
      <c r="A352">
        <f>Table4[[#This Row],[Column1]]</f>
        <v>0</v>
      </c>
      <c r="B352">
        <f>Table4[[#This Row],[Column2]]</f>
        <v>0</v>
      </c>
      <c r="H352" s="9">
        <f>Table13[[#This Row],[dicharge_date]]</f>
        <v>0</v>
      </c>
      <c r="I352" s="13" t="str">
        <f t="shared" si="16"/>
        <v/>
      </c>
      <c r="J352" s="9">
        <f t="shared" si="17"/>
        <v>30</v>
      </c>
    </row>
    <row r="353" spans="1:10" ht="23.25" customHeight="1">
      <c r="A353">
        <f>Table4[[#This Row],[Column1]]</f>
        <v>0</v>
      </c>
      <c r="B353">
        <f>Table4[[#This Row],[Column2]]</f>
        <v>0</v>
      </c>
      <c r="H353" s="9">
        <f>Table13[[#This Row],[dicharge_date]]</f>
        <v>0</v>
      </c>
      <c r="I353" s="13" t="str">
        <f t="shared" si="16"/>
        <v/>
      </c>
      <c r="J353" s="9">
        <f t="shared" si="17"/>
        <v>30</v>
      </c>
    </row>
    <row r="354" spans="1:10" ht="23.25" customHeight="1">
      <c r="A354">
        <f>Table4[[#This Row],[Column1]]</f>
        <v>0</v>
      </c>
      <c r="B354">
        <f>Table4[[#This Row],[Column2]]</f>
        <v>0</v>
      </c>
      <c r="H354" s="9">
        <f>Table13[[#This Row],[dicharge_date]]</f>
        <v>0</v>
      </c>
      <c r="I354" s="13" t="str">
        <f t="shared" si="16"/>
        <v/>
      </c>
      <c r="J354" s="9">
        <f t="shared" si="17"/>
        <v>30</v>
      </c>
    </row>
    <row r="355" spans="1:10" ht="23.25" customHeight="1">
      <c r="A355">
        <f>Table4[[#This Row],[Column1]]</f>
        <v>0</v>
      </c>
      <c r="B355">
        <f>Table4[[#This Row],[Column2]]</f>
        <v>0</v>
      </c>
      <c r="H355" s="9">
        <f>Table13[[#This Row],[dicharge_date]]</f>
        <v>0</v>
      </c>
      <c r="I355" s="13" t="str">
        <f t="shared" si="16"/>
        <v/>
      </c>
      <c r="J355" s="9">
        <f t="shared" si="17"/>
        <v>30</v>
      </c>
    </row>
    <row r="356" spans="1:10" ht="23.25" customHeight="1">
      <c r="A356">
        <f>Table4[[#This Row],[Column1]]</f>
        <v>0</v>
      </c>
      <c r="B356">
        <f>Table4[[#This Row],[Column2]]</f>
        <v>0</v>
      </c>
      <c r="H356" s="9">
        <f>Table13[[#This Row],[dicharge_date]]</f>
        <v>0</v>
      </c>
      <c r="I356" s="13" t="str">
        <f t="shared" si="16"/>
        <v/>
      </c>
      <c r="J356" s="9">
        <f t="shared" si="17"/>
        <v>30</v>
      </c>
    </row>
    <row r="357" spans="1:10" ht="23.25" customHeight="1">
      <c r="A357">
        <f>Table4[[#This Row],[Column1]]</f>
        <v>0</v>
      </c>
      <c r="B357">
        <f>Table4[[#This Row],[Column2]]</f>
        <v>0</v>
      </c>
      <c r="H357" s="9">
        <f>Table13[[#This Row],[dicharge_date]]</f>
        <v>0</v>
      </c>
      <c r="I357" s="13" t="str">
        <f t="shared" si="16"/>
        <v/>
      </c>
      <c r="J357" s="9">
        <f t="shared" si="17"/>
        <v>30</v>
      </c>
    </row>
    <row r="358" spans="1:10" ht="23.25" customHeight="1">
      <c r="A358">
        <f>Table4[[#This Row],[Column1]]</f>
        <v>0</v>
      </c>
      <c r="B358">
        <f>Table4[[#This Row],[Column2]]</f>
        <v>0</v>
      </c>
      <c r="H358" s="9">
        <f>Table13[[#This Row],[dicharge_date]]</f>
        <v>0</v>
      </c>
      <c r="I358" s="13" t="str">
        <f t="shared" si="16"/>
        <v/>
      </c>
      <c r="J358" s="9">
        <f t="shared" si="17"/>
        <v>30</v>
      </c>
    </row>
    <row r="359" spans="1:10" ht="23.25" customHeight="1">
      <c r="A359">
        <f>Table4[[#This Row],[Column1]]</f>
        <v>0</v>
      </c>
      <c r="B359">
        <f>Table4[[#This Row],[Column2]]</f>
        <v>0</v>
      </c>
      <c r="H359" s="9">
        <f>Table13[[#This Row],[dicharge_date]]</f>
        <v>0</v>
      </c>
      <c r="I359" s="13" t="str">
        <f t="shared" ref="I359:I422" si="18">IF( E359&lt;&gt;"", H359-E359,"")</f>
        <v/>
      </c>
      <c r="J359" s="9">
        <f t="shared" si="17"/>
        <v>30</v>
      </c>
    </row>
    <row r="360" spans="1:10" ht="23.25" customHeight="1">
      <c r="A360">
        <f>Table4[[#This Row],[Column1]]</f>
        <v>0</v>
      </c>
      <c r="B360">
        <f>Table4[[#This Row],[Column2]]</f>
        <v>0</v>
      </c>
      <c r="H360" s="9">
        <f>Table13[[#This Row],[dicharge_date]]</f>
        <v>0</v>
      </c>
      <c r="I360" s="13" t="str">
        <f t="shared" si="18"/>
        <v/>
      </c>
      <c r="J360" s="9">
        <f t="shared" si="17"/>
        <v>30</v>
      </c>
    </row>
    <row r="361" spans="1:10" ht="23.25" customHeight="1">
      <c r="A361">
        <f>Table4[[#This Row],[Column1]]</f>
        <v>0</v>
      </c>
      <c r="B361">
        <f>Table4[[#This Row],[Column2]]</f>
        <v>0</v>
      </c>
      <c r="H361" s="9">
        <f>Table13[[#This Row],[dicharge_date]]</f>
        <v>0</v>
      </c>
      <c r="I361" s="13" t="str">
        <f t="shared" si="18"/>
        <v/>
      </c>
      <c r="J361" s="9">
        <f t="shared" si="17"/>
        <v>30</v>
      </c>
    </row>
    <row r="362" spans="1:10" ht="23.25" customHeight="1">
      <c r="A362">
        <f>Table4[[#This Row],[Column1]]</f>
        <v>0</v>
      </c>
      <c r="B362">
        <f>Table4[[#This Row],[Column2]]</f>
        <v>0</v>
      </c>
      <c r="H362" s="9">
        <f>Table13[[#This Row],[dicharge_date]]</f>
        <v>0</v>
      </c>
      <c r="I362" s="13" t="str">
        <f t="shared" si="18"/>
        <v/>
      </c>
      <c r="J362" s="9">
        <f t="shared" si="17"/>
        <v>30</v>
      </c>
    </row>
    <row r="363" spans="1:10" ht="23.25" customHeight="1">
      <c r="A363">
        <f>Table4[[#This Row],[Column1]]</f>
        <v>0</v>
      </c>
      <c r="B363">
        <f>Table4[[#This Row],[Column2]]</f>
        <v>0</v>
      </c>
      <c r="H363" s="9">
        <f>Table13[[#This Row],[dicharge_date]]</f>
        <v>0</v>
      </c>
      <c r="I363" s="13" t="str">
        <f t="shared" si="18"/>
        <v/>
      </c>
      <c r="J363" s="9">
        <f t="shared" si="17"/>
        <v>30</v>
      </c>
    </row>
    <row r="364" spans="1:10" ht="23.25" customHeight="1">
      <c r="A364">
        <f>Table4[[#This Row],[Column1]]</f>
        <v>0</v>
      </c>
      <c r="B364">
        <f>Table4[[#This Row],[Column2]]</f>
        <v>0</v>
      </c>
      <c r="H364" s="9">
        <f>Table13[[#This Row],[dicharge_date]]</f>
        <v>0</v>
      </c>
      <c r="I364" s="13" t="str">
        <f t="shared" si="18"/>
        <v/>
      </c>
      <c r="J364" s="9">
        <f t="shared" si="17"/>
        <v>30</v>
      </c>
    </row>
    <row r="365" spans="1:10" ht="23.25" customHeight="1">
      <c r="A365">
        <f>Table4[[#This Row],[Column1]]</f>
        <v>0</v>
      </c>
      <c r="B365">
        <f>Table4[[#This Row],[Column2]]</f>
        <v>0</v>
      </c>
      <c r="H365" s="9">
        <f>Table13[[#This Row],[dicharge_date]]</f>
        <v>0</v>
      </c>
      <c r="I365" s="13" t="str">
        <f t="shared" si="18"/>
        <v/>
      </c>
      <c r="J365" s="9">
        <f t="shared" si="17"/>
        <v>30</v>
      </c>
    </row>
    <row r="366" spans="1:10" ht="23.25" customHeight="1">
      <c r="A366">
        <f>Table4[[#This Row],[Column1]]</f>
        <v>0</v>
      </c>
      <c r="B366">
        <f>Table4[[#This Row],[Column2]]</f>
        <v>0</v>
      </c>
      <c r="H366" s="9">
        <f>Table13[[#This Row],[dicharge_date]]</f>
        <v>0</v>
      </c>
      <c r="I366" s="13" t="str">
        <f t="shared" si="18"/>
        <v/>
      </c>
      <c r="J366" s="9">
        <f t="shared" si="17"/>
        <v>30</v>
      </c>
    </row>
    <row r="367" spans="1:10" ht="23.25" customHeight="1">
      <c r="A367">
        <f>Table4[[#This Row],[Column1]]</f>
        <v>0</v>
      </c>
      <c r="B367">
        <f>Table4[[#This Row],[Column2]]</f>
        <v>0</v>
      </c>
      <c r="H367" s="9">
        <f>Table13[[#This Row],[dicharge_date]]</f>
        <v>0</v>
      </c>
      <c r="I367" s="13" t="str">
        <f t="shared" si="18"/>
        <v/>
      </c>
      <c r="J367" s="9">
        <f t="shared" si="17"/>
        <v>30</v>
      </c>
    </row>
    <row r="368" spans="1:10" ht="23.25" customHeight="1">
      <c r="A368">
        <f>Table4[[#This Row],[Column1]]</f>
        <v>0</v>
      </c>
      <c r="B368">
        <f>Table4[[#This Row],[Column2]]</f>
        <v>0</v>
      </c>
      <c r="H368" s="9">
        <f>Table13[[#This Row],[dicharge_date]]</f>
        <v>0</v>
      </c>
      <c r="I368" s="13" t="str">
        <f t="shared" si="18"/>
        <v/>
      </c>
      <c r="J368" s="9">
        <f t="shared" si="17"/>
        <v>30</v>
      </c>
    </row>
    <row r="369" spans="1:10" ht="23.25" customHeight="1">
      <c r="A369">
        <f>Table4[[#This Row],[Column1]]</f>
        <v>0</v>
      </c>
      <c r="B369">
        <f>Table4[[#This Row],[Column2]]</f>
        <v>0</v>
      </c>
      <c r="H369" s="9">
        <f>Table13[[#This Row],[dicharge_date]]</f>
        <v>0</v>
      </c>
      <c r="I369" s="13" t="str">
        <f t="shared" si="18"/>
        <v/>
      </c>
      <c r="J369" s="9">
        <f t="shared" si="17"/>
        <v>30</v>
      </c>
    </row>
    <row r="370" spans="1:10" ht="23.25" customHeight="1">
      <c r="A370">
        <f>Table4[[#This Row],[Column1]]</f>
        <v>0</v>
      </c>
      <c r="B370">
        <f>Table4[[#This Row],[Column2]]</f>
        <v>0</v>
      </c>
      <c r="H370" s="9">
        <f>Table13[[#This Row],[dicharge_date]]</f>
        <v>0</v>
      </c>
      <c r="I370" s="13" t="str">
        <f t="shared" si="18"/>
        <v/>
      </c>
      <c r="J370" s="9">
        <f t="shared" si="17"/>
        <v>30</v>
      </c>
    </row>
    <row r="371" spans="1:10" ht="23.25" customHeight="1">
      <c r="A371">
        <f>Table4[[#This Row],[Column1]]</f>
        <v>0</v>
      </c>
      <c r="B371">
        <f>Table4[[#This Row],[Column2]]</f>
        <v>0</v>
      </c>
      <c r="H371" s="9">
        <f>Table13[[#This Row],[dicharge_date]]</f>
        <v>0</v>
      </c>
      <c r="I371" s="13" t="str">
        <f t="shared" si="18"/>
        <v/>
      </c>
      <c r="J371" s="9">
        <f t="shared" si="17"/>
        <v>30</v>
      </c>
    </row>
    <row r="372" spans="1:10" ht="23.25" customHeight="1">
      <c r="A372">
        <f>Table4[[#This Row],[Column1]]</f>
        <v>0</v>
      </c>
      <c r="B372">
        <f>Table4[[#This Row],[Column2]]</f>
        <v>0</v>
      </c>
      <c r="H372" s="9">
        <f>Table13[[#This Row],[dicharge_date]]</f>
        <v>0</v>
      </c>
      <c r="I372" s="13" t="str">
        <f t="shared" si="18"/>
        <v/>
      </c>
      <c r="J372" s="9">
        <f t="shared" si="17"/>
        <v>30</v>
      </c>
    </row>
    <row r="373" spans="1:10" ht="23.25" customHeight="1">
      <c r="A373">
        <f>Table4[[#This Row],[Column1]]</f>
        <v>0</v>
      </c>
      <c r="B373">
        <f>Table4[[#This Row],[Column2]]</f>
        <v>0</v>
      </c>
      <c r="H373" s="9">
        <f>Table13[[#This Row],[dicharge_date]]</f>
        <v>0</v>
      </c>
      <c r="I373" s="13" t="str">
        <f t="shared" si="18"/>
        <v/>
      </c>
      <c r="J373" s="9">
        <f t="shared" si="17"/>
        <v>30</v>
      </c>
    </row>
    <row r="374" spans="1:10" ht="23.25" customHeight="1">
      <c r="A374">
        <f>Table4[[#This Row],[Column1]]</f>
        <v>0</v>
      </c>
      <c r="B374">
        <f>Table4[[#This Row],[Column2]]</f>
        <v>0</v>
      </c>
      <c r="H374" s="9">
        <f>Table13[[#This Row],[dicharge_date]]</f>
        <v>0</v>
      </c>
      <c r="I374" s="13" t="str">
        <f t="shared" si="18"/>
        <v/>
      </c>
      <c r="J374" s="9">
        <f t="shared" si="17"/>
        <v>30</v>
      </c>
    </row>
    <row r="375" spans="1:10" ht="23.25" customHeight="1">
      <c r="A375">
        <f>Table4[[#This Row],[Column1]]</f>
        <v>0</v>
      </c>
      <c r="B375">
        <f>Table4[[#This Row],[Column2]]</f>
        <v>0</v>
      </c>
      <c r="H375" s="9">
        <f>Table13[[#This Row],[dicharge_date]]</f>
        <v>0</v>
      </c>
      <c r="I375" s="13" t="str">
        <f t="shared" si="18"/>
        <v/>
      </c>
      <c r="J375" s="9">
        <f t="shared" si="17"/>
        <v>30</v>
      </c>
    </row>
    <row r="376" spans="1:10" ht="23.25" customHeight="1">
      <c r="A376">
        <f>Table4[[#This Row],[Column1]]</f>
        <v>0</v>
      </c>
      <c r="B376">
        <f>Table4[[#This Row],[Column2]]</f>
        <v>0</v>
      </c>
      <c r="H376" s="9">
        <f>Table13[[#This Row],[dicharge_date]]</f>
        <v>0</v>
      </c>
      <c r="I376" s="13" t="str">
        <f t="shared" si="18"/>
        <v/>
      </c>
      <c r="J376" s="9">
        <f t="shared" si="17"/>
        <v>30</v>
      </c>
    </row>
    <row r="377" spans="1:10" ht="23.25" customHeight="1">
      <c r="A377">
        <f>Table4[[#This Row],[Column1]]</f>
        <v>0</v>
      </c>
      <c r="B377">
        <f>Table4[[#This Row],[Column2]]</f>
        <v>0</v>
      </c>
      <c r="H377" s="9">
        <f>Table13[[#This Row],[dicharge_date]]</f>
        <v>0</v>
      </c>
      <c r="I377" s="13" t="str">
        <f t="shared" si="18"/>
        <v/>
      </c>
      <c r="J377" s="9">
        <f t="shared" si="17"/>
        <v>30</v>
      </c>
    </row>
    <row r="378" spans="1:10" ht="23.25" customHeight="1">
      <c r="A378">
        <f>Table4[[#This Row],[Column1]]</f>
        <v>0</v>
      </c>
      <c r="B378">
        <f>Table4[[#This Row],[Column2]]</f>
        <v>0</v>
      </c>
      <c r="H378" s="9">
        <f>Table13[[#This Row],[dicharge_date]]</f>
        <v>0</v>
      </c>
      <c r="I378" s="13" t="str">
        <f t="shared" si="18"/>
        <v/>
      </c>
      <c r="J378" s="9">
        <f t="shared" si="17"/>
        <v>30</v>
      </c>
    </row>
    <row r="379" spans="1:10" ht="23.25" customHeight="1">
      <c r="A379">
        <f>Table4[[#This Row],[Column1]]</f>
        <v>0</v>
      </c>
      <c r="B379">
        <f>Table4[[#This Row],[Column2]]</f>
        <v>0</v>
      </c>
      <c r="H379" s="9">
        <f>Table13[[#This Row],[dicharge_date]]</f>
        <v>0</v>
      </c>
      <c r="I379" s="13" t="str">
        <f t="shared" si="18"/>
        <v/>
      </c>
      <c r="J379" s="9">
        <f t="shared" si="17"/>
        <v>30</v>
      </c>
    </row>
    <row r="380" spans="1:10" ht="23.25" customHeight="1">
      <c r="A380">
        <f>Table4[[#This Row],[Column1]]</f>
        <v>0</v>
      </c>
      <c r="B380">
        <f>Table4[[#This Row],[Column2]]</f>
        <v>0</v>
      </c>
      <c r="H380" s="9">
        <f>Table13[[#This Row],[dicharge_date]]</f>
        <v>0</v>
      </c>
      <c r="I380" s="13" t="str">
        <f t="shared" si="18"/>
        <v/>
      </c>
      <c r="J380" s="9">
        <f t="shared" si="17"/>
        <v>30</v>
      </c>
    </row>
    <row r="381" spans="1:10" ht="23.25" customHeight="1">
      <c r="A381">
        <f>Table4[[#This Row],[Column1]]</f>
        <v>0</v>
      </c>
      <c r="B381">
        <f>Table4[[#This Row],[Column2]]</f>
        <v>0</v>
      </c>
      <c r="H381" s="9">
        <f>Table13[[#This Row],[dicharge_date]]</f>
        <v>0</v>
      </c>
      <c r="I381" s="13" t="str">
        <f t="shared" si="18"/>
        <v/>
      </c>
      <c r="J381" s="9">
        <f t="shared" si="17"/>
        <v>30</v>
      </c>
    </row>
    <row r="382" spans="1:10" ht="23.25" customHeight="1">
      <c r="A382">
        <f>Table4[[#This Row],[Column1]]</f>
        <v>0</v>
      </c>
      <c r="B382">
        <f>Table4[[#This Row],[Column2]]</f>
        <v>0</v>
      </c>
      <c r="H382" s="9">
        <f>Table13[[#This Row],[dicharge_date]]</f>
        <v>0</v>
      </c>
      <c r="I382" s="13" t="str">
        <f t="shared" si="18"/>
        <v/>
      </c>
      <c r="J382" s="9">
        <f t="shared" si="17"/>
        <v>30</v>
      </c>
    </row>
    <row r="383" spans="1:10" ht="23.25" customHeight="1">
      <c r="A383">
        <f>Table4[[#This Row],[Column1]]</f>
        <v>0</v>
      </c>
      <c r="B383">
        <f>Table4[[#This Row],[Column2]]</f>
        <v>0</v>
      </c>
      <c r="H383" s="9">
        <f>Table13[[#This Row],[dicharge_date]]</f>
        <v>0</v>
      </c>
      <c r="I383" s="13" t="str">
        <f t="shared" si="18"/>
        <v/>
      </c>
      <c r="J383" s="9">
        <f t="shared" si="17"/>
        <v>30</v>
      </c>
    </row>
    <row r="384" spans="1:10" ht="23.25" customHeight="1">
      <c r="A384">
        <f>Table4[[#This Row],[Column1]]</f>
        <v>0</v>
      </c>
      <c r="B384">
        <f>Table4[[#This Row],[Column2]]</f>
        <v>0</v>
      </c>
      <c r="H384" s="9">
        <f>Table13[[#This Row],[dicharge_date]]</f>
        <v>0</v>
      </c>
      <c r="I384" s="13" t="str">
        <f t="shared" si="18"/>
        <v/>
      </c>
      <c r="J384" s="9">
        <f t="shared" si="17"/>
        <v>30</v>
      </c>
    </row>
    <row r="385" spans="1:10" ht="23.25" customHeight="1">
      <c r="A385">
        <f>Table4[[#This Row],[Column1]]</f>
        <v>0</v>
      </c>
      <c r="B385">
        <f>Table4[[#This Row],[Column2]]</f>
        <v>0</v>
      </c>
      <c r="H385" s="9">
        <f>Table13[[#This Row],[dicharge_date]]</f>
        <v>0</v>
      </c>
      <c r="I385" s="13" t="str">
        <f t="shared" si="18"/>
        <v/>
      </c>
      <c r="J385" s="9">
        <f t="shared" si="17"/>
        <v>30</v>
      </c>
    </row>
    <row r="386" spans="1:10" ht="23.25" customHeight="1">
      <c r="A386">
        <f>Table4[[#This Row],[Column1]]</f>
        <v>0</v>
      </c>
      <c r="B386">
        <f>Table4[[#This Row],[Column2]]</f>
        <v>0</v>
      </c>
      <c r="H386" s="9">
        <f>Table13[[#This Row],[dicharge_date]]</f>
        <v>0</v>
      </c>
      <c r="I386" s="13" t="str">
        <f t="shared" si="18"/>
        <v/>
      </c>
      <c r="J386" s="9">
        <f t="shared" ref="J386:J449" si="19">IF( H386&lt;&gt;"", H386+30,"")</f>
        <v>30</v>
      </c>
    </row>
    <row r="387" spans="1:10" ht="23.25" customHeight="1">
      <c r="A387">
        <f>Table4[[#This Row],[Column1]]</f>
        <v>0</v>
      </c>
      <c r="B387">
        <f>Table4[[#This Row],[Column2]]</f>
        <v>0</v>
      </c>
      <c r="H387" s="9">
        <f>Table13[[#This Row],[dicharge_date]]</f>
        <v>0</v>
      </c>
      <c r="I387" s="13" t="str">
        <f t="shared" si="18"/>
        <v/>
      </c>
      <c r="J387" s="9">
        <f t="shared" si="19"/>
        <v>30</v>
      </c>
    </row>
    <row r="388" spans="1:10" ht="23.25" customHeight="1">
      <c r="A388">
        <f>Table4[[#This Row],[Column1]]</f>
        <v>0</v>
      </c>
      <c r="B388">
        <f>Table4[[#This Row],[Column2]]</f>
        <v>0</v>
      </c>
      <c r="H388" s="9">
        <f>Table13[[#This Row],[dicharge_date]]</f>
        <v>0</v>
      </c>
      <c r="I388" s="13" t="str">
        <f t="shared" si="18"/>
        <v/>
      </c>
      <c r="J388" s="9">
        <f t="shared" si="19"/>
        <v>30</v>
      </c>
    </row>
    <row r="389" spans="1:10" ht="23.25" customHeight="1">
      <c r="A389">
        <f>Table4[[#This Row],[Column1]]</f>
        <v>0</v>
      </c>
      <c r="B389">
        <f>Table4[[#This Row],[Column2]]</f>
        <v>0</v>
      </c>
      <c r="H389" s="9">
        <f>Table13[[#This Row],[dicharge_date]]</f>
        <v>0</v>
      </c>
      <c r="I389" s="13" t="str">
        <f t="shared" si="18"/>
        <v/>
      </c>
      <c r="J389" s="9">
        <f t="shared" si="19"/>
        <v>30</v>
      </c>
    </row>
    <row r="390" spans="1:10" ht="23.25" customHeight="1">
      <c r="A390">
        <f>Table4[[#This Row],[Column1]]</f>
        <v>0</v>
      </c>
      <c r="B390">
        <f>Table4[[#This Row],[Column2]]</f>
        <v>0</v>
      </c>
      <c r="H390" s="9">
        <f>Table13[[#This Row],[dicharge_date]]</f>
        <v>0</v>
      </c>
      <c r="I390" s="13" t="str">
        <f t="shared" si="18"/>
        <v/>
      </c>
      <c r="J390" s="9">
        <f t="shared" si="19"/>
        <v>30</v>
      </c>
    </row>
    <row r="391" spans="1:10" ht="23.25" customHeight="1">
      <c r="A391">
        <f>Table4[[#This Row],[Column1]]</f>
        <v>0</v>
      </c>
      <c r="B391">
        <f>Table4[[#This Row],[Column2]]</f>
        <v>0</v>
      </c>
      <c r="H391" s="9">
        <f>Table13[[#This Row],[dicharge_date]]</f>
        <v>0</v>
      </c>
      <c r="I391" s="13" t="str">
        <f t="shared" si="18"/>
        <v/>
      </c>
      <c r="J391" s="9">
        <f t="shared" si="19"/>
        <v>30</v>
      </c>
    </row>
    <row r="392" spans="1:10" ht="23.25" customHeight="1">
      <c r="A392">
        <f>Table4[[#This Row],[Column1]]</f>
        <v>0</v>
      </c>
      <c r="B392">
        <f>Table4[[#This Row],[Column2]]</f>
        <v>0</v>
      </c>
      <c r="H392" s="9">
        <f>Table13[[#This Row],[dicharge_date]]</f>
        <v>0</v>
      </c>
      <c r="I392" s="13" t="str">
        <f t="shared" si="18"/>
        <v/>
      </c>
      <c r="J392" s="9">
        <f t="shared" si="19"/>
        <v>30</v>
      </c>
    </row>
    <row r="393" spans="1:10" ht="23.25" customHeight="1">
      <c r="A393">
        <f>Table4[[#This Row],[Column1]]</f>
        <v>0</v>
      </c>
      <c r="B393">
        <f>Table4[[#This Row],[Column2]]</f>
        <v>0</v>
      </c>
      <c r="H393" s="9">
        <f>Table13[[#This Row],[dicharge_date]]</f>
        <v>0</v>
      </c>
      <c r="I393" s="13" t="str">
        <f t="shared" si="18"/>
        <v/>
      </c>
      <c r="J393" s="9">
        <f t="shared" si="19"/>
        <v>30</v>
      </c>
    </row>
    <row r="394" spans="1:10" ht="23.25" customHeight="1">
      <c r="A394">
        <f>Table4[[#This Row],[Column1]]</f>
        <v>0</v>
      </c>
      <c r="B394">
        <f>Table4[[#This Row],[Column2]]</f>
        <v>0</v>
      </c>
      <c r="H394" s="9">
        <f>Table13[[#This Row],[dicharge_date]]</f>
        <v>0</v>
      </c>
      <c r="I394" s="13" t="str">
        <f t="shared" si="18"/>
        <v/>
      </c>
      <c r="J394" s="9">
        <f t="shared" si="19"/>
        <v>30</v>
      </c>
    </row>
    <row r="395" spans="1:10" ht="23.25" customHeight="1">
      <c r="A395">
        <f>Table4[[#This Row],[Column1]]</f>
        <v>0</v>
      </c>
      <c r="B395">
        <f>Table4[[#This Row],[Column2]]</f>
        <v>0</v>
      </c>
      <c r="H395" s="9">
        <f>Table13[[#This Row],[dicharge_date]]</f>
        <v>0</v>
      </c>
      <c r="I395" s="13" t="str">
        <f t="shared" si="18"/>
        <v/>
      </c>
      <c r="J395" s="9">
        <f t="shared" si="19"/>
        <v>30</v>
      </c>
    </row>
    <row r="396" spans="1:10" ht="23.25" customHeight="1">
      <c r="A396">
        <f>Table4[[#This Row],[Column1]]</f>
        <v>0</v>
      </c>
      <c r="B396">
        <f>Table4[[#This Row],[Column2]]</f>
        <v>0</v>
      </c>
      <c r="H396" s="9">
        <f>Table13[[#This Row],[dicharge_date]]</f>
        <v>0</v>
      </c>
      <c r="I396" s="13" t="str">
        <f t="shared" si="18"/>
        <v/>
      </c>
      <c r="J396" s="9">
        <f t="shared" si="19"/>
        <v>30</v>
      </c>
    </row>
    <row r="397" spans="1:10" ht="23.25" customHeight="1">
      <c r="A397">
        <f>Table4[[#This Row],[Column1]]</f>
        <v>0</v>
      </c>
      <c r="B397">
        <f>Table4[[#This Row],[Column2]]</f>
        <v>0</v>
      </c>
      <c r="H397" s="9">
        <f>Table13[[#This Row],[dicharge_date]]</f>
        <v>0</v>
      </c>
      <c r="I397" s="13" t="str">
        <f t="shared" si="18"/>
        <v/>
      </c>
      <c r="J397" s="9">
        <f t="shared" si="19"/>
        <v>30</v>
      </c>
    </row>
    <row r="398" spans="1:10" ht="23.25" customHeight="1">
      <c r="A398">
        <f>Table4[[#This Row],[Column1]]</f>
        <v>0</v>
      </c>
      <c r="B398">
        <f>Table4[[#This Row],[Column2]]</f>
        <v>0</v>
      </c>
      <c r="H398" s="9">
        <f>Table13[[#This Row],[dicharge_date]]</f>
        <v>0</v>
      </c>
      <c r="I398" s="13" t="str">
        <f t="shared" si="18"/>
        <v/>
      </c>
      <c r="J398" s="9">
        <f t="shared" si="19"/>
        <v>30</v>
      </c>
    </row>
    <row r="399" spans="1:10" ht="23.25" customHeight="1">
      <c r="A399">
        <f>Table4[[#This Row],[Column1]]</f>
        <v>0</v>
      </c>
      <c r="B399">
        <f>Table4[[#This Row],[Column2]]</f>
        <v>0</v>
      </c>
      <c r="H399" s="9">
        <f>Table13[[#This Row],[dicharge_date]]</f>
        <v>0</v>
      </c>
      <c r="I399" s="13" t="str">
        <f t="shared" si="18"/>
        <v/>
      </c>
      <c r="J399" s="9">
        <f t="shared" si="19"/>
        <v>30</v>
      </c>
    </row>
    <row r="400" spans="1:10" ht="23.25" customHeight="1">
      <c r="A400">
        <f>Table4[[#This Row],[Column1]]</f>
        <v>0</v>
      </c>
      <c r="B400">
        <f>Table4[[#This Row],[Column2]]</f>
        <v>0</v>
      </c>
      <c r="H400" s="9">
        <f>Table13[[#This Row],[dicharge_date]]</f>
        <v>0</v>
      </c>
      <c r="I400" s="13" t="str">
        <f t="shared" si="18"/>
        <v/>
      </c>
      <c r="J400" s="9">
        <f t="shared" si="19"/>
        <v>30</v>
      </c>
    </row>
    <row r="401" spans="1:10" ht="23.25" customHeight="1">
      <c r="A401">
        <f>Table4[[#This Row],[Column1]]</f>
        <v>0</v>
      </c>
      <c r="B401">
        <f>Table4[[#This Row],[Column2]]</f>
        <v>0</v>
      </c>
      <c r="H401" s="9">
        <f>Table13[[#This Row],[dicharge_date]]</f>
        <v>0</v>
      </c>
      <c r="I401" s="13" t="str">
        <f t="shared" si="18"/>
        <v/>
      </c>
      <c r="J401" s="9">
        <f t="shared" si="19"/>
        <v>30</v>
      </c>
    </row>
    <row r="402" spans="1:10" ht="23.25" customHeight="1">
      <c r="A402">
        <f>Table4[[#This Row],[Column1]]</f>
        <v>0</v>
      </c>
      <c r="B402">
        <f>Table4[[#This Row],[Column2]]</f>
        <v>0</v>
      </c>
      <c r="H402" s="9">
        <f>Table13[[#This Row],[dicharge_date]]</f>
        <v>0</v>
      </c>
      <c r="I402" s="13" t="str">
        <f t="shared" si="18"/>
        <v/>
      </c>
      <c r="J402" s="9">
        <f t="shared" si="19"/>
        <v>30</v>
      </c>
    </row>
    <row r="403" spans="1:10" ht="23.25" customHeight="1">
      <c r="A403">
        <f>Table4[[#This Row],[Column1]]</f>
        <v>0</v>
      </c>
      <c r="B403">
        <f>Table4[[#This Row],[Column2]]</f>
        <v>0</v>
      </c>
      <c r="H403" s="9">
        <f>Table13[[#This Row],[dicharge_date]]</f>
        <v>0</v>
      </c>
      <c r="I403" s="13" t="str">
        <f t="shared" si="18"/>
        <v/>
      </c>
      <c r="J403" s="9">
        <f t="shared" si="19"/>
        <v>30</v>
      </c>
    </row>
    <row r="404" spans="1:10" ht="23.25" customHeight="1">
      <c r="A404">
        <f>Table4[[#This Row],[Column1]]</f>
        <v>0</v>
      </c>
      <c r="B404">
        <f>Table4[[#This Row],[Column2]]</f>
        <v>0</v>
      </c>
      <c r="H404" s="9">
        <f>Table13[[#This Row],[dicharge_date]]</f>
        <v>0</v>
      </c>
      <c r="I404" s="13" t="str">
        <f t="shared" si="18"/>
        <v/>
      </c>
      <c r="J404" s="9">
        <f t="shared" si="19"/>
        <v>30</v>
      </c>
    </row>
    <row r="405" spans="1:10" ht="23.25" customHeight="1">
      <c r="A405">
        <f>Table4[[#This Row],[Column1]]</f>
        <v>0</v>
      </c>
      <c r="B405">
        <f>Table4[[#This Row],[Column2]]</f>
        <v>0</v>
      </c>
      <c r="H405" s="9">
        <f>Table13[[#This Row],[dicharge_date]]</f>
        <v>0</v>
      </c>
      <c r="I405" s="13" t="str">
        <f t="shared" si="18"/>
        <v/>
      </c>
      <c r="J405" s="9">
        <f t="shared" si="19"/>
        <v>30</v>
      </c>
    </row>
    <row r="406" spans="1:10" ht="23.25" customHeight="1">
      <c r="A406">
        <f>Table4[[#This Row],[Column1]]</f>
        <v>0</v>
      </c>
      <c r="B406">
        <f>Table4[[#This Row],[Column2]]</f>
        <v>0</v>
      </c>
      <c r="H406" s="9">
        <f>Table13[[#This Row],[dicharge_date]]</f>
        <v>0</v>
      </c>
      <c r="I406" s="13" t="str">
        <f t="shared" si="18"/>
        <v/>
      </c>
      <c r="J406" s="9">
        <f t="shared" si="19"/>
        <v>30</v>
      </c>
    </row>
    <row r="407" spans="1:10" ht="23.25" customHeight="1">
      <c r="A407">
        <f>Table4[[#This Row],[Column1]]</f>
        <v>0</v>
      </c>
      <c r="B407">
        <f>Table4[[#This Row],[Column2]]</f>
        <v>0</v>
      </c>
      <c r="H407" s="9">
        <f>Table13[[#This Row],[dicharge_date]]</f>
        <v>0</v>
      </c>
      <c r="I407" s="13" t="str">
        <f t="shared" si="18"/>
        <v/>
      </c>
      <c r="J407" s="9">
        <f t="shared" si="19"/>
        <v>30</v>
      </c>
    </row>
    <row r="408" spans="1:10" ht="23.25" customHeight="1">
      <c r="A408">
        <f>Table4[[#This Row],[Column1]]</f>
        <v>0</v>
      </c>
      <c r="B408">
        <f>Table4[[#This Row],[Column2]]</f>
        <v>0</v>
      </c>
      <c r="H408" s="9">
        <f>Table13[[#This Row],[dicharge_date]]</f>
        <v>0</v>
      </c>
      <c r="I408" s="13" t="str">
        <f t="shared" si="18"/>
        <v/>
      </c>
      <c r="J408" s="9">
        <f t="shared" si="19"/>
        <v>30</v>
      </c>
    </row>
    <row r="409" spans="1:10" ht="23.25" customHeight="1">
      <c r="A409">
        <f>Table4[[#This Row],[Column1]]</f>
        <v>0</v>
      </c>
      <c r="B409">
        <f>Table4[[#This Row],[Column2]]</f>
        <v>0</v>
      </c>
      <c r="H409" s="9">
        <f>Table13[[#This Row],[dicharge_date]]</f>
        <v>0</v>
      </c>
      <c r="I409" s="13" t="str">
        <f t="shared" si="18"/>
        <v/>
      </c>
      <c r="J409" s="9">
        <f t="shared" si="19"/>
        <v>30</v>
      </c>
    </row>
    <row r="410" spans="1:10" ht="23.25" customHeight="1">
      <c r="A410">
        <f>Table4[[#This Row],[Column1]]</f>
        <v>0</v>
      </c>
      <c r="B410">
        <f>Table4[[#This Row],[Column2]]</f>
        <v>0</v>
      </c>
      <c r="H410" s="9">
        <f>Table13[[#This Row],[dicharge_date]]</f>
        <v>0</v>
      </c>
      <c r="I410" s="13" t="str">
        <f t="shared" si="18"/>
        <v/>
      </c>
      <c r="J410" s="9">
        <f t="shared" si="19"/>
        <v>30</v>
      </c>
    </row>
    <row r="411" spans="1:10" ht="23.25" customHeight="1">
      <c r="A411">
        <f>Table4[[#This Row],[Column1]]</f>
        <v>0</v>
      </c>
      <c r="B411">
        <f>Table4[[#This Row],[Column2]]</f>
        <v>0</v>
      </c>
      <c r="H411" s="9">
        <f>Table13[[#This Row],[dicharge_date]]</f>
        <v>0</v>
      </c>
      <c r="I411" s="13" t="str">
        <f t="shared" si="18"/>
        <v/>
      </c>
      <c r="J411" s="9">
        <f t="shared" si="19"/>
        <v>30</v>
      </c>
    </row>
    <row r="412" spans="1:10" ht="23.25" customHeight="1">
      <c r="A412">
        <f>Table4[[#This Row],[Column1]]</f>
        <v>0</v>
      </c>
      <c r="B412">
        <f>Table4[[#This Row],[Column2]]</f>
        <v>0</v>
      </c>
      <c r="H412" s="9">
        <f>Table13[[#This Row],[dicharge_date]]</f>
        <v>0</v>
      </c>
      <c r="I412" s="13" t="str">
        <f t="shared" si="18"/>
        <v/>
      </c>
      <c r="J412" s="9">
        <f t="shared" si="19"/>
        <v>30</v>
      </c>
    </row>
    <row r="413" spans="1:10" ht="23.25" customHeight="1">
      <c r="A413">
        <f>Table4[[#This Row],[Column1]]</f>
        <v>0</v>
      </c>
      <c r="B413">
        <f>Table4[[#This Row],[Column2]]</f>
        <v>0</v>
      </c>
      <c r="H413" s="9">
        <f>Table13[[#This Row],[dicharge_date]]</f>
        <v>0</v>
      </c>
      <c r="I413" s="13" t="str">
        <f t="shared" si="18"/>
        <v/>
      </c>
      <c r="J413" s="9">
        <f t="shared" si="19"/>
        <v>30</v>
      </c>
    </row>
    <row r="414" spans="1:10" ht="23.25" customHeight="1">
      <c r="A414">
        <f>Table4[[#This Row],[Column1]]</f>
        <v>0</v>
      </c>
      <c r="B414">
        <f>Table4[[#This Row],[Column2]]</f>
        <v>0</v>
      </c>
      <c r="H414" s="9">
        <f>Table13[[#This Row],[dicharge_date]]</f>
        <v>0</v>
      </c>
      <c r="I414" s="13" t="str">
        <f t="shared" si="18"/>
        <v/>
      </c>
      <c r="J414" s="9">
        <f t="shared" si="19"/>
        <v>30</v>
      </c>
    </row>
    <row r="415" spans="1:10" ht="23.25" customHeight="1">
      <c r="A415">
        <f>Table4[[#This Row],[Column1]]</f>
        <v>0</v>
      </c>
      <c r="B415">
        <f>Table4[[#This Row],[Column2]]</f>
        <v>0</v>
      </c>
      <c r="H415" s="9">
        <f>Table13[[#This Row],[dicharge_date]]</f>
        <v>0</v>
      </c>
      <c r="I415" s="13" t="str">
        <f t="shared" si="18"/>
        <v/>
      </c>
      <c r="J415" s="9">
        <f t="shared" si="19"/>
        <v>30</v>
      </c>
    </row>
    <row r="416" spans="1:10" ht="23.25" customHeight="1">
      <c r="A416">
        <f>Table4[[#This Row],[Column1]]</f>
        <v>0</v>
      </c>
      <c r="B416">
        <f>Table4[[#This Row],[Column2]]</f>
        <v>0</v>
      </c>
      <c r="H416" s="9">
        <f>Table13[[#This Row],[dicharge_date]]</f>
        <v>0</v>
      </c>
      <c r="I416" s="13" t="str">
        <f t="shared" si="18"/>
        <v/>
      </c>
      <c r="J416" s="9">
        <f t="shared" si="19"/>
        <v>30</v>
      </c>
    </row>
    <row r="417" spans="1:10" ht="23.25" customHeight="1">
      <c r="A417">
        <f>Table4[[#This Row],[Column1]]</f>
        <v>0</v>
      </c>
      <c r="B417">
        <f>Table4[[#This Row],[Column2]]</f>
        <v>0</v>
      </c>
      <c r="H417" s="9">
        <f>Table13[[#This Row],[dicharge_date]]</f>
        <v>0</v>
      </c>
      <c r="I417" s="13" t="str">
        <f t="shared" si="18"/>
        <v/>
      </c>
      <c r="J417" s="9">
        <f t="shared" si="19"/>
        <v>30</v>
      </c>
    </row>
    <row r="418" spans="1:10" ht="23.25" customHeight="1">
      <c r="A418">
        <f>Table4[[#This Row],[Column1]]</f>
        <v>0</v>
      </c>
      <c r="B418">
        <f>Table4[[#This Row],[Column2]]</f>
        <v>0</v>
      </c>
      <c r="H418" s="9">
        <f>Table13[[#This Row],[dicharge_date]]</f>
        <v>0</v>
      </c>
      <c r="I418" s="13" t="str">
        <f t="shared" si="18"/>
        <v/>
      </c>
      <c r="J418" s="9">
        <f t="shared" si="19"/>
        <v>30</v>
      </c>
    </row>
    <row r="419" spans="1:10" ht="23.25" customHeight="1">
      <c r="A419">
        <f>Table4[[#This Row],[Column1]]</f>
        <v>0</v>
      </c>
      <c r="B419">
        <f>Table4[[#This Row],[Column2]]</f>
        <v>0</v>
      </c>
      <c r="H419" s="9">
        <f>Table13[[#This Row],[dicharge_date]]</f>
        <v>0</v>
      </c>
      <c r="I419" s="13" t="str">
        <f t="shared" si="18"/>
        <v/>
      </c>
      <c r="J419" s="9">
        <f t="shared" si="19"/>
        <v>30</v>
      </c>
    </row>
    <row r="420" spans="1:10" ht="23.25" customHeight="1">
      <c r="A420">
        <f>Table4[[#This Row],[Column1]]</f>
        <v>0</v>
      </c>
      <c r="B420">
        <f>Table4[[#This Row],[Column2]]</f>
        <v>0</v>
      </c>
      <c r="H420" s="9">
        <f>Table13[[#This Row],[dicharge_date]]</f>
        <v>0</v>
      </c>
      <c r="I420" s="13" t="str">
        <f t="shared" si="18"/>
        <v/>
      </c>
      <c r="J420" s="9">
        <f t="shared" si="19"/>
        <v>30</v>
      </c>
    </row>
    <row r="421" spans="1:10" ht="23.25" customHeight="1">
      <c r="A421">
        <f>Table4[[#This Row],[Column1]]</f>
        <v>0</v>
      </c>
      <c r="B421">
        <f>Table4[[#This Row],[Column2]]</f>
        <v>0</v>
      </c>
      <c r="H421" s="9">
        <f>Table13[[#This Row],[dicharge_date]]</f>
        <v>0</v>
      </c>
      <c r="I421" s="13" t="str">
        <f t="shared" si="18"/>
        <v/>
      </c>
      <c r="J421" s="9">
        <f t="shared" si="19"/>
        <v>30</v>
      </c>
    </row>
    <row r="422" spans="1:10" ht="23.25" customHeight="1">
      <c r="A422">
        <f>Table4[[#This Row],[Column1]]</f>
        <v>0</v>
      </c>
      <c r="B422">
        <f>Table4[[#This Row],[Column2]]</f>
        <v>0</v>
      </c>
      <c r="H422" s="9">
        <f>Table13[[#This Row],[dicharge_date]]</f>
        <v>0</v>
      </c>
      <c r="I422" s="13" t="str">
        <f t="shared" si="18"/>
        <v/>
      </c>
      <c r="J422" s="9">
        <f t="shared" si="19"/>
        <v>30</v>
      </c>
    </row>
    <row r="423" spans="1:10" ht="23.25" customHeight="1">
      <c r="A423">
        <f>Table4[[#This Row],[Column1]]</f>
        <v>0</v>
      </c>
      <c r="B423">
        <f>Table4[[#This Row],[Column2]]</f>
        <v>0</v>
      </c>
      <c r="H423" s="9">
        <f>Table13[[#This Row],[dicharge_date]]</f>
        <v>0</v>
      </c>
      <c r="I423" s="13" t="str">
        <f t="shared" ref="I423:I486" si="20">IF( E423&lt;&gt;"", H423-E423,"")</f>
        <v/>
      </c>
      <c r="J423" s="9">
        <f t="shared" si="19"/>
        <v>30</v>
      </c>
    </row>
    <row r="424" spans="1:10" ht="23.25" customHeight="1">
      <c r="A424">
        <f>Table4[[#This Row],[Column1]]</f>
        <v>0</v>
      </c>
      <c r="B424">
        <f>Table4[[#This Row],[Column2]]</f>
        <v>0</v>
      </c>
      <c r="H424" s="9">
        <f>Table13[[#This Row],[dicharge_date]]</f>
        <v>0</v>
      </c>
      <c r="I424" s="13" t="str">
        <f t="shared" si="20"/>
        <v/>
      </c>
      <c r="J424" s="9">
        <f t="shared" si="19"/>
        <v>30</v>
      </c>
    </row>
    <row r="425" spans="1:10" ht="23.25" customHeight="1">
      <c r="A425">
        <f>Table4[[#This Row],[Column1]]</f>
        <v>0</v>
      </c>
      <c r="B425">
        <f>Table4[[#This Row],[Column2]]</f>
        <v>0</v>
      </c>
      <c r="H425" s="9">
        <f>Table13[[#This Row],[dicharge_date]]</f>
        <v>0</v>
      </c>
      <c r="I425" s="13" t="str">
        <f t="shared" si="20"/>
        <v/>
      </c>
      <c r="J425" s="9">
        <f t="shared" si="19"/>
        <v>30</v>
      </c>
    </row>
    <row r="426" spans="1:10" ht="23.25" customHeight="1">
      <c r="A426">
        <f>Table4[[#This Row],[Column1]]</f>
        <v>0</v>
      </c>
      <c r="B426">
        <f>Table4[[#This Row],[Column2]]</f>
        <v>0</v>
      </c>
      <c r="H426" s="9">
        <f>Table13[[#This Row],[dicharge_date]]</f>
        <v>0</v>
      </c>
      <c r="I426" s="13" t="str">
        <f t="shared" si="20"/>
        <v/>
      </c>
      <c r="J426" s="9">
        <f t="shared" si="19"/>
        <v>30</v>
      </c>
    </row>
    <row r="427" spans="1:10" ht="23.25" customHeight="1">
      <c r="A427">
        <f>Table4[[#This Row],[Column1]]</f>
        <v>0</v>
      </c>
      <c r="B427">
        <f>Table4[[#This Row],[Column2]]</f>
        <v>0</v>
      </c>
      <c r="H427" s="9">
        <f>Table13[[#This Row],[dicharge_date]]</f>
        <v>0</v>
      </c>
      <c r="I427" s="13" t="str">
        <f t="shared" si="20"/>
        <v/>
      </c>
      <c r="J427" s="9">
        <f t="shared" si="19"/>
        <v>30</v>
      </c>
    </row>
    <row r="428" spans="1:10" ht="23.25" customHeight="1">
      <c r="A428">
        <f>Table4[[#This Row],[Column1]]</f>
        <v>0</v>
      </c>
      <c r="B428">
        <f>Table4[[#This Row],[Column2]]</f>
        <v>0</v>
      </c>
      <c r="H428" s="9">
        <f>Table13[[#This Row],[dicharge_date]]</f>
        <v>0</v>
      </c>
      <c r="I428" s="13" t="str">
        <f t="shared" si="20"/>
        <v/>
      </c>
      <c r="J428" s="9">
        <f t="shared" si="19"/>
        <v>30</v>
      </c>
    </row>
    <row r="429" spans="1:10" ht="23.25" customHeight="1">
      <c r="A429">
        <f>Table4[[#This Row],[Column1]]</f>
        <v>0</v>
      </c>
      <c r="B429">
        <f>Table4[[#This Row],[Column2]]</f>
        <v>0</v>
      </c>
      <c r="H429" s="9">
        <f>Table13[[#This Row],[dicharge_date]]</f>
        <v>0</v>
      </c>
      <c r="I429" s="13" t="str">
        <f t="shared" si="20"/>
        <v/>
      </c>
      <c r="J429" s="9">
        <f t="shared" si="19"/>
        <v>30</v>
      </c>
    </row>
    <row r="430" spans="1:10" ht="23.25" customHeight="1">
      <c r="A430">
        <f>Table4[[#This Row],[Column1]]</f>
        <v>0</v>
      </c>
      <c r="B430">
        <f>Table4[[#This Row],[Column2]]</f>
        <v>0</v>
      </c>
      <c r="H430" s="9">
        <f>Table13[[#This Row],[dicharge_date]]</f>
        <v>0</v>
      </c>
      <c r="I430" s="13" t="str">
        <f t="shared" si="20"/>
        <v/>
      </c>
      <c r="J430" s="9">
        <f t="shared" si="19"/>
        <v>30</v>
      </c>
    </row>
    <row r="431" spans="1:10" ht="23.25" customHeight="1">
      <c r="A431">
        <f>Table4[[#This Row],[Column1]]</f>
        <v>0</v>
      </c>
      <c r="B431">
        <f>Table4[[#This Row],[Column2]]</f>
        <v>0</v>
      </c>
      <c r="H431" s="9">
        <f>Table13[[#This Row],[dicharge_date]]</f>
        <v>0</v>
      </c>
      <c r="I431" s="13" t="str">
        <f t="shared" si="20"/>
        <v/>
      </c>
      <c r="J431" s="9">
        <f t="shared" si="19"/>
        <v>30</v>
      </c>
    </row>
    <row r="432" spans="1:10" ht="23.25" customHeight="1">
      <c r="A432">
        <f>Table4[[#This Row],[Column1]]</f>
        <v>0</v>
      </c>
      <c r="B432">
        <f>Table4[[#This Row],[Column2]]</f>
        <v>0</v>
      </c>
      <c r="H432" s="9">
        <f>Table13[[#This Row],[dicharge_date]]</f>
        <v>0</v>
      </c>
      <c r="I432" s="13" t="str">
        <f t="shared" si="20"/>
        <v/>
      </c>
      <c r="J432" s="9">
        <f t="shared" si="19"/>
        <v>30</v>
      </c>
    </row>
    <row r="433" spans="1:10" ht="23.25" customHeight="1">
      <c r="A433">
        <f>Table4[[#This Row],[Column1]]</f>
        <v>0</v>
      </c>
      <c r="B433">
        <f>Table4[[#This Row],[Column2]]</f>
        <v>0</v>
      </c>
      <c r="H433" s="9">
        <f>Table13[[#This Row],[dicharge_date]]</f>
        <v>0</v>
      </c>
      <c r="I433" s="13" t="str">
        <f t="shared" si="20"/>
        <v/>
      </c>
      <c r="J433" s="9">
        <f t="shared" si="19"/>
        <v>30</v>
      </c>
    </row>
    <row r="434" spans="1:10" ht="23.25" customHeight="1">
      <c r="A434">
        <f>Table4[[#This Row],[Column1]]</f>
        <v>0</v>
      </c>
      <c r="B434">
        <f>Table4[[#This Row],[Column2]]</f>
        <v>0</v>
      </c>
      <c r="H434" s="9">
        <f>Table13[[#This Row],[dicharge_date]]</f>
        <v>0</v>
      </c>
      <c r="I434" s="13" t="str">
        <f t="shared" si="20"/>
        <v/>
      </c>
      <c r="J434" s="9">
        <f t="shared" si="19"/>
        <v>30</v>
      </c>
    </row>
    <row r="435" spans="1:10" ht="23.25" customHeight="1">
      <c r="A435">
        <f>Table4[[#This Row],[Column1]]</f>
        <v>0</v>
      </c>
      <c r="B435">
        <f>Table4[[#This Row],[Column2]]</f>
        <v>0</v>
      </c>
      <c r="H435" s="9">
        <f>Table13[[#This Row],[dicharge_date]]</f>
        <v>0</v>
      </c>
      <c r="I435" s="13" t="str">
        <f t="shared" si="20"/>
        <v/>
      </c>
      <c r="J435" s="9">
        <f t="shared" si="19"/>
        <v>30</v>
      </c>
    </row>
    <row r="436" spans="1:10" ht="23.25" customHeight="1">
      <c r="A436">
        <f>Table4[[#This Row],[Column1]]</f>
        <v>0</v>
      </c>
      <c r="B436">
        <f>Table4[[#This Row],[Column2]]</f>
        <v>0</v>
      </c>
      <c r="H436" s="9">
        <f>Table13[[#This Row],[dicharge_date]]</f>
        <v>0</v>
      </c>
      <c r="I436" s="13" t="str">
        <f t="shared" si="20"/>
        <v/>
      </c>
      <c r="J436" s="9">
        <f t="shared" si="19"/>
        <v>30</v>
      </c>
    </row>
    <row r="437" spans="1:10" ht="23.25" customHeight="1">
      <c r="A437">
        <f>Table4[[#This Row],[Column1]]</f>
        <v>0</v>
      </c>
      <c r="B437">
        <f>Table4[[#This Row],[Column2]]</f>
        <v>0</v>
      </c>
      <c r="H437" s="9">
        <f>Table13[[#This Row],[dicharge_date]]</f>
        <v>0</v>
      </c>
      <c r="I437" s="13" t="str">
        <f t="shared" si="20"/>
        <v/>
      </c>
      <c r="J437" s="9">
        <f t="shared" si="19"/>
        <v>30</v>
      </c>
    </row>
    <row r="438" spans="1:10" ht="23.25" customHeight="1">
      <c r="A438">
        <f>Table4[[#This Row],[Column1]]</f>
        <v>0</v>
      </c>
      <c r="B438">
        <f>Table4[[#This Row],[Column2]]</f>
        <v>0</v>
      </c>
      <c r="H438" s="9">
        <f>Table13[[#This Row],[dicharge_date]]</f>
        <v>0</v>
      </c>
      <c r="I438" s="13" t="str">
        <f t="shared" si="20"/>
        <v/>
      </c>
      <c r="J438" s="9">
        <f t="shared" si="19"/>
        <v>30</v>
      </c>
    </row>
    <row r="439" spans="1:10" ht="23.25" customHeight="1">
      <c r="A439">
        <f>Table4[[#This Row],[Column1]]</f>
        <v>0</v>
      </c>
      <c r="B439">
        <f>Table4[[#This Row],[Column2]]</f>
        <v>0</v>
      </c>
      <c r="H439" s="9">
        <f>Table13[[#This Row],[dicharge_date]]</f>
        <v>0</v>
      </c>
      <c r="I439" s="13" t="str">
        <f t="shared" si="20"/>
        <v/>
      </c>
      <c r="J439" s="9">
        <f t="shared" si="19"/>
        <v>30</v>
      </c>
    </row>
    <row r="440" spans="1:10" ht="23.25" customHeight="1">
      <c r="A440">
        <f>Table4[[#This Row],[Column1]]</f>
        <v>0</v>
      </c>
      <c r="B440">
        <f>Table4[[#This Row],[Column2]]</f>
        <v>0</v>
      </c>
      <c r="H440" s="9">
        <f>Table13[[#This Row],[dicharge_date]]</f>
        <v>0</v>
      </c>
      <c r="I440" s="13" t="str">
        <f t="shared" si="20"/>
        <v/>
      </c>
      <c r="J440" s="9">
        <f t="shared" si="19"/>
        <v>30</v>
      </c>
    </row>
    <row r="441" spans="1:10" ht="23.25" customHeight="1">
      <c r="A441">
        <f>Table4[[#This Row],[Column1]]</f>
        <v>0</v>
      </c>
      <c r="B441">
        <f>Table4[[#This Row],[Column2]]</f>
        <v>0</v>
      </c>
      <c r="H441" s="9">
        <f>Table13[[#This Row],[dicharge_date]]</f>
        <v>0</v>
      </c>
      <c r="I441" s="13" t="str">
        <f t="shared" si="20"/>
        <v/>
      </c>
      <c r="J441" s="9">
        <f t="shared" si="19"/>
        <v>30</v>
      </c>
    </row>
    <row r="442" spans="1:10" ht="23.25" customHeight="1">
      <c r="A442">
        <f>Table4[[#This Row],[Column1]]</f>
        <v>0</v>
      </c>
      <c r="B442">
        <f>Table4[[#This Row],[Column2]]</f>
        <v>0</v>
      </c>
      <c r="H442" s="9">
        <f>Table13[[#This Row],[dicharge_date]]</f>
        <v>0</v>
      </c>
      <c r="I442" s="13" t="str">
        <f t="shared" si="20"/>
        <v/>
      </c>
      <c r="J442" s="9">
        <f t="shared" si="19"/>
        <v>30</v>
      </c>
    </row>
    <row r="443" spans="1:10" ht="23.25" customHeight="1">
      <c r="A443">
        <f>Table4[[#This Row],[Column1]]</f>
        <v>0</v>
      </c>
      <c r="B443">
        <f>Table4[[#This Row],[Column2]]</f>
        <v>0</v>
      </c>
      <c r="H443" s="9">
        <f>Table13[[#This Row],[dicharge_date]]</f>
        <v>0</v>
      </c>
      <c r="I443" s="13" t="str">
        <f t="shared" si="20"/>
        <v/>
      </c>
      <c r="J443" s="9">
        <f t="shared" si="19"/>
        <v>30</v>
      </c>
    </row>
    <row r="444" spans="1:10" ht="23.25" customHeight="1">
      <c r="A444">
        <f>Table4[[#This Row],[Column1]]</f>
        <v>0</v>
      </c>
      <c r="B444">
        <f>Table4[[#This Row],[Column2]]</f>
        <v>0</v>
      </c>
      <c r="H444" s="9">
        <f>Table13[[#This Row],[dicharge_date]]</f>
        <v>0</v>
      </c>
      <c r="I444" s="13" t="str">
        <f t="shared" si="20"/>
        <v/>
      </c>
      <c r="J444" s="9">
        <f t="shared" si="19"/>
        <v>30</v>
      </c>
    </row>
    <row r="445" spans="1:10" ht="23.25" customHeight="1">
      <c r="A445">
        <f>Table4[[#This Row],[Column1]]</f>
        <v>0</v>
      </c>
      <c r="B445">
        <f>Table4[[#This Row],[Column2]]</f>
        <v>0</v>
      </c>
      <c r="H445" s="9">
        <f>Table13[[#This Row],[dicharge_date]]</f>
        <v>0</v>
      </c>
      <c r="I445" s="13" t="str">
        <f t="shared" si="20"/>
        <v/>
      </c>
      <c r="J445" s="9">
        <f t="shared" si="19"/>
        <v>30</v>
      </c>
    </row>
    <row r="446" spans="1:10" ht="23.25" customHeight="1">
      <c r="A446">
        <f>Table4[[#This Row],[Column1]]</f>
        <v>0</v>
      </c>
      <c r="B446">
        <f>Table4[[#This Row],[Column2]]</f>
        <v>0</v>
      </c>
      <c r="H446" s="9">
        <f>Table13[[#This Row],[dicharge_date]]</f>
        <v>0</v>
      </c>
      <c r="I446" s="13" t="str">
        <f t="shared" si="20"/>
        <v/>
      </c>
      <c r="J446" s="9">
        <f t="shared" si="19"/>
        <v>30</v>
      </c>
    </row>
    <row r="447" spans="1:10" ht="23.25" customHeight="1">
      <c r="A447">
        <f>Table4[[#This Row],[Column1]]</f>
        <v>0</v>
      </c>
      <c r="B447">
        <f>Table4[[#This Row],[Column2]]</f>
        <v>0</v>
      </c>
      <c r="H447" s="9">
        <f>Table13[[#This Row],[dicharge_date]]</f>
        <v>0</v>
      </c>
      <c r="I447" s="13" t="str">
        <f t="shared" si="20"/>
        <v/>
      </c>
      <c r="J447" s="9">
        <f t="shared" si="19"/>
        <v>30</v>
      </c>
    </row>
    <row r="448" spans="1:10" ht="23.25" customHeight="1">
      <c r="A448">
        <f>Table4[[#This Row],[Column1]]</f>
        <v>0</v>
      </c>
      <c r="B448">
        <f>Table4[[#This Row],[Column2]]</f>
        <v>0</v>
      </c>
      <c r="H448" s="9">
        <f>Table13[[#This Row],[dicharge_date]]</f>
        <v>0</v>
      </c>
      <c r="I448" s="13" t="str">
        <f t="shared" si="20"/>
        <v/>
      </c>
      <c r="J448" s="9">
        <f t="shared" si="19"/>
        <v>30</v>
      </c>
    </row>
    <row r="449" spans="1:10" ht="23.25" customHeight="1">
      <c r="A449">
        <f>Table4[[#This Row],[Column1]]</f>
        <v>0</v>
      </c>
      <c r="B449">
        <f>Table4[[#This Row],[Column2]]</f>
        <v>0</v>
      </c>
      <c r="H449" s="9">
        <f>Table13[[#This Row],[dicharge_date]]</f>
        <v>0</v>
      </c>
      <c r="I449" s="13" t="str">
        <f t="shared" si="20"/>
        <v/>
      </c>
      <c r="J449" s="9">
        <f t="shared" si="19"/>
        <v>30</v>
      </c>
    </row>
    <row r="450" spans="1:10" ht="23.25" customHeight="1">
      <c r="A450">
        <f>Table4[[#This Row],[Column1]]</f>
        <v>0</v>
      </c>
      <c r="B450">
        <f>Table4[[#This Row],[Column2]]</f>
        <v>0</v>
      </c>
      <c r="H450" s="9">
        <f>Table13[[#This Row],[dicharge_date]]</f>
        <v>0</v>
      </c>
      <c r="I450" s="13" t="str">
        <f t="shared" si="20"/>
        <v/>
      </c>
      <c r="J450" s="9">
        <f t="shared" ref="J450:J513" si="21">IF( H450&lt;&gt;"", H450+30,"")</f>
        <v>30</v>
      </c>
    </row>
    <row r="451" spans="1:10" ht="23.25" customHeight="1">
      <c r="A451">
        <f>Table4[[#This Row],[Column1]]</f>
        <v>0</v>
      </c>
      <c r="B451">
        <f>Table4[[#This Row],[Column2]]</f>
        <v>0</v>
      </c>
      <c r="H451" s="9">
        <f>Table13[[#This Row],[dicharge_date]]</f>
        <v>0</v>
      </c>
      <c r="I451" s="13" t="str">
        <f t="shared" si="20"/>
        <v/>
      </c>
      <c r="J451" s="9">
        <f t="shared" si="21"/>
        <v>30</v>
      </c>
    </row>
    <row r="452" spans="1:10" ht="23.25" customHeight="1">
      <c r="A452">
        <f>Table4[[#This Row],[Column1]]</f>
        <v>0</v>
      </c>
      <c r="B452">
        <f>Table4[[#This Row],[Column2]]</f>
        <v>0</v>
      </c>
      <c r="H452" s="9">
        <f>Table13[[#This Row],[dicharge_date]]</f>
        <v>0</v>
      </c>
      <c r="I452" s="13" t="str">
        <f t="shared" si="20"/>
        <v/>
      </c>
      <c r="J452" s="9">
        <f t="shared" si="21"/>
        <v>30</v>
      </c>
    </row>
    <row r="453" spans="1:10" ht="23.25" customHeight="1">
      <c r="A453">
        <f>Table4[[#This Row],[Column1]]</f>
        <v>0</v>
      </c>
      <c r="B453">
        <f>Table4[[#This Row],[Column2]]</f>
        <v>0</v>
      </c>
      <c r="H453" s="9">
        <f>Table13[[#This Row],[dicharge_date]]</f>
        <v>0</v>
      </c>
      <c r="I453" s="13" t="str">
        <f t="shared" si="20"/>
        <v/>
      </c>
      <c r="J453" s="9">
        <f t="shared" si="21"/>
        <v>30</v>
      </c>
    </row>
    <row r="454" spans="1:10" ht="23.25" customHeight="1">
      <c r="A454">
        <f>Table4[[#This Row],[Column1]]</f>
        <v>0</v>
      </c>
      <c r="B454">
        <f>Table4[[#This Row],[Column2]]</f>
        <v>0</v>
      </c>
      <c r="H454" s="9">
        <f>Table13[[#This Row],[dicharge_date]]</f>
        <v>0</v>
      </c>
      <c r="I454" s="13" t="str">
        <f t="shared" si="20"/>
        <v/>
      </c>
      <c r="J454" s="9">
        <f t="shared" si="21"/>
        <v>30</v>
      </c>
    </row>
    <row r="455" spans="1:10" ht="23.25" customHeight="1">
      <c r="A455">
        <f>Table4[[#This Row],[Column1]]</f>
        <v>0</v>
      </c>
      <c r="B455">
        <f>Table4[[#This Row],[Column2]]</f>
        <v>0</v>
      </c>
      <c r="H455" s="9">
        <f>Table13[[#This Row],[dicharge_date]]</f>
        <v>0</v>
      </c>
      <c r="I455" s="13" t="str">
        <f t="shared" si="20"/>
        <v/>
      </c>
      <c r="J455" s="9">
        <f t="shared" si="21"/>
        <v>30</v>
      </c>
    </row>
    <row r="456" spans="1:10" ht="23.25" customHeight="1">
      <c r="A456">
        <f>Table4[[#This Row],[Column1]]</f>
        <v>0</v>
      </c>
      <c r="B456">
        <f>Table4[[#This Row],[Column2]]</f>
        <v>0</v>
      </c>
      <c r="H456" s="9">
        <f>Table13[[#This Row],[dicharge_date]]</f>
        <v>0</v>
      </c>
      <c r="I456" s="13" t="str">
        <f t="shared" si="20"/>
        <v/>
      </c>
      <c r="J456" s="9">
        <f t="shared" si="21"/>
        <v>30</v>
      </c>
    </row>
    <row r="457" spans="1:10" ht="23.25" customHeight="1">
      <c r="A457">
        <f>Table4[[#This Row],[Column1]]</f>
        <v>0</v>
      </c>
      <c r="B457">
        <f>Table4[[#This Row],[Column2]]</f>
        <v>0</v>
      </c>
      <c r="H457" s="9">
        <f>Table13[[#This Row],[dicharge_date]]</f>
        <v>0</v>
      </c>
      <c r="I457" s="13" t="str">
        <f t="shared" si="20"/>
        <v/>
      </c>
      <c r="J457" s="9">
        <f t="shared" si="21"/>
        <v>30</v>
      </c>
    </row>
    <row r="458" spans="1:10" ht="23.25" customHeight="1">
      <c r="A458">
        <f>Table4[[#This Row],[Column1]]</f>
        <v>0</v>
      </c>
      <c r="B458">
        <f>Table4[[#This Row],[Column2]]</f>
        <v>0</v>
      </c>
      <c r="H458" s="9">
        <f>Table13[[#This Row],[dicharge_date]]</f>
        <v>0</v>
      </c>
      <c r="I458" s="13" t="str">
        <f t="shared" si="20"/>
        <v/>
      </c>
      <c r="J458" s="9">
        <f t="shared" si="21"/>
        <v>30</v>
      </c>
    </row>
    <row r="459" spans="1:10" ht="23.25" customHeight="1">
      <c r="A459">
        <f>Table4[[#This Row],[Column1]]</f>
        <v>0</v>
      </c>
      <c r="B459">
        <f>Table4[[#This Row],[Column2]]</f>
        <v>0</v>
      </c>
      <c r="H459" s="9">
        <f>Table13[[#This Row],[dicharge_date]]</f>
        <v>0</v>
      </c>
      <c r="I459" s="13" t="str">
        <f t="shared" si="20"/>
        <v/>
      </c>
      <c r="J459" s="9">
        <f t="shared" si="21"/>
        <v>30</v>
      </c>
    </row>
    <row r="460" spans="1:10" ht="23.25" customHeight="1">
      <c r="A460">
        <f>Table4[[#This Row],[Column1]]</f>
        <v>0</v>
      </c>
      <c r="B460">
        <f>Table4[[#This Row],[Column2]]</f>
        <v>0</v>
      </c>
      <c r="H460" s="9">
        <f>Table13[[#This Row],[dicharge_date]]</f>
        <v>0</v>
      </c>
      <c r="I460" s="13" t="str">
        <f t="shared" si="20"/>
        <v/>
      </c>
      <c r="J460" s="9">
        <f t="shared" si="21"/>
        <v>30</v>
      </c>
    </row>
    <row r="461" spans="1:10" ht="23.25" customHeight="1">
      <c r="A461">
        <f>Table4[[#This Row],[Column1]]</f>
        <v>0</v>
      </c>
      <c r="B461">
        <f>Table4[[#This Row],[Column2]]</f>
        <v>0</v>
      </c>
      <c r="H461" s="9">
        <f>Table13[[#This Row],[dicharge_date]]</f>
        <v>0</v>
      </c>
      <c r="I461" s="13" t="str">
        <f t="shared" si="20"/>
        <v/>
      </c>
      <c r="J461" s="9">
        <f t="shared" si="21"/>
        <v>30</v>
      </c>
    </row>
    <row r="462" spans="1:10" ht="23.25" customHeight="1">
      <c r="A462">
        <f>Table4[[#This Row],[Column1]]</f>
        <v>0</v>
      </c>
      <c r="B462">
        <f>Table4[[#This Row],[Column2]]</f>
        <v>0</v>
      </c>
      <c r="H462" s="9">
        <f>Table13[[#This Row],[dicharge_date]]</f>
        <v>0</v>
      </c>
      <c r="I462" s="13" t="str">
        <f t="shared" si="20"/>
        <v/>
      </c>
      <c r="J462" s="9">
        <f t="shared" si="21"/>
        <v>30</v>
      </c>
    </row>
    <row r="463" spans="1:10" ht="23.25" customHeight="1">
      <c r="A463">
        <f>Table4[[#This Row],[Column1]]</f>
        <v>0</v>
      </c>
      <c r="B463">
        <f>Table4[[#This Row],[Column2]]</f>
        <v>0</v>
      </c>
      <c r="H463" s="9">
        <f>Table13[[#This Row],[dicharge_date]]</f>
        <v>0</v>
      </c>
      <c r="I463" s="13" t="str">
        <f t="shared" si="20"/>
        <v/>
      </c>
      <c r="J463" s="9">
        <f t="shared" si="21"/>
        <v>30</v>
      </c>
    </row>
    <row r="464" spans="1:10" ht="23.25" customHeight="1">
      <c r="A464">
        <f>Table4[[#This Row],[Column1]]</f>
        <v>0</v>
      </c>
      <c r="B464">
        <f>Table4[[#This Row],[Column2]]</f>
        <v>0</v>
      </c>
      <c r="H464" s="9">
        <f>Table13[[#This Row],[dicharge_date]]</f>
        <v>0</v>
      </c>
      <c r="I464" s="13" t="str">
        <f t="shared" si="20"/>
        <v/>
      </c>
      <c r="J464" s="9">
        <f t="shared" si="21"/>
        <v>30</v>
      </c>
    </row>
    <row r="465" spans="1:10" ht="23.25" customHeight="1">
      <c r="A465">
        <f>Table4[[#This Row],[Column1]]</f>
        <v>0</v>
      </c>
      <c r="B465">
        <f>Table4[[#This Row],[Column2]]</f>
        <v>0</v>
      </c>
      <c r="H465" s="9">
        <f>Table13[[#This Row],[dicharge_date]]</f>
        <v>0</v>
      </c>
      <c r="I465" s="13" t="str">
        <f t="shared" si="20"/>
        <v/>
      </c>
      <c r="J465" s="9">
        <f t="shared" si="21"/>
        <v>30</v>
      </c>
    </row>
    <row r="466" spans="1:10" ht="23.25" customHeight="1">
      <c r="A466">
        <f>Table4[[#This Row],[Column1]]</f>
        <v>0</v>
      </c>
      <c r="B466">
        <f>Table4[[#This Row],[Column2]]</f>
        <v>0</v>
      </c>
      <c r="H466" s="9">
        <f>Table13[[#This Row],[dicharge_date]]</f>
        <v>0</v>
      </c>
      <c r="I466" s="13" t="str">
        <f t="shared" si="20"/>
        <v/>
      </c>
      <c r="J466" s="9">
        <f t="shared" si="21"/>
        <v>30</v>
      </c>
    </row>
    <row r="467" spans="1:10" ht="23.25" customHeight="1">
      <c r="A467">
        <f>Table4[[#This Row],[Column1]]</f>
        <v>0</v>
      </c>
      <c r="B467">
        <f>Table4[[#This Row],[Column2]]</f>
        <v>0</v>
      </c>
      <c r="H467" s="9">
        <f>Table13[[#This Row],[dicharge_date]]</f>
        <v>0</v>
      </c>
      <c r="I467" s="13" t="str">
        <f t="shared" si="20"/>
        <v/>
      </c>
      <c r="J467" s="9">
        <f t="shared" si="21"/>
        <v>30</v>
      </c>
    </row>
    <row r="468" spans="1:10" ht="23.25" customHeight="1">
      <c r="A468">
        <f>Table4[[#This Row],[Column1]]</f>
        <v>0</v>
      </c>
      <c r="B468">
        <f>Table4[[#This Row],[Column2]]</f>
        <v>0</v>
      </c>
      <c r="H468" s="9">
        <f>Table13[[#This Row],[dicharge_date]]</f>
        <v>0</v>
      </c>
      <c r="I468" s="13" t="str">
        <f t="shared" si="20"/>
        <v/>
      </c>
      <c r="J468" s="9">
        <f t="shared" si="21"/>
        <v>30</v>
      </c>
    </row>
    <row r="469" spans="1:10" ht="23.25" customHeight="1">
      <c r="A469">
        <f>Table4[[#This Row],[Column1]]</f>
        <v>0</v>
      </c>
      <c r="B469">
        <f>Table4[[#This Row],[Column2]]</f>
        <v>0</v>
      </c>
      <c r="H469" s="9">
        <f>Table13[[#This Row],[dicharge_date]]</f>
        <v>0</v>
      </c>
      <c r="I469" s="13" t="str">
        <f t="shared" si="20"/>
        <v/>
      </c>
      <c r="J469" s="9">
        <f t="shared" si="21"/>
        <v>30</v>
      </c>
    </row>
    <row r="470" spans="1:10" ht="23.25" customHeight="1">
      <c r="A470">
        <f>Table4[[#This Row],[Column1]]</f>
        <v>0</v>
      </c>
      <c r="B470">
        <f>Table4[[#This Row],[Column2]]</f>
        <v>0</v>
      </c>
      <c r="H470" s="9">
        <f>Table13[[#This Row],[dicharge_date]]</f>
        <v>0</v>
      </c>
      <c r="I470" s="13" t="str">
        <f t="shared" si="20"/>
        <v/>
      </c>
      <c r="J470" s="9">
        <f t="shared" si="21"/>
        <v>30</v>
      </c>
    </row>
    <row r="471" spans="1:10" ht="23.25" customHeight="1">
      <c r="A471">
        <f>Table4[[#This Row],[Column1]]</f>
        <v>0</v>
      </c>
      <c r="B471">
        <f>Table4[[#This Row],[Column2]]</f>
        <v>0</v>
      </c>
      <c r="H471" s="9">
        <f>Table13[[#This Row],[dicharge_date]]</f>
        <v>0</v>
      </c>
      <c r="I471" s="13" t="str">
        <f t="shared" si="20"/>
        <v/>
      </c>
      <c r="J471" s="9">
        <f t="shared" si="21"/>
        <v>30</v>
      </c>
    </row>
    <row r="472" spans="1:10" ht="23.25" customHeight="1">
      <c r="A472">
        <f>Table4[[#This Row],[Column1]]</f>
        <v>0</v>
      </c>
      <c r="B472">
        <f>Table4[[#This Row],[Column2]]</f>
        <v>0</v>
      </c>
      <c r="H472" s="9">
        <f>Table13[[#This Row],[dicharge_date]]</f>
        <v>0</v>
      </c>
      <c r="I472" s="13" t="str">
        <f t="shared" si="20"/>
        <v/>
      </c>
      <c r="J472" s="9">
        <f t="shared" si="21"/>
        <v>30</v>
      </c>
    </row>
    <row r="473" spans="1:10" ht="23.25" customHeight="1">
      <c r="A473">
        <f>Table4[[#This Row],[Column1]]</f>
        <v>0</v>
      </c>
      <c r="B473">
        <f>Table4[[#This Row],[Column2]]</f>
        <v>0</v>
      </c>
      <c r="H473" s="9">
        <f>Table13[[#This Row],[dicharge_date]]</f>
        <v>0</v>
      </c>
      <c r="I473" s="13" t="str">
        <f t="shared" si="20"/>
        <v/>
      </c>
      <c r="J473" s="9">
        <f t="shared" si="21"/>
        <v>30</v>
      </c>
    </row>
    <row r="474" spans="1:10" ht="23.25" customHeight="1">
      <c r="A474">
        <f>Table4[[#This Row],[Column1]]</f>
        <v>0</v>
      </c>
      <c r="B474">
        <f>Table4[[#This Row],[Column2]]</f>
        <v>0</v>
      </c>
      <c r="H474" s="9">
        <f>Table13[[#This Row],[dicharge_date]]</f>
        <v>0</v>
      </c>
      <c r="I474" s="13" t="str">
        <f t="shared" si="20"/>
        <v/>
      </c>
      <c r="J474" s="9">
        <f t="shared" si="21"/>
        <v>30</v>
      </c>
    </row>
    <row r="475" spans="1:10" ht="23.25" customHeight="1">
      <c r="A475">
        <f>Table4[[#This Row],[Column1]]</f>
        <v>0</v>
      </c>
      <c r="B475">
        <f>Table4[[#This Row],[Column2]]</f>
        <v>0</v>
      </c>
      <c r="H475" s="9">
        <f>Table13[[#This Row],[dicharge_date]]</f>
        <v>0</v>
      </c>
      <c r="I475" s="13" t="str">
        <f t="shared" si="20"/>
        <v/>
      </c>
      <c r="J475" s="9">
        <f t="shared" si="21"/>
        <v>30</v>
      </c>
    </row>
    <row r="476" spans="1:10" ht="23.25" customHeight="1">
      <c r="A476">
        <f>Table4[[#This Row],[Column1]]</f>
        <v>0</v>
      </c>
      <c r="B476">
        <f>Table4[[#This Row],[Column2]]</f>
        <v>0</v>
      </c>
      <c r="H476" s="9">
        <f>Table13[[#This Row],[dicharge_date]]</f>
        <v>0</v>
      </c>
      <c r="I476" s="13" t="str">
        <f t="shared" si="20"/>
        <v/>
      </c>
      <c r="J476" s="9">
        <f t="shared" si="21"/>
        <v>30</v>
      </c>
    </row>
    <row r="477" spans="1:10" ht="23.25" customHeight="1">
      <c r="A477">
        <f>Table4[[#This Row],[Column1]]</f>
        <v>0</v>
      </c>
      <c r="B477">
        <f>Table4[[#This Row],[Column2]]</f>
        <v>0</v>
      </c>
      <c r="H477" s="9">
        <f>Table13[[#This Row],[dicharge_date]]</f>
        <v>0</v>
      </c>
      <c r="I477" s="13" t="str">
        <f t="shared" si="20"/>
        <v/>
      </c>
      <c r="J477" s="9">
        <f t="shared" si="21"/>
        <v>30</v>
      </c>
    </row>
    <row r="478" spans="1:10" ht="23.25" customHeight="1">
      <c r="A478">
        <f>Table4[[#This Row],[Column1]]</f>
        <v>0</v>
      </c>
      <c r="B478">
        <f>Table4[[#This Row],[Column2]]</f>
        <v>0</v>
      </c>
      <c r="H478" s="9">
        <f>Table13[[#This Row],[dicharge_date]]</f>
        <v>0</v>
      </c>
      <c r="I478" s="13" t="str">
        <f t="shared" si="20"/>
        <v/>
      </c>
      <c r="J478" s="9">
        <f t="shared" si="21"/>
        <v>30</v>
      </c>
    </row>
    <row r="479" spans="1:10" ht="23.25" customHeight="1">
      <c r="A479">
        <f>Table4[[#This Row],[Column1]]</f>
        <v>0</v>
      </c>
      <c r="B479">
        <f>Table4[[#This Row],[Column2]]</f>
        <v>0</v>
      </c>
      <c r="H479" s="9">
        <f>Table13[[#This Row],[dicharge_date]]</f>
        <v>0</v>
      </c>
      <c r="I479" s="13" t="str">
        <f t="shared" si="20"/>
        <v/>
      </c>
      <c r="J479" s="9">
        <f t="shared" si="21"/>
        <v>30</v>
      </c>
    </row>
    <row r="480" spans="1:10" ht="23.25" customHeight="1">
      <c r="A480">
        <f>Table4[[#This Row],[Column1]]</f>
        <v>0</v>
      </c>
      <c r="B480">
        <f>Table4[[#This Row],[Column2]]</f>
        <v>0</v>
      </c>
      <c r="H480" s="9">
        <f>Table13[[#This Row],[dicharge_date]]</f>
        <v>0</v>
      </c>
      <c r="I480" s="13" t="str">
        <f t="shared" si="20"/>
        <v/>
      </c>
      <c r="J480" s="9">
        <f t="shared" si="21"/>
        <v>30</v>
      </c>
    </row>
    <row r="481" spans="1:10" ht="23.25" customHeight="1">
      <c r="A481">
        <f>Table4[[#This Row],[Column1]]</f>
        <v>0</v>
      </c>
      <c r="B481">
        <f>Table4[[#This Row],[Column2]]</f>
        <v>0</v>
      </c>
      <c r="H481" s="9">
        <f>Table13[[#This Row],[dicharge_date]]</f>
        <v>0</v>
      </c>
      <c r="I481" s="13" t="str">
        <f t="shared" si="20"/>
        <v/>
      </c>
      <c r="J481" s="9">
        <f t="shared" si="21"/>
        <v>30</v>
      </c>
    </row>
    <row r="482" spans="1:10" ht="23.25" customHeight="1">
      <c r="A482">
        <f>Table4[[#This Row],[Column1]]</f>
        <v>0</v>
      </c>
      <c r="B482">
        <f>Table4[[#This Row],[Column2]]</f>
        <v>0</v>
      </c>
      <c r="H482" s="9">
        <f>Table13[[#This Row],[dicharge_date]]</f>
        <v>0</v>
      </c>
      <c r="I482" s="13" t="str">
        <f t="shared" si="20"/>
        <v/>
      </c>
      <c r="J482" s="9">
        <f t="shared" si="21"/>
        <v>30</v>
      </c>
    </row>
    <row r="483" spans="1:10" ht="23.25" customHeight="1">
      <c r="A483">
        <f>Table4[[#This Row],[Column1]]</f>
        <v>0</v>
      </c>
      <c r="B483">
        <f>Table4[[#This Row],[Column2]]</f>
        <v>0</v>
      </c>
      <c r="H483" s="9">
        <f>Table13[[#This Row],[dicharge_date]]</f>
        <v>0</v>
      </c>
      <c r="I483" s="13" t="str">
        <f t="shared" si="20"/>
        <v/>
      </c>
      <c r="J483" s="9">
        <f t="shared" si="21"/>
        <v>30</v>
      </c>
    </row>
    <row r="484" spans="1:10" ht="23.25" customHeight="1">
      <c r="A484">
        <f>Table4[[#This Row],[Column1]]</f>
        <v>0</v>
      </c>
      <c r="B484">
        <f>Table4[[#This Row],[Column2]]</f>
        <v>0</v>
      </c>
      <c r="H484" s="9">
        <f>Table13[[#This Row],[dicharge_date]]</f>
        <v>0</v>
      </c>
      <c r="I484" s="13" t="str">
        <f t="shared" si="20"/>
        <v/>
      </c>
      <c r="J484" s="9">
        <f t="shared" si="21"/>
        <v>30</v>
      </c>
    </row>
    <row r="485" spans="1:10" ht="23.25" customHeight="1">
      <c r="A485">
        <f>Table4[[#This Row],[Column1]]</f>
        <v>0</v>
      </c>
      <c r="B485">
        <f>Table4[[#This Row],[Column2]]</f>
        <v>0</v>
      </c>
      <c r="H485" s="9">
        <f>Table13[[#This Row],[dicharge_date]]</f>
        <v>0</v>
      </c>
      <c r="I485" s="13" t="str">
        <f t="shared" si="20"/>
        <v/>
      </c>
      <c r="J485" s="9">
        <f t="shared" si="21"/>
        <v>30</v>
      </c>
    </row>
    <row r="486" spans="1:10" ht="23.25" customHeight="1">
      <c r="A486">
        <f>Table4[[#This Row],[Column1]]</f>
        <v>0</v>
      </c>
      <c r="B486">
        <f>Table4[[#This Row],[Column2]]</f>
        <v>0</v>
      </c>
      <c r="H486" s="9">
        <f>Table13[[#This Row],[dicharge_date]]</f>
        <v>0</v>
      </c>
      <c r="I486" s="13" t="str">
        <f t="shared" si="20"/>
        <v/>
      </c>
      <c r="J486" s="9">
        <f t="shared" si="21"/>
        <v>30</v>
      </c>
    </row>
    <row r="487" spans="1:10" ht="23.25" customHeight="1">
      <c r="A487">
        <f>Table4[[#This Row],[Column1]]</f>
        <v>0</v>
      </c>
      <c r="B487">
        <f>Table4[[#This Row],[Column2]]</f>
        <v>0</v>
      </c>
      <c r="H487" s="9">
        <f>Table13[[#This Row],[dicharge_date]]</f>
        <v>0</v>
      </c>
      <c r="I487" s="13" t="str">
        <f t="shared" ref="I487:I550" si="22">IF( E487&lt;&gt;"", H487-E487,"")</f>
        <v/>
      </c>
      <c r="J487" s="9">
        <f t="shared" si="21"/>
        <v>30</v>
      </c>
    </row>
    <row r="488" spans="1:10" ht="23.25" customHeight="1">
      <c r="A488">
        <f>Table4[[#This Row],[Column1]]</f>
        <v>0</v>
      </c>
      <c r="B488">
        <f>Table4[[#This Row],[Column2]]</f>
        <v>0</v>
      </c>
      <c r="H488" s="9">
        <f>Table13[[#This Row],[dicharge_date]]</f>
        <v>0</v>
      </c>
      <c r="I488" s="13" t="str">
        <f t="shared" si="22"/>
        <v/>
      </c>
      <c r="J488" s="9">
        <f t="shared" si="21"/>
        <v>30</v>
      </c>
    </row>
    <row r="489" spans="1:10" ht="23.25" customHeight="1">
      <c r="A489">
        <f>Table4[[#This Row],[Column1]]</f>
        <v>0</v>
      </c>
      <c r="B489">
        <f>Table4[[#This Row],[Column2]]</f>
        <v>0</v>
      </c>
      <c r="H489" s="9">
        <f>Table13[[#This Row],[dicharge_date]]</f>
        <v>0</v>
      </c>
      <c r="I489" s="13" t="str">
        <f t="shared" si="22"/>
        <v/>
      </c>
      <c r="J489" s="9">
        <f t="shared" si="21"/>
        <v>30</v>
      </c>
    </row>
    <row r="490" spans="1:10" ht="23.25" customHeight="1">
      <c r="A490">
        <f>Table4[[#This Row],[Column1]]</f>
        <v>0</v>
      </c>
      <c r="B490">
        <f>Table4[[#This Row],[Column2]]</f>
        <v>0</v>
      </c>
      <c r="H490" s="9">
        <f>Table13[[#This Row],[dicharge_date]]</f>
        <v>0</v>
      </c>
      <c r="I490" s="13" t="str">
        <f t="shared" si="22"/>
        <v/>
      </c>
      <c r="J490" s="9">
        <f t="shared" si="21"/>
        <v>30</v>
      </c>
    </row>
    <row r="491" spans="1:10" ht="23.25" customHeight="1">
      <c r="A491">
        <f>Table4[[#This Row],[Column1]]</f>
        <v>0</v>
      </c>
      <c r="B491">
        <f>Table4[[#This Row],[Column2]]</f>
        <v>0</v>
      </c>
      <c r="H491" s="9">
        <f>Table13[[#This Row],[dicharge_date]]</f>
        <v>0</v>
      </c>
      <c r="I491" s="13" t="str">
        <f t="shared" si="22"/>
        <v/>
      </c>
      <c r="J491" s="9">
        <f t="shared" si="21"/>
        <v>30</v>
      </c>
    </row>
    <row r="492" spans="1:10" ht="23.25" customHeight="1">
      <c r="A492">
        <f>Table4[[#This Row],[Column1]]</f>
        <v>0</v>
      </c>
      <c r="B492">
        <f>Table4[[#This Row],[Column2]]</f>
        <v>0</v>
      </c>
      <c r="H492" s="9">
        <f>Table13[[#This Row],[dicharge_date]]</f>
        <v>0</v>
      </c>
      <c r="I492" s="13" t="str">
        <f t="shared" si="22"/>
        <v/>
      </c>
      <c r="J492" s="9">
        <f t="shared" si="21"/>
        <v>30</v>
      </c>
    </row>
    <row r="493" spans="1:10" ht="23.25" customHeight="1">
      <c r="A493">
        <f>Table4[[#This Row],[Column1]]</f>
        <v>0</v>
      </c>
      <c r="B493">
        <f>Table4[[#This Row],[Column2]]</f>
        <v>0</v>
      </c>
      <c r="H493" s="9">
        <f>Table13[[#This Row],[dicharge_date]]</f>
        <v>0</v>
      </c>
      <c r="I493" s="13" t="str">
        <f t="shared" si="22"/>
        <v/>
      </c>
      <c r="J493" s="9">
        <f t="shared" si="21"/>
        <v>30</v>
      </c>
    </row>
    <row r="494" spans="1:10" ht="23.25" customHeight="1">
      <c r="A494">
        <f>Table4[[#This Row],[Column1]]</f>
        <v>0</v>
      </c>
      <c r="B494">
        <f>Table4[[#This Row],[Column2]]</f>
        <v>0</v>
      </c>
      <c r="H494" s="9">
        <f>Table13[[#This Row],[dicharge_date]]</f>
        <v>0</v>
      </c>
      <c r="I494" s="13" t="str">
        <f t="shared" si="22"/>
        <v/>
      </c>
      <c r="J494" s="9">
        <f t="shared" si="21"/>
        <v>30</v>
      </c>
    </row>
    <row r="495" spans="1:10" ht="23.25" customHeight="1">
      <c r="A495">
        <f>Table4[[#This Row],[Column1]]</f>
        <v>0</v>
      </c>
      <c r="B495">
        <f>Table4[[#This Row],[Column2]]</f>
        <v>0</v>
      </c>
      <c r="H495" s="9">
        <f>Table13[[#This Row],[dicharge_date]]</f>
        <v>0</v>
      </c>
      <c r="I495" s="13" t="str">
        <f t="shared" si="22"/>
        <v/>
      </c>
      <c r="J495" s="9">
        <f t="shared" si="21"/>
        <v>30</v>
      </c>
    </row>
    <row r="496" spans="1:10" ht="23.25" customHeight="1">
      <c r="A496">
        <f>Table4[[#This Row],[Column1]]</f>
        <v>0</v>
      </c>
      <c r="B496">
        <f>Table4[[#This Row],[Column2]]</f>
        <v>0</v>
      </c>
      <c r="H496" s="9">
        <f>Table13[[#This Row],[dicharge_date]]</f>
        <v>0</v>
      </c>
      <c r="I496" s="13" t="str">
        <f t="shared" si="22"/>
        <v/>
      </c>
      <c r="J496" s="9">
        <f t="shared" si="21"/>
        <v>30</v>
      </c>
    </row>
    <row r="497" spans="1:10" ht="23.25" customHeight="1">
      <c r="A497">
        <f>Table4[[#This Row],[Column1]]</f>
        <v>0</v>
      </c>
      <c r="B497">
        <f>Table4[[#This Row],[Column2]]</f>
        <v>0</v>
      </c>
      <c r="H497" s="9">
        <f>Table13[[#This Row],[dicharge_date]]</f>
        <v>0</v>
      </c>
      <c r="I497" s="13" t="str">
        <f t="shared" si="22"/>
        <v/>
      </c>
      <c r="J497" s="9">
        <f t="shared" si="21"/>
        <v>30</v>
      </c>
    </row>
    <row r="498" spans="1:10" ht="23.25" customHeight="1">
      <c r="A498">
        <f>Table4[[#This Row],[Column1]]</f>
        <v>0</v>
      </c>
      <c r="B498">
        <f>Table4[[#This Row],[Column2]]</f>
        <v>0</v>
      </c>
      <c r="H498" s="9">
        <f>Table13[[#This Row],[dicharge_date]]</f>
        <v>0</v>
      </c>
      <c r="I498" s="13" t="str">
        <f t="shared" si="22"/>
        <v/>
      </c>
      <c r="J498" s="9">
        <f t="shared" si="21"/>
        <v>30</v>
      </c>
    </row>
    <row r="499" spans="1:10" ht="23.25" customHeight="1">
      <c r="A499">
        <f>Table4[[#This Row],[Column1]]</f>
        <v>0</v>
      </c>
      <c r="B499">
        <f>Table4[[#This Row],[Column2]]</f>
        <v>0</v>
      </c>
      <c r="H499" s="9">
        <f>Table13[[#This Row],[dicharge_date]]</f>
        <v>0</v>
      </c>
      <c r="I499" s="13" t="str">
        <f t="shared" si="22"/>
        <v/>
      </c>
      <c r="J499" s="9">
        <f t="shared" si="21"/>
        <v>30</v>
      </c>
    </row>
    <row r="500" spans="1:10" ht="23.25" customHeight="1">
      <c r="A500">
        <f>Table4[[#This Row],[Column1]]</f>
        <v>0</v>
      </c>
      <c r="B500">
        <f>Table4[[#This Row],[Column2]]</f>
        <v>0</v>
      </c>
      <c r="H500" s="9">
        <f>Table13[[#This Row],[dicharge_date]]</f>
        <v>0</v>
      </c>
      <c r="I500" s="13" t="str">
        <f t="shared" si="22"/>
        <v/>
      </c>
      <c r="J500" s="9">
        <f t="shared" si="21"/>
        <v>30</v>
      </c>
    </row>
    <row r="501" spans="1:10" ht="23.25" customHeight="1">
      <c r="A501">
        <f>Table4[[#This Row],[Column1]]</f>
        <v>0</v>
      </c>
      <c r="B501">
        <f>Table4[[#This Row],[Column2]]</f>
        <v>0</v>
      </c>
      <c r="H501" s="9">
        <f>Table13[[#This Row],[dicharge_date]]</f>
        <v>0</v>
      </c>
      <c r="I501" s="13" t="str">
        <f t="shared" si="22"/>
        <v/>
      </c>
      <c r="J501" s="9">
        <f t="shared" si="21"/>
        <v>30</v>
      </c>
    </row>
    <row r="502" spans="1:10" ht="23.25" customHeight="1">
      <c r="A502">
        <f>Table4[[#This Row],[Column1]]</f>
        <v>0</v>
      </c>
      <c r="B502">
        <f>Table4[[#This Row],[Column2]]</f>
        <v>0</v>
      </c>
      <c r="H502" s="9">
        <f>Table13[[#This Row],[dicharge_date]]</f>
        <v>0</v>
      </c>
      <c r="I502" s="13" t="str">
        <f t="shared" si="22"/>
        <v/>
      </c>
      <c r="J502" s="9">
        <f t="shared" si="21"/>
        <v>30</v>
      </c>
    </row>
    <row r="503" spans="1:10" ht="23.25" customHeight="1">
      <c r="A503">
        <f>Table4[[#This Row],[Column1]]</f>
        <v>0</v>
      </c>
      <c r="B503">
        <f>Table4[[#This Row],[Column2]]</f>
        <v>0</v>
      </c>
      <c r="H503" s="9">
        <f>Table13[[#This Row],[dicharge_date]]</f>
        <v>0</v>
      </c>
      <c r="I503" s="13" t="str">
        <f t="shared" si="22"/>
        <v/>
      </c>
      <c r="J503" s="9">
        <f t="shared" si="21"/>
        <v>30</v>
      </c>
    </row>
    <row r="504" spans="1:10" ht="23.25" customHeight="1">
      <c r="A504">
        <f>Table4[[#This Row],[Column1]]</f>
        <v>0</v>
      </c>
      <c r="B504">
        <f>Table4[[#This Row],[Column2]]</f>
        <v>0</v>
      </c>
      <c r="H504" s="9">
        <f>Table13[[#This Row],[dicharge_date]]</f>
        <v>0</v>
      </c>
      <c r="I504" s="13" t="str">
        <f t="shared" si="22"/>
        <v/>
      </c>
      <c r="J504" s="9">
        <f t="shared" si="21"/>
        <v>30</v>
      </c>
    </row>
    <row r="505" spans="1:10" ht="23.25" customHeight="1">
      <c r="A505">
        <f>Table4[[#This Row],[Column1]]</f>
        <v>0</v>
      </c>
      <c r="B505">
        <f>Table4[[#This Row],[Column2]]</f>
        <v>0</v>
      </c>
      <c r="H505" s="9">
        <f>Table13[[#This Row],[dicharge_date]]</f>
        <v>0</v>
      </c>
      <c r="I505" s="13" t="str">
        <f t="shared" si="22"/>
        <v/>
      </c>
      <c r="J505" s="9">
        <f t="shared" si="21"/>
        <v>30</v>
      </c>
    </row>
    <row r="506" spans="1:10" ht="23.25" customHeight="1">
      <c r="A506">
        <f>Table4[[#This Row],[Column1]]</f>
        <v>0</v>
      </c>
      <c r="B506">
        <f>Table4[[#This Row],[Column2]]</f>
        <v>0</v>
      </c>
      <c r="H506" s="9">
        <f>Table13[[#This Row],[dicharge_date]]</f>
        <v>0</v>
      </c>
      <c r="I506" s="13" t="str">
        <f t="shared" si="22"/>
        <v/>
      </c>
      <c r="J506" s="9">
        <f t="shared" si="21"/>
        <v>30</v>
      </c>
    </row>
    <row r="507" spans="1:10" ht="23.25" customHeight="1">
      <c r="A507">
        <f>Table4[[#This Row],[Column1]]</f>
        <v>0</v>
      </c>
      <c r="B507">
        <f>Table4[[#This Row],[Column2]]</f>
        <v>0</v>
      </c>
      <c r="H507" s="9">
        <f>Table13[[#This Row],[dicharge_date]]</f>
        <v>0</v>
      </c>
      <c r="I507" s="13" t="str">
        <f t="shared" si="22"/>
        <v/>
      </c>
      <c r="J507" s="9">
        <f t="shared" si="21"/>
        <v>30</v>
      </c>
    </row>
    <row r="508" spans="1:10" ht="23.25" customHeight="1">
      <c r="A508">
        <f>Table4[[#This Row],[Column1]]</f>
        <v>0</v>
      </c>
      <c r="B508">
        <f>Table4[[#This Row],[Column2]]</f>
        <v>0</v>
      </c>
      <c r="H508" s="9">
        <f>Table13[[#This Row],[dicharge_date]]</f>
        <v>0</v>
      </c>
      <c r="I508" s="13" t="str">
        <f t="shared" si="22"/>
        <v/>
      </c>
      <c r="J508" s="9">
        <f t="shared" si="21"/>
        <v>30</v>
      </c>
    </row>
    <row r="509" spans="1:10" ht="23.25" customHeight="1">
      <c r="A509">
        <f>Table4[[#This Row],[Column1]]</f>
        <v>0</v>
      </c>
      <c r="B509">
        <f>Table4[[#This Row],[Column2]]</f>
        <v>0</v>
      </c>
      <c r="H509" s="9">
        <f>Table13[[#This Row],[dicharge_date]]</f>
        <v>0</v>
      </c>
      <c r="I509" s="13" t="str">
        <f t="shared" si="22"/>
        <v/>
      </c>
      <c r="J509" s="9">
        <f t="shared" si="21"/>
        <v>30</v>
      </c>
    </row>
    <row r="510" spans="1:10" ht="23.25" customHeight="1">
      <c r="A510">
        <f>Table4[[#This Row],[Column1]]</f>
        <v>0</v>
      </c>
      <c r="B510">
        <f>Table4[[#This Row],[Column2]]</f>
        <v>0</v>
      </c>
      <c r="H510" s="9">
        <f>Table13[[#This Row],[dicharge_date]]</f>
        <v>0</v>
      </c>
      <c r="I510" s="13" t="str">
        <f t="shared" si="22"/>
        <v/>
      </c>
      <c r="J510" s="9">
        <f t="shared" si="21"/>
        <v>30</v>
      </c>
    </row>
    <row r="511" spans="1:10" ht="23.25" customHeight="1">
      <c r="A511">
        <f>Table4[[#This Row],[Column1]]</f>
        <v>0</v>
      </c>
      <c r="B511">
        <f>Table4[[#This Row],[Column2]]</f>
        <v>0</v>
      </c>
      <c r="H511" s="9">
        <f>Table13[[#This Row],[dicharge_date]]</f>
        <v>0</v>
      </c>
      <c r="I511" s="13" t="str">
        <f t="shared" si="22"/>
        <v/>
      </c>
      <c r="J511" s="9">
        <f t="shared" si="21"/>
        <v>30</v>
      </c>
    </row>
    <row r="512" spans="1:10" ht="23.25" customHeight="1">
      <c r="A512">
        <f>Table4[[#This Row],[Column1]]</f>
        <v>0</v>
      </c>
      <c r="B512">
        <f>Table4[[#This Row],[Column2]]</f>
        <v>0</v>
      </c>
      <c r="H512" s="9">
        <f>Table13[[#This Row],[dicharge_date]]</f>
        <v>0</v>
      </c>
      <c r="I512" s="13" t="str">
        <f t="shared" si="22"/>
        <v/>
      </c>
      <c r="J512" s="9">
        <f t="shared" si="21"/>
        <v>30</v>
      </c>
    </row>
    <row r="513" spans="1:10" ht="23.25" customHeight="1">
      <c r="A513">
        <f>Table4[[#This Row],[Column1]]</f>
        <v>0</v>
      </c>
      <c r="B513">
        <f>Table4[[#This Row],[Column2]]</f>
        <v>0</v>
      </c>
      <c r="H513" s="9">
        <f>Table13[[#This Row],[dicharge_date]]</f>
        <v>0</v>
      </c>
      <c r="I513" s="13" t="str">
        <f t="shared" si="22"/>
        <v/>
      </c>
      <c r="J513" s="9">
        <f t="shared" si="21"/>
        <v>30</v>
      </c>
    </row>
    <row r="514" spans="1:10" ht="23.25" customHeight="1">
      <c r="A514">
        <f>Table4[[#This Row],[Column1]]</f>
        <v>0</v>
      </c>
      <c r="B514">
        <f>Table4[[#This Row],[Column2]]</f>
        <v>0</v>
      </c>
      <c r="H514" s="9">
        <f>Table13[[#This Row],[dicharge_date]]</f>
        <v>0</v>
      </c>
      <c r="I514" s="13" t="str">
        <f t="shared" si="22"/>
        <v/>
      </c>
      <c r="J514" s="9">
        <f t="shared" ref="J514:J577" si="23">IF( H514&lt;&gt;"", H514+30,"")</f>
        <v>30</v>
      </c>
    </row>
    <row r="515" spans="1:10" ht="23.25" customHeight="1">
      <c r="A515">
        <f>Table4[[#This Row],[Column1]]</f>
        <v>0</v>
      </c>
      <c r="B515">
        <f>Table4[[#This Row],[Column2]]</f>
        <v>0</v>
      </c>
      <c r="H515" s="9">
        <f>Table13[[#This Row],[dicharge_date]]</f>
        <v>0</v>
      </c>
      <c r="I515" s="13" t="str">
        <f t="shared" si="22"/>
        <v/>
      </c>
      <c r="J515" s="9">
        <f t="shared" si="23"/>
        <v>30</v>
      </c>
    </row>
    <row r="516" spans="1:10" ht="23.25" customHeight="1">
      <c r="A516">
        <f>Table4[[#This Row],[Column1]]</f>
        <v>0</v>
      </c>
      <c r="B516">
        <f>Table4[[#This Row],[Column2]]</f>
        <v>0</v>
      </c>
      <c r="H516" s="9">
        <f>Table13[[#This Row],[dicharge_date]]</f>
        <v>0</v>
      </c>
      <c r="I516" s="13" t="str">
        <f t="shared" si="22"/>
        <v/>
      </c>
      <c r="J516" s="9">
        <f t="shared" si="23"/>
        <v>30</v>
      </c>
    </row>
    <row r="517" spans="1:10" ht="23.25" customHeight="1">
      <c r="A517">
        <f>Table4[[#This Row],[Column1]]</f>
        <v>0</v>
      </c>
      <c r="B517">
        <f>Table4[[#This Row],[Column2]]</f>
        <v>0</v>
      </c>
      <c r="H517" s="9">
        <f>Table13[[#This Row],[dicharge_date]]</f>
        <v>0</v>
      </c>
      <c r="I517" s="13" t="str">
        <f t="shared" si="22"/>
        <v/>
      </c>
      <c r="J517" s="9">
        <f t="shared" si="23"/>
        <v>30</v>
      </c>
    </row>
    <row r="518" spans="1:10" ht="23.25" customHeight="1">
      <c r="A518">
        <f>Table4[[#This Row],[Column1]]</f>
        <v>0</v>
      </c>
      <c r="B518">
        <f>Table4[[#This Row],[Column2]]</f>
        <v>0</v>
      </c>
      <c r="H518" s="9">
        <f>Table13[[#This Row],[dicharge_date]]</f>
        <v>0</v>
      </c>
      <c r="I518" s="13" t="str">
        <f t="shared" si="22"/>
        <v/>
      </c>
      <c r="J518" s="9">
        <f t="shared" si="23"/>
        <v>30</v>
      </c>
    </row>
    <row r="519" spans="1:10" ht="23.25" customHeight="1">
      <c r="A519">
        <f>Table4[[#This Row],[Column1]]</f>
        <v>0</v>
      </c>
      <c r="B519">
        <f>Table4[[#This Row],[Column2]]</f>
        <v>0</v>
      </c>
      <c r="H519" s="9">
        <f>Table13[[#This Row],[dicharge_date]]</f>
        <v>0</v>
      </c>
      <c r="I519" s="13" t="str">
        <f t="shared" si="22"/>
        <v/>
      </c>
      <c r="J519" s="9">
        <f t="shared" si="23"/>
        <v>30</v>
      </c>
    </row>
    <row r="520" spans="1:10" ht="23.25" customHeight="1">
      <c r="A520">
        <f>Table4[[#This Row],[Column1]]</f>
        <v>0</v>
      </c>
      <c r="B520">
        <f>Table4[[#This Row],[Column2]]</f>
        <v>0</v>
      </c>
      <c r="H520" s="9">
        <f>Table13[[#This Row],[dicharge_date]]</f>
        <v>0</v>
      </c>
      <c r="I520" s="13" t="str">
        <f t="shared" si="22"/>
        <v/>
      </c>
      <c r="J520" s="9">
        <f t="shared" si="23"/>
        <v>30</v>
      </c>
    </row>
    <row r="521" spans="1:10" ht="23.25" customHeight="1">
      <c r="A521">
        <f>Table4[[#This Row],[Column1]]</f>
        <v>0</v>
      </c>
      <c r="B521">
        <f>Table4[[#This Row],[Column2]]</f>
        <v>0</v>
      </c>
      <c r="H521" s="9">
        <f>Table13[[#This Row],[dicharge_date]]</f>
        <v>0</v>
      </c>
      <c r="I521" s="13" t="str">
        <f t="shared" si="22"/>
        <v/>
      </c>
      <c r="J521" s="9">
        <f t="shared" si="23"/>
        <v>30</v>
      </c>
    </row>
    <row r="522" spans="1:10" ht="23.25" customHeight="1">
      <c r="A522">
        <f>Table4[[#This Row],[Column1]]</f>
        <v>0</v>
      </c>
      <c r="B522">
        <f>Table4[[#This Row],[Column2]]</f>
        <v>0</v>
      </c>
      <c r="H522" s="9">
        <f>Table13[[#This Row],[dicharge_date]]</f>
        <v>0</v>
      </c>
      <c r="I522" s="13" t="str">
        <f t="shared" si="22"/>
        <v/>
      </c>
      <c r="J522" s="9">
        <f t="shared" si="23"/>
        <v>30</v>
      </c>
    </row>
    <row r="523" spans="1:10" ht="23.25" customHeight="1">
      <c r="A523">
        <f>Table4[[#This Row],[Column1]]</f>
        <v>0</v>
      </c>
      <c r="B523">
        <f>Table4[[#This Row],[Column2]]</f>
        <v>0</v>
      </c>
      <c r="H523" s="9">
        <f>Table13[[#This Row],[dicharge_date]]</f>
        <v>0</v>
      </c>
      <c r="I523" s="13" t="str">
        <f t="shared" si="22"/>
        <v/>
      </c>
      <c r="J523" s="9">
        <f t="shared" si="23"/>
        <v>30</v>
      </c>
    </row>
    <row r="524" spans="1:10" ht="23.25" customHeight="1">
      <c r="A524">
        <f>Table4[[#This Row],[Column1]]</f>
        <v>0</v>
      </c>
      <c r="B524">
        <f>Table4[[#This Row],[Column2]]</f>
        <v>0</v>
      </c>
      <c r="H524" s="9">
        <f>Table13[[#This Row],[dicharge_date]]</f>
        <v>0</v>
      </c>
      <c r="I524" s="13" t="str">
        <f t="shared" si="22"/>
        <v/>
      </c>
      <c r="J524" s="9">
        <f t="shared" si="23"/>
        <v>30</v>
      </c>
    </row>
    <row r="525" spans="1:10" ht="23.25" customHeight="1">
      <c r="A525">
        <f>Table4[[#This Row],[Column1]]</f>
        <v>0</v>
      </c>
      <c r="B525">
        <f>Table4[[#This Row],[Column2]]</f>
        <v>0</v>
      </c>
      <c r="H525" s="9">
        <f>Table13[[#This Row],[dicharge_date]]</f>
        <v>0</v>
      </c>
      <c r="I525" s="13" t="str">
        <f t="shared" si="22"/>
        <v/>
      </c>
      <c r="J525" s="9">
        <f t="shared" si="23"/>
        <v>30</v>
      </c>
    </row>
    <row r="526" spans="1:10" ht="23.25" customHeight="1">
      <c r="A526">
        <f>Table4[[#This Row],[Column1]]</f>
        <v>0</v>
      </c>
      <c r="B526">
        <f>Table4[[#This Row],[Column2]]</f>
        <v>0</v>
      </c>
      <c r="H526" s="9">
        <f>Table13[[#This Row],[dicharge_date]]</f>
        <v>0</v>
      </c>
      <c r="I526" s="13" t="str">
        <f t="shared" si="22"/>
        <v/>
      </c>
      <c r="J526" s="9">
        <f t="shared" si="23"/>
        <v>30</v>
      </c>
    </row>
    <row r="527" spans="1:10" ht="23.25" customHeight="1">
      <c r="A527">
        <f>Table4[[#This Row],[Column1]]</f>
        <v>0</v>
      </c>
      <c r="B527">
        <f>Table4[[#This Row],[Column2]]</f>
        <v>0</v>
      </c>
      <c r="H527" s="9">
        <f>Table13[[#This Row],[dicharge_date]]</f>
        <v>0</v>
      </c>
      <c r="I527" s="13" t="str">
        <f t="shared" si="22"/>
        <v/>
      </c>
      <c r="J527" s="9">
        <f t="shared" si="23"/>
        <v>30</v>
      </c>
    </row>
    <row r="528" spans="1:10" ht="23.25" customHeight="1">
      <c r="A528">
        <f>Table4[[#This Row],[Column1]]</f>
        <v>0</v>
      </c>
      <c r="B528">
        <f>Table4[[#This Row],[Column2]]</f>
        <v>0</v>
      </c>
      <c r="H528" s="9">
        <f>Table13[[#This Row],[dicharge_date]]</f>
        <v>0</v>
      </c>
      <c r="I528" s="13" t="str">
        <f t="shared" si="22"/>
        <v/>
      </c>
      <c r="J528" s="9">
        <f t="shared" si="23"/>
        <v>30</v>
      </c>
    </row>
    <row r="529" spans="1:10" ht="23.25" customHeight="1">
      <c r="A529">
        <f>Table4[[#This Row],[Column1]]</f>
        <v>0</v>
      </c>
      <c r="B529">
        <f>Table4[[#This Row],[Column2]]</f>
        <v>0</v>
      </c>
      <c r="H529" s="9">
        <f>Table13[[#This Row],[dicharge_date]]</f>
        <v>0</v>
      </c>
      <c r="I529" s="13" t="str">
        <f t="shared" si="22"/>
        <v/>
      </c>
      <c r="J529" s="9">
        <f t="shared" si="23"/>
        <v>30</v>
      </c>
    </row>
    <row r="530" spans="1:10" ht="23.25" customHeight="1">
      <c r="A530">
        <f>Table4[[#This Row],[Column1]]</f>
        <v>0</v>
      </c>
      <c r="B530">
        <f>Table4[[#This Row],[Column2]]</f>
        <v>0</v>
      </c>
      <c r="H530" s="9">
        <f>Table13[[#This Row],[dicharge_date]]</f>
        <v>0</v>
      </c>
      <c r="I530" s="13" t="str">
        <f t="shared" si="22"/>
        <v/>
      </c>
      <c r="J530" s="9">
        <f t="shared" si="23"/>
        <v>30</v>
      </c>
    </row>
    <row r="531" spans="1:10" ht="23.25" customHeight="1">
      <c r="A531">
        <f>Table4[[#This Row],[Column1]]</f>
        <v>0</v>
      </c>
      <c r="B531">
        <f>Table4[[#This Row],[Column2]]</f>
        <v>0</v>
      </c>
      <c r="H531" s="9">
        <f>Table13[[#This Row],[dicharge_date]]</f>
        <v>0</v>
      </c>
      <c r="I531" s="13" t="str">
        <f t="shared" si="22"/>
        <v/>
      </c>
      <c r="J531" s="9">
        <f t="shared" si="23"/>
        <v>30</v>
      </c>
    </row>
    <row r="532" spans="1:10" ht="23.25" customHeight="1">
      <c r="A532">
        <f>Table4[[#This Row],[Column1]]</f>
        <v>0</v>
      </c>
      <c r="B532">
        <f>Table4[[#This Row],[Column2]]</f>
        <v>0</v>
      </c>
      <c r="H532" s="9">
        <f>Table13[[#This Row],[dicharge_date]]</f>
        <v>0</v>
      </c>
      <c r="I532" s="13" t="str">
        <f t="shared" si="22"/>
        <v/>
      </c>
      <c r="J532" s="9">
        <f t="shared" si="23"/>
        <v>30</v>
      </c>
    </row>
    <row r="533" spans="1:10" ht="23.25" customHeight="1">
      <c r="A533">
        <f>Table4[[#This Row],[Column1]]</f>
        <v>0</v>
      </c>
      <c r="B533">
        <f>Table4[[#This Row],[Column2]]</f>
        <v>0</v>
      </c>
      <c r="H533" s="9">
        <f>Table13[[#This Row],[dicharge_date]]</f>
        <v>0</v>
      </c>
      <c r="I533" s="13" t="str">
        <f t="shared" si="22"/>
        <v/>
      </c>
      <c r="J533" s="9">
        <f t="shared" si="23"/>
        <v>30</v>
      </c>
    </row>
    <row r="534" spans="1:10" ht="23.25" customHeight="1">
      <c r="A534">
        <f>Table4[[#This Row],[Column1]]</f>
        <v>0</v>
      </c>
      <c r="B534">
        <f>Table4[[#This Row],[Column2]]</f>
        <v>0</v>
      </c>
      <c r="H534" s="9">
        <f>Table13[[#This Row],[dicharge_date]]</f>
        <v>0</v>
      </c>
      <c r="I534" s="13" t="str">
        <f t="shared" si="22"/>
        <v/>
      </c>
      <c r="J534" s="9">
        <f t="shared" si="23"/>
        <v>30</v>
      </c>
    </row>
    <row r="535" spans="1:10" ht="23.25" customHeight="1">
      <c r="A535">
        <f>Table4[[#This Row],[Column1]]</f>
        <v>0</v>
      </c>
      <c r="B535">
        <f>Table4[[#This Row],[Column2]]</f>
        <v>0</v>
      </c>
      <c r="H535" s="9">
        <f>Table13[[#This Row],[dicharge_date]]</f>
        <v>0</v>
      </c>
      <c r="I535" s="13" t="str">
        <f t="shared" si="22"/>
        <v/>
      </c>
      <c r="J535" s="9">
        <f t="shared" si="23"/>
        <v>30</v>
      </c>
    </row>
    <row r="536" spans="1:10" ht="23.25" customHeight="1">
      <c r="A536">
        <f>Table4[[#This Row],[Column1]]</f>
        <v>0</v>
      </c>
      <c r="B536">
        <f>Table4[[#This Row],[Column2]]</f>
        <v>0</v>
      </c>
      <c r="H536" s="9">
        <f>Table13[[#This Row],[dicharge_date]]</f>
        <v>0</v>
      </c>
      <c r="I536" s="13" t="str">
        <f t="shared" si="22"/>
        <v/>
      </c>
      <c r="J536" s="9">
        <f t="shared" si="23"/>
        <v>30</v>
      </c>
    </row>
    <row r="537" spans="1:10" ht="23.25" customHeight="1">
      <c r="A537">
        <f>Table4[[#This Row],[Column1]]</f>
        <v>0</v>
      </c>
      <c r="B537">
        <f>Table4[[#This Row],[Column2]]</f>
        <v>0</v>
      </c>
      <c r="H537" s="9">
        <f>Table13[[#This Row],[dicharge_date]]</f>
        <v>0</v>
      </c>
      <c r="I537" s="13" t="str">
        <f t="shared" si="22"/>
        <v/>
      </c>
      <c r="J537" s="9">
        <f t="shared" si="23"/>
        <v>30</v>
      </c>
    </row>
    <row r="538" spans="1:10" ht="23.25" customHeight="1">
      <c r="A538">
        <f>Table4[[#This Row],[Column1]]</f>
        <v>0</v>
      </c>
      <c r="B538">
        <f>Table4[[#This Row],[Column2]]</f>
        <v>0</v>
      </c>
      <c r="H538" s="9">
        <f>Table13[[#This Row],[dicharge_date]]</f>
        <v>0</v>
      </c>
      <c r="I538" s="13" t="str">
        <f t="shared" si="22"/>
        <v/>
      </c>
      <c r="J538" s="9">
        <f t="shared" si="23"/>
        <v>30</v>
      </c>
    </row>
    <row r="539" spans="1:10" ht="23.25" customHeight="1">
      <c r="A539">
        <f>Table4[[#This Row],[Column1]]</f>
        <v>0</v>
      </c>
      <c r="B539">
        <f>Table4[[#This Row],[Column2]]</f>
        <v>0</v>
      </c>
      <c r="H539" s="9">
        <f>Table13[[#This Row],[dicharge_date]]</f>
        <v>0</v>
      </c>
      <c r="I539" s="13" t="str">
        <f t="shared" si="22"/>
        <v/>
      </c>
      <c r="J539" s="9">
        <f t="shared" si="23"/>
        <v>30</v>
      </c>
    </row>
    <row r="540" spans="1:10" ht="23.25" customHeight="1">
      <c r="A540">
        <f>Table4[[#This Row],[Column1]]</f>
        <v>0</v>
      </c>
      <c r="B540">
        <f>Table4[[#This Row],[Column2]]</f>
        <v>0</v>
      </c>
      <c r="H540" s="9">
        <f>Table13[[#This Row],[dicharge_date]]</f>
        <v>0</v>
      </c>
      <c r="I540" s="13" t="str">
        <f t="shared" si="22"/>
        <v/>
      </c>
      <c r="J540" s="9">
        <f t="shared" si="23"/>
        <v>30</v>
      </c>
    </row>
    <row r="541" spans="1:10" ht="23.25" customHeight="1">
      <c r="A541">
        <f>Table4[[#This Row],[Column1]]</f>
        <v>0</v>
      </c>
      <c r="B541">
        <f>Table4[[#This Row],[Column2]]</f>
        <v>0</v>
      </c>
      <c r="H541" s="9">
        <f>Table13[[#This Row],[dicharge_date]]</f>
        <v>0</v>
      </c>
      <c r="I541" s="13" t="str">
        <f t="shared" si="22"/>
        <v/>
      </c>
      <c r="J541" s="9">
        <f t="shared" si="23"/>
        <v>30</v>
      </c>
    </row>
    <row r="542" spans="1:10" ht="23.25" customHeight="1">
      <c r="A542">
        <f>Table4[[#This Row],[Column1]]</f>
        <v>0</v>
      </c>
      <c r="B542">
        <f>Table4[[#This Row],[Column2]]</f>
        <v>0</v>
      </c>
      <c r="H542" s="9">
        <f>Table13[[#This Row],[dicharge_date]]</f>
        <v>0</v>
      </c>
      <c r="I542" s="13" t="str">
        <f t="shared" si="22"/>
        <v/>
      </c>
      <c r="J542" s="9">
        <f t="shared" si="23"/>
        <v>30</v>
      </c>
    </row>
    <row r="543" spans="1:10" ht="23.25" customHeight="1">
      <c r="A543">
        <f>Table4[[#This Row],[Column1]]</f>
        <v>0</v>
      </c>
      <c r="B543">
        <f>Table4[[#This Row],[Column2]]</f>
        <v>0</v>
      </c>
      <c r="H543" s="9">
        <f>Table13[[#This Row],[dicharge_date]]</f>
        <v>0</v>
      </c>
      <c r="I543" s="13" t="str">
        <f t="shared" si="22"/>
        <v/>
      </c>
      <c r="J543" s="9">
        <f t="shared" si="23"/>
        <v>30</v>
      </c>
    </row>
    <row r="544" spans="1:10" ht="23.25" customHeight="1">
      <c r="A544">
        <f>Table4[[#This Row],[Column1]]</f>
        <v>0</v>
      </c>
      <c r="B544">
        <f>Table4[[#This Row],[Column2]]</f>
        <v>0</v>
      </c>
      <c r="H544" s="9">
        <f>Table13[[#This Row],[dicharge_date]]</f>
        <v>0</v>
      </c>
      <c r="I544" s="13" t="str">
        <f t="shared" si="22"/>
        <v/>
      </c>
      <c r="J544" s="9">
        <f t="shared" si="23"/>
        <v>30</v>
      </c>
    </row>
    <row r="545" spans="1:10" ht="23.25" customHeight="1">
      <c r="A545">
        <f>Table4[[#This Row],[Column1]]</f>
        <v>0</v>
      </c>
      <c r="B545">
        <f>Table4[[#This Row],[Column2]]</f>
        <v>0</v>
      </c>
      <c r="H545" s="9">
        <f>Table13[[#This Row],[dicharge_date]]</f>
        <v>0</v>
      </c>
      <c r="I545" s="13" t="str">
        <f t="shared" si="22"/>
        <v/>
      </c>
      <c r="J545" s="9">
        <f t="shared" si="23"/>
        <v>30</v>
      </c>
    </row>
    <row r="546" spans="1:10" ht="23.25" customHeight="1">
      <c r="A546">
        <f>Table4[[#This Row],[Column1]]</f>
        <v>0</v>
      </c>
      <c r="B546">
        <f>Table4[[#This Row],[Column2]]</f>
        <v>0</v>
      </c>
      <c r="H546" s="9">
        <f>Table13[[#This Row],[dicharge_date]]</f>
        <v>0</v>
      </c>
      <c r="I546" s="13" t="str">
        <f t="shared" si="22"/>
        <v/>
      </c>
      <c r="J546" s="9">
        <f t="shared" si="23"/>
        <v>30</v>
      </c>
    </row>
    <row r="547" spans="1:10" ht="23.25" customHeight="1">
      <c r="A547">
        <f>Table4[[#This Row],[Column1]]</f>
        <v>0</v>
      </c>
      <c r="B547">
        <f>Table4[[#This Row],[Column2]]</f>
        <v>0</v>
      </c>
      <c r="H547" s="9">
        <f>Table13[[#This Row],[dicharge_date]]</f>
        <v>0</v>
      </c>
      <c r="I547" s="13" t="str">
        <f t="shared" si="22"/>
        <v/>
      </c>
      <c r="J547" s="9">
        <f t="shared" si="23"/>
        <v>30</v>
      </c>
    </row>
    <row r="548" spans="1:10" ht="23.25" customHeight="1">
      <c r="A548">
        <f>Table4[[#This Row],[Column1]]</f>
        <v>0</v>
      </c>
      <c r="B548">
        <f>Table4[[#This Row],[Column2]]</f>
        <v>0</v>
      </c>
      <c r="H548" s="9">
        <f>Table13[[#This Row],[dicharge_date]]</f>
        <v>0</v>
      </c>
      <c r="I548" s="13" t="str">
        <f t="shared" si="22"/>
        <v/>
      </c>
      <c r="J548" s="9">
        <f t="shared" si="23"/>
        <v>30</v>
      </c>
    </row>
    <row r="549" spans="1:10" ht="23.25" customHeight="1">
      <c r="A549">
        <f>Table4[[#This Row],[Column1]]</f>
        <v>0</v>
      </c>
      <c r="B549">
        <f>Table4[[#This Row],[Column2]]</f>
        <v>0</v>
      </c>
      <c r="H549" s="9">
        <f>Table13[[#This Row],[dicharge_date]]</f>
        <v>0</v>
      </c>
      <c r="I549" s="13" t="str">
        <f t="shared" si="22"/>
        <v/>
      </c>
      <c r="J549" s="9">
        <f t="shared" si="23"/>
        <v>30</v>
      </c>
    </row>
    <row r="550" spans="1:10" ht="23.25" customHeight="1">
      <c r="A550">
        <f>Table4[[#This Row],[Column1]]</f>
        <v>0</v>
      </c>
      <c r="B550">
        <f>Table4[[#This Row],[Column2]]</f>
        <v>0</v>
      </c>
      <c r="H550" s="9">
        <f>Table13[[#This Row],[dicharge_date]]</f>
        <v>0</v>
      </c>
      <c r="I550" s="13" t="str">
        <f t="shared" si="22"/>
        <v/>
      </c>
      <c r="J550" s="9">
        <f t="shared" si="23"/>
        <v>30</v>
      </c>
    </row>
    <row r="551" spans="1:10" ht="23.25" customHeight="1">
      <c r="A551">
        <f>Table4[[#This Row],[Column1]]</f>
        <v>0</v>
      </c>
      <c r="B551">
        <f>Table4[[#This Row],[Column2]]</f>
        <v>0</v>
      </c>
      <c r="H551" s="9">
        <f>Table13[[#This Row],[dicharge_date]]</f>
        <v>0</v>
      </c>
      <c r="I551" s="13" t="str">
        <f t="shared" ref="I551:I614" si="24">IF( E551&lt;&gt;"", H551-E551,"")</f>
        <v/>
      </c>
      <c r="J551" s="9">
        <f t="shared" si="23"/>
        <v>30</v>
      </c>
    </row>
    <row r="552" spans="1:10" ht="23.25" customHeight="1">
      <c r="A552">
        <f>Table4[[#This Row],[Column1]]</f>
        <v>0</v>
      </c>
      <c r="B552">
        <f>Table4[[#This Row],[Column2]]</f>
        <v>0</v>
      </c>
      <c r="H552" s="9">
        <f>Table13[[#This Row],[dicharge_date]]</f>
        <v>0</v>
      </c>
      <c r="I552" s="13" t="str">
        <f t="shared" si="24"/>
        <v/>
      </c>
      <c r="J552" s="9">
        <f t="shared" si="23"/>
        <v>30</v>
      </c>
    </row>
    <row r="553" spans="1:10" ht="23.25" customHeight="1">
      <c r="A553">
        <f>Table4[[#This Row],[Column1]]</f>
        <v>0</v>
      </c>
      <c r="B553">
        <f>Table4[[#This Row],[Column2]]</f>
        <v>0</v>
      </c>
      <c r="H553" s="9">
        <f>Table13[[#This Row],[dicharge_date]]</f>
        <v>0</v>
      </c>
      <c r="I553" s="13" t="str">
        <f t="shared" si="24"/>
        <v/>
      </c>
      <c r="J553" s="9">
        <f t="shared" si="23"/>
        <v>30</v>
      </c>
    </row>
    <row r="554" spans="1:10" ht="23.25" customHeight="1">
      <c r="A554">
        <f>Table4[[#This Row],[Column1]]</f>
        <v>0</v>
      </c>
      <c r="B554">
        <f>Table4[[#This Row],[Column2]]</f>
        <v>0</v>
      </c>
      <c r="H554" s="9">
        <f>Table13[[#This Row],[dicharge_date]]</f>
        <v>0</v>
      </c>
      <c r="I554" s="13" t="str">
        <f t="shared" si="24"/>
        <v/>
      </c>
      <c r="J554" s="9">
        <f t="shared" si="23"/>
        <v>30</v>
      </c>
    </row>
    <row r="555" spans="1:10" ht="23.25" customHeight="1">
      <c r="A555">
        <f>Table4[[#This Row],[Column1]]</f>
        <v>0</v>
      </c>
      <c r="B555">
        <f>Table4[[#This Row],[Column2]]</f>
        <v>0</v>
      </c>
      <c r="H555" s="9">
        <f>Table13[[#This Row],[dicharge_date]]</f>
        <v>0</v>
      </c>
      <c r="I555" s="13" t="str">
        <f t="shared" si="24"/>
        <v/>
      </c>
      <c r="J555" s="9">
        <f t="shared" si="23"/>
        <v>30</v>
      </c>
    </row>
    <row r="556" spans="1:10" ht="23.25" customHeight="1">
      <c r="A556">
        <f>Table4[[#This Row],[Column1]]</f>
        <v>0</v>
      </c>
      <c r="B556">
        <f>Table4[[#This Row],[Column2]]</f>
        <v>0</v>
      </c>
      <c r="H556" s="9">
        <f>Table13[[#This Row],[dicharge_date]]</f>
        <v>0</v>
      </c>
      <c r="I556" s="13" t="str">
        <f t="shared" si="24"/>
        <v/>
      </c>
      <c r="J556" s="9">
        <f t="shared" si="23"/>
        <v>30</v>
      </c>
    </row>
    <row r="557" spans="1:10" ht="23.25" customHeight="1">
      <c r="A557">
        <f>Table4[[#This Row],[Column1]]</f>
        <v>0</v>
      </c>
      <c r="B557">
        <f>Table4[[#This Row],[Column2]]</f>
        <v>0</v>
      </c>
      <c r="H557" s="9">
        <f>Table13[[#This Row],[dicharge_date]]</f>
        <v>0</v>
      </c>
      <c r="I557" s="13" t="str">
        <f t="shared" si="24"/>
        <v/>
      </c>
      <c r="J557" s="9">
        <f t="shared" si="23"/>
        <v>30</v>
      </c>
    </row>
    <row r="558" spans="1:10" ht="23.25" customHeight="1">
      <c r="A558">
        <f>Table4[[#This Row],[Column1]]</f>
        <v>0</v>
      </c>
      <c r="B558">
        <f>Table4[[#This Row],[Column2]]</f>
        <v>0</v>
      </c>
      <c r="H558" s="9">
        <f>Table13[[#This Row],[dicharge_date]]</f>
        <v>0</v>
      </c>
      <c r="I558" s="13" t="str">
        <f t="shared" si="24"/>
        <v/>
      </c>
      <c r="J558" s="9">
        <f t="shared" si="23"/>
        <v>30</v>
      </c>
    </row>
    <row r="559" spans="1:10" ht="23.25" customHeight="1">
      <c r="A559">
        <f>Table4[[#This Row],[Column1]]</f>
        <v>0</v>
      </c>
      <c r="B559">
        <f>Table4[[#This Row],[Column2]]</f>
        <v>0</v>
      </c>
      <c r="H559" s="9">
        <f>Table13[[#This Row],[dicharge_date]]</f>
        <v>0</v>
      </c>
      <c r="I559" s="13" t="str">
        <f t="shared" si="24"/>
        <v/>
      </c>
      <c r="J559" s="9">
        <f t="shared" si="23"/>
        <v>30</v>
      </c>
    </row>
    <row r="560" spans="1:10" ht="23.25" customHeight="1">
      <c r="A560">
        <f>Table4[[#This Row],[Column1]]</f>
        <v>0</v>
      </c>
      <c r="B560">
        <f>Table4[[#This Row],[Column2]]</f>
        <v>0</v>
      </c>
      <c r="H560" s="9">
        <f>Table13[[#This Row],[dicharge_date]]</f>
        <v>0</v>
      </c>
      <c r="I560" s="13" t="str">
        <f t="shared" si="24"/>
        <v/>
      </c>
      <c r="J560" s="9">
        <f t="shared" si="23"/>
        <v>30</v>
      </c>
    </row>
    <row r="561" spans="1:10" ht="23.25" customHeight="1">
      <c r="A561">
        <f>Table4[[#This Row],[Column1]]</f>
        <v>0</v>
      </c>
      <c r="B561">
        <f>Table4[[#This Row],[Column2]]</f>
        <v>0</v>
      </c>
      <c r="H561" s="9">
        <f>Table13[[#This Row],[dicharge_date]]</f>
        <v>0</v>
      </c>
      <c r="I561" s="13" t="str">
        <f t="shared" si="24"/>
        <v/>
      </c>
      <c r="J561" s="9">
        <f t="shared" si="23"/>
        <v>30</v>
      </c>
    </row>
    <row r="562" spans="1:10" ht="23.25" customHeight="1">
      <c r="A562">
        <f>Table4[[#This Row],[Column1]]</f>
        <v>0</v>
      </c>
      <c r="B562">
        <f>Table4[[#This Row],[Column2]]</f>
        <v>0</v>
      </c>
      <c r="H562" s="9">
        <f>Table13[[#This Row],[dicharge_date]]</f>
        <v>0</v>
      </c>
      <c r="I562" s="13" t="str">
        <f t="shared" si="24"/>
        <v/>
      </c>
      <c r="J562" s="9">
        <f t="shared" si="23"/>
        <v>30</v>
      </c>
    </row>
    <row r="563" spans="1:10" ht="23.25" customHeight="1">
      <c r="A563">
        <f>Table4[[#This Row],[Column1]]</f>
        <v>0</v>
      </c>
      <c r="B563">
        <f>Table4[[#This Row],[Column2]]</f>
        <v>0</v>
      </c>
      <c r="H563" s="9">
        <f>Table13[[#This Row],[dicharge_date]]</f>
        <v>0</v>
      </c>
      <c r="I563" s="13" t="str">
        <f t="shared" si="24"/>
        <v/>
      </c>
      <c r="J563" s="9">
        <f t="shared" si="23"/>
        <v>30</v>
      </c>
    </row>
    <row r="564" spans="1:10" ht="23.25" customHeight="1">
      <c r="A564">
        <f>Table4[[#This Row],[Column1]]</f>
        <v>0</v>
      </c>
      <c r="B564">
        <f>Table4[[#This Row],[Column2]]</f>
        <v>0</v>
      </c>
      <c r="H564" s="9">
        <f>Table13[[#This Row],[dicharge_date]]</f>
        <v>0</v>
      </c>
      <c r="I564" s="13" t="str">
        <f t="shared" si="24"/>
        <v/>
      </c>
      <c r="J564" s="9">
        <f t="shared" si="23"/>
        <v>30</v>
      </c>
    </row>
    <row r="565" spans="1:10" ht="23.25" customHeight="1">
      <c r="A565">
        <f>Table4[[#This Row],[Column1]]</f>
        <v>0</v>
      </c>
      <c r="B565">
        <f>Table4[[#This Row],[Column2]]</f>
        <v>0</v>
      </c>
      <c r="H565" s="9">
        <f>Table13[[#This Row],[dicharge_date]]</f>
        <v>0</v>
      </c>
      <c r="I565" s="13" t="str">
        <f t="shared" si="24"/>
        <v/>
      </c>
      <c r="J565" s="9">
        <f t="shared" si="23"/>
        <v>30</v>
      </c>
    </row>
    <row r="566" spans="1:10" ht="23.25" customHeight="1">
      <c r="A566">
        <f>Table4[[#This Row],[Column1]]</f>
        <v>0</v>
      </c>
      <c r="B566">
        <f>Table4[[#This Row],[Column2]]</f>
        <v>0</v>
      </c>
      <c r="H566" s="9">
        <f>Table13[[#This Row],[dicharge_date]]</f>
        <v>0</v>
      </c>
      <c r="I566" s="13" t="str">
        <f t="shared" si="24"/>
        <v/>
      </c>
      <c r="J566" s="9">
        <f t="shared" si="23"/>
        <v>30</v>
      </c>
    </row>
    <row r="567" spans="1:10" ht="23.25" customHeight="1">
      <c r="A567">
        <f>Table4[[#This Row],[Column1]]</f>
        <v>0</v>
      </c>
      <c r="B567">
        <f>Table4[[#This Row],[Column2]]</f>
        <v>0</v>
      </c>
      <c r="H567" s="9">
        <f>Table13[[#This Row],[dicharge_date]]</f>
        <v>0</v>
      </c>
      <c r="I567" s="13" t="str">
        <f t="shared" si="24"/>
        <v/>
      </c>
      <c r="J567" s="9">
        <f t="shared" si="23"/>
        <v>30</v>
      </c>
    </row>
    <row r="568" spans="1:10" ht="23.25" customHeight="1">
      <c r="A568">
        <f>Table4[[#This Row],[Column1]]</f>
        <v>0</v>
      </c>
      <c r="B568">
        <f>Table4[[#This Row],[Column2]]</f>
        <v>0</v>
      </c>
      <c r="H568" s="9">
        <f>Table13[[#This Row],[dicharge_date]]</f>
        <v>0</v>
      </c>
      <c r="I568" s="13" t="str">
        <f t="shared" si="24"/>
        <v/>
      </c>
      <c r="J568" s="9">
        <f t="shared" si="23"/>
        <v>30</v>
      </c>
    </row>
    <row r="569" spans="1:10" ht="23.25" customHeight="1">
      <c r="A569">
        <f>Table4[[#This Row],[Column1]]</f>
        <v>0</v>
      </c>
      <c r="B569">
        <f>Table4[[#This Row],[Column2]]</f>
        <v>0</v>
      </c>
      <c r="H569" s="9">
        <f>Table13[[#This Row],[dicharge_date]]</f>
        <v>0</v>
      </c>
      <c r="I569" s="13" t="str">
        <f t="shared" si="24"/>
        <v/>
      </c>
      <c r="J569" s="9">
        <f t="shared" si="23"/>
        <v>30</v>
      </c>
    </row>
    <row r="570" spans="1:10" ht="23.25" customHeight="1">
      <c r="A570">
        <f>Table4[[#This Row],[Column1]]</f>
        <v>0</v>
      </c>
      <c r="B570">
        <f>Table4[[#This Row],[Column2]]</f>
        <v>0</v>
      </c>
      <c r="H570" s="9">
        <f>Table13[[#This Row],[dicharge_date]]</f>
        <v>0</v>
      </c>
      <c r="I570" s="13" t="str">
        <f t="shared" si="24"/>
        <v/>
      </c>
      <c r="J570" s="9">
        <f t="shared" si="23"/>
        <v>30</v>
      </c>
    </row>
    <row r="571" spans="1:10" ht="23.25" customHeight="1">
      <c r="A571">
        <f>Table4[[#This Row],[Column1]]</f>
        <v>0</v>
      </c>
      <c r="B571">
        <f>Table4[[#This Row],[Column2]]</f>
        <v>0</v>
      </c>
      <c r="H571" s="9">
        <f>Table13[[#This Row],[dicharge_date]]</f>
        <v>0</v>
      </c>
      <c r="I571" s="13" t="str">
        <f t="shared" si="24"/>
        <v/>
      </c>
      <c r="J571" s="9">
        <f t="shared" si="23"/>
        <v>30</v>
      </c>
    </row>
    <row r="572" spans="1:10" ht="23.25" customHeight="1">
      <c r="A572">
        <f>Table4[[#This Row],[Column1]]</f>
        <v>0</v>
      </c>
      <c r="B572">
        <f>Table4[[#This Row],[Column2]]</f>
        <v>0</v>
      </c>
      <c r="H572" s="9">
        <f>Table13[[#This Row],[dicharge_date]]</f>
        <v>0</v>
      </c>
      <c r="I572" s="13" t="str">
        <f t="shared" si="24"/>
        <v/>
      </c>
      <c r="J572" s="9">
        <f t="shared" si="23"/>
        <v>30</v>
      </c>
    </row>
    <row r="573" spans="1:10" ht="23.25" customHeight="1">
      <c r="A573">
        <f>Table4[[#This Row],[Column1]]</f>
        <v>0</v>
      </c>
      <c r="B573">
        <f>Table4[[#This Row],[Column2]]</f>
        <v>0</v>
      </c>
      <c r="H573" s="9">
        <f>Table13[[#This Row],[dicharge_date]]</f>
        <v>0</v>
      </c>
      <c r="I573" s="13" t="str">
        <f t="shared" si="24"/>
        <v/>
      </c>
      <c r="J573" s="9">
        <f t="shared" si="23"/>
        <v>30</v>
      </c>
    </row>
    <row r="574" spans="1:10" ht="23.25" customHeight="1">
      <c r="A574">
        <f>Table4[[#This Row],[Column1]]</f>
        <v>0</v>
      </c>
      <c r="B574">
        <f>Table4[[#This Row],[Column2]]</f>
        <v>0</v>
      </c>
      <c r="H574" s="9">
        <f>Table13[[#This Row],[dicharge_date]]</f>
        <v>0</v>
      </c>
      <c r="I574" s="13" t="str">
        <f t="shared" si="24"/>
        <v/>
      </c>
      <c r="J574" s="9">
        <f t="shared" si="23"/>
        <v>30</v>
      </c>
    </row>
    <row r="575" spans="1:10" ht="23.25" customHeight="1">
      <c r="A575">
        <f>Table4[[#This Row],[Column1]]</f>
        <v>0</v>
      </c>
      <c r="B575">
        <f>Table4[[#This Row],[Column2]]</f>
        <v>0</v>
      </c>
      <c r="H575" s="9">
        <f>Table13[[#This Row],[dicharge_date]]</f>
        <v>0</v>
      </c>
      <c r="I575" s="13" t="str">
        <f t="shared" si="24"/>
        <v/>
      </c>
      <c r="J575" s="9">
        <f t="shared" si="23"/>
        <v>30</v>
      </c>
    </row>
    <row r="576" spans="1:10" ht="23.25" customHeight="1">
      <c r="A576">
        <f>Table4[[#This Row],[Column1]]</f>
        <v>0</v>
      </c>
      <c r="B576">
        <f>Table4[[#This Row],[Column2]]</f>
        <v>0</v>
      </c>
      <c r="H576" s="9">
        <f>Table13[[#This Row],[dicharge_date]]</f>
        <v>0</v>
      </c>
      <c r="I576" s="13" t="str">
        <f t="shared" si="24"/>
        <v/>
      </c>
      <c r="J576" s="9">
        <f t="shared" si="23"/>
        <v>30</v>
      </c>
    </row>
    <row r="577" spans="1:10" ht="23.25" customHeight="1">
      <c r="A577">
        <f>Table4[[#This Row],[Column1]]</f>
        <v>0</v>
      </c>
      <c r="B577">
        <f>Table4[[#This Row],[Column2]]</f>
        <v>0</v>
      </c>
      <c r="H577" s="9">
        <f>Table13[[#This Row],[dicharge_date]]</f>
        <v>0</v>
      </c>
      <c r="I577" s="13" t="str">
        <f t="shared" si="24"/>
        <v/>
      </c>
      <c r="J577" s="9">
        <f t="shared" si="23"/>
        <v>30</v>
      </c>
    </row>
    <row r="578" spans="1:10" ht="23.25" customHeight="1">
      <c r="A578">
        <f>Table4[[#This Row],[Column1]]</f>
        <v>0</v>
      </c>
      <c r="B578">
        <f>Table4[[#This Row],[Column2]]</f>
        <v>0</v>
      </c>
      <c r="H578" s="9">
        <f>Table13[[#This Row],[dicharge_date]]</f>
        <v>0</v>
      </c>
      <c r="I578" s="13" t="str">
        <f t="shared" si="24"/>
        <v/>
      </c>
      <c r="J578" s="9">
        <f t="shared" ref="J578:J641" si="25">IF( H578&lt;&gt;"", H578+30,"")</f>
        <v>30</v>
      </c>
    </row>
    <row r="579" spans="1:10" ht="23.25" customHeight="1">
      <c r="A579">
        <f>Table4[[#This Row],[Column1]]</f>
        <v>0</v>
      </c>
      <c r="B579">
        <f>Table4[[#This Row],[Column2]]</f>
        <v>0</v>
      </c>
      <c r="H579" s="9">
        <f>Table13[[#This Row],[dicharge_date]]</f>
        <v>0</v>
      </c>
      <c r="I579" s="13" t="str">
        <f t="shared" si="24"/>
        <v/>
      </c>
      <c r="J579" s="9">
        <f t="shared" si="25"/>
        <v>30</v>
      </c>
    </row>
    <row r="580" spans="1:10" ht="23.25" customHeight="1">
      <c r="A580">
        <f>Table4[[#This Row],[Column1]]</f>
        <v>0</v>
      </c>
      <c r="B580">
        <f>Table4[[#This Row],[Column2]]</f>
        <v>0</v>
      </c>
      <c r="H580" s="9">
        <f>Table13[[#This Row],[dicharge_date]]</f>
        <v>0</v>
      </c>
      <c r="I580" s="13" t="str">
        <f t="shared" si="24"/>
        <v/>
      </c>
      <c r="J580" s="9">
        <f t="shared" si="25"/>
        <v>30</v>
      </c>
    </row>
    <row r="581" spans="1:10" ht="23.25" customHeight="1">
      <c r="A581">
        <f>Table4[[#This Row],[Column1]]</f>
        <v>0</v>
      </c>
      <c r="B581">
        <f>Table4[[#This Row],[Column2]]</f>
        <v>0</v>
      </c>
      <c r="H581" s="9">
        <f>Table13[[#This Row],[dicharge_date]]</f>
        <v>0</v>
      </c>
      <c r="I581" s="13" t="str">
        <f t="shared" si="24"/>
        <v/>
      </c>
      <c r="J581" s="9">
        <f t="shared" si="25"/>
        <v>30</v>
      </c>
    </row>
    <row r="582" spans="1:10" ht="23.25" customHeight="1">
      <c r="A582">
        <f>Table4[[#This Row],[Column1]]</f>
        <v>0</v>
      </c>
      <c r="B582">
        <f>Table4[[#This Row],[Column2]]</f>
        <v>0</v>
      </c>
      <c r="H582" s="9">
        <f>Table13[[#This Row],[dicharge_date]]</f>
        <v>0</v>
      </c>
      <c r="I582" s="13" t="str">
        <f t="shared" si="24"/>
        <v/>
      </c>
      <c r="J582" s="9">
        <f t="shared" si="25"/>
        <v>30</v>
      </c>
    </row>
    <row r="583" spans="1:10" ht="23.25" customHeight="1">
      <c r="A583">
        <f>Table4[[#This Row],[Column1]]</f>
        <v>0</v>
      </c>
      <c r="B583">
        <f>Table4[[#This Row],[Column2]]</f>
        <v>0</v>
      </c>
      <c r="H583" s="9">
        <f>Table13[[#This Row],[dicharge_date]]</f>
        <v>0</v>
      </c>
      <c r="I583" s="13" t="str">
        <f t="shared" si="24"/>
        <v/>
      </c>
      <c r="J583" s="9">
        <f t="shared" si="25"/>
        <v>30</v>
      </c>
    </row>
    <row r="584" spans="1:10" ht="23.25" customHeight="1">
      <c r="A584">
        <f>Table4[[#This Row],[Column1]]</f>
        <v>0</v>
      </c>
      <c r="B584">
        <f>Table4[[#This Row],[Column2]]</f>
        <v>0</v>
      </c>
      <c r="H584" s="9">
        <f>Table13[[#This Row],[dicharge_date]]</f>
        <v>0</v>
      </c>
      <c r="I584" s="13" t="str">
        <f t="shared" si="24"/>
        <v/>
      </c>
      <c r="J584" s="9">
        <f t="shared" si="25"/>
        <v>30</v>
      </c>
    </row>
    <row r="585" spans="1:10" ht="23.25" customHeight="1">
      <c r="A585">
        <f>Table4[[#This Row],[Column1]]</f>
        <v>0</v>
      </c>
      <c r="B585">
        <f>Table4[[#This Row],[Column2]]</f>
        <v>0</v>
      </c>
      <c r="H585" s="9">
        <f>Table13[[#This Row],[dicharge_date]]</f>
        <v>0</v>
      </c>
      <c r="I585" s="13" t="str">
        <f t="shared" si="24"/>
        <v/>
      </c>
      <c r="J585" s="9">
        <f t="shared" si="25"/>
        <v>30</v>
      </c>
    </row>
    <row r="586" spans="1:10" ht="23.25" customHeight="1">
      <c r="A586">
        <f>Table4[[#This Row],[Column1]]</f>
        <v>0</v>
      </c>
      <c r="B586">
        <f>Table4[[#This Row],[Column2]]</f>
        <v>0</v>
      </c>
      <c r="H586" s="9">
        <f>Table13[[#This Row],[dicharge_date]]</f>
        <v>0</v>
      </c>
      <c r="I586" s="13" t="str">
        <f t="shared" si="24"/>
        <v/>
      </c>
      <c r="J586" s="9">
        <f t="shared" si="25"/>
        <v>30</v>
      </c>
    </row>
    <row r="587" spans="1:10" ht="23.25" customHeight="1">
      <c r="A587">
        <f>Table4[[#This Row],[Column1]]</f>
        <v>0</v>
      </c>
      <c r="B587">
        <f>Table4[[#This Row],[Column2]]</f>
        <v>0</v>
      </c>
      <c r="H587" s="9">
        <f>Table13[[#This Row],[dicharge_date]]</f>
        <v>0</v>
      </c>
      <c r="I587" s="13" t="str">
        <f t="shared" si="24"/>
        <v/>
      </c>
      <c r="J587" s="9">
        <f t="shared" si="25"/>
        <v>30</v>
      </c>
    </row>
    <row r="588" spans="1:10" ht="23.25" customHeight="1">
      <c r="A588">
        <f>Table4[[#This Row],[Column1]]</f>
        <v>0</v>
      </c>
      <c r="B588">
        <f>Table4[[#This Row],[Column2]]</f>
        <v>0</v>
      </c>
      <c r="H588" s="9">
        <f>Table13[[#This Row],[dicharge_date]]</f>
        <v>0</v>
      </c>
      <c r="I588" s="13" t="str">
        <f t="shared" si="24"/>
        <v/>
      </c>
      <c r="J588" s="9">
        <f t="shared" si="25"/>
        <v>30</v>
      </c>
    </row>
    <row r="589" spans="1:10" ht="23.25" customHeight="1">
      <c r="A589">
        <f>Table4[[#This Row],[Column1]]</f>
        <v>0</v>
      </c>
      <c r="B589">
        <f>Table4[[#This Row],[Column2]]</f>
        <v>0</v>
      </c>
      <c r="H589" s="9">
        <f>Table13[[#This Row],[dicharge_date]]</f>
        <v>0</v>
      </c>
      <c r="I589" s="13" t="str">
        <f t="shared" si="24"/>
        <v/>
      </c>
      <c r="J589" s="9">
        <f t="shared" si="25"/>
        <v>30</v>
      </c>
    </row>
    <row r="590" spans="1:10" ht="23.25" customHeight="1">
      <c r="A590">
        <f>Table4[[#This Row],[Column1]]</f>
        <v>0</v>
      </c>
      <c r="B590">
        <f>Table4[[#This Row],[Column2]]</f>
        <v>0</v>
      </c>
      <c r="H590" s="9">
        <f>Table13[[#This Row],[dicharge_date]]</f>
        <v>0</v>
      </c>
      <c r="I590" s="13" t="str">
        <f t="shared" si="24"/>
        <v/>
      </c>
      <c r="J590" s="9">
        <f t="shared" si="25"/>
        <v>30</v>
      </c>
    </row>
    <row r="591" spans="1:10" ht="23.25" customHeight="1">
      <c r="A591">
        <f>Table4[[#This Row],[Column1]]</f>
        <v>0</v>
      </c>
      <c r="B591">
        <f>Table4[[#This Row],[Column2]]</f>
        <v>0</v>
      </c>
      <c r="H591" s="9">
        <f>Table13[[#This Row],[dicharge_date]]</f>
        <v>0</v>
      </c>
      <c r="I591" s="13" t="str">
        <f t="shared" si="24"/>
        <v/>
      </c>
      <c r="J591" s="9">
        <f t="shared" si="25"/>
        <v>30</v>
      </c>
    </row>
    <row r="592" spans="1:10" ht="23.25" customHeight="1">
      <c r="A592">
        <f>Table4[[#This Row],[Column1]]</f>
        <v>0</v>
      </c>
      <c r="B592">
        <f>Table4[[#This Row],[Column2]]</f>
        <v>0</v>
      </c>
      <c r="H592" s="9">
        <f>Table13[[#This Row],[dicharge_date]]</f>
        <v>0</v>
      </c>
      <c r="I592" s="13" t="str">
        <f t="shared" si="24"/>
        <v/>
      </c>
      <c r="J592" s="9">
        <f t="shared" si="25"/>
        <v>30</v>
      </c>
    </row>
    <row r="593" spans="1:10" ht="23.25" customHeight="1">
      <c r="A593">
        <f>Table4[[#This Row],[Column1]]</f>
        <v>0</v>
      </c>
      <c r="B593">
        <f>Table4[[#This Row],[Column2]]</f>
        <v>0</v>
      </c>
      <c r="H593" s="9">
        <f>Table13[[#This Row],[dicharge_date]]</f>
        <v>0</v>
      </c>
      <c r="I593" s="13" t="str">
        <f t="shared" si="24"/>
        <v/>
      </c>
      <c r="J593" s="9">
        <f t="shared" si="25"/>
        <v>30</v>
      </c>
    </row>
    <row r="594" spans="1:10" ht="23.25" customHeight="1">
      <c r="A594">
        <f>Table4[[#This Row],[Column1]]</f>
        <v>0</v>
      </c>
      <c r="B594">
        <f>Table4[[#This Row],[Column2]]</f>
        <v>0</v>
      </c>
      <c r="H594" s="9">
        <f>Table13[[#This Row],[dicharge_date]]</f>
        <v>0</v>
      </c>
      <c r="I594" s="13" t="str">
        <f t="shared" si="24"/>
        <v/>
      </c>
      <c r="J594" s="9">
        <f t="shared" si="25"/>
        <v>30</v>
      </c>
    </row>
    <row r="595" spans="1:10" ht="23.25" customHeight="1">
      <c r="A595">
        <f>Table4[[#This Row],[Column1]]</f>
        <v>0</v>
      </c>
      <c r="B595">
        <f>Table4[[#This Row],[Column2]]</f>
        <v>0</v>
      </c>
      <c r="H595" s="9">
        <f>Table13[[#This Row],[dicharge_date]]</f>
        <v>0</v>
      </c>
      <c r="I595" s="13" t="str">
        <f t="shared" si="24"/>
        <v/>
      </c>
      <c r="J595" s="9">
        <f t="shared" si="25"/>
        <v>30</v>
      </c>
    </row>
    <row r="596" spans="1:10" ht="23.25" customHeight="1">
      <c r="A596">
        <f>Table4[[#This Row],[Column1]]</f>
        <v>0</v>
      </c>
      <c r="B596">
        <f>Table4[[#This Row],[Column2]]</f>
        <v>0</v>
      </c>
      <c r="H596" s="9">
        <f>Table13[[#This Row],[dicharge_date]]</f>
        <v>0</v>
      </c>
      <c r="I596" s="13" t="str">
        <f t="shared" si="24"/>
        <v/>
      </c>
      <c r="J596" s="9">
        <f t="shared" si="25"/>
        <v>30</v>
      </c>
    </row>
    <row r="597" spans="1:10" ht="23.25" customHeight="1">
      <c r="A597">
        <f>Table4[[#This Row],[Column1]]</f>
        <v>0</v>
      </c>
      <c r="B597">
        <f>Table4[[#This Row],[Column2]]</f>
        <v>0</v>
      </c>
      <c r="H597" s="9">
        <f>Table13[[#This Row],[dicharge_date]]</f>
        <v>0</v>
      </c>
      <c r="I597" s="13" t="str">
        <f t="shared" si="24"/>
        <v/>
      </c>
      <c r="J597" s="9">
        <f t="shared" si="25"/>
        <v>30</v>
      </c>
    </row>
    <row r="598" spans="1:10" ht="23.25" customHeight="1">
      <c r="A598">
        <f>Table4[[#This Row],[Column1]]</f>
        <v>0</v>
      </c>
      <c r="B598">
        <f>Table4[[#This Row],[Column2]]</f>
        <v>0</v>
      </c>
      <c r="H598" s="9">
        <f>Table13[[#This Row],[dicharge_date]]</f>
        <v>0</v>
      </c>
      <c r="I598" s="13" t="str">
        <f t="shared" si="24"/>
        <v/>
      </c>
      <c r="J598" s="9">
        <f t="shared" si="25"/>
        <v>30</v>
      </c>
    </row>
    <row r="599" spans="1:10" ht="23.25" customHeight="1">
      <c r="A599">
        <f>Table4[[#This Row],[Column1]]</f>
        <v>0</v>
      </c>
      <c r="B599">
        <f>Table4[[#This Row],[Column2]]</f>
        <v>0</v>
      </c>
      <c r="H599" s="9">
        <f>Table13[[#This Row],[dicharge_date]]</f>
        <v>0</v>
      </c>
      <c r="I599" s="13" t="str">
        <f t="shared" si="24"/>
        <v/>
      </c>
      <c r="J599" s="9">
        <f t="shared" si="25"/>
        <v>30</v>
      </c>
    </row>
    <row r="600" spans="1:10" ht="23.25" customHeight="1">
      <c r="A600">
        <f>Table4[[#This Row],[Column1]]</f>
        <v>0</v>
      </c>
      <c r="B600">
        <f>Table4[[#This Row],[Column2]]</f>
        <v>0</v>
      </c>
      <c r="H600" s="9">
        <f>Table13[[#This Row],[dicharge_date]]</f>
        <v>0</v>
      </c>
      <c r="I600" s="13" t="str">
        <f t="shared" si="24"/>
        <v/>
      </c>
      <c r="J600" s="9">
        <f t="shared" si="25"/>
        <v>30</v>
      </c>
    </row>
    <row r="601" spans="1:10" ht="23.25" customHeight="1">
      <c r="A601">
        <f>Table4[[#This Row],[Column1]]</f>
        <v>0</v>
      </c>
      <c r="B601">
        <f>Table4[[#This Row],[Column2]]</f>
        <v>0</v>
      </c>
      <c r="H601" s="9">
        <f>Table13[[#This Row],[dicharge_date]]</f>
        <v>0</v>
      </c>
      <c r="I601" s="13" t="str">
        <f t="shared" si="24"/>
        <v/>
      </c>
      <c r="J601" s="9">
        <f t="shared" si="25"/>
        <v>30</v>
      </c>
    </row>
    <row r="602" spans="1:10" ht="23.25" customHeight="1">
      <c r="A602">
        <f>Table4[[#This Row],[Column1]]</f>
        <v>0</v>
      </c>
      <c r="B602">
        <f>Table4[[#This Row],[Column2]]</f>
        <v>0</v>
      </c>
      <c r="H602" s="9">
        <f>Table13[[#This Row],[dicharge_date]]</f>
        <v>0</v>
      </c>
      <c r="I602" s="13" t="str">
        <f t="shared" si="24"/>
        <v/>
      </c>
      <c r="J602" s="9">
        <f t="shared" si="25"/>
        <v>30</v>
      </c>
    </row>
    <row r="603" spans="1:10" ht="23.25" customHeight="1">
      <c r="A603">
        <f>Table4[[#This Row],[Column1]]</f>
        <v>0</v>
      </c>
      <c r="B603">
        <f>Table4[[#This Row],[Column2]]</f>
        <v>0</v>
      </c>
      <c r="H603" s="9">
        <f>Table13[[#This Row],[dicharge_date]]</f>
        <v>0</v>
      </c>
      <c r="I603" s="13" t="str">
        <f t="shared" si="24"/>
        <v/>
      </c>
      <c r="J603" s="9">
        <f t="shared" si="25"/>
        <v>30</v>
      </c>
    </row>
    <row r="604" spans="1:10" ht="23.25" customHeight="1">
      <c r="A604">
        <f>Table4[[#This Row],[Column1]]</f>
        <v>0</v>
      </c>
      <c r="B604">
        <f>Table4[[#This Row],[Column2]]</f>
        <v>0</v>
      </c>
      <c r="H604" s="9">
        <f>Table13[[#This Row],[dicharge_date]]</f>
        <v>0</v>
      </c>
      <c r="I604" s="13" t="str">
        <f t="shared" si="24"/>
        <v/>
      </c>
      <c r="J604" s="9">
        <f t="shared" si="25"/>
        <v>30</v>
      </c>
    </row>
    <row r="605" spans="1:10" ht="23.25" customHeight="1">
      <c r="A605">
        <f>Table4[[#This Row],[Column1]]</f>
        <v>0</v>
      </c>
      <c r="B605">
        <f>Table4[[#This Row],[Column2]]</f>
        <v>0</v>
      </c>
      <c r="H605" s="9">
        <f>Table13[[#This Row],[dicharge_date]]</f>
        <v>0</v>
      </c>
      <c r="I605" s="13" t="str">
        <f t="shared" si="24"/>
        <v/>
      </c>
      <c r="J605" s="9">
        <f t="shared" si="25"/>
        <v>30</v>
      </c>
    </row>
    <row r="606" spans="1:10" ht="23.25" customHeight="1">
      <c r="A606">
        <f>Table4[[#This Row],[Column1]]</f>
        <v>0</v>
      </c>
      <c r="B606">
        <f>Table4[[#This Row],[Column2]]</f>
        <v>0</v>
      </c>
      <c r="H606" s="9">
        <f>Table13[[#This Row],[dicharge_date]]</f>
        <v>0</v>
      </c>
      <c r="I606" s="13" t="str">
        <f t="shared" si="24"/>
        <v/>
      </c>
      <c r="J606" s="9">
        <f t="shared" si="25"/>
        <v>30</v>
      </c>
    </row>
    <row r="607" spans="1:10" ht="23.25" customHeight="1">
      <c r="A607">
        <f>Table4[[#This Row],[Column1]]</f>
        <v>0</v>
      </c>
      <c r="B607">
        <f>Table4[[#This Row],[Column2]]</f>
        <v>0</v>
      </c>
      <c r="H607" s="9">
        <f>Table13[[#This Row],[dicharge_date]]</f>
        <v>0</v>
      </c>
      <c r="I607" s="13" t="str">
        <f t="shared" si="24"/>
        <v/>
      </c>
      <c r="J607" s="9">
        <f t="shared" si="25"/>
        <v>30</v>
      </c>
    </row>
    <row r="608" spans="1:10" ht="23.25" customHeight="1">
      <c r="A608">
        <f>Table4[[#This Row],[Column1]]</f>
        <v>0</v>
      </c>
      <c r="B608">
        <f>Table4[[#This Row],[Column2]]</f>
        <v>0</v>
      </c>
      <c r="H608" s="9">
        <f>Table13[[#This Row],[dicharge_date]]</f>
        <v>0</v>
      </c>
      <c r="I608" s="13" t="str">
        <f t="shared" si="24"/>
        <v/>
      </c>
      <c r="J608" s="9">
        <f t="shared" si="25"/>
        <v>30</v>
      </c>
    </row>
    <row r="609" spans="1:10" ht="23.25" customHeight="1">
      <c r="A609">
        <f>Table4[[#This Row],[Column1]]</f>
        <v>0</v>
      </c>
      <c r="B609">
        <f>Table4[[#This Row],[Column2]]</f>
        <v>0</v>
      </c>
      <c r="H609" s="9">
        <f>Table13[[#This Row],[dicharge_date]]</f>
        <v>0</v>
      </c>
      <c r="I609" s="13" t="str">
        <f t="shared" si="24"/>
        <v/>
      </c>
      <c r="J609" s="9">
        <f t="shared" si="25"/>
        <v>30</v>
      </c>
    </row>
    <row r="610" spans="1:10" ht="23.25" customHeight="1">
      <c r="A610">
        <f>Table4[[#This Row],[Column1]]</f>
        <v>0</v>
      </c>
      <c r="B610">
        <f>Table4[[#This Row],[Column2]]</f>
        <v>0</v>
      </c>
      <c r="H610" s="9">
        <f>Table13[[#This Row],[dicharge_date]]</f>
        <v>0</v>
      </c>
      <c r="I610" s="13" t="str">
        <f t="shared" si="24"/>
        <v/>
      </c>
      <c r="J610" s="9">
        <f t="shared" si="25"/>
        <v>30</v>
      </c>
    </row>
    <row r="611" spans="1:10" ht="23.25" customHeight="1">
      <c r="A611">
        <f>Table4[[#This Row],[Column1]]</f>
        <v>0</v>
      </c>
      <c r="B611">
        <f>Table4[[#This Row],[Column2]]</f>
        <v>0</v>
      </c>
      <c r="H611" s="9">
        <f>Table13[[#This Row],[dicharge_date]]</f>
        <v>0</v>
      </c>
      <c r="I611" s="13" t="str">
        <f t="shared" si="24"/>
        <v/>
      </c>
      <c r="J611" s="9">
        <f t="shared" si="25"/>
        <v>30</v>
      </c>
    </row>
    <row r="612" spans="1:10" ht="23.25" customHeight="1">
      <c r="A612">
        <f>Table4[[#This Row],[Column1]]</f>
        <v>0</v>
      </c>
      <c r="B612">
        <f>Table4[[#This Row],[Column2]]</f>
        <v>0</v>
      </c>
      <c r="H612" s="9">
        <f>Table13[[#This Row],[dicharge_date]]</f>
        <v>0</v>
      </c>
      <c r="I612" s="13" t="str">
        <f t="shared" si="24"/>
        <v/>
      </c>
      <c r="J612" s="9">
        <f t="shared" si="25"/>
        <v>30</v>
      </c>
    </row>
    <row r="613" spans="1:10" ht="23.25" customHeight="1">
      <c r="A613">
        <f>Table4[[#This Row],[Column1]]</f>
        <v>0</v>
      </c>
      <c r="B613">
        <f>Table4[[#This Row],[Column2]]</f>
        <v>0</v>
      </c>
      <c r="H613" s="9">
        <f>Table13[[#This Row],[dicharge_date]]</f>
        <v>0</v>
      </c>
      <c r="I613" s="13" t="str">
        <f t="shared" si="24"/>
        <v/>
      </c>
      <c r="J613" s="9">
        <f t="shared" si="25"/>
        <v>30</v>
      </c>
    </row>
    <row r="614" spans="1:10" ht="23.25" customHeight="1">
      <c r="A614">
        <f>Table4[[#This Row],[Column1]]</f>
        <v>0</v>
      </c>
      <c r="B614">
        <f>Table4[[#This Row],[Column2]]</f>
        <v>0</v>
      </c>
      <c r="H614" s="9">
        <f>Table13[[#This Row],[dicharge_date]]</f>
        <v>0</v>
      </c>
      <c r="I614" s="13" t="str">
        <f t="shared" si="24"/>
        <v/>
      </c>
      <c r="J614" s="9">
        <f t="shared" si="25"/>
        <v>30</v>
      </c>
    </row>
    <row r="615" spans="1:10" ht="23.25" customHeight="1">
      <c r="A615">
        <f>Table4[[#This Row],[Column1]]</f>
        <v>0</v>
      </c>
      <c r="B615">
        <f>Table4[[#This Row],[Column2]]</f>
        <v>0</v>
      </c>
      <c r="H615" s="9">
        <f>Table13[[#This Row],[dicharge_date]]</f>
        <v>0</v>
      </c>
      <c r="I615" s="13" t="str">
        <f t="shared" ref="I615:I678" si="26">IF( E615&lt;&gt;"", H615-E615,"")</f>
        <v/>
      </c>
      <c r="J615" s="9">
        <f t="shared" si="25"/>
        <v>30</v>
      </c>
    </row>
    <row r="616" spans="1:10" ht="23.25" customHeight="1">
      <c r="A616">
        <f>Table4[[#This Row],[Column1]]</f>
        <v>0</v>
      </c>
      <c r="B616">
        <f>Table4[[#This Row],[Column2]]</f>
        <v>0</v>
      </c>
      <c r="H616" s="9">
        <f>Table13[[#This Row],[dicharge_date]]</f>
        <v>0</v>
      </c>
      <c r="I616" s="13" t="str">
        <f t="shared" si="26"/>
        <v/>
      </c>
      <c r="J616" s="9">
        <f t="shared" si="25"/>
        <v>30</v>
      </c>
    </row>
    <row r="617" spans="1:10" ht="23.25" customHeight="1">
      <c r="A617">
        <f>Table4[[#This Row],[Column1]]</f>
        <v>0</v>
      </c>
      <c r="B617">
        <f>Table4[[#This Row],[Column2]]</f>
        <v>0</v>
      </c>
      <c r="H617" s="9">
        <f>Table13[[#This Row],[dicharge_date]]</f>
        <v>0</v>
      </c>
      <c r="I617" s="13" t="str">
        <f t="shared" si="26"/>
        <v/>
      </c>
      <c r="J617" s="9">
        <f t="shared" si="25"/>
        <v>30</v>
      </c>
    </row>
    <row r="618" spans="1:10" ht="23.25" customHeight="1">
      <c r="A618">
        <f>Table4[[#This Row],[Column1]]</f>
        <v>0</v>
      </c>
      <c r="B618">
        <f>Table4[[#This Row],[Column2]]</f>
        <v>0</v>
      </c>
      <c r="H618" s="9">
        <f>Table13[[#This Row],[dicharge_date]]</f>
        <v>0</v>
      </c>
      <c r="I618" s="13" t="str">
        <f t="shared" si="26"/>
        <v/>
      </c>
      <c r="J618" s="9">
        <f t="shared" si="25"/>
        <v>30</v>
      </c>
    </row>
    <row r="619" spans="1:10" ht="23.25" customHeight="1">
      <c r="A619">
        <f>Table4[[#This Row],[Column1]]</f>
        <v>0</v>
      </c>
      <c r="B619">
        <f>Table4[[#This Row],[Column2]]</f>
        <v>0</v>
      </c>
      <c r="H619" s="9">
        <f>Table13[[#This Row],[dicharge_date]]</f>
        <v>0</v>
      </c>
      <c r="I619" s="13" t="str">
        <f t="shared" si="26"/>
        <v/>
      </c>
      <c r="J619" s="9">
        <f t="shared" si="25"/>
        <v>30</v>
      </c>
    </row>
    <row r="620" spans="1:10" ht="23.25" customHeight="1">
      <c r="A620">
        <f>Table4[[#This Row],[Column1]]</f>
        <v>0</v>
      </c>
      <c r="B620">
        <f>Table4[[#This Row],[Column2]]</f>
        <v>0</v>
      </c>
      <c r="H620" s="9">
        <f>Table13[[#This Row],[dicharge_date]]</f>
        <v>0</v>
      </c>
      <c r="I620" s="13" t="str">
        <f t="shared" si="26"/>
        <v/>
      </c>
      <c r="J620" s="9">
        <f t="shared" si="25"/>
        <v>30</v>
      </c>
    </row>
    <row r="621" spans="1:10" ht="23.25" customHeight="1">
      <c r="A621">
        <f>Table4[[#This Row],[Column1]]</f>
        <v>0</v>
      </c>
      <c r="B621">
        <f>Table4[[#This Row],[Column2]]</f>
        <v>0</v>
      </c>
      <c r="H621" s="9">
        <f>Table13[[#This Row],[dicharge_date]]</f>
        <v>0</v>
      </c>
      <c r="I621" s="13" t="str">
        <f t="shared" si="26"/>
        <v/>
      </c>
      <c r="J621" s="9">
        <f t="shared" si="25"/>
        <v>30</v>
      </c>
    </row>
    <row r="622" spans="1:10" ht="23.25" customHeight="1">
      <c r="A622">
        <f>Table4[[#This Row],[Column1]]</f>
        <v>0</v>
      </c>
      <c r="B622">
        <f>Table4[[#This Row],[Column2]]</f>
        <v>0</v>
      </c>
      <c r="H622" s="9">
        <f>Table13[[#This Row],[dicharge_date]]</f>
        <v>0</v>
      </c>
      <c r="I622" s="13" t="str">
        <f t="shared" si="26"/>
        <v/>
      </c>
      <c r="J622" s="9">
        <f t="shared" si="25"/>
        <v>30</v>
      </c>
    </row>
    <row r="623" spans="1:10" ht="23.25" customHeight="1">
      <c r="A623">
        <f>Table4[[#This Row],[Column1]]</f>
        <v>0</v>
      </c>
      <c r="B623">
        <f>Table4[[#This Row],[Column2]]</f>
        <v>0</v>
      </c>
      <c r="H623" s="9">
        <f>Table13[[#This Row],[dicharge_date]]</f>
        <v>0</v>
      </c>
      <c r="I623" s="13" t="str">
        <f t="shared" si="26"/>
        <v/>
      </c>
      <c r="J623" s="9">
        <f t="shared" si="25"/>
        <v>30</v>
      </c>
    </row>
    <row r="624" spans="1:10" ht="23.25" customHeight="1">
      <c r="A624">
        <f>Table4[[#This Row],[Column1]]</f>
        <v>0</v>
      </c>
      <c r="B624">
        <f>Table4[[#This Row],[Column2]]</f>
        <v>0</v>
      </c>
      <c r="H624" s="9">
        <f>Table13[[#This Row],[dicharge_date]]</f>
        <v>0</v>
      </c>
      <c r="I624" s="13" t="str">
        <f t="shared" si="26"/>
        <v/>
      </c>
      <c r="J624" s="9">
        <f t="shared" si="25"/>
        <v>30</v>
      </c>
    </row>
    <row r="625" spans="1:10" ht="23.25" customHeight="1">
      <c r="A625">
        <f>Table4[[#This Row],[Column1]]</f>
        <v>0</v>
      </c>
      <c r="B625">
        <f>Table4[[#This Row],[Column2]]</f>
        <v>0</v>
      </c>
      <c r="H625" s="9">
        <f>Table13[[#This Row],[dicharge_date]]</f>
        <v>0</v>
      </c>
      <c r="I625" s="13" t="str">
        <f t="shared" si="26"/>
        <v/>
      </c>
      <c r="J625" s="9">
        <f t="shared" si="25"/>
        <v>30</v>
      </c>
    </row>
    <row r="626" spans="1:10" ht="23.25" customHeight="1">
      <c r="A626">
        <f>Table4[[#This Row],[Column1]]</f>
        <v>0</v>
      </c>
      <c r="B626">
        <f>Table4[[#This Row],[Column2]]</f>
        <v>0</v>
      </c>
      <c r="H626" s="9">
        <f>Table13[[#This Row],[dicharge_date]]</f>
        <v>0</v>
      </c>
      <c r="I626" s="13" t="str">
        <f t="shared" si="26"/>
        <v/>
      </c>
      <c r="J626" s="9">
        <f t="shared" si="25"/>
        <v>30</v>
      </c>
    </row>
    <row r="627" spans="1:10" ht="23.25" customHeight="1">
      <c r="A627">
        <f>Table4[[#This Row],[Column1]]</f>
        <v>0</v>
      </c>
      <c r="B627">
        <f>Table4[[#This Row],[Column2]]</f>
        <v>0</v>
      </c>
      <c r="H627" s="9">
        <f>Table13[[#This Row],[dicharge_date]]</f>
        <v>0</v>
      </c>
      <c r="I627" s="13" t="str">
        <f t="shared" si="26"/>
        <v/>
      </c>
      <c r="J627" s="9">
        <f t="shared" si="25"/>
        <v>30</v>
      </c>
    </row>
    <row r="628" spans="1:10" ht="23.25" customHeight="1">
      <c r="A628">
        <f>Table4[[#This Row],[Column1]]</f>
        <v>0</v>
      </c>
      <c r="B628">
        <f>Table4[[#This Row],[Column2]]</f>
        <v>0</v>
      </c>
      <c r="H628" s="9">
        <f>Table13[[#This Row],[dicharge_date]]</f>
        <v>0</v>
      </c>
      <c r="I628" s="13" t="str">
        <f t="shared" si="26"/>
        <v/>
      </c>
      <c r="J628" s="9">
        <f t="shared" si="25"/>
        <v>30</v>
      </c>
    </row>
    <row r="629" spans="1:10" ht="23.25" customHeight="1">
      <c r="A629">
        <f>Table4[[#This Row],[Column1]]</f>
        <v>0</v>
      </c>
      <c r="B629">
        <f>Table4[[#This Row],[Column2]]</f>
        <v>0</v>
      </c>
      <c r="H629" s="9">
        <f>Table13[[#This Row],[dicharge_date]]</f>
        <v>0</v>
      </c>
      <c r="I629" s="13" t="str">
        <f t="shared" si="26"/>
        <v/>
      </c>
      <c r="J629" s="9">
        <f t="shared" si="25"/>
        <v>30</v>
      </c>
    </row>
    <row r="630" spans="1:10" ht="23.25" customHeight="1">
      <c r="A630">
        <f>Table4[[#This Row],[Column1]]</f>
        <v>0</v>
      </c>
      <c r="B630">
        <f>Table4[[#This Row],[Column2]]</f>
        <v>0</v>
      </c>
      <c r="H630" s="9">
        <f>Table13[[#This Row],[dicharge_date]]</f>
        <v>0</v>
      </c>
      <c r="I630" s="13" t="str">
        <f t="shared" si="26"/>
        <v/>
      </c>
      <c r="J630" s="9">
        <f t="shared" si="25"/>
        <v>30</v>
      </c>
    </row>
    <row r="631" spans="1:10" ht="23.25" customHeight="1">
      <c r="A631">
        <f>Table4[[#This Row],[Column1]]</f>
        <v>0</v>
      </c>
      <c r="B631">
        <f>Table4[[#This Row],[Column2]]</f>
        <v>0</v>
      </c>
      <c r="H631" s="9">
        <f>Table13[[#This Row],[dicharge_date]]</f>
        <v>0</v>
      </c>
      <c r="I631" s="13" t="str">
        <f t="shared" si="26"/>
        <v/>
      </c>
      <c r="J631" s="9">
        <f t="shared" si="25"/>
        <v>30</v>
      </c>
    </row>
    <row r="632" spans="1:10" ht="23.25" customHeight="1">
      <c r="A632">
        <f>Table4[[#This Row],[Column1]]</f>
        <v>0</v>
      </c>
      <c r="B632">
        <f>Table4[[#This Row],[Column2]]</f>
        <v>0</v>
      </c>
      <c r="H632" s="9">
        <f>Table13[[#This Row],[dicharge_date]]</f>
        <v>0</v>
      </c>
      <c r="I632" s="13" t="str">
        <f t="shared" si="26"/>
        <v/>
      </c>
      <c r="J632" s="9">
        <f t="shared" si="25"/>
        <v>30</v>
      </c>
    </row>
    <row r="633" spans="1:10" ht="23.25" customHeight="1">
      <c r="A633">
        <f>Table4[[#This Row],[Column1]]</f>
        <v>0</v>
      </c>
      <c r="B633">
        <f>Table4[[#This Row],[Column2]]</f>
        <v>0</v>
      </c>
      <c r="H633" s="9">
        <f>Table13[[#This Row],[dicharge_date]]</f>
        <v>0</v>
      </c>
      <c r="I633" s="13" t="str">
        <f t="shared" si="26"/>
        <v/>
      </c>
      <c r="J633" s="9">
        <f t="shared" si="25"/>
        <v>30</v>
      </c>
    </row>
    <row r="634" spans="1:10" ht="23.25" customHeight="1">
      <c r="A634">
        <f>Table4[[#This Row],[Column1]]</f>
        <v>0</v>
      </c>
      <c r="B634">
        <f>Table4[[#This Row],[Column2]]</f>
        <v>0</v>
      </c>
      <c r="H634" s="9">
        <f>Table13[[#This Row],[dicharge_date]]</f>
        <v>0</v>
      </c>
      <c r="I634" s="13" t="str">
        <f t="shared" si="26"/>
        <v/>
      </c>
      <c r="J634" s="9">
        <f t="shared" si="25"/>
        <v>30</v>
      </c>
    </row>
    <row r="635" spans="1:10" ht="23.25" customHeight="1">
      <c r="A635">
        <f>Table4[[#This Row],[Column1]]</f>
        <v>0</v>
      </c>
      <c r="B635">
        <f>Table4[[#This Row],[Column2]]</f>
        <v>0</v>
      </c>
      <c r="H635" s="9">
        <f>Table13[[#This Row],[dicharge_date]]</f>
        <v>0</v>
      </c>
      <c r="I635" s="13" t="str">
        <f t="shared" si="26"/>
        <v/>
      </c>
      <c r="J635" s="9">
        <f t="shared" si="25"/>
        <v>30</v>
      </c>
    </row>
    <row r="636" spans="1:10" ht="23.25" customHeight="1">
      <c r="A636">
        <f>Table4[[#This Row],[Column1]]</f>
        <v>0</v>
      </c>
      <c r="B636">
        <f>Table4[[#This Row],[Column2]]</f>
        <v>0</v>
      </c>
      <c r="H636" s="9">
        <f>Table13[[#This Row],[dicharge_date]]</f>
        <v>0</v>
      </c>
      <c r="I636" s="13" t="str">
        <f t="shared" si="26"/>
        <v/>
      </c>
      <c r="J636" s="9">
        <f t="shared" si="25"/>
        <v>30</v>
      </c>
    </row>
    <row r="637" spans="1:10" ht="23.25" customHeight="1">
      <c r="A637">
        <f>Table4[[#This Row],[Column1]]</f>
        <v>0</v>
      </c>
      <c r="B637">
        <f>Table4[[#This Row],[Column2]]</f>
        <v>0</v>
      </c>
      <c r="H637" s="9">
        <f>Table13[[#This Row],[dicharge_date]]</f>
        <v>0</v>
      </c>
      <c r="I637" s="13" t="str">
        <f t="shared" si="26"/>
        <v/>
      </c>
      <c r="J637" s="9">
        <f t="shared" si="25"/>
        <v>30</v>
      </c>
    </row>
    <row r="638" spans="1:10" ht="23.25" customHeight="1">
      <c r="A638">
        <f>Table4[[#This Row],[Column1]]</f>
        <v>0</v>
      </c>
      <c r="B638">
        <f>Table4[[#This Row],[Column2]]</f>
        <v>0</v>
      </c>
      <c r="H638" s="9">
        <f>Table13[[#This Row],[dicharge_date]]</f>
        <v>0</v>
      </c>
      <c r="I638" s="13" t="str">
        <f t="shared" si="26"/>
        <v/>
      </c>
      <c r="J638" s="9">
        <f t="shared" si="25"/>
        <v>30</v>
      </c>
    </row>
    <row r="639" spans="1:10" ht="23.25" customHeight="1">
      <c r="A639">
        <f>Table4[[#This Row],[Column1]]</f>
        <v>0</v>
      </c>
      <c r="B639">
        <f>Table4[[#This Row],[Column2]]</f>
        <v>0</v>
      </c>
      <c r="H639" s="9">
        <f>Table13[[#This Row],[dicharge_date]]</f>
        <v>0</v>
      </c>
      <c r="I639" s="13" t="str">
        <f t="shared" si="26"/>
        <v/>
      </c>
      <c r="J639" s="9">
        <f t="shared" si="25"/>
        <v>30</v>
      </c>
    </row>
    <row r="640" spans="1:10" ht="23.25" customHeight="1">
      <c r="A640">
        <f>Table4[[#This Row],[Column1]]</f>
        <v>0</v>
      </c>
      <c r="B640">
        <f>Table4[[#This Row],[Column2]]</f>
        <v>0</v>
      </c>
      <c r="H640" s="9">
        <f>Table13[[#This Row],[dicharge_date]]</f>
        <v>0</v>
      </c>
      <c r="I640" s="13" t="str">
        <f t="shared" si="26"/>
        <v/>
      </c>
      <c r="J640" s="9">
        <f t="shared" si="25"/>
        <v>30</v>
      </c>
    </row>
    <row r="641" spans="1:10" ht="23.25" customHeight="1">
      <c r="A641">
        <f>Table4[[#This Row],[Column1]]</f>
        <v>0</v>
      </c>
      <c r="B641">
        <f>Table4[[#This Row],[Column2]]</f>
        <v>0</v>
      </c>
      <c r="H641" s="9">
        <f>Table13[[#This Row],[dicharge_date]]</f>
        <v>0</v>
      </c>
      <c r="I641" s="13" t="str">
        <f t="shared" si="26"/>
        <v/>
      </c>
      <c r="J641" s="9">
        <f t="shared" si="25"/>
        <v>30</v>
      </c>
    </row>
    <row r="642" spans="1:10" ht="23.25" customHeight="1">
      <c r="A642">
        <f>Table4[[#This Row],[Column1]]</f>
        <v>0</v>
      </c>
      <c r="B642">
        <f>Table4[[#This Row],[Column2]]</f>
        <v>0</v>
      </c>
      <c r="H642" s="9">
        <f>Table13[[#This Row],[dicharge_date]]</f>
        <v>0</v>
      </c>
      <c r="I642" s="13" t="str">
        <f t="shared" si="26"/>
        <v/>
      </c>
      <c r="J642" s="9">
        <f t="shared" ref="J642:J705" si="27">IF( H642&lt;&gt;"", H642+30,"")</f>
        <v>30</v>
      </c>
    </row>
    <row r="643" spans="1:10" ht="23.25" customHeight="1">
      <c r="A643">
        <f>Table4[[#This Row],[Column1]]</f>
        <v>0</v>
      </c>
      <c r="B643">
        <f>Table4[[#This Row],[Column2]]</f>
        <v>0</v>
      </c>
      <c r="H643" s="9">
        <f>Table13[[#This Row],[dicharge_date]]</f>
        <v>0</v>
      </c>
      <c r="I643" s="13" t="str">
        <f t="shared" si="26"/>
        <v/>
      </c>
      <c r="J643" s="9">
        <f t="shared" si="27"/>
        <v>30</v>
      </c>
    </row>
    <row r="644" spans="1:10" ht="23.25" customHeight="1">
      <c r="A644">
        <f>Table4[[#This Row],[Column1]]</f>
        <v>0</v>
      </c>
      <c r="B644">
        <f>Table4[[#This Row],[Column2]]</f>
        <v>0</v>
      </c>
      <c r="H644" s="9">
        <f>Table13[[#This Row],[dicharge_date]]</f>
        <v>0</v>
      </c>
      <c r="I644" s="13" t="str">
        <f t="shared" si="26"/>
        <v/>
      </c>
      <c r="J644" s="9">
        <f t="shared" si="27"/>
        <v>30</v>
      </c>
    </row>
    <row r="645" spans="1:10" ht="23.25" customHeight="1">
      <c r="A645">
        <f>Table4[[#This Row],[Column1]]</f>
        <v>0</v>
      </c>
      <c r="B645">
        <f>Table4[[#This Row],[Column2]]</f>
        <v>0</v>
      </c>
      <c r="H645" s="9">
        <f>Table13[[#This Row],[dicharge_date]]</f>
        <v>0</v>
      </c>
      <c r="I645" s="13" t="str">
        <f t="shared" si="26"/>
        <v/>
      </c>
      <c r="J645" s="9">
        <f t="shared" si="27"/>
        <v>30</v>
      </c>
    </row>
    <row r="646" spans="1:10" ht="23.25" customHeight="1">
      <c r="A646">
        <f>Table4[[#This Row],[Column1]]</f>
        <v>0</v>
      </c>
      <c r="B646">
        <f>Table4[[#This Row],[Column2]]</f>
        <v>0</v>
      </c>
      <c r="H646" s="9">
        <f>Table13[[#This Row],[dicharge_date]]</f>
        <v>0</v>
      </c>
      <c r="I646" s="13" t="str">
        <f t="shared" si="26"/>
        <v/>
      </c>
      <c r="J646" s="9">
        <f t="shared" si="27"/>
        <v>30</v>
      </c>
    </row>
    <row r="647" spans="1:10" ht="23.25" customHeight="1">
      <c r="A647">
        <f>Table4[[#This Row],[Column1]]</f>
        <v>0</v>
      </c>
      <c r="B647">
        <f>Table4[[#This Row],[Column2]]</f>
        <v>0</v>
      </c>
      <c r="H647" s="9">
        <f>Table13[[#This Row],[dicharge_date]]</f>
        <v>0</v>
      </c>
      <c r="I647" s="13" t="str">
        <f t="shared" si="26"/>
        <v/>
      </c>
      <c r="J647" s="9">
        <f t="shared" si="27"/>
        <v>30</v>
      </c>
    </row>
    <row r="648" spans="1:10" ht="23.25" customHeight="1">
      <c r="A648">
        <f>Table4[[#This Row],[Column1]]</f>
        <v>0</v>
      </c>
      <c r="B648">
        <f>Table4[[#This Row],[Column2]]</f>
        <v>0</v>
      </c>
      <c r="H648" s="9">
        <f>Table13[[#This Row],[dicharge_date]]</f>
        <v>0</v>
      </c>
      <c r="I648" s="13" t="str">
        <f t="shared" si="26"/>
        <v/>
      </c>
      <c r="J648" s="9">
        <f t="shared" si="27"/>
        <v>30</v>
      </c>
    </row>
    <row r="649" spans="1:10" ht="23.25" customHeight="1">
      <c r="A649">
        <f>Table4[[#This Row],[Column1]]</f>
        <v>0</v>
      </c>
      <c r="B649">
        <f>Table4[[#This Row],[Column2]]</f>
        <v>0</v>
      </c>
      <c r="H649" s="9">
        <f>Table13[[#This Row],[dicharge_date]]</f>
        <v>0</v>
      </c>
      <c r="I649" s="13" t="str">
        <f t="shared" si="26"/>
        <v/>
      </c>
      <c r="J649" s="9">
        <f t="shared" si="27"/>
        <v>30</v>
      </c>
    </row>
    <row r="650" spans="1:10" ht="23.25" customHeight="1">
      <c r="A650">
        <f>Table4[[#This Row],[Column1]]</f>
        <v>0</v>
      </c>
      <c r="B650">
        <f>Table4[[#This Row],[Column2]]</f>
        <v>0</v>
      </c>
      <c r="H650" s="9">
        <f>Table13[[#This Row],[dicharge_date]]</f>
        <v>0</v>
      </c>
      <c r="I650" s="13" t="str">
        <f t="shared" si="26"/>
        <v/>
      </c>
      <c r="J650" s="9">
        <f t="shared" si="27"/>
        <v>30</v>
      </c>
    </row>
    <row r="651" spans="1:10" ht="23.25" customHeight="1">
      <c r="A651">
        <f>Table4[[#This Row],[Column1]]</f>
        <v>0</v>
      </c>
      <c r="B651">
        <f>Table4[[#This Row],[Column2]]</f>
        <v>0</v>
      </c>
      <c r="H651" s="9">
        <f>Table13[[#This Row],[dicharge_date]]</f>
        <v>0</v>
      </c>
      <c r="I651" s="13" t="str">
        <f t="shared" si="26"/>
        <v/>
      </c>
      <c r="J651" s="9">
        <f t="shared" si="27"/>
        <v>30</v>
      </c>
    </row>
    <row r="652" spans="1:10" ht="23.25" customHeight="1">
      <c r="A652">
        <f>Table4[[#This Row],[Column1]]</f>
        <v>0</v>
      </c>
      <c r="B652">
        <f>Table4[[#This Row],[Column2]]</f>
        <v>0</v>
      </c>
      <c r="H652" s="9">
        <f>Table13[[#This Row],[dicharge_date]]</f>
        <v>0</v>
      </c>
      <c r="I652" s="13" t="str">
        <f t="shared" si="26"/>
        <v/>
      </c>
      <c r="J652" s="9">
        <f t="shared" si="27"/>
        <v>30</v>
      </c>
    </row>
    <row r="653" spans="1:10" ht="23.25" customHeight="1">
      <c r="A653">
        <f>Table4[[#This Row],[Column1]]</f>
        <v>0</v>
      </c>
      <c r="B653">
        <f>Table4[[#This Row],[Column2]]</f>
        <v>0</v>
      </c>
      <c r="H653" s="9">
        <f>Table13[[#This Row],[dicharge_date]]</f>
        <v>0</v>
      </c>
      <c r="I653" s="13" t="str">
        <f t="shared" si="26"/>
        <v/>
      </c>
      <c r="J653" s="9">
        <f t="shared" si="27"/>
        <v>30</v>
      </c>
    </row>
    <row r="654" spans="1:10" ht="23.25" customHeight="1">
      <c r="A654">
        <f>Table4[[#This Row],[Column1]]</f>
        <v>0</v>
      </c>
      <c r="B654">
        <f>Table4[[#This Row],[Column2]]</f>
        <v>0</v>
      </c>
      <c r="H654" s="9">
        <f>Table13[[#This Row],[dicharge_date]]</f>
        <v>0</v>
      </c>
      <c r="I654" s="13" t="str">
        <f t="shared" si="26"/>
        <v/>
      </c>
      <c r="J654" s="9">
        <f t="shared" si="27"/>
        <v>30</v>
      </c>
    </row>
    <row r="655" spans="1:10" ht="23.25" customHeight="1">
      <c r="A655">
        <f>Table4[[#This Row],[Column1]]</f>
        <v>0</v>
      </c>
      <c r="B655">
        <f>Table4[[#This Row],[Column2]]</f>
        <v>0</v>
      </c>
      <c r="H655" s="9">
        <f>Table13[[#This Row],[dicharge_date]]</f>
        <v>0</v>
      </c>
      <c r="I655" s="13" t="str">
        <f t="shared" si="26"/>
        <v/>
      </c>
      <c r="J655" s="9">
        <f t="shared" si="27"/>
        <v>30</v>
      </c>
    </row>
    <row r="656" spans="1:10" ht="23.25" customHeight="1">
      <c r="A656">
        <f>Table4[[#This Row],[Column1]]</f>
        <v>0</v>
      </c>
      <c r="B656">
        <f>Table4[[#This Row],[Column2]]</f>
        <v>0</v>
      </c>
      <c r="H656" s="9">
        <f>Table13[[#This Row],[dicharge_date]]</f>
        <v>0</v>
      </c>
      <c r="I656" s="13" t="str">
        <f t="shared" si="26"/>
        <v/>
      </c>
      <c r="J656" s="9">
        <f t="shared" si="27"/>
        <v>30</v>
      </c>
    </row>
    <row r="657" spans="1:10" ht="23.25" customHeight="1">
      <c r="A657">
        <f>Table4[[#This Row],[Column1]]</f>
        <v>0</v>
      </c>
      <c r="B657">
        <f>Table4[[#This Row],[Column2]]</f>
        <v>0</v>
      </c>
      <c r="H657" s="9">
        <f>Table13[[#This Row],[dicharge_date]]</f>
        <v>0</v>
      </c>
      <c r="I657" s="13" t="str">
        <f t="shared" si="26"/>
        <v/>
      </c>
      <c r="J657" s="9">
        <f t="shared" si="27"/>
        <v>30</v>
      </c>
    </row>
    <row r="658" spans="1:10" ht="23.25" customHeight="1">
      <c r="A658">
        <f>Table4[[#This Row],[Column1]]</f>
        <v>0</v>
      </c>
      <c r="B658">
        <f>Table4[[#This Row],[Column2]]</f>
        <v>0</v>
      </c>
      <c r="H658" s="9">
        <f>Table13[[#This Row],[dicharge_date]]</f>
        <v>0</v>
      </c>
      <c r="I658" s="13" t="str">
        <f t="shared" si="26"/>
        <v/>
      </c>
      <c r="J658" s="9">
        <f t="shared" si="27"/>
        <v>30</v>
      </c>
    </row>
    <row r="659" spans="1:10" ht="23.25" customHeight="1">
      <c r="A659">
        <f>Table4[[#This Row],[Column1]]</f>
        <v>0</v>
      </c>
      <c r="B659">
        <f>Table4[[#This Row],[Column2]]</f>
        <v>0</v>
      </c>
      <c r="H659" s="9">
        <f>Table13[[#This Row],[dicharge_date]]</f>
        <v>0</v>
      </c>
      <c r="I659" s="13" t="str">
        <f t="shared" si="26"/>
        <v/>
      </c>
      <c r="J659" s="9">
        <f t="shared" si="27"/>
        <v>30</v>
      </c>
    </row>
    <row r="660" spans="1:10" ht="23.25" customHeight="1">
      <c r="A660">
        <f>Table4[[#This Row],[Column1]]</f>
        <v>0</v>
      </c>
      <c r="B660">
        <f>Table4[[#This Row],[Column2]]</f>
        <v>0</v>
      </c>
      <c r="H660" s="9">
        <f>Table13[[#This Row],[dicharge_date]]</f>
        <v>0</v>
      </c>
      <c r="I660" s="13" t="str">
        <f t="shared" si="26"/>
        <v/>
      </c>
      <c r="J660" s="9">
        <f t="shared" si="27"/>
        <v>30</v>
      </c>
    </row>
    <row r="661" spans="1:10" ht="23.25" customHeight="1">
      <c r="A661">
        <f>Table4[[#This Row],[Column1]]</f>
        <v>0</v>
      </c>
      <c r="B661">
        <f>Table4[[#This Row],[Column2]]</f>
        <v>0</v>
      </c>
      <c r="H661" s="9">
        <f>Table13[[#This Row],[dicharge_date]]</f>
        <v>0</v>
      </c>
      <c r="I661" s="13" t="str">
        <f t="shared" si="26"/>
        <v/>
      </c>
      <c r="J661" s="9">
        <f t="shared" si="27"/>
        <v>30</v>
      </c>
    </row>
    <row r="662" spans="1:10" ht="23.25" customHeight="1">
      <c r="A662">
        <f>Table4[[#This Row],[Column1]]</f>
        <v>0</v>
      </c>
      <c r="B662">
        <f>Table4[[#This Row],[Column2]]</f>
        <v>0</v>
      </c>
      <c r="H662" s="9">
        <f>Table13[[#This Row],[dicharge_date]]</f>
        <v>0</v>
      </c>
      <c r="I662" s="13" t="str">
        <f t="shared" si="26"/>
        <v/>
      </c>
      <c r="J662" s="9">
        <f t="shared" si="27"/>
        <v>30</v>
      </c>
    </row>
    <row r="663" spans="1:10" ht="23.25" customHeight="1">
      <c r="A663">
        <f>Table4[[#This Row],[Column1]]</f>
        <v>0</v>
      </c>
      <c r="B663">
        <f>Table4[[#This Row],[Column2]]</f>
        <v>0</v>
      </c>
      <c r="H663" s="9">
        <f>Table13[[#This Row],[dicharge_date]]</f>
        <v>0</v>
      </c>
      <c r="I663" s="13" t="str">
        <f t="shared" si="26"/>
        <v/>
      </c>
      <c r="J663" s="9">
        <f t="shared" si="27"/>
        <v>30</v>
      </c>
    </row>
    <row r="664" spans="1:10" ht="23.25" customHeight="1">
      <c r="A664">
        <f>Table4[[#This Row],[Column1]]</f>
        <v>0</v>
      </c>
      <c r="B664">
        <f>Table4[[#This Row],[Column2]]</f>
        <v>0</v>
      </c>
      <c r="H664" s="9">
        <f>Table13[[#This Row],[dicharge_date]]</f>
        <v>0</v>
      </c>
      <c r="I664" s="13" t="str">
        <f t="shared" si="26"/>
        <v/>
      </c>
      <c r="J664" s="9">
        <f t="shared" si="27"/>
        <v>30</v>
      </c>
    </row>
    <row r="665" spans="1:10" ht="23.25" customHeight="1">
      <c r="A665">
        <f>Table4[[#This Row],[Column1]]</f>
        <v>0</v>
      </c>
      <c r="B665">
        <f>Table4[[#This Row],[Column2]]</f>
        <v>0</v>
      </c>
      <c r="H665" s="9">
        <f>Table13[[#This Row],[dicharge_date]]</f>
        <v>0</v>
      </c>
      <c r="I665" s="13" t="str">
        <f t="shared" si="26"/>
        <v/>
      </c>
      <c r="J665" s="9">
        <f t="shared" si="27"/>
        <v>30</v>
      </c>
    </row>
    <row r="666" spans="1:10" ht="23.25" customHeight="1">
      <c r="A666">
        <f>Table4[[#This Row],[Column1]]</f>
        <v>0</v>
      </c>
      <c r="B666">
        <f>Table4[[#This Row],[Column2]]</f>
        <v>0</v>
      </c>
      <c r="H666" s="9">
        <f>Table13[[#This Row],[dicharge_date]]</f>
        <v>0</v>
      </c>
      <c r="I666" s="13" t="str">
        <f t="shared" si="26"/>
        <v/>
      </c>
      <c r="J666" s="9">
        <f t="shared" si="27"/>
        <v>30</v>
      </c>
    </row>
    <row r="667" spans="1:10" ht="23.25" customHeight="1">
      <c r="A667">
        <f>Table4[[#This Row],[Column1]]</f>
        <v>0</v>
      </c>
      <c r="B667">
        <f>Table4[[#This Row],[Column2]]</f>
        <v>0</v>
      </c>
      <c r="H667" s="9">
        <f>Table13[[#This Row],[dicharge_date]]</f>
        <v>0</v>
      </c>
      <c r="I667" s="13" t="str">
        <f t="shared" si="26"/>
        <v/>
      </c>
      <c r="J667" s="9">
        <f t="shared" si="27"/>
        <v>30</v>
      </c>
    </row>
    <row r="668" spans="1:10" ht="23.25" customHeight="1">
      <c r="A668">
        <f>Table4[[#This Row],[Column1]]</f>
        <v>0</v>
      </c>
      <c r="B668">
        <f>Table4[[#This Row],[Column2]]</f>
        <v>0</v>
      </c>
      <c r="H668" s="9">
        <f>Table13[[#This Row],[dicharge_date]]</f>
        <v>0</v>
      </c>
      <c r="I668" s="13" t="str">
        <f t="shared" si="26"/>
        <v/>
      </c>
      <c r="J668" s="9">
        <f t="shared" si="27"/>
        <v>30</v>
      </c>
    </row>
    <row r="669" spans="1:10" ht="23.25" customHeight="1">
      <c r="A669">
        <f>Table4[[#This Row],[Column1]]</f>
        <v>0</v>
      </c>
      <c r="B669">
        <f>Table4[[#This Row],[Column2]]</f>
        <v>0</v>
      </c>
      <c r="H669" s="9">
        <f>Table13[[#This Row],[dicharge_date]]</f>
        <v>0</v>
      </c>
      <c r="I669" s="13" t="str">
        <f t="shared" si="26"/>
        <v/>
      </c>
      <c r="J669" s="9">
        <f t="shared" si="27"/>
        <v>30</v>
      </c>
    </row>
    <row r="670" spans="1:10" ht="23.25" customHeight="1">
      <c r="A670">
        <f>Table4[[#This Row],[Column1]]</f>
        <v>0</v>
      </c>
      <c r="B670">
        <f>Table4[[#This Row],[Column2]]</f>
        <v>0</v>
      </c>
      <c r="H670" s="9">
        <f>Table13[[#This Row],[dicharge_date]]</f>
        <v>0</v>
      </c>
      <c r="I670" s="13" t="str">
        <f t="shared" si="26"/>
        <v/>
      </c>
      <c r="J670" s="9">
        <f t="shared" si="27"/>
        <v>30</v>
      </c>
    </row>
    <row r="671" spans="1:10" ht="23.25" customHeight="1">
      <c r="A671">
        <f>Table4[[#This Row],[Column1]]</f>
        <v>0</v>
      </c>
      <c r="B671">
        <f>Table4[[#This Row],[Column2]]</f>
        <v>0</v>
      </c>
      <c r="H671" s="9">
        <f>Table13[[#This Row],[dicharge_date]]</f>
        <v>0</v>
      </c>
      <c r="I671" s="13" t="str">
        <f t="shared" si="26"/>
        <v/>
      </c>
      <c r="J671" s="9">
        <f t="shared" si="27"/>
        <v>30</v>
      </c>
    </row>
    <row r="672" spans="1:10" ht="23.25" customHeight="1">
      <c r="A672">
        <f>Table4[[#This Row],[Column1]]</f>
        <v>0</v>
      </c>
      <c r="B672">
        <f>Table4[[#This Row],[Column2]]</f>
        <v>0</v>
      </c>
      <c r="H672" s="9">
        <f>Table13[[#This Row],[dicharge_date]]</f>
        <v>0</v>
      </c>
      <c r="I672" s="13" t="str">
        <f t="shared" si="26"/>
        <v/>
      </c>
      <c r="J672" s="9">
        <f t="shared" si="27"/>
        <v>30</v>
      </c>
    </row>
    <row r="673" spans="1:10" ht="23.25" customHeight="1">
      <c r="A673">
        <f>Table4[[#This Row],[Column1]]</f>
        <v>0</v>
      </c>
      <c r="B673">
        <f>Table4[[#This Row],[Column2]]</f>
        <v>0</v>
      </c>
      <c r="H673" s="9">
        <f>Table13[[#This Row],[dicharge_date]]</f>
        <v>0</v>
      </c>
      <c r="I673" s="13" t="str">
        <f t="shared" si="26"/>
        <v/>
      </c>
      <c r="J673" s="9">
        <f t="shared" si="27"/>
        <v>30</v>
      </c>
    </row>
    <row r="674" spans="1:10" ht="23.25" customHeight="1">
      <c r="A674">
        <f>Table4[[#This Row],[Column1]]</f>
        <v>0</v>
      </c>
      <c r="B674">
        <f>Table4[[#This Row],[Column2]]</f>
        <v>0</v>
      </c>
      <c r="H674" s="9">
        <f>Table13[[#This Row],[dicharge_date]]</f>
        <v>0</v>
      </c>
      <c r="I674" s="13" t="str">
        <f t="shared" si="26"/>
        <v/>
      </c>
      <c r="J674" s="9">
        <f t="shared" si="27"/>
        <v>30</v>
      </c>
    </row>
    <row r="675" spans="1:10" ht="23.25" customHeight="1">
      <c r="A675">
        <f>Table4[[#This Row],[Column1]]</f>
        <v>0</v>
      </c>
      <c r="B675">
        <f>Table4[[#This Row],[Column2]]</f>
        <v>0</v>
      </c>
      <c r="H675" s="9">
        <f>Table13[[#This Row],[dicharge_date]]</f>
        <v>0</v>
      </c>
      <c r="I675" s="13" t="str">
        <f t="shared" si="26"/>
        <v/>
      </c>
      <c r="J675" s="9">
        <f t="shared" si="27"/>
        <v>30</v>
      </c>
    </row>
    <row r="676" spans="1:10" ht="23.25" customHeight="1">
      <c r="A676">
        <f>Table4[[#This Row],[Column1]]</f>
        <v>0</v>
      </c>
      <c r="B676">
        <f>Table4[[#This Row],[Column2]]</f>
        <v>0</v>
      </c>
      <c r="H676" s="9">
        <f>Table13[[#This Row],[dicharge_date]]</f>
        <v>0</v>
      </c>
      <c r="I676" s="13" t="str">
        <f t="shared" si="26"/>
        <v/>
      </c>
      <c r="J676" s="9">
        <f t="shared" si="27"/>
        <v>30</v>
      </c>
    </row>
    <row r="677" spans="1:10" ht="23.25" customHeight="1">
      <c r="A677">
        <f>Table4[[#This Row],[Column1]]</f>
        <v>0</v>
      </c>
      <c r="B677">
        <f>Table4[[#This Row],[Column2]]</f>
        <v>0</v>
      </c>
      <c r="H677" s="9">
        <f>Table13[[#This Row],[dicharge_date]]</f>
        <v>0</v>
      </c>
      <c r="I677" s="13" t="str">
        <f t="shared" si="26"/>
        <v/>
      </c>
      <c r="J677" s="9">
        <f t="shared" si="27"/>
        <v>30</v>
      </c>
    </row>
    <row r="678" spans="1:10" ht="23.25" customHeight="1">
      <c r="A678">
        <f>Table4[[#This Row],[Column1]]</f>
        <v>0</v>
      </c>
      <c r="B678">
        <f>Table4[[#This Row],[Column2]]</f>
        <v>0</v>
      </c>
      <c r="H678" s="9">
        <f>Table13[[#This Row],[dicharge_date]]</f>
        <v>0</v>
      </c>
      <c r="I678" s="13" t="str">
        <f t="shared" si="26"/>
        <v/>
      </c>
      <c r="J678" s="9">
        <f t="shared" si="27"/>
        <v>30</v>
      </c>
    </row>
    <row r="679" spans="1:10" ht="23.25" customHeight="1">
      <c r="A679">
        <f>Table4[[#This Row],[Column1]]</f>
        <v>0</v>
      </c>
      <c r="B679">
        <f>Table4[[#This Row],[Column2]]</f>
        <v>0</v>
      </c>
      <c r="H679" s="9">
        <f>Table13[[#This Row],[dicharge_date]]</f>
        <v>0</v>
      </c>
      <c r="I679" s="13" t="str">
        <f t="shared" ref="I679:I742" si="28">IF( E679&lt;&gt;"", H679-E679,"")</f>
        <v/>
      </c>
      <c r="J679" s="9">
        <f t="shared" si="27"/>
        <v>30</v>
      </c>
    </row>
    <row r="680" spans="1:10" ht="23.25" customHeight="1">
      <c r="A680">
        <f>Table4[[#This Row],[Column1]]</f>
        <v>0</v>
      </c>
      <c r="B680">
        <f>Table4[[#This Row],[Column2]]</f>
        <v>0</v>
      </c>
      <c r="H680" s="9">
        <f>Table13[[#This Row],[dicharge_date]]</f>
        <v>0</v>
      </c>
      <c r="I680" s="13" t="str">
        <f t="shared" si="28"/>
        <v/>
      </c>
      <c r="J680" s="9">
        <f t="shared" si="27"/>
        <v>30</v>
      </c>
    </row>
    <row r="681" spans="1:10" ht="23.25" customHeight="1">
      <c r="A681">
        <f>Table4[[#This Row],[Column1]]</f>
        <v>0</v>
      </c>
      <c r="B681">
        <f>Table4[[#This Row],[Column2]]</f>
        <v>0</v>
      </c>
      <c r="H681" s="9">
        <f>Table13[[#This Row],[dicharge_date]]</f>
        <v>0</v>
      </c>
      <c r="I681" s="13" t="str">
        <f t="shared" si="28"/>
        <v/>
      </c>
      <c r="J681" s="9">
        <f t="shared" si="27"/>
        <v>30</v>
      </c>
    </row>
    <row r="682" spans="1:10" ht="23.25" customHeight="1">
      <c r="A682">
        <f>Table4[[#This Row],[Column1]]</f>
        <v>0</v>
      </c>
      <c r="B682">
        <f>Table4[[#This Row],[Column2]]</f>
        <v>0</v>
      </c>
      <c r="H682" s="9">
        <f>Table13[[#This Row],[dicharge_date]]</f>
        <v>0</v>
      </c>
      <c r="I682" s="13" t="str">
        <f t="shared" si="28"/>
        <v/>
      </c>
      <c r="J682" s="9">
        <f t="shared" si="27"/>
        <v>30</v>
      </c>
    </row>
    <row r="683" spans="1:10" ht="23.25" customHeight="1">
      <c r="A683">
        <f>Table4[[#This Row],[Column1]]</f>
        <v>0</v>
      </c>
      <c r="B683">
        <f>Table4[[#This Row],[Column2]]</f>
        <v>0</v>
      </c>
      <c r="H683" s="9">
        <f>Table13[[#This Row],[dicharge_date]]</f>
        <v>0</v>
      </c>
      <c r="I683" s="13" t="str">
        <f t="shared" si="28"/>
        <v/>
      </c>
      <c r="J683" s="9">
        <f t="shared" si="27"/>
        <v>30</v>
      </c>
    </row>
    <row r="684" spans="1:10" ht="23.25" customHeight="1">
      <c r="A684">
        <f>Table4[[#This Row],[Column1]]</f>
        <v>0</v>
      </c>
      <c r="B684">
        <f>Table4[[#This Row],[Column2]]</f>
        <v>0</v>
      </c>
      <c r="H684" s="9">
        <f>Table13[[#This Row],[dicharge_date]]</f>
        <v>0</v>
      </c>
      <c r="I684" s="13" t="str">
        <f t="shared" si="28"/>
        <v/>
      </c>
      <c r="J684" s="9">
        <f t="shared" si="27"/>
        <v>30</v>
      </c>
    </row>
    <row r="685" spans="1:10" ht="23.25" customHeight="1">
      <c r="A685">
        <f>Table4[[#This Row],[Column1]]</f>
        <v>0</v>
      </c>
      <c r="B685">
        <f>Table4[[#This Row],[Column2]]</f>
        <v>0</v>
      </c>
      <c r="H685" s="9">
        <f>Table13[[#This Row],[dicharge_date]]</f>
        <v>0</v>
      </c>
      <c r="I685" s="13" t="str">
        <f t="shared" si="28"/>
        <v/>
      </c>
      <c r="J685" s="9">
        <f t="shared" si="27"/>
        <v>30</v>
      </c>
    </row>
    <row r="686" spans="1:10" ht="23.25" customHeight="1">
      <c r="A686">
        <f>Table4[[#This Row],[Column1]]</f>
        <v>0</v>
      </c>
      <c r="B686">
        <f>Table4[[#This Row],[Column2]]</f>
        <v>0</v>
      </c>
      <c r="H686" s="9">
        <f>Table13[[#This Row],[dicharge_date]]</f>
        <v>0</v>
      </c>
      <c r="I686" s="13" t="str">
        <f t="shared" si="28"/>
        <v/>
      </c>
      <c r="J686" s="9">
        <f t="shared" si="27"/>
        <v>30</v>
      </c>
    </row>
    <row r="687" spans="1:10" ht="23.25" customHeight="1">
      <c r="A687">
        <f>Table4[[#This Row],[Column1]]</f>
        <v>0</v>
      </c>
      <c r="B687">
        <f>Table4[[#This Row],[Column2]]</f>
        <v>0</v>
      </c>
      <c r="H687" s="9">
        <f>Table13[[#This Row],[dicharge_date]]</f>
        <v>0</v>
      </c>
      <c r="I687" s="13" t="str">
        <f t="shared" si="28"/>
        <v/>
      </c>
      <c r="J687" s="9">
        <f t="shared" si="27"/>
        <v>30</v>
      </c>
    </row>
    <row r="688" spans="1:10" ht="23.25" customHeight="1">
      <c r="A688">
        <f>Table4[[#This Row],[Column1]]</f>
        <v>0</v>
      </c>
      <c r="B688">
        <f>Table4[[#This Row],[Column2]]</f>
        <v>0</v>
      </c>
      <c r="H688" s="9">
        <f>Table13[[#This Row],[dicharge_date]]</f>
        <v>0</v>
      </c>
      <c r="I688" s="13" t="str">
        <f t="shared" si="28"/>
        <v/>
      </c>
      <c r="J688" s="9">
        <f t="shared" si="27"/>
        <v>30</v>
      </c>
    </row>
    <row r="689" spans="1:10" ht="23.25" customHeight="1">
      <c r="A689">
        <f>Table4[[#This Row],[Column1]]</f>
        <v>0</v>
      </c>
      <c r="B689">
        <f>Table4[[#This Row],[Column2]]</f>
        <v>0</v>
      </c>
      <c r="H689" s="9">
        <f>Table13[[#This Row],[dicharge_date]]</f>
        <v>0</v>
      </c>
      <c r="I689" s="13" t="str">
        <f t="shared" si="28"/>
        <v/>
      </c>
      <c r="J689" s="9">
        <f t="shared" si="27"/>
        <v>30</v>
      </c>
    </row>
    <row r="690" spans="1:10" ht="23.25" customHeight="1">
      <c r="A690">
        <f>Table4[[#This Row],[Column1]]</f>
        <v>0</v>
      </c>
      <c r="B690">
        <f>Table4[[#This Row],[Column2]]</f>
        <v>0</v>
      </c>
      <c r="H690" s="9">
        <f>Table13[[#This Row],[dicharge_date]]</f>
        <v>0</v>
      </c>
      <c r="I690" s="13" t="str">
        <f t="shared" si="28"/>
        <v/>
      </c>
      <c r="J690" s="9">
        <f t="shared" si="27"/>
        <v>30</v>
      </c>
    </row>
    <row r="691" spans="1:10" ht="23.25" customHeight="1">
      <c r="A691">
        <f>Table4[[#This Row],[Column1]]</f>
        <v>0</v>
      </c>
      <c r="B691">
        <f>Table4[[#This Row],[Column2]]</f>
        <v>0</v>
      </c>
      <c r="H691" s="9">
        <f>Table13[[#This Row],[dicharge_date]]</f>
        <v>0</v>
      </c>
      <c r="I691" s="13" t="str">
        <f t="shared" si="28"/>
        <v/>
      </c>
      <c r="J691" s="9">
        <f t="shared" si="27"/>
        <v>30</v>
      </c>
    </row>
    <row r="692" spans="1:10" ht="23.25" customHeight="1">
      <c r="A692">
        <f>Table4[[#This Row],[Column1]]</f>
        <v>0</v>
      </c>
      <c r="B692">
        <f>Table4[[#This Row],[Column2]]</f>
        <v>0</v>
      </c>
      <c r="H692" s="9">
        <f>Table13[[#This Row],[dicharge_date]]</f>
        <v>0</v>
      </c>
      <c r="I692" s="13" t="str">
        <f t="shared" si="28"/>
        <v/>
      </c>
      <c r="J692" s="9">
        <f t="shared" si="27"/>
        <v>30</v>
      </c>
    </row>
    <row r="693" spans="1:10" ht="23.25" customHeight="1">
      <c r="A693">
        <f>Table4[[#This Row],[Column1]]</f>
        <v>0</v>
      </c>
      <c r="B693">
        <f>Table4[[#This Row],[Column2]]</f>
        <v>0</v>
      </c>
      <c r="H693" s="9">
        <f>Table13[[#This Row],[dicharge_date]]</f>
        <v>0</v>
      </c>
      <c r="I693" s="13" t="str">
        <f t="shared" si="28"/>
        <v/>
      </c>
      <c r="J693" s="9">
        <f t="shared" si="27"/>
        <v>30</v>
      </c>
    </row>
    <row r="694" spans="1:10" ht="23.25" customHeight="1">
      <c r="A694">
        <f>Table4[[#This Row],[Column1]]</f>
        <v>0</v>
      </c>
      <c r="B694">
        <f>Table4[[#This Row],[Column2]]</f>
        <v>0</v>
      </c>
      <c r="H694" s="9">
        <f>Table13[[#This Row],[dicharge_date]]</f>
        <v>0</v>
      </c>
      <c r="I694" s="13" t="str">
        <f t="shared" si="28"/>
        <v/>
      </c>
      <c r="J694" s="9">
        <f t="shared" si="27"/>
        <v>30</v>
      </c>
    </row>
    <row r="695" spans="1:10" ht="23.25" customHeight="1">
      <c r="A695">
        <f>Table4[[#This Row],[Column1]]</f>
        <v>0</v>
      </c>
      <c r="B695">
        <f>Table4[[#This Row],[Column2]]</f>
        <v>0</v>
      </c>
      <c r="H695" s="9">
        <f>Table13[[#This Row],[dicharge_date]]</f>
        <v>0</v>
      </c>
      <c r="I695" s="13" t="str">
        <f t="shared" si="28"/>
        <v/>
      </c>
      <c r="J695" s="9">
        <f t="shared" si="27"/>
        <v>30</v>
      </c>
    </row>
    <row r="696" spans="1:10" ht="23.25" customHeight="1">
      <c r="A696">
        <f>Table4[[#This Row],[Column1]]</f>
        <v>0</v>
      </c>
      <c r="B696">
        <f>Table4[[#This Row],[Column2]]</f>
        <v>0</v>
      </c>
      <c r="H696" s="9">
        <f>Table13[[#This Row],[dicharge_date]]</f>
        <v>0</v>
      </c>
      <c r="I696" s="13" t="str">
        <f t="shared" si="28"/>
        <v/>
      </c>
      <c r="J696" s="9">
        <f t="shared" si="27"/>
        <v>30</v>
      </c>
    </row>
    <row r="697" spans="1:10" ht="23.25" customHeight="1">
      <c r="A697">
        <f>Table4[[#This Row],[Column1]]</f>
        <v>0</v>
      </c>
      <c r="B697">
        <f>Table4[[#This Row],[Column2]]</f>
        <v>0</v>
      </c>
      <c r="H697" s="9">
        <f>Table13[[#This Row],[dicharge_date]]</f>
        <v>0</v>
      </c>
      <c r="I697" s="13" t="str">
        <f t="shared" si="28"/>
        <v/>
      </c>
      <c r="J697" s="9">
        <f t="shared" si="27"/>
        <v>30</v>
      </c>
    </row>
    <row r="698" spans="1:10" ht="23.25" customHeight="1">
      <c r="A698">
        <f>Table4[[#This Row],[Column1]]</f>
        <v>0</v>
      </c>
      <c r="B698">
        <f>Table4[[#This Row],[Column2]]</f>
        <v>0</v>
      </c>
      <c r="H698" s="9">
        <f>Table13[[#This Row],[dicharge_date]]</f>
        <v>0</v>
      </c>
      <c r="I698" s="13" t="str">
        <f t="shared" si="28"/>
        <v/>
      </c>
      <c r="J698" s="9">
        <f t="shared" si="27"/>
        <v>30</v>
      </c>
    </row>
    <row r="699" spans="1:10" ht="23.25" customHeight="1">
      <c r="A699">
        <f>Table4[[#This Row],[Column1]]</f>
        <v>0</v>
      </c>
      <c r="B699">
        <f>Table4[[#This Row],[Column2]]</f>
        <v>0</v>
      </c>
      <c r="H699" s="9">
        <f>Table13[[#This Row],[dicharge_date]]</f>
        <v>0</v>
      </c>
      <c r="I699" s="13" t="str">
        <f t="shared" si="28"/>
        <v/>
      </c>
      <c r="J699" s="9">
        <f t="shared" si="27"/>
        <v>30</v>
      </c>
    </row>
    <row r="700" spans="1:10" ht="23.25" customHeight="1">
      <c r="A700">
        <f>Table4[[#This Row],[Column1]]</f>
        <v>0</v>
      </c>
      <c r="B700">
        <f>Table4[[#This Row],[Column2]]</f>
        <v>0</v>
      </c>
      <c r="H700" s="9">
        <f>Table13[[#This Row],[dicharge_date]]</f>
        <v>0</v>
      </c>
      <c r="I700" s="13" t="str">
        <f t="shared" si="28"/>
        <v/>
      </c>
      <c r="J700" s="9">
        <f t="shared" si="27"/>
        <v>30</v>
      </c>
    </row>
    <row r="701" spans="1:10" ht="23.25" customHeight="1">
      <c r="A701">
        <f>Table4[[#This Row],[Column1]]</f>
        <v>0</v>
      </c>
      <c r="B701">
        <f>Table4[[#This Row],[Column2]]</f>
        <v>0</v>
      </c>
      <c r="H701" s="9">
        <f>Table13[[#This Row],[dicharge_date]]</f>
        <v>0</v>
      </c>
      <c r="I701" s="13" t="str">
        <f t="shared" si="28"/>
        <v/>
      </c>
      <c r="J701" s="9">
        <f t="shared" si="27"/>
        <v>30</v>
      </c>
    </row>
    <row r="702" spans="1:10" ht="23.25" customHeight="1">
      <c r="A702">
        <f>Table4[[#This Row],[Column1]]</f>
        <v>0</v>
      </c>
      <c r="B702">
        <f>Table4[[#This Row],[Column2]]</f>
        <v>0</v>
      </c>
      <c r="H702" s="9">
        <f>Table13[[#This Row],[dicharge_date]]</f>
        <v>0</v>
      </c>
      <c r="I702" s="13" t="str">
        <f t="shared" si="28"/>
        <v/>
      </c>
      <c r="J702" s="9">
        <f t="shared" si="27"/>
        <v>30</v>
      </c>
    </row>
    <row r="703" spans="1:10" ht="23.25" customHeight="1">
      <c r="A703">
        <f>Table4[[#This Row],[Column1]]</f>
        <v>0</v>
      </c>
      <c r="B703">
        <f>Table4[[#This Row],[Column2]]</f>
        <v>0</v>
      </c>
      <c r="H703" s="9">
        <f>Table13[[#This Row],[dicharge_date]]</f>
        <v>0</v>
      </c>
      <c r="I703" s="13" t="str">
        <f t="shared" si="28"/>
        <v/>
      </c>
      <c r="J703" s="9">
        <f t="shared" si="27"/>
        <v>30</v>
      </c>
    </row>
    <row r="704" spans="1:10" ht="23.25" customHeight="1">
      <c r="A704">
        <f>Table4[[#This Row],[Column1]]</f>
        <v>0</v>
      </c>
      <c r="B704">
        <f>Table4[[#This Row],[Column2]]</f>
        <v>0</v>
      </c>
      <c r="H704" s="9">
        <f>Table13[[#This Row],[dicharge_date]]</f>
        <v>0</v>
      </c>
      <c r="I704" s="13" t="str">
        <f t="shared" si="28"/>
        <v/>
      </c>
      <c r="J704" s="9">
        <f t="shared" si="27"/>
        <v>30</v>
      </c>
    </row>
    <row r="705" spans="1:10" ht="23.25" customHeight="1">
      <c r="A705">
        <f>Table4[[#This Row],[Column1]]</f>
        <v>0</v>
      </c>
      <c r="B705">
        <f>Table4[[#This Row],[Column2]]</f>
        <v>0</v>
      </c>
      <c r="H705" s="9">
        <f>Table13[[#This Row],[dicharge_date]]</f>
        <v>0</v>
      </c>
      <c r="I705" s="13" t="str">
        <f t="shared" si="28"/>
        <v/>
      </c>
      <c r="J705" s="9">
        <f t="shared" si="27"/>
        <v>30</v>
      </c>
    </row>
    <row r="706" spans="1:10" ht="23.25" customHeight="1">
      <c r="A706">
        <f>Table4[[#This Row],[Column1]]</f>
        <v>0</v>
      </c>
      <c r="B706">
        <f>Table4[[#This Row],[Column2]]</f>
        <v>0</v>
      </c>
      <c r="H706" s="9">
        <f>Table13[[#This Row],[dicharge_date]]</f>
        <v>0</v>
      </c>
      <c r="I706" s="13" t="str">
        <f t="shared" si="28"/>
        <v/>
      </c>
      <c r="J706" s="9">
        <f t="shared" ref="J706:J769" si="29">IF( H706&lt;&gt;"", H706+30,"")</f>
        <v>30</v>
      </c>
    </row>
    <row r="707" spans="1:10" ht="23.25" customHeight="1">
      <c r="A707">
        <f>Table4[[#This Row],[Column1]]</f>
        <v>0</v>
      </c>
      <c r="B707">
        <f>Table4[[#This Row],[Column2]]</f>
        <v>0</v>
      </c>
      <c r="H707" s="9">
        <f>Table13[[#This Row],[dicharge_date]]</f>
        <v>0</v>
      </c>
      <c r="I707" s="13" t="str">
        <f t="shared" si="28"/>
        <v/>
      </c>
      <c r="J707" s="9">
        <f t="shared" si="29"/>
        <v>30</v>
      </c>
    </row>
    <row r="708" spans="1:10" ht="23.25" customHeight="1">
      <c r="A708">
        <f>Table4[[#This Row],[Column1]]</f>
        <v>0</v>
      </c>
      <c r="B708">
        <f>Table4[[#This Row],[Column2]]</f>
        <v>0</v>
      </c>
      <c r="H708" s="9">
        <f>Table13[[#This Row],[dicharge_date]]</f>
        <v>0</v>
      </c>
      <c r="I708" s="13" t="str">
        <f t="shared" si="28"/>
        <v/>
      </c>
      <c r="J708" s="9">
        <f t="shared" si="29"/>
        <v>30</v>
      </c>
    </row>
    <row r="709" spans="1:10" ht="23.25" customHeight="1">
      <c r="A709">
        <f>Table4[[#This Row],[Column1]]</f>
        <v>0</v>
      </c>
      <c r="B709">
        <f>Table4[[#This Row],[Column2]]</f>
        <v>0</v>
      </c>
      <c r="H709" s="9">
        <f>Table13[[#This Row],[dicharge_date]]</f>
        <v>0</v>
      </c>
      <c r="I709" s="13" t="str">
        <f t="shared" si="28"/>
        <v/>
      </c>
      <c r="J709" s="9">
        <f t="shared" si="29"/>
        <v>30</v>
      </c>
    </row>
    <row r="710" spans="1:10" ht="23.25" customHeight="1">
      <c r="A710">
        <f>Table4[[#This Row],[Column1]]</f>
        <v>0</v>
      </c>
      <c r="B710">
        <f>Table4[[#This Row],[Column2]]</f>
        <v>0</v>
      </c>
      <c r="H710" s="9">
        <f>Table13[[#This Row],[dicharge_date]]</f>
        <v>0</v>
      </c>
      <c r="I710" s="13" t="str">
        <f t="shared" si="28"/>
        <v/>
      </c>
      <c r="J710" s="9">
        <f t="shared" si="29"/>
        <v>30</v>
      </c>
    </row>
    <row r="711" spans="1:10" ht="23.25" customHeight="1">
      <c r="A711">
        <f>Table4[[#This Row],[Column1]]</f>
        <v>0</v>
      </c>
      <c r="B711">
        <f>Table4[[#This Row],[Column2]]</f>
        <v>0</v>
      </c>
      <c r="H711" s="9">
        <f>Table13[[#This Row],[dicharge_date]]</f>
        <v>0</v>
      </c>
      <c r="I711" s="13" t="str">
        <f t="shared" si="28"/>
        <v/>
      </c>
      <c r="J711" s="9">
        <f t="shared" si="29"/>
        <v>30</v>
      </c>
    </row>
    <row r="712" spans="1:10" ht="23.25" customHeight="1">
      <c r="A712">
        <f>Table4[[#This Row],[Column1]]</f>
        <v>0</v>
      </c>
      <c r="B712">
        <f>Table4[[#This Row],[Column2]]</f>
        <v>0</v>
      </c>
      <c r="H712" s="9">
        <f>Table13[[#This Row],[dicharge_date]]</f>
        <v>0</v>
      </c>
      <c r="I712" s="13" t="str">
        <f t="shared" si="28"/>
        <v/>
      </c>
      <c r="J712" s="9">
        <f t="shared" si="29"/>
        <v>30</v>
      </c>
    </row>
    <row r="713" spans="1:10" ht="23.25" customHeight="1">
      <c r="A713">
        <f>Table4[[#This Row],[Column1]]</f>
        <v>0</v>
      </c>
      <c r="B713">
        <f>Table4[[#This Row],[Column2]]</f>
        <v>0</v>
      </c>
      <c r="H713" s="9">
        <f>Table13[[#This Row],[dicharge_date]]</f>
        <v>0</v>
      </c>
      <c r="I713" s="13" t="str">
        <f t="shared" si="28"/>
        <v/>
      </c>
      <c r="J713" s="9">
        <f t="shared" si="29"/>
        <v>30</v>
      </c>
    </row>
    <row r="714" spans="1:10" ht="23.25" customHeight="1">
      <c r="A714">
        <f>Table4[[#This Row],[Column1]]</f>
        <v>0</v>
      </c>
      <c r="B714">
        <f>Table4[[#This Row],[Column2]]</f>
        <v>0</v>
      </c>
      <c r="H714" s="9">
        <f>Table13[[#This Row],[dicharge_date]]</f>
        <v>0</v>
      </c>
      <c r="I714" s="13" t="str">
        <f t="shared" si="28"/>
        <v/>
      </c>
      <c r="J714" s="9">
        <f t="shared" si="29"/>
        <v>30</v>
      </c>
    </row>
    <row r="715" spans="1:10" ht="23.25" customHeight="1">
      <c r="A715">
        <f>Table4[[#This Row],[Column1]]</f>
        <v>0</v>
      </c>
      <c r="B715">
        <f>Table4[[#This Row],[Column2]]</f>
        <v>0</v>
      </c>
      <c r="H715" s="9">
        <f>Table13[[#This Row],[dicharge_date]]</f>
        <v>0</v>
      </c>
      <c r="I715" s="13" t="str">
        <f t="shared" si="28"/>
        <v/>
      </c>
      <c r="J715" s="9">
        <f t="shared" si="29"/>
        <v>30</v>
      </c>
    </row>
    <row r="716" spans="1:10" ht="23.25" customHeight="1">
      <c r="A716">
        <f>Table4[[#This Row],[Column1]]</f>
        <v>0</v>
      </c>
      <c r="B716">
        <f>Table4[[#This Row],[Column2]]</f>
        <v>0</v>
      </c>
      <c r="H716" s="9">
        <f>Table13[[#This Row],[dicharge_date]]</f>
        <v>0</v>
      </c>
      <c r="I716" s="13" t="str">
        <f t="shared" si="28"/>
        <v/>
      </c>
      <c r="J716" s="9">
        <f t="shared" si="29"/>
        <v>30</v>
      </c>
    </row>
    <row r="717" spans="1:10" ht="23.25" customHeight="1">
      <c r="A717">
        <f>Table4[[#This Row],[Column1]]</f>
        <v>0</v>
      </c>
      <c r="B717">
        <f>Table4[[#This Row],[Column2]]</f>
        <v>0</v>
      </c>
      <c r="H717" s="9">
        <f>Table13[[#This Row],[dicharge_date]]</f>
        <v>0</v>
      </c>
      <c r="I717" s="13" t="str">
        <f t="shared" si="28"/>
        <v/>
      </c>
      <c r="J717" s="9">
        <f t="shared" si="29"/>
        <v>30</v>
      </c>
    </row>
    <row r="718" spans="1:10" ht="23.25" customHeight="1">
      <c r="A718">
        <f>Table4[[#This Row],[Column1]]</f>
        <v>0</v>
      </c>
      <c r="B718">
        <f>Table4[[#This Row],[Column2]]</f>
        <v>0</v>
      </c>
      <c r="H718" s="9">
        <f>Table13[[#This Row],[dicharge_date]]</f>
        <v>0</v>
      </c>
      <c r="I718" s="13" t="str">
        <f t="shared" si="28"/>
        <v/>
      </c>
      <c r="J718" s="9">
        <f t="shared" si="29"/>
        <v>30</v>
      </c>
    </row>
    <row r="719" spans="1:10" ht="23.25" customHeight="1">
      <c r="A719">
        <f>Table4[[#This Row],[Column1]]</f>
        <v>0</v>
      </c>
      <c r="B719">
        <f>Table4[[#This Row],[Column2]]</f>
        <v>0</v>
      </c>
      <c r="H719" s="9">
        <f>Table13[[#This Row],[dicharge_date]]</f>
        <v>0</v>
      </c>
      <c r="I719" s="13" t="str">
        <f t="shared" si="28"/>
        <v/>
      </c>
      <c r="J719" s="9">
        <f t="shared" si="29"/>
        <v>30</v>
      </c>
    </row>
    <row r="720" spans="1:10" ht="23.25" customHeight="1">
      <c r="A720">
        <f>Table4[[#This Row],[Column1]]</f>
        <v>0</v>
      </c>
      <c r="B720">
        <f>Table4[[#This Row],[Column2]]</f>
        <v>0</v>
      </c>
      <c r="H720" s="9">
        <f>Table13[[#This Row],[dicharge_date]]</f>
        <v>0</v>
      </c>
      <c r="I720" s="13" t="str">
        <f t="shared" si="28"/>
        <v/>
      </c>
      <c r="J720" s="9">
        <f t="shared" si="29"/>
        <v>30</v>
      </c>
    </row>
    <row r="721" spans="1:10" ht="23.25" customHeight="1">
      <c r="A721">
        <f>Table4[[#This Row],[Column1]]</f>
        <v>0</v>
      </c>
      <c r="B721">
        <f>Table4[[#This Row],[Column2]]</f>
        <v>0</v>
      </c>
      <c r="H721" s="9">
        <f>Table13[[#This Row],[dicharge_date]]</f>
        <v>0</v>
      </c>
      <c r="I721" s="13" t="str">
        <f t="shared" si="28"/>
        <v/>
      </c>
      <c r="J721" s="9">
        <f t="shared" si="29"/>
        <v>30</v>
      </c>
    </row>
    <row r="722" spans="1:10" ht="23.25" customHeight="1">
      <c r="A722">
        <f>Table4[[#This Row],[Column1]]</f>
        <v>0</v>
      </c>
      <c r="B722">
        <f>Table4[[#This Row],[Column2]]</f>
        <v>0</v>
      </c>
      <c r="H722" s="9">
        <f>Table13[[#This Row],[dicharge_date]]</f>
        <v>0</v>
      </c>
      <c r="I722" s="13" t="str">
        <f t="shared" si="28"/>
        <v/>
      </c>
      <c r="J722" s="9">
        <f t="shared" si="29"/>
        <v>30</v>
      </c>
    </row>
    <row r="723" spans="1:10" ht="23.25" customHeight="1">
      <c r="A723">
        <f>Table4[[#This Row],[Column1]]</f>
        <v>0</v>
      </c>
      <c r="B723">
        <f>Table4[[#This Row],[Column2]]</f>
        <v>0</v>
      </c>
      <c r="H723" s="9">
        <f>Table13[[#This Row],[dicharge_date]]</f>
        <v>0</v>
      </c>
      <c r="I723" s="13" t="str">
        <f t="shared" si="28"/>
        <v/>
      </c>
      <c r="J723" s="9">
        <f t="shared" si="29"/>
        <v>30</v>
      </c>
    </row>
    <row r="724" spans="1:10" ht="23.25" customHeight="1">
      <c r="A724">
        <f>Table4[[#This Row],[Column1]]</f>
        <v>0</v>
      </c>
      <c r="B724">
        <f>Table4[[#This Row],[Column2]]</f>
        <v>0</v>
      </c>
      <c r="H724" s="9">
        <f>Table13[[#This Row],[dicharge_date]]</f>
        <v>0</v>
      </c>
      <c r="I724" s="13" t="str">
        <f t="shared" si="28"/>
        <v/>
      </c>
      <c r="J724" s="9">
        <f t="shared" si="29"/>
        <v>30</v>
      </c>
    </row>
    <row r="725" spans="1:10" ht="23.25" customHeight="1">
      <c r="A725">
        <f>Table4[[#This Row],[Column1]]</f>
        <v>0</v>
      </c>
      <c r="B725">
        <f>Table4[[#This Row],[Column2]]</f>
        <v>0</v>
      </c>
      <c r="H725" s="9">
        <f>Table13[[#This Row],[dicharge_date]]</f>
        <v>0</v>
      </c>
      <c r="I725" s="13" t="str">
        <f t="shared" si="28"/>
        <v/>
      </c>
      <c r="J725" s="9">
        <f t="shared" si="29"/>
        <v>30</v>
      </c>
    </row>
    <row r="726" spans="1:10" ht="23.25" customHeight="1">
      <c r="A726">
        <f>Table4[[#This Row],[Column1]]</f>
        <v>0</v>
      </c>
      <c r="B726">
        <f>Table4[[#This Row],[Column2]]</f>
        <v>0</v>
      </c>
      <c r="H726" s="9">
        <f>Table13[[#This Row],[dicharge_date]]</f>
        <v>0</v>
      </c>
      <c r="I726" s="13" t="str">
        <f t="shared" si="28"/>
        <v/>
      </c>
      <c r="J726" s="9">
        <f t="shared" si="29"/>
        <v>30</v>
      </c>
    </row>
    <row r="727" spans="1:10" ht="23.25" customHeight="1">
      <c r="A727">
        <f>Table4[[#This Row],[Column1]]</f>
        <v>0</v>
      </c>
      <c r="B727">
        <f>Table4[[#This Row],[Column2]]</f>
        <v>0</v>
      </c>
      <c r="H727" s="9">
        <f>Table13[[#This Row],[dicharge_date]]</f>
        <v>0</v>
      </c>
      <c r="I727" s="13" t="str">
        <f t="shared" si="28"/>
        <v/>
      </c>
      <c r="J727" s="9">
        <f t="shared" si="29"/>
        <v>30</v>
      </c>
    </row>
    <row r="728" spans="1:10" ht="23.25" customHeight="1">
      <c r="A728">
        <f>Table4[[#This Row],[Column1]]</f>
        <v>0</v>
      </c>
      <c r="B728">
        <f>Table4[[#This Row],[Column2]]</f>
        <v>0</v>
      </c>
      <c r="H728" s="9">
        <f>Table13[[#This Row],[dicharge_date]]</f>
        <v>0</v>
      </c>
      <c r="I728" s="13" t="str">
        <f t="shared" si="28"/>
        <v/>
      </c>
      <c r="J728" s="9">
        <f t="shared" si="29"/>
        <v>30</v>
      </c>
    </row>
    <row r="729" spans="1:10" ht="23.25" customHeight="1">
      <c r="A729">
        <f>Table4[[#This Row],[Column1]]</f>
        <v>0</v>
      </c>
      <c r="B729">
        <f>Table4[[#This Row],[Column2]]</f>
        <v>0</v>
      </c>
      <c r="H729" s="9">
        <f>Table13[[#This Row],[dicharge_date]]</f>
        <v>0</v>
      </c>
      <c r="I729" s="13" t="str">
        <f t="shared" si="28"/>
        <v/>
      </c>
      <c r="J729" s="9">
        <f t="shared" si="29"/>
        <v>30</v>
      </c>
    </row>
    <row r="730" spans="1:10" ht="23.25" customHeight="1">
      <c r="A730">
        <f>Table4[[#This Row],[Column1]]</f>
        <v>0</v>
      </c>
      <c r="B730">
        <f>Table4[[#This Row],[Column2]]</f>
        <v>0</v>
      </c>
      <c r="H730" s="9">
        <f>Table13[[#This Row],[dicharge_date]]</f>
        <v>0</v>
      </c>
      <c r="I730" s="13" t="str">
        <f t="shared" si="28"/>
        <v/>
      </c>
      <c r="J730" s="9">
        <f t="shared" si="29"/>
        <v>30</v>
      </c>
    </row>
    <row r="731" spans="1:10" ht="23.25" customHeight="1">
      <c r="A731">
        <f>Table4[[#This Row],[Column1]]</f>
        <v>0</v>
      </c>
      <c r="B731">
        <f>Table4[[#This Row],[Column2]]</f>
        <v>0</v>
      </c>
      <c r="H731" s="9">
        <f>Table13[[#This Row],[dicharge_date]]</f>
        <v>0</v>
      </c>
      <c r="I731" s="13" t="str">
        <f t="shared" si="28"/>
        <v/>
      </c>
      <c r="J731" s="9">
        <f t="shared" si="29"/>
        <v>30</v>
      </c>
    </row>
    <row r="732" spans="1:10" ht="23.25" customHeight="1">
      <c r="A732">
        <f>Table4[[#This Row],[Column1]]</f>
        <v>0</v>
      </c>
      <c r="B732">
        <f>Table4[[#This Row],[Column2]]</f>
        <v>0</v>
      </c>
      <c r="H732" s="9">
        <f>Table13[[#This Row],[dicharge_date]]</f>
        <v>0</v>
      </c>
      <c r="I732" s="13" t="str">
        <f t="shared" si="28"/>
        <v/>
      </c>
      <c r="J732" s="9">
        <f t="shared" si="29"/>
        <v>30</v>
      </c>
    </row>
    <row r="733" spans="1:10" ht="23.25" customHeight="1">
      <c r="A733">
        <f>Table4[[#This Row],[Column1]]</f>
        <v>0</v>
      </c>
      <c r="B733">
        <f>Table4[[#This Row],[Column2]]</f>
        <v>0</v>
      </c>
      <c r="H733" s="9">
        <f>Table13[[#This Row],[dicharge_date]]</f>
        <v>0</v>
      </c>
      <c r="I733" s="13" t="str">
        <f t="shared" si="28"/>
        <v/>
      </c>
      <c r="J733" s="9">
        <f t="shared" si="29"/>
        <v>30</v>
      </c>
    </row>
    <row r="734" spans="1:10" ht="23.25" customHeight="1">
      <c r="A734">
        <f>Table4[[#This Row],[Column1]]</f>
        <v>0</v>
      </c>
      <c r="B734">
        <f>Table4[[#This Row],[Column2]]</f>
        <v>0</v>
      </c>
      <c r="H734" s="9">
        <f>Table13[[#This Row],[dicharge_date]]</f>
        <v>0</v>
      </c>
      <c r="I734" s="13" t="str">
        <f t="shared" si="28"/>
        <v/>
      </c>
      <c r="J734" s="9">
        <f t="shared" si="29"/>
        <v>30</v>
      </c>
    </row>
    <row r="735" spans="1:10" ht="23.25" customHeight="1">
      <c r="A735">
        <f>Table4[[#This Row],[Column1]]</f>
        <v>0</v>
      </c>
      <c r="B735">
        <f>Table4[[#This Row],[Column2]]</f>
        <v>0</v>
      </c>
      <c r="H735" s="9">
        <f>Table13[[#This Row],[dicharge_date]]</f>
        <v>0</v>
      </c>
      <c r="I735" s="13" t="str">
        <f t="shared" si="28"/>
        <v/>
      </c>
      <c r="J735" s="9">
        <f t="shared" si="29"/>
        <v>30</v>
      </c>
    </row>
    <row r="736" spans="1:10" ht="23.25" customHeight="1">
      <c r="A736">
        <f>Table4[[#This Row],[Column1]]</f>
        <v>0</v>
      </c>
      <c r="B736">
        <f>Table4[[#This Row],[Column2]]</f>
        <v>0</v>
      </c>
      <c r="H736" s="9">
        <f>Table13[[#This Row],[dicharge_date]]</f>
        <v>0</v>
      </c>
      <c r="I736" s="13" t="str">
        <f t="shared" si="28"/>
        <v/>
      </c>
      <c r="J736" s="9">
        <f t="shared" si="29"/>
        <v>30</v>
      </c>
    </row>
    <row r="737" spans="1:10" ht="23.25" customHeight="1">
      <c r="A737">
        <f>Table4[[#This Row],[Column1]]</f>
        <v>0</v>
      </c>
      <c r="B737">
        <f>Table4[[#This Row],[Column2]]</f>
        <v>0</v>
      </c>
      <c r="H737" s="9">
        <f>Table13[[#This Row],[dicharge_date]]</f>
        <v>0</v>
      </c>
      <c r="I737" s="13" t="str">
        <f t="shared" si="28"/>
        <v/>
      </c>
      <c r="J737" s="9">
        <f t="shared" si="29"/>
        <v>30</v>
      </c>
    </row>
    <row r="738" spans="1:10" ht="23.25" customHeight="1">
      <c r="A738">
        <f>Table4[[#This Row],[Column1]]</f>
        <v>0</v>
      </c>
      <c r="B738">
        <f>Table4[[#This Row],[Column2]]</f>
        <v>0</v>
      </c>
      <c r="H738" s="9">
        <f>Table13[[#This Row],[dicharge_date]]</f>
        <v>0</v>
      </c>
      <c r="I738" s="13" t="str">
        <f t="shared" si="28"/>
        <v/>
      </c>
      <c r="J738" s="9">
        <f t="shared" si="29"/>
        <v>30</v>
      </c>
    </row>
    <row r="739" spans="1:10" ht="23.25" customHeight="1">
      <c r="A739">
        <f>Table4[[#This Row],[Column1]]</f>
        <v>0</v>
      </c>
      <c r="B739">
        <f>Table4[[#This Row],[Column2]]</f>
        <v>0</v>
      </c>
      <c r="H739" s="9">
        <f>Table13[[#This Row],[dicharge_date]]</f>
        <v>0</v>
      </c>
      <c r="I739" s="13" t="str">
        <f t="shared" si="28"/>
        <v/>
      </c>
      <c r="J739" s="9">
        <f t="shared" si="29"/>
        <v>30</v>
      </c>
    </row>
    <row r="740" spans="1:10" ht="23.25" customHeight="1">
      <c r="A740">
        <f>Table4[[#This Row],[Column1]]</f>
        <v>0</v>
      </c>
      <c r="B740">
        <f>Table4[[#This Row],[Column2]]</f>
        <v>0</v>
      </c>
      <c r="H740" s="9">
        <f>Table13[[#This Row],[dicharge_date]]</f>
        <v>0</v>
      </c>
      <c r="I740" s="13" t="str">
        <f t="shared" si="28"/>
        <v/>
      </c>
      <c r="J740" s="9">
        <f t="shared" si="29"/>
        <v>30</v>
      </c>
    </row>
    <row r="741" spans="1:10" ht="23.25" customHeight="1">
      <c r="A741">
        <f>Table4[[#This Row],[Column1]]</f>
        <v>0</v>
      </c>
      <c r="B741">
        <f>Table4[[#This Row],[Column2]]</f>
        <v>0</v>
      </c>
      <c r="H741" s="9">
        <f>Table13[[#This Row],[dicharge_date]]</f>
        <v>0</v>
      </c>
      <c r="I741" s="13" t="str">
        <f t="shared" si="28"/>
        <v/>
      </c>
      <c r="J741" s="9">
        <f t="shared" si="29"/>
        <v>30</v>
      </c>
    </row>
    <row r="742" spans="1:10" ht="23.25" customHeight="1">
      <c r="A742">
        <f>Table4[[#This Row],[Column1]]</f>
        <v>0</v>
      </c>
      <c r="B742">
        <f>Table4[[#This Row],[Column2]]</f>
        <v>0</v>
      </c>
      <c r="H742" s="9">
        <f>Table13[[#This Row],[dicharge_date]]</f>
        <v>0</v>
      </c>
      <c r="I742" s="13" t="str">
        <f t="shared" si="28"/>
        <v/>
      </c>
      <c r="J742" s="9">
        <f t="shared" si="29"/>
        <v>30</v>
      </c>
    </row>
    <row r="743" spans="1:10" ht="23.25" customHeight="1">
      <c r="A743">
        <f>Table4[[#This Row],[Column1]]</f>
        <v>0</v>
      </c>
      <c r="B743">
        <f>Table4[[#This Row],[Column2]]</f>
        <v>0</v>
      </c>
      <c r="H743" s="9">
        <f>Table13[[#This Row],[dicharge_date]]</f>
        <v>0</v>
      </c>
      <c r="I743" s="13" t="str">
        <f t="shared" ref="I743" si="30">IF( E743&lt;&gt;"", H743-E743,"")</f>
        <v/>
      </c>
      <c r="J743" s="9">
        <f t="shared" si="29"/>
        <v>30</v>
      </c>
    </row>
    <row r="744" spans="1:10" ht="23.25" customHeight="1">
      <c r="A744">
        <f>Table4[[#This Row],[Column1]]</f>
        <v>0</v>
      </c>
      <c r="B744">
        <f>Table4[[#This Row],[Column2]]</f>
        <v>0</v>
      </c>
      <c r="H744" s="9">
        <f>Table13[[#This Row],[dicharge_date]]</f>
        <v>0</v>
      </c>
      <c r="I744" s="13">
        <f>Table6[[#This Row],[discharge_date]]-Table6[[#This Row],[surgery_date]]</f>
        <v>0</v>
      </c>
      <c r="J744" s="9">
        <f t="shared" si="29"/>
        <v>30</v>
      </c>
    </row>
    <row r="745" spans="1:10" ht="23.25" customHeight="1">
      <c r="A745">
        <f>Table4[[#This Row],[Column1]]</f>
        <v>0</v>
      </c>
      <c r="B745">
        <f>Table4[[#This Row],[Column2]]</f>
        <v>0</v>
      </c>
      <c r="H745" s="9">
        <f>Table13[[#This Row],[dicharge_date]]</f>
        <v>0</v>
      </c>
      <c r="I745" s="13">
        <f>Table6[[#This Row],[discharge_date]]-Table6[[#This Row],[surgery_date]]</f>
        <v>0</v>
      </c>
      <c r="J745" s="9">
        <f t="shared" si="29"/>
        <v>30</v>
      </c>
    </row>
    <row r="746" spans="1:10" ht="23.25" customHeight="1">
      <c r="A746">
        <f>Table4[[#This Row],[Column1]]</f>
        <v>0</v>
      </c>
      <c r="B746">
        <f>Table4[[#This Row],[Column2]]</f>
        <v>0</v>
      </c>
      <c r="H746" s="9">
        <f>Table13[[#This Row],[dicharge_date]]</f>
        <v>0</v>
      </c>
      <c r="I746" s="13">
        <f>Table6[[#This Row],[discharge_date]]-Table6[[#This Row],[surgery_date]]</f>
        <v>0</v>
      </c>
      <c r="J746" s="9">
        <f t="shared" si="29"/>
        <v>30</v>
      </c>
    </row>
    <row r="747" spans="1:10" ht="23.25" customHeight="1">
      <c r="A747">
        <f>Table4[[#This Row],[Column1]]</f>
        <v>0</v>
      </c>
      <c r="B747">
        <f>Table4[[#This Row],[Column2]]</f>
        <v>0</v>
      </c>
      <c r="H747" s="9">
        <f>Table13[[#This Row],[dicharge_date]]</f>
        <v>0</v>
      </c>
      <c r="I747" s="13">
        <f>Table6[[#This Row],[discharge_date]]-Table6[[#This Row],[surgery_date]]</f>
        <v>0</v>
      </c>
      <c r="J747" s="9">
        <f t="shared" si="29"/>
        <v>30</v>
      </c>
    </row>
    <row r="748" spans="1:10" ht="23.25" customHeight="1">
      <c r="A748">
        <f>Table4[[#This Row],[Column1]]</f>
        <v>0</v>
      </c>
      <c r="B748">
        <f>Table4[[#This Row],[Column2]]</f>
        <v>0</v>
      </c>
      <c r="H748" s="9">
        <f>Table13[[#This Row],[dicharge_date]]</f>
        <v>0</v>
      </c>
      <c r="I748" s="13">
        <f>Table6[[#This Row],[discharge_date]]-Table6[[#This Row],[surgery_date]]</f>
        <v>0</v>
      </c>
      <c r="J748" s="9">
        <f t="shared" si="29"/>
        <v>30</v>
      </c>
    </row>
    <row r="749" spans="1:10" ht="23.25" customHeight="1">
      <c r="A749">
        <f>Table4[[#This Row],[Column1]]</f>
        <v>0</v>
      </c>
      <c r="B749">
        <f>Table4[[#This Row],[Column2]]</f>
        <v>0</v>
      </c>
      <c r="H749" s="9">
        <f>Table13[[#This Row],[dicharge_date]]</f>
        <v>0</v>
      </c>
      <c r="I749" s="13">
        <f>Table6[[#This Row],[discharge_date]]-Table6[[#This Row],[surgery_date]]</f>
        <v>0</v>
      </c>
      <c r="J749" s="9">
        <f t="shared" si="29"/>
        <v>30</v>
      </c>
    </row>
    <row r="750" spans="1:10" ht="23.25" customHeight="1">
      <c r="A750">
        <f>Table4[[#This Row],[Column1]]</f>
        <v>0</v>
      </c>
      <c r="B750">
        <f>Table4[[#This Row],[Column2]]</f>
        <v>0</v>
      </c>
      <c r="H750" s="9">
        <f>Table13[[#This Row],[dicharge_date]]</f>
        <v>0</v>
      </c>
      <c r="I750" s="13">
        <f>Table6[[#This Row],[discharge_date]]-Table6[[#This Row],[surgery_date]]</f>
        <v>0</v>
      </c>
      <c r="J750" s="9">
        <f t="shared" si="29"/>
        <v>30</v>
      </c>
    </row>
    <row r="751" spans="1:10" ht="23.25" customHeight="1">
      <c r="A751">
        <f>Table4[[#This Row],[Column1]]</f>
        <v>0</v>
      </c>
      <c r="B751">
        <f>Table4[[#This Row],[Column2]]</f>
        <v>0</v>
      </c>
      <c r="H751" s="9">
        <f>Table13[[#This Row],[dicharge_date]]</f>
        <v>0</v>
      </c>
      <c r="I751" s="13">
        <f>Table6[[#This Row],[discharge_date]]-Table6[[#This Row],[surgery_date]]</f>
        <v>0</v>
      </c>
      <c r="J751" s="9">
        <f t="shared" si="29"/>
        <v>30</v>
      </c>
    </row>
    <row r="752" spans="1:10" ht="23.25" customHeight="1">
      <c r="A752">
        <f>Table4[[#This Row],[Column1]]</f>
        <v>0</v>
      </c>
      <c r="B752">
        <f>Table4[[#This Row],[Column2]]</f>
        <v>0</v>
      </c>
      <c r="H752" s="9">
        <f>Table13[[#This Row],[dicharge_date]]</f>
        <v>0</v>
      </c>
      <c r="I752" s="13">
        <f>Table6[[#This Row],[discharge_date]]-Table6[[#This Row],[surgery_date]]</f>
        <v>0</v>
      </c>
      <c r="J752" s="9">
        <f t="shared" si="29"/>
        <v>30</v>
      </c>
    </row>
    <row r="753" spans="1:10" ht="23.25" customHeight="1">
      <c r="A753">
        <f>Table4[[#This Row],[Column1]]</f>
        <v>0</v>
      </c>
      <c r="B753">
        <f>Table4[[#This Row],[Column2]]</f>
        <v>0</v>
      </c>
      <c r="H753" s="9">
        <f>Table13[[#This Row],[dicharge_date]]</f>
        <v>0</v>
      </c>
      <c r="I753" s="13">
        <f>Table6[[#This Row],[discharge_date]]-Table6[[#This Row],[surgery_date]]</f>
        <v>0</v>
      </c>
      <c r="J753" s="9">
        <f t="shared" si="29"/>
        <v>30</v>
      </c>
    </row>
    <row r="754" spans="1:10" ht="23.25" customHeight="1">
      <c r="A754">
        <f>Table4[[#This Row],[Column1]]</f>
        <v>0</v>
      </c>
      <c r="B754">
        <f>Table4[[#This Row],[Column2]]</f>
        <v>0</v>
      </c>
      <c r="H754" s="9">
        <f>Table13[[#This Row],[dicharge_date]]</f>
        <v>0</v>
      </c>
      <c r="I754" s="13">
        <f>Table6[[#This Row],[discharge_date]]-Table6[[#This Row],[surgery_date]]</f>
        <v>0</v>
      </c>
      <c r="J754" s="9">
        <f t="shared" si="29"/>
        <v>30</v>
      </c>
    </row>
    <row r="755" spans="1:10" ht="23.25" customHeight="1">
      <c r="A755">
        <f>Table4[[#This Row],[Column1]]</f>
        <v>0</v>
      </c>
      <c r="B755">
        <f>Table4[[#This Row],[Column2]]</f>
        <v>0</v>
      </c>
      <c r="H755" s="9">
        <f>Table13[[#This Row],[dicharge_date]]</f>
        <v>0</v>
      </c>
      <c r="I755" s="13">
        <f>Table6[[#This Row],[discharge_date]]-Table6[[#This Row],[surgery_date]]</f>
        <v>0</v>
      </c>
      <c r="J755" s="9">
        <f t="shared" si="29"/>
        <v>30</v>
      </c>
    </row>
    <row r="756" spans="1:10" ht="23.25" customHeight="1">
      <c r="A756">
        <f>Table4[[#This Row],[Column1]]</f>
        <v>0</v>
      </c>
      <c r="B756">
        <f>Table4[[#This Row],[Column2]]</f>
        <v>0</v>
      </c>
      <c r="H756" s="9">
        <f>Table13[[#This Row],[dicharge_date]]</f>
        <v>0</v>
      </c>
      <c r="I756" s="13">
        <f>Table6[[#This Row],[discharge_date]]-Table6[[#This Row],[surgery_date]]</f>
        <v>0</v>
      </c>
      <c r="J756" s="9">
        <f t="shared" si="29"/>
        <v>30</v>
      </c>
    </row>
    <row r="757" spans="1:10" ht="23.25" customHeight="1">
      <c r="A757">
        <f>Table4[[#This Row],[Column1]]</f>
        <v>0</v>
      </c>
      <c r="B757">
        <f>Table4[[#This Row],[Column2]]</f>
        <v>0</v>
      </c>
      <c r="H757" s="9">
        <f>Table13[[#This Row],[dicharge_date]]</f>
        <v>0</v>
      </c>
      <c r="I757" s="13">
        <f>Table6[[#This Row],[discharge_date]]-Table6[[#This Row],[surgery_date]]</f>
        <v>0</v>
      </c>
      <c r="J757" s="9">
        <f t="shared" si="29"/>
        <v>30</v>
      </c>
    </row>
    <row r="758" spans="1:10" ht="23.25" customHeight="1">
      <c r="A758">
        <f>Table4[[#This Row],[Column1]]</f>
        <v>0</v>
      </c>
      <c r="B758">
        <f>Table4[[#This Row],[Column2]]</f>
        <v>0</v>
      </c>
      <c r="H758" s="9">
        <f>Table13[[#This Row],[dicharge_date]]</f>
        <v>0</v>
      </c>
      <c r="I758" s="13">
        <f>Table6[[#This Row],[discharge_date]]-Table6[[#This Row],[surgery_date]]</f>
        <v>0</v>
      </c>
      <c r="J758" s="9">
        <f t="shared" si="29"/>
        <v>30</v>
      </c>
    </row>
    <row r="759" spans="1:10" ht="23.25" customHeight="1">
      <c r="A759">
        <f>Table4[[#This Row],[Column1]]</f>
        <v>0</v>
      </c>
      <c r="B759">
        <f>Table4[[#This Row],[Column2]]</f>
        <v>0</v>
      </c>
      <c r="H759" s="9">
        <f>Table13[[#This Row],[dicharge_date]]</f>
        <v>0</v>
      </c>
      <c r="I759" s="13">
        <f>Table6[[#This Row],[discharge_date]]-Table6[[#This Row],[surgery_date]]</f>
        <v>0</v>
      </c>
      <c r="J759" s="9">
        <f t="shared" si="29"/>
        <v>30</v>
      </c>
    </row>
    <row r="760" spans="1:10" ht="23.25" customHeight="1">
      <c r="A760">
        <f>Table4[[#This Row],[Column1]]</f>
        <v>0</v>
      </c>
      <c r="B760">
        <f>Table4[[#This Row],[Column2]]</f>
        <v>0</v>
      </c>
      <c r="H760" s="9">
        <f>Table13[[#This Row],[dicharge_date]]</f>
        <v>0</v>
      </c>
      <c r="I760" s="13">
        <f>Table6[[#This Row],[discharge_date]]-Table6[[#This Row],[surgery_date]]</f>
        <v>0</v>
      </c>
      <c r="J760" s="9">
        <f t="shared" si="29"/>
        <v>30</v>
      </c>
    </row>
    <row r="761" spans="1:10" ht="23.25" customHeight="1">
      <c r="A761">
        <f>Table4[[#This Row],[Column1]]</f>
        <v>0</v>
      </c>
      <c r="B761">
        <f>Table4[[#This Row],[Column2]]</f>
        <v>0</v>
      </c>
      <c r="H761" s="9">
        <f>Table13[[#This Row],[dicharge_date]]</f>
        <v>0</v>
      </c>
      <c r="I761" s="13">
        <f>Table6[[#This Row],[discharge_date]]-Table6[[#This Row],[surgery_date]]</f>
        <v>0</v>
      </c>
      <c r="J761" s="9">
        <f t="shared" si="29"/>
        <v>30</v>
      </c>
    </row>
    <row r="762" spans="1:10" ht="23.25" customHeight="1">
      <c r="A762">
        <f>Table4[[#This Row],[Column1]]</f>
        <v>0</v>
      </c>
      <c r="B762">
        <f>Table4[[#This Row],[Column2]]</f>
        <v>0</v>
      </c>
      <c r="H762" s="9">
        <f>Table13[[#This Row],[dicharge_date]]</f>
        <v>0</v>
      </c>
      <c r="I762" s="13">
        <f>Table6[[#This Row],[discharge_date]]-Table6[[#This Row],[surgery_date]]</f>
        <v>0</v>
      </c>
      <c r="J762" s="9">
        <f t="shared" si="29"/>
        <v>30</v>
      </c>
    </row>
    <row r="763" spans="1:10" ht="23.25" customHeight="1">
      <c r="A763">
        <f>Table4[[#This Row],[Column1]]</f>
        <v>0</v>
      </c>
      <c r="B763">
        <f>Table4[[#This Row],[Column2]]</f>
        <v>0</v>
      </c>
      <c r="H763" s="9">
        <f>Table13[[#This Row],[dicharge_date]]</f>
        <v>0</v>
      </c>
      <c r="I763" s="13">
        <f>Table6[[#This Row],[discharge_date]]-Table6[[#This Row],[surgery_date]]</f>
        <v>0</v>
      </c>
      <c r="J763" s="9">
        <f t="shared" si="29"/>
        <v>30</v>
      </c>
    </row>
    <row r="764" spans="1:10" ht="23.25" customHeight="1">
      <c r="A764">
        <f>Table4[[#This Row],[Column1]]</f>
        <v>0</v>
      </c>
      <c r="B764">
        <f>Table4[[#This Row],[Column2]]</f>
        <v>0</v>
      </c>
      <c r="H764" s="9">
        <f>Table13[[#This Row],[dicharge_date]]</f>
        <v>0</v>
      </c>
      <c r="I764" s="13">
        <f>Table6[[#This Row],[discharge_date]]-Table6[[#This Row],[surgery_date]]</f>
        <v>0</v>
      </c>
      <c r="J764" s="9">
        <f t="shared" si="29"/>
        <v>30</v>
      </c>
    </row>
    <row r="765" spans="1:10" ht="23.25" customHeight="1">
      <c r="A765">
        <f>Table4[[#This Row],[Column1]]</f>
        <v>0</v>
      </c>
      <c r="B765">
        <f>Table4[[#This Row],[Column2]]</f>
        <v>0</v>
      </c>
      <c r="H765" s="9">
        <f>Table13[[#This Row],[dicharge_date]]</f>
        <v>0</v>
      </c>
      <c r="I765" s="13">
        <f>Table6[[#This Row],[discharge_date]]-Table6[[#This Row],[surgery_date]]</f>
        <v>0</v>
      </c>
      <c r="J765" s="9">
        <f t="shared" si="29"/>
        <v>30</v>
      </c>
    </row>
    <row r="766" spans="1:10" ht="23.25" customHeight="1">
      <c r="A766">
        <f>Table4[[#This Row],[Column1]]</f>
        <v>0</v>
      </c>
      <c r="B766">
        <f>Table4[[#This Row],[Column2]]</f>
        <v>0</v>
      </c>
      <c r="H766" s="9">
        <f>Table13[[#This Row],[dicharge_date]]</f>
        <v>0</v>
      </c>
      <c r="I766" s="13">
        <f>Table6[[#This Row],[discharge_date]]-Table6[[#This Row],[surgery_date]]</f>
        <v>0</v>
      </c>
      <c r="J766" s="9">
        <f t="shared" si="29"/>
        <v>30</v>
      </c>
    </row>
    <row r="767" spans="1:10" ht="23.25" customHeight="1">
      <c r="A767">
        <f>Table4[[#This Row],[Column1]]</f>
        <v>0</v>
      </c>
      <c r="B767">
        <f>Table4[[#This Row],[Column2]]</f>
        <v>0</v>
      </c>
      <c r="H767" s="9">
        <f>Table13[[#This Row],[dicharge_date]]</f>
        <v>0</v>
      </c>
      <c r="I767" s="13">
        <f>Table6[[#This Row],[discharge_date]]-Table6[[#This Row],[surgery_date]]</f>
        <v>0</v>
      </c>
      <c r="J767" s="9">
        <f t="shared" si="29"/>
        <v>30</v>
      </c>
    </row>
    <row r="768" spans="1:10" ht="23.25" customHeight="1">
      <c r="A768">
        <f>Table4[[#This Row],[Column1]]</f>
        <v>0</v>
      </c>
      <c r="B768">
        <f>Table4[[#This Row],[Column2]]</f>
        <v>0</v>
      </c>
      <c r="H768" s="9">
        <f>Table13[[#This Row],[dicharge_date]]</f>
        <v>0</v>
      </c>
      <c r="I768" s="13">
        <f>Table6[[#This Row],[discharge_date]]-Table6[[#This Row],[surgery_date]]</f>
        <v>0</v>
      </c>
      <c r="J768" s="9">
        <f t="shared" si="29"/>
        <v>30</v>
      </c>
    </row>
    <row r="769" spans="1:10" ht="23.25" customHeight="1">
      <c r="A769">
        <f>Table4[[#This Row],[Column1]]</f>
        <v>0</v>
      </c>
      <c r="B769">
        <f>Table4[[#This Row],[Column2]]</f>
        <v>0</v>
      </c>
      <c r="H769" s="9">
        <f>Table13[[#This Row],[dicharge_date]]</f>
        <v>0</v>
      </c>
      <c r="I769" s="13">
        <f>Table6[[#This Row],[discharge_date]]-Table6[[#This Row],[surgery_date]]</f>
        <v>0</v>
      </c>
      <c r="J769" s="9">
        <f t="shared" si="29"/>
        <v>30</v>
      </c>
    </row>
    <row r="770" spans="1:10" ht="23.25" customHeight="1">
      <c r="A770">
        <f>Table4[[#This Row],[Column1]]</f>
        <v>0</v>
      </c>
      <c r="B770">
        <f>Table4[[#This Row],[Column2]]</f>
        <v>0</v>
      </c>
      <c r="H770" s="9">
        <f>Table13[[#This Row],[dicharge_date]]</f>
        <v>0</v>
      </c>
      <c r="I770" s="13">
        <f>Table6[[#This Row],[discharge_date]]-Table6[[#This Row],[surgery_date]]</f>
        <v>0</v>
      </c>
      <c r="J770" s="9">
        <f t="shared" ref="J770:J833" si="31">IF( H770&lt;&gt;"", H770+30,"")</f>
        <v>30</v>
      </c>
    </row>
    <row r="771" spans="1:10" ht="23.25" customHeight="1">
      <c r="A771">
        <f>Table4[[#This Row],[Column1]]</f>
        <v>0</v>
      </c>
      <c r="B771">
        <f>Table4[[#This Row],[Column2]]</f>
        <v>0</v>
      </c>
      <c r="H771" s="9">
        <f>Table13[[#This Row],[dicharge_date]]</f>
        <v>0</v>
      </c>
      <c r="I771" s="13">
        <f>Table6[[#This Row],[discharge_date]]-Table6[[#This Row],[surgery_date]]</f>
        <v>0</v>
      </c>
      <c r="J771" s="9">
        <f t="shared" si="31"/>
        <v>30</v>
      </c>
    </row>
    <row r="772" spans="1:10" ht="23.25" customHeight="1">
      <c r="A772">
        <f>Table4[[#This Row],[Column1]]</f>
        <v>0</v>
      </c>
      <c r="B772">
        <f>Table4[[#This Row],[Column2]]</f>
        <v>0</v>
      </c>
      <c r="H772" s="9">
        <f>Table13[[#This Row],[dicharge_date]]</f>
        <v>0</v>
      </c>
      <c r="I772" s="13">
        <f>Table6[[#This Row],[discharge_date]]-Table6[[#This Row],[surgery_date]]</f>
        <v>0</v>
      </c>
      <c r="J772" s="9">
        <f t="shared" si="31"/>
        <v>30</v>
      </c>
    </row>
    <row r="773" spans="1:10" ht="23.25" customHeight="1">
      <c r="A773">
        <f>Table4[[#This Row],[Column1]]</f>
        <v>0</v>
      </c>
      <c r="B773">
        <f>Table4[[#This Row],[Column2]]</f>
        <v>0</v>
      </c>
      <c r="H773" s="9">
        <f>Table13[[#This Row],[dicharge_date]]</f>
        <v>0</v>
      </c>
      <c r="I773" s="13">
        <f>Table6[[#This Row],[discharge_date]]-Table6[[#This Row],[surgery_date]]</f>
        <v>0</v>
      </c>
      <c r="J773" s="9">
        <f t="shared" si="31"/>
        <v>30</v>
      </c>
    </row>
    <row r="774" spans="1:10" ht="23.25" customHeight="1">
      <c r="A774">
        <f>Table4[[#This Row],[Column1]]</f>
        <v>0</v>
      </c>
      <c r="B774">
        <f>Table4[[#This Row],[Column2]]</f>
        <v>0</v>
      </c>
      <c r="H774" s="9">
        <f>Table13[[#This Row],[dicharge_date]]</f>
        <v>0</v>
      </c>
      <c r="I774" s="13">
        <f>Table6[[#This Row],[discharge_date]]-Table6[[#This Row],[surgery_date]]</f>
        <v>0</v>
      </c>
      <c r="J774" s="9">
        <f t="shared" si="31"/>
        <v>30</v>
      </c>
    </row>
    <row r="775" spans="1:10" ht="23.25" customHeight="1">
      <c r="A775">
        <f>Table4[[#This Row],[Column1]]</f>
        <v>0</v>
      </c>
      <c r="B775">
        <f>Table4[[#This Row],[Column2]]</f>
        <v>0</v>
      </c>
      <c r="H775" s="9">
        <f>Table13[[#This Row],[dicharge_date]]</f>
        <v>0</v>
      </c>
      <c r="I775" s="13">
        <f>Table6[[#This Row],[discharge_date]]-Table6[[#This Row],[surgery_date]]</f>
        <v>0</v>
      </c>
      <c r="J775" s="9">
        <f t="shared" si="31"/>
        <v>30</v>
      </c>
    </row>
    <row r="776" spans="1:10" ht="23.25" customHeight="1">
      <c r="A776">
        <f>Table4[[#This Row],[Column1]]</f>
        <v>0</v>
      </c>
      <c r="B776">
        <f>Table4[[#This Row],[Column2]]</f>
        <v>0</v>
      </c>
      <c r="H776" s="9">
        <f>Table13[[#This Row],[dicharge_date]]</f>
        <v>0</v>
      </c>
      <c r="I776" s="13">
        <f>Table6[[#This Row],[discharge_date]]-Table6[[#This Row],[surgery_date]]</f>
        <v>0</v>
      </c>
      <c r="J776" s="9">
        <f t="shared" si="31"/>
        <v>30</v>
      </c>
    </row>
    <row r="777" spans="1:10" ht="23.25" customHeight="1">
      <c r="A777">
        <f>Table4[[#This Row],[Column1]]</f>
        <v>0</v>
      </c>
      <c r="B777">
        <f>Table4[[#This Row],[Column2]]</f>
        <v>0</v>
      </c>
      <c r="H777" s="9">
        <f>Table13[[#This Row],[dicharge_date]]</f>
        <v>0</v>
      </c>
      <c r="I777" s="13">
        <f>Table6[[#This Row],[discharge_date]]-Table6[[#This Row],[surgery_date]]</f>
        <v>0</v>
      </c>
      <c r="J777" s="9">
        <f t="shared" si="31"/>
        <v>30</v>
      </c>
    </row>
    <row r="778" spans="1:10" ht="23.25" customHeight="1">
      <c r="A778">
        <f>Table4[[#This Row],[Column1]]</f>
        <v>0</v>
      </c>
      <c r="B778">
        <f>Table4[[#This Row],[Column2]]</f>
        <v>0</v>
      </c>
      <c r="H778" s="9">
        <f>Table13[[#This Row],[dicharge_date]]</f>
        <v>0</v>
      </c>
      <c r="I778" s="13">
        <f>Table6[[#This Row],[discharge_date]]-Table6[[#This Row],[surgery_date]]</f>
        <v>0</v>
      </c>
      <c r="J778" s="9">
        <f t="shared" si="31"/>
        <v>30</v>
      </c>
    </row>
    <row r="779" spans="1:10" ht="23.25" customHeight="1">
      <c r="A779">
        <f>Table4[[#This Row],[Column1]]</f>
        <v>0</v>
      </c>
      <c r="B779">
        <f>Table4[[#This Row],[Column2]]</f>
        <v>0</v>
      </c>
      <c r="H779" s="9">
        <f>Table13[[#This Row],[dicharge_date]]</f>
        <v>0</v>
      </c>
      <c r="I779" s="13">
        <f>Table6[[#This Row],[discharge_date]]-Table6[[#This Row],[surgery_date]]</f>
        <v>0</v>
      </c>
      <c r="J779" s="9">
        <f t="shared" si="31"/>
        <v>30</v>
      </c>
    </row>
    <row r="780" spans="1:10" ht="23.25" customHeight="1">
      <c r="A780">
        <f>Table4[[#This Row],[Column1]]</f>
        <v>0</v>
      </c>
      <c r="B780">
        <f>Table4[[#This Row],[Column2]]</f>
        <v>0</v>
      </c>
      <c r="H780" s="9">
        <f>Table13[[#This Row],[dicharge_date]]</f>
        <v>0</v>
      </c>
      <c r="I780" s="13">
        <f>Table6[[#This Row],[discharge_date]]-Table6[[#This Row],[surgery_date]]</f>
        <v>0</v>
      </c>
      <c r="J780" s="9">
        <f t="shared" si="31"/>
        <v>30</v>
      </c>
    </row>
    <row r="781" spans="1:10" ht="23.25" customHeight="1">
      <c r="A781">
        <f>Table4[[#This Row],[Column1]]</f>
        <v>0</v>
      </c>
      <c r="B781">
        <f>Table4[[#This Row],[Column2]]</f>
        <v>0</v>
      </c>
      <c r="H781" s="9">
        <f>Table13[[#This Row],[dicharge_date]]</f>
        <v>0</v>
      </c>
      <c r="I781" s="13">
        <f>Table6[[#This Row],[discharge_date]]-Table6[[#This Row],[surgery_date]]</f>
        <v>0</v>
      </c>
      <c r="J781" s="9">
        <f t="shared" si="31"/>
        <v>30</v>
      </c>
    </row>
    <row r="782" spans="1:10" ht="23.25" customHeight="1">
      <c r="A782">
        <f>Table4[[#This Row],[Column1]]</f>
        <v>0</v>
      </c>
      <c r="B782">
        <f>Table4[[#This Row],[Column2]]</f>
        <v>0</v>
      </c>
      <c r="H782" s="9">
        <f>Table13[[#This Row],[dicharge_date]]</f>
        <v>0</v>
      </c>
      <c r="I782" s="13">
        <f>Table6[[#This Row],[discharge_date]]-Table6[[#This Row],[surgery_date]]</f>
        <v>0</v>
      </c>
      <c r="J782" s="9">
        <f t="shared" si="31"/>
        <v>30</v>
      </c>
    </row>
    <row r="783" spans="1:10" ht="23.25" customHeight="1">
      <c r="A783">
        <f>Table4[[#This Row],[Column1]]</f>
        <v>0</v>
      </c>
      <c r="B783">
        <f>Table4[[#This Row],[Column2]]</f>
        <v>0</v>
      </c>
      <c r="H783" s="9">
        <f>Table13[[#This Row],[dicharge_date]]</f>
        <v>0</v>
      </c>
      <c r="I783" s="13">
        <f>Table6[[#This Row],[discharge_date]]-Table6[[#This Row],[surgery_date]]</f>
        <v>0</v>
      </c>
      <c r="J783" s="9">
        <f t="shared" si="31"/>
        <v>30</v>
      </c>
    </row>
    <row r="784" spans="1:10" ht="23.25" customHeight="1">
      <c r="A784">
        <f>Table4[[#This Row],[Column1]]</f>
        <v>0</v>
      </c>
      <c r="B784">
        <f>Table4[[#This Row],[Column2]]</f>
        <v>0</v>
      </c>
      <c r="H784" s="9">
        <f>Table13[[#This Row],[dicharge_date]]</f>
        <v>0</v>
      </c>
      <c r="I784" s="13">
        <f>Table6[[#This Row],[discharge_date]]-Table6[[#This Row],[surgery_date]]</f>
        <v>0</v>
      </c>
      <c r="J784" s="9">
        <f t="shared" si="31"/>
        <v>30</v>
      </c>
    </row>
    <row r="785" spans="1:10" ht="23.25" customHeight="1">
      <c r="A785">
        <f>Table4[[#This Row],[Column1]]</f>
        <v>0</v>
      </c>
      <c r="B785">
        <f>Table4[[#This Row],[Column2]]</f>
        <v>0</v>
      </c>
      <c r="H785" s="9">
        <f>Table13[[#This Row],[dicharge_date]]</f>
        <v>0</v>
      </c>
      <c r="I785" s="13">
        <f>Table6[[#This Row],[discharge_date]]-Table6[[#This Row],[surgery_date]]</f>
        <v>0</v>
      </c>
      <c r="J785" s="9">
        <f t="shared" si="31"/>
        <v>30</v>
      </c>
    </row>
    <row r="786" spans="1:10" ht="23.25" customHeight="1">
      <c r="A786">
        <f>Table4[[#This Row],[Column1]]</f>
        <v>0</v>
      </c>
      <c r="B786">
        <f>Table4[[#This Row],[Column2]]</f>
        <v>0</v>
      </c>
      <c r="H786" s="9">
        <f>Table13[[#This Row],[dicharge_date]]</f>
        <v>0</v>
      </c>
      <c r="I786" s="13">
        <f>Table6[[#This Row],[discharge_date]]-Table6[[#This Row],[surgery_date]]</f>
        <v>0</v>
      </c>
      <c r="J786" s="9">
        <f t="shared" si="31"/>
        <v>30</v>
      </c>
    </row>
    <row r="787" spans="1:10" ht="23.25" customHeight="1">
      <c r="A787">
        <f>Table4[[#This Row],[Column1]]</f>
        <v>0</v>
      </c>
      <c r="B787">
        <f>Table4[[#This Row],[Column2]]</f>
        <v>0</v>
      </c>
      <c r="H787" s="9">
        <f>Table13[[#This Row],[dicharge_date]]</f>
        <v>0</v>
      </c>
      <c r="I787" s="13">
        <f>Table6[[#This Row],[discharge_date]]-Table6[[#This Row],[surgery_date]]</f>
        <v>0</v>
      </c>
      <c r="J787" s="9">
        <f t="shared" si="31"/>
        <v>30</v>
      </c>
    </row>
    <row r="788" spans="1:10" ht="23.25" customHeight="1">
      <c r="A788">
        <f>Table4[[#This Row],[Column1]]</f>
        <v>0</v>
      </c>
      <c r="B788">
        <f>Table4[[#This Row],[Column2]]</f>
        <v>0</v>
      </c>
      <c r="H788" s="9">
        <f>Table13[[#This Row],[dicharge_date]]</f>
        <v>0</v>
      </c>
      <c r="I788" s="13">
        <f>Table6[[#This Row],[discharge_date]]-Table6[[#This Row],[surgery_date]]</f>
        <v>0</v>
      </c>
      <c r="J788" s="9">
        <f t="shared" si="31"/>
        <v>30</v>
      </c>
    </row>
    <row r="789" spans="1:10" ht="23.25" customHeight="1">
      <c r="A789">
        <f>Table4[[#This Row],[Column1]]</f>
        <v>0</v>
      </c>
      <c r="B789">
        <f>Table4[[#This Row],[Column2]]</f>
        <v>0</v>
      </c>
      <c r="H789" s="9">
        <f>Table13[[#This Row],[dicharge_date]]</f>
        <v>0</v>
      </c>
      <c r="I789" s="13">
        <f>Table6[[#This Row],[discharge_date]]-Table6[[#This Row],[surgery_date]]</f>
        <v>0</v>
      </c>
      <c r="J789" s="9">
        <f t="shared" si="31"/>
        <v>30</v>
      </c>
    </row>
    <row r="790" spans="1:10" ht="23.25" customHeight="1">
      <c r="A790">
        <f>Table4[[#This Row],[Column1]]</f>
        <v>0</v>
      </c>
      <c r="B790">
        <f>Table4[[#This Row],[Column2]]</f>
        <v>0</v>
      </c>
      <c r="H790" s="9">
        <f>Table13[[#This Row],[dicharge_date]]</f>
        <v>0</v>
      </c>
      <c r="I790" s="13">
        <f>Table6[[#This Row],[discharge_date]]-Table6[[#This Row],[surgery_date]]</f>
        <v>0</v>
      </c>
      <c r="J790" s="9">
        <f t="shared" si="31"/>
        <v>30</v>
      </c>
    </row>
    <row r="791" spans="1:10" ht="23.25" customHeight="1">
      <c r="A791">
        <f>Table4[[#This Row],[Column1]]</f>
        <v>0</v>
      </c>
      <c r="B791">
        <f>Table4[[#This Row],[Column2]]</f>
        <v>0</v>
      </c>
      <c r="H791" s="9">
        <f>Table13[[#This Row],[dicharge_date]]</f>
        <v>0</v>
      </c>
      <c r="I791" s="13">
        <f>Table6[[#This Row],[discharge_date]]-Table6[[#This Row],[surgery_date]]</f>
        <v>0</v>
      </c>
      <c r="J791" s="9">
        <f t="shared" si="31"/>
        <v>30</v>
      </c>
    </row>
    <row r="792" spans="1:10" ht="23.25" customHeight="1">
      <c r="A792">
        <f>Table4[[#This Row],[Column1]]</f>
        <v>0</v>
      </c>
      <c r="B792">
        <f>Table4[[#This Row],[Column2]]</f>
        <v>0</v>
      </c>
      <c r="H792" s="9">
        <f>Table13[[#This Row],[dicharge_date]]</f>
        <v>0</v>
      </c>
      <c r="I792" s="13">
        <f>Table6[[#This Row],[discharge_date]]-Table6[[#This Row],[surgery_date]]</f>
        <v>0</v>
      </c>
      <c r="J792" s="9">
        <f t="shared" si="31"/>
        <v>30</v>
      </c>
    </row>
    <row r="793" spans="1:10" ht="23.25" customHeight="1">
      <c r="A793">
        <f>Table4[[#This Row],[Column1]]</f>
        <v>0</v>
      </c>
      <c r="B793">
        <f>Table4[[#This Row],[Column2]]</f>
        <v>0</v>
      </c>
      <c r="H793" s="9">
        <f>Table13[[#This Row],[dicharge_date]]</f>
        <v>0</v>
      </c>
      <c r="I793" s="13">
        <f>Table6[[#This Row],[discharge_date]]-Table6[[#This Row],[surgery_date]]</f>
        <v>0</v>
      </c>
      <c r="J793" s="9">
        <f t="shared" si="31"/>
        <v>30</v>
      </c>
    </row>
    <row r="794" spans="1:10" ht="23.25" customHeight="1">
      <c r="A794">
        <f>Table4[[#This Row],[Column1]]</f>
        <v>0</v>
      </c>
      <c r="B794">
        <f>Table4[[#This Row],[Column2]]</f>
        <v>0</v>
      </c>
      <c r="H794" s="9">
        <f>Table13[[#This Row],[dicharge_date]]</f>
        <v>0</v>
      </c>
      <c r="I794" s="13">
        <f>Table6[[#This Row],[discharge_date]]-Table6[[#This Row],[surgery_date]]</f>
        <v>0</v>
      </c>
      <c r="J794" s="9">
        <f t="shared" si="31"/>
        <v>30</v>
      </c>
    </row>
    <row r="795" spans="1:10" ht="23.25" customHeight="1">
      <c r="A795">
        <f>Table4[[#This Row],[Column1]]</f>
        <v>0</v>
      </c>
      <c r="B795">
        <f>Table4[[#This Row],[Column2]]</f>
        <v>0</v>
      </c>
      <c r="H795" s="9">
        <f>Table13[[#This Row],[dicharge_date]]</f>
        <v>0</v>
      </c>
      <c r="I795" s="13">
        <f>Table6[[#This Row],[discharge_date]]-Table6[[#This Row],[surgery_date]]</f>
        <v>0</v>
      </c>
      <c r="J795" s="9">
        <f t="shared" si="31"/>
        <v>30</v>
      </c>
    </row>
    <row r="796" spans="1:10" ht="23.25" customHeight="1">
      <c r="A796">
        <f>Table4[[#This Row],[Column1]]</f>
        <v>0</v>
      </c>
      <c r="B796">
        <f>Table4[[#This Row],[Column2]]</f>
        <v>0</v>
      </c>
      <c r="H796" s="9">
        <f>Table13[[#This Row],[dicharge_date]]</f>
        <v>0</v>
      </c>
      <c r="I796" s="13">
        <f>Table6[[#This Row],[discharge_date]]-Table6[[#This Row],[surgery_date]]</f>
        <v>0</v>
      </c>
      <c r="J796" s="9">
        <f t="shared" si="31"/>
        <v>30</v>
      </c>
    </row>
    <row r="797" spans="1:10" ht="23.25" customHeight="1">
      <c r="A797">
        <f>Table4[[#This Row],[Column1]]</f>
        <v>0</v>
      </c>
      <c r="B797">
        <f>Table4[[#This Row],[Column2]]</f>
        <v>0</v>
      </c>
      <c r="H797" s="9">
        <f>Table13[[#This Row],[dicharge_date]]</f>
        <v>0</v>
      </c>
      <c r="I797" s="13">
        <f>Table6[[#This Row],[discharge_date]]-Table6[[#This Row],[surgery_date]]</f>
        <v>0</v>
      </c>
      <c r="J797" s="9">
        <f t="shared" si="31"/>
        <v>30</v>
      </c>
    </row>
    <row r="798" spans="1:10" ht="23.25" customHeight="1">
      <c r="A798">
        <f>Table4[[#This Row],[Column1]]</f>
        <v>0</v>
      </c>
      <c r="B798">
        <f>Table4[[#This Row],[Column2]]</f>
        <v>0</v>
      </c>
      <c r="H798" s="9">
        <f>Table13[[#This Row],[dicharge_date]]</f>
        <v>0</v>
      </c>
      <c r="I798" s="13">
        <f>Table6[[#This Row],[discharge_date]]-Table6[[#This Row],[surgery_date]]</f>
        <v>0</v>
      </c>
      <c r="J798" s="9">
        <f t="shared" si="31"/>
        <v>30</v>
      </c>
    </row>
    <row r="799" spans="1:10" ht="23.25" customHeight="1">
      <c r="A799">
        <f>Table4[[#This Row],[Column1]]</f>
        <v>0</v>
      </c>
      <c r="B799">
        <f>Table4[[#This Row],[Column2]]</f>
        <v>0</v>
      </c>
      <c r="H799" s="9">
        <f>Table13[[#This Row],[dicharge_date]]</f>
        <v>0</v>
      </c>
      <c r="I799" s="13">
        <f>Table6[[#This Row],[discharge_date]]-Table6[[#This Row],[surgery_date]]</f>
        <v>0</v>
      </c>
      <c r="J799" s="9">
        <f t="shared" si="31"/>
        <v>30</v>
      </c>
    </row>
    <row r="800" spans="1:10" ht="23.25" customHeight="1">
      <c r="A800">
        <f>Table4[[#This Row],[Column1]]</f>
        <v>0</v>
      </c>
      <c r="B800">
        <f>Table4[[#This Row],[Column2]]</f>
        <v>0</v>
      </c>
      <c r="H800" s="9">
        <f>Table13[[#This Row],[dicharge_date]]</f>
        <v>0</v>
      </c>
      <c r="I800" s="13">
        <f>Table6[[#This Row],[discharge_date]]-Table6[[#This Row],[surgery_date]]</f>
        <v>0</v>
      </c>
      <c r="J800" s="9">
        <f t="shared" si="31"/>
        <v>30</v>
      </c>
    </row>
    <row r="801" spans="1:10" ht="23.25" customHeight="1">
      <c r="A801">
        <f>Table4[[#This Row],[Column1]]</f>
        <v>0</v>
      </c>
      <c r="B801">
        <f>Table4[[#This Row],[Column2]]</f>
        <v>0</v>
      </c>
      <c r="H801" s="9">
        <f>Table13[[#This Row],[dicharge_date]]</f>
        <v>0</v>
      </c>
      <c r="I801" s="13">
        <f>Table6[[#This Row],[discharge_date]]-Table6[[#This Row],[surgery_date]]</f>
        <v>0</v>
      </c>
      <c r="J801" s="9">
        <f t="shared" si="31"/>
        <v>30</v>
      </c>
    </row>
    <row r="802" spans="1:10" ht="23.25" customHeight="1">
      <c r="A802">
        <f>Table4[[#This Row],[Column1]]</f>
        <v>0</v>
      </c>
      <c r="B802">
        <f>Table4[[#This Row],[Column2]]</f>
        <v>0</v>
      </c>
      <c r="H802" s="9">
        <f>Table13[[#This Row],[dicharge_date]]</f>
        <v>0</v>
      </c>
      <c r="I802" s="13">
        <f>Table6[[#This Row],[discharge_date]]-Table6[[#This Row],[surgery_date]]</f>
        <v>0</v>
      </c>
      <c r="J802" s="9">
        <f t="shared" si="31"/>
        <v>30</v>
      </c>
    </row>
    <row r="803" spans="1:10" ht="23.25" customHeight="1">
      <c r="A803">
        <f>Table4[[#This Row],[Column1]]</f>
        <v>0</v>
      </c>
      <c r="B803">
        <f>Table4[[#This Row],[Column2]]</f>
        <v>0</v>
      </c>
      <c r="H803" s="9">
        <f>Table13[[#This Row],[dicharge_date]]</f>
        <v>0</v>
      </c>
      <c r="I803" s="13">
        <f>Table6[[#This Row],[discharge_date]]-Table6[[#This Row],[surgery_date]]</f>
        <v>0</v>
      </c>
      <c r="J803" s="9">
        <f t="shared" si="31"/>
        <v>30</v>
      </c>
    </row>
    <row r="804" spans="1:10" ht="23.25" customHeight="1">
      <c r="A804">
        <f>Table4[[#This Row],[Column1]]</f>
        <v>0</v>
      </c>
      <c r="B804">
        <f>Table4[[#This Row],[Column2]]</f>
        <v>0</v>
      </c>
      <c r="H804" s="9">
        <f>Table13[[#This Row],[dicharge_date]]</f>
        <v>0</v>
      </c>
      <c r="I804" s="13">
        <f>Table6[[#This Row],[discharge_date]]-Table6[[#This Row],[surgery_date]]</f>
        <v>0</v>
      </c>
      <c r="J804" s="9">
        <f t="shared" si="31"/>
        <v>30</v>
      </c>
    </row>
    <row r="805" spans="1:10" ht="23.25" customHeight="1">
      <c r="A805">
        <f>Table4[[#This Row],[Column1]]</f>
        <v>0</v>
      </c>
      <c r="B805">
        <f>Table4[[#This Row],[Column2]]</f>
        <v>0</v>
      </c>
      <c r="H805" s="9">
        <f>Table13[[#This Row],[dicharge_date]]</f>
        <v>0</v>
      </c>
      <c r="I805" s="13">
        <f>Table6[[#This Row],[discharge_date]]-Table6[[#This Row],[surgery_date]]</f>
        <v>0</v>
      </c>
      <c r="J805" s="9">
        <f t="shared" si="31"/>
        <v>30</v>
      </c>
    </row>
    <row r="806" spans="1:10" ht="23.25" customHeight="1">
      <c r="A806">
        <f>Table4[[#This Row],[Column1]]</f>
        <v>0</v>
      </c>
      <c r="B806">
        <f>Table4[[#This Row],[Column2]]</f>
        <v>0</v>
      </c>
      <c r="H806" s="9">
        <f>Table13[[#This Row],[dicharge_date]]</f>
        <v>0</v>
      </c>
      <c r="I806" s="13">
        <f>Table6[[#This Row],[discharge_date]]-Table6[[#This Row],[surgery_date]]</f>
        <v>0</v>
      </c>
      <c r="J806" s="9">
        <f t="shared" si="31"/>
        <v>30</v>
      </c>
    </row>
    <row r="807" spans="1:10" ht="23.25" customHeight="1">
      <c r="A807">
        <f>Table4[[#This Row],[Column1]]</f>
        <v>0</v>
      </c>
      <c r="B807">
        <f>Table4[[#This Row],[Column2]]</f>
        <v>0</v>
      </c>
      <c r="H807" s="9">
        <f>Table13[[#This Row],[dicharge_date]]</f>
        <v>0</v>
      </c>
      <c r="I807" s="13">
        <f>Table6[[#This Row],[discharge_date]]-Table6[[#This Row],[surgery_date]]</f>
        <v>0</v>
      </c>
      <c r="J807" s="9">
        <f t="shared" si="31"/>
        <v>30</v>
      </c>
    </row>
    <row r="808" spans="1:10" ht="23.25" customHeight="1">
      <c r="A808">
        <f>Table4[[#This Row],[Column1]]</f>
        <v>0</v>
      </c>
      <c r="B808">
        <f>Table4[[#This Row],[Column2]]</f>
        <v>0</v>
      </c>
      <c r="H808" s="9">
        <f>Table13[[#This Row],[dicharge_date]]</f>
        <v>0</v>
      </c>
      <c r="I808" s="13">
        <f>Table6[[#This Row],[discharge_date]]-Table6[[#This Row],[surgery_date]]</f>
        <v>0</v>
      </c>
      <c r="J808" s="9">
        <f t="shared" si="31"/>
        <v>30</v>
      </c>
    </row>
    <row r="809" spans="1:10" ht="23.25" customHeight="1">
      <c r="A809">
        <f>Table4[[#This Row],[Column1]]</f>
        <v>0</v>
      </c>
      <c r="B809">
        <f>Table4[[#This Row],[Column2]]</f>
        <v>0</v>
      </c>
      <c r="H809" s="9">
        <f>Table13[[#This Row],[dicharge_date]]</f>
        <v>0</v>
      </c>
      <c r="I809" s="13">
        <f>Table6[[#This Row],[discharge_date]]-Table6[[#This Row],[surgery_date]]</f>
        <v>0</v>
      </c>
      <c r="J809" s="9">
        <f t="shared" si="31"/>
        <v>30</v>
      </c>
    </row>
    <row r="810" spans="1:10" ht="23.25" customHeight="1">
      <c r="A810">
        <f>Table4[[#This Row],[Column1]]</f>
        <v>0</v>
      </c>
      <c r="B810">
        <f>Table4[[#This Row],[Column2]]</f>
        <v>0</v>
      </c>
      <c r="H810" s="9">
        <f>Table13[[#This Row],[dicharge_date]]</f>
        <v>0</v>
      </c>
      <c r="I810" s="13">
        <f>Table6[[#This Row],[discharge_date]]-Table6[[#This Row],[surgery_date]]</f>
        <v>0</v>
      </c>
      <c r="J810" s="9">
        <f t="shared" si="31"/>
        <v>30</v>
      </c>
    </row>
    <row r="811" spans="1:10" ht="23.25" customHeight="1">
      <c r="A811">
        <f>Table4[[#This Row],[Column1]]</f>
        <v>0</v>
      </c>
      <c r="B811">
        <f>Table4[[#This Row],[Column2]]</f>
        <v>0</v>
      </c>
      <c r="H811" s="9">
        <f>Table13[[#This Row],[dicharge_date]]</f>
        <v>0</v>
      </c>
      <c r="I811" s="13">
        <f>Table6[[#This Row],[discharge_date]]-Table6[[#This Row],[surgery_date]]</f>
        <v>0</v>
      </c>
      <c r="J811" s="9">
        <f t="shared" si="31"/>
        <v>30</v>
      </c>
    </row>
    <row r="812" spans="1:10" ht="23.25" customHeight="1">
      <c r="A812">
        <f>Table4[[#This Row],[Column1]]</f>
        <v>0</v>
      </c>
      <c r="B812">
        <f>Table4[[#This Row],[Column2]]</f>
        <v>0</v>
      </c>
      <c r="H812" s="9">
        <f>Table13[[#This Row],[dicharge_date]]</f>
        <v>0</v>
      </c>
      <c r="I812" s="13">
        <f>Table6[[#This Row],[discharge_date]]-Table6[[#This Row],[surgery_date]]</f>
        <v>0</v>
      </c>
      <c r="J812" s="9">
        <f t="shared" si="31"/>
        <v>30</v>
      </c>
    </row>
    <row r="813" spans="1:10" ht="23.25" customHeight="1">
      <c r="A813">
        <f>Table4[[#This Row],[Column1]]</f>
        <v>0</v>
      </c>
      <c r="B813">
        <f>Table4[[#This Row],[Column2]]</f>
        <v>0</v>
      </c>
      <c r="H813" s="9">
        <f>Table13[[#This Row],[dicharge_date]]</f>
        <v>0</v>
      </c>
      <c r="I813" s="13">
        <f>Table6[[#This Row],[discharge_date]]-Table6[[#This Row],[surgery_date]]</f>
        <v>0</v>
      </c>
      <c r="J813" s="9">
        <f t="shared" si="31"/>
        <v>30</v>
      </c>
    </row>
    <row r="814" spans="1:10" ht="23.25" customHeight="1">
      <c r="A814">
        <f>Table4[[#This Row],[Column1]]</f>
        <v>0</v>
      </c>
      <c r="B814">
        <f>Table4[[#This Row],[Column2]]</f>
        <v>0</v>
      </c>
      <c r="H814" s="9">
        <f>Table13[[#This Row],[dicharge_date]]</f>
        <v>0</v>
      </c>
      <c r="I814" s="13">
        <f>Table6[[#This Row],[discharge_date]]-Table6[[#This Row],[surgery_date]]</f>
        <v>0</v>
      </c>
      <c r="J814" s="9">
        <f t="shared" si="31"/>
        <v>30</v>
      </c>
    </row>
    <row r="815" spans="1:10" ht="23.25" customHeight="1">
      <c r="A815">
        <f>Table4[[#This Row],[Column1]]</f>
        <v>0</v>
      </c>
      <c r="B815">
        <f>Table4[[#This Row],[Column2]]</f>
        <v>0</v>
      </c>
      <c r="H815" s="9">
        <f>Table13[[#This Row],[dicharge_date]]</f>
        <v>0</v>
      </c>
      <c r="I815" s="13">
        <f>Table6[[#This Row],[discharge_date]]-Table6[[#This Row],[surgery_date]]</f>
        <v>0</v>
      </c>
      <c r="J815" s="9">
        <f t="shared" si="31"/>
        <v>30</v>
      </c>
    </row>
    <row r="816" spans="1:10" ht="23.25" customHeight="1">
      <c r="A816">
        <f>Table4[[#This Row],[Column1]]</f>
        <v>0</v>
      </c>
      <c r="B816">
        <f>Table4[[#This Row],[Column2]]</f>
        <v>0</v>
      </c>
      <c r="H816" s="9">
        <f>Table13[[#This Row],[dicharge_date]]</f>
        <v>0</v>
      </c>
      <c r="I816" s="13">
        <f>Table6[[#This Row],[discharge_date]]-Table6[[#This Row],[surgery_date]]</f>
        <v>0</v>
      </c>
      <c r="J816" s="9">
        <f t="shared" si="31"/>
        <v>30</v>
      </c>
    </row>
    <row r="817" spans="1:10" ht="23.25" customHeight="1">
      <c r="A817">
        <f>Table4[[#This Row],[Column1]]</f>
        <v>0</v>
      </c>
      <c r="B817">
        <f>Table4[[#This Row],[Column2]]</f>
        <v>0</v>
      </c>
      <c r="H817" s="9">
        <f>Table13[[#This Row],[dicharge_date]]</f>
        <v>0</v>
      </c>
      <c r="I817" s="13">
        <f>Table6[[#This Row],[discharge_date]]-Table6[[#This Row],[surgery_date]]</f>
        <v>0</v>
      </c>
      <c r="J817" s="9">
        <f t="shared" si="31"/>
        <v>30</v>
      </c>
    </row>
    <row r="818" spans="1:10" ht="23.25" customHeight="1">
      <c r="A818">
        <f>Table4[[#This Row],[Column1]]</f>
        <v>0</v>
      </c>
      <c r="B818">
        <f>Table4[[#This Row],[Column2]]</f>
        <v>0</v>
      </c>
      <c r="H818" s="9">
        <f>Table13[[#This Row],[dicharge_date]]</f>
        <v>0</v>
      </c>
      <c r="I818" s="13">
        <f>Table6[[#This Row],[discharge_date]]-Table6[[#This Row],[surgery_date]]</f>
        <v>0</v>
      </c>
      <c r="J818" s="9">
        <f t="shared" si="31"/>
        <v>30</v>
      </c>
    </row>
    <row r="819" spans="1:10" ht="23.25" customHeight="1">
      <c r="A819">
        <f>Table4[[#This Row],[Column1]]</f>
        <v>0</v>
      </c>
      <c r="B819">
        <f>Table4[[#This Row],[Column2]]</f>
        <v>0</v>
      </c>
      <c r="H819" s="9">
        <f>Table13[[#This Row],[dicharge_date]]</f>
        <v>0</v>
      </c>
      <c r="I819" s="13">
        <f>Table6[[#This Row],[discharge_date]]-Table6[[#This Row],[surgery_date]]</f>
        <v>0</v>
      </c>
      <c r="J819" s="9">
        <f t="shared" si="31"/>
        <v>30</v>
      </c>
    </row>
    <row r="820" spans="1:10" ht="23.25" customHeight="1">
      <c r="A820">
        <f>Table4[[#This Row],[Column1]]</f>
        <v>0</v>
      </c>
      <c r="B820">
        <f>Table4[[#This Row],[Column2]]</f>
        <v>0</v>
      </c>
      <c r="H820" s="9">
        <f>Table13[[#This Row],[dicharge_date]]</f>
        <v>0</v>
      </c>
      <c r="I820" s="13">
        <f>Table6[[#This Row],[discharge_date]]-Table6[[#This Row],[surgery_date]]</f>
        <v>0</v>
      </c>
      <c r="J820" s="9">
        <f t="shared" si="31"/>
        <v>30</v>
      </c>
    </row>
    <row r="821" spans="1:10" ht="23.25" customHeight="1">
      <c r="A821">
        <f>Table4[[#This Row],[Column1]]</f>
        <v>0</v>
      </c>
      <c r="B821">
        <f>Table4[[#This Row],[Column2]]</f>
        <v>0</v>
      </c>
      <c r="H821" s="9">
        <f>Table13[[#This Row],[dicharge_date]]</f>
        <v>0</v>
      </c>
      <c r="I821" s="13">
        <f>Table6[[#This Row],[discharge_date]]-Table6[[#This Row],[surgery_date]]</f>
        <v>0</v>
      </c>
      <c r="J821" s="9">
        <f t="shared" si="31"/>
        <v>30</v>
      </c>
    </row>
    <row r="822" spans="1:10" ht="23.25" customHeight="1">
      <c r="A822">
        <f>Table4[[#This Row],[Column1]]</f>
        <v>0</v>
      </c>
      <c r="B822">
        <f>Table4[[#This Row],[Column2]]</f>
        <v>0</v>
      </c>
      <c r="H822" s="9">
        <f>Table13[[#This Row],[dicharge_date]]</f>
        <v>0</v>
      </c>
      <c r="I822" s="13">
        <f>Table6[[#This Row],[discharge_date]]-Table6[[#This Row],[surgery_date]]</f>
        <v>0</v>
      </c>
      <c r="J822" s="9">
        <f t="shared" si="31"/>
        <v>30</v>
      </c>
    </row>
    <row r="823" spans="1:10" ht="23.25" customHeight="1">
      <c r="A823">
        <f>Table4[[#This Row],[Column1]]</f>
        <v>0</v>
      </c>
      <c r="B823">
        <f>Table4[[#This Row],[Column2]]</f>
        <v>0</v>
      </c>
      <c r="H823" s="9">
        <f>Table13[[#This Row],[dicharge_date]]</f>
        <v>0</v>
      </c>
      <c r="I823" s="13">
        <f>Table6[[#This Row],[discharge_date]]-Table6[[#This Row],[surgery_date]]</f>
        <v>0</v>
      </c>
      <c r="J823" s="9">
        <f t="shared" si="31"/>
        <v>30</v>
      </c>
    </row>
    <row r="824" spans="1:10" ht="23.25" customHeight="1">
      <c r="A824">
        <f>Table4[[#This Row],[Column1]]</f>
        <v>0</v>
      </c>
      <c r="B824">
        <f>Table4[[#This Row],[Column2]]</f>
        <v>0</v>
      </c>
      <c r="H824" s="9">
        <f>Table13[[#This Row],[dicharge_date]]</f>
        <v>0</v>
      </c>
      <c r="I824" s="13">
        <f>Table6[[#This Row],[discharge_date]]-Table6[[#This Row],[surgery_date]]</f>
        <v>0</v>
      </c>
      <c r="J824" s="9">
        <f t="shared" si="31"/>
        <v>30</v>
      </c>
    </row>
    <row r="825" spans="1:10" ht="23.25" customHeight="1">
      <c r="A825">
        <f>Table4[[#This Row],[Column1]]</f>
        <v>0</v>
      </c>
      <c r="B825">
        <f>Table4[[#This Row],[Column2]]</f>
        <v>0</v>
      </c>
      <c r="H825" s="9">
        <f>Table13[[#This Row],[dicharge_date]]</f>
        <v>0</v>
      </c>
      <c r="I825" s="13">
        <f>Table6[[#This Row],[discharge_date]]-Table6[[#This Row],[surgery_date]]</f>
        <v>0</v>
      </c>
      <c r="J825" s="9">
        <f t="shared" si="31"/>
        <v>30</v>
      </c>
    </row>
    <row r="826" spans="1:10" ht="23.25" customHeight="1">
      <c r="A826">
        <f>Table4[[#This Row],[Column1]]</f>
        <v>0</v>
      </c>
      <c r="B826">
        <f>Table4[[#This Row],[Column2]]</f>
        <v>0</v>
      </c>
      <c r="H826" s="9">
        <f>Table13[[#This Row],[dicharge_date]]</f>
        <v>0</v>
      </c>
      <c r="I826" s="13">
        <f>Table6[[#This Row],[discharge_date]]-Table6[[#This Row],[surgery_date]]</f>
        <v>0</v>
      </c>
      <c r="J826" s="9">
        <f t="shared" si="31"/>
        <v>30</v>
      </c>
    </row>
    <row r="827" spans="1:10" ht="23.25" customHeight="1">
      <c r="A827">
        <f>Table4[[#This Row],[Column1]]</f>
        <v>0</v>
      </c>
      <c r="B827">
        <f>Table4[[#This Row],[Column2]]</f>
        <v>0</v>
      </c>
      <c r="H827" s="9">
        <f>Table13[[#This Row],[dicharge_date]]</f>
        <v>0</v>
      </c>
      <c r="I827" s="13">
        <f>Table6[[#This Row],[discharge_date]]-Table6[[#This Row],[surgery_date]]</f>
        <v>0</v>
      </c>
      <c r="J827" s="9">
        <f t="shared" si="31"/>
        <v>30</v>
      </c>
    </row>
    <row r="828" spans="1:10" ht="23.25" customHeight="1">
      <c r="A828">
        <f>Table4[[#This Row],[Column1]]</f>
        <v>0</v>
      </c>
      <c r="B828">
        <f>Table4[[#This Row],[Column2]]</f>
        <v>0</v>
      </c>
      <c r="H828" s="9">
        <f>Table13[[#This Row],[dicharge_date]]</f>
        <v>0</v>
      </c>
      <c r="I828" s="13">
        <f>Table6[[#This Row],[discharge_date]]-Table6[[#This Row],[surgery_date]]</f>
        <v>0</v>
      </c>
      <c r="J828" s="9">
        <f t="shared" si="31"/>
        <v>30</v>
      </c>
    </row>
    <row r="829" spans="1:10" ht="23.25" customHeight="1">
      <c r="A829">
        <f>Table4[[#This Row],[Column1]]</f>
        <v>0</v>
      </c>
      <c r="B829">
        <f>Table4[[#This Row],[Column2]]</f>
        <v>0</v>
      </c>
      <c r="H829" s="9">
        <f>Table13[[#This Row],[dicharge_date]]</f>
        <v>0</v>
      </c>
      <c r="I829" s="13">
        <f>Table6[[#This Row],[discharge_date]]-Table6[[#This Row],[surgery_date]]</f>
        <v>0</v>
      </c>
      <c r="J829" s="9">
        <f t="shared" si="31"/>
        <v>30</v>
      </c>
    </row>
    <row r="830" spans="1:10" ht="23.25" customHeight="1">
      <c r="A830">
        <f>Table4[[#This Row],[Column1]]</f>
        <v>0</v>
      </c>
      <c r="B830">
        <f>Table4[[#This Row],[Column2]]</f>
        <v>0</v>
      </c>
      <c r="H830" s="9">
        <f>Table13[[#This Row],[dicharge_date]]</f>
        <v>0</v>
      </c>
      <c r="I830" s="13">
        <f>Table6[[#This Row],[discharge_date]]-Table6[[#This Row],[surgery_date]]</f>
        <v>0</v>
      </c>
      <c r="J830" s="9">
        <f t="shared" si="31"/>
        <v>30</v>
      </c>
    </row>
    <row r="831" spans="1:10" ht="23.25" customHeight="1">
      <c r="A831">
        <f>Table4[[#This Row],[Column1]]</f>
        <v>0</v>
      </c>
      <c r="B831">
        <f>Table4[[#This Row],[Column2]]</f>
        <v>0</v>
      </c>
      <c r="H831" s="9">
        <f>Table13[[#This Row],[dicharge_date]]</f>
        <v>0</v>
      </c>
      <c r="I831" s="13">
        <f>Table6[[#This Row],[discharge_date]]-Table6[[#This Row],[surgery_date]]</f>
        <v>0</v>
      </c>
      <c r="J831" s="9">
        <f t="shared" si="31"/>
        <v>30</v>
      </c>
    </row>
    <row r="832" spans="1:10" ht="23.25" customHeight="1">
      <c r="A832">
        <f>Table4[[#This Row],[Column1]]</f>
        <v>0</v>
      </c>
      <c r="B832">
        <f>Table4[[#This Row],[Column2]]</f>
        <v>0</v>
      </c>
      <c r="H832" s="9">
        <f>Table13[[#This Row],[dicharge_date]]</f>
        <v>0</v>
      </c>
      <c r="I832" s="13">
        <f>Table6[[#This Row],[discharge_date]]-Table6[[#This Row],[surgery_date]]</f>
        <v>0</v>
      </c>
      <c r="J832" s="9">
        <f t="shared" si="31"/>
        <v>30</v>
      </c>
    </row>
    <row r="833" spans="1:10" ht="23.25" customHeight="1">
      <c r="A833">
        <f>Table4[[#This Row],[Column1]]</f>
        <v>0</v>
      </c>
      <c r="B833">
        <f>Table4[[#This Row],[Column2]]</f>
        <v>0</v>
      </c>
      <c r="H833" s="9">
        <f>Table13[[#This Row],[dicharge_date]]</f>
        <v>0</v>
      </c>
      <c r="I833" s="13">
        <f>Table6[[#This Row],[discharge_date]]-Table6[[#This Row],[surgery_date]]</f>
        <v>0</v>
      </c>
      <c r="J833" s="9">
        <f t="shared" si="31"/>
        <v>30</v>
      </c>
    </row>
    <row r="834" spans="1:10" ht="23.25" customHeight="1">
      <c r="A834">
        <f>Table4[[#This Row],[Column1]]</f>
        <v>0</v>
      </c>
      <c r="B834">
        <f>Table4[[#This Row],[Column2]]</f>
        <v>0</v>
      </c>
      <c r="H834" s="9">
        <f>Table13[[#This Row],[dicharge_date]]</f>
        <v>0</v>
      </c>
      <c r="I834" s="13">
        <f>Table6[[#This Row],[discharge_date]]-Table6[[#This Row],[surgery_date]]</f>
        <v>0</v>
      </c>
      <c r="J834" s="9">
        <f t="shared" ref="J834:J897" si="32">IF( H834&lt;&gt;"", H834+30,"")</f>
        <v>30</v>
      </c>
    </row>
    <row r="835" spans="1:10" ht="23.25" customHeight="1">
      <c r="A835">
        <f>Table4[[#This Row],[Column1]]</f>
        <v>0</v>
      </c>
      <c r="B835">
        <f>Table4[[#This Row],[Column2]]</f>
        <v>0</v>
      </c>
      <c r="H835" s="9">
        <f>Table13[[#This Row],[dicharge_date]]</f>
        <v>0</v>
      </c>
      <c r="I835" s="13">
        <f>Table6[[#This Row],[discharge_date]]-Table6[[#This Row],[surgery_date]]</f>
        <v>0</v>
      </c>
      <c r="J835" s="9">
        <f t="shared" si="32"/>
        <v>30</v>
      </c>
    </row>
    <row r="836" spans="1:10" ht="23.25" customHeight="1">
      <c r="A836">
        <f>Table4[[#This Row],[Column1]]</f>
        <v>0</v>
      </c>
      <c r="B836">
        <f>Table4[[#This Row],[Column2]]</f>
        <v>0</v>
      </c>
      <c r="H836" s="9">
        <f>Table13[[#This Row],[dicharge_date]]</f>
        <v>0</v>
      </c>
      <c r="I836" s="13">
        <f>Table6[[#This Row],[discharge_date]]-Table6[[#This Row],[surgery_date]]</f>
        <v>0</v>
      </c>
      <c r="J836" s="9">
        <f t="shared" si="32"/>
        <v>30</v>
      </c>
    </row>
    <row r="837" spans="1:10" ht="23.25" customHeight="1">
      <c r="A837">
        <f>Table4[[#This Row],[Column1]]</f>
        <v>0</v>
      </c>
      <c r="B837">
        <f>Table4[[#This Row],[Column2]]</f>
        <v>0</v>
      </c>
      <c r="H837" s="9">
        <f>Table13[[#This Row],[dicharge_date]]</f>
        <v>0</v>
      </c>
      <c r="I837" s="13">
        <f>Table6[[#This Row],[discharge_date]]-Table6[[#This Row],[surgery_date]]</f>
        <v>0</v>
      </c>
      <c r="J837" s="9">
        <f t="shared" si="32"/>
        <v>30</v>
      </c>
    </row>
    <row r="838" spans="1:10" ht="23.25" customHeight="1">
      <c r="A838">
        <f>Table4[[#This Row],[Column1]]</f>
        <v>0</v>
      </c>
      <c r="B838">
        <f>Table4[[#This Row],[Column2]]</f>
        <v>0</v>
      </c>
      <c r="H838" s="9">
        <f>Table13[[#This Row],[dicharge_date]]</f>
        <v>0</v>
      </c>
      <c r="I838" s="13">
        <f>Table6[[#This Row],[discharge_date]]-Table6[[#This Row],[surgery_date]]</f>
        <v>0</v>
      </c>
      <c r="J838" s="9">
        <f t="shared" si="32"/>
        <v>30</v>
      </c>
    </row>
    <row r="839" spans="1:10" ht="23.25" customHeight="1">
      <c r="A839">
        <f>Table4[[#This Row],[Column1]]</f>
        <v>0</v>
      </c>
      <c r="B839">
        <f>Table4[[#This Row],[Column2]]</f>
        <v>0</v>
      </c>
      <c r="H839" s="9">
        <f>Table13[[#This Row],[dicharge_date]]</f>
        <v>0</v>
      </c>
      <c r="I839" s="13">
        <f>Table6[[#This Row],[discharge_date]]-Table6[[#This Row],[surgery_date]]</f>
        <v>0</v>
      </c>
      <c r="J839" s="9">
        <f t="shared" si="32"/>
        <v>30</v>
      </c>
    </row>
    <row r="840" spans="1:10" ht="23.25" customHeight="1">
      <c r="A840">
        <f>Table4[[#This Row],[Column1]]</f>
        <v>0</v>
      </c>
      <c r="B840">
        <f>Table4[[#This Row],[Column2]]</f>
        <v>0</v>
      </c>
      <c r="H840" s="9">
        <f>Table13[[#This Row],[dicharge_date]]</f>
        <v>0</v>
      </c>
      <c r="I840" s="13">
        <f>Table6[[#This Row],[discharge_date]]-Table6[[#This Row],[surgery_date]]</f>
        <v>0</v>
      </c>
      <c r="J840" s="9">
        <f t="shared" si="32"/>
        <v>30</v>
      </c>
    </row>
    <row r="841" spans="1:10" ht="23.25" customHeight="1">
      <c r="A841">
        <f>Table4[[#This Row],[Column1]]</f>
        <v>0</v>
      </c>
      <c r="B841">
        <f>Table4[[#This Row],[Column2]]</f>
        <v>0</v>
      </c>
      <c r="H841" s="9">
        <f>Table13[[#This Row],[dicharge_date]]</f>
        <v>0</v>
      </c>
      <c r="I841" s="13">
        <f>Table6[[#This Row],[discharge_date]]-Table6[[#This Row],[surgery_date]]</f>
        <v>0</v>
      </c>
      <c r="J841" s="9">
        <f t="shared" si="32"/>
        <v>30</v>
      </c>
    </row>
    <row r="842" spans="1:10" ht="23.25" customHeight="1">
      <c r="A842">
        <f>Table4[[#This Row],[Column1]]</f>
        <v>0</v>
      </c>
      <c r="B842">
        <f>Table4[[#This Row],[Column2]]</f>
        <v>0</v>
      </c>
      <c r="H842" s="9">
        <f>Table13[[#This Row],[dicharge_date]]</f>
        <v>0</v>
      </c>
      <c r="I842" s="13">
        <f>Table6[[#This Row],[discharge_date]]-Table6[[#This Row],[surgery_date]]</f>
        <v>0</v>
      </c>
      <c r="J842" s="9">
        <f t="shared" si="32"/>
        <v>30</v>
      </c>
    </row>
    <row r="843" spans="1:10" ht="23.25" customHeight="1">
      <c r="A843">
        <f>Table4[[#This Row],[Column1]]</f>
        <v>0</v>
      </c>
      <c r="B843">
        <f>Table4[[#This Row],[Column2]]</f>
        <v>0</v>
      </c>
      <c r="H843" s="9">
        <f>Table13[[#This Row],[dicharge_date]]</f>
        <v>0</v>
      </c>
      <c r="I843" s="13">
        <f>Table6[[#This Row],[discharge_date]]-Table6[[#This Row],[surgery_date]]</f>
        <v>0</v>
      </c>
      <c r="J843" s="9">
        <f t="shared" si="32"/>
        <v>30</v>
      </c>
    </row>
    <row r="844" spans="1:10" ht="23.25" customHeight="1">
      <c r="A844">
        <f>Table4[[#This Row],[Column1]]</f>
        <v>0</v>
      </c>
      <c r="B844">
        <f>Table4[[#This Row],[Column2]]</f>
        <v>0</v>
      </c>
      <c r="H844" s="9">
        <f>Table13[[#This Row],[dicharge_date]]</f>
        <v>0</v>
      </c>
      <c r="I844" s="13">
        <f>Table6[[#This Row],[discharge_date]]-Table6[[#This Row],[surgery_date]]</f>
        <v>0</v>
      </c>
      <c r="J844" s="9">
        <f t="shared" si="32"/>
        <v>30</v>
      </c>
    </row>
    <row r="845" spans="1:10" ht="23.25" customHeight="1">
      <c r="A845">
        <f>Table4[[#This Row],[Column1]]</f>
        <v>0</v>
      </c>
      <c r="B845">
        <f>Table4[[#This Row],[Column2]]</f>
        <v>0</v>
      </c>
      <c r="H845" s="9">
        <f>Table13[[#This Row],[dicharge_date]]</f>
        <v>0</v>
      </c>
      <c r="I845" s="13">
        <f>Table6[[#This Row],[discharge_date]]-Table6[[#This Row],[surgery_date]]</f>
        <v>0</v>
      </c>
      <c r="J845" s="9">
        <f t="shared" si="32"/>
        <v>30</v>
      </c>
    </row>
    <row r="846" spans="1:10" ht="23.25" customHeight="1">
      <c r="A846">
        <f>Table4[[#This Row],[Column1]]</f>
        <v>0</v>
      </c>
      <c r="B846">
        <f>Table4[[#This Row],[Column2]]</f>
        <v>0</v>
      </c>
      <c r="H846" s="9">
        <f>Table13[[#This Row],[dicharge_date]]</f>
        <v>0</v>
      </c>
      <c r="I846" s="13">
        <f>Table6[[#This Row],[discharge_date]]-Table6[[#This Row],[surgery_date]]</f>
        <v>0</v>
      </c>
      <c r="J846" s="9">
        <f t="shared" si="32"/>
        <v>30</v>
      </c>
    </row>
    <row r="847" spans="1:10" ht="23.25" customHeight="1">
      <c r="A847">
        <f>Table4[[#This Row],[Column1]]</f>
        <v>0</v>
      </c>
      <c r="B847">
        <f>Table4[[#This Row],[Column2]]</f>
        <v>0</v>
      </c>
      <c r="H847" s="9">
        <f>Table13[[#This Row],[dicharge_date]]</f>
        <v>0</v>
      </c>
      <c r="I847" s="13">
        <f>Table6[[#This Row],[discharge_date]]-Table6[[#This Row],[surgery_date]]</f>
        <v>0</v>
      </c>
      <c r="J847" s="9">
        <f t="shared" si="32"/>
        <v>30</v>
      </c>
    </row>
    <row r="848" spans="1:10" ht="23.25" customHeight="1">
      <c r="A848">
        <f>Table4[[#This Row],[Column1]]</f>
        <v>0</v>
      </c>
      <c r="B848">
        <f>Table4[[#This Row],[Column2]]</f>
        <v>0</v>
      </c>
      <c r="H848" s="9">
        <f>Table13[[#This Row],[dicharge_date]]</f>
        <v>0</v>
      </c>
      <c r="I848" s="13">
        <f>Table6[[#This Row],[discharge_date]]-Table6[[#This Row],[surgery_date]]</f>
        <v>0</v>
      </c>
      <c r="J848" s="9">
        <f t="shared" si="32"/>
        <v>30</v>
      </c>
    </row>
    <row r="849" spans="1:10" ht="23.25" customHeight="1">
      <c r="A849">
        <f>Table4[[#This Row],[Column1]]</f>
        <v>0</v>
      </c>
      <c r="B849">
        <f>Table4[[#This Row],[Column2]]</f>
        <v>0</v>
      </c>
      <c r="H849" s="9">
        <f>Table13[[#This Row],[dicharge_date]]</f>
        <v>0</v>
      </c>
      <c r="I849" s="13">
        <f>Table6[[#This Row],[discharge_date]]-Table6[[#This Row],[surgery_date]]</f>
        <v>0</v>
      </c>
      <c r="J849" s="9">
        <f t="shared" si="32"/>
        <v>30</v>
      </c>
    </row>
    <row r="850" spans="1:10" ht="23.25" customHeight="1">
      <c r="A850">
        <f>Table4[[#This Row],[Column1]]</f>
        <v>0</v>
      </c>
      <c r="B850">
        <f>Table4[[#This Row],[Column2]]</f>
        <v>0</v>
      </c>
      <c r="H850" s="9">
        <f>Table13[[#This Row],[dicharge_date]]</f>
        <v>0</v>
      </c>
      <c r="I850" s="13">
        <f>Table6[[#This Row],[discharge_date]]-Table6[[#This Row],[surgery_date]]</f>
        <v>0</v>
      </c>
      <c r="J850" s="9">
        <f t="shared" si="32"/>
        <v>30</v>
      </c>
    </row>
    <row r="851" spans="1:10" ht="23.25" customHeight="1">
      <c r="A851">
        <f>Table4[[#This Row],[Column1]]</f>
        <v>0</v>
      </c>
      <c r="B851">
        <f>Table4[[#This Row],[Column2]]</f>
        <v>0</v>
      </c>
      <c r="H851" s="9">
        <f>Table13[[#This Row],[dicharge_date]]</f>
        <v>0</v>
      </c>
      <c r="I851" s="13">
        <f>Table6[[#This Row],[discharge_date]]-Table6[[#This Row],[surgery_date]]</f>
        <v>0</v>
      </c>
      <c r="J851" s="9">
        <f t="shared" si="32"/>
        <v>30</v>
      </c>
    </row>
    <row r="852" spans="1:10" ht="23.25" customHeight="1">
      <c r="A852">
        <f>Table4[[#This Row],[Column1]]</f>
        <v>0</v>
      </c>
      <c r="B852">
        <f>Table4[[#This Row],[Column2]]</f>
        <v>0</v>
      </c>
      <c r="H852" s="9">
        <f>Table13[[#This Row],[dicharge_date]]</f>
        <v>0</v>
      </c>
      <c r="I852" s="13">
        <f>Table6[[#This Row],[discharge_date]]-Table6[[#This Row],[surgery_date]]</f>
        <v>0</v>
      </c>
      <c r="J852" s="9">
        <f t="shared" si="32"/>
        <v>30</v>
      </c>
    </row>
    <row r="853" spans="1:10" ht="23.25" customHeight="1">
      <c r="A853">
        <f>Table4[[#This Row],[Column1]]</f>
        <v>0</v>
      </c>
      <c r="B853">
        <f>Table4[[#This Row],[Column2]]</f>
        <v>0</v>
      </c>
      <c r="H853" s="9">
        <f>Table13[[#This Row],[dicharge_date]]</f>
        <v>0</v>
      </c>
      <c r="I853" s="13">
        <f>Table6[[#This Row],[discharge_date]]-Table6[[#This Row],[surgery_date]]</f>
        <v>0</v>
      </c>
      <c r="J853" s="9">
        <f t="shared" si="32"/>
        <v>30</v>
      </c>
    </row>
    <row r="854" spans="1:10" ht="23.25" customHeight="1">
      <c r="A854">
        <f>Table4[[#This Row],[Column1]]</f>
        <v>0</v>
      </c>
      <c r="B854">
        <f>Table4[[#This Row],[Column2]]</f>
        <v>0</v>
      </c>
      <c r="H854" s="9">
        <f>Table13[[#This Row],[dicharge_date]]</f>
        <v>0</v>
      </c>
      <c r="I854" s="13">
        <f>Table6[[#This Row],[discharge_date]]-Table6[[#This Row],[surgery_date]]</f>
        <v>0</v>
      </c>
      <c r="J854" s="9">
        <f t="shared" si="32"/>
        <v>30</v>
      </c>
    </row>
    <row r="855" spans="1:10" ht="23.25" customHeight="1">
      <c r="A855">
        <f>Table4[[#This Row],[Column1]]</f>
        <v>0</v>
      </c>
      <c r="B855">
        <f>Table4[[#This Row],[Column2]]</f>
        <v>0</v>
      </c>
      <c r="H855" s="9">
        <f>Table13[[#This Row],[dicharge_date]]</f>
        <v>0</v>
      </c>
      <c r="I855" s="13">
        <f>Table6[[#This Row],[discharge_date]]-Table6[[#This Row],[surgery_date]]</f>
        <v>0</v>
      </c>
      <c r="J855" s="9">
        <f t="shared" si="32"/>
        <v>30</v>
      </c>
    </row>
    <row r="856" spans="1:10" ht="23.25" customHeight="1">
      <c r="A856">
        <f>Table4[[#This Row],[Column1]]</f>
        <v>0</v>
      </c>
      <c r="B856">
        <f>Table4[[#This Row],[Column2]]</f>
        <v>0</v>
      </c>
      <c r="H856" s="9">
        <f>Table13[[#This Row],[dicharge_date]]</f>
        <v>0</v>
      </c>
      <c r="I856" s="13">
        <f>Table6[[#This Row],[discharge_date]]-Table6[[#This Row],[surgery_date]]</f>
        <v>0</v>
      </c>
      <c r="J856" s="9">
        <f t="shared" si="32"/>
        <v>30</v>
      </c>
    </row>
    <row r="857" spans="1:10" ht="23.25" customHeight="1">
      <c r="A857">
        <f>Table4[[#This Row],[Column1]]</f>
        <v>0</v>
      </c>
      <c r="B857">
        <f>Table4[[#This Row],[Column2]]</f>
        <v>0</v>
      </c>
      <c r="H857" s="9">
        <f>Table13[[#This Row],[dicharge_date]]</f>
        <v>0</v>
      </c>
      <c r="I857" s="13">
        <f>Table6[[#This Row],[discharge_date]]-Table6[[#This Row],[surgery_date]]</f>
        <v>0</v>
      </c>
      <c r="J857" s="9">
        <f t="shared" si="32"/>
        <v>30</v>
      </c>
    </row>
    <row r="858" spans="1:10" ht="23.25" customHeight="1">
      <c r="A858">
        <f>Table4[[#This Row],[Column1]]</f>
        <v>0</v>
      </c>
      <c r="B858">
        <f>Table4[[#This Row],[Column2]]</f>
        <v>0</v>
      </c>
      <c r="H858" s="9">
        <f>Table13[[#This Row],[dicharge_date]]</f>
        <v>0</v>
      </c>
      <c r="I858" s="13">
        <f>Table6[[#This Row],[discharge_date]]-Table6[[#This Row],[surgery_date]]</f>
        <v>0</v>
      </c>
      <c r="J858" s="9">
        <f t="shared" si="32"/>
        <v>30</v>
      </c>
    </row>
    <row r="859" spans="1:10" ht="23.25" customHeight="1">
      <c r="A859">
        <f>Table4[[#This Row],[Column1]]</f>
        <v>0</v>
      </c>
      <c r="B859">
        <f>Table4[[#This Row],[Column2]]</f>
        <v>0</v>
      </c>
      <c r="H859" s="9">
        <f>Table13[[#This Row],[dicharge_date]]</f>
        <v>0</v>
      </c>
      <c r="I859" s="13">
        <f>Table6[[#This Row],[discharge_date]]-Table6[[#This Row],[surgery_date]]</f>
        <v>0</v>
      </c>
      <c r="J859" s="9">
        <f t="shared" si="32"/>
        <v>30</v>
      </c>
    </row>
    <row r="860" spans="1:10" ht="23.25" customHeight="1">
      <c r="A860">
        <f>Table4[[#This Row],[Column1]]</f>
        <v>0</v>
      </c>
      <c r="B860">
        <f>Table4[[#This Row],[Column2]]</f>
        <v>0</v>
      </c>
      <c r="H860" s="9">
        <f>Table13[[#This Row],[dicharge_date]]</f>
        <v>0</v>
      </c>
      <c r="I860" s="13">
        <f>Table6[[#This Row],[discharge_date]]-Table6[[#This Row],[surgery_date]]</f>
        <v>0</v>
      </c>
      <c r="J860" s="9">
        <f t="shared" si="32"/>
        <v>30</v>
      </c>
    </row>
    <row r="861" spans="1:10" ht="23.25" customHeight="1">
      <c r="A861">
        <f>Table4[[#This Row],[Column1]]</f>
        <v>0</v>
      </c>
      <c r="B861">
        <f>Table4[[#This Row],[Column2]]</f>
        <v>0</v>
      </c>
      <c r="H861" s="9">
        <f>Table13[[#This Row],[dicharge_date]]</f>
        <v>0</v>
      </c>
      <c r="I861" s="13">
        <f>Table6[[#This Row],[discharge_date]]-Table6[[#This Row],[surgery_date]]</f>
        <v>0</v>
      </c>
      <c r="J861" s="9">
        <f t="shared" si="32"/>
        <v>30</v>
      </c>
    </row>
    <row r="862" spans="1:10" ht="23.25" customHeight="1">
      <c r="A862">
        <f>Table4[[#This Row],[Column1]]</f>
        <v>0</v>
      </c>
      <c r="B862">
        <f>Table4[[#This Row],[Column2]]</f>
        <v>0</v>
      </c>
      <c r="H862" s="9">
        <f>Table13[[#This Row],[dicharge_date]]</f>
        <v>0</v>
      </c>
      <c r="I862" s="13">
        <f>Table6[[#This Row],[discharge_date]]-Table6[[#This Row],[surgery_date]]</f>
        <v>0</v>
      </c>
      <c r="J862" s="9">
        <f t="shared" si="32"/>
        <v>30</v>
      </c>
    </row>
    <row r="863" spans="1:10" ht="23.25" customHeight="1">
      <c r="A863">
        <f>Table4[[#This Row],[Column1]]</f>
        <v>0</v>
      </c>
      <c r="B863">
        <f>Table4[[#This Row],[Column2]]</f>
        <v>0</v>
      </c>
      <c r="H863" s="9">
        <f>Table13[[#This Row],[dicharge_date]]</f>
        <v>0</v>
      </c>
      <c r="I863" s="13">
        <f>Table6[[#This Row],[discharge_date]]-Table6[[#This Row],[surgery_date]]</f>
        <v>0</v>
      </c>
      <c r="J863" s="9">
        <f t="shared" si="32"/>
        <v>30</v>
      </c>
    </row>
    <row r="864" spans="1:10" ht="23.25" customHeight="1">
      <c r="A864">
        <f>Table4[[#This Row],[Column1]]</f>
        <v>0</v>
      </c>
      <c r="B864">
        <f>Table4[[#This Row],[Column2]]</f>
        <v>0</v>
      </c>
      <c r="H864" s="9">
        <f>Table13[[#This Row],[dicharge_date]]</f>
        <v>0</v>
      </c>
      <c r="I864" s="13">
        <f>Table6[[#This Row],[discharge_date]]-Table6[[#This Row],[surgery_date]]</f>
        <v>0</v>
      </c>
      <c r="J864" s="9">
        <f t="shared" si="32"/>
        <v>30</v>
      </c>
    </row>
    <row r="865" spans="1:10" ht="23.25" customHeight="1">
      <c r="A865">
        <f>Table4[[#This Row],[Column1]]</f>
        <v>0</v>
      </c>
      <c r="B865">
        <f>Table4[[#This Row],[Column2]]</f>
        <v>0</v>
      </c>
      <c r="H865" s="9">
        <f>Table13[[#This Row],[dicharge_date]]</f>
        <v>0</v>
      </c>
      <c r="I865" s="13">
        <f>Table6[[#This Row],[discharge_date]]-Table6[[#This Row],[surgery_date]]</f>
        <v>0</v>
      </c>
      <c r="J865" s="9">
        <f t="shared" si="32"/>
        <v>30</v>
      </c>
    </row>
    <row r="866" spans="1:10" ht="23.25" customHeight="1">
      <c r="A866">
        <f>Table4[[#This Row],[Column1]]</f>
        <v>0</v>
      </c>
      <c r="B866">
        <f>Table4[[#This Row],[Column2]]</f>
        <v>0</v>
      </c>
      <c r="H866" s="9">
        <f>Table13[[#This Row],[dicharge_date]]</f>
        <v>0</v>
      </c>
      <c r="I866" s="13">
        <f>Table6[[#This Row],[discharge_date]]-Table6[[#This Row],[surgery_date]]</f>
        <v>0</v>
      </c>
      <c r="J866" s="9">
        <f t="shared" si="32"/>
        <v>30</v>
      </c>
    </row>
    <row r="867" spans="1:10" ht="23.25" customHeight="1">
      <c r="A867">
        <f>Table4[[#This Row],[Column1]]</f>
        <v>0</v>
      </c>
      <c r="B867">
        <f>Table4[[#This Row],[Column2]]</f>
        <v>0</v>
      </c>
      <c r="H867" s="9">
        <f>Table13[[#This Row],[dicharge_date]]</f>
        <v>0</v>
      </c>
      <c r="I867" s="13">
        <f>Table6[[#This Row],[discharge_date]]-Table6[[#This Row],[surgery_date]]</f>
        <v>0</v>
      </c>
      <c r="J867" s="9">
        <f t="shared" si="32"/>
        <v>30</v>
      </c>
    </row>
    <row r="868" spans="1:10" ht="23.25" customHeight="1">
      <c r="A868">
        <f>Table4[[#This Row],[Column1]]</f>
        <v>0</v>
      </c>
      <c r="B868">
        <f>Table4[[#This Row],[Column2]]</f>
        <v>0</v>
      </c>
      <c r="H868" s="9">
        <f>Table13[[#This Row],[dicharge_date]]</f>
        <v>0</v>
      </c>
      <c r="I868" s="13">
        <f>Table6[[#This Row],[discharge_date]]-Table6[[#This Row],[surgery_date]]</f>
        <v>0</v>
      </c>
      <c r="J868" s="9">
        <f t="shared" si="32"/>
        <v>30</v>
      </c>
    </row>
    <row r="869" spans="1:10" ht="23.25" customHeight="1">
      <c r="A869">
        <f>Table4[[#This Row],[Column1]]</f>
        <v>0</v>
      </c>
      <c r="B869">
        <f>Table4[[#This Row],[Column2]]</f>
        <v>0</v>
      </c>
      <c r="H869" s="9">
        <f>Table13[[#This Row],[dicharge_date]]</f>
        <v>0</v>
      </c>
      <c r="I869" s="13">
        <f>Table6[[#This Row],[discharge_date]]-Table6[[#This Row],[surgery_date]]</f>
        <v>0</v>
      </c>
      <c r="J869" s="9">
        <f t="shared" si="32"/>
        <v>30</v>
      </c>
    </row>
    <row r="870" spans="1:10" ht="23.25" customHeight="1">
      <c r="A870">
        <f>Table4[[#This Row],[Column1]]</f>
        <v>0</v>
      </c>
      <c r="B870">
        <f>Table4[[#This Row],[Column2]]</f>
        <v>0</v>
      </c>
      <c r="H870" s="9">
        <f>Table13[[#This Row],[dicharge_date]]</f>
        <v>0</v>
      </c>
      <c r="I870" s="13">
        <f>Table6[[#This Row],[discharge_date]]-Table6[[#This Row],[surgery_date]]</f>
        <v>0</v>
      </c>
      <c r="J870" s="9">
        <f t="shared" si="32"/>
        <v>30</v>
      </c>
    </row>
    <row r="871" spans="1:10" ht="23.25" customHeight="1">
      <c r="A871">
        <f>Table4[[#This Row],[Column1]]</f>
        <v>0</v>
      </c>
      <c r="B871">
        <f>Table4[[#This Row],[Column2]]</f>
        <v>0</v>
      </c>
      <c r="H871" s="9">
        <f>Table13[[#This Row],[dicharge_date]]</f>
        <v>0</v>
      </c>
      <c r="I871" s="13">
        <f>Table6[[#This Row],[discharge_date]]-Table6[[#This Row],[surgery_date]]</f>
        <v>0</v>
      </c>
      <c r="J871" s="9">
        <f t="shared" si="32"/>
        <v>30</v>
      </c>
    </row>
    <row r="872" spans="1:10" ht="23.25" customHeight="1">
      <c r="A872">
        <f>Table4[[#This Row],[Column1]]</f>
        <v>0</v>
      </c>
      <c r="B872">
        <f>Table4[[#This Row],[Column2]]</f>
        <v>0</v>
      </c>
      <c r="H872" s="9">
        <f>Table13[[#This Row],[dicharge_date]]</f>
        <v>0</v>
      </c>
      <c r="I872" s="13">
        <f>Table6[[#This Row],[discharge_date]]-Table6[[#This Row],[surgery_date]]</f>
        <v>0</v>
      </c>
      <c r="J872" s="9">
        <f t="shared" si="32"/>
        <v>30</v>
      </c>
    </row>
    <row r="873" spans="1:10" ht="23.25" customHeight="1">
      <c r="A873">
        <f>Table4[[#This Row],[Column1]]</f>
        <v>0</v>
      </c>
      <c r="B873">
        <f>Table4[[#This Row],[Column2]]</f>
        <v>0</v>
      </c>
      <c r="H873" s="9">
        <f>Table13[[#This Row],[dicharge_date]]</f>
        <v>0</v>
      </c>
      <c r="I873" s="13">
        <f>Table6[[#This Row],[discharge_date]]-Table6[[#This Row],[surgery_date]]</f>
        <v>0</v>
      </c>
      <c r="J873" s="9">
        <f t="shared" si="32"/>
        <v>30</v>
      </c>
    </row>
    <row r="874" spans="1:10" ht="23.25" customHeight="1">
      <c r="A874">
        <f>Table4[[#This Row],[Column1]]</f>
        <v>0</v>
      </c>
      <c r="B874">
        <f>Table4[[#This Row],[Column2]]</f>
        <v>0</v>
      </c>
      <c r="H874" s="9">
        <f>Table13[[#This Row],[dicharge_date]]</f>
        <v>0</v>
      </c>
      <c r="I874" s="13">
        <f>Table6[[#This Row],[discharge_date]]-Table6[[#This Row],[surgery_date]]</f>
        <v>0</v>
      </c>
      <c r="J874" s="9">
        <f t="shared" si="32"/>
        <v>30</v>
      </c>
    </row>
    <row r="875" spans="1:10" ht="23.25" customHeight="1">
      <c r="A875">
        <f>Table4[[#This Row],[Column1]]</f>
        <v>0</v>
      </c>
      <c r="B875">
        <f>Table4[[#This Row],[Column2]]</f>
        <v>0</v>
      </c>
      <c r="H875" s="9">
        <f>Table13[[#This Row],[dicharge_date]]</f>
        <v>0</v>
      </c>
      <c r="I875" s="13">
        <f>Table6[[#This Row],[discharge_date]]-Table6[[#This Row],[surgery_date]]</f>
        <v>0</v>
      </c>
      <c r="J875" s="9">
        <f t="shared" si="32"/>
        <v>30</v>
      </c>
    </row>
    <row r="876" spans="1:10" ht="23.25" customHeight="1">
      <c r="A876">
        <f>Table4[[#This Row],[Column1]]</f>
        <v>0</v>
      </c>
      <c r="B876">
        <f>Table4[[#This Row],[Column2]]</f>
        <v>0</v>
      </c>
      <c r="H876" s="9">
        <f>Table13[[#This Row],[dicharge_date]]</f>
        <v>0</v>
      </c>
      <c r="I876" s="13">
        <f>Table6[[#This Row],[discharge_date]]-Table6[[#This Row],[surgery_date]]</f>
        <v>0</v>
      </c>
      <c r="J876" s="9">
        <f t="shared" si="32"/>
        <v>30</v>
      </c>
    </row>
    <row r="877" spans="1:10" ht="23.25" customHeight="1">
      <c r="A877">
        <f>Table4[[#This Row],[Column1]]</f>
        <v>0</v>
      </c>
      <c r="B877">
        <f>Table4[[#This Row],[Column2]]</f>
        <v>0</v>
      </c>
      <c r="H877" s="9">
        <f>Table13[[#This Row],[dicharge_date]]</f>
        <v>0</v>
      </c>
      <c r="I877" s="13">
        <f>Table6[[#This Row],[discharge_date]]-Table6[[#This Row],[surgery_date]]</f>
        <v>0</v>
      </c>
      <c r="J877" s="9">
        <f t="shared" si="32"/>
        <v>30</v>
      </c>
    </row>
    <row r="878" spans="1:10" ht="23.25" customHeight="1">
      <c r="A878">
        <f>Table4[[#This Row],[Column1]]</f>
        <v>0</v>
      </c>
      <c r="B878">
        <f>Table4[[#This Row],[Column2]]</f>
        <v>0</v>
      </c>
      <c r="H878" s="9">
        <f>Table13[[#This Row],[dicharge_date]]</f>
        <v>0</v>
      </c>
      <c r="I878" s="13">
        <f>Table6[[#This Row],[discharge_date]]-Table6[[#This Row],[surgery_date]]</f>
        <v>0</v>
      </c>
      <c r="J878" s="9">
        <f t="shared" si="32"/>
        <v>30</v>
      </c>
    </row>
    <row r="879" spans="1:10" ht="23.25" customHeight="1">
      <c r="A879">
        <f>Table4[[#This Row],[Column1]]</f>
        <v>0</v>
      </c>
      <c r="B879">
        <f>Table4[[#This Row],[Column2]]</f>
        <v>0</v>
      </c>
      <c r="H879" s="9">
        <f>Table13[[#This Row],[dicharge_date]]</f>
        <v>0</v>
      </c>
      <c r="I879" s="13">
        <f>Table6[[#This Row],[discharge_date]]-Table6[[#This Row],[surgery_date]]</f>
        <v>0</v>
      </c>
      <c r="J879" s="9">
        <f t="shared" si="32"/>
        <v>30</v>
      </c>
    </row>
    <row r="880" spans="1:10" ht="23.25" customHeight="1">
      <c r="A880">
        <f>Table4[[#This Row],[Column1]]</f>
        <v>0</v>
      </c>
      <c r="B880">
        <f>Table4[[#This Row],[Column2]]</f>
        <v>0</v>
      </c>
      <c r="H880" s="9">
        <f>Table13[[#This Row],[dicharge_date]]</f>
        <v>0</v>
      </c>
      <c r="I880" s="13">
        <f>Table6[[#This Row],[discharge_date]]-Table6[[#This Row],[surgery_date]]</f>
        <v>0</v>
      </c>
      <c r="J880" s="9">
        <f t="shared" si="32"/>
        <v>30</v>
      </c>
    </row>
    <row r="881" spans="1:10" ht="23.25" customHeight="1">
      <c r="A881">
        <f>Table4[[#This Row],[Column1]]</f>
        <v>0</v>
      </c>
      <c r="B881">
        <f>Table4[[#This Row],[Column2]]</f>
        <v>0</v>
      </c>
      <c r="H881" s="9">
        <f>Table13[[#This Row],[dicharge_date]]</f>
        <v>0</v>
      </c>
      <c r="I881" s="13">
        <f>Table6[[#This Row],[discharge_date]]-Table6[[#This Row],[surgery_date]]</f>
        <v>0</v>
      </c>
      <c r="J881" s="9">
        <f t="shared" si="32"/>
        <v>30</v>
      </c>
    </row>
    <row r="882" spans="1:10" ht="23.25" customHeight="1">
      <c r="A882">
        <f>Table4[[#This Row],[Column1]]</f>
        <v>0</v>
      </c>
      <c r="B882">
        <f>Table4[[#This Row],[Column2]]</f>
        <v>0</v>
      </c>
      <c r="H882" s="9">
        <f>Table13[[#This Row],[dicharge_date]]</f>
        <v>0</v>
      </c>
      <c r="I882" s="13">
        <f>Table6[[#This Row],[discharge_date]]-Table6[[#This Row],[surgery_date]]</f>
        <v>0</v>
      </c>
      <c r="J882" s="9">
        <f t="shared" si="32"/>
        <v>30</v>
      </c>
    </row>
    <row r="883" spans="1:10" ht="23.25" customHeight="1">
      <c r="A883">
        <f>Table4[[#This Row],[Column1]]</f>
        <v>0</v>
      </c>
      <c r="B883">
        <f>Table4[[#This Row],[Column2]]</f>
        <v>0</v>
      </c>
      <c r="H883" s="9">
        <f>Table13[[#This Row],[dicharge_date]]</f>
        <v>0</v>
      </c>
      <c r="I883" s="13">
        <f>Table6[[#This Row],[discharge_date]]-Table6[[#This Row],[surgery_date]]</f>
        <v>0</v>
      </c>
      <c r="J883" s="9">
        <f t="shared" si="32"/>
        <v>30</v>
      </c>
    </row>
    <row r="884" spans="1:10" ht="23.25" customHeight="1">
      <c r="A884">
        <f>Table4[[#This Row],[Column1]]</f>
        <v>0</v>
      </c>
      <c r="B884">
        <f>Table4[[#This Row],[Column2]]</f>
        <v>0</v>
      </c>
      <c r="H884" s="9">
        <f>Table13[[#This Row],[dicharge_date]]</f>
        <v>0</v>
      </c>
      <c r="I884" s="13">
        <f>Table6[[#This Row],[discharge_date]]-Table6[[#This Row],[surgery_date]]</f>
        <v>0</v>
      </c>
      <c r="J884" s="9">
        <f t="shared" si="32"/>
        <v>30</v>
      </c>
    </row>
    <row r="885" spans="1:10" ht="23.25" customHeight="1">
      <c r="A885">
        <f>Table4[[#This Row],[Column1]]</f>
        <v>0</v>
      </c>
      <c r="B885">
        <f>Table4[[#This Row],[Column2]]</f>
        <v>0</v>
      </c>
      <c r="H885" s="9">
        <f>Table13[[#This Row],[dicharge_date]]</f>
        <v>0</v>
      </c>
      <c r="I885" s="13">
        <f>Table6[[#This Row],[discharge_date]]-Table6[[#This Row],[surgery_date]]</f>
        <v>0</v>
      </c>
      <c r="J885" s="9">
        <f t="shared" si="32"/>
        <v>30</v>
      </c>
    </row>
    <row r="886" spans="1:10" ht="23.25" customHeight="1">
      <c r="A886">
        <f>Table4[[#This Row],[Column1]]</f>
        <v>0</v>
      </c>
      <c r="B886">
        <f>Table4[[#This Row],[Column2]]</f>
        <v>0</v>
      </c>
      <c r="H886" s="9">
        <f>Table13[[#This Row],[dicharge_date]]</f>
        <v>0</v>
      </c>
      <c r="I886" s="13">
        <f>Table6[[#This Row],[discharge_date]]-Table6[[#This Row],[surgery_date]]</f>
        <v>0</v>
      </c>
      <c r="J886" s="9">
        <f t="shared" si="32"/>
        <v>30</v>
      </c>
    </row>
    <row r="887" spans="1:10" ht="23.25" customHeight="1">
      <c r="A887">
        <f>Table4[[#This Row],[Column1]]</f>
        <v>0</v>
      </c>
      <c r="B887">
        <f>Table4[[#This Row],[Column2]]</f>
        <v>0</v>
      </c>
      <c r="H887" s="9">
        <f>Table13[[#This Row],[dicharge_date]]</f>
        <v>0</v>
      </c>
      <c r="I887" s="13">
        <f>Table6[[#This Row],[discharge_date]]-Table6[[#This Row],[surgery_date]]</f>
        <v>0</v>
      </c>
      <c r="J887" s="9">
        <f t="shared" si="32"/>
        <v>30</v>
      </c>
    </row>
    <row r="888" spans="1:10" ht="23.25" customHeight="1">
      <c r="A888">
        <f>Table4[[#This Row],[Column1]]</f>
        <v>0</v>
      </c>
      <c r="B888">
        <f>Table4[[#This Row],[Column2]]</f>
        <v>0</v>
      </c>
      <c r="H888" s="9">
        <f>Table13[[#This Row],[dicharge_date]]</f>
        <v>0</v>
      </c>
      <c r="I888" s="13">
        <f>Table6[[#This Row],[discharge_date]]-Table6[[#This Row],[surgery_date]]</f>
        <v>0</v>
      </c>
      <c r="J888" s="9">
        <f t="shared" si="32"/>
        <v>30</v>
      </c>
    </row>
    <row r="889" spans="1:10" ht="23.25" customHeight="1">
      <c r="A889">
        <f>Table4[[#This Row],[Column1]]</f>
        <v>0</v>
      </c>
      <c r="B889">
        <f>Table4[[#This Row],[Column2]]</f>
        <v>0</v>
      </c>
      <c r="H889" s="9">
        <f>Table13[[#This Row],[dicharge_date]]</f>
        <v>0</v>
      </c>
      <c r="I889" s="13">
        <f>Table6[[#This Row],[discharge_date]]-Table6[[#This Row],[surgery_date]]</f>
        <v>0</v>
      </c>
      <c r="J889" s="9">
        <f t="shared" si="32"/>
        <v>30</v>
      </c>
    </row>
    <row r="890" spans="1:10" ht="23.25" customHeight="1">
      <c r="A890">
        <f>Table4[[#This Row],[Column1]]</f>
        <v>0</v>
      </c>
      <c r="B890">
        <f>Table4[[#This Row],[Column2]]</f>
        <v>0</v>
      </c>
      <c r="H890" s="9">
        <f>Table13[[#This Row],[dicharge_date]]</f>
        <v>0</v>
      </c>
      <c r="I890" s="13">
        <f>Table6[[#This Row],[discharge_date]]-Table6[[#This Row],[surgery_date]]</f>
        <v>0</v>
      </c>
      <c r="J890" s="9">
        <f t="shared" si="32"/>
        <v>30</v>
      </c>
    </row>
    <row r="891" spans="1:10" ht="23.25" customHeight="1">
      <c r="A891">
        <f>Table4[[#This Row],[Column1]]</f>
        <v>0</v>
      </c>
      <c r="B891">
        <f>Table4[[#This Row],[Column2]]</f>
        <v>0</v>
      </c>
      <c r="H891" s="9">
        <f>Table13[[#This Row],[dicharge_date]]</f>
        <v>0</v>
      </c>
      <c r="I891" s="13">
        <f>Table6[[#This Row],[discharge_date]]-Table6[[#This Row],[surgery_date]]</f>
        <v>0</v>
      </c>
      <c r="J891" s="9">
        <f t="shared" si="32"/>
        <v>30</v>
      </c>
    </row>
    <row r="892" spans="1:10" ht="23.25" customHeight="1">
      <c r="A892">
        <f>Table4[[#This Row],[Column1]]</f>
        <v>0</v>
      </c>
      <c r="B892">
        <f>Table4[[#This Row],[Column2]]</f>
        <v>0</v>
      </c>
      <c r="H892" s="9">
        <f>Table13[[#This Row],[dicharge_date]]</f>
        <v>0</v>
      </c>
      <c r="I892" s="13">
        <f>Table6[[#This Row],[discharge_date]]-Table6[[#This Row],[surgery_date]]</f>
        <v>0</v>
      </c>
      <c r="J892" s="9">
        <f t="shared" si="32"/>
        <v>30</v>
      </c>
    </row>
    <row r="893" spans="1:10" ht="23.25" customHeight="1">
      <c r="A893">
        <f>Table4[[#This Row],[Column1]]</f>
        <v>0</v>
      </c>
      <c r="B893">
        <f>Table4[[#This Row],[Column2]]</f>
        <v>0</v>
      </c>
      <c r="H893" s="9">
        <f>Table13[[#This Row],[dicharge_date]]</f>
        <v>0</v>
      </c>
      <c r="I893" s="13">
        <f>Table6[[#This Row],[discharge_date]]-Table6[[#This Row],[surgery_date]]</f>
        <v>0</v>
      </c>
      <c r="J893" s="9">
        <f t="shared" si="32"/>
        <v>30</v>
      </c>
    </row>
    <row r="894" spans="1:10" ht="23.25" customHeight="1">
      <c r="A894">
        <f>Table4[[#This Row],[Column1]]</f>
        <v>0</v>
      </c>
      <c r="B894">
        <f>Table4[[#This Row],[Column2]]</f>
        <v>0</v>
      </c>
      <c r="H894" s="9">
        <f>Table13[[#This Row],[dicharge_date]]</f>
        <v>0</v>
      </c>
      <c r="I894" s="13">
        <f>Table6[[#This Row],[discharge_date]]-Table6[[#This Row],[surgery_date]]</f>
        <v>0</v>
      </c>
      <c r="J894" s="9">
        <f t="shared" si="32"/>
        <v>30</v>
      </c>
    </row>
    <row r="895" spans="1:10" ht="23.25" customHeight="1">
      <c r="A895">
        <f>Table4[[#This Row],[Column1]]</f>
        <v>0</v>
      </c>
      <c r="B895">
        <f>Table4[[#This Row],[Column2]]</f>
        <v>0</v>
      </c>
      <c r="H895" s="9">
        <f>Table13[[#This Row],[dicharge_date]]</f>
        <v>0</v>
      </c>
      <c r="I895" s="13">
        <f>Table6[[#This Row],[discharge_date]]-Table6[[#This Row],[surgery_date]]</f>
        <v>0</v>
      </c>
      <c r="J895" s="9">
        <f t="shared" si="32"/>
        <v>30</v>
      </c>
    </row>
    <row r="896" spans="1:10" ht="23.25" customHeight="1">
      <c r="A896">
        <f>Table4[[#This Row],[Column1]]</f>
        <v>0</v>
      </c>
      <c r="B896">
        <f>Table4[[#This Row],[Column2]]</f>
        <v>0</v>
      </c>
      <c r="H896" s="9">
        <f>Table13[[#This Row],[dicharge_date]]</f>
        <v>0</v>
      </c>
      <c r="I896" s="13">
        <f>Table6[[#This Row],[discharge_date]]-Table6[[#This Row],[surgery_date]]</f>
        <v>0</v>
      </c>
      <c r="J896" s="9">
        <f t="shared" si="32"/>
        <v>30</v>
      </c>
    </row>
    <row r="897" spans="1:10" ht="23.25" customHeight="1">
      <c r="A897">
        <f>Table4[[#This Row],[Column1]]</f>
        <v>0</v>
      </c>
      <c r="B897">
        <f>Table4[[#This Row],[Column2]]</f>
        <v>0</v>
      </c>
      <c r="H897" s="9">
        <f>Table13[[#This Row],[dicharge_date]]</f>
        <v>0</v>
      </c>
      <c r="I897" s="13">
        <f>Table6[[#This Row],[discharge_date]]-Table6[[#This Row],[surgery_date]]</f>
        <v>0</v>
      </c>
      <c r="J897" s="9">
        <f t="shared" si="32"/>
        <v>30</v>
      </c>
    </row>
    <row r="898" spans="1:10" ht="23.25" customHeight="1">
      <c r="A898">
        <f>Table4[[#This Row],[Column1]]</f>
        <v>0</v>
      </c>
      <c r="B898">
        <f>Table4[[#This Row],[Column2]]</f>
        <v>0</v>
      </c>
      <c r="H898" s="9">
        <f>Table13[[#This Row],[dicharge_date]]</f>
        <v>0</v>
      </c>
      <c r="I898" s="13">
        <f>Table6[[#This Row],[discharge_date]]-Table6[[#This Row],[surgery_date]]</f>
        <v>0</v>
      </c>
      <c r="J898" s="9">
        <f t="shared" ref="J898:J961" si="33">IF( H898&lt;&gt;"", H898+30,"")</f>
        <v>30</v>
      </c>
    </row>
    <row r="899" spans="1:10" ht="23.25" customHeight="1">
      <c r="A899">
        <f>Table4[[#This Row],[Column1]]</f>
        <v>0</v>
      </c>
      <c r="B899">
        <f>Table4[[#This Row],[Column2]]</f>
        <v>0</v>
      </c>
      <c r="H899" s="9">
        <f>Table13[[#This Row],[dicharge_date]]</f>
        <v>0</v>
      </c>
      <c r="I899" s="13">
        <f>Table6[[#This Row],[discharge_date]]-Table6[[#This Row],[surgery_date]]</f>
        <v>0</v>
      </c>
      <c r="J899" s="9">
        <f t="shared" si="33"/>
        <v>30</v>
      </c>
    </row>
    <row r="900" spans="1:10" ht="23.25" customHeight="1">
      <c r="A900">
        <f>Table4[[#This Row],[Column1]]</f>
        <v>0</v>
      </c>
      <c r="B900">
        <f>Table4[[#This Row],[Column2]]</f>
        <v>0</v>
      </c>
      <c r="H900" s="9">
        <f>Table13[[#This Row],[dicharge_date]]</f>
        <v>0</v>
      </c>
      <c r="I900" s="13">
        <f>Table6[[#This Row],[discharge_date]]-Table6[[#This Row],[surgery_date]]</f>
        <v>0</v>
      </c>
      <c r="J900" s="9">
        <f t="shared" si="33"/>
        <v>30</v>
      </c>
    </row>
    <row r="901" spans="1:10" ht="23.25" customHeight="1">
      <c r="A901">
        <f>Table4[[#This Row],[Column1]]</f>
        <v>0</v>
      </c>
      <c r="B901">
        <f>Table4[[#This Row],[Column2]]</f>
        <v>0</v>
      </c>
      <c r="H901" s="9">
        <f>Table13[[#This Row],[dicharge_date]]</f>
        <v>0</v>
      </c>
      <c r="I901" s="13">
        <f>Table6[[#This Row],[discharge_date]]-Table6[[#This Row],[surgery_date]]</f>
        <v>0</v>
      </c>
      <c r="J901" s="9">
        <f t="shared" si="33"/>
        <v>30</v>
      </c>
    </row>
    <row r="902" spans="1:10" ht="23.25" customHeight="1">
      <c r="A902">
        <f>Table4[[#This Row],[Column1]]</f>
        <v>0</v>
      </c>
      <c r="B902">
        <f>Table4[[#This Row],[Column2]]</f>
        <v>0</v>
      </c>
      <c r="H902" s="9">
        <f>Table13[[#This Row],[dicharge_date]]</f>
        <v>0</v>
      </c>
      <c r="I902" s="13">
        <f>Table6[[#This Row],[discharge_date]]-Table6[[#This Row],[surgery_date]]</f>
        <v>0</v>
      </c>
      <c r="J902" s="9">
        <f t="shared" si="33"/>
        <v>30</v>
      </c>
    </row>
    <row r="903" spans="1:10" ht="23.25" customHeight="1">
      <c r="A903">
        <f>Table4[[#This Row],[Column1]]</f>
        <v>0</v>
      </c>
      <c r="B903">
        <f>Table4[[#This Row],[Column2]]</f>
        <v>0</v>
      </c>
      <c r="H903" s="9">
        <f>Table13[[#This Row],[dicharge_date]]</f>
        <v>0</v>
      </c>
      <c r="I903" s="13">
        <f>Table6[[#This Row],[discharge_date]]-Table6[[#This Row],[surgery_date]]</f>
        <v>0</v>
      </c>
      <c r="J903" s="9">
        <f t="shared" si="33"/>
        <v>30</v>
      </c>
    </row>
    <row r="904" spans="1:10" ht="23.25" customHeight="1">
      <c r="A904">
        <f>Table4[[#This Row],[Column1]]</f>
        <v>0</v>
      </c>
      <c r="B904">
        <f>Table4[[#This Row],[Column2]]</f>
        <v>0</v>
      </c>
      <c r="H904" s="9">
        <f>Table13[[#This Row],[dicharge_date]]</f>
        <v>0</v>
      </c>
      <c r="I904" s="13">
        <f>Table6[[#This Row],[discharge_date]]-Table6[[#This Row],[surgery_date]]</f>
        <v>0</v>
      </c>
      <c r="J904" s="9">
        <f t="shared" si="33"/>
        <v>30</v>
      </c>
    </row>
    <row r="905" spans="1:10" ht="23.25" customHeight="1">
      <c r="A905">
        <f>Table4[[#This Row],[Column1]]</f>
        <v>0</v>
      </c>
      <c r="B905">
        <f>Table4[[#This Row],[Column2]]</f>
        <v>0</v>
      </c>
      <c r="H905" s="9">
        <f>Table13[[#This Row],[dicharge_date]]</f>
        <v>0</v>
      </c>
      <c r="I905" s="13">
        <f>Table6[[#This Row],[discharge_date]]-Table6[[#This Row],[surgery_date]]</f>
        <v>0</v>
      </c>
      <c r="J905" s="9">
        <f t="shared" si="33"/>
        <v>30</v>
      </c>
    </row>
    <row r="906" spans="1:10" ht="23.25" customHeight="1">
      <c r="A906">
        <f>Table4[[#This Row],[Column1]]</f>
        <v>0</v>
      </c>
      <c r="B906">
        <f>Table4[[#This Row],[Column2]]</f>
        <v>0</v>
      </c>
      <c r="H906" s="9">
        <f>Table13[[#This Row],[dicharge_date]]</f>
        <v>0</v>
      </c>
      <c r="I906" s="13">
        <f>Table6[[#This Row],[discharge_date]]-Table6[[#This Row],[surgery_date]]</f>
        <v>0</v>
      </c>
      <c r="J906" s="9">
        <f t="shared" si="33"/>
        <v>30</v>
      </c>
    </row>
    <row r="907" spans="1:10" ht="23.25" customHeight="1">
      <c r="A907">
        <f>Table4[[#This Row],[Column1]]</f>
        <v>0</v>
      </c>
      <c r="B907">
        <f>Table4[[#This Row],[Column2]]</f>
        <v>0</v>
      </c>
      <c r="H907" s="9">
        <f>Table13[[#This Row],[dicharge_date]]</f>
        <v>0</v>
      </c>
      <c r="I907" s="13">
        <f>Table6[[#This Row],[discharge_date]]-Table6[[#This Row],[surgery_date]]</f>
        <v>0</v>
      </c>
      <c r="J907" s="9">
        <f t="shared" si="33"/>
        <v>30</v>
      </c>
    </row>
    <row r="908" spans="1:10" ht="23.25" customHeight="1">
      <c r="A908">
        <f>Table4[[#This Row],[Column1]]</f>
        <v>0</v>
      </c>
      <c r="B908">
        <f>Table4[[#This Row],[Column2]]</f>
        <v>0</v>
      </c>
      <c r="H908" s="9">
        <f>Table13[[#This Row],[dicharge_date]]</f>
        <v>0</v>
      </c>
      <c r="I908" s="13">
        <f>Table6[[#This Row],[discharge_date]]-Table6[[#This Row],[surgery_date]]</f>
        <v>0</v>
      </c>
      <c r="J908" s="9">
        <f t="shared" si="33"/>
        <v>30</v>
      </c>
    </row>
    <row r="909" spans="1:10" ht="23.25" customHeight="1">
      <c r="A909">
        <f>Table4[[#This Row],[Column1]]</f>
        <v>0</v>
      </c>
      <c r="B909">
        <f>Table4[[#This Row],[Column2]]</f>
        <v>0</v>
      </c>
      <c r="H909" s="9">
        <f>Table13[[#This Row],[dicharge_date]]</f>
        <v>0</v>
      </c>
      <c r="I909" s="13">
        <f>Table6[[#This Row],[discharge_date]]-Table6[[#This Row],[surgery_date]]</f>
        <v>0</v>
      </c>
      <c r="J909" s="9">
        <f t="shared" si="33"/>
        <v>30</v>
      </c>
    </row>
    <row r="910" spans="1:10" ht="23.25" customHeight="1">
      <c r="A910">
        <f>Table4[[#This Row],[Column1]]</f>
        <v>0</v>
      </c>
      <c r="B910">
        <f>Table4[[#This Row],[Column2]]</f>
        <v>0</v>
      </c>
      <c r="H910" s="9">
        <f>Table13[[#This Row],[dicharge_date]]</f>
        <v>0</v>
      </c>
      <c r="I910" s="13">
        <f>Table6[[#This Row],[discharge_date]]-Table6[[#This Row],[surgery_date]]</f>
        <v>0</v>
      </c>
      <c r="J910" s="9">
        <f t="shared" si="33"/>
        <v>30</v>
      </c>
    </row>
    <row r="911" spans="1:10" ht="23.25" customHeight="1">
      <c r="A911">
        <f>Table4[[#This Row],[Column1]]</f>
        <v>0</v>
      </c>
      <c r="B911">
        <f>Table4[[#This Row],[Column2]]</f>
        <v>0</v>
      </c>
      <c r="H911" s="9">
        <f>Table13[[#This Row],[dicharge_date]]</f>
        <v>0</v>
      </c>
      <c r="I911" s="13">
        <f>Table6[[#This Row],[discharge_date]]-Table6[[#This Row],[surgery_date]]</f>
        <v>0</v>
      </c>
      <c r="J911" s="9">
        <f t="shared" si="33"/>
        <v>30</v>
      </c>
    </row>
    <row r="912" spans="1:10" ht="23.25" customHeight="1">
      <c r="A912">
        <f>Table4[[#This Row],[Column1]]</f>
        <v>0</v>
      </c>
      <c r="B912">
        <f>Table4[[#This Row],[Column2]]</f>
        <v>0</v>
      </c>
      <c r="H912" s="9">
        <f>Table13[[#This Row],[dicharge_date]]</f>
        <v>0</v>
      </c>
      <c r="I912" s="13">
        <f>Table6[[#This Row],[discharge_date]]-Table6[[#This Row],[surgery_date]]</f>
        <v>0</v>
      </c>
      <c r="J912" s="9">
        <f t="shared" si="33"/>
        <v>30</v>
      </c>
    </row>
    <row r="913" spans="1:10" ht="23.25" customHeight="1">
      <c r="A913">
        <f>Table4[[#This Row],[Column1]]</f>
        <v>0</v>
      </c>
      <c r="B913">
        <f>Table4[[#This Row],[Column2]]</f>
        <v>0</v>
      </c>
      <c r="H913" s="9">
        <f>Table13[[#This Row],[dicharge_date]]</f>
        <v>0</v>
      </c>
      <c r="I913" s="13">
        <f>Table6[[#This Row],[discharge_date]]-Table6[[#This Row],[surgery_date]]</f>
        <v>0</v>
      </c>
      <c r="J913" s="9">
        <f t="shared" si="33"/>
        <v>30</v>
      </c>
    </row>
    <row r="914" spans="1:10" ht="23.25" customHeight="1">
      <c r="A914">
        <f>Table4[[#This Row],[Column1]]</f>
        <v>0</v>
      </c>
      <c r="B914">
        <f>Table4[[#This Row],[Column2]]</f>
        <v>0</v>
      </c>
      <c r="H914" s="9">
        <f>Table13[[#This Row],[dicharge_date]]</f>
        <v>0</v>
      </c>
      <c r="I914" s="13">
        <f>Table6[[#This Row],[discharge_date]]-Table6[[#This Row],[surgery_date]]</f>
        <v>0</v>
      </c>
      <c r="J914" s="9">
        <f t="shared" si="33"/>
        <v>30</v>
      </c>
    </row>
    <row r="915" spans="1:10" ht="23.25" customHeight="1">
      <c r="A915">
        <f>Table4[[#This Row],[Column1]]</f>
        <v>0</v>
      </c>
      <c r="B915">
        <f>Table4[[#This Row],[Column2]]</f>
        <v>0</v>
      </c>
      <c r="H915" s="9">
        <f>Table13[[#This Row],[dicharge_date]]</f>
        <v>0</v>
      </c>
      <c r="I915" s="13">
        <f>Table6[[#This Row],[discharge_date]]-Table6[[#This Row],[surgery_date]]</f>
        <v>0</v>
      </c>
      <c r="J915" s="9">
        <f t="shared" si="33"/>
        <v>30</v>
      </c>
    </row>
    <row r="916" spans="1:10" ht="23.25" customHeight="1">
      <c r="A916">
        <f>Table4[[#This Row],[Column1]]</f>
        <v>0</v>
      </c>
      <c r="B916">
        <f>Table4[[#This Row],[Column2]]</f>
        <v>0</v>
      </c>
      <c r="H916" s="9">
        <f>Table13[[#This Row],[dicharge_date]]</f>
        <v>0</v>
      </c>
      <c r="I916" s="13">
        <f>Table6[[#This Row],[discharge_date]]-Table6[[#This Row],[surgery_date]]</f>
        <v>0</v>
      </c>
      <c r="J916" s="9">
        <f t="shared" si="33"/>
        <v>30</v>
      </c>
    </row>
    <row r="917" spans="1:10" ht="23.25" customHeight="1">
      <c r="A917">
        <f>Table4[[#This Row],[Column1]]</f>
        <v>0</v>
      </c>
      <c r="B917">
        <f>Table4[[#This Row],[Column2]]</f>
        <v>0</v>
      </c>
      <c r="H917" s="9">
        <f>Table13[[#This Row],[dicharge_date]]</f>
        <v>0</v>
      </c>
      <c r="I917" s="13">
        <f>Table6[[#This Row],[discharge_date]]-Table6[[#This Row],[surgery_date]]</f>
        <v>0</v>
      </c>
      <c r="J917" s="9">
        <f t="shared" si="33"/>
        <v>30</v>
      </c>
    </row>
    <row r="918" spans="1:10" ht="23.25" customHeight="1">
      <c r="A918">
        <f>Table4[[#This Row],[Column1]]</f>
        <v>0</v>
      </c>
      <c r="B918">
        <f>Table4[[#This Row],[Column2]]</f>
        <v>0</v>
      </c>
      <c r="H918" s="9">
        <f>Table13[[#This Row],[dicharge_date]]</f>
        <v>0</v>
      </c>
      <c r="I918" s="13">
        <f>Table6[[#This Row],[discharge_date]]-Table6[[#This Row],[surgery_date]]</f>
        <v>0</v>
      </c>
      <c r="J918" s="9">
        <f t="shared" si="33"/>
        <v>30</v>
      </c>
    </row>
    <row r="919" spans="1:10" ht="23.25" customHeight="1">
      <c r="A919">
        <f>Table4[[#This Row],[Column1]]</f>
        <v>0</v>
      </c>
      <c r="B919">
        <f>Table4[[#This Row],[Column2]]</f>
        <v>0</v>
      </c>
      <c r="H919" s="9">
        <f>Table13[[#This Row],[dicharge_date]]</f>
        <v>0</v>
      </c>
      <c r="I919" s="13">
        <f>Table6[[#This Row],[discharge_date]]-Table6[[#This Row],[surgery_date]]</f>
        <v>0</v>
      </c>
      <c r="J919" s="9">
        <f t="shared" si="33"/>
        <v>30</v>
      </c>
    </row>
    <row r="920" spans="1:10" ht="23.25" customHeight="1">
      <c r="A920">
        <f>Table4[[#This Row],[Column1]]</f>
        <v>0</v>
      </c>
      <c r="B920">
        <f>Table4[[#This Row],[Column2]]</f>
        <v>0</v>
      </c>
      <c r="H920" s="9">
        <f>Table13[[#This Row],[dicharge_date]]</f>
        <v>0</v>
      </c>
      <c r="I920" s="13">
        <f>Table6[[#This Row],[discharge_date]]-Table6[[#This Row],[surgery_date]]</f>
        <v>0</v>
      </c>
      <c r="J920" s="9">
        <f t="shared" si="33"/>
        <v>30</v>
      </c>
    </row>
    <row r="921" spans="1:10" ht="23.25" customHeight="1">
      <c r="A921">
        <f>Table4[[#This Row],[Column1]]</f>
        <v>0</v>
      </c>
      <c r="B921">
        <f>Table4[[#This Row],[Column2]]</f>
        <v>0</v>
      </c>
      <c r="H921" s="9">
        <f>Table13[[#This Row],[dicharge_date]]</f>
        <v>0</v>
      </c>
      <c r="I921" s="13">
        <f>Table6[[#This Row],[discharge_date]]-Table6[[#This Row],[surgery_date]]</f>
        <v>0</v>
      </c>
      <c r="J921" s="9">
        <f t="shared" si="33"/>
        <v>30</v>
      </c>
    </row>
    <row r="922" spans="1:10" ht="23.25" customHeight="1">
      <c r="A922">
        <f>Table4[[#This Row],[Column1]]</f>
        <v>0</v>
      </c>
      <c r="B922">
        <f>Table4[[#This Row],[Column2]]</f>
        <v>0</v>
      </c>
      <c r="H922" s="9">
        <f>Table13[[#This Row],[dicharge_date]]</f>
        <v>0</v>
      </c>
      <c r="I922" s="13">
        <f>Table6[[#This Row],[discharge_date]]-Table6[[#This Row],[surgery_date]]</f>
        <v>0</v>
      </c>
      <c r="J922" s="9">
        <f t="shared" si="33"/>
        <v>30</v>
      </c>
    </row>
    <row r="923" spans="1:10" ht="23.25" customHeight="1">
      <c r="A923">
        <f>Table4[[#This Row],[Column1]]</f>
        <v>0</v>
      </c>
      <c r="B923">
        <f>Table4[[#This Row],[Column2]]</f>
        <v>0</v>
      </c>
      <c r="H923" s="9">
        <f>Table13[[#This Row],[dicharge_date]]</f>
        <v>0</v>
      </c>
      <c r="I923" s="13">
        <f>Table6[[#This Row],[discharge_date]]-Table6[[#This Row],[surgery_date]]</f>
        <v>0</v>
      </c>
      <c r="J923" s="9">
        <f t="shared" si="33"/>
        <v>30</v>
      </c>
    </row>
    <row r="924" spans="1:10" ht="23.25" customHeight="1">
      <c r="A924">
        <f>Table4[[#This Row],[Column1]]</f>
        <v>0</v>
      </c>
      <c r="B924">
        <f>Table4[[#This Row],[Column2]]</f>
        <v>0</v>
      </c>
      <c r="H924" s="9">
        <f>Table13[[#This Row],[dicharge_date]]</f>
        <v>0</v>
      </c>
      <c r="I924" s="13">
        <f>Table6[[#This Row],[discharge_date]]-Table6[[#This Row],[surgery_date]]</f>
        <v>0</v>
      </c>
      <c r="J924" s="9">
        <f t="shared" si="33"/>
        <v>30</v>
      </c>
    </row>
    <row r="925" spans="1:10" ht="23.25" customHeight="1">
      <c r="A925">
        <f>Table4[[#This Row],[Column1]]</f>
        <v>0</v>
      </c>
      <c r="B925">
        <f>Table4[[#This Row],[Column2]]</f>
        <v>0</v>
      </c>
      <c r="H925" s="9">
        <f>Table13[[#This Row],[dicharge_date]]</f>
        <v>0</v>
      </c>
      <c r="I925" s="13">
        <f>Table6[[#This Row],[discharge_date]]-Table6[[#This Row],[surgery_date]]</f>
        <v>0</v>
      </c>
      <c r="J925" s="9">
        <f t="shared" si="33"/>
        <v>30</v>
      </c>
    </row>
    <row r="926" spans="1:10" ht="23.25" customHeight="1">
      <c r="A926">
        <f>Table4[[#This Row],[Column1]]</f>
        <v>0</v>
      </c>
      <c r="B926">
        <f>Table4[[#This Row],[Column2]]</f>
        <v>0</v>
      </c>
      <c r="H926" s="9">
        <f>Table13[[#This Row],[dicharge_date]]</f>
        <v>0</v>
      </c>
      <c r="I926" s="13">
        <f>Table6[[#This Row],[discharge_date]]-Table6[[#This Row],[surgery_date]]</f>
        <v>0</v>
      </c>
      <c r="J926" s="9">
        <f t="shared" si="33"/>
        <v>30</v>
      </c>
    </row>
    <row r="927" spans="1:10" ht="23.25" customHeight="1">
      <c r="A927">
        <f>Table4[[#This Row],[Column1]]</f>
        <v>0</v>
      </c>
      <c r="B927">
        <f>Table4[[#This Row],[Column2]]</f>
        <v>0</v>
      </c>
      <c r="H927" s="9">
        <f>Table13[[#This Row],[dicharge_date]]</f>
        <v>0</v>
      </c>
      <c r="I927" s="13">
        <f>Table6[[#This Row],[discharge_date]]-Table6[[#This Row],[surgery_date]]</f>
        <v>0</v>
      </c>
      <c r="J927" s="9">
        <f t="shared" si="33"/>
        <v>30</v>
      </c>
    </row>
    <row r="928" spans="1:10" ht="23.25" customHeight="1">
      <c r="A928">
        <f>Table4[[#This Row],[Column1]]</f>
        <v>0</v>
      </c>
      <c r="B928">
        <f>Table4[[#This Row],[Column2]]</f>
        <v>0</v>
      </c>
      <c r="H928" s="9">
        <f>Table13[[#This Row],[dicharge_date]]</f>
        <v>0</v>
      </c>
      <c r="I928" s="13">
        <f>Table6[[#This Row],[discharge_date]]-Table6[[#This Row],[surgery_date]]</f>
        <v>0</v>
      </c>
      <c r="J928" s="9">
        <f t="shared" si="33"/>
        <v>30</v>
      </c>
    </row>
    <row r="929" spans="1:10" ht="23.25" customHeight="1">
      <c r="A929">
        <f>Table4[[#This Row],[Column1]]</f>
        <v>0</v>
      </c>
      <c r="B929">
        <f>Table4[[#This Row],[Column2]]</f>
        <v>0</v>
      </c>
      <c r="H929" s="9">
        <f>Table13[[#This Row],[dicharge_date]]</f>
        <v>0</v>
      </c>
      <c r="I929" s="13">
        <f>Table6[[#This Row],[discharge_date]]-Table6[[#This Row],[surgery_date]]</f>
        <v>0</v>
      </c>
      <c r="J929" s="9">
        <f t="shared" si="33"/>
        <v>30</v>
      </c>
    </row>
    <row r="930" spans="1:10" ht="23.25" customHeight="1">
      <c r="A930">
        <f>Table4[[#This Row],[Column1]]</f>
        <v>0</v>
      </c>
      <c r="B930">
        <f>Table4[[#This Row],[Column2]]</f>
        <v>0</v>
      </c>
      <c r="H930" s="9">
        <f>Table13[[#This Row],[dicharge_date]]</f>
        <v>0</v>
      </c>
      <c r="I930" s="13">
        <f>Table6[[#This Row],[discharge_date]]-Table6[[#This Row],[surgery_date]]</f>
        <v>0</v>
      </c>
      <c r="J930" s="9">
        <f t="shared" si="33"/>
        <v>30</v>
      </c>
    </row>
    <row r="931" spans="1:10" ht="23.25" customHeight="1">
      <c r="A931">
        <f>Table4[[#This Row],[Column1]]</f>
        <v>0</v>
      </c>
      <c r="B931">
        <f>Table4[[#This Row],[Column2]]</f>
        <v>0</v>
      </c>
      <c r="H931" s="9">
        <f>Table13[[#This Row],[dicharge_date]]</f>
        <v>0</v>
      </c>
      <c r="I931" s="13">
        <f>Table6[[#This Row],[discharge_date]]-Table6[[#This Row],[surgery_date]]</f>
        <v>0</v>
      </c>
      <c r="J931" s="9">
        <f t="shared" si="33"/>
        <v>30</v>
      </c>
    </row>
    <row r="932" spans="1:10" ht="23.25" customHeight="1">
      <c r="A932">
        <f>Table4[[#This Row],[Column1]]</f>
        <v>0</v>
      </c>
      <c r="B932">
        <f>Table4[[#This Row],[Column2]]</f>
        <v>0</v>
      </c>
      <c r="H932" s="9">
        <f>Table13[[#This Row],[dicharge_date]]</f>
        <v>0</v>
      </c>
      <c r="I932" s="13">
        <f>Table6[[#This Row],[discharge_date]]-Table6[[#This Row],[surgery_date]]</f>
        <v>0</v>
      </c>
      <c r="J932" s="9">
        <f t="shared" si="33"/>
        <v>30</v>
      </c>
    </row>
    <row r="933" spans="1:10" ht="23.25" customHeight="1">
      <c r="A933">
        <f>Table4[[#This Row],[Column1]]</f>
        <v>0</v>
      </c>
      <c r="B933">
        <f>Table4[[#This Row],[Column2]]</f>
        <v>0</v>
      </c>
      <c r="H933" s="9">
        <f>Table13[[#This Row],[dicharge_date]]</f>
        <v>0</v>
      </c>
      <c r="I933" s="13">
        <f>Table6[[#This Row],[discharge_date]]-Table6[[#This Row],[surgery_date]]</f>
        <v>0</v>
      </c>
      <c r="J933" s="9">
        <f t="shared" si="33"/>
        <v>30</v>
      </c>
    </row>
    <row r="934" spans="1:10" ht="23.25" customHeight="1">
      <c r="A934">
        <f>Table4[[#This Row],[Column1]]</f>
        <v>0</v>
      </c>
      <c r="B934">
        <f>Table4[[#This Row],[Column2]]</f>
        <v>0</v>
      </c>
      <c r="H934" s="9">
        <f>Table13[[#This Row],[dicharge_date]]</f>
        <v>0</v>
      </c>
      <c r="I934" s="13">
        <f>Table6[[#This Row],[discharge_date]]-Table6[[#This Row],[surgery_date]]</f>
        <v>0</v>
      </c>
      <c r="J934" s="9">
        <f t="shared" si="33"/>
        <v>30</v>
      </c>
    </row>
    <row r="935" spans="1:10" ht="23.25" customHeight="1">
      <c r="A935">
        <f>Table4[[#This Row],[Column1]]</f>
        <v>0</v>
      </c>
      <c r="B935">
        <f>Table4[[#This Row],[Column2]]</f>
        <v>0</v>
      </c>
      <c r="H935" s="9">
        <f>Table13[[#This Row],[dicharge_date]]</f>
        <v>0</v>
      </c>
      <c r="I935" s="13">
        <f>Table6[[#This Row],[discharge_date]]-Table6[[#This Row],[surgery_date]]</f>
        <v>0</v>
      </c>
      <c r="J935" s="9">
        <f t="shared" si="33"/>
        <v>30</v>
      </c>
    </row>
    <row r="936" spans="1:10" ht="23.25" customHeight="1">
      <c r="A936">
        <f>Table4[[#This Row],[Column1]]</f>
        <v>0</v>
      </c>
      <c r="B936">
        <f>Table4[[#This Row],[Column2]]</f>
        <v>0</v>
      </c>
      <c r="H936" s="9">
        <f>Table13[[#This Row],[dicharge_date]]</f>
        <v>0</v>
      </c>
      <c r="I936" s="13">
        <f>Table6[[#This Row],[discharge_date]]-Table6[[#This Row],[surgery_date]]</f>
        <v>0</v>
      </c>
      <c r="J936" s="9">
        <f t="shared" si="33"/>
        <v>30</v>
      </c>
    </row>
    <row r="937" spans="1:10" ht="23.25" customHeight="1">
      <c r="A937">
        <f>Table4[[#This Row],[Column1]]</f>
        <v>0</v>
      </c>
      <c r="B937">
        <f>Table4[[#This Row],[Column2]]</f>
        <v>0</v>
      </c>
      <c r="H937" s="9">
        <f>Table13[[#This Row],[dicharge_date]]</f>
        <v>0</v>
      </c>
      <c r="I937" s="13">
        <f>Table6[[#This Row],[discharge_date]]-Table6[[#This Row],[surgery_date]]</f>
        <v>0</v>
      </c>
      <c r="J937" s="9">
        <f t="shared" si="33"/>
        <v>30</v>
      </c>
    </row>
    <row r="938" spans="1:10" ht="23.25" customHeight="1">
      <c r="A938">
        <f>Table4[[#This Row],[Column1]]</f>
        <v>0</v>
      </c>
      <c r="B938">
        <f>Table4[[#This Row],[Column2]]</f>
        <v>0</v>
      </c>
      <c r="H938" s="9">
        <f>Table13[[#This Row],[dicharge_date]]</f>
        <v>0</v>
      </c>
      <c r="I938" s="13">
        <f>Table6[[#This Row],[discharge_date]]-Table6[[#This Row],[surgery_date]]</f>
        <v>0</v>
      </c>
      <c r="J938" s="9">
        <f t="shared" si="33"/>
        <v>30</v>
      </c>
    </row>
    <row r="939" spans="1:10" ht="23.25" customHeight="1">
      <c r="A939">
        <f>Table4[[#This Row],[Column1]]</f>
        <v>0</v>
      </c>
      <c r="B939">
        <f>Table4[[#This Row],[Column2]]</f>
        <v>0</v>
      </c>
      <c r="H939" s="9">
        <f>Table13[[#This Row],[dicharge_date]]</f>
        <v>0</v>
      </c>
      <c r="I939" s="13">
        <f>Table6[[#This Row],[discharge_date]]-Table6[[#This Row],[surgery_date]]</f>
        <v>0</v>
      </c>
      <c r="J939" s="9">
        <f t="shared" si="33"/>
        <v>30</v>
      </c>
    </row>
    <row r="940" spans="1:10" ht="23.25" customHeight="1">
      <c r="A940">
        <f>Table4[[#This Row],[Column1]]</f>
        <v>0</v>
      </c>
      <c r="B940">
        <f>Table4[[#This Row],[Column2]]</f>
        <v>0</v>
      </c>
      <c r="H940" s="9">
        <f>Table13[[#This Row],[dicharge_date]]</f>
        <v>0</v>
      </c>
      <c r="I940" s="13">
        <f>Table6[[#This Row],[discharge_date]]-Table6[[#This Row],[surgery_date]]</f>
        <v>0</v>
      </c>
      <c r="J940" s="9">
        <f t="shared" si="33"/>
        <v>30</v>
      </c>
    </row>
    <row r="941" spans="1:10" ht="23.25" customHeight="1">
      <c r="A941">
        <f>Table4[[#This Row],[Column1]]</f>
        <v>0</v>
      </c>
      <c r="B941">
        <f>Table4[[#This Row],[Column2]]</f>
        <v>0</v>
      </c>
      <c r="H941" s="9">
        <f>Table13[[#This Row],[dicharge_date]]</f>
        <v>0</v>
      </c>
      <c r="I941" s="13">
        <f>Table6[[#This Row],[discharge_date]]-Table6[[#This Row],[surgery_date]]</f>
        <v>0</v>
      </c>
      <c r="J941" s="9">
        <f t="shared" si="33"/>
        <v>30</v>
      </c>
    </row>
    <row r="942" spans="1:10" ht="23.25" customHeight="1">
      <c r="A942">
        <f>Table4[[#This Row],[Column1]]</f>
        <v>0</v>
      </c>
      <c r="B942">
        <f>Table4[[#This Row],[Column2]]</f>
        <v>0</v>
      </c>
      <c r="H942" s="9">
        <f>Table13[[#This Row],[dicharge_date]]</f>
        <v>0</v>
      </c>
      <c r="I942" s="13">
        <f>Table6[[#This Row],[discharge_date]]-Table6[[#This Row],[surgery_date]]</f>
        <v>0</v>
      </c>
      <c r="J942" s="9">
        <f t="shared" si="33"/>
        <v>30</v>
      </c>
    </row>
    <row r="943" spans="1:10" ht="23.25" customHeight="1">
      <c r="A943">
        <f>Table4[[#This Row],[Column1]]</f>
        <v>0</v>
      </c>
      <c r="B943">
        <f>Table4[[#This Row],[Column2]]</f>
        <v>0</v>
      </c>
      <c r="H943" s="9">
        <f>Table13[[#This Row],[dicharge_date]]</f>
        <v>0</v>
      </c>
      <c r="I943" s="13">
        <f>Table6[[#This Row],[discharge_date]]-Table6[[#This Row],[surgery_date]]</f>
        <v>0</v>
      </c>
      <c r="J943" s="9">
        <f t="shared" si="33"/>
        <v>30</v>
      </c>
    </row>
    <row r="944" spans="1:10" ht="23.25" customHeight="1">
      <c r="A944">
        <f>Table4[[#This Row],[Column1]]</f>
        <v>0</v>
      </c>
      <c r="B944">
        <f>Table4[[#This Row],[Column2]]</f>
        <v>0</v>
      </c>
      <c r="H944" s="9">
        <f>Table13[[#This Row],[dicharge_date]]</f>
        <v>0</v>
      </c>
      <c r="I944" s="13">
        <f>Table6[[#This Row],[discharge_date]]-Table6[[#This Row],[surgery_date]]</f>
        <v>0</v>
      </c>
      <c r="J944" s="9">
        <f t="shared" si="33"/>
        <v>30</v>
      </c>
    </row>
    <row r="945" spans="1:10" ht="23.25" customHeight="1">
      <c r="A945">
        <f>Table4[[#This Row],[Column1]]</f>
        <v>0</v>
      </c>
      <c r="B945">
        <f>Table4[[#This Row],[Column2]]</f>
        <v>0</v>
      </c>
      <c r="H945" s="9">
        <f>Table13[[#This Row],[dicharge_date]]</f>
        <v>0</v>
      </c>
      <c r="I945" s="13">
        <f>Table6[[#This Row],[discharge_date]]-Table6[[#This Row],[surgery_date]]</f>
        <v>0</v>
      </c>
      <c r="J945" s="9">
        <f t="shared" si="33"/>
        <v>30</v>
      </c>
    </row>
    <row r="946" spans="1:10" ht="23.25" customHeight="1">
      <c r="A946">
        <f>Table4[[#This Row],[Column1]]</f>
        <v>0</v>
      </c>
      <c r="B946">
        <f>Table4[[#This Row],[Column2]]</f>
        <v>0</v>
      </c>
      <c r="H946" s="9">
        <f>Table13[[#This Row],[dicharge_date]]</f>
        <v>0</v>
      </c>
      <c r="I946" s="13">
        <f>Table6[[#This Row],[discharge_date]]-Table6[[#This Row],[surgery_date]]</f>
        <v>0</v>
      </c>
      <c r="J946" s="9">
        <f t="shared" si="33"/>
        <v>30</v>
      </c>
    </row>
    <row r="947" spans="1:10" ht="23.25" customHeight="1">
      <c r="A947">
        <f>Table4[[#This Row],[Column1]]</f>
        <v>0</v>
      </c>
      <c r="B947">
        <f>Table4[[#This Row],[Column2]]</f>
        <v>0</v>
      </c>
      <c r="H947" s="9">
        <f>Table13[[#This Row],[dicharge_date]]</f>
        <v>0</v>
      </c>
      <c r="I947" s="13">
        <f>Table6[[#This Row],[discharge_date]]-Table6[[#This Row],[surgery_date]]</f>
        <v>0</v>
      </c>
      <c r="J947" s="9">
        <f t="shared" si="33"/>
        <v>30</v>
      </c>
    </row>
    <row r="948" spans="1:10" ht="23.25" customHeight="1">
      <c r="A948">
        <f>Table4[[#This Row],[Column1]]</f>
        <v>0</v>
      </c>
      <c r="B948">
        <f>Table4[[#This Row],[Column2]]</f>
        <v>0</v>
      </c>
      <c r="H948" s="9">
        <f>Table13[[#This Row],[dicharge_date]]</f>
        <v>0</v>
      </c>
      <c r="I948" s="13">
        <f>Table6[[#This Row],[discharge_date]]-Table6[[#This Row],[surgery_date]]</f>
        <v>0</v>
      </c>
      <c r="J948" s="9">
        <f t="shared" si="33"/>
        <v>30</v>
      </c>
    </row>
    <row r="949" spans="1:10" ht="23.25" customHeight="1">
      <c r="A949">
        <f>Table4[[#This Row],[Column1]]</f>
        <v>0</v>
      </c>
      <c r="B949">
        <f>Table4[[#This Row],[Column2]]</f>
        <v>0</v>
      </c>
      <c r="H949" s="9">
        <f>Table13[[#This Row],[dicharge_date]]</f>
        <v>0</v>
      </c>
      <c r="I949" s="13">
        <f>Table6[[#This Row],[discharge_date]]-Table6[[#This Row],[surgery_date]]</f>
        <v>0</v>
      </c>
      <c r="J949" s="9">
        <f t="shared" si="33"/>
        <v>30</v>
      </c>
    </row>
    <row r="950" spans="1:10" ht="23.25" customHeight="1">
      <c r="A950">
        <f>Table4[[#This Row],[Column1]]</f>
        <v>0</v>
      </c>
      <c r="B950">
        <f>Table4[[#This Row],[Column2]]</f>
        <v>0</v>
      </c>
      <c r="H950" s="9">
        <f>Table13[[#This Row],[dicharge_date]]</f>
        <v>0</v>
      </c>
      <c r="I950" s="13">
        <f>Table6[[#This Row],[discharge_date]]-Table6[[#This Row],[surgery_date]]</f>
        <v>0</v>
      </c>
      <c r="J950" s="9">
        <f t="shared" si="33"/>
        <v>30</v>
      </c>
    </row>
    <row r="951" spans="1:10" ht="23.25" customHeight="1">
      <c r="A951">
        <f>Table4[[#This Row],[Column1]]</f>
        <v>0</v>
      </c>
      <c r="B951">
        <f>Table4[[#This Row],[Column2]]</f>
        <v>0</v>
      </c>
      <c r="H951" s="9">
        <f>Table13[[#This Row],[dicharge_date]]</f>
        <v>0</v>
      </c>
      <c r="I951" s="13">
        <f>Table6[[#This Row],[discharge_date]]-Table6[[#This Row],[surgery_date]]</f>
        <v>0</v>
      </c>
      <c r="J951" s="9">
        <f t="shared" si="33"/>
        <v>30</v>
      </c>
    </row>
    <row r="952" spans="1:10" ht="23.25" customHeight="1">
      <c r="A952">
        <f>Table4[[#This Row],[Column1]]</f>
        <v>0</v>
      </c>
      <c r="B952">
        <f>Table4[[#This Row],[Column2]]</f>
        <v>0</v>
      </c>
      <c r="H952" s="9">
        <f>Table13[[#This Row],[dicharge_date]]</f>
        <v>0</v>
      </c>
      <c r="I952" s="13">
        <f>Table6[[#This Row],[discharge_date]]-Table6[[#This Row],[surgery_date]]</f>
        <v>0</v>
      </c>
      <c r="J952" s="9">
        <f t="shared" si="33"/>
        <v>30</v>
      </c>
    </row>
    <row r="953" spans="1:10" ht="23.25" customHeight="1">
      <c r="A953">
        <f>Table4[[#This Row],[Column1]]</f>
        <v>0</v>
      </c>
      <c r="B953">
        <f>Table4[[#This Row],[Column2]]</f>
        <v>0</v>
      </c>
      <c r="H953" s="9">
        <f>Table13[[#This Row],[dicharge_date]]</f>
        <v>0</v>
      </c>
      <c r="I953" s="13">
        <f>Table6[[#This Row],[discharge_date]]-Table6[[#This Row],[surgery_date]]</f>
        <v>0</v>
      </c>
      <c r="J953" s="9">
        <f t="shared" si="33"/>
        <v>30</v>
      </c>
    </row>
    <row r="954" spans="1:10" ht="23.25" customHeight="1">
      <c r="A954">
        <f>Table4[[#This Row],[Column1]]</f>
        <v>0</v>
      </c>
      <c r="B954">
        <f>Table4[[#This Row],[Column2]]</f>
        <v>0</v>
      </c>
      <c r="H954" s="9">
        <f>Table13[[#This Row],[dicharge_date]]</f>
        <v>0</v>
      </c>
      <c r="I954" s="13">
        <f>Table6[[#This Row],[discharge_date]]-Table6[[#This Row],[surgery_date]]</f>
        <v>0</v>
      </c>
      <c r="J954" s="9">
        <f t="shared" si="33"/>
        <v>30</v>
      </c>
    </row>
    <row r="955" spans="1:10" ht="23.25" customHeight="1">
      <c r="A955">
        <f>Table4[[#This Row],[Column1]]</f>
        <v>0</v>
      </c>
      <c r="B955">
        <f>Table4[[#This Row],[Column2]]</f>
        <v>0</v>
      </c>
      <c r="H955" s="9">
        <f>Table13[[#This Row],[dicharge_date]]</f>
        <v>0</v>
      </c>
      <c r="I955" s="13">
        <f>Table6[[#This Row],[discharge_date]]-Table6[[#This Row],[surgery_date]]</f>
        <v>0</v>
      </c>
      <c r="J955" s="9">
        <f t="shared" si="33"/>
        <v>30</v>
      </c>
    </row>
    <row r="956" spans="1:10" ht="23.25" customHeight="1">
      <c r="A956">
        <f>Table4[[#This Row],[Column1]]</f>
        <v>0</v>
      </c>
      <c r="B956">
        <f>Table4[[#This Row],[Column2]]</f>
        <v>0</v>
      </c>
      <c r="H956" s="9">
        <f>Table13[[#This Row],[dicharge_date]]</f>
        <v>0</v>
      </c>
      <c r="I956" s="13">
        <f>Table6[[#This Row],[discharge_date]]-Table6[[#This Row],[surgery_date]]</f>
        <v>0</v>
      </c>
      <c r="J956" s="9">
        <f t="shared" si="33"/>
        <v>30</v>
      </c>
    </row>
    <row r="957" spans="1:10" ht="23.25" customHeight="1">
      <c r="A957">
        <f>Table4[[#This Row],[Column1]]</f>
        <v>0</v>
      </c>
      <c r="B957">
        <f>Table4[[#This Row],[Column2]]</f>
        <v>0</v>
      </c>
      <c r="H957" s="9">
        <f>Table13[[#This Row],[dicharge_date]]</f>
        <v>0</v>
      </c>
      <c r="I957" s="13">
        <f>Table6[[#This Row],[discharge_date]]-Table6[[#This Row],[surgery_date]]</f>
        <v>0</v>
      </c>
      <c r="J957" s="9">
        <f t="shared" si="33"/>
        <v>30</v>
      </c>
    </row>
    <row r="958" spans="1:10" ht="23.25" customHeight="1">
      <c r="A958">
        <f>Table4[[#This Row],[Column1]]</f>
        <v>0</v>
      </c>
      <c r="B958">
        <f>Table4[[#This Row],[Column2]]</f>
        <v>0</v>
      </c>
      <c r="H958" s="9">
        <f>Table13[[#This Row],[dicharge_date]]</f>
        <v>0</v>
      </c>
      <c r="I958" s="13">
        <f>Table6[[#This Row],[discharge_date]]-Table6[[#This Row],[surgery_date]]</f>
        <v>0</v>
      </c>
      <c r="J958" s="9">
        <f t="shared" si="33"/>
        <v>30</v>
      </c>
    </row>
    <row r="959" spans="1:10" ht="23.25" customHeight="1">
      <c r="A959">
        <f>Table4[[#This Row],[Column1]]</f>
        <v>0</v>
      </c>
      <c r="B959">
        <f>Table4[[#This Row],[Column2]]</f>
        <v>0</v>
      </c>
      <c r="H959" s="9">
        <f>Table13[[#This Row],[dicharge_date]]</f>
        <v>0</v>
      </c>
      <c r="I959" s="13">
        <f>Table6[[#This Row],[discharge_date]]-Table6[[#This Row],[surgery_date]]</f>
        <v>0</v>
      </c>
      <c r="J959" s="9">
        <f t="shared" si="33"/>
        <v>30</v>
      </c>
    </row>
    <row r="960" spans="1:10" ht="23.25" customHeight="1">
      <c r="A960">
        <f>Table4[[#This Row],[Column1]]</f>
        <v>0</v>
      </c>
      <c r="B960">
        <f>Table4[[#This Row],[Column2]]</f>
        <v>0</v>
      </c>
      <c r="H960" s="9">
        <f>Table13[[#This Row],[dicharge_date]]</f>
        <v>0</v>
      </c>
      <c r="I960" s="13">
        <f>Table6[[#This Row],[discharge_date]]-Table6[[#This Row],[surgery_date]]</f>
        <v>0</v>
      </c>
      <c r="J960" s="9">
        <f t="shared" si="33"/>
        <v>30</v>
      </c>
    </row>
    <row r="961" spans="1:10" ht="23.25" customHeight="1">
      <c r="A961">
        <f>Table4[[#This Row],[Column1]]</f>
        <v>0</v>
      </c>
      <c r="B961">
        <f>Table4[[#This Row],[Column2]]</f>
        <v>0</v>
      </c>
      <c r="H961" s="9">
        <f>Table13[[#This Row],[dicharge_date]]</f>
        <v>0</v>
      </c>
      <c r="I961" s="13">
        <f>Table6[[#This Row],[discharge_date]]-Table6[[#This Row],[surgery_date]]</f>
        <v>0</v>
      </c>
      <c r="J961" s="9">
        <f t="shared" si="33"/>
        <v>30</v>
      </c>
    </row>
    <row r="962" spans="1:10" ht="23.25" customHeight="1">
      <c r="A962">
        <f>Table4[[#This Row],[Column1]]</f>
        <v>0</v>
      </c>
      <c r="B962">
        <f>Table4[[#This Row],[Column2]]</f>
        <v>0</v>
      </c>
      <c r="H962" s="9">
        <f>Table13[[#This Row],[dicharge_date]]</f>
        <v>0</v>
      </c>
      <c r="I962" s="13">
        <f>Table6[[#This Row],[discharge_date]]-Table6[[#This Row],[surgery_date]]</f>
        <v>0</v>
      </c>
      <c r="J962" s="9">
        <f t="shared" ref="J962:J1025" si="34">IF( H962&lt;&gt;"", H962+30,"")</f>
        <v>30</v>
      </c>
    </row>
    <row r="963" spans="1:10" ht="23.25" customHeight="1">
      <c r="A963">
        <f>Table4[[#This Row],[Column1]]</f>
        <v>0</v>
      </c>
      <c r="B963">
        <f>Table4[[#This Row],[Column2]]</f>
        <v>0</v>
      </c>
      <c r="H963" s="9">
        <f>Table13[[#This Row],[dicharge_date]]</f>
        <v>0</v>
      </c>
      <c r="I963" s="13">
        <f>Table6[[#This Row],[discharge_date]]-Table6[[#This Row],[surgery_date]]</f>
        <v>0</v>
      </c>
      <c r="J963" s="9">
        <f t="shared" si="34"/>
        <v>30</v>
      </c>
    </row>
    <row r="964" spans="1:10" ht="23.25" customHeight="1">
      <c r="A964">
        <f>Table4[[#This Row],[Column1]]</f>
        <v>0</v>
      </c>
      <c r="B964">
        <f>Table4[[#This Row],[Column2]]</f>
        <v>0</v>
      </c>
      <c r="H964" s="9">
        <f>Table13[[#This Row],[dicharge_date]]</f>
        <v>0</v>
      </c>
      <c r="I964" s="13">
        <f>Table6[[#This Row],[discharge_date]]-Table6[[#This Row],[surgery_date]]</f>
        <v>0</v>
      </c>
      <c r="J964" s="9">
        <f t="shared" si="34"/>
        <v>30</v>
      </c>
    </row>
    <row r="965" spans="1:10" ht="23.25" customHeight="1">
      <c r="A965">
        <f>Table4[[#This Row],[Column1]]</f>
        <v>0</v>
      </c>
      <c r="B965">
        <f>Table4[[#This Row],[Column2]]</f>
        <v>0</v>
      </c>
      <c r="H965" s="9">
        <f>Table13[[#This Row],[dicharge_date]]</f>
        <v>0</v>
      </c>
      <c r="I965" s="13">
        <f>Table6[[#This Row],[discharge_date]]-Table6[[#This Row],[surgery_date]]</f>
        <v>0</v>
      </c>
      <c r="J965" s="9">
        <f t="shared" si="34"/>
        <v>30</v>
      </c>
    </row>
    <row r="966" spans="1:10" ht="23.25" customHeight="1">
      <c r="A966">
        <f>Table4[[#This Row],[Column1]]</f>
        <v>0</v>
      </c>
      <c r="B966">
        <f>Table4[[#This Row],[Column2]]</f>
        <v>0</v>
      </c>
      <c r="H966" s="9">
        <f>Table13[[#This Row],[dicharge_date]]</f>
        <v>0</v>
      </c>
      <c r="I966" s="13">
        <f>Table6[[#This Row],[discharge_date]]-Table6[[#This Row],[surgery_date]]</f>
        <v>0</v>
      </c>
      <c r="J966" s="9">
        <f t="shared" si="34"/>
        <v>30</v>
      </c>
    </row>
    <row r="967" spans="1:10" ht="23.25" customHeight="1">
      <c r="A967">
        <f>Table4[[#This Row],[Column1]]</f>
        <v>0</v>
      </c>
      <c r="B967">
        <f>Table4[[#This Row],[Column2]]</f>
        <v>0</v>
      </c>
      <c r="H967" s="9">
        <f>Table13[[#This Row],[dicharge_date]]</f>
        <v>0</v>
      </c>
      <c r="I967" s="13">
        <f>Table6[[#This Row],[discharge_date]]-Table6[[#This Row],[surgery_date]]</f>
        <v>0</v>
      </c>
      <c r="J967" s="9">
        <f t="shared" si="34"/>
        <v>30</v>
      </c>
    </row>
    <row r="968" spans="1:10" ht="23.25" customHeight="1">
      <c r="A968">
        <f>Table4[[#This Row],[Column1]]</f>
        <v>0</v>
      </c>
      <c r="B968">
        <f>Table4[[#This Row],[Column2]]</f>
        <v>0</v>
      </c>
      <c r="H968" s="9">
        <f>Table13[[#This Row],[dicharge_date]]</f>
        <v>0</v>
      </c>
      <c r="I968" s="13">
        <f>Table6[[#This Row],[discharge_date]]-Table6[[#This Row],[surgery_date]]</f>
        <v>0</v>
      </c>
      <c r="J968" s="9">
        <f t="shared" si="34"/>
        <v>30</v>
      </c>
    </row>
    <row r="969" spans="1:10" ht="23.25" customHeight="1">
      <c r="A969">
        <f>Table4[[#This Row],[Column1]]</f>
        <v>0</v>
      </c>
      <c r="B969">
        <f>Table4[[#This Row],[Column2]]</f>
        <v>0</v>
      </c>
      <c r="H969" s="9">
        <f>Table13[[#This Row],[dicharge_date]]</f>
        <v>0</v>
      </c>
      <c r="I969" s="13">
        <f>Table6[[#This Row],[discharge_date]]-Table6[[#This Row],[surgery_date]]</f>
        <v>0</v>
      </c>
      <c r="J969" s="9">
        <f t="shared" si="34"/>
        <v>30</v>
      </c>
    </row>
    <row r="970" spans="1:10" ht="23.25" customHeight="1">
      <c r="A970">
        <f>Table4[[#This Row],[Column1]]</f>
        <v>0</v>
      </c>
      <c r="B970">
        <f>Table4[[#This Row],[Column2]]</f>
        <v>0</v>
      </c>
      <c r="H970" s="9">
        <f>Table13[[#This Row],[dicharge_date]]</f>
        <v>0</v>
      </c>
      <c r="I970" s="13">
        <f>Table6[[#This Row],[discharge_date]]-Table6[[#This Row],[surgery_date]]</f>
        <v>0</v>
      </c>
      <c r="J970" s="9">
        <f t="shared" si="34"/>
        <v>30</v>
      </c>
    </row>
    <row r="971" spans="1:10" ht="23.25" customHeight="1">
      <c r="A971">
        <f>Table4[[#This Row],[Column1]]</f>
        <v>0</v>
      </c>
      <c r="B971">
        <f>Table4[[#This Row],[Column2]]</f>
        <v>0</v>
      </c>
      <c r="H971" s="9">
        <f>Table13[[#This Row],[dicharge_date]]</f>
        <v>0</v>
      </c>
      <c r="I971" s="13">
        <f>Table6[[#This Row],[discharge_date]]-Table6[[#This Row],[surgery_date]]</f>
        <v>0</v>
      </c>
      <c r="J971" s="9">
        <f t="shared" si="34"/>
        <v>30</v>
      </c>
    </row>
    <row r="972" spans="1:10" ht="23.25" customHeight="1">
      <c r="A972">
        <f>Table4[[#This Row],[Column1]]</f>
        <v>0</v>
      </c>
      <c r="B972">
        <f>Table4[[#This Row],[Column2]]</f>
        <v>0</v>
      </c>
      <c r="H972" s="9">
        <f>Table13[[#This Row],[dicharge_date]]</f>
        <v>0</v>
      </c>
      <c r="I972" s="13">
        <f>Table6[[#This Row],[discharge_date]]-Table6[[#This Row],[surgery_date]]</f>
        <v>0</v>
      </c>
      <c r="J972" s="9">
        <f t="shared" si="34"/>
        <v>30</v>
      </c>
    </row>
    <row r="973" spans="1:10" ht="23.25" customHeight="1">
      <c r="A973">
        <f>Table4[[#This Row],[Column1]]</f>
        <v>0</v>
      </c>
      <c r="B973">
        <f>Table4[[#This Row],[Column2]]</f>
        <v>0</v>
      </c>
      <c r="H973" s="9">
        <f>Table13[[#This Row],[dicharge_date]]</f>
        <v>0</v>
      </c>
      <c r="I973" s="13">
        <f>Table6[[#This Row],[discharge_date]]-Table6[[#This Row],[surgery_date]]</f>
        <v>0</v>
      </c>
      <c r="J973" s="9">
        <f t="shared" si="34"/>
        <v>30</v>
      </c>
    </row>
    <row r="974" spans="1:10" ht="23.25" customHeight="1">
      <c r="A974">
        <f>Table4[[#This Row],[Column1]]</f>
        <v>0</v>
      </c>
      <c r="B974">
        <f>Table4[[#This Row],[Column2]]</f>
        <v>0</v>
      </c>
      <c r="H974" s="9">
        <f>Table13[[#This Row],[dicharge_date]]</f>
        <v>0</v>
      </c>
      <c r="I974" s="13">
        <f>Table6[[#This Row],[discharge_date]]-Table6[[#This Row],[surgery_date]]</f>
        <v>0</v>
      </c>
      <c r="J974" s="9">
        <f t="shared" si="34"/>
        <v>30</v>
      </c>
    </row>
    <row r="975" spans="1:10" ht="23.25" customHeight="1">
      <c r="A975">
        <f>Table4[[#This Row],[Column1]]</f>
        <v>0</v>
      </c>
      <c r="B975">
        <f>Table4[[#This Row],[Column2]]</f>
        <v>0</v>
      </c>
      <c r="H975" s="9">
        <f>Table13[[#This Row],[dicharge_date]]</f>
        <v>0</v>
      </c>
      <c r="I975" s="13">
        <f>Table6[[#This Row],[discharge_date]]-Table6[[#This Row],[surgery_date]]</f>
        <v>0</v>
      </c>
      <c r="J975" s="9">
        <f t="shared" si="34"/>
        <v>30</v>
      </c>
    </row>
    <row r="976" spans="1:10" ht="23.25" customHeight="1">
      <c r="A976">
        <f>Table4[[#This Row],[Column1]]</f>
        <v>0</v>
      </c>
      <c r="B976">
        <f>Table4[[#This Row],[Column2]]</f>
        <v>0</v>
      </c>
      <c r="H976" s="9">
        <f>Table13[[#This Row],[dicharge_date]]</f>
        <v>0</v>
      </c>
      <c r="I976" s="13">
        <f>Table6[[#This Row],[discharge_date]]-Table6[[#This Row],[surgery_date]]</f>
        <v>0</v>
      </c>
      <c r="J976" s="9">
        <f t="shared" si="34"/>
        <v>30</v>
      </c>
    </row>
    <row r="977" spans="1:10" ht="23.25" customHeight="1">
      <c r="A977">
        <f>Table4[[#This Row],[Column1]]</f>
        <v>0</v>
      </c>
      <c r="B977">
        <f>Table4[[#This Row],[Column2]]</f>
        <v>0</v>
      </c>
      <c r="H977" s="9">
        <f>Table13[[#This Row],[dicharge_date]]</f>
        <v>0</v>
      </c>
      <c r="I977" s="13">
        <f>Table6[[#This Row],[discharge_date]]-Table6[[#This Row],[surgery_date]]</f>
        <v>0</v>
      </c>
      <c r="J977" s="9">
        <f t="shared" si="34"/>
        <v>30</v>
      </c>
    </row>
    <row r="978" spans="1:10" ht="23.25" customHeight="1">
      <c r="A978">
        <f>Table4[[#This Row],[Column1]]</f>
        <v>0</v>
      </c>
      <c r="B978">
        <f>Table4[[#This Row],[Column2]]</f>
        <v>0</v>
      </c>
      <c r="H978" s="9">
        <f>Table13[[#This Row],[dicharge_date]]</f>
        <v>0</v>
      </c>
      <c r="I978" s="13">
        <f>Table6[[#This Row],[discharge_date]]-Table6[[#This Row],[surgery_date]]</f>
        <v>0</v>
      </c>
      <c r="J978" s="9">
        <f t="shared" si="34"/>
        <v>30</v>
      </c>
    </row>
    <row r="979" spans="1:10" ht="23.25" customHeight="1">
      <c r="A979">
        <f>Table4[[#This Row],[Column1]]</f>
        <v>0</v>
      </c>
      <c r="B979">
        <f>Table4[[#This Row],[Column2]]</f>
        <v>0</v>
      </c>
      <c r="H979" s="9">
        <f>Table13[[#This Row],[dicharge_date]]</f>
        <v>0</v>
      </c>
      <c r="I979" s="13">
        <f>Table6[[#This Row],[discharge_date]]-Table6[[#This Row],[surgery_date]]</f>
        <v>0</v>
      </c>
      <c r="J979" s="9">
        <f t="shared" si="34"/>
        <v>30</v>
      </c>
    </row>
    <row r="980" spans="1:10" ht="23.25" customHeight="1">
      <c r="A980">
        <f>Table4[[#This Row],[Column1]]</f>
        <v>0</v>
      </c>
      <c r="B980">
        <f>Table4[[#This Row],[Column2]]</f>
        <v>0</v>
      </c>
      <c r="H980" s="9">
        <f>Table13[[#This Row],[dicharge_date]]</f>
        <v>0</v>
      </c>
      <c r="I980" s="13">
        <f>Table6[[#This Row],[discharge_date]]-Table6[[#This Row],[surgery_date]]</f>
        <v>0</v>
      </c>
      <c r="J980" s="9">
        <f t="shared" si="34"/>
        <v>30</v>
      </c>
    </row>
    <row r="981" spans="1:10" ht="23.25" customHeight="1">
      <c r="A981">
        <f>Table4[[#This Row],[Column1]]</f>
        <v>0</v>
      </c>
      <c r="B981">
        <f>Table4[[#This Row],[Column2]]</f>
        <v>0</v>
      </c>
      <c r="H981" s="9">
        <f>Table13[[#This Row],[dicharge_date]]</f>
        <v>0</v>
      </c>
      <c r="I981" s="13">
        <f>Table6[[#This Row],[discharge_date]]-Table6[[#This Row],[surgery_date]]</f>
        <v>0</v>
      </c>
      <c r="J981" s="9">
        <f t="shared" si="34"/>
        <v>30</v>
      </c>
    </row>
    <row r="982" spans="1:10" ht="23.25" customHeight="1">
      <c r="A982">
        <f>Table4[[#This Row],[Column1]]</f>
        <v>0</v>
      </c>
      <c r="B982">
        <f>Table4[[#This Row],[Column2]]</f>
        <v>0</v>
      </c>
      <c r="H982" s="9">
        <f>Table13[[#This Row],[dicharge_date]]</f>
        <v>0</v>
      </c>
      <c r="I982" s="13">
        <f>Table6[[#This Row],[discharge_date]]-Table6[[#This Row],[surgery_date]]</f>
        <v>0</v>
      </c>
      <c r="J982" s="9">
        <f t="shared" si="34"/>
        <v>30</v>
      </c>
    </row>
    <row r="983" spans="1:10" ht="23.25" customHeight="1">
      <c r="A983">
        <f>Table4[[#This Row],[Column1]]</f>
        <v>0</v>
      </c>
      <c r="B983">
        <f>Table4[[#This Row],[Column2]]</f>
        <v>0</v>
      </c>
      <c r="H983" s="9">
        <f>Table13[[#This Row],[dicharge_date]]</f>
        <v>0</v>
      </c>
      <c r="I983" s="13">
        <f>Table6[[#This Row],[discharge_date]]-Table6[[#This Row],[surgery_date]]</f>
        <v>0</v>
      </c>
      <c r="J983" s="9">
        <f t="shared" si="34"/>
        <v>30</v>
      </c>
    </row>
    <row r="984" spans="1:10" ht="23.25" customHeight="1">
      <c r="A984">
        <f>Table4[[#This Row],[Column1]]</f>
        <v>0</v>
      </c>
      <c r="B984">
        <f>Table4[[#This Row],[Column2]]</f>
        <v>0</v>
      </c>
      <c r="H984" s="9">
        <f>Table13[[#This Row],[dicharge_date]]</f>
        <v>0</v>
      </c>
      <c r="I984" s="13">
        <f>Table6[[#This Row],[discharge_date]]-Table6[[#This Row],[surgery_date]]</f>
        <v>0</v>
      </c>
      <c r="J984" s="9">
        <f t="shared" si="34"/>
        <v>30</v>
      </c>
    </row>
    <row r="985" spans="1:10" ht="23.25" customHeight="1">
      <c r="A985">
        <f>Table4[[#This Row],[Column1]]</f>
        <v>0</v>
      </c>
      <c r="B985">
        <f>Table4[[#This Row],[Column2]]</f>
        <v>0</v>
      </c>
      <c r="H985" s="9">
        <f>Table13[[#This Row],[dicharge_date]]</f>
        <v>0</v>
      </c>
      <c r="I985" s="13">
        <f>Table6[[#This Row],[discharge_date]]-Table6[[#This Row],[surgery_date]]</f>
        <v>0</v>
      </c>
      <c r="J985" s="9">
        <f t="shared" si="34"/>
        <v>30</v>
      </c>
    </row>
    <row r="986" spans="1:10" ht="23.25" customHeight="1">
      <c r="A986">
        <f>Table4[[#This Row],[Column1]]</f>
        <v>0</v>
      </c>
      <c r="B986">
        <f>Table4[[#This Row],[Column2]]</f>
        <v>0</v>
      </c>
      <c r="H986" s="9">
        <f>Table13[[#This Row],[dicharge_date]]</f>
        <v>0</v>
      </c>
      <c r="I986" s="13">
        <f>Table6[[#This Row],[discharge_date]]-Table6[[#This Row],[surgery_date]]</f>
        <v>0</v>
      </c>
      <c r="J986" s="9">
        <f t="shared" si="34"/>
        <v>30</v>
      </c>
    </row>
    <row r="987" spans="1:10" ht="23.25" customHeight="1">
      <c r="A987">
        <f>Table4[[#This Row],[Column1]]</f>
        <v>0</v>
      </c>
      <c r="B987">
        <f>Table4[[#This Row],[Column2]]</f>
        <v>0</v>
      </c>
      <c r="H987" s="9">
        <f>Table13[[#This Row],[dicharge_date]]</f>
        <v>0</v>
      </c>
      <c r="I987" s="13">
        <f>Table6[[#This Row],[discharge_date]]-Table6[[#This Row],[surgery_date]]</f>
        <v>0</v>
      </c>
      <c r="J987" s="9">
        <f t="shared" si="34"/>
        <v>30</v>
      </c>
    </row>
    <row r="988" spans="1:10" ht="23.25" customHeight="1">
      <c r="A988">
        <f>Table4[[#This Row],[Column1]]</f>
        <v>0</v>
      </c>
      <c r="B988">
        <f>Table4[[#This Row],[Column2]]</f>
        <v>0</v>
      </c>
      <c r="H988" s="9">
        <f>Table13[[#This Row],[dicharge_date]]</f>
        <v>0</v>
      </c>
      <c r="I988" s="13">
        <f>Table6[[#This Row],[discharge_date]]-Table6[[#This Row],[surgery_date]]</f>
        <v>0</v>
      </c>
      <c r="J988" s="9">
        <f t="shared" si="34"/>
        <v>30</v>
      </c>
    </row>
    <row r="989" spans="1:10" ht="23.25" customHeight="1">
      <c r="A989">
        <f>Table4[[#This Row],[Column1]]</f>
        <v>0</v>
      </c>
      <c r="B989">
        <f>Table4[[#This Row],[Column2]]</f>
        <v>0</v>
      </c>
      <c r="H989" s="9">
        <f>Table13[[#This Row],[dicharge_date]]</f>
        <v>0</v>
      </c>
      <c r="I989" s="13">
        <f>Table6[[#This Row],[discharge_date]]-Table6[[#This Row],[surgery_date]]</f>
        <v>0</v>
      </c>
      <c r="J989" s="9">
        <f t="shared" si="34"/>
        <v>30</v>
      </c>
    </row>
    <row r="990" spans="1:10" ht="23.25" customHeight="1">
      <c r="A990">
        <f>Table4[[#This Row],[Column1]]</f>
        <v>0</v>
      </c>
      <c r="B990">
        <f>Table4[[#This Row],[Column2]]</f>
        <v>0</v>
      </c>
      <c r="H990" s="9">
        <f>Table13[[#This Row],[dicharge_date]]</f>
        <v>0</v>
      </c>
      <c r="I990" s="13">
        <f>Table6[[#This Row],[discharge_date]]-Table6[[#This Row],[surgery_date]]</f>
        <v>0</v>
      </c>
      <c r="J990" s="9">
        <f t="shared" si="34"/>
        <v>30</v>
      </c>
    </row>
    <row r="991" spans="1:10" ht="23.25" customHeight="1">
      <c r="A991">
        <f>Table4[[#This Row],[Column1]]</f>
        <v>0</v>
      </c>
      <c r="B991">
        <f>Table4[[#This Row],[Column2]]</f>
        <v>0</v>
      </c>
      <c r="H991" s="9">
        <f>Table13[[#This Row],[dicharge_date]]</f>
        <v>0</v>
      </c>
      <c r="I991" s="13">
        <f>Table6[[#This Row],[discharge_date]]-Table6[[#This Row],[surgery_date]]</f>
        <v>0</v>
      </c>
      <c r="J991" s="9">
        <f t="shared" si="34"/>
        <v>30</v>
      </c>
    </row>
    <row r="992" spans="1:10" ht="23.25" customHeight="1">
      <c r="A992">
        <f>Table4[[#This Row],[Column1]]</f>
        <v>0</v>
      </c>
      <c r="B992">
        <f>Table4[[#This Row],[Column2]]</f>
        <v>0</v>
      </c>
      <c r="H992" s="9">
        <f>Table13[[#This Row],[dicharge_date]]</f>
        <v>0</v>
      </c>
      <c r="I992" s="13">
        <f>Table6[[#This Row],[discharge_date]]-Table6[[#This Row],[surgery_date]]</f>
        <v>0</v>
      </c>
      <c r="J992" s="9">
        <f t="shared" si="34"/>
        <v>30</v>
      </c>
    </row>
    <row r="993" spans="1:10" ht="23.25" customHeight="1">
      <c r="A993">
        <f>Table4[[#This Row],[Column1]]</f>
        <v>0</v>
      </c>
      <c r="B993">
        <f>Table4[[#This Row],[Column2]]</f>
        <v>0</v>
      </c>
      <c r="H993" s="9">
        <f>Table13[[#This Row],[dicharge_date]]</f>
        <v>0</v>
      </c>
      <c r="I993" s="13">
        <f>Table6[[#This Row],[discharge_date]]-Table6[[#This Row],[surgery_date]]</f>
        <v>0</v>
      </c>
      <c r="J993" s="9">
        <f t="shared" si="34"/>
        <v>30</v>
      </c>
    </row>
    <row r="994" spans="1:10" ht="23.25" customHeight="1">
      <c r="A994">
        <f>Table4[[#This Row],[Column1]]</f>
        <v>0</v>
      </c>
      <c r="B994">
        <f>Table4[[#This Row],[Column2]]</f>
        <v>0</v>
      </c>
      <c r="H994" s="9">
        <f>Table13[[#This Row],[dicharge_date]]</f>
        <v>0</v>
      </c>
      <c r="I994" s="13">
        <f>Table6[[#This Row],[discharge_date]]-Table6[[#This Row],[surgery_date]]</f>
        <v>0</v>
      </c>
      <c r="J994" s="9">
        <f t="shared" si="34"/>
        <v>30</v>
      </c>
    </row>
    <row r="995" spans="1:10" ht="23.25" customHeight="1">
      <c r="A995">
        <f>Table4[[#This Row],[Column1]]</f>
        <v>0</v>
      </c>
      <c r="B995">
        <f>Table4[[#This Row],[Column2]]</f>
        <v>0</v>
      </c>
      <c r="H995" s="9">
        <f>Table13[[#This Row],[dicharge_date]]</f>
        <v>0</v>
      </c>
      <c r="I995" s="13">
        <f>Table6[[#This Row],[discharge_date]]-Table6[[#This Row],[surgery_date]]</f>
        <v>0</v>
      </c>
      <c r="J995" s="9">
        <f t="shared" si="34"/>
        <v>30</v>
      </c>
    </row>
    <row r="996" spans="1:10" ht="23.25" customHeight="1">
      <c r="A996">
        <f>Table4[[#This Row],[Column1]]</f>
        <v>0</v>
      </c>
      <c r="B996">
        <f>Table4[[#This Row],[Column2]]</f>
        <v>0</v>
      </c>
      <c r="H996" s="9">
        <f>Table13[[#This Row],[dicharge_date]]</f>
        <v>0</v>
      </c>
      <c r="I996" s="13">
        <f>Table6[[#This Row],[discharge_date]]-Table6[[#This Row],[surgery_date]]</f>
        <v>0</v>
      </c>
      <c r="J996" s="9">
        <f t="shared" si="34"/>
        <v>30</v>
      </c>
    </row>
    <row r="997" spans="1:10" ht="23.25" customHeight="1">
      <c r="A997">
        <f>Table4[[#This Row],[Column1]]</f>
        <v>0</v>
      </c>
      <c r="B997">
        <f>Table4[[#This Row],[Column2]]</f>
        <v>0</v>
      </c>
      <c r="H997" s="9">
        <f>Table13[[#This Row],[dicharge_date]]</f>
        <v>0</v>
      </c>
      <c r="I997" s="13">
        <f>Table6[[#This Row],[discharge_date]]-Table6[[#This Row],[surgery_date]]</f>
        <v>0</v>
      </c>
      <c r="J997" s="9">
        <f t="shared" si="34"/>
        <v>30</v>
      </c>
    </row>
    <row r="998" spans="1:10" ht="23.25" customHeight="1">
      <c r="A998">
        <f>Table4[[#This Row],[Column1]]</f>
        <v>0</v>
      </c>
      <c r="B998">
        <f>Table4[[#This Row],[Column2]]</f>
        <v>0</v>
      </c>
      <c r="H998" s="9">
        <f>Table13[[#This Row],[dicharge_date]]</f>
        <v>0</v>
      </c>
      <c r="I998" s="13">
        <f>Table6[[#This Row],[discharge_date]]-Table6[[#This Row],[surgery_date]]</f>
        <v>0</v>
      </c>
      <c r="J998" s="9">
        <f t="shared" si="34"/>
        <v>30</v>
      </c>
    </row>
    <row r="999" spans="1:10" ht="23.25" customHeight="1">
      <c r="A999">
        <f>Table4[[#This Row],[Column1]]</f>
        <v>0</v>
      </c>
      <c r="B999">
        <f>Table4[[#This Row],[Column2]]</f>
        <v>0</v>
      </c>
      <c r="H999" s="9">
        <f>Table13[[#This Row],[dicharge_date]]</f>
        <v>0</v>
      </c>
      <c r="I999" s="13">
        <f>Table6[[#This Row],[discharge_date]]-Table6[[#This Row],[surgery_date]]</f>
        <v>0</v>
      </c>
      <c r="J999" s="9">
        <f t="shared" si="34"/>
        <v>30</v>
      </c>
    </row>
    <row r="1000" spans="1:10" ht="23.25" customHeight="1">
      <c r="A1000">
        <f>Table4[[#This Row],[Column1]]</f>
        <v>0</v>
      </c>
      <c r="B1000">
        <f>Table4[[#This Row],[Column2]]</f>
        <v>0</v>
      </c>
      <c r="H1000" s="9">
        <f>Table13[[#This Row],[dicharge_date]]</f>
        <v>0</v>
      </c>
      <c r="I1000" s="13">
        <f>Table6[[#This Row],[discharge_date]]-Table6[[#This Row],[surgery_date]]</f>
        <v>0</v>
      </c>
      <c r="J1000" s="9">
        <f t="shared" si="34"/>
        <v>30</v>
      </c>
    </row>
    <row r="1001" spans="1:10" ht="23.25" customHeight="1">
      <c r="A1001">
        <f>Table4[[#This Row],[Column1]]</f>
        <v>0</v>
      </c>
      <c r="B1001">
        <f>Table4[[#This Row],[Column2]]</f>
        <v>0</v>
      </c>
      <c r="H1001" s="9">
        <f>Table13[[#This Row],[dicharge_date]]</f>
        <v>0</v>
      </c>
      <c r="I1001" s="13">
        <f>Table6[[#This Row],[discharge_date]]-Table6[[#This Row],[surgery_date]]</f>
        <v>0</v>
      </c>
      <c r="J1001" s="9">
        <f t="shared" si="34"/>
        <v>30</v>
      </c>
    </row>
    <row r="1002" spans="1:10" ht="23.25" customHeight="1">
      <c r="A1002">
        <f>Table4[[#This Row],[Column1]]</f>
        <v>0</v>
      </c>
      <c r="B1002">
        <f>Table4[[#This Row],[Column2]]</f>
        <v>0</v>
      </c>
      <c r="H1002" s="9">
        <f>Table13[[#This Row],[dicharge_date]]</f>
        <v>0</v>
      </c>
      <c r="I1002" s="13">
        <f>Table6[[#This Row],[discharge_date]]-Table6[[#This Row],[surgery_date]]</f>
        <v>0</v>
      </c>
      <c r="J1002" s="9">
        <f t="shared" si="34"/>
        <v>30</v>
      </c>
    </row>
    <row r="1003" spans="1:10" ht="23.25" customHeight="1">
      <c r="A1003">
        <f>Table4[[#This Row],[Column1]]</f>
        <v>0</v>
      </c>
      <c r="B1003">
        <f>Table4[[#This Row],[Column2]]</f>
        <v>0</v>
      </c>
      <c r="H1003" s="9">
        <f>Table13[[#This Row],[dicharge_date]]</f>
        <v>0</v>
      </c>
      <c r="I1003" s="13">
        <f>Table6[[#This Row],[discharge_date]]-Table6[[#This Row],[surgery_date]]</f>
        <v>0</v>
      </c>
      <c r="J1003" s="9">
        <f t="shared" si="34"/>
        <v>30</v>
      </c>
    </row>
    <row r="1004" spans="1:10" ht="23.25" customHeight="1">
      <c r="A1004">
        <f>Table4[[#This Row],[Column1]]</f>
        <v>0</v>
      </c>
      <c r="B1004">
        <f>Table4[[#This Row],[Column2]]</f>
        <v>0</v>
      </c>
      <c r="H1004" s="9">
        <f>Table13[[#This Row],[dicharge_date]]</f>
        <v>0</v>
      </c>
      <c r="I1004" s="13">
        <f>Table6[[#This Row],[discharge_date]]-Table6[[#This Row],[surgery_date]]</f>
        <v>0</v>
      </c>
      <c r="J1004" s="9">
        <f t="shared" si="34"/>
        <v>30</v>
      </c>
    </row>
    <row r="1005" spans="1:10" ht="23.25" customHeight="1">
      <c r="A1005">
        <f>Table4[[#This Row],[Column1]]</f>
        <v>0</v>
      </c>
      <c r="B1005">
        <f>Table4[[#This Row],[Column2]]</f>
        <v>0</v>
      </c>
      <c r="H1005" s="9">
        <f>Table13[[#This Row],[dicharge_date]]</f>
        <v>0</v>
      </c>
      <c r="I1005" s="13">
        <f>Table6[[#This Row],[discharge_date]]-Table6[[#This Row],[surgery_date]]</f>
        <v>0</v>
      </c>
      <c r="J1005" s="9">
        <f t="shared" si="34"/>
        <v>30</v>
      </c>
    </row>
    <row r="1006" spans="1:10" ht="23.25" customHeight="1">
      <c r="A1006">
        <f>Table4[[#This Row],[Column1]]</f>
        <v>0</v>
      </c>
      <c r="B1006">
        <f>Table4[[#This Row],[Column2]]</f>
        <v>0</v>
      </c>
      <c r="H1006" s="9">
        <f>Table13[[#This Row],[dicharge_date]]</f>
        <v>0</v>
      </c>
      <c r="I1006" s="13">
        <f>Table6[[#This Row],[discharge_date]]-Table6[[#This Row],[surgery_date]]</f>
        <v>0</v>
      </c>
      <c r="J1006" s="9">
        <f t="shared" si="34"/>
        <v>30</v>
      </c>
    </row>
    <row r="1007" spans="1:10" ht="23.25" customHeight="1">
      <c r="A1007">
        <f>Table4[[#This Row],[Column1]]</f>
        <v>0</v>
      </c>
      <c r="B1007">
        <f>Table4[[#This Row],[Column2]]</f>
        <v>0</v>
      </c>
      <c r="H1007" s="9">
        <f>Table13[[#This Row],[dicharge_date]]</f>
        <v>0</v>
      </c>
      <c r="I1007" s="13">
        <f>Table6[[#This Row],[discharge_date]]-Table6[[#This Row],[surgery_date]]</f>
        <v>0</v>
      </c>
      <c r="J1007" s="9">
        <f t="shared" si="34"/>
        <v>30</v>
      </c>
    </row>
    <row r="1008" spans="1:10" ht="23.25" customHeight="1">
      <c r="A1008">
        <f>Table4[[#This Row],[Column1]]</f>
        <v>0</v>
      </c>
      <c r="B1008">
        <f>Table4[[#This Row],[Column2]]</f>
        <v>0</v>
      </c>
      <c r="H1008" s="9">
        <f>Table13[[#This Row],[dicharge_date]]</f>
        <v>0</v>
      </c>
      <c r="I1008" s="13">
        <f>Table6[[#This Row],[discharge_date]]-Table6[[#This Row],[surgery_date]]</f>
        <v>0</v>
      </c>
      <c r="J1008" s="9">
        <f t="shared" si="34"/>
        <v>30</v>
      </c>
    </row>
    <row r="1009" spans="1:10" ht="23.25" customHeight="1">
      <c r="A1009">
        <f>Table4[[#This Row],[Column1]]</f>
        <v>0</v>
      </c>
      <c r="B1009">
        <f>Table4[[#This Row],[Column2]]</f>
        <v>0</v>
      </c>
      <c r="H1009" s="9">
        <f>Table13[[#This Row],[dicharge_date]]</f>
        <v>0</v>
      </c>
      <c r="I1009" s="13">
        <f>Table6[[#This Row],[discharge_date]]-Table6[[#This Row],[surgery_date]]</f>
        <v>0</v>
      </c>
      <c r="J1009" s="9">
        <f t="shared" si="34"/>
        <v>30</v>
      </c>
    </row>
    <row r="1010" spans="1:10" ht="23.25" customHeight="1">
      <c r="A1010">
        <f>Table4[[#This Row],[Column1]]</f>
        <v>0</v>
      </c>
      <c r="B1010">
        <f>Table4[[#This Row],[Column2]]</f>
        <v>0</v>
      </c>
      <c r="H1010" s="9">
        <f>Table13[[#This Row],[dicharge_date]]</f>
        <v>0</v>
      </c>
      <c r="I1010" s="13">
        <f>Table6[[#This Row],[discharge_date]]-Table6[[#This Row],[surgery_date]]</f>
        <v>0</v>
      </c>
      <c r="J1010" s="9">
        <f t="shared" si="34"/>
        <v>30</v>
      </c>
    </row>
    <row r="1011" spans="1:10" ht="23.25" customHeight="1">
      <c r="A1011">
        <f>Table4[[#This Row],[Column1]]</f>
        <v>0</v>
      </c>
      <c r="B1011">
        <f>Table4[[#This Row],[Column2]]</f>
        <v>0</v>
      </c>
      <c r="H1011" s="9">
        <f>Table13[[#This Row],[dicharge_date]]</f>
        <v>0</v>
      </c>
      <c r="I1011" s="13">
        <f>Table6[[#This Row],[discharge_date]]-Table6[[#This Row],[surgery_date]]</f>
        <v>0</v>
      </c>
      <c r="J1011" s="9">
        <f t="shared" si="34"/>
        <v>30</v>
      </c>
    </row>
    <row r="1012" spans="1:10" ht="23.25" customHeight="1">
      <c r="A1012">
        <f>Table4[[#This Row],[Column1]]</f>
        <v>0</v>
      </c>
      <c r="B1012">
        <f>Table4[[#This Row],[Column2]]</f>
        <v>0</v>
      </c>
      <c r="H1012" s="9">
        <f>Table13[[#This Row],[dicharge_date]]</f>
        <v>0</v>
      </c>
      <c r="I1012" s="13">
        <f>Table6[[#This Row],[discharge_date]]-Table6[[#This Row],[surgery_date]]</f>
        <v>0</v>
      </c>
      <c r="J1012" s="9">
        <f t="shared" si="34"/>
        <v>30</v>
      </c>
    </row>
    <row r="1013" spans="1:10" ht="23.25" customHeight="1">
      <c r="A1013">
        <f>Table4[[#This Row],[Column1]]</f>
        <v>0</v>
      </c>
      <c r="B1013">
        <f>Table4[[#This Row],[Column2]]</f>
        <v>0</v>
      </c>
      <c r="H1013" s="9">
        <f>Table13[[#This Row],[dicharge_date]]</f>
        <v>0</v>
      </c>
      <c r="I1013" s="13">
        <f>Table6[[#This Row],[discharge_date]]-Table6[[#This Row],[surgery_date]]</f>
        <v>0</v>
      </c>
      <c r="J1013" s="9">
        <f t="shared" si="34"/>
        <v>30</v>
      </c>
    </row>
    <row r="1014" spans="1:10" ht="23.25" customHeight="1">
      <c r="A1014">
        <f>Table4[[#This Row],[Column1]]</f>
        <v>0</v>
      </c>
      <c r="B1014">
        <f>Table4[[#This Row],[Column2]]</f>
        <v>0</v>
      </c>
      <c r="H1014" s="9">
        <f>Table13[[#This Row],[dicharge_date]]</f>
        <v>0</v>
      </c>
      <c r="I1014" s="13">
        <f>Table6[[#This Row],[discharge_date]]-Table6[[#This Row],[surgery_date]]</f>
        <v>0</v>
      </c>
      <c r="J1014" s="9">
        <f t="shared" si="34"/>
        <v>30</v>
      </c>
    </row>
    <row r="1015" spans="1:10" ht="23.25" customHeight="1">
      <c r="A1015">
        <f>Table4[[#This Row],[Column1]]</f>
        <v>0</v>
      </c>
      <c r="B1015">
        <f>Table4[[#This Row],[Column2]]</f>
        <v>0</v>
      </c>
      <c r="H1015" s="9">
        <f>Table13[[#This Row],[dicharge_date]]</f>
        <v>0</v>
      </c>
      <c r="I1015" s="13">
        <f>Table6[[#This Row],[discharge_date]]-Table6[[#This Row],[surgery_date]]</f>
        <v>0</v>
      </c>
      <c r="J1015" s="9">
        <f t="shared" si="34"/>
        <v>30</v>
      </c>
    </row>
    <row r="1016" spans="1:10" ht="23.25" customHeight="1">
      <c r="A1016">
        <f>Table4[[#This Row],[Column1]]</f>
        <v>0</v>
      </c>
      <c r="B1016">
        <f>Table4[[#This Row],[Column2]]</f>
        <v>0</v>
      </c>
      <c r="H1016" s="9">
        <f>Table13[[#This Row],[dicharge_date]]</f>
        <v>0</v>
      </c>
      <c r="I1016" s="13">
        <f>Table6[[#This Row],[discharge_date]]-Table6[[#This Row],[surgery_date]]</f>
        <v>0</v>
      </c>
      <c r="J1016" s="9">
        <f t="shared" si="34"/>
        <v>30</v>
      </c>
    </row>
    <row r="1017" spans="1:10" ht="23.25" customHeight="1">
      <c r="A1017">
        <f>Table4[[#This Row],[Column1]]</f>
        <v>0</v>
      </c>
      <c r="B1017">
        <f>Table4[[#This Row],[Column2]]</f>
        <v>0</v>
      </c>
      <c r="H1017" s="9">
        <f>Table13[[#This Row],[dicharge_date]]</f>
        <v>0</v>
      </c>
      <c r="I1017" s="13">
        <f>Table6[[#This Row],[discharge_date]]-Table6[[#This Row],[surgery_date]]</f>
        <v>0</v>
      </c>
      <c r="J1017" s="9">
        <f t="shared" si="34"/>
        <v>30</v>
      </c>
    </row>
    <row r="1018" spans="1:10" ht="23.25" customHeight="1">
      <c r="A1018">
        <f>Table4[[#This Row],[Column1]]</f>
        <v>0</v>
      </c>
      <c r="B1018">
        <f>Table4[[#This Row],[Column2]]</f>
        <v>0</v>
      </c>
      <c r="H1018" s="9">
        <f>Table13[[#This Row],[dicharge_date]]</f>
        <v>0</v>
      </c>
      <c r="I1018" s="13">
        <f>Table6[[#This Row],[discharge_date]]-Table6[[#This Row],[surgery_date]]</f>
        <v>0</v>
      </c>
      <c r="J1018" s="9">
        <f t="shared" si="34"/>
        <v>30</v>
      </c>
    </row>
    <row r="1019" spans="1:10" ht="23.25" customHeight="1">
      <c r="A1019">
        <f>Table4[[#This Row],[Column1]]</f>
        <v>0</v>
      </c>
      <c r="B1019">
        <f>Table4[[#This Row],[Column2]]</f>
        <v>0</v>
      </c>
      <c r="H1019" s="9">
        <f>Table13[[#This Row],[dicharge_date]]</f>
        <v>0</v>
      </c>
      <c r="I1019" s="13">
        <f>Table6[[#This Row],[discharge_date]]-Table6[[#This Row],[surgery_date]]</f>
        <v>0</v>
      </c>
      <c r="J1019" s="9">
        <f t="shared" si="34"/>
        <v>30</v>
      </c>
    </row>
    <row r="1020" spans="1:10" ht="23.25" customHeight="1">
      <c r="A1020">
        <f>Table4[[#This Row],[Column1]]</f>
        <v>0</v>
      </c>
      <c r="B1020">
        <f>Table4[[#This Row],[Column2]]</f>
        <v>0</v>
      </c>
      <c r="H1020" s="9">
        <f>Table13[[#This Row],[dicharge_date]]</f>
        <v>0</v>
      </c>
      <c r="I1020" s="13">
        <f>Table6[[#This Row],[discharge_date]]-Table6[[#This Row],[surgery_date]]</f>
        <v>0</v>
      </c>
      <c r="J1020" s="9">
        <f t="shared" si="34"/>
        <v>30</v>
      </c>
    </row>
    <row r="1021" spans="1:10" ht="23.25" customHeight="1">
      <c r="A1021">
        <f>Table4[[#This Row],[Column1]]</f>
        <v>0</v>
      </c>
      <c r="B1021">
        <f>Table4[[#This Row],[Column2]]</f>
        <v>0</v>
      </c>
      <c r="H1021" s="9">
        <f>Table13[[#This Row],[dicharge_date]]</f>
        <v>0</v>
      </c>
      <c r="I1021" s="13">
        <f>Table6[[#This Row],[discharge_date]]-Table6[[#This Row],[surgery_date]]</f>
        <v>0</v>
      </c>
      <c r="J1021" s="9">
        <f t="shared" si="34"/>
        <v>30</v>
      </c>
    </row>
    <row r="1022" spans="1:10" ht="23.25" customHeight="1">
      <c r="A1022">
        <f>Table4[[#This Row],[Column1]]</f>
        <v>0</v>
      </c>
      <c r="B1022">
        <f>Table4[[#This Row],[Column2]]</f>
        <v>0</v>
      </c>
      <c r="H1022" s="9">
        <f>Table13[[#This Row],[dicharge_date]]</f>
        <v>0</v>
      </c>
      <c r="I1022" s="13">
        <f>Table6[[#This Row],[discharge_date]]-Table6[[#This Row],[surgery_date]]</f>
        <v>0</v>
      </c>
      <c r="J1022" s="9">
        <f t="shared" si="34"/>
        <v>30</v>
      </c>
    </row>
    <row r="1023" spans="1:10" ht="23.25" customHeight="1">
      <c r="A1023">
        <f>Table4[[#This Row],[Column1]]</f>
        <v>0</v>
      </c>
      <c r="B1023">
        <f>Table4[[#This Row],[Column2]]</f>
        <v>0</v>
      </c>
      <c r="H1023" s="9">
        <f>Table13[[#This Row],[dicharge_date]]</f>
        <v>0</v>
      </c>
      <c r="I1023" s="13">
        <f>Table6[[#This Row],[discharge_date]]-Table6[[#This Row],[surgery_date]]</f>
        <v>0</v>
      </c>
      <c r="J1023" s="9">
        <f t="shared" si="34"/>
        <v>30</v>
      </c>
    </row>
    <row r="1024" spans="1:10" ht="23.25" customHeight="1">
      <c r="A1024">
        <f>Table4[[#This Row],[Column1]]</f>
        <v>0</v>
      </c>
      <c r="B1024">
        <f>Table4[[#This Row],[Column2]]</f>
        <v>0</v>
      </c>
      <c r="H1024" s="9">
        <f>Table13[[#This Row],[dicharge_date]]</f>
        <v>0</v>
      </c>
      <c r="I1024" s="13">
        <f>Table6[[#This Row],[discharge_date]]-Table6[[#This Row],[surgery_date]]</f>
        <v>0</v>
      </c>
      <c r="J1024" s="9">
        <f t="shared" si="34"/>
        <v>30</v>
      </c>
    </row>
    <row r="1025" spans="1:10" ht="23.25" customHeight="1">
      <c r="A1025">
        <f>Table4[[#This Row],[Column1]]</f>
        <v>0</v>
      </c>
      <c r="B1025">
        <f>Table4[[#This Row],[Column2]]</f>
        <v>0</v>
      </c>
      <c r="H1025" s="9">
        <f>Table13[[#This Row],[dicharge_date]]</f>
        <v>0</v>
      </c>
      <c r="I1025" s="13">
        <f>Table6[[#This Row],[discharge_date]]-Table6[[#This Row],[surgery_date]]</f>
        <v>0</v>
      </c>
      <c r="J1025" s="9">
        <f t="shared" si="34"/>
        <v>30</v>
      </c>
    </row>
    <row r="1026" spans="1:10" ht="23.25" customHeight="1">
      <c r="A1026">
        <f>Table4[[#This Row],[Column1]]</f>
        <v>0</v>
      </c>
      <c r="B1026">
        <f>Table4[[#This Row],[Column2]]</f>
        <v>0</v>
      </c>
      <c r="H1026" s="9">
        <f>Table13[[#This Row],[dicharge_date]]</f>
        <v>0</v>
      </c>
      <c r="I1026" s="13">
        <f>Table6[[#This Row],[discharge_date]]-Table6[[#This Row],[surgery_date]]</f>
        <v>0</v>
      </c>
      <c r="J1026" s="9">
        <f t="shared" ref="J1026:J1089" si="35">IF( H1026&lt;&gt;"", H1026+30,"")</f>
        <v>30</v>
      </c>
    </row>
    <row r="1027" spans="1:10" ht="23.25" customHeight="1">
      <c r="A1027">
        <f>Table4[[#This Row],[Column1]]</f>
        <v>0</v>
      </c>
      <c r="B1027">
        <f>Table4[[#This Row],[Column2]]</f>
        <v>0</v>
      </c>
      <c r="H1027" s="9">
        <f>Table13[[#This Row],[dicharge_date]]</f>
        <v>0</v>
      </c>
      <c r="I1027" s="13">
        <f>Table6[[#This Row],[discharge_date]]-Table6[[#This Row],[surgery_date]]</f>
        <v>0</v>
      </c>
      <c r="J1027" s="9">
        <f t="shared" si="35"/>
        <v>30</v>
      </c>
    </row>
    <row r="1028" spans="1:10" ht="23.25" customHeight="1">
      <c r="A1028">
        <f>Table4[[#This Row],[Column1]]</f>
        <v>0</v>
      </c>
      <c r="B1028">
        <f>Table4[[#This Row],[Column2]]</f>
        <v>0</v>
      </c>
      <c r="H1028" s="9">
        <f>Table13[[#This Row],[dicharge_date]]</f>
        <v>0</v>
      </c>
      <c r="I1028" s="13">
        <f>Table6[[#This Row],[discharge_date]]-Table6[[#This Row],[surgery_date]]</f>
        <v>0</v>
      </c>
      <c r="J1028" s="9">
        <f t="shared" si="35"/>
        <v>30</v>
      </c>
    </row>
    <row r="1029" spans="1:10" ht="23.25" customHeight="1">
      <c r="A1029">
        <f>Table4[[#This Row],[Column1]]</f>
        <v>0</v>
      </c>
      <c r="B1029">
        <f>Table4[[#This Row],[Column2]]</f>
        <v>0</v>
      </c>
      <c r="H1029" s="9">
        <f>Table13[[#This Row],[dicharge_date]]</f>
        <v>0</v>
      </c>
      <c r="I1029" s="13">
        <f>Table6[[#This Row],[discharge_date]]-Table6[[#This Row],[surgery_date]]</f>
        <v>0</v>
      </c>
      <c r="J1029" s="9">
        <f t="shared" si="35"/>
        <v>30</v>
      </c>
    </row>
    <row r="1030" spans="1:10" ht="23.25" customHeight="1">
      <c r="A1030">
        <f>Table4[[#This Row],[Column1]]</f>
        <v>0</v>
      </c>
      <c r="B1030">
        <f>Table4[[#This Row],[Column2]]</f>
        <v>0</v>
      </c>
      <c r="H1030" s="9">
        <f>Table13[[#This Row],[dicharge_date]]</f>
        <v>0</v>
      </c>
      <c r="I1030" s="13">
        <f>Table6[[#This Row],[discharge_date]]-Table6[[#This Row],[surgery_date]]</f>
        <v>0</v>
      </c>
      <c r="J1030" s="9">
        <f t="shared" si="35"/>
        <v>30</v>
      </c>
    </row>
    <row r="1031" spans="1:10" ht="23.25" customHeight="1">
      <c r="A1031">
        <f>Table4[[#This Row],[Column1]]</f>
        <v>0</v>
      </c>
      <c r="B1031">
        <f>Table4[[#This Row],[Column2]]</f>
        <v>0</v>
      </c>
      <c r="H1031" s="9">
        <f>Table13[[#This Row],[dicharge_date]]</f>
        <v>0</v>
      </c>
      <c r="I1031" s="13">
        <f>Table6[[#This Row],[discharge_date]]-Table6[[#This Row],[surgery_date]]</f>
        <v>0</v>
      </c>
      <c r="J1031" s="9">
        <f t="shared" si="35"/>
        <v>30</v>
      </c>
    </row>
    <row r="1032" spans="1:10" ht="23.25" customHeight="1">
      <c r="A1032">
        <f>Table4[[#This Row],[Column1]]</f>
        <v>0</v>
      </c>
      <c r="B1032">
        <f>Table4[[#This Row],[Column2]]</f>
        <v>0</v>
      </c>
      <c r="H1032" s="9">
        <f>Table13[[#This Row],[dicharge_date]]</f>
        <v>0</v>
      </c>
      <c r="I1032" s="13">
        <f>Table6[[#This Row],[discharge_date]]-Table6[[#This Row],[surgery_date]]</f>
        <v>0</v>
      </c>
      <c r="J1032" s="9">
        <f t="shared" si="35"/>
        <v>30</v>
      </c>
    </row>
    <row r="1033" spans="1:10" ht="23.25" customHeight="1">
      <c r="A1033">
        <f>Table4[[#This Row],[Column1]]</f>
        <v>0</v>
      </c>
      <c r="B1033">
        <f>Table4[[#This Row],[Column2]]</f>
        <v>0</v>
      </c>
      <c r="H1033" s="9">
        <f>Table13[[#This Row],[dicharge_date]]</f>
        <v>0</v>
      </c>
      <c r="I1033" s="13">
        <f>Table6[[#This Row],[discharge_date]]-Table6[[#This Row],[surgery_date]]</f>
        <v>0</v>
      </c>
      <c r="J1033" s="9">
        <f t="shared" si="35"/>
        <v>30</v>
      </c>
    </row>
    <row r="1034" spans="1:10" ht="23.25" customHeight="1">
      <c r="A1034">
        <f>Table4[[#This Row],[Column1]]</f>
        <v>0</v>
      </c>
      <c r="B1034">
        <f>Table4[[#This Row],[Column2]]</f>
        <v>0</v>
      </c>
      <c r="H1034" s="9">
        <f>Table13[[#This Row],[dicharge_date]]</f>
        <v>0</v>
      </c>
      <c r="I1034" s="13">
        <f>Table6[[#This Row],[discharge_date]]-Table6[[#This Row],[surgery_date]]</f>
        <v>0</v>
      </c>
      <c r="J1034" s="9">
        <f t="shared" si="35"/>
        <v>30</v>
      </c>
    </row>
    <row r="1035" spans="1:10" ht="23.25" customHeight="1">
      <c r="A1035">
        <f>Table4[[#This Row],[Column1]]</f>
        <v>0</v>
      </c>
      <c r="B1035">
        <f>Table4[[#This Row],[Column2]]</f>
        <v>0</v>
      </c>
      <c r="H1035" s="9">
        <f>Table13[[#This Row],[dicharge_date]]</f>
        <v>0</v>
      </c>
      <c r="I1035" s="13">
        <f>Table6[[#This Row],[discharge_date]]-Table6[[#This Row],[surgery_date]]</f>
        <v>0</v>
      </c>
      <c r="J1035" s="9">
        <f t="shared" si="35"/>
        <v>30</v>
      </c>
    </row>
    <row r="1036" spans="1:10" ht="23.25" customHeight="1">
      <c r="A1036">
        <f>Table4[[#This Row],[Column1]]</f>
        <v>0</v>
      </c>
      <c r="B1036">
        <f>Table4[[#This Row],[Column2]]</f>
        <v>0</v>
      </c>
      <c r="H1036" s="9">
        <f>Table13[[#This Row],[dicharge_date]]</f>
        <v>0</v>
      </c>
      <c r="I1036" s="13">
        <f>Table6[[#This Row],[discharge_date]]-Table6[[#This Row],[surgery_date]]</f>
        <v>0</v>
      </c>
      <c r="J1036" s="9">
        <f t="shared" si="35"/>
        <v>30</v>
      </c>
    </row>
    <row r="1037" spans="1:10" ht="23.25" customHeight="1">
      <c r="A1037">
        <f>Table4[[#This Row],[Column1]]</f>
        <v>0</v>
      </c>
      <c r="B1037">
        <f>Table4[[#This Row],[Column2]]</f>
        <v>0</v>
      </c>
      <c r="H1037" s="9">
        <f>Table13[[#This Row],[dicharge_date]]</f>
        <v>0</v>
      </c>
      <c r="I1037" s="13">
        <f>Table6[[#This Row],[discharge_date]]-Table6[[#This Row],[surgery_date]]</f>
        <v>0</v>
      </c>
      <c r="J1037" s="9">
        <f t="shared" si="35"/>
        <v>30</v>
      </c>
    </row>
    <row r="1038" spans="1:10" ht="23.25" customHeight="1">
      <c r="A1038">
        <f>Table4[[#This Row],[Column1]]</f>
        <v>0</v>
      </c>
      <c r="B1038">
        <f>Table4[[#This Row],[Column2]]</f>
        <v>0</v>
      </c>
      <c r="H1038" s="9">
        <f>Table13[[#This Row],[dicharge_date]]</f>
        <v>0</v>
      </c>
      <c r="I1038" s="13">
        <f>Table6[[#This Row],[discharge_date]]-Table6[[#This Row],[surgery_date]]</f>
        <v>0</v>
      </c>
      <c r="J1038" s="9">
        <f t="shared" si="35"/>
        <v>30</v>
      </c>
    </row>
    <row r="1039" spans="1:10" ht="23.25" customHeight="1">
      <c r="A1039">
        <f>Table4[[#This Row],[Column1]]</f>
        <v>0</v>
      </c>
      <c r="B1039">
        <f>Table4[[#This Row],[Column2]]</f>
        <v>0</v>
      </c>
      <c r="H1039" s="9">
        <f>Table13[[#This Row],[dicharge_date]]</f>
        <v>0</v>
      </c>
      <c r="I1039" s="13">
        <f>Table6[[#This Row],[discharge_date]]-Table6[[#This Row],[surgery_date]]</f>
        <v>0</v>
      </c>
      <c r="J1039" s="9">
        <f t="shared" si="35"/>
        <v>30</v>
      </c>
    </row>
    <row r="1040" spans="1:10" ht="23.25" customHeight="1">
      <c r="A1040">
        <f>Table4[[#This Row],[Column1]]</f>
        <v>0</v>
      </c>
      <c r="B1040">
        <f>Table4[[#This Row],[Column2]]</f>
        <v>0</v>
      </c>
      <c r="H1040" s="9">
        <f>Table13[[#This Row],[dicharge_date]]</f>
        <v>0</v>
      </c>
      <c r="I1040" s="13">
        <f>Table6[[#This Row],[discharge_date]]-Table6[[#This Row],[surgery_date]]</f>
        <v>0</v>
      </c>
      <c r="J1040" s="9">
        <f t="shared" si="35"/>
        <v>30</v>
      </c>
    </row>
    <row r="1041" spans="1:10" ht="23.25" customHeight="1">
      <c r="A1041">
        <f>Table4[[#This Row],[Column1]]</f>
        <v>0</v>
      </c>
      <c r="B1041">
        <f>Table4[[#This Row],[Column2]]</f>
        <v>0</v>
      </c>
      <c r="H1041" s="9">
        <f>Table13[[#This Row],[dicharge_date]]</f>
        <v>0</v>
      </c>
      <c r="I1041" s="13">
        <f>Table6[[#This Row],[discharge_date]]-Table6[[#This Row],[surgery_date]]</f>
        <v>0</v>
      </c>
      <c r="J1041" s="9">
        <f t="shared" si="35"/>
        <v>30</v>
      </c>
    </row>
    <row r="1042" spans="1:10" ht="23.25" customHeight="1">
      <c r="A1042">
        <f>Table4[[#This Row],[Column1]]</f>
        <v>0</v>
      </c>
      <c r="B1042">
        <f>Table4[[#This Row],[Column2]]</f>
        <v>0</v>
      </c>
      <c r="H1042" s="9">
        <f>Table13[[#This Row],[dicharge_date]]</f>
        <v>0</v>
      </c>
      <c r="I1042" s="13">
        <f>Table6[[#This Row],[discharge_date]]-Table6[[#This Row],[surgery_date]]</f>
        <v>0</v>
      </c>
      <c r="J1042" s="9">
        <f t="shared" si="35"/>
        <v>30</v>
      </c>
    </row>
    <row r="1043" spans="1:10" ht="23.25" customHeight="1">
      <c r="A1043">
        <f>Table4[[#This Row],[Column1]]</f>
        <v>0</v>
      </c>
      <c r="B1043">
        <f>Table4[[#This Row],[Column2]]</f>
        <v>0</v>
      </c>
      <c r="H1043" s="9">
        <f>Table13[[#This Row],[dicharge_date]]</f>
        <v>0</v>
      </c>
      <c r="I1043" s="13">
        <f>Table6[[#This Row],[discharge_date]]-Table6[[#This Row],[surgery_date]]</f>
        <v>0</v>
      </c>
      <c r="J1043" s="9">
        <f t="shared" si="35"/>
        <v>30</v>
      </c>
    </row>
    <row r="1044" spans="1:10" ht="23.25" customHeight="1">
      <c r="A1044">
        <f>Table4[[#This Row],[Column1]]</f>
        <v>0</v>
      </c>
      <c r="B1044">
        <f>Table4[[#This Row],[Column2]]</f>
        <v>0</v>
      </c>
      <c r="H1044" s="9">
        <f>Table13[[#This Row],[dicharge_date]]</f>
        <v>0</v>
      </c>
      <c r="I1044" s="13">
        <f>Table6[[#This Row],[discharge_date]]-Table6[[#This Row],[surgery_date]]</f>
        <v>0</v>
      </c>
      <c r="J1044" s="9">
        <f t="shared" si="35"/>
        <v>30</v>
      </c>
    </row>
    <row r="1045" spans="1:10" ht="23.25" customHeight="1">
      <c r="A1045">
        <f>Table4[[#This Row],[Column1]]</f>
        <v>0</v>
      </c>
      <c r="B1045">
        <f>Table4[[#This Row],[Column2]]</f>
        <v>0</v>
      </c>
      <c r="H1045" s="9">
        <f>Table13[[#This Row],[dicharge_date]]</f>
        <v>0</v>
      </c>
      <c r="I1045" s="13">
        <f>Table6[[#This Row],[discharge_date]]-Table6[[#This Row],[surgery_date]]</f>
        <v>0</v>
      </c>
      <c r="J1045" s="9">
        <f t="shared" si="35"/>
        <v>30</v>
      </c>
    </row>
    <row r="1046" spans="1:10" ht="23.25" customHeight="1">
      <c r="A1046">
        <f>Table4[[#This Row],[Column1]]</f>
        <v>0</v>
      </c>
      <c r="B1046">
        <f>Table4[[#This Row],[Column2]]</f>
        <v>0</v>
      </c>
      <c r="H1046" s="9">
        <f>Table13[[#This Row],[dicharge_date]]</f>
        <v>0</v>
      </c>
      <c r="I1046" s="13">
        <f>Table6[[#This Row],[discharge_date]]-Table6[[#This Row],[surgery_date]]</f>
        <v>0</v>
      </c>
      <c r="J1046" s="9">
        <f t="shared" si="35"/>
        <v>30</v>
      </c>
    </row>
    <row r="1047" spans="1:10" ht="23.25" customHeight="1">
      <c r="A1047">
        <f>Table4[[#This Row],[Column1]]</f>
        <v>0</v>
      </c>
      <c r="B1047">
        <f>Table4[[#This Row],[Column2]]</f>
        <v>0</v>
      </c>
      <c r="H1047" s="9">
        <f>Table13[[#This Row],[dicharge_date]]</f>
        <v>0</v>
      </c>
      <c r="I1047" s="13">
        <f>Table6[[#This Row],[discharge_date]]-Table6[[#This Row],[surgery_date]]</f>
        <v>0</v>
      </c>
      <c r="J1047" s="9">
        <f t="shared" si="35"/>
        <v>30</v>
      </c>
    </row>
    <row r="1048" spans="1:10" ht="23.25" customHeight="1">
      <c r="A1048">
        <f>Table4[[#This Row],[Column1]]</f>
        <v>0</v>
      </c>
      <c r="B1048">
        <f>Table4[[#This Row],[Column2]]</f>
        <v>0</v>
      </c>
      <c r="H1048" s="9">
        <f>Table13[[#This Row],[dicharge_date]]</f>
        <v>0</v>
      </c>
      <c r="I1048" s="13">
        <f>Table6[[#This Row],[discharge_date]]-Table6[[#This Row],[surgery_date]]</f>
        <v>0</v>
      </c>
      <c r="J1048" s="9">
        <f t="shared" si="35"/>
        <v>30</v>
      </c>
    </row>
    <row r="1049" spans="1:10" ht="23.25" customHeight="1">
      <c r="A1049">
        <f>Table4[[#This Row],[Column1]]</f>
        <v>0</v>
      </c>
      <c r="B1049">
        <f>Table4[[#This Row],[Column2]]</f>
        <v>0</v>
      </c>
      <c r="H1049" s="9">
        <f>Table13[[#This Row],[dicharge_date]]</f>
        <v>0</v>
      </c>
      <c r="I1049" s="13">
        <f>Table6[[#This Row],[discharge_date]]-Table6[[#This Row],[surgery_date]]</f>
        <v>0</v>
      </c>
      <c r="J1049" s="9">
        <f t="shared" si="35"/>
        <v>30</v>
      </c>
    </row>
    <row r="1050" spans="1:10" ht="23.25" customHeight="1">
      <c r="A1050">
        <f>Table4[[#This Row],[Column1]]</f>
        <v>0</v>
      </c>
      <c r="B1050">
        <f>Table4[[#This Row],[Column2]]</f>
        <v>0</v>
      </c>
      <c r="H1050" s="9">
        <f>Table13[[#This Row],[dicharge_date]]</f>
        <v>0</v>
      </c>
      <c r="I1050" s="13">
        <f>Table6[[#This Row],[discharge_date]]-Table6[[#This Row],[surgery_date]]</f>
        <v>0</v>
      </c>
      <c r="J1050" s="9">
        <f t="shared" si="35"/>
        <v>30</v>
      </c>
    </row>
    <row r="1051" spans="1:10" ht="23.25" customHeight="1">
      <c r="A1051">
        <f>Table4[[#This Row],[Column1]]</f>
        <v>0</v>
      </c>
      <c r="B1051">
        <f>Table4[[#This Row],[Column2]]</f>
        <v>0</v>
      </c>
      <c r="H1051" s="9">
        <f>Table13[[#This Row],[dicharge_date]]</f>
        <v>0</v>
      </c>
      <c r="I1051" s="13">
        <f>Table6[[#This Row],[discharge_date]]-Table6[[#This Row],[surgery_date]]</f>
        <v>0</v>
      </c>
      <c r="J1051" s="9">
        <f t="shared" si="35"/>
        <v>30</v>
      </c>
    </row>
    <row r="1052" spans="1:10" ht="23.25" customHeight="1">
      <c r="A1052">
        <f>Table4[[#This Row],[Column1]]</f>
        <v>0</v>
      </c>
      <c r="B1052">
        <f>Table4[[#This Row],[Column2]]</f>
        <v>0</v>
      </c>
      <c r="H1052" s="9">
        <f>Table13[[#This Row],[dicharge_date]]</f>
        <v>0</v>
      </c>
      <c r="I1052" s="13">
        <f>Table6[[#This Row],[discharge_date]]-Table6[[#This Row],[surgery_date]]</f>
        <v>0</v>
      </c>
      <c r="J1052" s="9">
        <f t="shared" si="35"/>
        <v>30</v>
      </c>
    </row>
    <row r="1053" spans="1:10" ht="23.25" customHeight="1">
      <c r="A1053">
        <f>Table4[[#This Row],[Column1]]</f>
        <v>0</v>
      </c>
      <c r="B1053">
        <f>Table4[[#This Row],[Column2]]</f>
        <v>0</v>
      </c>
      <c r="H1053" s="9">
        <f>Table13[[#This Row],[dicharge_date]]</f>
        <v>0</v>
      </c>
      <c r="I1053" s="13">
        <f>Table6[[#This Row],[discharge_date]]-Table6[[#This Row],[surgery_date]]</f>
        <v>0</v>
      </c>
      <c r="J1053" s="9">
        <f t="shared" si="35"/>
        <v>30</v>
      </c>
    </row>
    <row r="1054" spans="1:10" ht="23.25" customHeight="1">
      <c r="A1054">
        <f>Table4[[#This Row],[Column1]]</f>
        <v>0</v>
      </c>
      <c r="B1054">
        <f>Table4[[#This Row],[Column2]]</f>
        <v>0</v>
      </c>
      <c r="H1054" s="9">
        <f>Table13[[#This Row],[dicharge_date]]</f>
        <v>0</v>
      </c>
      <c r="I1054" s="13">
        <f>Table6[[#This Row],[discharge_date]]-Table6[[#This Row],[surgery_date]]</f>
        <v>0</v>
      </c>
      <c r="J1054" s="9">
        <f t="shared" si="35"/>
        <v>30</v>
      </c>
    </row>
    <row r="1055" spans="1:10" ht="23.25" customHeight="1">
      <c r="A1055">
        <f>Table4[[#This Row],[Column1]]</f>
        <v>0</v>
      </c>
      <c r="B1055">
        <f>Table4[[#This Row],[Column2]]</f>
        <v>0</v>
      </c>
      <c r="H1055" s="9">
        <f>Table13[[#This Row],[dicharge_date]]</f>
        <v>0</v>
      </c>
      <c r="I1055" s="13">
        <f>Table6[[#This Row],[discharge_date]]-Table6[[#This Row],[surgery_date]]</f>
        <v>0</v>
      </c>
      <c r="J1055" s="9">
        <f t="shared" si="35"/>
        <v>30</v>
      </c>
    </row>
    <row r="1056" spans="1:10" ht="23.25" customHeight="1">
      <c r="A1056">
        <f>Table4[[#This Row],[Column1]]</f>
        <v>0</v>
      </c>
      <c r="B1056">
        <f>Table4[[#This Row],[Column2]]</f>
        <v>0</v>
      </c>
      <c r="H1056" s="9">
        <f>Table13[[#This Row],[dicharge_date]]</f>
        <v>0</v>
      </c>
      <c r="I1056" s="13">
        <f>Table6[[#This Row],[discharge_date]]-Table6[[#This Row],[surgery_date]]</f>
        <v>0</v>
      </c>
      <c r="J1056" s="9">
        <f t="shared" si="35"/>
        <v>30</v>
      </c>
    </row>
    <row r="1057" spans="1:10" ht="23.25" customHeight="1">
      <c r="A1057">
        <f>Table4[[#This Row],[Column1]]</f>
        <v>0</v>
      </c>
      <c r="B1057">
        <f>Table4[[#This Row],[Column2]]</f>
        <v>0</v>
      </c>
      <c r="H1057" s="9">
        <f>Table13[[#This Row],[dicharge_date]]</f>
        <v>0</v>
      </c>
      <c r="I1057" s="13">
        <f>Table6[[#This Row],[discharge_date]]-Table6[[#This Row],[surgery_date]]</f>
        <v>0</v>
      </c>
      <c r="J1057" s="9">
        <f t="shared" si="35"/>
        <v>30</v>
      </c>
    </row>
    <row r="1058" spans="1:10" ht="23.25" customHeight="1">
      <c r="A1058">
        <f>Table4[[#This Row],[Column1]]</f>
        <v>0</v>
      </c>
      <c r="B1058">
        <f>Table4[[#This Row],[Column2]]</f>
        <v>0</v>
      </c>
      <c r="H1058" s="9">
        <f>Table13[[#This Row],[dicharge_date]]</f>
        <v>0</v>
      </c>
      <c r="I1058" s="13">
        <f>Table6[[#This Row],[discharge_date]]-Table6[[#This Row],[surgery_date]]</f>
        <v>0</v>
      </c>
      <c r="J1058" s="9">
        <f t="shared" si="35"/>
        <v>30</v>
      </c>
    </row>
    <row r="1059" spans="1:10" ht="23.25" customHeight="1">
      <c r="A1059">
        <f>Table4[[#This Row],[Column1]]</f>
        <v>0</v>
      </c>
      <c r="B1059">
        <f>Table4[[#This Row],[Column2]]</f>
        <v>0</v>
      </c>
      <c r="H1059" s="9">
        <f>Table13[[#This Row],[dicharge_date]]</f>
        <v>0</v>
      </c>
      <c r="I1059" s="13">
        <f>Table6[[#This Row],[discharge_date]]-Table6[[#This Row],[surgery_date]]</f>
        <v>0</v>
      </c>
      <c r="J1059" s="9">
        <f t="shared" si="35"/>
        <v>30</v>
      </c>
    </row>
    <row r="1060" spans="1:10" ht="23.25" customHeight="1">
      <c r="A1060">
        <f>Table4[[#This Row],[Column1]]</f>
        <v>0</v>
      </c>
      <c r="B1060">
        <f>Table4[[#This Row],[Column2]]</f>
        <v>0</v>
      </c>
      <c r="H1060" s="9">
        <f>Table13[[#This Row],[dicharge_date]]</f>
        <v>0</v>
      </c>
      <c r="I1060" s="13">
        <f>Table6[[#This Row],[discharge_date]]-Table6[[#This Row],[surgery_date]]</f>
        <v>0</v>
      </c>
      <c r="J1060" s="9">
        <f t="shared" si="35"/>
        <v>30</v>
      </c>
    </row>
    <row r="1061" spans="1:10" ht="23.25" customHeight="1">
      <c r="A1061">
        <f>Table4[[#This Row],[Column1]]</f>
        <v>0</v>
      </c>
      <c r="B1061">
        <f>Table4[[#This Row],[Column2]]</f>
        <v>0</v>
      </c>
      <c r="H1061" s="9">
        <f>Table13[[#This Row],[dicharge_date]]</f>
        <v>0</v>
      </c>
      <c r="I1061" s="13">
        <f>Table6[[#This Row],[discharge_date]]-Table6[[#This Row],[surgery_date]]</f>
        <v>0</v>
      </c>
      <c r="J1061" s="9">
        <f t="shared" si="35"/>
        <v>30</v>
      </c>
    </row>
    <row r="1062" spans="1:10" ht="23.25" customHeight="1">
      <c r="A1062">
        <f>Table4[[#This Row],[Column1]]</f>
        <v>0</v>
      </c>
      <c r="B1062">
        <f>Table4[[#This Row],[Column2]]</f>
        <v>0</v>
      </c>
      <c r="H1062" s="9">
        <f>Table13[[#This Row],[dicharge_date]]</f>
        <v>0</v>
      </c>
      <c r="I1062" s="13">
        <f>Table6[[#This Row],[discharge_date]]-Table6[[#This Row],[surgery_date]]</f>
        <v>0</v>
      </c>
      <c r="J1062" s="9">
        <f t="shared" si="35"/>
        <v>30</v>
      </c>
    </row>
    <row r="1063" spans="1:10" ht="23.25" customHeight="1">
      <c r="A1063">
        <f>Table4[[#This Row],[Column1]]</f>
        <v>0</v>
      </c>
      <c r="B1063">
        <f>Table4[[#This Row],[Column2]]</f>
        <v>0</v>
      </c>
      <c r="H1063" s="9">
        <f>Table13[[#This Row],[dicharge_date]]</f>
        <v>0</v>
      </c>
      <c r="I1063" s="13">
        <f>Table6[[#This Row],[discharge_date]]-Table6[[#This Row],[surgery_date]]</f>
        <v>0</v>
      </c>
      <c r="J1063" s="9">
        <f t="shared" si="35"/>
        <v>30</v>
      </c>
    </row>
    <row r="1064" spans="1:10" ht="23.25" customHeight="1">
      <c r="A1064">
        <f>Table4[[#This Row],[Column1]]</f>
        <v>0</v>
      </c>
      <c r="B1064">
        <f>Table4[[#This Row],[Column2]]</f>
        <v>0</v>
      </c>
      <c r="H1064" s="9">
        <f>Table13[[#This Row],[dicharge_date]]</f>
        <v>0</v>
      </c>
      <c r="I1064" s="13">
        <f>Table6[[#This Row],[discharge_date]]-Table6[[#This Row],[surgery_date]]</f>
        <v>0</v>
      </c>
      <c r="J1064" s="9">
        <f t="shared" si="35"/>
        <v>30</v>
      </c>
    </row>
    <row r="1065" spans="1:10" ht="23.25" customHeight="1">
      <c r="A1065">
        <f>Table4[[#This Row],[Column1]]</f>
        <v>0</v>
      </c>
      <c r="B1065">
        <f>Table4[[#This Row],[Column2]]</f>
        <v>0</v>
      </c>
      <c r="H1065" s="9">
        <f>Table13[[#This Row],[dicharge_date]]</f>
        <v>0</v>
      </c>
      <c r="I1065" s="13">
        <f>Table6[[#This Row],[discharge_date]]-Table6[[#This Row],[surgery_date]]</f>
        <v>0</v>
      </c>
      <c r="J1065" s="9">
        <f t="shared" si="35"/>
        <v>30</v>
      </c>
    </row>
    <row r="1066" spans="1:10" ht="23.25" customHeight="1">
      <c r="A1066">
        <f>Table4[[#This Row],[Column1]]</f>
        <v>0</v>
      </c>
      <c r="B1066">
        <f>Table4[[#This Row],[Column2]]</f>
        <v>0</v>
      </c>
      <c r="H1066" s="9">
        <f>Table13[[#This Row],[dicharge_date]]</f>
        <v>0</v>
      </c>
      <c r="I1066" s="13">
        <f>Table6[[#This Row],[discharge_date]]-Table6[[#This Row],[surgery_date]]</f>
        <v>0</v>
      </c>
      <c r="J1066" s="9">
        <f t="shared" si="35"/>
        <v>30</v>
      </c>
    </row>
    <row r="1067" spans="1:10" ht="23.25" customHeight="1">
      <c r="A1067">
        <f>Table4[[#This Row],[Column1]]</f>
        <v>0</v>
      </c>
      <c r="B1067">
        <f>Table4[[#This Row],[Column2]]</f>
        <v>0</v>
      </c>
      <c r="H1067" s="9">
        <f>Table13[[#This Row],[dicharge_date]]</f>
        <v>0</v>
      </c>
      <c r="I1067" s="13">
        <f>Table6[[#This Row],[discharge_date]]-Table6[[#This Row],[surgery_date]]</f>
        <v>0</v>
      </c>
      <c r="J1067" s="9">
        <f t="shared" si="35"/>
        <v>30</v>
      </c>
    </row>
    <row r="1068" spans="1:10" ht="23.25" customHeight="1">
      <c r="A1068">
        <f>Table4[[#This Row],[Column1]]</f>
        <v>0</v>
      </c>
      <c r="B1068">
        <f>Table4[[#This Row],[Column2]]</f>
        <v>0</v>
      </c>
      <c r="H1068" s="9">
        <f>Table13[[#This Row],[dicharge_date]]</f>
        <v>0</v>
      </c>
      <c r="I1068" s="13">
        <f>Table6[[#This Row],[discharge_date]]-Table6[[#This Row],[surgery_date]]</f>
        <v>0</v>
      </c>
      <c r="J1068" s="9">
        <f t="shared" si="35"/>
        <v>30</v>
      </c>
    </row>
    <row r="1069" spans="1:10" ht="23.25" customHeight="1">
      <c r="A1069">
        <f>Table4[[#This Row],[Column1]]</f>
        <v>0</v>
      </c>
      <c r="B1069">
        <f>Table4[[#This Row],[Column2]]</f>
        <v>0</v>
      </c>
      <c r="H1069" s="9">
        <f>Table13[[#This Row],[dicharge_date]]</f>
        <v>0</v>
      </c>
      <c r="I1069" s="13">
        <f>Table6[[#This Row],[discharge_date]]-Table6[[#This Row],[surgery_date]]</f>
        <v>0</v>
      </c>
      <c r="J1069" s="9">
        <f t="shared" si="35"/>
        <v>30</v>
      </c>
    </row>
    <row r="1070" spans="1:10" ht="23.25" customHeight="1">
      <c r="A1070">
        <f>Table4[[#This Row],[Column1]]</f>
        <v>0</v>
      </c>
      <c r="B1070">
        <f>Table4[[#This Row],[Column2]]</f>
        <v>0</v>
      </c>
      <c r="H1070" s="9">
        <f>Table13[[#This Row],[dicharge_date]]</f>
        <v>0</v>
      </c>
      <c r="I1070" s="13">
        <f>Table6[[#This Row],[discharge_date]]-Table6[[#This Row],[surgery_date]]</f>
        <v>0</v>
      </c>
      <c r="J1070" s="9">
        <f t="shared" si="35"/>
        <v>30</v>
      </c>
    </row>
    <row r="1071" spans="1:10" ht="23.25" customHeight="1">
      <c r="A1071">
        <f>Table4[[#This Row],[Column1]]</f>
        <v>0</v>
      </c>
      <c r="B1071">
        <f>Table4[[#This Row],[Column2]]</f>
        <v>0</v>
      </c>
      <c r="H1071" s="9">
        <f>Table13[[#This Row],[dicharge_date]]</f>
        <v>0</v>
      </c>
      <c r="I1071" s="13">
        <f>Table6[[#This Row],[discharge_date]]-Table6[[#This Row],[surgery_date]]</f>
        <v>0</v>
      </c>
      <c r="J1071" s="9">
        <f t="shared" si="35"/>
        <v>30</v>
      </c>
    </row>
    <row r="1072" spans="1:10" ht="23.25" customHeight="1">
      <c r="A1072">
        <f>Table4[[#This Row],[Column1]]</f>
        <v>0</v>
      </c>
      <c r="B1072">
        <f>Table4[[#This Row],[Column2]]</f>
        <v>0</v>
      </c>
      <c r="H1072" s="9">
        <f>Table13[[#This Row],[dicharge_date]]</f>
        <v>0</v>
      </c>
      <c r="I1072" s="13">
        <f>Table6[[#This Row],[discharge_date]]-Table6[[#This Row],[surgery_date]]</f>
        <v>0</v>
      </c>
      <c r="J1072" s="9">
        <f t="shared" si="35"/>
        <v>30</v>
      </c>
    </row>
    <row r="1073" spans="1:10" ht="23.25" customHeight="1">
      <c r="A1073">
        <f>Table4[[#This Row],[Column1]]</f>
        <v>0</v>
      </c>
      <c r="B1073">
        <f>Table4[[#This Row],[Column2]]</f>
        <v>0</v>
      </c>
      <c r="H1073" s="9">
        <f>Table13[[#This Row],[dicharge_date]]</f>
        <v>0</v>
      </c>
      <c r="I1073" s="13">
        <f>Table6[[#This Row],[discharge_date]]-Table6[[#This Row],[surgery_date]]</f>
        <v>0</v>
      </c>
      <c r="J1073" s="9">
        <f t="shared" si="35"/>
        <v>30</v>
      </c>
    </row>
    <row r="1074" spans="1:10" ht="23.25" customHeight="1">
      <c r="A1074">
        <f>Table4[[#This Row],[Column1]]</f>
        <v>0</v>
      </c>
      <c r="B1074">
        <f>Table4[[#This Row],[Column2]]</f>
        <v>0</v>
      </c>
      <c r="H1074" s="9">
        <f>Table13[[#This Row],[dicharge_date]]</f>
        <v>0</v>
      </c>
      <c r="I1074" s="13">
        <f>Table6[[#This Row],[discharge_date]]-Table6[[#This Row],[surgery_date]]</f>
        <v>0</v>
      </c>
      <c r="J1074" s="9">
        <f t="shared" si="35"/>
        <v>30</v>
      </c>
    </row>
    <row r="1075" spans="1:10" ht="23.25" customHeight="1">
      <c r="A1075">
        <f>Table4[[#This Row],[Column1]]</f>
        <v>0</v>
      </c>
      <c r="B1075">
        <f>Table4[[#This Row],[Column2]]</f>
        <v>0</v>
      </c>
      <c r="H1075" s="9">
        <f>Table13[[#This Row],[dicharge_date]]</f>
        <v>0</v>
      </c>
      <c r="I1075" s="13">
        <f>Table6[[#This Row],[discharge_date]]-Table6[[#This Row],[surgery_date]]</f>
        <v>0</v>
      </c>
      <c r="J1075" s="9">
        <f t="shared" si="35"/>
        <v>30</v>
      </c>
    </row>
    <row r="1076" spans="1:10" ht="23.25" customHeight="1">
      <c r="A1076">
        <f>Table4[[#This Row],[Column1]]</f>
        <v>0</v>
      </c>
      <c r="B1076">
        <f>Table4[[#This Row],[Column2]]</f>
        <v>0</v>
      </c>
      <c r="H1076" s="9">
        <f>Table13[[#This Row],[dicharge_date]]</f>
        <v>0</v>
      </c>
      <c r="I1076" s="13">
        <f>Table6[[#This Row],[discharge_date]]-Table6[[#This Row],[surgery_date]]</f>
        <v>0</v>
      </c>
      <c r="J1076" s="9">
        <f t="shared" si="35"/>
        <v>30</v>
      </c>
    </row>
    <row r="1077" spans="1:10" ht="23.25" customHeight="1">
      <c r="A1077">
        <f>Table4[[#This Row],[Column1]]</f>
        <v>0</v>
      </c>
      <c r="B1077">
        <f>Table4[[#This Row],[Column2]]</f>
        <v>0</v>
      </c>
      <c r="H1077" s="9">
        <f>Table13[[#This Row],[dicharge_date]]</f>
        <v>0</v>
      </c>
      <c r="I1077" s="13">
        <f>Table6[[#This Row],[discharge_date]]-Table6[[#This Row],[surgery_date]]</f>
        <v>0</v>
      </c>
      <c r="J1077" s="9">
        <f t="shared" si="35"/>
        <v>30</v>
      </c>
    </row>
    <row r="1078" spans="1:10" ht="23.25" customHeight="1">
      <c r="A1078">
        <f>Table4[[#This Row],[Column1]]</f>
        <v>0</v>
      </c>
      <c r="B1078">
        <f>Table4[[#This Row],[Column2]]</f>
        <v>0</v>
      </c>
      <c r="H1078" s="9">
        <f>Table13[[#This Row],[dicharge_date]]</f>
        <v>0</v>
      </c>
      <c r="I1078" s="13">
        <f>Table6[[#This Row],[discharge_date]]-Table6[[#This Row],[surgery_date]]</f>
        <v>0</v>
      </c>
      <c r="J1078" s="9">
        <f t="shared" si="35"/>
        <v>30</v>
      </c>
    </row>
    <row r="1079" spans="1:10" ht="23.25" customHeight="1">
      <c r="A1079">
        <f>Table4[[#This Row],[Column1]]</f>
        <v>0</v>
      </c>
      <c r="B1079">
        <f>Table4[[#This Row],[Column2]]</f>
        <v>0</v>
      </c>
      <c r="H1079" s="9">
        <f>Table13[[#This Row],[dicharge_date]]</f>
        <v>0</v>
      </c>
      <c r="I1079" s="13">
        <f>Table6[[#This Row],[discharge_date]]-Table6[[#This Row],[surgery_date]]</f>
        <v>0</v>
      </c>
      <c r="J1079" s="9">
        <f t="shared" si="35"/>
        <v>30</v>
      </c>
    </row>
    <row r="1080" spans="1:10" ht="23.25" customHeight="1">
      <c r="A1080">
        <f>Table4[[#This Row],[Column1]]</f>
        <v>0</v>
      </c>
      <c r="B1080">
        <f>Table4[[#This Row],[Column2]]</f>
        <v>0</v>
      </c>
      <c r="H1080" s="9">
        <f>Table13[[#This Row],[dicharge_date]]</f>
        <v>0</v>
      </c>
      <c r="I1080" s="13">
        <f>Table6[[#This Row],[discharge_date]]-Table6[[#This Row],[surgery_date]]</f>
        <v>0</v>
      </c>
      <c r="J1080" s="9">
        <f t="shared" si="35"/>
        <v>30</v>
      </c>
    </row>
    <row r="1081" spans="1:10" ht="23.25" customHeight="1">
      <c r="A1081">
        <f>Table4[[#This Row],[Column1]]</f>
        <v>0</v>
      </c>
      <c r="B1081">
        <f>Table4[[#This Row],[Column2]]</f>
        <v>0</v>
      </c>
      <c r="H1081" s="9">
        <f>Table13[[#This Row],[dicharge_date]]</f>
        <v>0</v>
      </c>
      <c r="I1081" s="13">
        <f>Table6[[#This Row],[discharge_date]]-Table6[[#This Row],[surgery_date]]</f>
        <v>0</v>
      </c>
      <c r="J1081" s="9">
        <f t="shared" si="35"/>
        <v>30</v>
      </c>
    </row>
    <row r="1082" spans="1:10" ht="23.25" customHeight="1">
      <c r="A1082">
        <f>Table4[[#This Row],[Column1]]</f>
        <v>0</v>
      </c>
      <c r="B1082">
        <f>Table4[[#This Row],[Column2]]</f>
        <v>0</v>
      </c>
      <c r="H1082" s="9">
        <f>Table13[[#This Row],[dicharge_date]]</f>
        <v>0</v>
      </c>
      <c r="I1082" s="13">
        <f>Table6[[#This Row],[discharge_date]]-Table6[[#This Row],[surgery_date]]</f>
        <v>0</v>
      </c>
      <c r="J1082" s="9">
        <f t="shared" si="35"/>
        <v>30</v>
      </c>
    </row>
    <row r="1083" spans="1:10" ht="23.25" customHeight="1">
      <c r="A1083">
        <f>Table4[[#This Row],[Column1]]</f>
        <v>0</v>
      </c>
      <c r="B1083">
        <f>Table4[[#This Row],[Column2]]</f>
        <v>0</v>
      </c>
      <c r="H1083" s="9">
        <f>Table13[[#This Row],[dicharge_date]]</f>
        <v>0</v>
      </c>
      <c r="I1083" s="13">
        <f>Table6[[#This Row],[discharge_date]]-Table6[[#This Row],[surgery_date]]</f>
        <v>0</v>
      </c>
      <c r="J1083" s="9">
        <f t="shared" si="35"/>
        <v>30</v>
      </c>
    </row>
    <row r="1084" spans="1:10" ht="23.25" customHeight="1">
      <c r="A1084">
        <f>Table4[[#This Row],[Column1]]</f>
        <v>0</v>
      </c>
      <c r="B1084">
        <f>Table4[[#This Row],[Column2]]</f>
        <v>0</v>
      </c>
      <c r="H1084" s="9">
        <f>Table13[[#This Row],[dicharge_date]]</f>
        <v>0</v>
      </c>
      <c r="I1084" s="13">
        <f>Table6[[#This Row],[discharge_date]]-Table6[[#This Row],[surgery_date]]</f>
        <v>0</v>
      </c>
      <c r="J1084" s="9">
        <f t="shared" si="35"/>
        <v>30</v>
      </c>
    </row>
    <row r="1085" spans="1:10" ht="23.25" customHeight="1">
      <c r="A1085">
        <f>Table4[[#This Row],[Column1]]</f>
        <v>0</v>
      </c>
      <c r="B1085">
        <f>Table4[[#This Row],[Column2]]</f>
        <v>0</v>
      </c>
      <c r="H1085" s="9">
        <f>Table13[[#This Row],[dicharge_date]]</f>
        <v>0</v>
      </c>
      <c r="I1085" s="13">
        <f>Table6[[#This Row],[discharge_date]]-Table6[[#This Row],[surgery_date]]</f>
        <v>0</v>
      </c>
      <c r="J1085" s="9">
        <f t="shared" si="35"/>
        <v>30</v>
      </c>
    </row>
    <row r="1086" spans="1:10" ht="23.25" customHeight="1">
      <c r="A1086">
        <f>Table4[[#This Row],[Column1]]</f>
        <v>0</v>
      </c>
      <c r="B1086">
        <f>Table4[[#This Row],[Column2]]</f>
        <v>0</v>
      </c>
      <c r="H1086" s="9">
        <f>Table13[[#This Row],[dicharge_date]]</f>
        <v>0</v>
      </c>
      <c r="I1086" s="13">
        <f>Table6[[#This Row],[discharge_date]]-Table6[[#This Row],[surgery_date]]</f>
        <v>0</v>
      </c>
      <c r="J1086" s="9">
        <f t="shared" si="35"/>
        <v>30</v>
      </c>
    </row>
    <row r="1087" spans="1:10" ht="23.25" customHeight="1">
      <c r="A1087">
        <f>Table4[[#This Row],[Column1]]</f>
        <v>0</v>
      </c>
      <c r="B1087">
        <f>Table4[[#This Row],[Column2]]</f>
        <v>0</v>
      </c>
      <c r="H1087" s="9">
        <f>Table13[[#This Row],[dicharge_date]]</f>
        <v>0</v>
      </c>
      <c r="I1087" s="13">
        <f>Table6[[#This Row],[discharge_date]]-Table6[[#This Row],[surgery_date]]</f>
        <v>0</v>
      </c>
      <c r="J1087" s="9">
        <f t="shared" si="35"/>
        <v>30</v>
      </c>
    </row>
    <row r="1088" spans="1:10" ht="23.25" customHeight="1">
      <c r="A1088">
        <f>Table4[[#This Row],[Column1]]</f>
        <v>0</v>
      </c>
      <c r="B1088">
        <f>Table4[[#This Row],[Column2]]</f>
        <v>0</v>
      </c>
      <c r="H1088" s="9">
        <f>Table13[[#This Row],[dicharge_date]]</f>
        <v>0</v>
      </c>
      <c r="I1088" s="13">
        <f>Table6[[#This Row],[discharge_date]]-Table6[[#This Row],[surgery_date]]</f>
        <v>0</v>
      </c>
      <c r="J1088" s="9">
        <f t="shared" si="35"/>
        <v>30</v>
      </c>
    </row>
    <row r="1089" spans="1:10" ht="23.25" customHeight="1">
      <c r="A1089">
        <f>Table4[[#This Row],[Column1]]</f>
        <v>0</v>
      </c>
      <c r="B1089">
        <f>Table4[[#This Row],[Column2]]</f>
        <v>0</v>
      </c>
      <c r="H1089" s="9">
        <f>Table13[[#This Row],[dicharge_date]]</f>
        <v>0</v>
      </c>
      <c r="I1089" s="13">
        <f>Table6[[#This Row],[discharge_date]]-Table6[[#This Row],[surgery_date]]</f>
        <v>0</v>
      </c>
      <c r="J1089" s="9">
        <f t="shared" si="35"/>
        <v>30</v>
      </c>
    </row>
    <row r="1090" spans="1:10" ht="23.25" customHeight="1">
      <c r="A1090">
        <f>Table4[[#This Row],[Column1]]</f>
        <v>0</v>
      </c>
      <c r="B1090">
        <f>Table4[[#This Row],[Column2]]</f>
        <v>0</v>
      </c>
      <c r="H1090" s="9">
        <f>Table13[[#This Row],[dicharge_date]]</f>
        <v>0</v>
      </c>
      <c r="I1090" s="13">
        <f>Table6[[#This Row],[discharge_date]]-Table6[[#This Row],[surgery_date]]</f>
        <v>0</v>
      </c>
      <c r="J1090" s="9">
        <f t="shared" ref="J1090:J1153" si="36">IF( H1090&lt;&gt;"", H1090+30,"")</f>
        <v>30</v>
      </c>
    </row>
    <row r="1091" spans="1:10" ht="23.25" customHeight="1">
      <c r="A1091">
        <f>Table4[[#This Row],[Column1]]</f>
        <v>0</v>
      </c>
      <c r="B1091">
        <f>Table4[[#This Row],[Column2]]</f>
        <v>0</v>
      </c>
      <c r="H1091" s="9">
        <f>Table13[[#This Row],[dicharge_date]]</f>
        <v>0</v>
      </c>
      <c r="I1091" s="13">
        <f>Table6[[#This Row],[discharge_date]]-Table6[[#This Row],[surgery_date]]</f>
        <v>0</v>
      </c>
      <c r="J1091" s="9">
        <f t="shared" si="36"/>
        <v>30</v>
      </c>
    </row>
    <row r="1092" spans="1:10" ht="23.25" customHeight="1">
      <c r="A1092">
        <f>Table4[[#This Row],[Column1]]</f>
        <v>0</v>
      </c>
      <c r="B1092">
        <f>Table4[[#This Row],[Column2]]</f>
        <v>0</v>
      </c>
      <c r="H1092" s="9">
        <f>Table13[[#This Row],[dicharge_date]]</f>
        <v>0</v>
      </c>
      <c r="I1092" s="13">
        <f>Table6[[#This Row],[discharge_date]]-Table6[[#This Row],[surgery_date]]</f>
        <v>0</v>
      </c>
      <c r="J1092" s="9">
        <f t="shared" si="36"/>
        <v>30</v>
      </c>
    </row>
    <row r="1093" spans="1:10" ht="23.25" customHeight="1">
      <c r="A1093">
        <f>Table4[[#This Row],[Column1]]</f>
        <v>0</v>
      </c>
      <c r="B1093">
        <f>Table4[[#This Row],[Column2]]</f>
        <v>0</v>
      </c>
      <c r="H1093" s="9">
        <f>Table13[[#This Row],[dicharge_date]]</f>
        <v>0</v>
      </c>
      <c r="I1093" s="13">
        <f>Table6[[#This Row],[discharge_date]]-Table6[[#This Row],[surgery_date]]</f>
        <v>0</v>
      </c>
      <c r="J1093" s="9">
        <f t="shared" si="36"/>
        <v>30</v>
      </c>
    </row>
    <row r="1094" spans="1:10" ht="23.25" customHeight="1">
      <c r="A1094">
        <f>Table4[[#This Row],[Column1]]</f>
        <v>0</v>
      </c>
      <c r="B1094">
        <f>Table4[[#This Row],[Column2]]</f>
        <v>0</v>
      </c>
      <c r="H1094" s="9">
        <f>Table13[[#This Row],[dicharge_date]]</f>
        <v>0</v>
      </c>
      <c r="I1094" s="13">
        <f>Table6[[#This Row],[discharge_date]]-Table6[[#This Row],[surgery_date]]</f>
        <v>0</v>
      </c>
      <c r="J1094" s="9">
        <f t="shared" si="36"/>
        <v>30</v>
      </c>
    </row>
    <row r="1095" spans="1:10" ht="23.25" customHeight="1">
      <c r="A1095">
        <f>Table4[[#This Row],[Column1]]</f>
        <v>0</v>
      </c>
      <c r="B1095">
        <f>Table4[[#This Row],[Column2]]</f>
        <v>0</v>
      </c>
      <c r="H1095" s="9">
        <f>Table13[[#This Row],[dicharge_date]]</f>
        <v>0</v>
      </c>
      <c r="I1095" s="13">
        <f>Table6[[#This Row],[discharge_date]]-Table6[[#This Row],[surgery_date]]</f>
        <v>0</v>
      </c>
      <c r="J1095" s="9">
        <f t="shared" si="36"/>
        <v>30</v>
      </c>
    </row>
    <row r="1096" spans="1:10" ht="23.25" customHeight="1">
      <c r="A1096">
        <f>Table4[[#This Row],[Column1]]</f>
        <v>0</v>
      </c>
      <c r="B1096">
        <f>Table4[[#This Row],[Column2]]</f>
        <v>0</v>
      </c>
      <c r="H1096" s="9">
        <f>Table13[[#This Row],[dicharge_date]]</f>
        <v>0</v>
      </c>
      <c r="I1096" s="13">
        <f>Table6[[#This Row],[discharge_date]]-Table6[[#This Row],[surgery_date]]</f>
        <v>0</v>
      </c>
      <c r="J1096" s="9">
        <f t="shared" si="36"/>
        <v>30</v>
      </c>
    </row>
    <row r="1097" spans="1:10" ht="23.25" customHeight="1">
      <c r="A1097">
        <f>Table4[[#This Row],[Column1]]</f>
        <v>0</v>
      </c>
      <c r="B1097">
        <f>Table4[[#This Row],[Column2]]</f>
        <v>0</v>
      </c>
      <c r="H1097" s="9">
        <f>Table13[[#This Row],[dicharge_date]]</f>
        <v>0</v>
      </c>
      <c r="I1097" s="13">
        <f>Table6[[#This Row],[discharge_date]]-Table6[[#This Row],[surgery_date]]</f>
        <v>0</v>
      </c>
      <c r="J1097" s="9">
        <f t="shared" si="36"/>
        <v>30</v>
      </c>
    </row>
    <row r="1098" spans="1:10" ht="23.25" customHeight="1">
      <c r="A1098">
        <f>Table4[[#This Row],[Column1]]</f>
        <v>0</v>
      </c>
      <c r="B1098">
        <f>Table4[[#This Row],[Column2]]</f>
        <v>0</v>
      </c>
      <c r="H1098" s="9">
        <f>Table13[[#This Row],[dicharge_date]]</f>
        <v>0</v>
      </c>
      <c r="I1098" s="13">
        <f>Table6[[#This Row],[discharge_date]]-Table6[[#This Row],[surgery_date]]</f>
        <v>0</v>
      </c>
      <c r="J1098" s="9">
        <f t="shared" si="36"/>
        <v>30</v>
      </c>
    </row>
    <row r="1099" spans="1:10" ht="23.25" customHeight="1">
      <c r="A1099">
        <f>Table4[[#This Row],[Column1]]</f>
        <v>0</v>
      </c>
      <c r="B1099">
        <f>Table4[[#This Row],[Column2]]</f>
        <v>0</v>
      </c>
      <c r="H1099" s="9">
        <f>Table13[[#This Row],[dicharge_date]]</f>
        <v>0</v>
      </c>
      <c r="I1099" s="13">
        <f>Table6[[#This Row],[discharge_date]]-Table6[[#This Row],[surgery_date]]</f>
        <v>0</v>
      </c>
      <c r="J1099" s="9">
        <f t="shared" si="36"/>
        <v>30</v>
      </c>
    </row>
    <row r="1100" spans="1:10" ht="23.25" customHeight="1">
      <c r="A1100">
        <f>Table4[[#This Row],[Column1]]</f>
        <v>0</v>
      </c>
      <c r="B1100">
        <f>Table4[[#This Row],[Column2]]</f>
        <v>0</v>
      </c>
      <c r="H1100" s="9">
        <f>Table13[[#This Row],[dicharge_date]]</f>
        <v>0</v>
      </c>
      <c r="I1100" s="13">
        <f>Table6[[#This Row],[discharge_date]]-Table6[[#This Row],[surgery_date]]</f>
        <v>0</v>
      </c>
      <c r="J1100" s="9">
        <f t="shared" si="36"/>
        <v>30</v>
      </c>
    </row>
    <row r="1101" spans="1:10" ht="23.25" customHeight="1">
      <c r="A1101">
        <f>Table4[[#This Row],[Column1]]</f>
        <v>0</v>
      </c>
      <c r="B1101">
        <f>Table4[[#This Row],[Column2]]</f>
        <v>0</v>
      </c>
      <c r="H1101" s="9">
        <f>Table13[[#This Row],[dicharge_date]]</f>
        <v>0</v>
      </c>
      <c r="I1101" s="13">
        <f>Table6[[#This Row],[discharge_date]]-Table6[[#This Row],[surgery_date]]</f>
        <v>0</v>
      </c>
      <c r="J1101" s="9">
        <f t="shared" si="36"/>
        <v>30</v>
      </c>
    </row>
    <row r="1102" spans="1:10" ht="23.25" customHeight="1">
      <c r="A1102">
        <f>Table4[[#This Row],[Column1]]</f>
        <v>0</v>
      </c>
      <c r="B1102">
        <f>Table4[[#This Row],[Column2]]</f>
        <v>0</v>
      </c>
      <c r="H1102" s="9">
        <f>Table13[[#This Row],[dicharge_date]]</f>
        <v>0</v>
      </c>
      <c r="I1102" s="13">
        <f>Table6[[#This Row],[discharge_date]]-Table6[[#This Row],[surgery_date]]</f>
        <v>0</v>
      </c>
      <c r="J1102" s="9">
        <f t="shared" si="36"/>
        <v>30</v>
      </c>
    </row>
    <row r="1103" spans="1:10" ht="23.25" customHeight="1">
      <c r="A1103">
        <f>Table4[[#This Row],[Column1]]</f>
        <v>0</v>
      </c>
      <c r="B1103">
        <f>Table4[[#This Row],[Column2]]</f>
        <v>0</v>
      </c>
      <c r="H1103" s="9">
        <f>Table13[[#This Row],[dicharge_date]]</f>
        <v>0</v>
      </c>
      <c r="I1103" s="13">
        <f>Table6[[#This Row],[discharge_date]]-Table6[[#This Row],[surgery_date]]</f>
        <v>0</v>
      </c>
      <c r="J1103" s="9">
        <f t="shared" si="36"/>
        <v>30</v>
      </c>
    </row>
    <row r="1104" spans="1:10" ht="23.25" customHeight="1">
      <c r="A1104">
        <f>Table4[[#This Row],[Column1]]</f>
        <v>0</v>
      </c>
      <c r="B1104">
        <f>Table4[[#This Row],[Column2]]</f>
        <v>0</v>
      </c>
      <c r="H1104" s="9">
        <f>Table13[[#This Row],[dicharge_date]]</f>
        <v>0</v>
      </c>
      <c r="I1104" s="13">
        <f>Table6[[#This Row],[discharge_date]]-Table6[[#This Row],[surgery_date]]</f>
        <v>0</v>
      </c>
      <c r="J1104" s="9">
        <f t="shared" si="36"/>
        <v>30</v>
      </c>
    </row>
    <row r="1105" spans="1:10" ht="23.25" customHeight="1">
      <c r="A1105">
        <f>Table4[[#This Row],[Column1]]</f>
        <v>0</v>
      </c>
      <c r="B1105">
        <f>Table4[[#This Row],[Column2]]</f>
        <v>0</v>
      </c>
      <c r="H1105" s="9">
        <f>Table13[[#This Row],[dicharge_date]]</f>
        <v>0</v>
      </c>
      <c r="I1105" s="13">
        <f>Table6[[#This Row],[discharge_date]]-Table6[[#This Row],[surgery_date]]</f>
        <v>0</v>
      </c>
      <c r="J1105" s="9">
        <f t="shared" si="36"/>
        <v>30</v>
      </c>
    </row>
    <row r="1106" spans="1:10" ht="23.25" customHeight="1">
      <c r="A1106">
        <f>Table4[[#This Row],[Column1]]</f>
        <v>0</v>
      </c>
      <c r="B1106">
        <f>Table4[[#This Row],[Column2]]</f>
        <v>0</v>
      </c>
      <c r="H1106" s="9">
        <f>Table13[[#This Row],[dicharge_date]]</f>
        <v>0</v>
      </c>
      <c r="I1106" s="13">
        <f>Table6[[#This Row],[discharge_date]]-Table6[[#This Row],[surgery_date]]</f>
        <v>0</v>
      </c>
      <c r="J1106" s="9">
        <f t="shared" si="36"/>
        <v>30</v>
      </c>
    </row>
    <row r="1107" spans="1:10" ht="23.25" customHeight="1">
      <c r="A1107">
        <f>Table4[[#This Row],[Column1]]</f>
        <v>0</v>
      </c>
      <c r="B1107">
        <f>Table4[[#This Row],[Column2]]</f>
        <v>0</v>
      </c>
      <c r="H1107" s="9">
        <f>Table13[[#This Row],[dicharge_date]]</f>
        <v>0</v>
      </c>
      <c r="I1107" s="13">
        <f>Table6[[#This Row],[discharge_date]]-Table6[[#This Row],[surgery_date]]</f>
        <v>0</v>
      </c>
      <c r="J1107" s="9">
        <f t="shared" si="36"/>
        <v>30</v>
      </c>
    </row>
    <row r="1108" spans="1:10" ht="23.25" customHeight="1">
      <c r="A1108">
        <f>Table4[[#This Row],[Column1]]</f>
        <v>0</v>
      </c>
      <c r="B1108">
        <f>Table4[[#This Row],[Column2]]</f>
        <v>0</v>
      </c>
      <c r="H1108" s="9">
        <f>Table13[[#This Row],[dicharge_date]]</f>
        <v>0</v>
      </c>
      <c r="I1108" s="13">
        <f>Table6[[#This Row],[discharge_date]]-Table6[[#This Row],[surgery_date]]</f>
        <v>0</v>
      </c>
      <c r="J1108" s="9">
        <f t="shared" si="36"/>
        <v>30</v>
      </c>
    </row>
    <row r="1109" spans="1:10" ht="23.25" customHeight="1">
      <c r="A1109">
        <f>Table4[[#This Row],[Column1]]</f>
        <v>0</v>
      </c>
      <c r="B1109">
        <f>Table4[[#This Row],[Column2]]</f>
        <v>0</v>
      </c>
      <c r="H1109" s="9">
        <f>Table13[[#This Row],[dicharge_date]]</f>
        <v>0</v>
      </c>
      <c r="I1109" s="13">
        <f>Table6[[#This Row],[discharge_date]]-Table6[[#This Row],[surgery_date]]</f>
        <v>0</v>
      </c>
      <c r="J1109" s="9">
        <f t="shared" si="36"/>
        <v>30</v>
      </c>
    </row>
    <row r="1110" spans="1:10" ht="23.25" customHeight="1">
      <c r="A1110">
        <f>Table4[[#This Row],[Column1]]</f>
        <v>0</v>
      </c>
      <c r="B1110">
        <f>Table4[[#This Row],[Column2]]</f>
        <v>0</v>
      </c>
      <c r="H1110" s="9">
        <f>Table13[[#This Row],[dicharge_date]]</f>
        <v>0</v>
      </c>
      <c r="I1110" s="13">
        <f>Table6[[#This Row],[discharge_date]]-Table6[[#This Row],[surgery_date]]</f>
        <v>0</v>
      </c>
      <c r="J1110" s="9">
        <f t="shared" si="36"/>
        <v>30</v>
      </c>
    </row>
    <row r="1111" spans="1:10" ht="23.25" customHeight="1">
      <c r="A1111">
        <f>Table4[[#This Row],[Column1]]</f>
        <v>0</v>
      </c>
      <c r="B1111">
        <f>Table4[[#This Row],[Column2]]</f>
        <v>0</v>
      </c>
      <c r="H1111" s="9">
        <f>Table13[[#This Row],[dicharge_date]]</f>
        <v>0</v>
      </c>
      <c r="I1111" s="13">
        <f>Table6[[#This Row],[discharge_date]]-Table6[[#This Row],[surgery_date]]</f>
        <v>0</v>
      </c>
      <c r="J1111" s="9">
        <f t="shared" si="36"/>
        <v>30</v>
      </c>
    </row>
    <row r="1112" spans="1:10" ht="23.25" customHeight="1">
      <c r="A1112">
        <f>Table4[[#This Row],[Column1]]</f>
        <v>0</v>
      </c>
      <c r="B1112">
        <f>Table4[[#This Row],[Column2]]</f>
        <v>0</v>
      </c>
      <c r="H1112" s="9">
        <f>Table13[[#This Row],[dicharge_date]]</f>
        <v>0</v>
      </c>
      <c r="I1112" s="13">
        <f>Table6[[#This Row],[discharge_date]]-Table6[[#This Row],[surgery_date]]</f>
        <v>0</v>
      </c>
      <c r="J1112" s="9">
        <f t="shared" si="36"/>
        <v>30</v>
      </c>
    </row>
    <row r="1113" spans="1:10" ht="23.25" customHeight="1">
      <c r="A1113">
        <f>Table4[[#This Row],[Column1]]</f>
        <v>0</v>
      </c>
      <c r="B1113">
        <f>Table4[[#This Row],[Column2]]</f>
        <v>0</v>
      </c>
      <c r="H1113" s="9">
        <f>Table13[[#This Row],[dicharge_date]]</f>
        <v>0</v>
      </c>
      <c r="I1113" s="13">
        <f>Table6[[#This Row],[discharge_date]]-Table6[[#This Row],[surgery_date]]</f>
        <v>0</v>
      </c>
      <c r="J1113" s="9">
        <f t="shared" si="36"/>
        <v>30</v>
      </c>
    </row>
    <row r="1114" spans="1:10" ht="23.25" customHeight="1">
      <c r="A1114">
        <f>Table4[[#This Row],[Column1]]</f>
        <v>0</v>
      </c>
      <c r="B1114">
        <f>Table4[[#This Row],[Column2]]</f>
        <v>0</v>
      </c>
      <c r="H1114" s="9">
        <f>Table13[[#This Row],[dicharge_date]]</f>
        <v>0</v>
      </c>
      <c r="I1114" s="13">
        <f>Table6[[#This Row],[discharge_date]]-Table6[[#This Row],[surgery_date]]</f>
        <v>0</v>
      </c>
      <c r="J1114" s="9">
        <f t="shared" si="36"/>
        <v>30</v>
      </c>
    </row>
    <row r="1115" spans="1:10" ht="23.25" customHeight="1">
      <c r="A1115">
        <f>Table4[[#This Row],[Column1]]</f>
        <v>0</v>
      </c>
      <c r="B1115">
        <f>Table4[[#This Row],[Column2]]</f>
        <v>0</v>
      </c>
      <c r="H1115" s="9">
        <f>Table13[[#This Row],[dicharge_date]]</f>
        <v>0</v>
      </c>
      <c r="I1115" s="13">
        <f>Table6[[#This Row],[discharge_date]]-Table6[[#This Row],[surgery_date]]</f>
        <v>0</v>
      </c>
      <c r="J1115" s="9">
        <f t="shared" si="36"/>
        <v>30</v>
      </c>
    </row>
    <row r="1116" spans="1:10" ht="23.25" customHeight="1">
      <c r="A1116">
        <f>Table4[[#This Row],[Column1]]</f>
        <v>0</v>
      </c>
      <c r="B1116">
        <f>Table4[[#This Row],[Column2]]</f>
        <v>0</v>
      </c>
      <c r="H1116" s="9">
        <f>Table13[[#This Row],[dicharge_date]]</f>
        <v>0</v>
      </c>
      <c r="I1116" s="13">
        <f>Table6[[#This Row],[discharge_date]]-Table6[[#This Row],[surgery_date]]</f>
        <v>0</v>
      </c>
      <c r="J1116" s="9">
        <f t="shared" si="36"/>
        <v>30</v>
      </c>
    </row>
    <row r="1117" spans="1:10" ht="23.25" customHeight="1">
      <c r="A1117">
        <f>Table4[[#This Row],[Column1]]</f>
        <v>0</v>
      </c>
      <c r="B1117">
        <f>Table4[[#This Row],[Column2]]</f>
        <v>0</v>
      </c>
      <c r="I1117" s="13">
        <f>Table6[[#This Row],[discharge_date]]-Table6[[#This Row],[surgery_date]]</f>
        <v>0</v>
      </c>
      <c r="J1117" s="9" t="str">
        <f t="shared" si="36"/>
        <v/>
      </c>
    </row>
    <row r="1118" spans="1:10" ht="23.25" customHeight="1">
      <c r="A1118">
        <f>Table4[[#This Row],[Column1]]</f>
        <v>0</v>
      </c>
      <c r="B1118">
        <f>Table4[[#This Row],[Column2]]</f>
        <v>0</v>
      </c>
      <c r="I1118" s="13">
        <f>Table6[[#This Row],[discharge_date]]-Table6[[#This Row],[surgery_date]]</f>
        <v>0</v>
      </c>
      <c r="J1118" s="9" t="str">
        <f t="shared" si="36"/>
        <v/>
      </c>
    </row>
    <row r="1119" spans="1:10" ht="23.25" customHeight="1">
      <c r="A1119">
        <f>Table4[[#This Row],[Column1]]</f>
        <v>0</v>
      </c>
      <c r="B1119">
        <f>Table4[[#This Row],[Column2]]</f>
        <v>0</v>
      </c>
      <c r="I1119" s="13">
        <f>Table6[[#This Row],[discharge_date]]-Table6[[#This Row],[surgery_date]]</f>
        <v>0</v>
      </c>
      <c r="J1119" s="9" t="str">
        <f t="shared" si="36"/>
        <v/>
      </c>
    </row>
    <row r="1120" spans="1:10" ht="23.25" customHeight="1">
      <c r="A1120">
        <f>Table4[[#This Row],[Column1]]</f>
        <v>0</v>
      </c>
      <c r="B1120">
        <f>Table4[[#This Row],[Column2]]</f>
        <v>0</v>
      </c>
      <c r="I1120" s="13">
        <f>Table6[[#This Row],[discharge_date]]-Table6[[#This Row],[surgery_date]]</f>
        <v>0</v>
      </c>
      <c r="J1120" s="9" t="str">
        <f t="shared" si="36"/>
        <v/>
      </c>
    </row>
    <row r="1121" spans="1:10" ht="23.25" customHeight="1">
      <c r="A1121">
        <f>Table4[[#This Row],[Column1]]</f>
        <v>0</v>
      </c>
      <c r="B1121">
        <f>Table4[[#This Row],[Column2]]</f>
        <v>0</v>
      </c>
      <c r="I1121" s="13">
        <f>Table6[[#This Row],[discharge_date]]-Table6[[#This Row],[surgery_date]]</f>
        <v>0</v>
      </c>
      <c r="J1121" s="9" t="str">
        <f t="shared" si="36"/>
        <v/>
      </c>
    </row>
    <row r="1122" spans="1:10" ht="23.25" customHeight="1">
      <c r="A1122">
        <f>Table4[[#This Row],[Column1]]</f>
        <v>0</v>
      </c>
      <c r="B1122">
        <f>Table4[[#This Row],[Column2]]</f>
        <v>0</v>
      </c>
      <c r="I1122" s="13">
        <f>Table6[[#This Row],[discharge_date]]-Table6[[#This Row],[surgery_date]]</f>
        <v>0</v>
      </c>
      <c r="J1122" s="9" t="str">
        <f t="shared" si="36"/>
        <v/>
      </c>
    </row>
    <row r="1123" spans="1:10" ht="23.25" customHeight="1">
      <c r="A1123">
        <f>Table4[[#This Row],[Column1]]</f>
        <v>0</v>
      </c>
      <c r="B1123">
        <f>Table4[[#This Row],[Column2]]</f>
        <v>0</v>
      </c>
      <c r="I1123" s="13">
        <f>Table6[[#This Row],[discharge_date]]-Table6[[#This Row],[surgery_date]]</f>
        <v>0</v>
      </c>
      <c r="J1123" s="9" t="str">
        <f t="shared" si="36"/>
        <v/>
      </c>
    </row>
    <row r="1124" spans="1:10" ht="23.25" customHeight="1">
      <c r="A1124">
        <f>Table4[[#This Row],[Column1]]</f>
        <v>0</v>
      </c>
      <c r="B1124">
        <f>Table4[[#This Row],[Column2]]</f>
        <v>0</v>
      </c>
      <c r="I1124" s="13">
        <f>Table6[[#This Row],[discharge_date]]-Table6[[#This Row],[surgery_date]]</f>
        <v>0</v>
      </c>
      <c r="J1124" s="9" t="str">
        <f t="shared" si="36"/>
        <v/>
      </c>
    </row>
    <row r="1125" spans="1:10" ht="23.25" customHeight="1">
      <c r="A1125">
        <f>Table4[[#This Row],[Column1]]</f>
        <v>0</v>
      </c>
      <c r="B1125">
        <f>Table4[[#This Row],[Column2]]</f>
        <v>0</v>
      </c>
      <c r="I1125" s="13">
        <f>Table6[[#This Row],[discharge_date]]-Table6[[#This Row],[surgery_date]]</f>
        <v>0</v>
      </c>
      <c r="J1125" s="9" t="str">
        <f t="shared" si="36"/>
        <v/>
      </c>
    </row>
    <row r="1126" spans="1:10" ht="23.25" customHeight="1">
      <c r="A1126">
        <f>Table4[[#This Row],[Column1]]</f>
        <v>0</v>
      </c>
      <c r="B1126">
        <f>Table4[[#This Row],[Column2]]</f>
        <v>0</v>
      </c>
      <c r="I1126" s="13">
        <f>Table6[[#This Row],[discharge_date]]-Table6[[#This Row],[surgery_date]]</f>
        <v>0</v>
      </c>
      <c r="J1126" s="9" t="str">
        <f t="shared" si="36"/>
        <v/>
      </c>
    </row>
    <row r="1127" spans="1:10" ht="23.25" customHeight="1">
      <c r="A1127">
        <f>Table4[[#This Row],[Column1]]</f>
        <v>0</v>
      </c>
      <c r="B1127">
        <f>Table4[[#This Row],[Column2]]</f>
        <v>0</v>
      </c>
      <c r="I1127" s="13">
        <f>Table6[[#This Row],[discharge_date]]-Table6[[#This Row],[surgery_date]]</f>
        <v>0</v>
      </c>
      <c r="J1127" s="9" t="str">
        <f t="shared" si="36"/>
        <v/>
      </c>
    </row>
    <row r="1128" spans="1:10" ht="23.25" customHeight="1">
      <c r="A1128">
        <f>Table4[[#This Row],[Column1]]</f>
        <v>0</v>
      </c>
      <c r="B1128">
        <f>Table4[[#This Row],[Column2]]</f>
        <v>0</v>
      </c>
      <c r="I1128" s="13">
        <f>Table6[[#This Row],[discharge_date]]-Table6[[#This Row],[surgery_date]]</f>
        <v>0</v>
      </c>
      <c r="J1128" s="9" t="str">
        <f t="shared" si="36"/>
        <v/>
      </c>
    </row>
    <row r="1129" spans="1:10" ht="23.25" customHeight="1">
      <c r="A1129">
        <f>Table4[[#This Row],[Column1]]</f>
        <v>0</v>
      </c>
      <c r="B1129">
        <f>Table4[[#This Row],[Column2]]</f>
        <v>0</v>
      </c>
      <c r="I1129" s="13">
        <f>Table6[[#This Row],[discharge_date]]-Table6[[#This Row],[surgery_date]]</f>
        <v>0</v>
      </c>
      <c r="J1129" s="9" t="str">
        <f t="shared" si="36"/>
        <v/>
      </c>
    </row>
    <row r="1130" spans="1:10" ht="23.25" customHeight="1">
      <c r="A1130">
        <f>Table4[[#This Row],[Column1]]</f>
        <v>0</v>
      </c>
      <c r="B1130">
        <f>Table4[[#This Row],[Column2]]</f>
        <v>0</v>
      </c>
      <c r="I1130" s="13">
        <f>Table6[[#This Row],[discharge_date]]-Table6[[#This Row],[surgery_date]]</f>
        <v>0</v>
      </c>
      <c r="J1130" s="9" t="str">
        <f t="shared" si="36"/>
        <v/>
      </c>
    </row>
    <row r="1131" spans="1:10" ht="23.25" customHeight="1">
      <c r="A1131">
        <f>Table4[[#This Row],[Column1]]</f>
        <v>0</v>
      </c>
      <c r="B1131">
        <f>Table4[[#This Row],[Column2]]</f>
        <v>0</v>
      </c>
      <c r="I1131" s="13">
        <f>Table6[[#This Row],[discharge_date]]-Table6[[#This Row],[surgery_date]]</f>
        <v>0</v>
      </c>
      <c r="J1131" s="9" t="str">
        <f t="shared" si="36"/>
        <v/>
      </c>
    </row>
    <row r="1132" spans="1:10" ht="23.25" customHeight="1">
      <c r="A1132">
        <f>Table4[[#This Row],[Column1]]</f>
        <v>0</v>
      </c>
      <c r="B1132">
        <f>Table4[[#This Row],[Column2]]</f>
        <v>0</v>
      </c>
      <c r="I1132" s="13">
        <f>Table6[[#This Row],[discharge_date]]-Table6[[#This Row],[surgery_date]]</f>
        <v>0</v>
      </c>
      <c r="J1132" s="9" t="str">
        <f t="shared" si="36"/>
        <v/>
      </c>
    </row>
    <row r="1133" spans="1:10" ht="23.25" customHeight="1">
      <c r="A1133">
        <f>Table4[[#This Row],[Column1]]</f>
        <v>0</v>
      </c>
      <c r="B1133">
        <f>Table4[[#This Row],[Column2]]</f>
        <v>0</v>
      </c>
      <c r="I1133" s="13">
        <f>Table6[[#This Row],[discharge_date]]-Table6[[#This Row],[surgery_date]]</f>
        <v>0</v>
      </c>
      <c r="J1133" s="9" t="str">
        <f t="shared" si="36"/>
        <v/>
      </c>
    </row>
    <row r="1134" spans="1:10" ht="23.25" customHeight="1">
      <c r="A1134">
        <f>Table4[[#This Row],[Column1]]</f>
        <v>0</v>
      </c>
      <c r="B1134">
        <f>Table4[[#This Row],[Column2]]</f>
        <v>0</v>
      </c>
      <c r="I1134" s="13">
        <f>Table6[[#This Row],[discharge_date]]-Table6[[#This Row],[surgery_date]]</f>
        <v>0</v>
      </c>
      <c r="J1134" s="9" t="str">
        <f t="shared" si="36"/>
        <v/>
      </c>
    </row>
    <row r="1135" spans="1:10" ht="23.25" customHeight="1">
      <c r="A1135">
        <f>Table4[[#This Row],[Column1]]</f>
        <v>0</v>
      </c>
      <c r="B1135">
        <f>Table4[[#This Row],[Column2]]</f>
        <v>0</v>
      </c>
      <c r="I1135" s="13">
        <f>Table6[[#This Row],[discharge_date]]-Table6[[#This Row],[surgery_date]]</f>
        <v>0</v>
      </c>
      <c r="J1135" s="9" t="str">
        <f t="shared" si="36"/>
        <v/>
      </c>
    </row>
    <row r="1136" spans="1:10" ht="23.25" customHeight="1">
      <c r="A1136">
        <f>Table4[[#This Row],[Column1]]</f>
        <v>0</v>
      </c>
      <c r="B1136">
        <f>Table4[[#This Row],[Column2]]</f>
        <v>0</v>
      </c>
      <c r="I1136" s="13">
        <f>Table6[[#This Row],[discharge_date]]-Table6[[#This Row],[surgery_date]]</f>
        <v>0</v>
      </c>
      <c r="J1136" s="9" t="str">
        <f t="shared" si="36"/>
        <v/>
      </c>
    </row>
    <row r="1137" spans="1:10" ht="23.25" customHeight="1">
      <c r="A1137">
        <f>Table4[[#This Row],[Column1]]</f>
        <v>0</v>
      </c>
      <c r="B1137">
        <f>Table4[[#This Row],[Column2]]</f>
        <v>0</v>
      </c>
      <c r="I1137" s="13">
        <f>Table6[[#This Row],[discharge_date]]-Table6[[#This Row],[surgery_date]]</f>
        <v>0</v>
      </c>
      <c r="J1137" s="9" t="str">
        <f t="shared" si="36"/>
        <v/>
      </c>
    </row>
    <row r="1138" spans="1:10" ht="23.25" customHeight="1">
      <c r="A1138">
        <f>Table4[[#This Row],[Column1]]</f>
        <v>0</v>
      </c>
      <c r="B1138">
        <f>Table4[[#This Row],[Column2]]</f>
        <v>0</v>
      </c>
      <c r="I1138" s="13">
        <f>Table6[[#This Row],[discharge_date]]-Table6[[#This Row],[surgery_date]]</f>
        <v>0</v>
      </c>
      <c r="J1138" s="9" t="str">
        <f t="shared" si="36"/>
        <v/>
      </c>
    </row>
    <row r="1139" spans="1:10" ht="23.25" customHeight="1">
      <c r="A1139">
        <f>Table4[[#This Row],[Column1]]</f>
        <v>0</v>
      </c>
      <c r="B1139">
        <f>Table4[[#This Row],[Column2]]</f>
        <v>0</v>
      </c>
      <c r="I1139" s="13">
        <f>Table6[[#This Row],[discharge_date]]-Table6[[#This Row],[surgery_date]]</f>
        <v>0</v>
      </c>
      <c r="J1139" s="9" t="str">
        <f t="shared" si="36"/>
        <v/>
      </c>
    </row>
    <row r="1140" spans="1:10" ht="23.25" customHeight="1">
      <c r="A1140">
        <f>Table4[[#This Row],[Column1]]</f>
        <v>0</v>
      </c>
      <c r="B1140">
        <f>Table4[[#This Row],[Column2]]</f>
        <v>0</v>
      </c>
      <c r="I1140" s="13">
        <f>Table6[[#This Row],[discharge_date]]-Table6[[#This Row],[surgery_date]]</f>
        <v>0</v>
      </c>
      <c r="J1140" s="9" t="str">
        <f t="shared" si="36"/>
        <v/>
      </c>
    </row>
    <row r="1141" spans="1:10" ht="23.25" customHeight="1">
      <c r="A1141">
        <f>Table4[[#This Row],[Column1]]</f>
        <v>0</v>
      </c>
      <c r="B1141">
        <f>Table4[[#This Row],[Column2]]</f>
        <v>0</v>
      </c>
      <c r="I1141" s="13">
        <f>Table6[[#This Row],[discharge_date]]-Table6[[#This Row],[surgery_date]]</f>
        <v>0</v>
      </c>
      <c r="J1141" s="9" t="str">
        <f t="shared" si="36"/>
        <v/>
      </c>
    </row>
    <row r="1142" spans="1:10" ht="23.25" customHeight="1">
      <c r="A1142">
        <f>Table4[[#This Row],[Column1]]</f>
        <v>0</v>
      </c>
      <c r="B1142">
        <f>Table4[[#This Row],[Column2]]</f>
        <v>0</v>
      </c>
      <c r="I1142" s="13">
        <f>Table6[[#This Row],[discharge_date]]-Table6[[#This Row],[surgery_date]]</f>
        <v>0</v>
      </c>
      <c r="J1142" s="9" t="str">
        <f t="shared" si="36"/>
        <v/>
      </c>
    </row>
    <row r="1143" spans="1:10" ht="23.25" customHeight="1">
      <c r="A1143">
        <f>Table4[[#This Row],[Column1]]</f>
        <v>0</v>
      </c>
      <c r="B1143">
        <f>Table4[[#This Row],[Column2]]</f>
        <v>0</v>
      </c>
      <c r="I1143" s="13">
        <f>Table6[[#This Row],[discharge_date]]-Table6[[#This Row],[surgery_date]]</f>
        <v>0</v>
      </c>
      <c r="J1143" s="9" t="str">
        <f t="shared" si="36"/>
        <v/>
      </c>
    </row>
    <row r="1144" spans="1:10" ht="23.25" customHeight="1">
      <c r="A1144">
        <f>Table4[[#This Row],[Column1]]</f>
        <v>0</v>
      </c>
      <c r="B1144">
        <f>Table4[[#This Row],[Column2]]</f>
        <v>0</v>
      </c>
      <c r="I1144" s="13">
        <f>Table6[[#This Row],[discharge_date]]-Table6[[#This Row],[surgery_date]]</f>
        <v>0</v>
      </c>
      <c r="J1144" s="9" t="str">
        <f t="shared" si="36"/>
        <v/>
      </c>
    </row>
    <row r="1145" spans="1:10" ht="23.25" customHeight="1">
      <c r="A1145">
        <f>Table4[[#This Row],[Column1]]</f>
        <v>0</v>
      </c>
      <c r="B1145">
        <f>Table4[[#This Row],[Column2]]</f>
        <v>0</v>
      </c>
      <c r="I1145" s="13">
        <f>Table6[[#This Row],[discharge_date]]-Table6[[#This Row],[surgery_date]]</f>
        <v>0</v>
      </c>
      <c r="J1145" s="9" t="str">
        <f t="shared" si="36"/>
        <v/>
      </c>
    </row>
    <row r="1146" spans="1:10" ht="23.25" customHeight="1">
      <c r="A1146">
        <f>Table4[[#This Row],[Column1]]</f>
        <v>0</v>
      </c>
      <c r="B1146">
        <f>Table4[[#This Row],[Column2]]</f>
        <v>0</v>
      </c>
      <c r="I1146" s="13">
        <f>Table6[[#This Row],[discharge_date]]-Table6[[#This Row],[surgery_date]]</f>
        <v>0</v>
      </c>
      <c r="J1146" s="9" t="str">
        <f t="shared" si="36"/>
        <v/>
      </c>
    </row>
    <row r="1147" spans="1:10" ht="23.25" customHeight="1">
      <c r="A1147">
        <f>Table4[[#This Row],[Column1]]</f>
        <v>0</v>
      </c>
      <c r="B1147">
        <f>Table4[[#This Row],[Column2]]</f>
        <v>0</v>
      </c>
      <c r="I1147" s="13">
        <f>Table6[[#This Row],[discharge_date]]-Table6[[#This Row],[surgery_date]]</f>
        <v>0</v>
      </c>
      <c r="J1147" s="9" t="str">
        <f t="shared" si="36"/>
        <v/>
      </c>
    </row>
    <row r="1148" spans="1:10" ht="23.25" customHeight="1">
      <c r="A1148">
        <f>Table4[[#This Row],[Column1]]</f>
        <v>0</v>
      </c>
      <c r="B1148">
        <f>Table4[[#This Row],[Column2]]</f>
        <v>0</v>
      </c>
      <c r="I1148" s="13">
        <f>Table6[[#This Row],[discharge_date]]-Table6[[#This Row],[surgery_date]]</f>
        <v>0</v>
      </c>
      <c r="J1148" s="9" t="str">
        <f t="shared" si="36"/>
        <v/>
      </c>
    </row>
    <row r="1149" spans="1:10" ht="23.25" customHeight="1">
      <c r="A1149">
        <f>Table4[[#This Row],[Column1]]</f>
        <v>0</v>
      </c>
      <c r="B1149">
        <f>Table4[[#This Row],[Column2]]</f>
        <v>0</v>
      </c>
      <c r="I1149" s="13">
        <f>Table6[[#This Row],[discharge_date]]-Table6[[#This Row],[surgery_date]]</f>
        <v>0</v>
      </c>
      <c r="J1149" s="9" t="str">
        <f t="shared" si="36"/>
        <v/>
      </c>
    </row>
    <row r="1150" spans="1:10" ht="23.25" customHeight="1">
      <c r="A1150">
        <f>Table4[[#This Row],[Column1]]</f>
        <v>0</v>
      </c>
      <c r="B1150">
        <f>Table4[[#This Row],[Column2]]</f>
        <v>0</v>
      </c>
      <c r="I1150" s="13">
        <f>Table6[[#This Row],[discharge_date]]-Table6[[#This Row],[surgery_date]]</f>
        <v>0</v>
      </c>
      <c r="J1150" s="9" t="str">
        <f t="shared" si="36"/>
        <v/>
      </c>
    </row>
    <row r="1151" spans="1:10" ht="23.25" customHeight="1">
      <c r="A1151">
        <f>Table4[[#This Row],[Column1]]</f>
        <v>0</v>
      </c>
      <c r="B1151">
        <f>Table4[[#This Row],[Column2]]</f>
        <v>0</v>
      </c>
      <c r="I1151" s="13">
        <f>Table6[[#This Row],[discharge_date]]-Table6[[#This Row],[surgery_date]]</f>
        <v>0</v>
      </c>
      <c r="J1151" s="9" t="str">
        <f t="shared" si="36"/>
        <v/>
      </c>
    </row>
    <row r="1152" spans="1:10" ht="23.25" customHeight="1">
      <c r="A1152">
        <f>Table4[[#This Row],[Column1]]</f>
        <v>0</v>
      </c>
      <c r="B1152">
        <f>Table4[[#This Row],[Column2]]</f>
        <v>0</v>
      </c>
      <c r="I1152" s="13">
        <f>Table6[[#This Row],[discharge_date]]-Table6[[#This Row],[surgery_date]]</f>
        <v>0</v>
      </c>
      <c r="J1152" s="9" t="str">
        <f t="shared" si="36"/>
        <v/>
      </c>
    </row>
    <row r="1153" spans="1:10" ht="23.25" customHeight="1">
      <c r="A1153">
        <f>Table4[[#This Row],[Column1]]</f>
        <v>0</v>
      </c>
      <c r="B1153">
        <f>Table4[[#This Row],[Column2]]</f>
        <v>0</v>
      </c>
      <c r="I1153" s="13">
        <f>Table6[[#This Row],[discharge_date]]-Table6[[#This Row],[surgery_date]]</f>
        <v>0</v>
      </c>
      <c r="J1153" s="9" t="str">
        <f t="shared" si="36"/>
        <v/>
      </c>
    </row>
    <row r="1154" spans="1:10" ht="23.25" customHeight="1">
      <c r="A1154">
        <f>Table4[[#This Row],[Column1]]</f>
        <v>0</v>
      </c>
      <c r="B1154">
        <f>Table4[[#This Row],[Column2]]</f>
        <v>0</v>
      </c>
      <c r="I1154" s="13">
        <f>Table6[[#This Row],[discharge_date]]-Table6[[#This Row],[surgery_date]]</f>
        <v>0</v>
      </c>
      <c r="J1154" s="9" t="str">
        <f t="shared" ref="J1154:J1217" si="37">IF( H1154&lt;&gt;"", H1154+30,"")</f>
        <v/>
      </c>
    </row>
    <row r="1155" spans="1:10" ht="23.25" customHeight="1">
      <c r="A1155">
        <f>Table4[[#This Row],[Column1]]</f>
        <v>0</v>
      </c>
      <c r="B1155">
        <f>Table4[[#This Row],[Column2]]</f>
        <v>0</v>
      </c>
      <c r="I1155" s="13">
        <f>Table6[[#This Row],[discharge_date]]-Table6[[#This Row],[surgery_date]]</f>
        <v>0</v>
      </c>
      <c r="J1155" s="9" t="str">
        <f t="shared" si="37"/>
        <v/>
      </c>
    </row>
    <row r="1156" spans="1:10" ht="23.25" customHeight="1">
      <c r="A1156">
        <f>Table4[[#This Row],[Column1]]</f>
        <v>0</v>
      </c>
      <c r="B1156">
        <f>Table4[[#This Row],[Column2]]</f>
        <v>0</v>
      </c>
      <c r="I1156" s="13">
        <f>Table6[[#This Row],[discharge_date]]-Table6[[#This Row],[surgery_date]]</f>
        <v>0</v>
      </c>
      <c r="J1156" s="9" t="str">
        <f t="shared" si="37"/>
        <v/>
      </c>
    </row>
    <row r="1157" spans="1:10" ht="23.25" customHeight="1">
      <c r="A1157">
        <f>Table4[[#This Row],[Column1]]</f>
        <v>0</v>
      </c>
      <c r="B1157">
        <f>Table4[[#This Row],[Column2]]</f>
        <v>0</v>
      </c>
      <c r="I1157" s="13">
        <f>Table6[[#This Row],[discharge_date]]-Table6[[#This Row],[surgery_date]]</f>
        <v>0</v>
      </c>
      <c r="J1157" s="9" t="str">
        <f t="shared" si="37"/>
        <v/>
      </c>
    </row>
    <row r="1158" spans="1:10" ht="23.25" customHeight="1">
      <c r="A1158">
        <f>Table4[[#This Row],[Column1]]</f>
        <v>0</v>
      </c>
      <c r="B1158">
        <f>Table4[[#This Row],[Column2]]</f>
        <v>0</v>
      </c>
      <c r="I1158" s="13">
        <f>Table6[[#This Row],[discharge_date]]-Table6[[#This Row],[surgery_date]]</f>
        <v>0</v>
      </c>
      <c r="J1158" s="9" t="str">
        <f t="shared" si="37"/>
        <v/>
      </c>
    </row>
    <row r="1159" spans="1:10" ht="23.25" customHeight="1">
      <c r="A1159">
        <f>Table4[[#This Row],[Column1]]</f>
        <v>0</v>
      </c>
      <c r="B1159">
        <f>Table4[[#This Row],[Column2]]</f>
        <v>0</v>
      </c>
      <c r="I1159" s="13">
        <f>Table6[[#This Row],[discharge_date]]-Table6[[#This Row],[surgery_date]]</f>
        <v>0</v>
      </c>
      <c r="J1159" s="9" t="str">
        <f t="shared" si="37"/>
        <v/>
      </c>
    </row>
    <row r="1160" spans="1:10" ht="23.25" customHeight="1">
      <c r="A1160">
        <f>Table4[[#This Row],[Column1]]</f>
        <v>0</v>
      </c>
      <c r="B1160">
        <f>Table4[[#This Row],[Column2]]</f>
        <v>0</v>
      </c>
      <c r="I1160" s="13">
        <f>Table6[[#This Row],[discharge_date]]-Table6[[#This Row],[surgery_date]]</f>
        <v>0</v>
      </c>
      <c r="J1160" s="9" t="str">
        <f t="shared" si="37"/>
        <v/>
      </c>
    </row>
    <row r="1161" spans="1:10" ht="23.25" customHeight="1">
      <c r="A1161">
        <f>Table4[[#This Row],[Column1]]</f>
        <v>0</v>
      </c>
      <c r="B1161">
        <f>Table4[[#This Row],[Column2]]</f>
        <v>0</v>
      </c>
      <c r="I1161" s="13">
        <f>Table6[[#This Row],[discharge_date]]-Table6[[#This Row],[surgery_date]]</f>
        <v>0</v>
      </c>
      <c r="J1161" s="9" t="str">
        <f t="shared" si="37"/>
        <v/>
      </c>
    </row>
    <row r="1162" spans="1:10" ht="23.25" customHeight="1">
      <c r="A1162">
        <f>Table4[[#This Row],[Column1]]</f>
        <v>0</v>
      </c>
      <c r="B1162">
        <f>Table4[[#This Row],[Column2]]</f>
        <v>0</v>
      </c>
      <c r="I1162" s="13">
        <f>Table6[[#This Row],[discharge_date]]-Table6[[#This Row],[surgery_date]]</f>
        <v>0</v>
      </c>
      <c r="J1162" s="9" t="str">
        <f t="shared" si="37"/>
        <v/>
      </c>
    </row>
    <row r="1163" spans="1:10" ht="23.25" customHeight="1">
      <c r="A1163">
        <f>Table4[[#This Row],[Column1]]</f>
        <v>0</v>
      </c>
      <c r="B1163">
        <f>Table4[[#This Row],[Column2]]</f>
        <v>0</v>
      </c>
      <c r="I1163" s="13">
        <f>Table6[[#This Row],[discharge_date]]-Table6[[#This Row],[surgery_date]]</f>
        <v>0</v>
      </c>
      <c r="J1163" s="9" t="str">
        <f t="shared" si="37"/>
        <v/>
      </c>
    </row>
    <row r="1164" spans="1:10" ht="23.25" customHeight="1">
      <c r="A1164">
        <f>Table4[[#This Row],[Column1]]</f>
        <v>0</v>
      </c>
      <c r="B1164">
        <f>Table4[[#This Row],[Column2]]</f>
        <v>0</v>
      </c>
      <c r="I1164" s="13">
        <f>Table6[[#This Row],[discharge_date]]-Table6[[#This Row],[surgery_date]]</f>
        <v>0</v>
      </c>
      <c r="J1164" s="9" t="str">
        <f t="shared" si="37"/>
        <v/>
      </c>
    </row>
    <row r="1165" spans="1:10" ht="23.25" customHeight="1">
      <c r="A1165">
        <f>Table4[[#This Row],[Column1]]</f>
        <v>0</v>
      </c>
      <c r="B1165">
        <f>Table4[[#This Row],[Column2]]</f>
        <v>0</v>
      </c>
      <c r="I1165" s="13">
        <f>Table6[[#This Row],[discharge_date]]-Table6[[#This Row],[surgery_date]]</f>
        <v>0</v>
      </c>
      <c r="J1165" s="9" t="str">
        <f t="shared" si="37"/>
        <v/>
      </c>
    </row>
    <row r="1166" spans="1:10" ht="23.25" customHeight="1">
      <c r="A1166">
        <f>Table4[[#This Row],[Column1]]</f>
        <v>0</v>
      </c>
      <c r="B1166">
        <f>Table4[[#This Row],[Column2]]</f>
        <v>0</v>
      </c>
      <c r="I1166" s="13">
        <f>Table6[[#This Row],[discharge_date]]-Table6[[#This Row],[surgery_date]]</f>
        <v>0</v>
      </c>
      <c r="J1166" s="9" t="str">
        <f t="shared" si="37"/>
        <v/>
      </c>
    </row>
    <row r="1167" spans="1:10" ht="23.25" customHeight="1">
      <c r="A1167">
        <f>Table4[[#This Row],[Column1]]</f>
        <v>0</v>
      </c>
      <c r="B1167">
        <f>Table4[[#This Row],[Column2]]</f>
        <v>0</v>
      </c>
      <c r="I1167" s="13">
        <f>Table6[[#This Row],[discharge_date]]-Table6[[#This Row],[surgery_date]]</f>
        <v>0</v>
      </c>
      <c r="J1167" s="9" t="str">
        <f t="shared" si="37"/>
        <v/>
      </c>
    </row>
    <row r="1168" spans="1:10" ht="23.25" customHeight="1">
      <c r="A1168">
        <f>Table4[[#This Row],[Column1]]</f>
        <v>0</v>
      </c>
      <c r="B1168">
        <f>Table4[[#This Row],[Column2]]</f>
        <v>0</v>
      </c>
      <c r="I1168" s="13">
        <f>Table6[[#This Row],[discharge_date]]-Table6[[#This Row],[surgery_date]]</f>
        <v>0</v>
      </c>
      <c r="J1168" s="9" t="str">
        <f t="shared" si="37"/>
        <v/>
      </c>
    </row>
    <row r="1169" spans="1:10" ht="23.25" customHeight="1">
      <c r="A1169">
        <f>Table4[[#This Row],[Column1]]</f>
        <v>0</v>
      </c>
      <c r="B1169">
        <f>Table4[[#This Row],[Column2]]</f>
        <v>0</v>
      </c>
      <c r="I1169" s="13">
        <f>Table6[[#This Row],[discharge_date]]-Table6[[#This Row],[surgery_date]]</f>
        <v>0</v>
      </c>
      <c r="J1169" s="9" t="str">
        <f t="shared" si="37"/>
        <v/>
      </c>
    </row>
    <row r="1170" spans="1:10" ht="23.25" customHeight="1">
      <c r="A1170">
        <f>Table4[[#This Row],[Column1]]</f>
        <v>0</v>
      </c>
      <c r="B1170">
        <f>Table4[[#This Row],[Column2]]</f>
        <v>0</v>
      </c>
      <c r="I1170" s="13">
        <f>Table6[[#This Row],[discharge_date]]-Table6[[#This Row],[surgery_date]]</f>
        <v>0</v>
      </c>
      <c r="J1170" s="9" t="str">
        <f t="shared" si="37"/>
        <v/>
      </c>
    </row>
    <row r="1171" spans="1:10" ht="23.25" customHeight="1">
      <c r="A1171">
        <f>Table4[[#This Row],[Column1]]</f>
        <v>0</v>
      </c>
      <c r="B1171">
        <f>Table4[[#This Row],[Column2]]</f>
        <v>0</v>
      </c>
      <c r="I1171" s="13">
        <f>Table6[[#This Row],[discharge_date]]-Table6[[#This Row],[surgery_date]]</f>
        <v>0</v>
      </c>
      <c r="J1171" s="9" t="str">
        <f t="shared" si="37"/>
        <v/>
      </c>
    </row>
    <row r="1172" spans="1:10" ht="23.25" customHeight="1">
      <c r="A1172">
        <f>Table4[[#This Row],[Column1]]</f>
        <v>0</v>
      </c>
      <c r="B1172">
        <f>Table4[[#This Row],[Column2]]</f>
        <v>0</v>
      </c>
      <c r="I1172" s="13">
        <f>Table6[[#This Row],[discharge_date]]-Table6[[#This Row],[surgery_date]]</f>
        <v>0</v>
      </c>
      <c r="J1172" s="9" t="str">
        <f t="shared" si="37"/>
        <v/>
      </c>
    </row>
    <row r="1173" spans="1:10" ht="23.25" customHeight="1">
      <c r="A1173">
        <f>Table4[[#This Row],[Column1]]</f>
        <v>0</v>
      </c>
      <c r="B1173">
        <f>Table4[[#This Row],[Column2]]</f>
        <v>0</v>
      </c>
      <c r="I1173" s="13">
        <f>Table6[[#This Row],[discharge_date]]-Table6[[#This Row],[surgery_date]]</f>
        <v>0</v>
      </c>
      <c r="J1173" s="9" t="str">
        <f t="shared" si="37"/>
        <v/>
      </c>
    </row>
    <row r="1174" spans="1:10" ht="23.25" customHeight="1">
      <c r="A1174">
        <f>Table4[[#This Row],[Column1]]</f>
        <v>0</v>
      </c>
      <c r="B1174">
        <f>Table4[[#This Row],[Column2]]</f>
        <v>0</v>
      </c>
      <c r="I1174" s="13">
        <f>Table6[[#This Row],[discharge_date]]-Table6[[#This Row],[surgery_date]]</f>
        <v>0</v>
      </c>
      <c r="J1174" s="9" t="str">
        <f t="shared" si="37"/>
        <v/>
      </c>
    </row>
    <row r="1175" spans="1:10" ht="23.25" customHeight="1">
      <c r="A1175">
        <f>Table4[[#This Row],[Column1]]</f>
        <v>0</v>
      </c>
      <c r="B1175">
        <f>Table4[[#This Row],[Column2]]</f>
        <v>0</v>
      </c>
      <c r="I1175" s="13">
        <f>Table6[[#This Row],[discharge_date]]-Table6[[#This Row],[surgery_date]]</f>
        <v>0</v>
      </c>
      <c r="J1175" s="9" t="str">
        <f t="shared" si="37"/>
        <v/>
      </c>
    </row>
    <row r="1176" spans="1:10" ht="23.25" customHeight="1">
      <c r="A1176">
        <f>Table4[[#This Row],[Column1]]</f>
        <v>0</v>
      </c>
      <c r="B1176">
        <f>Table4[[#This Row],[Column2]]</f>
        <v>0</v>
      </c>
      <c r="I1176" s="13">
        <f>Table6[[#This Row],[discharge_date]]-Table6[[#This Row],[surgery_date]]</f>
        <v>0</v>
      </c>
      <c r="J1176" s="9" t="str">
        <f t="shared" si="37"/>
        <v/>
      </c>
    </row>
    <row r="1177" spans="1:10" ht="23.25" customHeight="1">
      <c r="A1177">
        <f>Table4[[#This Row],[Column1]]</f>
        <v>0</v>
      </c>
      <c r="B1177">
        <f>Table4[[#This Row],[Column2]]</f>
        <v>0</v>
      </c>
      <c r="I1177" s="13">
        <f>Table6[[#This Row],[discharge_date]]-Table6[[#This Row],[surgery_date]]</f>
        <v>0</v>
      </c>
      <c r="J1177" s="9" t="str">
        <f t="shared" si="37"/>
        <v/>
      </c>
    </row>
    <row r="1178" spans="1:10" ht="23.25" customHeight="1">
      <c r="A1178">
        <f>Table4[[#This Row],[Column1]]</f>
        <v>0</v>
      </c>
      <c r="B1178">
        <f>Table4[[#This Row],[Column2]]</f>
        <v>0</v>
      </c>
      <c r="I1178" s="13">
        <f>Table6[[#This Row],[discharge_date]]-Table6[[#This Row],[surgery_date]]</f>
        <v>0</v>
      </c>
      <c r="J1178" s="9" t="str">
        <f t="shared" si="37"/>
        <v/>
      </c>
    </row>
    <row r="1179" spans="1:10" ht="23.25" customHeight="1">
      <c r="A1179">
        <f>Table4[[#This Row],[Column1]]</f>
        <v>0</v>
      </c>
      <c r="B1179">
        <f>Table4[[#This Row],[Column2]]</f>
        <v>0</v>
      </c>
      <c r="I1179" s="13">
        <f>Table6[[#This Row],[discharge_date]]-Table6[[#This Row],[surgery_date]]</f>
        <v>0</v>
      </c>
      <c r="J1179" s="9" t="str">
        <f t="shared" si="37"/>
        <v/>
      </c>
    </row>
    <row r="1180" spans="1:10" ht="23.25" customHeight="1">
      <c r="A1180">
        <f>Table4[[#This Row],[Column1]]</f>
        <v>0</v>
      </c>
      <c r="B1180">
        <f>Table4[[#This Row],[Column2]]</f>
        <v>0</v>
      </c>
      <c r="I1180" s="13">
        <f>Table6[[#This Row],[discharge_date]]-Table6[[#This Row],[surgery_date]]</f>
        <v>0</v>
      </c>
      <c r="J1180" s="9" t="str">
        <f t="shared" si="37"/>
        <v/>
      </c>
    </row>
    <row r="1181" spans="1:10" ht="23.25" customHeight="1">
      <c r="A1181">
        <f>Table4[[#This Row],[Column1]]</f>
        <v>0</v>
      </c>
      <c r="B1181">
        <f>Table4[[#This Row],[Column2]]</f>
        <v>0</v>
      </c>
      <c r="I1181" s="13">
        <f>Table6[[#This Row],[discharge_date]]-Table6[[#This Row],[surgery_date]]</f>
        <v>0</v>
      </c>
      <c r="J1181" s="9" t="str">
        <f t="shared" si="37"/>
        <v/>
      </c>
    </row>
    <row r="1182" spans="1:10" ht="23.25" customHeight="1">
      <c r="A1182">
        <f>Table4[[#This Row],[Column1]]</f>
        <v>0</v>
      </c>
      <c r="B1182">
        <f>Table4[[#This Row],[Column2]]</f>
        <v>0</v>
      </c>
      <c r="I1182" s="13">
        <f>Table6[[#This Row],[discharge_date]]-Table6[[#This Row],[surgery_date]]</f>
        <v>0</v>
      </c>
      <c r="J1182" s="9" t="str">
        <f t="shared" si="37"/>
        <v/>
      </c>
    </row>
    <row r="1183" spans="1:10" ht="23.25" customHeight="1">
      <c r="A1183">
        <f>Table4[[#This Row],[Column1]]</f>
        <v>0</v>
      </c>
      <c r="B1183">
        <f>Table4[[#This Row],[Column2]]</f>
        <v>0</v>
      </c>
      <c r="I1183" s="13">
        <f>Table6[[#This Row],[discharge_date]]-Table6[[#This Row],[surgery_date]]</f>
        <v>0</v>
      </c>
      <c r="J1183" s="9" t="str">
        <f t="shared" si="37"/>
        <v/>
      </c>
    </row>
    <row r="1184" spans="1:10" ht="23.25" customHeight="1">
      <c r="A1184">
        <f>Table4[[#This Row],[Column1]]</f>
        <v>0</v>
      </c>
      <c r="B1184">
        <f>Table4[[#This Row],[Column2]]</f>
        <v>0</v>
      </c>
      <c r="I1184" s="13">
        <f>Table6[[#This Row],[discharge_date]]-Table6[[#This Row],[surgery_date]]</f>
        <v>0</v>
      </c>
      <c r="J1184" s="9" t="str">
        <f t="shared" si="37"/>
        <v/>
      </c>
    </row>
    <row r="1185" spans="1:10" ht="23.25" customHeight="1">
      <c r="A1185">
        <f>Table4[[#This Row],[Column1]]</f>
        <v>0</v>
      </c>
      <c r="B1185">
        <f>Table4[[#This Row],[Column2]]</f>
        <v>0</v>
      </c>
      <c r="I1185" s="13">
        <f>Table6[[#This Row],[discharge_date]]-Table6[[#This Row],[surgery_date]]</f>
        <v>0</v>
      </c>
      <c r="J1185" s="9" t="str">
        <f t="shared" si="37"/>
        <v/>
      </c>
    </row>
    <row r="1186" spans="1:10" ht="23.25" customHeight="1">
      <c r="A1186">
        <f>Table4[[#This Row],[Column1]]</f>
        <v>0</v>
      </c>
      <c r="B1186">
        <f>Table4[[#This Row],[Column2]]</f>
        <v>0</v>
      </c>
      <c r="I1186" s="13">
        <f>Table6[[#This Row],[discharge_date]]-Table6[[#This Row],[surgery_date]]</f>
        <v>0</v>
      </c>
      <c r="J1186" s="9" t="str">
        <f t="shared" si="37"/>
        <v/>
      </c>
    </row>
    <row r="1187" spans="1:10" ht="23.25" customHeight="1">
      <c r="A1187">
        <f>Table4[[#This Row],[Column1]]</f>
        <v>0</v>
      </c>
      <c r="B1187">
        <f>Table4[[#This Row],[Column2]]</f>
        <v>0</v>
      </c>
      <c r="I1187" s="13">
        <f>Table6[[#This Row],[discharge_date]]-Table6[[#This Row],[surgery_date]]</f>
        <v>0</v>
      </c>
      <c r="J1187" s="9" t="str">
        <f t="shared" si="37"/>
        <v/>
      </c>
    </row>
    <row r="1188" spans="1:10" ht="23.25" customHeight="1">
      <c r="A1188">
        <f>Table4[[#This Row],[Column1]]</f>
        <v>0</v>
      </c>
      <c r="B1188">
        <f>Table4[[#This Row],[Column2]]</f>
        <v>0</v>
      </c>
      <c r="I1188" s="13">
        <f>Table6[[#This Row],[discharge_date]]-Table6[[#This Row],[surgery_date]]</f>
        <v>0</v>
      </c>
      <c r="J1188" s="9" t="str">
        <f t="shared" si="37"/>
        <v/>
      </c>
    </row>
    <row r="1189" spans="1:10" ht="23.25" customHeight="1">
      <c r="A1189">
        <f>Table4[[#This Row],[Column1]]</f>
        <v>0</v>
      </c>
      <c r="B1189">
        <f>Table4[[#This Row],[Column2]]</f>
        <v>0</v>
      </c>
      <c r="I1189" s="13">
        <f>Table6[[#This Row],[discharge_date]]-Table6[[#This Row],[surgery_date]]</f>
        <v>0</v>
      </c>
      <c r="J1189" s="9" t="str">
        <f t="shared" si="37"/>
        <v/>
      </c>
    </row>
    <row r="1190" spans="1:10" ht="23.25" customHeight="1">
      <c r="A1190">
        <f>Table4[[#This Row],[Column1]]</f>
        <v>0</v>
      </c>
      <c r="B1190">
        <f>Table4[[#This Row],[Column2]]</f>
        <v>0</v>
      </c>
      <c r="I1190" s="13">
        <f>Table6[[#This Row],[discharge_date]]-Table6[[#This Row],[surgery_date]]</f>
        <v>0</v>
      </c>
      <c r="J1190" s="9" t="str">
        <f t="shared" si="37"/>
        <v/>
      </c>
    </row>
    <row r="1191" spans="1:10" ht="23.25" customHeight="1">
      <c r="A1191">
        <f>Table4[[#This Row],[Column1]]</f>
        <v>0</v>
      </c>
      <c r="B1191">
        <f>Table4[[#This Row],[Column2]]</f>
        <v>0</v>
      </c>
      <c r="I1191" s="13">
        <f>Table6[[#This Row],[discharge_date]]-Table6[[#This Row],[surgery_date]]</f>
        <v>0</v>
      </c>
      <c r="J1191" s="9" t="str">
        <f t="shared" si="37"/>
        <v/>
      </c>
    </row>
    <row r="1192" spans="1:10" ht="23.25" customHeight="1">
      <c r="A1192">
        <f>Table4[[#This Row],[Column1]]</f>
        <v>0</v>
      </c>
      <c r="B1192">
        <f>Table4[[#This Row],[Column2]]</f>
        <v>0</v>
      </c>
      <c r="I1192" s="13">
        <f>Table6[[#This Row],[discharge_date]]-Table6[[#This Row],[surgery_date]]</f>
        <v>0</v>
      </c>
      <c r="J1192" s="9" t="str">
        <f t="shared" si="37"/>
        <v/>
      </c>
    </row>
    <row r="1193" spans="1:10" ht="23.25" customHeight="1">
      <c r="A1193">
        <f>Table4[[#This Row],[Column1]]</f>
        <v>0</v>
      </c>
      <c r="B1193">
        <f>Table4[[#This Row],[Column2]]</f>
        <v>0</v>
      </c>
      <c r="I1193" s="13">
        <f>Table6[[#This Row],[discharge_date]]-Table6[[#This Row],[surgery_date]]</f>
        <v>0</v>
      </c>
      <c r="J1193" s="9" t="str">
        <f t="shared" si="37"/>
        <v/>
      </c>
    </row>
    <row r="1194" spans="1:10" ht="23.25" customHeight="1">
      <c r="A1194">
        <f>Table4[[#This Row],[Column1]]</f>
        <v>0</v>
      </c>
      <c r="B1194">
        <f>Table4[[#This Row],[Column2]]</f>
        <v>0</v>
      </c>
      <c r="I1194" s="13">
        <f>Table6[[#This Row],[discharge_date]]-Table6[[#This Row],[surgery_date]]</f>
        <v>0</v>
      </c>
      <c r="J1194" s="9" t="str">
        <f t="shared" si="37"/>
        <v/>
      </c>
    </row>
    <row r="1195" spans="1:10" ht="23.25" customHeight="1">
      <c r="A1195">
        <f>Table4[[#This Row],[Column1]]</f>
        <v>0</v>
      </c>
      <c r="B1195">
        <f>Table4[[#This Row],[Column2]]</f>
        <v>0</v>
      </c>
      <c r="I1195" s="13">
        <f>Table6[[#This Row],[discharge_date]]-Table6[[#This Row],[surgery_date]]</f>
        <v>0</v>
      </c>
      <c r="J1195" s="9" t="str">
        <f t="shared" si="37"/>
        <v/>
      </c>
    </row>
    <row r="1196" spans="1:10" ht="23.25" customHeight="1">
      <c r="A1196">
        <f>Table4[[#This Row],[Column1]]</f>
        <v>0</v>
      </c>
      <c r="B1196">
        <f>Table4[[#This Row],[Column2]]</f>
        <v>0</v>
      </c>
      <c r="I1196" s="13">
        <f>Table6[[#This Row],[discharge_date]]-Table6[[#This Row],[surgery_date]]</f>
        <v>0</v>
      </c>
      <c r="J1196" s="9" t="str">
        <f t="shared" si="37"/>
        <v/>
      </c>
    </row>
    <row r="1197" spans="1:10" ht="23.25" customHeight="1">
      <c r="A1197">
        <f>Table4[[#This Row],[Column1]]</f>
        <v>0</v>
      </c>
      <c r="B1197">
        <f>Table4[[#This Row],[Column2]]</f>
        <v>0</v>
      </c>
      <c r="I1197" s="13">
        <f>Table6[[#This Row],[discharge_date]]-Table6[[#This Row],[surgery_date]]</f>
        <v>0</v>
      </c>
      <c r="J1197" s="9" t="str">
        <f t="shared" si="37"/>
        <v/>
      </c>
    </row>
    <row r="1198" spans="1:10" ht="23.25" customHeight="1">
      <c r="A1198">
        <f>Table4[[#This Row],[Column1]]</f>
        <v>0</v>
      </c>
      <c r="B1198">
        <f>Table4[[#This Row],[Column2]]</f>
        <v>0</v>
      </c>
      <c r="I1198" s="13">
        <f>Table6[[#This Row],[discharge_date]]-Table6[[#This Row],[surgery_date]]</f>
        <v>0</v>
      </c>
      <c r="J1198" s="9" t="str">
        <f t="shared" si="37"/>
        <v/>
      </c>
    </row>
    <row r="1199" spans="1:10" ht="23.25" customHeight="1">
      <c r="A1199">
        <f>Table4[[#This Row],[Column1]]</f>
        <v>0</v>
      </c>
      <c r="B1199">
        <f>Table4[[#This Row],[Column2]]</f>
        <v>0</v>
      </c>
      <c r="I1199" s="13">
        <f>Table6[[#This Row],[discharge_date]]-Table6[[#This Row],[surgery_date]]</f>
        <v>0</v>
      </c>
      <c r="J1199" s="9" t="str">
        <f t="shared" si="37"/>
        <v/>
      </c>
    </row>
    <row r="1200" spans="1:10" ht="23.25" customHeight="1">
      <c r="A1200">
        <f>Table4[[#This Row],[Column1]]</f>
        <v>0</v>
      </c>
      <c r="B1200">
        <f>Table4[[#This Row],[Column2]]</f>
        <v>0</v>
      </c>
      <c r="I1200" s="13">
        <f>Table6[[#This Row],[discharge_date]]-Table6[[#This Row],[surgery_date]]</f>
        <v>0</v>
      </c>
      <c r="J1200" s="9" t="str">
        <f t="shared" si="37"/>
        <v/>
      </c>
    </row>
    <row r="1201" spans="1:10" ht="23.25" customHeight="1">
      <c r="A1201">
        <f>Table4[[#This Row],[Column1]]</f>
        <v>0</v>
      </c>
      <c r="B1201">
        <f>Table4[[#This Row],[Column2]]</f>
        <v>0</v>
      </c>
      <c r="I1201" s="13">
        <f>Table6[[#This Row],[discharge_date]]-Table6[[#This Row],[surgery_date]]</f>
        <v>0</v>
      </c>
      <c r="J1201" s="9" t="str">
        <f t="shared" si="37"/>
        <v/>
      </c>
    </row>
    <row r="1202" spans="1:10" ht="23.25" customHeight="1">
      <c r="A1202">
        <f>Table4[[#This Row],[Column1]]</f>
        <v>0</v>
      </c>
      <c r="B1202">
        <f>Table4[[#This Row],[Column2]]</f>
        <v>0</v>
      </c>
      <c r="I1202" s="13">
        <f>Table6[[#This Row],[discharge_date]]-Table6[[#This Row],[surgery_date]]</f>
        <v>0</v>
      </c>
      <c r="J1202" s="9" t="str">
        <f t="shared" si="37"/>
        <v/>
      </c>
    </row>
    <row r="1203" spans="1:10" ht="23.25" customHeight="1">
      <c r="A1203">
        <f>Table4[[#This Row],[Column1]]</f>
        <v>0</v>
      </c>
      <c r="B1203">
        <f>Table4[[#This Row],[Column2]]</f>
        <v>0</v>
      </c>
      <c r="I1203" s="13">
        <f>Table6[[#This Row],[discharge_date]]-Table6[[#This Row],[surgery_date]]</f>
        <v>0</v>
      </c>
      <c r="J1203" s="9" t="str">
        <f t="shared" si="37"/>
        <v/>
      </c>
    </row>
    <row r="1204" spans="1:10" ht="23.25" customHeight="1">
      <c r="A1204">
        <f>Table4[[#This Row],[Column1]]</f>
        <v>0</v>
      </c>
      <c r="B1204">
        <f>Table4[[#This Row],[Column2]]</f>
        <v>0</v>
      </c>
      <c r="I1204" s="13">
        <f>Table6[[#This Row],[discharge_date]]-Table6[[#This Row],[surgery_date]]</f>
        <v>0</v>
      </c>
      <c r="J1204" s="9" t="str">
        <f t="shared" si="37"/>
        <v/>
      </c>
    </row>
    <row r="1205" spans="1:10" ht="23.25" customHeight="1">
      <c r="A1205">
        <f>Table4[[#This Row],[Column1]]</f>
        <v>0</v>
      </c>
      <c r="B1205">
        <f>Table4[[#This Row],[Column2]]</f>
        <v>0</v>
      </c>
      <c r="I1205" s="13">
        <f>Table6[[#This Row],[discharge_date]]-Table6[[#This Row],[surgery_date]]</f>
        <v>0</v>
      </c>
      <c r="J1205" s="9" t="str">
        <f t="shared" si="37"/>
        <v/>
      </c>
    </row>
    <row r="1206" spans="1:10" ht="23.25" customHeight="1">
      <c r="A1206">
        <f>Table4[[#This Row],[Column1]]</f>
        <v>0</v>
      </c>
      <c r="B1206">
        <f>Table4[[#This Row],[Column2]]</f>
        <v>0</v>
      </c>
      <c r="I1206" s="13">
        <f>Table6[[#This Row],[discharge_date]]-Table6[[#This Row],[surgery_date]]</f>
        <v>0</v>
      </c>
      <c r="J1206" s="9" t="str">
        <f t="shared" si="37"/>
        <v/>
      </c>
    </row>
    <row r="1207" spans="1:10" ht="23.25" customHeight="1">
      <c r="A1207">
        <f>Table4[[#This Row],[Column1]]</f>
        <v>0</v>
      </c>
      <c r="B1207">
        <f>Table4[[#This Row],[Column2]]</f>
        <v>0</v>
      </c>
      <c r="I1207" s="13">
        <f>Table6[[#This Row],[discharge_date]]-Table6[[#This Row],[surgery_date]]</f>
        <v>0</v>
      </c>
      <c r="J1207" s="9" t="str">
        <f t="shared" si="37"/>
        <v/>
      </c>
    </row>
    <row r="1208" spans="1:10" ht="23.25" customHeight="1">
      <c r="A1208">
        <f>Table4[[#This Row],[Column1]]</f>
        <v>0</v>
      </c>
      <c r="B1208">
        <f>Table4[[#This Row],[Column2]]</f>
        <v>0</v>
      </c>
      <c r="I1208" s="13">
        <f>Table6[[#This Row],[discharge_date]]-Table6[[#This Row],[surgery_date]]</f>
        <v>0</v>
      </c>
      <c r="J1208" s="9" t="str">
        <f t="shared" si="37"/>
        <v/>
      </c>
    </row>
    <row r="1209" spans="1:10" ht="23.25" customHeight="1">
      <c r="A1209">
        <f>Table4[[#This Row],[Column1]]</f>
        <v>0</v>
      </c>
      <c r="B1209">
        <f>Table4[[#This Row],[Column2]]</f>
        <v>0</v>
      </c>
      <c r="I1209" s="13">
        <f>Table6[[#This Row],[discharge_date]]-Table6[[#This Row],[surgery_date]]</f>
        <v>0</v>
      </c>
      <c r="J1209" s="9" t="str">
        <f t="shared" si="37"/>
        <v/>
      </c>
    </row>
    <row r="1210" spans="1:10" ht="23.25" customHeight="1">
      <c r="A1210">
        <f>Table4[[#This Row],[Column1]]</f>
        <v>0</v>
      </c>
      <c r="B1210">
        <f>Table4[[#This Row],[Column2]]</f>
        <v>0</v>
      </c>
      <c r="I1210" s="13">
        <f>Table6[[#This Row],[discharge_date]]-Table6[[#This Row],[surgery_date]]</f>
        <v>0</v>
      </c>
      <c r="J1210" s="9" t="str">
        <f t="shared" si="37"/>
        <v/>
      </c>
    </row>
    <row r="1211" spans="1:10" ht="23.25" customHeight="1">
      <c r="A1211">
        <f>Table4[[#This Row],[Column1]]</f>
        <v>0</v>
      </c>
      <c r="B1211">
        <f>Table4[[#This Row],[Column2]]</f>
        <v>0</v>
      </c>
      <c r="I1211" s="13">
        <f>Table6[[#This Row],[discharge_date]]-Table6[[#This Row],[surgery_date]]</f>
        <v>0</v>
      </c>
      <c r="J1211" s="9" t="str">
        <f t="shared" si="37"/>
        <v/>
      </c>
    </row>
    <row r="1212" spans="1:10" ht="23.25" customHeight="1">
      <c r="A1212">
        <f>Table4[[#This Row],[Column1]]</f>
        <v>0</v>
      </c>
      <c r="B1212">
        <f>Table4[[#This Row],[Column2]]</f>
        <v>0</v>
      </c>
      <c r="I1212" s="13">
        <f>Table6[[#This Row],[discharge_date]]-Table6[[#This Row],[surgery_date]]</f>
        <v>0</v>
      </c>
      <c r="J1212" s="9" t="str">
        <f t="shared" si="37"/>
        <v/>
      </c>
    </row>
    <row r="1213" spans="1:10" ht="23.25" customHeight="1">
      <c r="A1213">
        <f>Table4[[#This Row],[Column1]]</f>
        <v>0</v>
      </c>
      <c r="B1213">
        <f>Table4[[#This Row],[Column2]]</f>
        <v>0</v>
      </c>
      <c r="I1213" s="13">
        <f>Table6[[#This Row],[discharge_date]]-Table6[[#This Row],[surgery_date]]</f>
        <v>0</v>
      </c>
      <c r="J1213" s="9" t="str">
        <f t="shared" si="37"/>
        <v/>
      </c>
    </row>
    <row r="1214" spans="1:10" ht="23.25" customHeight="1">
      <c r="A1214">
        <f>Table4[[#This Row],[Column1]]</f>
        <v>0</v>
      </c>
      <c r="B1214">
        <f>Table4[[#This Row],[Column2]]</f>
        <v>0</v>
      </c>
      <c r="I1214" s="13">
        <f>Table6[[#This Row],[discharge_date]]-Table6[[#This Row],[surgery_date]]</f>
        <v>0</v>
      </c>
      <c r="J1214" s="9" t="str">
        <f t="shared" si="37"/>
        <v/>
      </c>
    </row>
    <row r="1215" spans="1:10" ht="23.25" customHeight="1">
      <c r="A1215">
        <f>Table4[[#This Row],[Column1]]</f>
        <v>0</v>
      </c>
      <c r="B1215">
        <f>Table4[[#This Row],[Column2]]</f>
        <v>0</v>
      </c>
      <c r="I1215" s="13">
        <f>Table6[[#This Row],[discharge_date]]-Table6[[#This Row],[surgery_date]]</f>
        <v>0</v>
      </c>
      <c r="J1215" s="9" t="str">
        <f t="shared" si="37"/>
        <v/>
      </c>
    </row>
    <row r="1216" spans="1:10" ht="23.25" customHeight="1">
      <c r="A1216">
        <f>Table4[[#This Row],[Column1]]</f>
        <v>0</v>
      </c>
      <c r="B1216">
        <f>Table4[[#This Row],[Column2]]</f>
        <v>0</v>
      </c>
      <c r="I1216" s="13">
        <f>Table6[[#This Row],[discharge_date]]-Table6[[#This Row],[surgery_date]]</f>
        <v>0</v>
      </c>
      <c r="J1216" s="9" t="str">
        <f t="shared" si="37"/>
        <v/>
      </c>
    </row>
    <row r="1217" spans="1:10" ht="23.25" customHeight="1">
      <c r="A1217">
        <f>Table4[[#This Row],[Column1]]</f>
        <v>0</v>
      </c>
      <c r="B1217">
        <f>Table4[[#This Row],[Column2]]</f>
        <v>0</v>
      </c>
      <c r="I1217" s="13">
        <f>Table6[[#This Row],[discharge_date]]-Table6[[#This Row],[surgery_date]]</f>
        <v>0</v>
      </c>
      <c r="J1217" s="9" t="str">
        <f t="shared" si="37"/>
        <v/>
      </c>
    </row>
    <row r="1218" spans="1:10" ht="23.25" customHeight="1">
      <c r="A1218">
        <f>Table4[[#This Row],[Column1]]</f>
        <v>0</v>
      </c>
      <c r="B1218">
        <f>Table4[[#This Row],[Column2]]</f>
        <v>0</v>
      </c>
      <c r="I1218" s="13">
        <f>Table6[[#This Row],[discharge_date]]-Table6[[#This Row],[surgery_date]]</f>
        <v>0</v>
      </c>
      <c r="J1218" s="9" t="str">
        <f t="shared" ref="J1218:J1281" si="38">IF( H1218&lt;&gt;"", H1218+30,"")</f>
        <v/>
      </c>
    </row>
    <row r="1219" spans="1:10" ht="23.25" customHeight="1">
      <c r="A1219">
        <f>Table4[[#This Row],[Column1]]</f>
        <v>0</v>
      </c>
      <c r="B1219">
        <f>Table4[[#This Row],[Column2]]</f>
        <v>0</v>
      </c>
      <c r="I1219" s="13">
        <f>Table6[[#This Row],[discharge_date]]-Table6[[#This Row],[surgery_date]]</f>
        <v>0</v>
      </c>
      <c r="J1219" s="9" t="str">
        <f t="shared" si="38"/>
        <v/>
      </c>
    </row>
    <row r="1220" spans="1:10" ht="23.25" customHeight="1">
      <c r="A1220">
        <f>Table4[[#This Row],[Column1]]</f>
        <v>0</v>
      </c>
      <c r="B1220">
        <f>Table4[[#This Row],[Column2]]</f>
        <v>0</v>
      </c>
      <c r="I1220" s="13">
        <f>Table6[[#This Row],[discharge_date]]-Table6[[#This Row],[surgery_date]]</f>
        <v>0</v>
      </c>
      <c r="J1220" s="9" t="str">
        <f t="shared" si="38"/>
        <v/>
      </c>
    </row>
    <row r="1221" spans="1:10" ht="23.25" customHeight="1">
      <c r="A1221">
        <f>Table4[[#This Row],[Column1]]</f>
        <v>0</v>
      </c>
      <c r="B1221">
        <f>Table4[[#This Row],[Column2]]</f>
        <v>0</v>
      </c>
      <c r="I1221" s="13">
        <f>Table6[[#This Row],[discharge_date]]-Table6[[#This Row],[surgery_date]]</f>
        <v>0</v>
      </c>
      <c r="J1221" s="9" t="str">
        <f t="shared" si="38"/>
        <v/>
      </c>
    </row>
    <row r="1222" spans="1:10" ht="23.25" customHeight="1">
      <c r="A1222">
        <f>Table4[[#This Row],[Column1]]</f>
        <v>0</v>
      </c>
      <c r="B1222">
        <f>Table4[[#This Row],[Column2]]</f>
        <v>0</v>
      </c>
      <c r="I1222" s="13">
        <f>Table6[[#This Row],[discharge_date]]-Table6[[#This Row],[surgery_date]]</f>
        <v>0</v>
      </c>
      <c r="J1222" s="9" t="str">
        <f t="shared" si="38"/>
        <v/>
      </c>
    </row>
    <row r="1223" spans="1:10" ht="23.25" customHeight="1">
      <c r="A1223">
        <f>Table4[[#This Row],[Column1]]</f>
        <v>0</v>
      </c>
      <c r="B1223">
        <f>Table4[[#This Row],[Column2]]</f>
        <v>0</v>
      </c>
      <c r="I1223" s="13">
        <f>Table6[[#This Row],[discharge_date]]-Table6[[#This Row],[surgery_date]]</f>
        <v>0</v>
      </c>
      <c r="J1223" s="9" t="str">
        <f t="shared" si="38"/>
        <v/>
      </c>
    </row>
    <row r="1224" spans="1:10" ht="23.25" customHeight="1">
      <c r="A1224">
        <f>Table4[[#This Row],[Column1]]</f>
        <v>0</v>
      </c>
      <c r="B1224">
        <f>Table4[[#This Row],[Column2]]</f>
        <v>0</v>
      </c>
      <c r="I1224" s="13">
        <f>Table6[[#This Row],[discharge_date]]-Table6[[#This Row],[surgery_date]]</f>
        <v>0</v>
      </c>
      <c r="J1224" s="9" t="str">
        <f t="shared" si="38"/>
        <v/>
      </c>
    </row>
    <row r="1225" spans="1:10" ht="23.25" customHeight="1">
      <c r="A1225">
        <f>Table4[[#This Row],[Column1]]</f>
        <v>0</v>
      </c>
      <c r="B1225">
        <f>Table4[[#This Row],[Column2]]</f>
        <v>0</v>
      </c>
      <c r="I1225" s="13">
        <f>Table6[[#This Row],[discharge_date]]-Table6[[#This Row],[surgery_date]]</f>
        <v>0</v>
      </c>
      <c r="J1225" s="9" t="str">
        <f t="shared" si="38"/>
        <v/>
      </c>
    </row>
    <row r="1226" spans="1:10" ht="23.25" customHeight="1">
      <c r="A1226">
        <f>Table4[[#This Row],[Column1]]</f>
        <v>0</v>
      </c>
      <c r="B1226">
        <f>Table4[[#This Row],[Column2]]</f>
        <v>0</v>
      </c>
      <c r="I1226" s="13">
        <f>Table6[[#This Row],[discharge_date]]-Table6[[#This Row],[surgery_date]]</f>
        <v>0</v>
      </c>
      <c r="J1226" s="9" t="str">
        <f t="shared" si="38"/>
        <v/>
      </c>
    </row>
    <row r="1227" spans="1:10" ht="23.25" customHeight="1">
      <c r="A1227">
        <f>Table4[[#This Row],[Column1]]</f>
        <v>0</v>
      </c>
      <c r="B1227">
        <f>Table4[[#This Row],[Column2]]</f>
        <v>0</v>
      </c>
      <c r="I1227" s="13">
        <f>Table6[[#This Row],[discharge_date]]-Table6[[#This Row],[surgery_date]]</f>
        <v>0</v>
      </c>
      <c r="J1227" s="9" t="str">
        <f t="shared" si="38"/>
        <v/>
      </c>
    </row>
    <row r="1228" spans="1:10" ht="23.25" customHeight="1">
      <c r="A1228">
        <f>Table4[[#This Row],[Column1]]</f>
        <v>0</v>
      </c>
      <c r="B1228">
        <f>Table4[[#This Row],[Column2]]</f>
        <v>0</v>
      </c>
      <c r="I1228" s="13">
        <f>Table6[[#This Row],[discharge_date]]-Table6[[#This Row],[surgery_date]]</f>
        <v>0</v>
      </c>
      <c r="J1228" s="9" t="str">
        <f t="shared" si="38"/>
        <v/>
      </c>
    </row>
    <row r="1229" spans="1:10" ht="23.25" customHeight="1">
      <c r="A1229">
        <f>Table4[[#This Row],[Column1]]</f>
        <v>0</v>
      </c>
      <c r="B1229">
        <f>Table4[[#This Row],[Column2]]</f>
        <v>0</v>
      </c>
      <c r="I1229" s="13">
        <f>Table6[[#This Row],[discharge_date]]-Table6[[#This Row],[surgery_date]]</f>
        <v>0</v>
      </c>
      <c r="J1229" s="9" t="str">
        <f t="shared" si="38"/>
        <v/>
      </c>
    </row>
    <row r="1230" spans="1:10" ht="23.25" customHeight="1">
      <c r="A1230">
        <f>Table4[[#This Row],[Column1]]</f>
        <v>0</v>
      </c>
      <c r="B1230">
        <f>Table4[[#This Row],[Column2]]</f>
        <v>0</v>
      </c>
      <c r="I1230" s="13">
        <f>Table6[[#This Row],[discharge_date]]-Table6[[#This Row],[surgery_date]]</f>
        <v>0</v>
      </c>
      <c r="J1230" s="9" t="str">
        <f t="shared" si="38"/>
        <v/>
      </c>
    </row>
    <row r="1231" spans="1:10" ht="23.25" customHeight="1">
      <c r="A1231">
        <f>Table4[[#This Row],[Column1]]</f>
        <v>0</v>
      </c>
      <c r="B1231">
        <f>Table4[[#This Row],[Column2]]</f>
        <v>0</v>
      </c>
      <c r="I1231" s="13">
        <f>Table6[[#This Row],[discharge_date]]-Table6[[#This Row],[surgery_date]]</f>
        <v>0</v>
      </c>
      <c r="J1231" s="9" t="str">
        <f t="shared" si="38"/>
        <v/>
      </c>
    </row>
    <row r="1232" spans="1:10" ht="23.25" customHeight="1">
      <c r="A1232">
        <f>Table4[[#This Row],[Column1]]</f>
        <v>0</v>
      </c>
      <c r="B1232">
        <f>Table4[[#This Row],[Column2]]</f>
        <v>0</v>
      </c>
      <c r="I1232" s="13">
        <f>Table6[[#This Row],[discharge_date]]-Table6[[#This Row],[surgery_date]]</f>
        <v>0</v>
      </c>
      <c r="J1232" s="9" t="str">
        <f t="shared" si="38"/>
        <v/>
      </c>
    </row>
    <row r="1233" spans="1:10" ht="23.25" customHeight="1">
      <c r="A1233">
        <f>Table4[[#This Row],[Column1]]</f>
        <v>0</v>
      </c>
      <c r="B1233">
        <f>Table4[[#This Row],[Column2]]</f>
        <v>0</v>
      </c>
      <c r="I1233" s="13">
        <f>Table6[[#This Row],[discharge_date]]-Table6[[#This Row],[surgery_date]]</f>
        <v>0</v>
      </c>
      <c r="J1233" s="9" t="str">
        <f t="shared" si="38"/>
        <v/>
      </c>
    </row>
    <row r="1234" spans="1:10" ht="23.25" customHeight="1">
      <c r="A1234">
        <f>Table4[[#This Row],[Column1]]</f>
        <v>0</v>
      </c>
      <c r="B1234">
        <f>Table4[[#This Row],[Column2]]</f>
        <v>0</v>
      </c>
      <c r="I1234" s="13">
        <f>Table6[[#This Row],[discharge_date]]-Table6[[#This Row],[surgery_date]]</f>
        <v>0</v>
      </c>
      <c r="J1234" s="9" t="str">
        <f t="shared" si="38"/>
        <v/>
      </c>
    </row>
    <row r="1235" spans="1:10" ht="23.25" customHeight="1">
      <c r="A1235">
        <f>Table4[[#This Row],[Column1]]</f>
        <v>0</v>
      </c>
      <c r="B1235">
        <f>Table4[[#This Row],[Column2]]</f>
        <v>0</v>
      </c>
      <c r="I1235" s="13">
        <f>Table6[[#This Row],[discharge_date]]-Table6[[#This Row],[surgery_date]]</f>
        <v>0</v>
      </c>
      <c r="J1235" s="9" t="str">
        <f t="shared" si="38"/>
        <v/>
      </c>
    </row>
    <row r="1236" spans="1:10" ht="23.25" customHeight="1">
      <c r="A1236">
        <f>Table4[[#This Row],[Column1]]</f>
        <v>0</v>
      </c>
      <c r="B1236">
        <f>Table4[[#This Row],[Column2]]</f>
        <v>0</v>
      </c>
      <c r="I1236" s="13">
        <f>Table6[[#This Row],[discharge_date]]-Table6[[#This Row],[surgery_date]]</f>
        <v>0</v>
      </c>
      <c r="J1236" s="9" t="str">
        <f t="shared" si="38"/>
        <v/>
      </c>
    </row>
    <row r="1237" spans="1:10" ht="23.25" customHeight="1">
      <c r="A1237">
        <f>Table4[[#This Row],[Column1]]</f>
        <v>0</v>
      </c>
      <c r="B1237">
        <f>Table4[[#This Row],[Column2]]</f>
        <v>0</v>
      </c>
      <c r="I1237" s="13">
        <f>Table6[[#This Row],[discharge_date]]-Table6[[#This Row],[surgery_date]]</f>
        <v>0</v>
      </c>
      <c r="J1237" s="9" t="str">
        <f t="shared" si="38"/>
        <v/>
      </c>
    </row>
    <row r="1238" spans="1:10" ht="23.25" customHeight="1">
      <c r="A1238">
        <f>Table4[[#This Row],[Column1]]</f>
        <v>0</v>
      </c>
      <c r="B1238">
        <f>Table4[[#This Row],[Column2]]</f>
        <v>0</v>
      </c>
      <c r="I1238" s="13">
        <f>Table6[[#This Row],[discharge_date]]-Table6[[#This Row],[surgery_date]]</f>
        <v>0</v>
      </c>
      <c r="J1238" s="9" t="str">
        <f t="shared" si="38"/>
        <v/>
      </c>
    </row>
    <row r="1239" spans="1:10" ht="23.25" customHeight="1">
      <c r="A1239">
        <f>Table4[[#This Row],[Column1]]</f>
        <v>0</v>
      </c>
      <c r="B1239">
        <f>Table4[[#This Row],[Column2]]</f>
        <v>0</v>
      </c>
      <c r="I1239" s="13">
        <f>Table6[[#This Row],[discharge_date]]-Table6[[#This Row],[surgery_date]]</f>
        <v>0</v>
      </c>
      <c r="J1239" s="9" t="str">
        <f t="shared" si="38"/>
        <v/>
      </c>
    </row>
    <row r="1240" spans="1:10" ht="23.25" customHeight="1">
      <c r="A1240">
        <f>Table4[[#This Row],[Column1]]</f>
        <v>0</v>
      </c>
      <c r="B1240">
        <f>Table4[[#This Row],[Column2]]</f>
        <v>0</v>
      </c>
      <c r="I1240" s="13">
        <f>Table6[[#This Row],[discharge_date]]-Table6[[#This Row],[surgery_date]]</f>
        <v>0</v>
      </c>
      <c r="J1240" s="9" t="str">
        <f t="shared" si="38"/>
        <v/>
      </c>
    </row>
    <row r="1241" spans="1:10" ht="23.25" customHeight="1">
      <c r="A1241">
        <f>Table4[[#This Row],[Column1]]</f>
        <v>0</v>
      </c>
      <c r="B1241">
        <f>Table4[[#This Row],[Column2]]</f>
        <v>0</v>
      </c>
      <c r="I1241" s="13">
        <f>Table6[[#This Row],[discharge_date]]-Table6[[#This Row],[surgery_date]]</f>
        <v>0</v>
      </c>
      <c r="J1241" s="9" t="str">
        <f t="shared" si="38"/>
        <v/>
      </c>
    </row>
    <row r="1242" spans="1:10" ht="23.25" customHeight="1">
      <c r="A1242">
        <f>Table4[[#This Row],[Column1]]</f>
        <v>0</v>
      </c>
      <c r="B1242">
        <f>Table4[[#This Row],[Column2]]</f>
        <v>0</v>
      </c>
      <c r="I1242" s="13">
        <f>Table6[[#This Row],[discharge_date]]-Table6[[#This Row],[surgery_date]]</f>
        <v>0</v>
      </c>
      <c r="J1242" s="9" t="str">
        <f t="shared" si="38"/>
        <v/>
      </c>
    </row>
    <row r="1243" spans="1:10" ht="23.25" customHeight="1">
      <c r="A1243">
        <f>Table4[[#This Row],[Column1]]</f>
        <v>0</v>
      </c>
      <c r="B1243">
        <f>Table4[[#This Row],[Column2]]</f>
        <v>0</v>
      </c>
      <c r="I1243" s="13">
        <f>Table6[[#This Row],[discharge_date]]-Table6[[#This Row],[surgery_date]]</f>
        <v>0</v>
      </c>
      <c r="J1243" s="9" t="str">
        <f t="shared" si="38"/>
        <v/>
      </c>
    </row>
    <row r="1244" spans="1:10" ht="23.25" customHeight="1">
      <c r="A1244">
        <f>Table4[[#This Row],[Column1]]</f>
        <v>0</v>
      </c>
      <c r="B1244">
        <f>Table4[[#This Row],[Column2]]</f>
        <v>0</v>
      </c>
      <c r="I1244" s="13">
        <f>Table6[[#This Row],[discharge_date]]-Table6[[#This Row],[surgery_date]]</f>
        <v>0</v>
      </c>
      <c r="J1244" s="9" t="str">
        <f t="shared" si="38"/>
        <v/>
      </c>
    </row>
    <row r="1245" spans="1:10" ht="23.25" customHeight="1">
      <c r="A1245">
        <f>Table4[[#This Row],[Column1]]</f>
        <v>0</v>
      </c>
      <c r="B1245">
        <f>Table4[[#This Row],[Column2]]</f>
        <v>0</v>
      </c>
      <c r="I1245" s="13">
        <f>Table6[[#This Row],[discharge_date]]-Table6[[#This Row],[surgery_date]]</f>
        <v>0</v>
      </c>
      <c r="J1245" s="9" t="str">
        <f t="shared" si="38"/>
        <v/>
      </c>
    </row>
    <row r="1246" spans="1:10" ht="23.25" customHeight="1">
      <c r="A1246">
        <f>Table4[[#This Row],[Column1]]</f>
        <v>0</v>
      </c>
      <c r="B1246">
        <f>Table4[[#This Row],[Column2]]</f>
        <v>0</v>
      </c>
      <c r="I1246" s="13">
        <f>Table6[[#This Row],[discharge_date]]-Table6[[#This Row],[surgery_date]]</f>
        <v>0</v>
      </c>
      <c r="J1246" s="9" t="str">
        <f t="shared" si="38"/>
        <v/>
      </c>
    </row>
    <row r="1247" spans="1:10" ht="23.25" customHeight="1">
      <c r="A1247">
        <f>Table4[[#This Row],[Column1]]</f>
        <v>0</v>
      </c>
      <c r="B1247">
        <f>Table4[[#This Row],[Column2]]</f>
        <v>0</v>
      </c>
      <c r="I1247" s="13">
        <f>Table6[[#This Row],[discharge_date]]-Table6[[#This Row],[surgery_date]]</f>
        <v>0</v>
      </c>
      <c r="J1247" s="9" t="str">
        <f t="shared" si="38"/>
        <v/>
      </c>
    </row>
    <row r="1248" spans="1:10" ht="23.25" customHeight="1">
      <c r="A1248">
        <f>Table4[[#This Row],[Column1]]</f>
        <v>0</v>
      </c>
      <c r="B1248">
        <f>Table4[[#This Row],[Column2]]</f>
        <v>0</v>
      </c>
      <c r="I1248" s="13">
        <f>Table6[[#This Row],[discharge_date]]-Table6[[#This Row],[surgery_date]]</f>
        <v>0</v>
      </c>
      <c r="J1248" s="9" t="str">
        <f t="shared" si="38"/>
        <v/>
      </c>
    </row>
    <row r="1249" spans="1:10" ht="23.25" customHeight="1">
      <c r="A1249">
        <f>Table4[[#This Row],[Column1]]</f>
        <v>0</v>
      </c>
      <c r="B1249">
        <f>Table4[[#This Row],[Column2]]</f>
        <v>0</v>
      </c>
      <c r="I1249" s="13">
        <f>Table6[[#This Row],[discharge_date]]-Table6[[#This Row],[surgery_date]]</f>
        <v>0</v>
      </c>
      <c r="J1249" s="9" t="str">
        <f t="shared" si="38"/>
        <v/>
      </c>
    </row>
    <row r="1250" spans="1:10" ht="23.25" customHeight="1">
      <c r="A1250">
        <f>Table4[[#This Row],[Column1]]</f>
        <v>0</v>
      </c>
      <c r="B1250">
        <f>Table4[[#This Row],[Column2]]</f>
        <v>0</v>
      </c>
      <c r="I1250" s="13">
        <f>Table6[[#This Row],[discharge_date]]-Table6[[#This Row],[surgery_date]]</f>
        <v>0</v>
      </c>
      <c r="J1250" s="9" t="str">
        <f t="shared" si="38"/>
        <v/>
      </c>
    </row>
    <row r="1251" spans="1:10" ht="23.25" customHeight="1">
      <c r="A1251">
        <f>Table4[[#This Row],[Column1]]</f>
        <v>0</v>
      </c>
      <c r="B1251">
        <f>Table4[[#This Row],[Column2]]</f>
        <v>0</v>
      </c>
      <c r="I1251" s="13">
        <f>Table6[[#This Row],[discharge_date]]-Table6[[#This Row],[surgery_date]]</f>
        <v>0</v>
      </c>
      <c r="J1251" s="9" t="str">
        <f t="shared" si="38"/>
        <v/>
      </c>
    </row>
    <row r="1252" spans="1:10" ht="23.25" customHeight="1">
      <c r="A1252">
        <f>Table4[[#This Row],[Column1]]</f>
        <v>0</v>
      </c>
      <c r="B1252">
        <f>Table4[[#This Row],[Column2]]</f>
        <v>0</v>
      </c>
      <c r="I1252" s="13">
        <f>Table6[[#This Row],[discharge_date]]-Table6[[#This Row],[surgery_date]]</f>
        <v>0</v>
      </c>
      <c r="J1252" s="9" t="str">
        <f t="shared" si="38"/>
        <v/>
      </c>
    </row>
    <row r="1253" spans="1:10" ht="23.25" customHeight="1">
      <c r="A1253">
        <f>Table4[[#This Row],[Column1]]</f>
        <v>0</v>
      </c>
      <c r="B1253">
        <f>Table4[[#This Row],[Column2]]</f>
        <v>0</v>
      </c>
      <c r="I1253" s="13">
        <f>Table6[[#This Row],[discharge_date]]-Table6[[#This Row],[surgery_date]]</f>
        <v>0</v>
      </c>
      <c r="J1253" s="9" t="str">
        <f t="shared" si="38"/>
        <v/>
      </c>
    </row>
    <row r="1254" spans="1:10" ht="23.25" customHeight="1">
      <c r="A1254">
        <f>Table4[[#This Row],[Column1]]</f>
        <v>0</v>
      </c>
      <c r="B1254">
        <f>Table4[[#This Row],[Column2]]</f>
        <v>0</v>
      </c>
      <c r="I1254" s="13">
        <f>Table6[[#This Row],[discharge_date]]-Table6[[#This Row],[surgery_date]]</f>
        <v>0</v>
      </c>
      <c r="J1254" s="9" t="str">
        <f t="shared" si="38"/>
        <v/>
      </c>
    </row>
    <row r="1255" spans="1:10" ht="23.25" customHeight="1">
      <c r="A1255">
        <f>Table4[[#This Row],[Column1]]</f>
        <v>0</v>
      </c>
      <c r="B1255">
        <f>Table4[[#This Row],[Column2]]</f>
        <v>0</v>
      </c>
      <c r="I1255" s="13">
        <f>Table6[[#This Row],[discharge_date]]-Table6[[#This Row],[surgery_date]]</f>
        <v>0</v>
      </c>
      <c r="J1255" s="9" t="str">
        <f t="shared" si="38"/>
        <v/>
      </c>
    </row>
    <row r="1256" spans="1:10" ht="23.25" customHeight="1">
      <c r="A1256">
        <f>Table4[[#This Row],[Column1]]</f>
        <v>0</v>
      </c>
      <c r="B1256">
        <f>Table4[[#This Row],[Column2]]</f>
        <v>0</v>
      </c>
      <c r="I1256" s="13">
        <f>Table6[[#This Row],[discharge_date]]-Table6[[#This Row],[surgery_date]]</f>
        <v>0</v>
      </c>
      <c r="J1256" s="9" t="str">
        <f t="shared" si="38"/>
        <v/>
      </c>
    </row>
    <row r="1257" spans="1:10" ht="23.25" customHeight="1">
      <c r="A1257">
        <f>Table4[[#This Row],[Column1]]</f>
        <v>0</v>
      </c>
      <c r="B1257">
        <f>Table4[[#This Row],[Column2]]</f>
        <v>0</v>
      </c>
      <c r="I1257" s="13">
        <f>Table6[[#This Row],[discharge_date]]-Table6[[#This Row],[surgery_date]]</f>
        <v>0</v>
      </c>
      <c r="J1257" s="9" t="str">
        <f t="shared" si="38"/>
        <v/>
      </c>
    </row>
    <row r="1258" spans="1:10" ht="23.25" customHeight="1">
      <c r="A1258">
        <f>Table4[[#This Row],[Column1]]</f>
        <v>0</v>
      </c>
      <c r="B1258">
        <f>Table4[[#This Row],[Column2]]</f>
        <v>0</v>
      </c>
      <c r="I1258" s="13">
        <f>Table6[[#This Row],[discharge_date]]-Table6[[#This Row],[surgery_date]]</f>
        <v>0</v>
      </c>
      <c r="J1258" s="9" t="str">
        <f t="shared" si="38"/>
        <v/>
      </c>
    </row>
    <row r="1259" spans="1:10" ht="23.25" customHeight="1">
      <c r="A1259">
        <f>Table4[[#This Row],[Column1]]</f>
        <v>0</v>
      </c>
      <c r="B1259">
        <f>Table4[[#This Row],[Column2]]</f>
        <v>0</v>
      </c>
      <c r="I1259" s="13">
        <f>Table6[[#This Row],[discharge_date]]-Table6[[#This Row],[surgery_date]]</f>
        <v>0</v>
      </c>
      <c r="J1259" s="9" t="str">
        <f t="shared" si="38"/>
        <v/>
      </c>
    </row>
    <row r="1260" spans="1:10" ht="23.25" customHeight="1">
      <c r="A1260">
        <f>Table4[[#This Row],[Column1]]</f>
        <v>0</v>
      </c>
      <c r="B1260">
        <f>Table4[[#This Row],[Column2]]</f>
        <v>0</v>
      </c>
      <c r="I1260" s="13">
        <f>Table6[[#This Row],[discharge_date]]-Table6[[#This Row],[surgery_date]]</f>
        <v>0</v>
      </c>
      <c r="J1260" s="9" t="str">
        <f t="shared" si="38"/>
        <v/>
      </c>
    </row>
    <row r="1261" spans="1:10" ht="23.25" customHeight="1">
      <c r="A1261">
        <f>Table4[[#This Row],[Column1]]</f>
        <v>0</v>
      </c>
      <c r="B1261">
        <f>Table4[[#This Row],[Column2]]</f>
        <v>0</v>
      </c>
      <c r="I1261" s="13">
        <f>Table6[[#This Row],[discharge_date]]-Table6[[#This Row],[surgery_date]]</f>
        <v>0</v>
      </c>
      <c r="J1261" s="9" t="str">
        <f t="shared" si="38"/>
        <v/>
      </c>
    </row>
    <row r="1262" spans="1:10" ht="23.25" customHeight="1">
      <c r="A1262">
        <f>Table4[[#This Row],[Column1]]</f>
        <v>0</v>
      </c>
      <c r="B1262">
        <f>Table4[[#This Row],[Column2]]</f>
        <v>0</v>
      </c>
      <c r="I1262" s="13">
        <f>Table6[[#This Row],[discharge_date]]-Table6[[#This Row],[surgery_date]]</f>
        <v>0</v>
      </c>
      <c r="J1262" s="9" t="str">
        <f t="shared" si="38"/>
        <v/>
      </c>
    </row>
    <row r="1263" spans="1:10" ht="23.25" customHeight="1">
      <c r="A1263">
        <f>Table4[[#This Row],[Column1]]</f>
        <v>0</v>
      </c>
      <c r="B1263">
        <f>Table4[[#This Row],[Column2]]</f>
        <v>0</v>
      </c>
      <c r="I1263" s="13">
        <f>Table6[[#This Row],[discharge_date]]-Table6[[#This Row],[surgery_date]]</f>
        <v>0</v>
      </c>
      <c r="J1263" s="9" t="str">
        <f t="shared" si="38"/>
        <v/>
      </c>
    </row>
    <row r="1264" spans="1:10" ht="23.25" customHeight="1">
      <c r="A1264">
        <f>Table4[[#This Row],[Column1]]</f>
        <v>0</v>
      </c>
      <c r="B1264">
        <f>Table4[[#This Row],[Column2]]</f>
        <v>0</v>
      </c>
      <c r="I1264" s="13">
        <f>Table6[[#This Row],[discharge_date]]-Table6[[#This Row],[surgery_date]]</f>
        <v>0</v>
      </c>
      <c r="J1264" s="9" t="str">
        <f t="shared" si="38"/>
        <v/>
      </c>
    </row>
    <row r="1265" spans="1:10" ht="23.25" customHeight="1">
      <c r="A1265">
        <f>Table4[[#This Row],[Column1]]</f>
        <v>0</v>
      </c>
      <c r="B1265">
        <f>Table4[[#This Row],[Column2]]</f>
        <v>0</v>
      </c>
      <c r="I1265" s="13">
        <f>Table6[[#This Row],[discharge_date]]-Table6[[#This Row],[surgery_date]]</f>
        <v>0</v>
      </c>
      <c r="J1265" s="9" t="str">
        <f t="shared" si="38"/>
        <v/>
      </c>
    </row>
    <row r="1266" spans="1:10" ht="23.25" customHeight="1">
      <c r="A1266">
        <f>Table4[[#This Row],[Column1]]</f>
        <v>0</v>
      </c>
      <c r="B1266">
        <f>Table4[[#This Row],[Column2]]</f>
        <v>0</v>
      </c>
      <c r="I1266" s="13">
        <f>Table6[[#This Row],[discharge_date]]-Table6[[#This Row],[surgery_date]]</f>
        <v>0</v>
      </c>
      <c r="J1266" s="9" t="str">
        <f t="shared" si="38"/>
        <v/>
      </c>
    </row>
    <row r="1267" spans="1:10" ht="23.25" customHeight="1">
      <c r="A1267">
        <f>Table4[[#This Row],[Column1]]</f>
        <v>0</v>
      </c>
      <c r="B1267">
        <f>Table4[[#This Row],[Column2]]</f>
        <v>0</v>
      </c>
      <c r="I1267" s="13">
        <f>Table6[[#This Row],[discharge_date]]-Table6[[#This Row],[surgery_date]]</f>
        <v>0</v>
      </c>
      <c r="J1267" s="9" t="str">
        <f t="shared" si="38"/>
        <v/>
      </c>
    </row>
    <row r="1268" spans="1:10" ht="23.25" customHeight="1">
      <c r="A1268">
        <f>Table4[[#This Row],[Column1]]</f>
        <v>0</v>
      </c>
      <c r="B1268">
        <f>Table4[[#This Row],[Column2]]</f>
        <v>0</v>
      </c>
      <c r="I1268" s="13">
        <f>Table6[[#This Row],[discharge_date]]-Table6[[#This Row],[surgery_date]]</f>
        <v>0</v>
      </c>
      <c r="J1268" s="9" t="str">
        <f t="shared" si="38"/>
        <v/>
      </c>
    </row>
    <row r="1269" spans="1:10" ht="23.25" customHeight="1">
      <c r="A1269">
        <f>Table4[[#This Row],[Column1]]</f>
        <v>0</v>
      </c>
      <c r="B1269">
        <f>Table4[[#This Row],[Column2]]</f>
        <v>0</v>
      </c>
      <c r="I1269" s="13">
        <f>Table6[[#This Row],[discharge_date]]-Table6[[#This Row],[surgery_date]]</f>
        <v>0</v>
      </c>
      <c r="J1269" s="9" t="str">
        <f t="shared" si="38"/>
        <v/>
      </c>
    </row>
    <row r="1270" spans="1:10" ht="23.25" customHeight="1">
      <c r="A1270">
        <f>Table4[[#This Row],[Column1]]</f>
        <v>0</v>
      </c>
      <c r="B1270">
        <f>Table4[[#This Row],[Column2]]</f>
        <v>0</v>
      </c>
      <c r="I1270" s="13">
        <f>Table6[[#This Row],[discharge_date]]-Table6[[#This Row],[surgery_date]]</f>
        <v>0</v>
      </c>
      <c r="J1270" s="9" t="str">
        <f t="shared" si="38"/>
        <v/>
      </c>
    </row>
    <row r="1271" spans="1:10" ht="23.25" customHeight="1">
      <c r="A1271">
        <f>Table4[[#This Row],[Column1]]</f>
        <v>0</v>
      </c>
      <c r="B1271">
        <f>Table4[[#This Row],[Column2]]</f>
        <v>0</v>
      </c>
      <c r="I1271" s="13">
        <f>Table6[[#This Row],[discharge_date]]-Table6[[#This Row],[surgery_date]]</f>
        <v>0</v>
      </c>
      <c r="J1271" s="9" t="str">
        <f t="shared" si="38"/>
        <v/>
      </c>
    </row>
    <row r="1272" spans="1:10" ht="23.25" customHeight="1">
      <c r="A1272">
        <f>Table4[[#This Row],[Column1]]</f>
        <v>0</v>
      </c>
      <c r="B1272">
        <f>Table4[[#This Row],[Column2]]</f>
        <v>0</v>
      </c>
      <c r="I1272" s="13">
        <f>Table6[[#This Row],[discharge_date]]-Table6[[#This Row],[surgery_date]]</f>
        <v>0</v>
      </c>
      <c r="J1272" s="9" t="str">
        <f t="shared" si="38"/>
        <v/>
      </c>
    </row>
    <row r="1273" spans="1:10" ht="23.25" customHeight="1">
      <c r="A1273">
        <f>Table4[[#This Row],[Column1]]</f>
        <v>0</v>
      </c>
      <c r="B1273">
        <f>Table4[[#This Row],[Column2]]</f>
        <v>0</v>
      </c>
      <c r="I1273" s="13">
        <f>Table6[[#This Row],[discharge_date]]-Table6[[#This Row],[surgery_date]]</f>
        <v>0</v>
      </c>
      <c r="J1273" s="9" t="str">
        <f t="shared" si="38"/>
        <v/>
      </c>
    </row>
    <row r="1274" spans="1:10" ht="23.25" customHeight="1">
      <c r="A1274">
        <f>Table4[[#This Row],[Column1]]</f>
        <v>0</v>
      </c>
      <c r="B1274">
        <f>Table4[[#This Row],[Column2]]</f>
        <v>0</v>
      </c>
      <c r="I1274" s="13">
        <f>Table6[[#This Row],[discharge_date]]-Table6[[#This Row],[surgery_date]]</f>
        <v>0</v>
      </c>
      <c r="J1274" s="9" t="str">
        <f t="shared" si="38"/>
        <v/>
      </c>
    </row>
    <row r="1275" spans="1:10" ht="23.25" customHeight="1">
      <c r="A1275">
        <f>Table4[[#This Row],[Column1]]</f>
        <v>0</v>
      </c>
      <c r="B1275">
        <f>Table4[[#This Row],[Column2]]</f>
        <v>0</v>
      </c>
      <c r="I1275" s="13">
        <f>Table6[[#This Row],[discharge_date]]-Table6[[#This Row],[surgery_date]]</f>
        <v>0</v>
      </c>
      <c r="J1275" s="9" t="str">
        <f t="shared" si="38"/>
        <v/>
      </c>
    </row>
    <row r="1276" spans="1:10" ht="23.25" customHeight="1">
      <c r="A1276">
        <f>Table4[[#This Row],[Column1]]</f>
        <v>0</v>
      </c>
      <c r="B1276">
        <f>Table4[[#This Row],[Column2]]</f>
        <v>0</v>
      </c>
      <c r="I1276" s="13">
        <f>Table6[[#This Row],[discharge_date]]-Table6[[#This Row],[surgery_date]]</f>
        <v>0</v>
      </c>
      <c r="J1276" s="9" t="str">
        <f t="shared" si="38"/>
        <v/>
      </c>
    </row>
    <row r="1277" spans="1:10" ht="23.25" customHeight="1">
      <c r="A1277">
        <f>Table4[[#This Row],[Column1]]</f>
        <v>0</v>
      </c>
      <c r="B1277">
        <f>Table4[[#This Row],[Column2]]</f>
        <v>0</v>
      </c>
      <c r="I1277" s="13">
        <f>Table6[[#This Row],[discharge_date]]-Table6[[#This Row],[surgery_date]]</f>
        <v>0</v>
      </c>
      <c r="J1277" s="9" t="str">
        <f t="shared" si="38"/>
        <v/>
      </c>
    </row>
    <row r="1278" spans="1:10" ht="23.25" customHeight="1">
      <c r="A1278">
        <f>Table4[[#This Row],[Column1]]</f>
        <v>0</v>
      </c>
      <c r="B1278">
        <f>Table4[[#This Row],[Column2]]</f>
        <v>0</v>
      </c>
      <c r="I1278" s="13">
        <f>Table6[[#This Row],[discharge_date]]-Table6[[#This Row],[surgery_date]]</f>
        <v>0</v>
      </c>
      <c r="J1278" s="9" t="str">
        <f t="shared" si="38"/>
        <v/>
      </c>
    </row>
    <row r="1279" spans="1:10" ht="23.25" customHeight="1">
      <c r="A1279">
        <f>Table4[[#This Row],[Column1]]</f>
        <v>0</v>
      </c>
      <c r="B1279">
        <f>Table4[[#This Row],[Column2]]</f>
        <v>0</v>
      </c>
      <c r="I1279" s="13">
        <f>Table6[[#This Row],[discharge_date]]-Table6[[#This Row],[surgery_date]]</f>
        <v>0</v>
      </c>
      <c r="J1279" s="9" t="str">
        <f t="shared" si="38"/>
        <v/>
      </c>
    </row>
    <row r="1280" spans="1:10" ht="23.25" customHeight="1">
      <c r="A1280">
        <f>Table4[[#This Row],[Column1]]</f>
        <v>0</v>
      </c>
      <c r="B1280">
        <f>Table4[[#This Row],[Column2]]</f>
        <v>0</v>
      </c>
      <c r="I1280" s="13">
        <f>Table6[[#This Row],[discharge_date]]-Table6[[#This Row],[surgery_date]]</f>
        <v>0</v>
      </c>
      <c r="J1280" s="9" t="str">
        <f t="shared" si="38"/>
        <v/>
      </c>
    </row>
    <row r="1281" spans="1:10" ht="23.25" customHeight="1">
      <c r="A1281">
        <f>Table4[[#This Row],[Column1]]</f>
        <v>0</v>
      </c>
      <c r="B1281">
        <f>Table4[[#This Row],[Column2]]</f>
        <v>0</v>
      </c>
      <c r="I1281" s="13">
        <f>Table6[[#This Row],[discharge_date]]-Table6[[#This Row],[surgery_date]]</f>
        <v>0</v>
      </c>
      <c r="J1281" s="9" t="str">
        <f t="shared" si="38"/>
        <v/>
      </c>
    </row>
    <row r="1282" spans="1:10" ht="23.25" customHeight="1">
      <c r="A1282">
        <f>Table4[[#This Row],[Column1]]</f>
        <v>0</v>
      </c>
      <c r="B1282">
        <f>Table4[[#This Row],[Column2]]</f>
        <v>0</v>
      </c>
      <c r="I1282" s="13">
        <f>Table6[[#This Row],[discharge_date]]-Table6[[#This Row],[surgery_date]]</f>
        <v>0</v>
      </c>
      <c r="J1282" s="9" t="str">
        <f t="shared" ref="J1282:J1345" si="39">IF( H1282&lt;&gt;"", H1282+30,"")</f>
        <v/>
      </c>
    </row>
    <row r="1283" spans="1:10" ht="23.25" customHeight="1">
      <c r="A1283">
        <f>Table4[[#This Row],[Column1]]</f>
        <v>0</v>
      </c>
      <c r="B1283">
        <f>Table4[[#This Row],[Column2]]</f>
        <v>0</v>
      </c>
      <c r="I1283" s="13">
        <f>Table6[[#This Row],[discharge_date]]-Table6[[#This Row],[surgery_date]]</f>
        <v>0</v>
      </c>
      <c r="J1283" s="9" t="str">
        <f t="shared" si="39"/>
        <v/>
      </c>
    </row>
    <row r="1284" spans="1:10" ht="23.25" customHeight="1">
      <c r="A1284">
        <f>Table4[[#This Row],[Column1]]</f>
        <v>0</v>
      </c>
      <c r="B1284">
        <f>Table4[[#This Row],[Column2]]</f>
        <v>0</v>
      </c>
      <c r="I1284" s="13">
        <f>Table6[[#This Row],[discharge_date]]-Table6[[#This Row],[surgery_date]]</f>
        <v>0</v>
      </c>
      <c r="J1284" s="9" t="str">
        <f t="shared" si="39"/>
        <v/>
      </c>
    </row>
    <row r="1285" spans="1:10" ht="23.25" customHeight="1">
      <c r="A1285">
        <f>Table4[[#This Row],[Column1]]</f>
        <v>0</v>
      </c>
      <c r="B1285">
        <f>Table4[[#This Row],[Column2]]</f>
        <v>0</v>
      </c>
      <c r="I1285" s="13">
        <f>Table6[[#This Row],[discharge_date]]-Table6[[#This Row],[surgery_date]]</f>
        <v>0</v>
      </c>
      <c r="J1285" s="9" t="str">
        <f t="shared" si="39"/>
        <v/>
      </c>
    </row>
    <row r="1286" spans="1:10" ht="23.25" customHeight="1">
      <c r="A1286">
        <f>Table4[[#This Row],[Column1]]</f>
        <v>0</v>
      </c>
      <c r="B1286">
        <f>Table4[[#This Row],[Column2]]</f>
        <v>0</v>
      </c>
      <c r="I1286" s="13">
        <f>Table6[[#This Row],[discharge_date]]-Table6[[#This Row],[surgery_date]]</f>
        <v>0</v>
      </c>
      <c r="J1286" s="9" t="str">
        <f t="shared" si="39"/>
        <v/>
      </c>
    </row>
    <row r="1287" spans="1:10" ht="23.25" customHeight="1">
      <c r="A1287">
        <f>Table4[[#This Row],[Column1]]</f>
        <v>0</v>
      </c>
      <c r="B1287">
        <f>Table4[[#This Row],[Column2]]</f>
        <v>0</v>
      </c>
      <c r="I1287" s="13">
        <f>Table6[[#This Row],[discharge_date]]-Table6[[#This Row],[surgery_date]]</f>
        <v>0</v>
      </c>
      <c r="J1287" s="9" t="str">
        <f t="shared" si="39"/>
        <v/>
      </c>
    </row>
    <row r="1288" spans="1:10" ht="23.25" customHeight="1">
      <c r="A1288">
        <f>Table4[[#This Row],[Column1]]</f>
        <v>0</v>
      </c>
      <c r="B1288">
        <f>Table4[[#This Row],[Column2]]</f>
        <v>0</v>
      </c>
      <c r="I1288" s="13">
        <f>Table6[[#This Row],[discharge_date]]-Table6[[#This Row],[surgery_date]]</f>
        <v>0</v>
      </c>
      <c r="J1288" s="9" t="str">
        <f t="shared" si="39"/>
        <v/>
      </c>
    </row>
    <row r="1289" spans="1:10" ht="23.25" customHeight="1">
      <c r="A1289">
        <f>Table4[[#This Row],[Column1]]</f>
        <v>0</v>
      </c>
      <c r="B1289">
        <f>Table4[[#This Row],[Column2]]</f>
        <v>0</v>
      </c>
      <c r="I1289" s="13">
        <f>Table6[[#This Row],[discharge_date]]-Table6[[#This Row],[surgery_date]]</f>
        <v>0</v>
      </c>
      <c r="J1289" s="9" t="str">
        <f t="shared" si="39"/>
        <v/>
      </c>
    </row>
    <row r="1290" spans="1:10" ht="23.25" customHeight="1">
      <c r="A1290">
        <f>Table4[[#This Row],[Column1]]</f>
        <v>0</v>
      </c>
      <c r="B1290">
        <f>Table4[[#This Row],[Column2]]</f>
        <v>0</v>
      </c>
      <c r="I1290" s="13">
        <f>Table6[[#This Row],[discharge_date]]-Table6[[#This Row],[surgery_date]]</f>
        <v>0</v>
      </c>
      <c r="J1290" s="9" t="str">
        <f t="shared" si="39"/>
        <v/>
      </c>
    </row>
    <row r="1291" spans="1:10" ht="23.25" customHeight="1">
      <c r="A1291">
        <f>Table4[[#This Row],[Column1]]</f>
        <v>0</v>
      </c>
      <c r="B1291">
        <f>Table4[[#This Row],[Column2]]</f>
        <v>0</v>
      </c>
      <c r="I1291" s="13">
        <f>Table6[[#This Row],[discharge_date]]-Table6[[#This Row],[surgery_date]]</f>
        <v>0</v>
      </c>
      <c r="J1291" s="9" t="str">
        <f t="shared" si="39"/>
        <v/>
      </c>
    </row>
    <row r="1292" spans="1:10" ht="23.25" customHeight="1">
      <c r="A1292">
        <f>Table4[[#This Row],[Column1]]</f>
        <v>0</v>
      </c>
      <c r="B1292">
        <f>Table4[[#This Row],[Column2]]</f>
        <v>0</v>
      </c>
      <c r="I1292" s="13">
        <f>Table6[[#This Row],[discharge_date]]-Table6[[#This Row],[surgery_date]]</f>
        <v>0</v>
      </c>
      <c r="J1292" s="9" t="str">
        <f t="shared" si="39"/>
        <v/>
      </c>
    </row>
    <row r="1293" spans="1:10" ht="23.25" customHeight="1">
      <c r="A1293">
        <f>Table4[[#This Row],[Column1]]</f>
        <v>0</v>
      </c>
      <c r="B1293">
        <f>Table4[[#This Row],[Column2]]</f>
        <v>0</v>
      </c>
      <c r="I1293" s="13">
        <f>Table6[[#This Row],[discharge_date]]-Table6[[#This Row],[surgery_date]]</f>
        <v>0</v>
      </c>
      <c r="J1293" s="9" t="str">
        <f t="shared" si="39"/>
        <v/>
      </c>
    </row>
    <row r="1294" spans="1:10" ht="23.25" customHeight="1">
      <c r="A1294">
        <f>Table4[[#This Row],[Column1]]</f>
        <v>0</v>
      </c>
      <c r="B1294">
        <f>Table4[[#This Row],[Column2]]</f>
        <v>0</v>
      </c>
      <c r="I1294" s="13">
        <f>Table6[[#This Row],[discharge_date]]-Table6[[#This Row],[surgery_date]]</f>
        <v>0</v>
      </c>
      <c r="J1294" s="9" t="str">
        <f t="shared" si="39"/>
        <v/>
      </c>
    </row>
    <row r="1295" spans="1:10" ht="23.25" customHeight="1">
      <c r="A1295">
        <f>Table4[[#This Row],[Column1]]</f>
        <v>0</v>
      </c>
      <c r="B1295">
        <f>Table4[[#This Row],[Column2]]</f>
        <v>0</v>
      </c>
      <c r="I1295" s="13">
        <f>Table6[[#This Row],[discharge_date]]-Table6[[#This Row],[surgery_date]]</f>
        <v>0</v>
      </c>
      <c r="J1295" s="9" t="str">
        <f t="shared" si="39"/>
        <v/>
      </c>
    </row>
    <row r="1296" spans="1:10" ht="23.25" customHeight="1">
      <c r="A1296">
        <f>Table4[[#This Row],[Column1]]</f>
        <v>0</v>
      </c>
      <c r="B1296">
        <f>Table4[[#This Row],[Column2]]</f>
        <v>0</v>
      </c>
      <c r="I1296" s="13">
        <f>Table6[[#This Row],[discharge_date]]-Table6[[#This Row],[surgery_date]]</f>
        <v>0</v>
      </c>
      <c r="J1296" s="9" t="str">
        <f t="shared" si="39"/>
        <v/>
      </c>
    </row>
    <row r="1297" spans="1:10" ht="23.25" customHeight="1">
      <c r="A1297">
        <f>Table4[[#This Row],[Column1]]</f>
        <v>0</v>
      </c>
      <c r="B1297">
        <f>Table4[[#This Row],[Column2]]</f>
        <v>0</v>
      </c>
      <c r="I1297" s="13">
        <f>Table6[[#This Row],[discharge_date]]-Table6[[#This Row],[surgery_date]]</f>
        <v>0</v>
      </c>
      <c r="J1297" s="9" t="str">
        <f t="shared" si="39"/>
        <v/>
      </c>
    </row>
    <row r="1298" spans="1:10" ht="23.25" customHeight="1">
      <c r="A1298">
        <f>Table4[[#This Row],[Column1]]</f>
        <v>0</v>
      </c>
      <c r="B1298">
        <f>Table4[[#This Row],[Column2]]</f>
        <v>0</v>
      </c>
      <c r="I1298" s="13">
        <f>Table6[[#This Row],[discharge_date]]-Table6[[#This Row],[surgery_date]]</f>
        <v>0</v>
      </c>
      <c r="J1298" s="9" t="str">
        <f t="shared" si="39"/>
        <v/>
      </c>
    </row>
    <row r="1299" spans="1:10" ht="23.25" customHeight="1">
      <c r="A1299">
        <f>Table4[[#This Row],[Column1]]</f>
        <v>0</v>
      </c>
      <c r="B1299">
        <f>Table4[[#This Row],[Column2]]</f>
        <v>0</v>
      </c>
      <c r="I1299" s="13">
        <f>Table6[[#This Row],[discharge_date]]-Table6[[#This Row],[surgery_date]]</f>
        <v>0</v>
      </c>
      <c r="J1299" s="9" t="str">
        <f t="shared" si="39"/>
        <v/>
      </c>
    </row>
    <row r="1300" spans="1:10" ht="23.25" customHeight="1">
      <c r="A1300">
        <f>Table4[[#This Row],[Column1]]</f>
        <v>0</v>
      </c>
      <c r="B1300">
        <f>Table4[[#This Row],[Column2]]</f>
        <v>0</v>
      </c>
      <c r="I1300" s="13">
        <f>Table6[[#This Row],[discharge_date]]-Table6[[#This Row],[surgery_date]]</f>
        <v>0</v>
      </c>
      <c r="J1300" s="9" t="str">
        <f t="shared" si="39"/>
        <v/>
      </c>
    </row>
    <row r="1301" spans="1:10" ht="23.25" customHeight="1">
      <c r="A1301">
        <f>Table4[[#This Row],[Column1]]</f>
        <v>0</v>
      </c>
      <c r="B1301">
        <f>Table4[[#This Row],[Column2]]</f>
        <v>0</v>
      </c>
      <c r="I1301" s="13">
        <f>Table6[[#This Row],[discharge_date]]-Table6[[#This Row],[surgery_date]]</f>
        <v>0</v>
      </c>
      <c r="J1301" s="9" t="str">
        <f t="shared" si="39"/>
        <v/>
      </c>
    </row>
    <row r="1302" spans="1:10" ht="23.25" customHeight="1">
      <c r="A1302">
        <f>Table4[[#This Row],[Column1]]</f>
        <v>0</v>
      </c>
      <c r="B1302">
        <f>Table4[[#This Row],[Column2]]</f>
        <v>0</v>
      </c>
      <c r="I1302" s="13">
        <f>Table6[[#This Row],[discharge_date]]-Table6[[#This Row],[surgery_date]]</f>
        <v>0</v>
      </c>
      <c r="J1302" s="9" t="str">
        <f t="shared" si="39"/>
        <v/>
      </c>
    </row>
    <row r="1303" spans="1:10" ht="23.25" customHeight="1">
      <c r="A1303">
        <f>Table4[[#This Row],[Column1]]</f>
        <v>0</v>
      </c>
      <c r="B1303">
        <f>Table4[[#This Row],[Column2]]</f>
        <v>0</v>
      </c>
      <c r="I1303" s="13">
        <f>Table6[[#This Row],[discharge_date]]-Table6[[#This Row],[surgery_date]]</f>
        <v>0</v>
      </c>
      <c r="J1303" s="9" t="str">
        <f t="shared" si="39"/>
        <v/>
      </c>
    </row>
    <row r="1304" spans="1:10" ht="23.25" customHeight="1">
      <c r="A1304">
        <f>Table4[[#This Row],[Column1]]</f>
        <v>0</v>
      </c>
      <c r="B1304">
        <f>Table4[[#This Row],[Column2]]</f>
        <v>0</v>
      </c>
      <c r="I1304" s="13">
        <f>Table6[[#This Row],[discharge_date]]-Table6[[#This Row],[surgery_date]]</f>
        <v>0</v>
      </c>
      <c r="J1304" s="9" t="str">
        <f t="shared" si="39"/>
        <v/>
      </c>
    </row>
    <row r="1305" spans="1:10" ht="23.25" customHeight="1">
      <c r="A1305">
        <f>Table4[[#This Row],[Column1]]</f>
        <v>0</v>
      </c>
      <c r="B1305">
        <f>Table4[[#This Row],[Column2]]</f>
        <v>0</v>
      </c>
      <c r="I1305" s="13">
        <f>Table6[[#This Row],[discharge_date]]-Table6[[#This Row],[surgery_date]]</f>
        <v>0</v>
      </c>
      <c r="J1305" s="9" t="str">
        <f t="shared" si="39"/>
        <v/>
      </c>
    </row>
    <row r="1306" spans="1:10" ht="23.25" customHeight="1">
      <c r="A1306">
        <f>Table4[[#This Row],[Column1]]</f>
        <v>0</v>
      </c>
      <c r="B1306">
        <f>Table4[[#This Row],[Column2]]</f>
        <v>0</v>
      </c>
      <c r="I1306" s="13">
        <f>Table6[[#This Row],[discharge_date]]-Table6[[#This Row],[surgery_date]]</f>
        <v>0</v>
      </c>
      <c r="J1306" s="9" t="str">
        <f t="shared" si="39"/>
        <v/>
      </c>
    </row>
    <row r="1307" spans="1:10" ht="23.25" customHeight="1">
      <c r="A1307">
        <f>Table4[[#This Row],[Column1]]</f>
        <v>0</v>
      </c>
      <c r="B1307">
        <f>Table4[[#This Row],[Column2]]</f>
        <v>0</v>
      </c>
      <c r="I1307" s="13">
        <f>Table6[[#This Row],[discharge_date]]-Table6[[#This Row],[surgery_date]]</f>
        <v>0</v>
      </c>
      <c r="J1307" s="9" t="str">
        <f t="shared" si="39"/>
        <v/>
      </c>
    </row>
    <row r="1308" spans="1:10" ht="23.25" customHeight="1">
      <c r="A1308">
        <f>Table4[[#This Row],[Column1]]</f>
        <v>0</v>
      </c>
      <c r="B1308">
        <f>Table4[[#This Row],[Column2]]</f>
        <v>0</v>
      </c>
      <c r="I1308" s="13">
        <f>Table6[[#This Row],[discharge_date]]-Table6[[#This Row],[surgery_date]]</f>
        <v>0</v>
      </c>
      <c r="J1308" s="9" t="str">
        <f t="shared" si="39"/>
        <v/>
      </c>
    </row>
    <row r="1309" spans="1:10" ht="23.25" customHeight="1">
      <c r="A1309">
        <f>Table4[[#This Row],[Column1]]</f>
        <v>0</v>
      </c>
      <c r="B1309">
        <f>Table4[[#This Row],[Column2]]</f>
        <v>0</v>
      </c>
      <c r="I1309" s="13">
        <f>Table6[[#This Row],[discharge_date]]-Table6[[#This Row],[surgery_date]]</f>
        <v>0</v>
      </c>
      <c r="J1309" s="9" t="str">
        <f t="shared" si="39"/>
        <v/>
      </c>
    </row>
    <row r="1310" spans="1:10" ht="23.25" customHeight="1">
      <c r="A1310">
        <f>Table4[[#This Row],[Column1]]</f>
        <v>0</v>
      </c>
      <c r="B1310">
        <f>Table4[[#This Row],[Column2]]</f>
        <v>0</v>
      </c>
      <c r="I1310" s="13">
        <f>Table6[[#This Row],[discharge_date]]-Table6[[#This Row],[surgery_date]]</f>
        <v>0</v>
      </c>
      <c r="J1310" s="9" t="str">
        <f t="shared" si="39"/>
        <v/>
      </c>
    </row>
    <row r="1311" spans="1:10" ht="23.25" customHeight="1">
      <c r="A1311">
        <f>Table4[[#This Row],[Column1]]</f>
        <v>0</v>
      </c>
      <c r="B1311">
        <f>Table4[[#This Row],[Column2]]</f>
        <v>0</v>
      </c>
      <c r="I1311" s="13">
        <f>Table6[[#This Row],[discharge_date]]-Table6[[#This Row],[surgery_date]]</f>
        <v>0</v>
      </c>
      <c r="J1311" s="9" t="str">
        <f t="shared" si="39"/>
        <v/>
      </c>
    </row>
    <row r="1312" spans="1:10" ht="23.25" customHeight="1">
      <c r="A1312">
        <f>Table4[[#This Row],[Column1]]</f>
        <v>0</v>
      </c>
      <c r="B1312">
        <f>Table4[[#This Row],[Column2]]</f>
        <v>0</v>
      </c>
      <c r="I1312" s="13">
        <f>Table6[[#This Row],[discharge_date]]-Table6[[#This Row],[surgery_date]]</f>
        <v>0</v>
      </c>
      <c r="J1312" s="9" t="str">
        <f t="shared" si="39"/>
        <v/>
      </c>
    </row>
    <row r="1313" spans="1:10" ht="23.25" customHeight="1">
      <c r="A1313">
        <f>Table4[[#This Row],[Column1]]</f>
        <v>0</v>
      </c>
      <c r="B1313">
        <f>Table4[[#This Row],[Column2]]</f>
        <v>0</v>
      </c>
      <c r="I1313" s="13">
        <f>Table6[[#This Row],[discharge_date]]-Table6[[#This Row],[surgery_date]]</f>
        <v>0</v>
      </c>
      <c r="J1313" s="9" t="str">
        <f t="shared" si="39"/>
        <v/>
      </c>
    </row>
    <row r="1314" spans="1:10" ht="23.25" customHeight="1">
      <c r="A1314">
        <f>Table4[[#This Row],[Column1]]</f>
        <v>0</v>
      </c>
      <c r="B1314">
        <f>Table4[[#This Row],[Column2]]</f>
        <v>0</v>
      </c>
      <c r="I1314" s="13">
        <f>Table6[[#This Row],[discharge_date]]-Table6[[#This Row],[surgery_date]]</f>
        <v>0</v>
      </c>
      <c r="J1314" s="9" t="str">
        <f t="shared" si="39"/>
        <v/>
      </c>
    </row>
    <row r="1315" spans="1:10" ht="23.25" customHeight="1">
      <c r="A1315">
        <f>Table4[[#This Row],[Column1]]</f>
        <v>0</v>
      </c>
      <c r="B1315">
        <f>Table4[[#This Row],[Column2]]</f>
        <v>0</v>
      </c>
      <c r="I1315" s="13">
        <f>Table6[[#This Row],[discharge_date]]-Table6[[#This Row],[surgery_date]]</f>
        <v>0</v>
      </c>
      <c r="J1315" s="9" t="str">
        <f t="shared" si="39"/>
        <v/>
      </c>
    </row>
    <row r="1316" spans="1:10" ht="23.25" customHeight="1">
      <c r="A1316">
        <f>Table4[[#This Row],[Column1]]</f>
        <v>0</v>
      </c>
      <c r="B1316">
        <f>Table4[[#This Row],[Column2]]</f>
        <v>0</v>
      </c>
      <c r="I1316" s="13">
        <f>Table6[[#This Row],[discharge_date]]-Table6[[#This Row],[surgery_date]]</f>
        <v>0</v>
      </c>
      <c r="J1316" s="9" t="str">
        <f t="shared" si="39"/>
        <v/>
      </c>
    </row>
    <row r="1317" spans="1:10" ht="23.25" customHeight="1">
      <c r="A1317">
        <f>Table4[[#This Row],[Column1]]</f>
        <v>0</v>
      </c>
      <c r="B1317">
        <f>Table4[[#This Row],[Column2]]</f>
        <v>0</v>
      </c>
      <c r="I1317" s="13">
        <f>Table6[[#This Row],[discharge_date]]-Table6[[#This Row],[surgery_date]]</f>
        <v>0</v>
      </c>
      <c r="J1317" s="9" t="str">
        <f t="shared" si="39"/>
        <v/>
      </c>
    </row>
    <row r="1318" spans="1:10" ht="23.25" customHeight="1">
      <c r="A1318">
        <f>Table4[[#This Row],[Column1]]</f>
        <v>0</v>
      </c>
      <c r="B1318">
        <f>Table4[[#This Row],[Column2]]</f>
        <v>0</v>
      </c>
      <c r="I1318" s="13">
        <f>Table6[[#This Row],[discharge_date]]-Table6[[#This Row],[surgery_date]]</f>
        <v>0</v>
      </c>
      <c r="J1318" s="9" t="str">
        <f t="shared" si="39"/>
        <v/>
      </c>
    </row>
    <row r="1319" spans="1:10" ht="23.25" customHeight="1">
      <c r="A1319">
        <f>Table4[[#This Row],[Column1]]</f>
        <v>0</v>
      </c>
      <c r="B1319">
        <f>Table4[[#This Row],[Column2]]</f>
        <v>0</v>
      </c>
      <c r="I1319" s="13">
        <f>Table6[[#This Row],[discharge_date]]-Table6[[#This Row],[surgery_date]]</f>
        <v>0</v>
      </c>
      <c r="J1319" s="9" t="str">
        <f t="shared" si="39"/>
        <v/>
      </c>
    </row>
    <row r="1320" spans="1:10" ht="23.25" customHeight="1">
      <c r="A1320">
        <f>Table4[[#This Row],[Column1]]</f>
        <v>0</v>
      </c>
      <c r="B1320">
        <f>Table4[[#This Row],[Column2]]</f>
        <v>0</v>
      </c>
      <c r="I1320" s="13">
        <f>Table6[[#This Row],[discharge_date]]-Table6[[#This Row],[surgery_date]]</f>
        <v>0</v>
      </c>
      <c r="J1320" s="9" t="str">
        <f t="shared" si="39"/>
        <v/>
      </c>
    </row>
    <row r="1321" spans="1:10" ht="23.25" customHeight="1">
      <c r="A1321">
        <f>Table4[[#This Row],[Column1]]</f>
        <v>0</v>
      </c>
      <c r="B1321">
        <f>Table4[[#This Row],[Column2]]</f>
        <v>0</v>
      </c>
      <c r="I1321" s="13">
        <f>Table6[[#This Row],[discharge_date]]-Table6[[#This Row],[surgery_date]]</f>
        <v>0</v>
      </c>
      <c r="J1321" s="9" t="str">
        <f t="shared" si="39"/>
        <v/>
      </c>
    </row>
    <row r="1322" spans="1:10" ht="23.25" customHeight="1">
      <c r="A1322">
        <f>Table4[[#This Row],[Column1]]</f>
        <v>0</v>
      </c>
      <c r="B1322">
        <f>Table4[[#This Row],[Column2]]</f>
        <v>0</v>
      </c>
      <c r="I1322" s="13">
        <f>Table6[[#This Row],[discharge_date]]-Table6[[#This Row],[surgery_date]]</f>
        <v>0</v>
      </c>
      <c r="J1322" s="9" t="str">
        <f t="shared" si="39"/>
        <v/>
      </c>
    </row>
    <row r="1323" spans="1:10" ht="23.25" customHeight="1">
      <c r="A1323">
        <f>Table4[[#This Row],[Column1]]</f>
        <v>0</v>
      </c>
      <c r="B1323">
        <f>Table4[[#This Row],[Column2]]</f>
        <v>0</v>
      </c>
      <c r="I1323" s="13">
        <f>Table6[[#This Row],[discharge_date]]-Table6[[#This Row],[surgery_date]]</f>
        <v>0</v>
      </c>
      <c r="J1323" s="9" t="str">
        <f t="shared" si="39"/>
        <v/>
      </c>
    </row>
    <row r="1324" spans="1:10" ht="23.25" customHeight="1">
      <c r="A1324">
        <f>Table4[[#This Row],[Column1]]</f>
        <v>0</v>
      </c>
      <c r="B1324">
        <f>Table4[[#This Row],[Column2]]</f>
        <v>0</v>
      </c>
      <c r="I1324" s="13">
        <f>Table6[[#This Row],[discharge_date]]-Table6[[#This Row],[surgery_date]]</f>
        <v>0</v>
      </c>
      <c r="J1324" s="9" t="str">
        <f t="shared" si="39"/>
        <v/>
      </c>
    </row>
    <row r="1325" spans="1:10" ht="23.25" customHeight="1">
      <c r="A1325">
        <f>Table4[[#This Row],[Column1]]</f>
        <v>0</v>
      </c>
      <c r="B1325">
        <f>Table4[[#This Row],[Column2]]</f>
        <v>0</v>
      </c>
      <c r="I1325" s="13">
        <f>Table6[[#This Row],[discharge_date]]-Table6[[#This Row],[surgery_date]]</f>
        <v>0</v>
      </c>
      <c r="J1325" s="9" t="str">
        <f t="shared" si="39"/>
        <v/>
      </c>
    </row>
    <row r="1326" spans="1:10" ht="23.25" customHeight="1">
      <c r="A1326">
        <f>Table4[[#This Row],[Column1]]</f>
        <v>0</v>
      </c>
      <c r="B1326">
        <f>Table4[[#This Row],[Column2]]</f>
        <v>0</v>
      </c>
      <c r="I1326" s="13">
        <f>Table6[[#This Row],[discharge_date]]-Table6[[#This Row],[surgery_date]]</f>
        <v>0</v>
      </c>
      <c r="J1326" s="9" t="str">
        <f t="shared" si="39"/>
        <v/>
      </c>
    </row>
    <row r="1327" spans="1:10" ht="23.25" customHeight="1">
      <c r="A1327">
        <f>Table4[[#This Row],[Column1]]</f>
        <v>0</v>
      </c>
      <c r="B1327">
        <f>Table4[[#This Row],[Column2]]</f>
        <v>0</v>
      </c>
      <c r="I1327" s="13">
        <f>Table6[[#This Row],[discharge_date]]-Table6[[#This Row],[surgery_date]]</f>
        <v>0</v>
      </c>
      <c r="J1327" s="9" t="str">
        <f t="shared" si="39"/>
        <v/>
      </c>
    </row>
    <row r="1328" spans="1:10" ht="23.25" customHeight="1">
      <c r="A1328">
        <f>Table4[[#This Row],[Column1]]</f>
        <v>0</v>
      </c>
      <c r="B1328">
        <f>Table4[[#This Row],[Column2]]</f>
        <v>0</v>
      </c>
      <c r="I1328" s="13">
        <f>Table6[[#This Row],[discharge_date]]-Table6[[#This Row],[surgery_date]]</f>
        <v>0</v>
      </c>
      <c r="J1328" s="9" t="str">
        <f t="shared" si="39"/>
        <v/>
      </c>
    </row>
    <row r="1329" spans="1:10" ht="23.25" customHeight="1">
      <c r="A1329">
        <f>Table4[[#This Row],[Column1]]</f>
        <v>0</v>
      </c>
      <c r="B1329">
        <f>Table4[[#This Row],[Column2]]</f>
        <v>0</v>
      </c>
      <c r="I1329" s="13">
        <f>Table6[[#This Row],[discharge_date]]-Table6[[#This Row],[surgery_date]]</f>
        <v>0</v>
      </c>
      <c r="J1329" s="9" t="str">
        <f t="shared" si="39"/>
        <v/>
      </c>
    </row>
    <row r="1330" spans="1:10" ht="23.25" customHeight="1">
      <c r="A1330">
        <f>Table4[[#This Row],[Column1]]</f>
        <v>0</v>
      </c>
      <c r="B1330">
        <f>Table4[[#This Row],[Column2]]</f>
        <v>0</v>
      </c>
      <c r="I1330" s="13">
        <f>Table6[[#This Row],[discharge_date]]-Table6[[#This Row],[surgery_date]]</f>
        <v>0</v>
      </c>
      <c r="J1330" s="9" t="str">
        <f t="shared" si="39"/>
        <v/>
      </c>
    </row>
    <row r="1331" spans="1:10" ht="23.25" customHeight="1">
      <c r="A1331">
        <f>Table4[[#This Row],[Column1]]</f>
        <v>0</v>
      </c>
      <c r="B1331">
        <f>Table4[[#This Row],[Column2]]</f>
        <v>0</v>
      </c>
      <c r="I1331" s="13">
        <f>Table6[[#This Row],[discharge_date]]-Table6[[#This Row],[surgery_date]]</f>
        <v>0</v>
      </c>
      <c r="J1331" s="9" t="str">
        <f t="shared" si="39"/>
        <v/>
      </c>
    </row>
    <row r="1332" spans="1:10" ht="23.25" customHeight="1">
      <c r="A1332">
        <f>Table4[[#This Row],[Column1]]</f>
        <v>0</v>
      </c>
      <c r="B1332">
        <f>Table4[[#This Row],[Column2]]</f>
        <v>0</v>
      </c>
      <c r="I1332" s="13">
        <f>Table6[[#This Row],[discharge_date]]-Table6[[#This Row],[surgery_date]]</f>
        <v>0</v>
      </c>
      <c r="J1332" s="9" t="str">
        <f t="shared" si="39"/>
        <v/>
      </c>
    </row>
    <row r="1333" spans="1:10" ht="23.25" customHeight="1">
      <c r="A1333">
        <f>Table4[[#This Row],[Column1]]</f>
        <v>0</v>
      </c>
      <c r="B1333">
        <f>Table4[[#This Row],[Column2]]</f>
        <v>0</v>
      </c>
      <c r="I1333" s="13">
        <f>Table6[[#This Row],[discharge_date]]-Table6[[#This Row],[surgery_date]]</f>
        <v>0</v>
      </c>
      <c r="J1333" s="9" t="str">
        <f t="shared" si="39"/>
        <v/>
      </c>
    </row>
    <row r="1334" spans="1:10" ht="23.25" customHeight="1">
      <c r="A1334">
        <f>Table4[[#This Row],[Column1]]</f>
        <v>0</v>
      </c>
      <c r="B1334">
        <f>Table4[[#This Row],[Column2]]</f>
        <v>0</v>
      </c>
      <c r="I1334" s="13">
        <f>Table6[[#This Row],[discharge_date]]-Table6[[#This Row],[surgery_date]]</f>
        <v>0</v>
      </c>
      <c r="J1334" s="9" t="str">
        <f t="shared" si="39"/>
        <v/>
      </c>
    </row>
    <row r="1335" spans="1:10" ht="23.25" customHeight="1">
      <c r="A1335">
        <f>Table4[[#This Row],[Column1]]</f>
        <v>0</v>
      </c>
      <c r="B1335">
        <f>Table4[[#This Row],[Column2]]</f>
        <v>0</v>
      </c>
      <c r="I1335" s="13">
        <f>Table6[[#This Row],[discharge_date]]-Table6[[#This Row],[surgery_date]]</f>
        <v>0</v>
      </c>
      <c r="J1335" s="9" t="str">
        <f t="shared" si="39"/>
        <v/>
      </c>
    </row>
    <row r="1336" spans="1:10" ht="23.25" customHeight="1">
      <c r="A1336">
        <f>Table4[[#This Row],[Column1]]</f>
        <v>0</v>
      </c>
      <c r="B1336">
        <f>Table4[[#This Row],[Column2]]</f>
        <v>0</v>
      </c>
      <c r="I1336" s="13">
        <f>Table6[[#This Row],[discharge_date]]-Table6[[#This Row],[surgery_date]]</f>
        <v>0</v>
      </c>
      <c r="J1336" s="9" t="str">
        <f t="shared" si="39"/>
        <v/>
      </c>
    </row>
    <row r="1337" spans="1:10" ht="23.25" customHeight="1">
      <c r="A1337">
        <f>Table4[[#This Row],[Column1]]</f>
        <v>0</v>
      </c>
      <c r="B1337">
        <f>Table4[[#This Row],[Column2]]</f>
        <v>0</v>
      </c>
      <c r="I1337" s="13">
        <f>Table6[[#This Row],[discharge_date]]-Table6[[#This Row],[surgery_date]]</f>
        <v>0</v>
      </c>
      <c r="J1337" s="9" t="str">
        <f t="shared" si="39"/>
        <v/>
      </c>
    </row>
    <row r="1338" spans="1:10" ht="23.25" customHeight="1">
      <c r="A1338">
        <f>Table4[[#This Row],[Column1]]</f>
        <v>0</v>
      </c>
      <c r="B1338">
        <f>Table4[[#This Row],[Column2]]</f>
        <v>0</v>
      </c>
      <c r="I1338" s="13">
        <f>Table6[[#This Row],[discharge_date]]-Table6[[#This Row],[surgery_date]]</f>
        <v>0</v>
      </c>
      <c r="J1338" s="9" t="str">
        <f t="shared" si="39"/>
        <v/>
      </c>
    </row>
    <row r="1339" spans="1:10" ht="23.25" customHeight="1">
      <c r="A1339">
        <f>Table4[[#This Row],[Column1]]</f>
        <v>0</v>
      </c>
      <c r="B1339">
        <f>Table4[[#This Row],[Column2]]</f>
        <v>0</v>
      </c>
      <c r="I1339" s="13">
        <f>Table6[[#This Row],[discharge_date]]-Table6[[#This Row],[surgery_date]]</f>
        <v>0</v>
      </c>
      <c r="J1339" s="9" t="str">
        <f t="shared" si="39"/>
        <v/>
      </c>
    </row>
    <row r="1340" spans="1:10" ht="23.25" customHeight="1">
      <c r="A1340">
        <f>Table4[[#This Row],[Column1]]</f>
        <v>0</v>
      </c>
      <c r="B1340">
        <f>Table4[[#This Row],[Column2]]</f>
        <v>0</v>
      </c>
      <c r="I1340" s="13">
        <f>Table6[[#This Row],[discharge_date]]-Table6[[#This Row],[surgery_date]]</f>
        <v>0</v>
      </c>
      <c r="J1340" s="9" t="str">
        <f t="shared" si="39"/>
        <v/>
      </c>
    </row>
    <row r="1341" spans="1:10" ht="23.25" customHeight="1">
      <c r="A1341">
        <f>Table4[[#This Row],[Column1]]</f>
        <v>0</v>
      </c>
      <c r="B1341">
        <f>Table4[[#This Row],[Column2]]</f>
        <v>0</v>
      </c>
      <c r="I1341" s="13">
        <f>Table6[[#This Row],[discharge_date]]-Table6[[#This Row],[surgery_date]]</f>
        <v>0</v>
      </c>
      <c r="J1341" s="9" t="str">
        <f t="shared" si="39"/>
        <v/>
      </c>
    </row>
    <row r="1342" spans="1:10" ht="23.25" customHeight="1">
      <c r="A1342">
        <f>Table4[[#This Row],[Column1]]</f>
        <v>0</v>
      </c>
      <c r="B1342">
        <f>Table4[[#This Row],[Column2]]</f>
        <v>0</v>
      </c>
      <c r="I1342" s="13">
        <f>Table6[[#This Row],[discharge_date]]-Table6[[#This Row],[surgery_date]]</f>
        <v>0</v>
      </c>
      <c r="J1342" s="9" t="str">
        <f t="shared" si="39"/>
        <v/>
      </c>
    </row>
    <row r="1343" spans="1:10" ht="23.25" customHeight="1">
      <c r="A1343">
        <f>Table4[[#This Row],[Column1]]</f>
        <v>0</v>
      </c>
      <c r="B1343">
        <f>Table4[[#This Row],[Column2]]</f>
        <v>0</v>
      </c>
      <c r="I1343" s="13">
        <f>Table6[[#This Row],[discharge_date]]-Table6[[#This Row],[surgery_date]]</f>
        <v>0</v>
      </c>
      <c r="J1343" s="9" t="str">
        <f t="shared" si="39"/>
        <v/>
      </c>
    </row>
    <row r="1344" spans="1:10" ht="23.25" customHeight="1">
      <c r="A1344">
        <f>Table4[[#This Row],[Column1]]</f>
        <v>0</v>
      </c>
      <c r="B1344">
        <f>Table4[[#This Row],[Column2]]</f>
        <v>0</v>
      </c>
      <c r="I1344" s="13">
        <f>Table6[[#This Row],[discharge_date]]-Table6[[#This Row],[surgery_date]]</f>
        <v>0</v>
      </c>
      <c r="J1344" s="9" t="str">
        <f t="shared" si="39"/>
        <v/>
      </c>
    </row>
    <row r="1345" spans="1:10" ht="23.25" customHeight="1">
      <c r="A1345">
        <f>Table4[[#This Row],[Column1]]</f>
        <v>0</v>
      </c>
      <c r="B1345">
        <f>Table4[[#This Row],[Column2]]</f>
        <v>0</v>
      </c>
      <c r="I1345" s="13">
        <f>Table6[[#This Row],[discharge_date]]-Table6[[#This Row],[surgery_date]]</f>
        <v>0</v>
      </c>
      <c r="J1345" s="9" t="str">
        <f t="shared" si="39"/>
        <v/>
      </c>
    </row>
    <row r="1346" spans="1:10" ht="23.25" customHeight="1">
      <c r="A1346">
        <f>Table4[[#This Row],[Column1]]</f>
        <v>0</v>
      </c>
      <c r="B1346">
        <f>Table4[[#This Row],[Column2]]</f>
        <v>0</v>
      </c>
      <c r="I1346" s="13">
        <f>Table6[[#This Row],[discharge_date]]-Table6[[#This Row],[surgery_date]]</f>
        <v>0</v>
      </c>
      <c r="J1346" s="9" t="str">
        <f t="shared" ref="J1346:J1409" si="40">IF( H1346&lt;&gt;"", H1346+30,"")</f>
        <v/>
      </c>
    </row>
    <row r="1347" spans="1:10" ht="23.25" customHeight="1">
      <c r="A1347">
        <f>Table4[[#This Row],[Column1]]</f>
        <v>0</v>
      </c>
      <c r="B1347">
        <f>Table4[[#This Row],[Column2]]</f>
        <v>0</v>
      </c>
      <c r="I1347" s="13">
        <f>Table6[[#This Row],[discharge_date]]-Table6[[#This Row],[surgery_date]]</f>
        <v>0</v>
      </c>
      <c r="J1347" s="9" t="str">
        <f t="shared" si="40"/>
        <v/>
      </c>
    </row>
    <row r="1348" spans="1:10" ht="23.25" customHeight="1">
      <c r="A1348">
        <f>Table4[[#This Row],[Column1]]</f>
        <v>0</v>
      </c>
      <c r="B1348">
        <f>Table4[[#This Row],[Column2]]</f>
        <v>0</v>
      </c>
      <c r="I1348" s="13">
        <f>Table6[[#This Row],[discharge_date]]-Table6[[#This Row],[surgery_date]]</f>
        <v>0</v>
      </c>
      <c r="J1348" s="9" t="str">
        <f t="shared" si="40"/>
        <v/>
      </c>
    </row>
    <row r="1349" spans="1:10" ht="23.25" customHeight="1">
      <c r="A1349">
        <f>Table4[[#This Row],[Column1]]</f>
        <v>0</v>
      </c>
      <c r="B1349">
        <f>Table4[[#This Row],[Column2]]</f>
        <v>0</v>
      </c>
      <c r="I1349" s="13">
        <f>Table6[[#This Row],[discharge_date]]-Table6[[#This Row],[surgery_date]]</f>
        <v>0</v>
      </c>
      <c r="J1349" s="9" t="str">
        <f t="shared" si="40"/>
        <v/>
      </c>
    </row>
    <row r="1350" spans="1:10" ht="23.25" customHeight="1">
      <c r="A1350">
        <f>Table4[[#This Row],[Column1]]</f>
        <v>0</v>
      </c>
      <c r="B1350">
        <f>Table4[[#This Row],[Column2]]</f>
        <v>0</v>
      </c>
      <c r="I1350" s="13">
        <f>Table6[[#This Row],[discharge_date]]-Table6[[#This Row],[surgery_date]]</f>
        <v>0</v>
      </c>
      <c r="J1350" s="9" t="str">
        <f t="shared" si="40"/>
        <v/>
      </c>
    </row>
    <row r="1351" spans="1:10" ht="23.25" customHeight="1">
      <c r="A1351">
        <f>Table4[[#This Row],[Column1]]</f>
        <v>0</v>
      </c>
      <c r="B1351">
        <f>Table4[[#This Row],[Column2]]</f>
        <v>0</v>
      </c>
      <c r="I1351" s="13">
        <f>Table6[[#This Row],[discharge_date]]-Table6[[#This Row],[surgery_date]]</f>
        <v>0</v>
      </c>
      <c r="J1351" s="9" t="str">
        <f t="shared" si="40"/>
        <v/>
      </c>
    </row>
    <row r="1352" spans="1:10" ht="23.25" customHeight="1">
      <c r="A1352">
        <f>Table4[[#This Row],[Column1]]</f>
        <v>0</v>
      </c>
      <c r="B1352">
        <f>Table4[[#This Row],[Column2]]</f>
        <v>0</v>
      </c>
      <c r="I1352" s="13">
        <f>Table6[[#This Row],[discharge_date]]-Table6[[#This Row],[surgery_date]]</f>
        <v>0</v>
      </c>
      <c r="J1352" s="9" t="str">
        <f t="shared" si="40"/>
        <v/>
      </c>
    </row>
    <row r="1353" spans="1:10" ht="23.25" customHeight="1">
      <c r="A1353">
        <f>Table4[[#This Row],[Column1]]</f>
        <v>0</v>
      </c>
      <c r="B1353">
        <f>Table4[[#This Row],[Column2]]</f>
        <v>0</v>
      </c>
      <c r="I1353" s="13">
        <f>Table6[[#This Row],[discharge_date]]-Table6[[#This Row],[surgery_date]]</f>
        <v>0</v>
      </c>
      <c r="J1353" s="9" t="str">
        <f t="shared" si="40"/>
        <v/>
      </c>
    </row>
    <row r="1354" spans="1:10" ht="23.25" customHeight="1">
      <c r="A1354">
        <f>Table4[[#This Row],[Column1]]</f>
        <v>0</v>
      </c>
      <c r="B1354">
        <f>Table4[[#This Row],[Column2]]</f>
        <v>0</v>
      </c>
      <c r="I1354" s="13">
        <f>Table6[[#This Row],[discharge_date]]-Table6[[#This Row],[surgery_date]]</f>
        <v>0</v>
      </c>
      <c r="J1354" s="9" t="str">
        <f t="shared" si="40"/>
        <v/>
      </c>
    </row>
    <row r="1355" spans="1:10" ht="23.25" customHeight="1">
      <c r="A1355">
        <f>Table4[[#This Row],[Column1]]</f>
        <v>0</v>
      </c>
      <c r="B1355">
        <f>Table4[[#This Row],[Column2]]</f>
        <v>0</v>
      </c>
      <c r="I1355" s="13">
        <f>Table6[[#This Row],[discharge_date]]-Table6[[#This Row],[surgery_date]]</f>
        <v>0</v>
      </c>
      <c r="J1355" s="9" t="str">
        <f t="shared" si="40"/>
        <v/>
      </c>
    </row>
    <row r="1356" spans="1:10" ht="23.25" customHeight="1">
      <c r="A1356">
        <f>Table4[[#This Row],[Column1]]</f>
        <v>0</v>
      </c>
      <c r="B1356">
        <f>Table4[[#This Row],[Column2]]</f>
        <v>0</v>
      </c>
      <c r="I1356" s="13">
        <f>Table6[[#This Row],[discharge_date]]-Table6[[#This Row],[surgery_date]]</f>
        <v>0</v>
      </c>
      <c r="J1356" s="9" t="str">
        <f t="shared" si="40"/>
        <v/>
      </c>
    </row>
    <row r="1357" spans="1:10" ht="23.25" customHeight="1">
      <c r="A1357">
        <f>Table4[[#This Row],[Column1]]</f>
        <v>0</v>
      </c>
      <c r="B1357">
        <f>Table4[[#This Row],[Column2]]</f>
        <v>0</v>
      </c>
      <c r="I1357" s="13">
        <f>Table6[[#This Row],[discharge_date]]-Table6[[#This Row],[surgery_date]]</f>
        <v>0</v>
      </c>
      <c r="J1357" s="9" t="str">
        <f t="shared" si="40"/>
        <v/>
      </c>
    </row>
    <row r="1358" spans="1:10" ht="23.25" customHeight="1">
      <c r="A1358">
        <f>Table4[[#This Row],[Column1]]</f>
        <v>0</v>
      </c>
      <c r="B1358">
        <f>Table4[[#This Row],[Column2]]</f>
        <v>0</v>
      </c>
      <c r="I1358" s="13">
        <f>Table6[[#This Row],[discharge_date]]-Table6[[#This Row],[surgery_date]]</f>
        <v>0</v>
      </c>
      <c r="J1358" s="9" t="str">
        <f t="shared" si="40"/>
        <v/>
      </c>
    </row>
    <row r="1359" spans="1:10" ht="23.25" customHeight="1">
      <c r="A1359">
        <f>Table4[[#This Row],[Column1]]</f>
        <v>0</v>
      </c>
      <c r="B1359">
        <f>Table4[[#This Row],[Column2]]</f>
        <v>0</v>
      </c>
      <c r="I1359" s="13">
        <f>Table6[[#This Row],[discharge_date]]-Table6[[#This Row],[surgery_date]]</f>
        <v>0</v>
      </c>
      <c r="J1359" s="9" t="str">
        <f t="shared" si="40"/>
        <v/>
      </c>
    </row>
    <row r="1360" spans="1:10" ht="23.25" customHeight="1">
      <c r="A1360">
        <f>Table4[[#This Row],[Column1]]</f>
        <v>0</v>
      </c>
      <c r="B1360">
        <f>Table4[[#This Row],[Column2]]</f>
        <v>0</v>
      </c>
      <c r="I1360" s="13">
        <f>Table6[[#This Row],[discharge_date]]-Table6[[#This Row],[surgery_date]]</f>
        <v>0</v>
      </c>
      <c r="J1360" s="9" t="str">
        <f t="shared" si="40"/>
        <v/>
      </c>
    </row>
    <row r="1361" spans="1:10" ht="23.25" customHeight="1">
      <c r="A1361">
        <f>Table4[[#This Row],[Column1]]</f>
        <v>0</v>
      </c>
      <c r="B1361">
        <f>Table4[[#This Row],[Column2]]</f>
        <v>0</v>
      </c>
      <c r="I1361" s="13">
        <f>Table6[[#This Row],[discharge_date]]-Table6[[#This Row],[surgery_date]]</f>
        <v>0</v>
      </c>
      <c r="J1361" s="9" t="str">
        <f t="shared" si="40"/>
        <v/>
      </c>
    </row>
    <row r="1362" spans="1:10" ht="23.25" customHeight="1">
      <c r="A1362">
        <f>Table4[[#This Row],[Column1]]</f>
        <v>0</v>
      </c>
      <c r="B1362">
        <f>Table4[[#This Row],[Column2]]</f>
        <v>0</v>
      </c>
      <c r="I1362" s="13">
        <f>Table6[[#This Row],[discharge_date]]-Table6[[#This Row],[surgery_date]]</f>
        <v>0</v>
      </c>
      <c r="J1362" s="9" t="str">
        <f t="shared" si="40"/>
        <v/>
      </c>
    </row>
    <row r="1363" spans="1:10" ht="23.25" customHeight="1">
      <c r="A1363">
        <f>Table4[[#This Row],[Column1]]</f>
        <v>0</v>
      </c>
      <c r="B1363">
        <f>Table4[[#This Row],[Column2]]</f>
        <v>0</v>
      </c>
      <c r="I1363" s="13">
        <f>Table6[[#This Row],[discharge_date]]-Table6[[#This Row],[surgery_date]]</f>
        <v>0</v>
      </c>
      <c r="J1363" s="9" t="str">
        <f t="shared" si="40"/>
        <v/>
      </c>
    </row>
    <row r="1364" spans="1:10" ht="23.25" customHeight="1">
      <c r="A1364">
        <f>Table4[[#This Row],[Column1]]</f>
        <v>0</v>
      </c>
      <c r="B1364">
        <f>Table4[[#This Row],[Column2]]</f>
        <v>0</v>
      </c>
      <c r="I1364" s="13">
        <f>Table6[[#This Row],[discharge_date]]-Table6[[#This Row],[surgery_date]]</f>
        <v>0</v>
      </c>
      <c r="J1364" s="9" t="str">
        <f t="shared" si="40"/>
        <v/>
      </c>
    </row>
    <row r="1365" spans="1:10" ht="23.25" customHeight="1">
      <c r="A1365">
        <f>Table4[[#This Row],[Column1]]</f>
        <v>0</v>
      </c>
      <c r="B1365">
        <f>Table4[[#This Row],[Column2]]</f>
        <v>0</v>
      </c>
      <c r="I1365" s="13">
        <f>Table6[[#This Row],[discharge_date]]-Table6[[#This Row],[surgery_date]]</f>
        <v>0</v>
      </c>
      <c r="J1365" s="9" t="str">
        <f t="shared" si="40"/>
        <v/>
      </c>
    </row>
    <row r="1366" spans="1:10" ht="23.25" customHeight="1">
      <c r="A1366">
        <f>Table4[[#This Row],[Column1]]</f>
        <v>0</v>
      </c>
      <c r="B1366">
        <f>Table4[[#This Row],[Column2]]</f>
        <v>0</v>
      </c>
      <c r="I1366" s="13">
        <f>Table6[[#This Row],[discharge_date]]-Table6[[#This Row],[surgery_date]]</f>
        <v>0</v>
      </c>
      <c r="J1366" s="9" t="str">
        <f t="shared" si="40"/>
        <v/>
      </c>
    </row>
    <row r="1367" spans="1:10" ht="23.25" customHeight="1">
      <c r="A1367">
        <f>Table4[[#This Row],[Column1]]</f>
        <v>0</v>
      </c>
      <c r="B1367">
        <f>Table4[[#This Row],[Column2]]</f>
        <v>0</v>
      </c>
      <c r="I1367" s="13">
        <f>Table6[[#This Row],[discharge_date]]-Table6[[#This Row],[surgery_date]]</f>
        <v>0</v>
      </c>
      <c r="J1367" s="9" t="str">
        <f t="shared" si="40"/>
        <v/>
      </c>
    </row>
    <row r="1368" spans="1:10" ht="23.25" customHeight="1">
      <c r="A1368">
        <f>Table4[[#This Row],[Column1]]</f>
        <v>0</v>
      </c>
      <c r="B1368">
        <f>Table4[[#This Row],[Column2]]</f>
        <v>0</v>
      </c>
      <c r="I1368" s="13">
        <f>Table6[[#This Row],[discharge_date]]-Table6[[#This Row],[surgery_date]]</f>
        <v>0</v>
      </c>
      <c r="J1368" s="9" t="str">
        <f t="shared" si="40"/>
        <v/>
      </c>
    </row>
    <row r="1369" spans="1:10" ht="23.25" customHeight="1">
      <c r="A1369">
        <f>Table4[[#This Row],[Column1]]</f>
        <v>0</v>
      </c>
      <c r="B1369">
        <f>Table4[[#This Row],[Column2]]</f>
        <v>0</v>
      </c>
      <c r="I1369" s="13">
        <f>Table6[[#This Row],[discharge_date]]-Table6[[#This Row],[surgery_date]]</f>
        <v>0</v>
      </c>
      <c r="J1369" s="9" t="str">
        <f t="shared" si="40"/>
        <v/>
      </c>
    </row>
    <row r="1370" spans="1:10" ht="23.25" customHeight="1">
      <c r="A1370">
        <f>Table4[[#This Row],[Column1]]</f>
        <v>0</v>
      </c>
      <c r="B1370">
        <f>Table4[[#This Row],[Column2]]</f>
        <v>0</v>
      </c>
      <c r="I1370" s="13">
        <f>Table6[[#This Row],[discharge_date]]-Table6[[#This Row],[surgery_date]]</f>
        <v>0</v>
      </c>
      <c r="J1370" s="9" t="str">
        <f t="shared" si="40"/>
        <v/>
      </c>
    </row>
    <row r="1371" spans="1:10" ht="23.25" customHeight="1">
      <c r="A1371">
        <f>Table4[[#This Row],[Column1]]</f>
        <v>0</v>
      </c>
      <c r="B1371">
        <f>Table4[[#This Row],[Column2]]</f>
        <v>0</v>
      </c>
      <c r="I1371" s="13">
        <f>Table6[[#This Row],[discharge_date]]-Table6[[#This Row],[surgery_date]]</f>
        <v>0</v>
      </c>
      <c r="J1371" s="9" t="str">
        <f t="shared" si="40"/>
        <v/>
      </c>
    </row>
    <row r="1372" spans="1:10" ht="23.25" customHeight="1">
      <c r="A1372">
        <f>Table4[[#This Row],[Column1]]</f>
        <v>0</v>
      </c>
      <c r="B1372">
        <f>Table4[[#This Row],[Column2]]</f>
        <v>0</v>
      </c>
      <c r="I1372" s="13">
        <f>Table6[[#This Row],[discharge_date]]-Table6[[#This Row],[surgery_date]]</f>
        <v>0</v>
      </c>
      <c r="J1372" s="9" t="str">
        <f t="shared" si="40"/>
        <v/>
      </c>
    </row>
    <row r="1373" spans="1:10" ht="23.25" customHeight="1">
      <c r="A1373">
        <f>Table4[[#This Row],[Column1]]</f>
        <v>0</v>
      </c>
      <c r="B1373">
        <f>Table4[[#This Row],[Column2]]</f>
        <v>0</v>
      </c>
      <c r="I1373" s="13">
        <f>Table6[[#This Row],[discharge_date]]-Table6[[#This Row],[surgery_date]]</f>
        <v>0</v>
      </c>
      <c r="J1373" s="9" t="str">
        <f t="shared" si="40"/>
        <v/>
      </c>
    </row>
    <row r="1374" spans="1:10" ht="23.25" customHeight="1">
      <c r="A1374">
        <f>Table4[[#This Row],[Column1]]</f>
        <v>0</v>
      </c>
      <c r="B1374">
        <f>Table4[[#This Row],[Column2]]</f>
        <v>0</v>
      </c>
      <c r="I1374" s="13">
        <f>Table6[[#This Row],[discharge_date]]-Table6[[#This Row],[surgery_date]]</f>
        <v>0</v>
      </c>
      <c r="J1374" s="9" t="str">
        <f t="shared" si="40"/>
        <v/>
      </c>
    </row>
    <row r="1375" spans="1:10" ht="23.25" customHeight="1">
      <c r="A1375">
        <f>Table4[[#This Row],[Column1]]</f>
        <v>0</v>
      </c>
      <c r="B1375">
        <f>Table4[[#This Row],[Column2]]</f>
        <v>0</v>
      </c>
      <c r="I1375" s="13">
        <f>Table6[[#This Row],[discharge_date]]-Table6[[#This Row],[surgery_date]]</f>
        <v>0</v>
      </c>
      <c r="J1375" s="9" t="str">
        <f t="shared" si="40"/>
        <v/>
      </c>
    </row>
    <row r="1376" spans="1:10" ht="23.25" customHeight="1">
      <c r="A1376">
        <f>Table4[[#This Row],[Column1]]</f>
        <v>0</v>
      </c>
      <c r="B1376">
        <f>Table4[[#This Row],[Column2]]</f>
        <v>0</v>
      </c>
      <c r="I1376" s="13">
        <f>Table6[[#This Row],[discharge_date]]-Table6[[#This Row],[surgery_date]]</f>
        <v>0</v>
      </c>
      <c r="J1376" s="9" t="str">
        <f t="shared" si="40"/>
        <v/>
      </c>
    </row>
    <row r="1377" spans="1:10" ht="23.25" customHeight="1">
      <c r="A1377">
        <f>Table4[[#This Row],[Column1]]</f>
        <v>0</v>
      </c>
      <c r="B1377">
        <f>Table4[[#This Row],[Column2]]</f>
        <v>0</v>
      </c>
      <c r="I1377" s="13">
        <f>Table6[[#This Row],[discharge_date]]-Table6[[#This Row],[surgery_date]]</f>
        <v>0</v>
      </c>
      <c r="J1377" s="9" t="str">
        <f t="shared" si="40"/>
        <v/>
      </c>
    </row>
    <row r="1378" spans="1:10" ht="23.25" customHeight="1">
      <c r="A1378">
        <f>Table4[[#This Row],[Column1]]</f>
        <v>0</v>
      </c>
      <c r="B1378">
        <f>Table4[[#This Row],[Column2]]</f>
        <v>0</v>
      </c>
      <c r="I1378" s="13">
        <f>Table6[[#This Row],[discharge_date]]-Table6[[#This Row],[surgery_date]]</f>
        <v>0</v>
      </c>
      <c r="J1378" s="9" t="str">
        <f t="shared" si="40"/>
        <v/>
      </c>
    </row>
    <row r="1379" spans="1:10" ht="23.25" customHeight="1">
      <c r="A1379">
        <f>Table4[[#This Row],[Column1]]</f>
        <v>0</v>
      </c>
      <c r="B1379">
        <f>Table4[[#This Row],[Column2]]</f>
        <v>0</v>
      </c>
      <c r="I1379" s="13">
        <f>Table6[[#This Row],[discharge_date]]-Table6[[#This Row],[surgery_date]]</f>
        <v>0</v>
      </c>
      <c r="J1379" s="9" t="str">
        <f t="shared" si="40"/>
        <v/>
      </c>
    </row>
    <row r="1380" spans="1:10" ht="23.25" customHeight="1">
      <c r="A1380">
        <f>Table4[[#This Row],[Column1]]</f>
        <v>0</v>
      </c>
      <c r="B1380">
        <f>Table4[[#This Row],[Column2]]</f>
        <v>0</v>
      </c>
      <c r="I1380" s="13">
        <f>Table6[[#This Row],[discharge_date]]-Table6[[#This Row],[surgery_date]]</f>
        <v>0</v>
      </c>
      <c r="J1380" s="9" t="str">
        <f t="shared" si="40"/>
        <v/>
      </c>
    </row>
    <row r="1381" spans="1:10" ht="23.25" customHeight="1">
      <c r="A1381">
        <f>Table4[[#This Row],[Column1]]</f>
        <v>0</v>
      </c>
      <c r="B1381">
        <f>Table4[[#This Row],[Column2]]</f>
        <v>0</v>
      </c>
      <c r="I1381" s="13">
        <f>Table6[[#This Row],[discharge_date]]-Table6[[#This Row],[surgery_date]]</f>
        <v>0</v>
      </c>
      <c r="J1381" s="9" t="str">
        <f t="shared" si="40"/>
        <v/>
      </c>
    </row>
    <row r="1382" spans="1:10" ht="23.25" customHeight="1">
      <c r="A1382">
        <f>Table4[[#This Row],[Column1]]</f>
        <v>0</v>
      </c>
      <c r="B1382">
        <f>Table4[[#This Row],[Column2]]</f>
        <v>0</v>
      </c>
      <c r="I1382" s="13">
        <f>Table6[[#This Row],[discharge_date]]-Table6[[#This Row],[surgery_date]]</f>
        <v>0</v>
      </c>
      <c r="J1382" s="9" t="str">
        <f t="shared" si="40"/>
        <v/>
      </c>
    </row>
    <row r="1383" spans="1:10" ht="23.25" customHeight="1">
      <c r="A1383">
        <f>Table4[[#This Row],[Column1]]</f>
        <v>0</v>
      </c>
      <c r="B1383">
        <f>Table4[[#This Row],[Column2]]</f>
        <v>0</v>
      </c>
      <c r="I1383" s="13">
        <f>Table6[[#This Row],[discharge_date]]-Table6[[#This Row],[surgery_date]]</f>
        <v>0</v>
      </c>
      <c r="J1383" s="9" t="str">
        <f t="shared" si="40"/>
        <v/>
      </c>
    </row>
    <row r="1384" spans="1:10" ht="23.25" customHeight="1">
      <c r="A1384">
        <f>Table4[[#This Row],[Column1]]</f>
        <v>0</v>
      </c>
      <c r="B1384">
        <f>Table4[[#This Row],[Column2]]</f>
        <v>0</v>
      </c>
      <c r="I1384" s="13">
        <f>Table6[[#This Row],[discharge_date]]-Table6[[#This Row],[surgery_date]]</f>
        <v>0</v>
      </c>
      <c r="J1384" s="9" t="str">
        <f t="shared" si="40"/>
        <v/>
      </c>
    </row>
    <row r="1385" spans="1:10" ht="23.25" customHeight="1">
      <c r="A1385">
        <f>Table4[[#This Row],[Column1]]</f>
        <v>0</v>
      </c>
      <c r="B1385">
        <f>Table4[[#This Row],[Column2]]</f>
        <v>0</v>
      </c>
      <c r="I1385" s="13">
        <f>Table6[[#This Row],[discharge_date]]-Table6[[#This Row],[surgery_date]]</f>
        <v>0</v>
      </c>
      <c r="J1385" s="9" t="str">
        <f t="shared" si="40"/>
        <v/>
      </c>
    </row>
    <row r="1386" spans="1:10" ht="23.25" customHeight="1">
      <c r="A1386">
        <f>Table4[[#This Row],[Column1]]</f>
        <v>0</v>
      </c>
      <c r="B1386">
        <f>Table4[[#This Row],[Column2]]</f>
        <v>0</v>
      </c>
      <c r="I1386" s="13">
        <f>Table6[[#This Row],[discharge_date]]-Table6[[#This Row],[surgery_date]]</f>
        <v>0</v>
      </c>
      <c r="J1386" s="9" t="str">
        <f t="shared" si="40"/>
        <v/>
      </c>
    </row>
    <row r="1387" spans="1:10" ht="23.25" customHeight="1">
      <c r="A1387">
        <f>Table4[[#This Row],[Column1]]</f>
        <v>0</v>
      </c>
      <c r="B1387">
        <f>Table4[[#This Row],[Column2]]</f>
        <v>0</v>
      </c>
      <c r="I1387" s="13">
        <f>Table6[[#This Row],[discharge_date]]-Table6[[#This Row],[surgery_date]]</f>
        <v>0</v>
      </c>
      <c r="J1387" s="9" t="str">
        <f t="shared" si="40"/>
        <v/>
      </c>
    </row>
    <row r="1388" spans="1:10" ht="23.25" customHeight="1">
      <c r="A1388">
        <f>Table4[[#This Row],[Column1]]</f>
        <v>0</v>
      </c>
      <c r="B1388">
        <f>Table4[[#This Row],[Column2]]</f>
        <v>0</v>
      </c>
      <c r="I1388" s="13">
        <f>Table6[[#This Row],[discharge_date]]-Table6[[#This Row],[surgery_date]]</f>
        <v>0</v>
      </c>
      <c r="J1388" s="9" t="str">
        <f t="shared" si="40"/>
        <v/>
      </c>
    </row>
    <row r="1389" spans="1:10" ht="23.25" customHeight="1">
      <c r="A1389">
        <f>Table4[[#This Row],[Column1]]</f>
        <v>0</v>
      </c>
      <c r="B1389">
        <f>Table4[[#This Row],[Column2]]</f>
        <v>0</v>
      </c>
      <c r="I1389" s="13">
        <f>Table6[[#This Row],[discharge_date]]-Table6[[#This Row],[surgery_date]]</f>
        <v>0</v>
      </c>
      <c r="J1389" s="9" t="str">
        <f t="shared" si="40"/>
        <v/>
      </c>
    </row>
    <row r="1390" spans="1:10" ht="23.25" customHeight="1">
      <c r="A1390">
        <f>Table4[[#This Row],[Column1]]</f>
        <v>0</v>
      </c>
      <c r="B1390">
        <f>Table4[[#This Row],[Column2]]</f>
        <v>0</v>
      </c>
      <c r="I1390" s="13">
        <f>Table6[[#This Row],[discharge_date]]-Table6[[#This Row],[surgery_date]]</f>
        <v>0</v>
      </c>
      <c r="J1390" s="9" t="str">
        <f t="shared" si="40"/>
        <v/>
      </c>
    </row>
    <row r="1391" spans="1:10" ht="23.25" customHeight="1">
      <c r="A1391">
        <f>Table4[[#This Row],[Column1]]</f>
        <v>0</v>
      </c>
      <c r="B1391">
        <f>Table4[[#This Row],[Column2]]</f>
        <v>0</v>
      </c>
      <c r="I1391" s="13">
        <f>Table6[[#This Row],[discharge_date]]-Table6[[#This Row],[surgery_date]]</f>
        <v>0</v>
      </c>
      <c r="J1391" s="9" t="str">
        <f t="shared" si="40"/>
        <v/>
      </c>
    </row>
    <row r="1392" spans="1:10" ht="23.25" customHeight="1">
      <c r="A1392">
        <f>Table4[[#This Row],[Column1]]</f>
        <v>0</v>
      </c>
      <c r="B1392">
        <f>Table4[[#This Row],[Column2]]</f>
        <v>0</v>
      </c>
      <c r="I1392" s="13">
        <f>Table6[[#This Row],[discharge_date]]-Table6[[#This Row],[surgery_date]]</f>
        <v>0</v>
      </c>
      <c r="J1392" s="9" t="str">
        <f t="shared" si="40"/>
        <v/>
      </c>
    </row>
    <row r="1393" spans="1:10" ht="23.25" customHeight="1">
      <c r="A1393">
        <f>Table4[[#This Row],[Column1]]</f>
        <v>0</v>
      </c>
      <c r="B1393">
        <f>Table4[[#This Row],[Column2]]</f>
        <v>0</v>
      </c>
      <c r="I1393" s="13">
        <f>Table6[[#This Row],[discharge_date]]-Table6[[#This Row],[surgery_date]]</f>
        <v>0</v>
      </c>
      <c r="J1393" s="9" t="str">
        <f t="shared" si="40"/>
        <v/>
      </c>
    </row>
    <row r="1394" spans="1:10" ht="23.25" customHeight="1">
      <c r="A1394">
        <f>Table4[[#This Row],[Column1]]</f>
        <v>0</v>
      </c>
      <c r="B1394">
        <f>Table4[[#This Row],[Column2]]</f>
        <v>0</v>
      </c>
      <c r="I1394" s="13">
        <f>Table6[[#This Row],[discharge_date]]-Table6[[#This Row],[surgery_date]]</f>
        <v>0</v>
      </c>
      <c r="J1394" s="9" t="str">
        <f t="shared" si="40"/>
        <v/>
      </c>
    </row>
    <row r="1395" spans="1:10" ht="23.25" customHeight="1">
      <c r="A1395">
        <f>Table4[[#This Row],[Column1]]</f>
        <v>0</v>
      </c>
      <c r="B1395">
        <f>Table4[[#This Row],[Column2]]</f>
        <v>0</v>
      </c>
      <c r="I1395" s="13">
        <f>Table6[[#This Row],[discharge_date]]-Table6[[#This Row],[surgery_date]]</f>
        <v>0</v>
      </c>
      <c r="J1395" s="9" t="str">
        <f t="shared" si="40"/>
        <v/>
      </c>
    </row>
    <row r="1396" spans="1:10" ht="23.25" customHeight="1">
      <c r="A1396">
        <f>Table4[[#This Row],[Column1]]</f>
        <v>0</v>
      </c>
      <c r="B1396">
        <f>Table4[[#This Row],[Column2]]</f>
        <v>0</v>
      </c>
      <c r="I1396" s="13">
        <f>Table6[[#This Row],[discharge_date]]-Table6[[#This Row],[surgery_date]]</f>
        <v>0</v>
      </c>
      <c r="J1396" s="9" t="str">
        <f t="shared" si="40"/>
        <v/>
      </c>
    </row>
    <row r="1397" spans="1:10" ht="23.25" customHeight="1">
      <c r="A1397">
        <f>Table4[[#This Row],[Column1]]</f>
        <v>0</v>
      </c>
      <c r="B1397">
        <f>Table4[[#This Row],[Column2]]</f>
        <v>0</v>
      </c>
      <c r="I1397" s="13">
        <f>Table6[[#This Row],[discharge_date]]-Table6[[#This Row],[surgery_date]]</f>
        <v>0</v>
      </c>
      <c r="J1397" s="9" t="str">
        <f t="shared" si="40"/>
        <v/>
      </c>
    </row>
    <row r="1398" spans="1:10" ht="23.25" customHeight="1">
      <c r="A1398">
        <f>Table4[[#This Row],[Column1]]</f>
        <v>0</v>
      </c>
      <c r="B1398">
        <f>Table4[[#This Row],[Column2]]</f>
        <v>0</v>
      </c>
      <c r="I1398" s="13">
        <f>Table6[[#This Row],[discharge_date]]-Table6[[#This Row],[surgery_date]]</f>
        <v>0</v>
      </c>
      <c r="J1398" s="9" t="str">
        <f t="shared" si="40"/>
        <v/>
      </c>
    </row>
    <row r="1399" spans="1:10" ht="23.25" customHeight="1">
      <c r="A1399">
        <f>Table4[[#This Row],[Column1]]</f>
        <v>0</v>
      </c>
      <c r="B1399">
        <f>Table4[[#This Row],[Column2]]</f>
        <v>0</v>
      </c>
      <c r="I1399" s="13">
        <f>Table6[[#This Row],[discharge_date]]-Table6[[#This Row],[surgery_date]]</f>
        <v>0</v>
      </c>
      <c r="J1399" s="9" t="str">
        <f t="shared" si="40"/>
        <v/>
      </c>
    </row>
    <row r="1400" spans="1:10" ht="23.25" customHeight="1">
      <c r="A1400">
        <f>Table4[[#This Row],[Column1]]</f>
        <v>0</v>
      </c>
      <c r="B1400">
        <f>Table4[[#This Row],[Column2]]</f>
        <v>0</v>
      </c>
      <c r="I1400" s="13">
        <f>Table6[[#This Row],[discharge_date]]-Table6[[#This Row],[surgery_date]]</f>
        <v>0</v>
      </c>
      <c r="J1400" s="9" t="str">
        <f t="shared" si="40"/>
        <v/>
      </c>
    </row>
    <row r="1401" spans="1:10" ht="23.25" customHeight="1">
      <c r="A1401">
        <f>Table4[[#This Row],[Column1]]</f>
        <v>0</v>
      </c>
      <c r="B1401">
        <f>Table4[[#This Row],[Column2]]</f>
        <v>0</v>
      </c>
      <c r="I1401" s="13">
        <f>Table6[[#This Row],[discharge_date]]-Table6[[#This Row],[surgery_date]]</f>
        <v>0</v>
      </c>
      <c r="J1401" s="9" t="str">
        <f t="shared" si="40"/>
        <v/>
      </c>
    </row>
    <row r="1402" spans="1:10" ht="23.25" customHeight="1">
      <c r="A1402">
        <f>Table4[[#This Row],[Column1]]</f>
        <v>0</v>
      </c>
      <c r="B1402">
        <f>Table4[[#This Row],[Column2]]</f>
        <v>0</v>
      </c>
      <c r="I1402" s="13">
        <f>Table6[[#This Row],[discharge_date]]-Table6[[#This Row],[surgery_date]]</f>
        <v>0</v>
      </c>
      <c r="J1402" s="9" t="str">
        <f t="shared" si="40"/>
        <v/>
      </c>
    </row>
    <row r="1403" spans="1:10" ht="23.25" customHeight="1">
      <c r="A1403">
        <f>Table4[[#This Row],[Column1]]</f>
        <v>0</v>
      </c>
      <c r="B1403">
        <f>Table4[[#This Row],[Column2]]</f>
        <v>0</v>
      </c>
      <c r="I1403" s="13">
        <f>Table6[[#This Row],[discharge_date]]-Table6[[#This Row],[surgery_date]]</f>
        <v>0</v>
      </c>
      <c r="J1403" s="9" t="str">
        <f t="shared" si="40"/>
        <v/>
      </c>
    </row>
    <row r="1404" spans="1:10" ht="23.25" customHeight="1">
      <c r="A1404">
        <f>Table4[[#This Row],[Column1]]</f>
        <v>0</v>
      </c>
      <c r="B1404">
        <f>Table4[[#This Row],[Column2]]</f>
        <v>0</v>
      </c>
      <c r="I1404" s="13">
        <f>Table6[[#This Row],[discharge_date]]-Table6[[#This Row],[surgery_date]]</f>
        <v>0</v>
      </c>
      <c r="J1404" s="9" t="str">
        <f t="shared" si="40"/>
        <v/>
      </c>
    </row>
    <row r="1405" spans="1:10" ht="23.25" customHeight="1">
      <c r="A1405">
        <f>Table4[[#This Row],[Column1]]</f>
        <v>0</v>
      </c>
      <c r="B1405">
        <f>Table4[[#This Row],[Column2]]</f>
        <v>0</v>
      </c>
      <c r="I1405" s="13">
        <f>Table6[[#This Row],[discharge_date]]-Table6[[#This Row],[surgery_date]]</f>
        <v>0</v>
      </c>
      <c r="J1405" s="9" t="str">
        <f t="shared" si="40"/>
        <v/>
      </c>
    </row>
    <row r="1406" spans="1:10" ht="23.25" customHeight="1">
      <c r="A1406">
        <f>Table4[[#This Row],[Column1]]</f>
        <v>0</v>
      </c>
      <c r="B1406">
        <f>Table4[[#This Row],[Column2]]</f>
        <v>0</v>
      </c>
      <c r="I1406" s="13">
        <f>Table6[[#This Row],[discharge_date]]-Table6[[#This Row],[surgery_date]]</f>
        <v>0</v>
      </c>
      <c r="J1406" s="9" t="str">
        <f t="shared" si="40"/>
        <v/>
      </c>
    </row>
    <row r="1407" spans="1:10" ht="23.25" customHeight="1">
      <c r="A1407">
        <f>Table4[[#This Row],[Column1]]</f>
        <v>0</v>
      </c>
      <c r="B1407">
        <f>Table4[[#This Row],[Column2]]</f>
        <v>0</v>
      </c>
      <c r="I1407" s="13">
        <f>Table6[[#This Row],[discharge_date]]-Table6[[#This Row],[surgery_date]]</f>
        <v>0</v>
      </c>
      <c r="J1407" s="9" t="str">
        <f t="shared" si="40"/>
        <v/>
      </c>
    </row>
    <row r="1408" spans="1:10" ht="23.25" customHeight="1">
      <c r="A1408">
        <f>Table4[[#This Row],[Column1]]</f>
        <v>0</v>
      </c>
      <c r="B1408">
        <f>Table4[[#This Row],[Column2]]</f>
        <v>0</v>
      </c>
      <c r="I1408" s="13">
        <f>Table6[[#This Row],[discharge_date]]-Table6[[#This Row],[surgery_date]]</f>
        <v>0</v>
      </c>
      <c r="J1408" s="9" t="str">
        <f t="shared" si="40"/>
        <v/>
      </c>
    </row>
    <row r="1409" spans="1:10" ht="23.25" customHeight="1">
      <c r="A1409">
        <f>Table4[[#This Row],[Column1]]</f>
        <v>0</v>
      </c>
      <c r="B1409">
        <f>Table4[[#This Row],[Column2]]</f>
        <v>0</v>
      </c>
      <c r="I1409" s="13">
        <f>Table6[[#This Row],[discharge_date]]-Table6[[#This Row],[surgery_date]]</f>
        <v>0</v>
      </c>
      <c r="J1409" s="9" t="str">
        <f t="shared" si="40"/>
        <v/>
      </c>
    </row>
    <row r="1410" spans="1:10" ht="23.25" customHeight="1">
      <c r="A1410">
        <f>Table4[[#This Row],[Column1]]</f>
        <v>0</v>
      </c>
      <c r="B1410">
        <f>Table4[[#This Row],[Column2]]</f>
        <v>0</v>
      </c>
      <c r="I1410" s="13">
        <f>Table6[[#This Row],[discharge_date]]-Table6[[#This Row],[surgery_date]]</f>
        <v>0</v>
      </c>
      <c r="J1410" s="9" t="str">
        <f t="shared" ref="J1410:J1473" si="41">IF( H1410&lt;&gt;"", H1410+30,"")</f>
        <v/>
      </c>
    </row>
    <row r="1411" spans="1:10" ht="23.25" customHeight="1">
      <c r="A1411">
        <f>Table4[[#This Row],[Column1]]</f>
        <v>0</v>
      </c>
      <c r="B1411">
        <f>Table4[[#This Row],[Column2]]</f>
        <v>0</v>
      </c>
      <c r="I1411" s="13">
        <f>Table6[[#This Row],[discharge_date]]-Table6[[#This Row],[surgery_date]]</f>
        <v>0</v>
      </c>
      <c r="J1411" s="9" t="str">
        <f t="shared" si="41"/>
        <v/>
      </c>
    </row>
    <row r="1412" spans="1:10" ht="23.25" customHeight="1">
      <c r="A1412">
        <f>Table4[[#This Row],[Column1]]</f>
        <v>0</v>
      </c>
      <c r="B1412">
        <f>Table4[[#This Row],[Column2]]</f>
        <v>0</v>
      </c>
      <c r="I1412" s="13">
        <f>Table6[[#This Row],[discharge_date]]-Table6[[#This Row],[surgery_date]]</f>
        <v>0</v>
      </c>
      <c r="J1412" s="9" t="str">
        <f t="shared" si="41"/>
        <v/>
      </c>
    </row>
    <row r="1413" spans="1:10" ht="23.25" customHeight="1">
      <c r="A1413">
        <f>Table4[[#This Row],[Column1]]</f>
        <v>0</v>
      </c>
      <c r="B1413">
        <f>Table4[[#This Row],[Column2]]</f>
        <v>0</v>
      </c>
      <c r="I1413" s="13">
        <f>Table6[[#This Row],[discharge_date]]-Table6[[#This Row],[surgery_date]]</f>
        <v>0</v>
      </c>
      <c r="J1413" s="9" t="str">
        <f t="shared" si="41"/>
        <v/>
      </c>
    </row>
    <row r="1414" spans="1:10" ht="23.25" customHeight="1">
      <c r="A1414">
        <f>Table4[[#This Row],[Column1]]</f>
        <v>0</v>
      </c>
      <c r="B1414">
        <f>Table4[[#This Row],[Column2]]</f>
        <v>0</v>
      </c>
      <c r="I1414" s="13">
        <f>Table6[[#This Row],[discharge_date]]-Table6[[#This Row],[surgery_date]]</f>
        <v>0</v>
      </c>
      <c r="J1414" s="9" t="str">
        <f t="shared" si="41"/>
        <v/>
      </c>
    </row>
    <row r="1415" spans="1:10" ht="23.25" customHeight="1">
      <c r="A1415">
        <f>Table4[[#This Row],[Column1]]</f>
        <v>0</v>
      </c>
      <c r="B1415">
        <f>Table4[[#This Row],[Column2]]</f>
        <v>0</v>
      </c>
      <c r="I1415" s="13">
        <f>Table6[[#This Row],[discharge_date]]-Table6[[#This Row],[surgery_date]]</f>
        <v>0</v>
      </c>
      <c r="J1415" s="9" t="str">
        <f t="shared" si="41"/>
        <v/>
      </c>
    </row>
    <row r="1416" spans="1:10" ht="23.25" customHeight="1">
      <c r="A1416">
        <f>Table4[[#This Row],[Column1]]</f>
        <v>0</v>
      </c>
      <c r="B1416">
        <f>Table4[[#This Row],[Column2]]</f>
        <v>0</v>
      </c>
      <c r="I1416" s="13">
        <f>Table6[[#This Row],[discharge_date]]-Table6[[#This Row],[surgery_date]]</f>
        <v>0</v>
      </c>
      <c r="J1416" s="9" t="str">
        <f t="shared" si="41"/>
        <v/>
      </c>
    </row>
    <row r="1417" spans="1:10" ht="23.25" customHeight="1">
      <c r="A1417">
        <f>Table4[[#This Row],[Column1]]</f>
        <v>0</v>
      </c>
      <c r="B1417">
        <f>Table4[[#This Row],[Column2]]</f>
        <v>0</v>
      </c>
      <c r="I1417" s="13">
        <f>Table6[[#This Row],[discharge_date]]-Table6[[#This Row],[surgery_date]]</f>
        <v>0</v>
      </c>
      <c r="J1417" s="9" t="str">
        <f t="shared" si="41"/>
        <v/>
      </c>
    </row>
    <row r="1418" spans="1:10" ht="23.25" customHeight="1">
      <c r="A1418">
        <f>Table4[[#This Row],[Column1]]</f>
        <v>0</v>
      </c>
      <c r="B1418">
        <f>Table4[[#This Row],[Column2]]</f>
        <v>0</v>
      </c>
      <c r="I1418" s="13">
        <f>Table6[[#This Row],[discharge_date]]-Table6[[#This Row],[surgery_date]]</f>
        <v>0</v>
      </c>
      <c r="J1418" s="9" t="str">
        <f t="shared" si="41"/>
        <v/>
      </c>
    </row>
    <row r="1419" spans="1:10" ht="23.25" customHeight="1">
      <c r="A1419">
        <f>Table4[[#This Row],[Column1]]</f>
        <v>0</v>
      </c>
      <c r="B1419">
        <f>Table4[[#This Row],[Column2]]</f>
        <v>0</v>
      </c>
      <c r="I1419" s="13">
        <f>Table6[[#This Row],[discharge_date]]-Table6[[#This Row],[surgery_date]]</f>
        <v>0</v>
      </c>
      <c r="J1419" s="9" t="str">
        <f t="shared" si="41"/>
        <v/>
      </c>
    </row>
    <row r="1420" spans="1:10" ht="23.25" customHeight="1">
      <c r="A1420">
        <f>Table4[[#This Row],[Column1]]</f>
        <v>0</v>
      </c>
      <c r="B1420">
        <f>Table4[[#This Row],[Column2]]</f>
        <v>0</v>
      </c>
      <c r="I1420" s="13">
        <f>Table6[[#This Row],[discharge_date]]-Table6[[#This Row],[surgery_date]]</f>
        <v>0</v>
      </c>
      <c r="J1420" s="9" t="str">
        <f t="shared" si="41"/>
        <v/>
      </c>
    </row>
    <row r="1421" spans="1:10" ht="23.25" customHeight="1">
      <c r="A1421">
        <f>Table4[[#This Row],[Column1]]</f>
        <v>0</v>
      </c>
      <c r="B1421">
        <f>Table4[[#This Row],[Column2]]</f>
        <v>0</v>
      </c>
      <c r="I1421" s="13">
        <f>Table6[[#This Row],[discharge_date]]-Table6[[#This Row],[surgery_date]]</f>
        <v>0</v>
      </c>
      <c r="J1421" s="9" t="str">
        <f t="shared" si="41"/>
        <v/>
      </c>
    </row>
    <row r="1422" spans="1:10" ht="23.25" customHeight="1">
      <c r="A1422">
        <f>Table4[[#This Row],[Column1]]</f>
        <v>0</v>
      </c>
      <c r="B1422">
        <f>Table4[[#This Row],[Column2]]</f>
        <v>0</v>
      </c>
      <c r="I1422" s="13">
        <f>Table6[[#This Row],[discharge_date]]-Table6[[#This Row],[surgery_date]]</f>
        <v>0</v>
      </c>
      <c r="J1422" s="9" t="str">
        <f t="shared" si="41"/>
        <v/>
      </c>
    </row>
    <row r="1423" spans="1:10" ht="23.25" customHeight="1">
      <c r="A1423">
        <f>Table4[[#This Row],[Column1]]</f>
        <v>0</v>
      </c>
      <c r="B1423">
        <f>Table4[[#This Row],[Column2]]</f>
        <v>0</v>
      </c>
      <c r="I1423" s="13">
        <f>Table6[[#This Row],[discharge_date]]-Table6[[#This Row],[surgery_date]]</f>
        <v>0</v>
      </c>
      <c r="J1423" s="9" t="str">
        <f t="shared" si="41"/>
        <v/>
      </c>
    </row>
    <row r="1424" spans="1:10" ht="23.25" customHeight="1">
      <c r="A1424">
        <f>Table4[[#This Row],[Column1]]</f>
        <v>0</v>
      </c>
      <c r="B1424">
        <f>Table4[[#This Row],[Column2]]</f>
        <v>0</v>
      </c>
      <c r="I1424" s="13">
        <f>Table6[[#This Row],[discharge_date]]-Table6[[#This Row],[surgery_date]]</f>
        <v>0</v>
      </c>
      <c r="J1424" s="9" t="str">
        <f t="shared" si="41"/>
        <v/>
      </c>
    </row>
    <row r="1425" spans="1:10" ht="23.25" customHeight="1">
      <c r="A1425">
        <f>Table4[[#This Row],[Column1]]</f>
        <v>0</v>
      </c>
      <c r="B1425">
        <f>Table4[[#This Row],[Column2]]</f>
        <v>0</v>
      </c>
      <c r="I1425" s="13">
        <f>Table6[[#This Row],[discharge_date]]-Table6[[#This Row],[surgery_date]]</f>
        <v>0</v>
      </c>
      <c r="J1425" s="9" t="str">
        <f t="shared" si="41"/>
        <v/>
      </c>
    </row>
    <row r="1426" spans="1:10" ht="23.25" customHeight="1">
      <c r="A1426">
        <f>Table4[[#This Row],[Column1]]</f>
        <v>0</v>
      </c>
      <c r="B1426">
        <f>Table4[[#This Row],[Column2]]</f>
        <v>0</v>
      </c>
      <c r="I1426" s="13">
        <f>Table6[[#This Row],[discharge_date]]-Table6[[#This Row],[surgery_date]]</f>
        <v>0</v>
      </c>
      <c r="J1426" s="9" t="str">
        <f t="shared" si="41"/>
        <v/>
      </c>
    </row>
    <row r="1427" spans="1:10" ht="23.25" customHeight="1">
      <c r="A1427">
        <f>Table4[[#This Row],[Column1]]</f>
        <v>0</v>
      </c>
      <c r="B1427">
        <f>Table4[[#This Row],[Column2]]</f>
        <v>0</v>
      </c>
      <c r="I1427" s="13">
        <f>Table6[[#This Row],[discharge_date]]-Table6[[#This Row],[surgery_date]]</f>
        <v>0</v>
      </c>
      <c r="J1427" s="9" t="str">
        <f t="shared" si="41"/>
        <v/>
      </c>
    </row>
    <row r="1428" spans="1:10" ht="23.25" customHeight="1">
      <c r="A1428">
        <f>Table4[[#This Row],[Column1]]</f>
        <v>0</v>
      </c>
      <c r="B1428">
        <f>Table4[[#This Row],[Column2]]</f>
        <v>0</v>
      </c>
      <c r="I1428" s="13">
        <f>Table6[[#This Row],[discharge_date]]-Table6[[#This Row],[surgery_date]]</f>
        <v>0</v>
      </c>
      <c r="J1428" s="9" t="str">
        <f t="shared" si="41"/>
        <v/>
      </c>
    </row>
    <row r="1429" spans="1:10" ht="23.25" customHeight="1">
      <c r="A1429">
        <f>Table4[[#This Row],[Column1]]</f>
        <v>0</v>
      </c>
      <c r="B1429">
        <f>Table4[[#This Row],[Column2]]</f>
        <v>0</v>
      </c>
      <c r="I1429" s="13">
        <f>Table6[[#This Row],[discharge_date]]-Table6[[#This Row],[surgery_date]]</f>
        <v>0</v>
      </c>
      <c r="J1429" s="9" t="str">
        <f t="shared" si="41"/>
        <v/>
      </c>
    </row>
    <row r="1430" spans="1:10" ht="23.25" customHeight="1">
      <c r="A1430">
        <f>Table4[[#This Row],[Column1]]</f>
        <v>0</v>
      </c>
      <c r="B1430">
        <f>Table4[[#This Row],[Column2]]</f>
        <v>0</v>
      </c>
      <c r="I1430" s="13">
        <f>Table6[[#This Row],[discharge_date]]-Table6[[#This Row],[surgery_date]]</f>
        <v>0</v>
      </c>
      <c r="J1430" s="9" t="str">
        <f t="shared" si="41"/>
        <v/>
      </c>
    </row>
    <row r="1431" spans="1:10" ht="23.25" customHeight="1">
      <c r="A1431">
        <f>Table4[[#This Row],[Column1]]</f>
        <v>0</v>
      </c>
      <c r="B1431">
        <f>Table4[[#This Row],[Column2]]</f>
        <v>0</v>
      </c>
      <c r="I1431" s="13">
        <f>Table6[[#This Row],[discharge_date]]-Table6[[#This Row],[surgery_date]]</f>
        <v>0</v>
      </c>
      <c r="J1431" s="9" t="str">
        <f t="shared" si="41"/>
        <v/>
      </c>
    </row>
    <row r="1432" spans="1:10" ht="23.25" customHeight="1">
      <c r="A1432">
        <f>Table4[[#This Row],[Column1]]</f>
        <v>0</v>
      </c>
      <c r="B1432">
        <f>Table4[[#This Row],[Column2]]</f>
        <v>0</v>
      </c>
      <c r="I1432" s="13">
        <f>Table6[[#This Row],[discharge_date]]-Table6[[#This Row],[surgery_date]]</f>
        <v>0</v>
      </c>
      <c r="J1432" s="9" t="str">
        <f t="shared" si="41"/>
        <v/>
      </c>
    </row>
    <row r="1433" spans="1:10" ht="23.25" customHeight="1">
      <c r="A1433">
        <f>Table4[[#This Row],[Column1]]</f>
        <v>0</v>
      </c>
      <c r="B1433">
        <f>Table4[[#This Row],[Column2]]</f>
        <v>0</v>
      </c>
      <c r="I1433" s="13">
        <f>Table6[[#This Row],[discharge_date]]-Table6[[#This Row],[surgery_date]]</f>
        <v>0</v>
      </c>
      <c r="J1433" s="9" t="str">
        <f t="shared" si="41"/>
        <v/>
      </c>
    </row>
    <row r="1434" spans="1:10" ht="23.25" customHeight="1">
      <c r="A1434">
        <f>Table4[[#This Row],[Column1]]</f>
        <v>0</v>
      </c>
      <c r="B1434">
        <f>Table4[[#This Row],[Column2]]</f>
        <v>0</v>
      </c>
      <c r="I1434" s="13">
        <f>Table6[[#This Row],[discharge_date]]-Table6[[#This Row],[surgery_date]]</f>
        <v>0</v>
      </c>
      <c r="J1434" s="9" t="str">
        <f t="shared" si="41"/>
        <v/>
      </c>
    </row>
    <row r="1435" spans="1:10" ht="23.25" customHeight="1">
      <c r="A1435">
        <f>Table4[[#This Row],[Column1]]</f>
        <v>0</v>
      </c>
      <c r="B1435">
        <f>Table4[[#This Row],[Column2]]</f>
        <v>0</v>
      </c>
      <c r="I1435" s="13">
        <f>Table6[[#This Row],[discharge_date]]-Table6[[#This Row],[surgery_date]]</f>
        <v>0</v>
      </c>
      <c r="J1435" s="9" t="str">
        <f t="shared" si="41"/>
        <v/>
      </c>
    </row>
    <row r="1436" spans="1:10" ht="23.25" customHeight="1">
      <c r="A1436">
        <f>Table4[[#This Row],[Column1]]</f>
        <v>0</v>
      </c>
      <c r="B1436">
        <f>Table4[[#This Row],[Column2]]</f>
        <v>0</v>
      </c>
      <c r="I1436" s="13">
        <f>Table6[[#This Row],[discharge_date]]-Table6[[#This Row],[surgery_date]]</f>
        <v>0</v>
      </c>
      <c r="J1436" s="9" t="str">
        <f t="shared" si="41"/>
        <v/>
      </c>
    </row>
    <row r="1437" spans="1:10" ht="23.25" customHeight="1">
      <c r="A1437">
        <f>Table4[[#This Row],[Column1]]</f>
        <v>0</v>
      </c>
      <c r="B1437">
        <f>Table4[[#This Row],[Column2]]</f>
        <v>0</v>
      </c>
      <c r="I1437" s="13">
        <f>Table6[[#This Row],[discharge_date]]-Table6[[#This Row],[surgery_date]]</f>
        <v>0</v>
      </c>
      <c r="J1437" s="9" t="str">
        <f t="shared" si="41"/>
        <v/>
      </c>
    </row>
    <row r="1438" spans="1:10" ht="23.25" customHeight="1">
      <c r="A1438">
        <f>Table4[[#This Row],[Column1]]</f>
        <v>0</v>
      </c>
      <c r="B1438">
        <f>Table4[[#This Row],[Column2]]</f>
        <v>0</v>
      </c>
      <c r="I1438" s="13">
        <f>Table6[[#This Row],[discharge_date]]-Table6[[#This Row],[surgery_date]]</f>
        <v>0</v>
      </c>
      <c r="J1438" s="9" t="str">
        <f t="shared" si="41"/>
        <v/>
      </c>
    </row>
    <row r="1439" spans="1:10" ht="23.25" customHeight="1">
      <c r="A1439">
        <f>Table4[[#This Row],[Column1]]</f>
        <v>0</v>
      </c>
      <c r="B1439">
        <f>Table4[[#This Row],[Column2]]</f>
        <v>0</v>
      </c>
      <c r="I1439" s="13">
        <f>Table6[[#This Row],[discharge_date]]-Table6[[#This Row],[surgery_date]]</f>
        <v>0</v>
      </c>
      <c r="J1439" s="9" t="str">
        <f t="shared" si="41"/>
        <v/>
      </c>
    </row>
    <row r="1440" spans="1:10" ht="23.25" customHeight="1">
      <c r="A1440">
        <f>Table4[[#This Row],[Column1]]</f>
        <v>0</v>
      </c>
      <c r="B1440">
        <f>Table4[[#This Row],[Column2]]</f>
        <v>0</v>
      </c>
      <c r="I1440" s="13">
        <f>Table6[[#This Row],[discharge_date]]-Table6[[#This Row],[surgery_date]]</f>
        <v>0</v>
      </c>
      <c r="J1440" s="9" t="str">
        <f t="shared" si="41"/>
        <v/>
      </c>
    </row>
    <row r="1441" spans="1:10" ht="23.25" customHeight="1">
      <c r="A1441">
        <f>Table4[[#This Row],[Column1]]</f>
        <v>0</v>
      </c>
      <c r="B1441">
        <f>Table4[[#This Row],[Column2]]</f>
        <v>0</v>
      </c>
      <c r="I1441" s="13">
        <f>Table6[[#This Row],[discharge_date]]-Table6[[#This Row],[surgery_date]]</f>
        <v>0</v>
      </c>
      <c r="J1441" s="9" t="str">
        <f t="shared" si="41"/>
        <v/>
      </c>
    </row>
    <row r="1442" spans="1:10" ht="23.25" customHeight="1">
      <c r="A1442">
        <f>Table4[[#This Row],[Column1]]</f>
        <v>0</v>
      </c>
      <c r="B1442">
        <f>Table4[[#This Row],[Column2]]</f>
        <v>0</v>
      </c>
      <c r="I1442" s="13">
        <f>Table6[[#This Row],[discharge_date]]-Table6[[#This Row],[surgery_date]]</f>
        <v>0</v>
      </c>
      <c r="J1442" s="9" t="str">
        <f t="shared" si="41"/>
        <v/>
      </c>
    </row>
    <row r="1443" spans="1:10" ht="23.25" customHeight="1">
      <c r="A1443">
        <f>Table4[[#This Row],[Column1]]</f>
        <v>0</v>
      </c>
      <c r="B1443">
        <f>Table4[[#This Row],[Column2]]</f>
        <v>0</v>
      </c>
      <c r="I1443" s="13">
        <f>Table6[[#This Row],[discharge_date]]-Table6[[#This Row],[surgery_date]]</f>
        <v>0</v>
      </c>
      <c r="J1443" s="9" t="str">
        <f t="shared" si="41"/>
        <v/>
      </c>
    </row>
    <row r="1444" spans="1:10" ht="23.25" customHeight="1">
      <c r="A1444">
        <f>Table4[[#This Row],[Column1]]</f>
        <v>0</v>
      </c>
      <c r="B1444">
        <f>Table4[[#This Row],[Column2]]</f>
        <v>0</v>
      </c>
      <c r="I1444" s="13">
        <f>Table6[[#This Row],[discharge_date]]-Table6[[#This Row],[surgery_date]]</f>
        <v>0</v>
      </c>
      <c r="J1444" s="9" t="str">
        <f t="shared" si="41"/>
        <v/>
      </c>
    </row>
    <row r="1445" spans="1:10" ht="23.25" customHeight="1">
      <c r="A1445">
        <f>Table4[[#This Row],[Column1]]</f>
        <v>0</v>
      </c>
      <c r="B1445">
        <f>Table4[[#This Row],[Column2]]</f>
        <v>0</v>
      </c>
      <c r="I1445" s="13">
        <f>Table6[[#This Row],[discharge_date]]-Table6[[#This Row],[surgery_date]]</f>
        <v>0</v>
      </c>
      <c r="J1445" s="9" t="str">
        <f t="shared" si="41"/>
        <v/>
      </c>
    </row>
    <row r="1446" spans="1:10" ht="23.25" customHeight="1">
      <c r="A1446">
        <f>Table4[[#This Row],[Column1]]</f>
        <v>0</v>
      </c>
      <c r="B1446">
        <f>Table4[[#This Row],[Column2]]</f>
        <v>0</v>
      </c>
      <c r="I1446" s="13">
        <f>Table6[[#This Row],[discharge_date]]-Table6[[#This Row],[surgery_date]]</f>
        <v>0</v>
      </c>
      <c r="J1446" s="9" t="str">
        <f t="shared" si="41"/>
        <v/>
      </c>
    </row>
    <row r="1447" spans="1:10" ht="23.25" customHeight="1">
      <c r="A1447">
        <f>Table4[[#This Row],[Column1]]</f>
        <v>0</v>
      </c>
      <c r="B1447">
        <f>Table4[[#This Row],[Column2]]</f>
        <v>0</v>
      </c>
      <c r="I1447" s="13">
        <f>Table6[[#This Row],[discharge_date]]-Table6[[#This Row],[surgery_date]]</f>
        <v>0</v>
      </c>
      <c r="J1447" s="9" t="str">
        <f t="shared" si="41"/>
        <v/>
      </c>
    </row>
    <row r="1448" spans="1:10" ht="23.25" customHeight="1">
      <c r="A1448">
        <f>Table4[[#This Row],[Column1]]</f>
        <v>0</v>
      </c>
      <c r="B1448">
        <f>Table4[[#This Row],[Column2]]</f>
        <v>0</v>
      </c>
      <c r="I1448" s="13">
        <f>Table6[[#This Row],[discharge_date]]-Table6[[#This Row],[surgery_date]]</f>
        <v>0</v>
      </c>
      <c r="J1448" s="9" t="str">
        <f t="shared" si="41"/>
        <v/>
      </c>
    </row>
    <row r="1449" spans="1:10" ht="23.25" customHeight="1">
      <c r="A1449">
        <f>Table4[[#This Row],[Column1]]</f>
        <v>0</v>
      </c>
      <c r="B1449">
        <f>Table4[[#This Row],[Column2]]</f>
        <v>0</v>
      </c>
      <c r="I1449" s="13">
        <f>Table6[[#This Row],[discharge_date]]-Table6[[#This Row],[surgery_date]]</f>
        <v>0</v>
      </c>
      <c r="J1449" s="9" t="str">
        <f t="shared" si="41"/>
        <v/>
      </c>
    </row>
    <row r="1450" spans="1:10" ht="23.25" customHeight="1">
      <c r="A1450">
        <f>Table4[[#This Row],[Column1]]</f>
        <v>0</v>
      </c>
      <c r="B1450">
        <f>Table4[[#This Row],[Column2]]</f>
        <v>0</v>
      </c>
      <c r="I1450" s="13">
        <f>Table6[[#This Row],[discharge_date]]-Table6[[#This Row],[surgery_date]]</f>
        <v>0</v>
      </c>
      <c r="J1450" s="9" t="str">
        <f t="shared" si="41"/>
        <v/>
      </c>
    </row>
    <row r="1451" spans="1:10" ht="23.25" customHeight="1">
      <c r="A1451">
        <f>Table4[[#This Row],[Column1]]</f>
        <v>0</v>
      </c>
      <c r="B1451">
        <f>Table4[[#This Row],[Column2]]</f>
        <v>0</v>
      </c>
      <c r="I1451" s="13">
        <f>Table6[[#This Row],[discharge_date]]-Table6[[#This Row],[surgery_date]]</f>
        <v>0</v>
      </c>
      <c r="J1451" s="9" t="str">
        <f t="shared" si="41"/>
        <v/>
      </c>
    </row>
    <row r="1452" spans="1:10" ht="23.25" customHeight="1">
      <c r="A1452">
        <f>Table4[[#This Row],[Column1]]</f>
        <v>0</v>
      </c>
      <c r="B1452">
        <f>Table4[[#This Row],[Column2]]</f>
        <v>0</v>
      </c>
      <c r="I1452" s="13">
        <f>Table6[[#This Row],[discharge_date]]-Table6[[#This Row],[surgery_date]]</f>
        <v>0</v>
      </c>
      <c r="J1452" s="9" t="str">
        <f t="shared" si="41"/>
        <v/>
      </c>
    </row>
    <row r="1453" spans="1:10" ht="23.25" customHeight="1">
      <c r="A1453">
        <f>Table4[[#This Row],[Column1]]</f>
        <v>0</v>
      </c>
      <c r="B1453">
        <f>Table4[[#This Row],[Column2]]</f>
        <v>0</v>
      </c>
      <c r="I1453" s="13">
        <f>Table6[[#This Row],[discharge_date]]-Table6[[#This Row],[surgery_date]]</f>
        <v>0</v>
      </c>
      <c r="J1453" s="9" t="str">
        <f t="shared" si="41"/>
        <v/>
      </c>
    </row>
    <row r="1454" spans="1:10" ht="23.25" customHeight="1">
      <c r="A1454">
        <f>Table4[[#This Row],[Column1]]</f>
        <v>0</v>
      </c>
      <c r="B1454">
        <f>Table4[[#This Row],[Column2]]</f>
        <v>0</v>
      </c>
      <c r="I1454" s="13">
        <f>Table6[[#This Row],[discharge_date]]-Table6[[#This Row],[surgery_date]]</f>
        <v>0</v>
      </c>
      <c r="J1454" s="9" t="str">
        <f t="shared" si="41"/>
        <v/>
      </c>
    </row>
    <row r="1455" spans="1:10" ht="23.25" customHeight="1">
      <c r="A1455">
        <f>Table4[[#This Row],[Column1]]</f>
        <v>0</v>
      </c>
      <c r="B1455">
        <f>Table4[[#This Row],[Column2]]</f>
        <v>0</v>
      </c>
      <c r="I1455" s="13">
        <f>Table6[[#This Row],[discharge_date]]-Table6[[#This Row],[surgery_date]]</f>
        <v>0</v>
      </c>
      <c r="J1455" s="9" t="str">
        <f t="shared" si="41"/>
        <v/>
      </c>
    </row>
    <row r="1456" spans="1:10" ht="23.25" customHeight="1">
      <c r="A1456">
        <f>Table4[[#This Row],[Column1]]</f>
        <v>0</v>
      </c>
      <c r="B1456">
        <f>Table4[[#This Row],[Column2]]</f>
        <v>0</v>
      </c>
      <c r="I1456" s="13">
        <f>Table6[[#This Row],[discharge_date]]-Table6[[#This Row],[surgery_date]]</f>
        <v>0</v>
      </c>
      <c r="J1456" s="9" t="str">
        <f t="shared" si="41"/>
        <v/>
      </c>
    </row>
    <row r="1457" spans="1:10" ht="23.25" customHeight="1">
      <c r="A1457">
        <f>Table4[[#This Row],[Column1]]</f>
        <v>0</v>
      </c>
      <c r="B1457">
        <f>Table4[[#This Row],[Column2]]</f>
        <v>0</v>
      </c>
      <c r="I1457" s="13">
        <f>Table6[[#This Row],[discharge_date]]-Table6[[#This Row],[surgery_date]]</f>
        <v>0</v>
      </c>
      <c r="J1457" s="9" t="str">
        <f t="shared" si="41"/>
        <v/>
      </c>
    </row>
    <row r="1458" spans="1:10" ht="23.25" customHeight="1">
      <c r="A1458">
        <f>Table4[[#This Row],[Column1]]</f>
        <v>0</v>
      </c>
      <c r="B1458">
        <f>Table4[[#This Row],[Column2]]</f>
        <v>0</v>
      </c>
      <c r="I1458" s="13">
        <f>Table6[[#This Row],[discharge_date]]-Table6[[#This Row],[surgery_date]]</f>
        <v>0</v>
      </c>
      <c r="J1458" s="9" t="str">
        <f t="shared" si="41"/>
        <v/>
      </c>
    </row>
    <row r="1459" spans="1:10" ht="23.25" customHeight="1">
      <c r="A1459">
        <f>Table4[[#This Row],[Column1]]</f>
        <v>0</v>
      </c>
      <c r="B1459">
        <f>Table4[[#This Row],[Column2]]</f>
        <v>0</v>
      </c>
      <c r="I1459" s="13">
        <f>Table6[[#This Row],[discharge_date]]-Table6[[#This Row],[surgery_date]]</f>
        <v>0</v>
      </c>
      <c r="J1459" s="9" t="str">
        <f t="shared" si="41"/>
        <v/>
      </c>
    </row>
    <row r="1460" spans="1:10" ht="23.25" customHeight="1">
      <c r="A1460">
        <f>Table4[[#This Row],[Column1]]</f>
        <v>0</v>
      </c>
      <c r="B1460">
        <f>Table4[[#This Row],[Column2]]</f>
        <v>0</v>
      </c>
      <c r="I1460" s="13">
        <f>Table6[[#This Row],[discharge_date]]-Table6[[#This Row],[surgery_date]]</f>
        <v>0</v>
      </c>
      <c r="J1460" s="9" t="str">
        <f t="shared" si="41"/>
        <v/>
      </c>
    </row>
    <row r="1461" spans="1:10" ht="23.25" customHeight="1">
      <c r="A1461">
        <f>Table4[[#This Row],[Column1]]</f>
        <v>0</v>
      </c>
      <c r="B1461">
        <f>Table4[[#This Row],[Column2]]</f>
        <v>0</v>
      </c>
      <c r="I1461" s="13">
        <f>Table6[[#This Row],[discharge_date]]-Table6[[#This Row],[surgery_date]]</f>
        <v>0</v>
      </c>
      <c r="J1461" s="9" t="str">
        <f t="shared" si="41"/>
        <v/>
      </c>
    </row>
    <row r="1462" spans="1:10" ht="23.25" customHeight="1">
      <c r="A1462">
        <f>Table4[[#This Row],[Column1]]</f>
        <v>0</v>
      </c>
      <c r="B1462">
        <f>Table4[[#This Row],[Column2]]</f>
        <v>0</v>
      </c>
      <c r="I1462" s="13">
        <f>Table6[[#This Row],[discharge_date]]-Table6[[#This Row],[surgery_date]]</f>
        <v>0</v>
      </c>
      <c r="J1462" s="9" t="str">
        <f t="shared" si="41"/>
        <v/>
      </c>
    </row>
    <row r="1463" spans="1:10" ht="23.25" customHeight="1">
      <c r="A1463">
        <f>Table4[[#This Row],[Column1]]</f>
        <v>0</v>
      </c>
      <c r="B1463">
        <f>Table4[[#This Row],[Column2]]</f>
        <v>0</v>
      </c>
      <c r="I1463" s="13">
        <f>Table6[[#This Row],[discharge_date]]-Table6[[#This Row],[surgery_date]]</f>
        <v>0</v>
      </c>
      <c r="J1463" s="9" t="str">
        <f t="shared" si="41"/>
        <v/>
      </c>
    </row>
    <row r="1464" spans="1:10" ht="23.25" customHeight="1">
      <c r="A1464">
        <f>Table4[[#This Row],[Column1]]</f>
        <v>0</v>
      </c>
      <c r="B1464">
        <f>Table4[[#This Row],[Column2]]</f>
        <v>0</v>
      </c>
      <c r="I1464" s="13">
        <f>Table6[[#This Row],[discharge_date]]-Table6[[#This Row],[surgery_date]]</f>
        <v>0</v>
      </c>
      <c r="J1464" s="9" t="str">
        <f t="shared" si="41"/>
        <v/>
      </c>
    </row>
    <row r="1465" spans="1:10" ht="23.25" customHeight="1">
      <c r="A1465">
        <f>Table4[[#This Row],[Column1]]</f>
        <v>0</v>
      </c>
      <c r="B1465">
        <f>Table4[[#This Row],[Column2]]</f>
        <v>0</v>
      </c>
      <c r="I1465" s="13">
        <f>Table6[[#This Row],[discharge_date]]-Table6[[#This Row],[surgery_date]]</f>
        <v>0</v>
      </c>
      <c r="J1465" s="9" t="str">
        <f t="shared" si="41"/>
        <v/>
      </c>
    </row>
    <row r="1466" spans="1:10" ht="23.25" customHeight="1">
      <c r="A1466">
        <f>Table4[[#This Row],[Column1]]</f>
        <v>0</v>
      </c>
      <c r="B1466">
        <f>Table4[[#This Row],[Column2]]</f>
        <v>0</v>
      </c>
      <c r="I1466" s="13">
        <f>Table6[[#This Row],[discharge_date]]-Table6[[#This Row],[surgery_date]]</f>
        <v>0</v>
      </c>
      <c r="J1466" s="9" t="str">
        <f t="shared" si="41"/>
        <v/>
      </c>
    </row>
    <row r="1467" spans="1:10" ht="23.25" customHeight="1">
      <c r="A1467">
        <f>Table4[[#This Row],[Column1]]</f>
        <v>0</v>
      </c>
      <c r="B1467">
        <f>Table4[[#This Row],[Column2]]</f>
        <v>0</v>
      </c>
      <c r="I1467" s="13">
        <f>Table6[[#This Row],[discharge_date]]-Table6[[#This Row],[surgery_date]]</f>
        <v>0</v>
      </c>
      <c r="J1467" s="9" t="str">
        <f t="shared" si="41"/>
        <v/>
      </c>
    </row>
    <row r="1468" spans="1:10" ht="23.25" customHeight="1">
      <c r="A1468">
        <f>Table4[[#This Row],[Column1]]</f>
        <v>0</v>
      </c>
      <c r="B1468">
        <f>Table4[[#This Row],[Column2]]</f>
        <v>0</v>
      </c>
      <c r="I1468" s="13">
        <f>Table6[[#This Row],[discharge_date]]-Table6[[#This Row],[surgery_date]]</f>
        <v>0</v>
      </c>
      <c r="J1468" s="9" t="str">
        <f t="shared" si="41"/>
        <v/>
      </c>
    </row>
    <row r="1469" spans="1:10" ht="23.25" customHeight="1">
      <c r="A1469">
        <f>Table4[[#This Row],[Column1]]</f>
        <v>0</v>
      </c>
      <c r="B1469">
        <f>Table4[[#This Row],[Column2]]</f>
        <v>0</v>
      </c>
      <c r="I1469" s="13">
        <f>Table6[[#This Row],[discharge_date]]-Table6[[#This Row],[surgery_date]]</f>
        <v>0</v>
      </c>
      <c r="J1469" s="9" t="str">
        <f t="shared" si="41"/>
        <v/>
      </c>
    </row>
    <row r="1470" spans="1:10" ht="23.25" customHeight="1">
      <c r="A1470">
        <f>Table4[[#This Row],[Column1]]</f>
        <v>0</v>
      </c>
      <c r="B1470">
        <f>Table4[[#This Row],[Column2]]</f>
        <v>0</v>
      </c>
      <c r="I1470" s="13">
        <f>Table6[[#This Row],[discharge_date]]-Table6[[#This Row],[surgery_date]]</f>
        <v>0</v>
      </c>
      <c r="J1470" s="9" t="str">
        <f t="shared" si="41"/>
        <v/>
      </c>
    </row>
    <row r="1471" spans="1:10" ht="23.25" customHeight="1">
      <c r="A1471">
        <f>Table4[[#This Row],[Column1]]</f>
        <v>0</v>
      </c>
      <c r="B1471">
        <f>Table4[[#This Row],[Column2]]</f>
        <v>0</v>
      </c>
      <c r="I1471" s="13">
        <f>Table6[[#This Row],[discharge_date]]-Table6[[#This Row],[surgery_date]]</f>
        <v>0</v>
      </c>
      <c r="J1471" s="9" t="str">
        <f t="shared" si="41"/>
        <v/>
      </c>
    </row>
    <row r="1472" spans="1:10" ht="23.25" customHeight="1">
      <c r="A1472">
        <f>Table4[[#This Row],[Column1]]</f>
        <v>0</v>
      </c>
      <c r="B1472">
        <f>Table4[[#This Row],[Column2]]</f>
        <v>0</v>
      </c>
      <c r="I1472" s="13">
        <f>Table6[[#This Row],[discharge_date]]-Table6[[#This Row],[surgery_date]]</f>
        <v>0</v>
      </c>
      <c r="J1472" s="9" t="str">
        <f t="shared" si="41"/>
        <v/>
      </c>
    </row>
    <row r="1473" spans="1:10" ht="23.25" customHeight="1">
      <c r="A1473">
        <f>Table4[[#This Row],[Column1]]</f>
        <v>0</v>
      </c>
      <c r="B1473">
        <f>Table4[[#This Row],[Column2]]</f>
        <v>0</v>
      </c>
      <c r="I1473" s="13">
        <f>Table6[[#This Row],[discharge_date]]-Table6[[#This Row],[surgery_date]]</f>
        <v>0</v>
      </c>
      <c r="J1473" s="9" t="str">
        <f t="shared" si="41"/>
        <v/>
      </c>
    </row>
    <row r="1474" spans="1:10" ht="23.25" customHeight="1">
      <c r="A1474">
        <f>Table4[[#This Row],[Column1]]</f>
        <v>0</v>
      </c>
      <c r="B1474">
        <f>Table4[[#This Row],[Column2]]</f>
        <v>0</v>
      </c>
      <c r="I1474" s="13">
        <f>Table6[[#This Row],[discharge_date]]-Table6[[#This Row],[surgery_date]]</f>
        <v>0</v>
      </c>
      <c r="J1474" s="9" t="str">
        <f t="shared" ref="J1474:J1537" si="42">IF( H1474&lt;&gt;"", H1474+30,"")</f>
        <v/>
      </c>
    </row>
    <row r="1475" spans="1:10" ht="23.25" customHeight="1">
      <c r="A1475">
        <f>Table4[[#This Row],[Column1]]</f>
        <v>0</v>
      </c>
      <c r="B1475">
        <f>Table4[[#This Row],[Column2]]</f>
        <v>0</v>
      </c>
      <c r="I1475" s="13">
        <f>Table6[[#This Row],[discharge_date]]-Table6[[#This Row],[surgery_date]]</f>
        <v>0</v>
      </c>
      <c r="J1475" s="9" t="str">
        <f t="shared" si="42"/>
        <v/>
      </c>
    </row>
    <row r="1476" spans="1:10" ht="23.25" customHeight="1">
      <c r="A1476">
        <f>Table4[[#This Row],[Column1]]</f>
        <v>0</v>
      </c>
      <c r="B1476">
        <f>Table4[[#This Row],[Column2]]</f>
        <v>0</v>
      </c>
      <c r="I1476" s="13">
        <f>Table6[[#This Row],[discharge_date]]-Table6[[#This Row],[surgery_date]]</f>
        <v>0</v>
      </c>
      <c r="J1476" s="9" t="str">
        <f t="shared" si="42"/>
        <v/>
      </c>
    </row>
    <row r="1477" spans="1:10" ht="23.25" customHeight="1">
      <c r="A1477">
        <f>Table4[[#This Row],[Column1]]</f>
        <v>0</v>
      </c>
      <c r="B1477">
        <f>Table4[[#This Row],[Column2]]</f>
        <v>0</v>
      </c>
      <c r="I1477" s="13">
        <f>Table6[[#This Row],[discharge_date]]-Table6[[#This Row],[surgery_date]]</f>
        <v>0</v>
      </c>
      <c r="J1477" s="9" t="str">
        <f t="shared" si="42"/>
        <v/>
      </c>
    </row>
    <row r="1478" spans="1:10" ht="23.25" customHeight="1">
      <c r="A1478">
        <f>Table4[[#This Row],[Column1]]</f>
        <v>0</v>
      </c>
      <c r="B1478">
        <f>Table4[[#This Row],[Column2]]</f>
        <v>0</v>
      </c>
      <c r="I1478" s="13">
        <f>Table6[[#This Row],[discharge_date]]-Table6[[#This Row],[surgery_date]]</f>
        <v>0</v>
      </c>
      <c r="J1478" s="9" t="str">
        <f t="shared" si="42"/>
        <v/>
      </c>
    </row>
    <row r="1479" spans="1:10" ht="23.25" customHeight="1">
      <c r="A1479">
        <f>Table4[[#This Row],[Column1]]</f>
        <v>0</v>
      </c>
      <c r="B1479">
        <f>Table4[[#This Row],[Column2]]</f>
        <v>0</v>
      </c>
      <c r="I1479" s="13">
        <f>Table6[[#This Row],[discharge_date]]-Table6[[#This Row],[surgery_date]]</f>
        <v>0</v>
      </c>
      <c r="J1479" s="9" t="str">
        <f t="shared" si="42"/>
        <v/>
      </c>
    </row>
    <row r="1480" spans="1:10" ht="23.25" customHeight="1">
      <c r="A1480">
        <f>Table4[[#This Row],[Column1]]</f>
        <v>0</v>
      </c>
      <c r="B1480">
        <f>Table4[[#This Row],[Column2]]</f>
        <v>0</v>
      </c>
      <c r="I1480" s="13">
        <f>Table6[[#This Row],[discharge_date]]-Table6[[#This Row],[surgery_date]]</f>
        <v>0</v>
      </c>
      <c r="J1480" s="9" t="str">
        <f t="shared" si="42"/>
        <v/>
      </c>
    </row>
    <row r="1481" spans="1:10" ht="23.25" customHeight="1">
      <c r="A1481">
        <f>Table4[[#This Row],[Column1]]</f>
        <v>0</v>
      </c>
      <c r="B1481">
        <f>Table4[[#This Row],[Column2]]</f>
        <v>0</v>
      </c>
      <c r="I1481" s="13">
        <f>Table6[[#This Row],[discharge_date]]-Table6[[#This Row],[surgery_date]]</f>
        <v>0</v>
      </c>
      <c r="J1481" s="9" t="str">
        <f t="shared" si="42"/>
        <v/>
      </c>
    </row>
    <row r="1482" spans="1:10" ht="23.25" customHeight="1">
      <c r="A1482">
        <f>Table4[[#This Row],[Column1]]</f>
        <v>0</v>
      </c>
      <c r="B1482">
        <f>Table4[[#This Row],[Column2]]</f>
        <v>0</v>
      </c>
      <c r="I1482" s="13">
        <f>Table6[[#This Row],[discharge_date]]-Table6[[#This Row],[surgery_date]]</f>
        <v>0</v>
      </c>
      <c r="J1482" s="9" t="str">
        <f t="shared" si="42"/>
        <v/>
      </c>
    </row>
    <row r="1483" spans="1:10" ht="23.25" customHeight="1">
      <c r="A1483">
        <f>Table4[[#This Row],[Column1]]</f>
        <v>0</v>
      </c>
      <c r="B1483">
        <f>Table4[[#This Row],[Column2]]</f>
        <v>0</v>
      </c>
      <c r="I1483" s="13">
        <f>Table6[[#This Row],[discharge_date]]-Table6[[#This Row],[surgery_date]]</f>
        <v>0</v>
      </c>
      <c r="J1483" s="9" t="str">
        <f t="shared" si="42"/>
        <v/>
      </c>
    </row>
    <row r="1484" spans="1:10" ht="23.25" customHeight="1">
      <c r="A1484">
        <f>Table4[[#This Row],[Column1]]</f>
        <v>0</v>
      </c>
      <c r="B1484">
        <f>Table4[[#This Row],[Column2]]</f>
        <v>0</v>
      </c>
      <c r="I1484" s="13">
        <f>Table6[[#This Row],[discharge_date]]-Table6[[#This Row],[surgery_date]]</f>
        <v>0</v>
      </c>
      <c r="J1484" s="9" t="str">
        <f t="shared" si="42"/>
        <v/>
      </c>
    </row>
    <row r="1485" spans="1:10" ht="23.25" customHeight="1">
      <c r="A1485">
        <f>Table4[[#This Row],[Column1]]</f>
        <v>0</v>
      </c>
      <c r="B1485">
        <f>Table4[[#This Row],[Column2]]</f>
        <v>0</v>
      </c>
      <c r="I1485" s="13">
        <f>Table6[[#This Row],[discharge_date]]-Table6[[#This Row],[surgery_date]]</f>
        <v>0</v>
      </c>
      <c r="J1485" s="9" t="str">
        <f t="shared" si="42"/>
        <v/>
      </c>
    </row>
    <row r="1486" spans="1:10" ht="23.25" customHeight="1">
      <c r="A1486">
        <f>Table4[[#This Row],[Column1]]</f>
        <v>0</v>
      </c>
      <c r="B1486">
        <f>Table4[[#This Row],[Column2]]</f>
        <v>0</v>
      </c>
      <c r="I1486" s="13">
        <f>Table6[[#This Row],[discharge_date]]-Table6[[#This Row],[surgery_date]]</f>
        <v>0</v>
      </c>
      <c r="J1486" s="9" t="str">
        <f t="shared" si="42"/>
        <v/>
      </c>
    </row>
    <row r="1487" spans="1:10" ht="23.25" customHeight="1">
      <c r="A1487">
        <f>Table4[[#This Row],[Column1]]</f>
        <v>0</v>
      </c>
      <c r="B1487">
        <f>Table4[[#This Row],[Column2]]</f>
        <v>0</v>
      </c>
      <c r="I1487" s="13">
        <f>Table6[[#This Row],[discharge_date]]-Table6[[#This Row],[surgery_date]]</f>
        <v>0</v>
      </c>
      <c r="J1487" s="9" t="str">
        <f t="shared" si="42"/>
        <v/>
      </c>
    </row>
    <row r="1488" spans="1:10" ht="23.25" customHeight="1">
      <c r="A1488">
        <f>Table4[[#This Row],[Column1]]</f>
        <v>0</v>
      </c>
      <c r="B1488">
        <f>Table4[[#This Row],[Column2]]</f>
        <v>0</v>
      </c>
      <c r="I1488" s="13">
        <f>Table6[[#This Row],[discharge_date]]-Table6[[#This Row],[surgery_date]]</f>
        <v>0</v>
      </c>
      <c r="J1488" s="9" t="str">
        <f t="shared" si="42"/>
        <v/>
      </c>
    </row>
    <row r="1489" spans="1:10" ht="23.25" customHeight="1">
      <c r="A1489">
        <f>Table4[[#This Row],[Column1]]</f>
        <v>0</v>
      </c>
      <c r="B1489">
        <f>Table4[[#This Row],[Column2]]</f>
        <v>0</v>
      </c>
      <c r="I1489" s="13">
        <f>Table6[[#This Row],[discharge_date]]-Table6[[#This Row],[surgery_date]]</f>
        <v>0</v>
      </c>
      <c r="J1489" s="9" t="str">
        <f t="shared" si="42"/>
        <v/>
      </c>
    </row>
    <row r="1490" spans="1:10" ht="23.25" customHeight="1">
      <c r="A1490">
        <f>Table4[[#This Row],[Column1]]</f>
        <v>0</v>
      </c>
      <c r="B1490">
        <f>Table4[[#This Row],[Column2]]</f>
        <v>0</v>
      </c>
      <c r="I1490" s="13">
        <f>Table6[[#This Row],[discharge_date]]-Table6[[#This Row],[surgery_date]]</f>
        <v>0</v>
      </c>
      <c r="J1490" s="9" t="str">
        <f t="shared" si="42"/>
        <v/>
      </c>
    </row>
    <row r="1491" spans="1:10" ht="23.25" customHeight="1">
      <c r="A1491">
        <f>Table4[[#This Row],[Column1]]</f>
        <v>0</v>
      </c>
      <c r="B1491">
        <f>Table4[[#This Row],[Column2]]</f>
        <v>0</v>
      </c>
      <c r="I1491" s="13">
        <f>Table6[[#This Row],[discharge_date]]-Table6[[#This Row],[surgery_date]]</f>
        <v>0</v>
      </c>
      <c r="J1491" s="9" t="str">
        <f t="shared" si="42"/>
        <v/>
      </c>
    </row>
    <row r="1492" spans="1:10" ht="23.25" customHeight="1">
      <c r="A1492">
        <f>Table4[[#This Row],[Column1]]</f>
        <v>0</v>
      </c>
      <c r="B1492">
        <f>Table4[[#This Row],[Column2]]</f>
        <v>0</v>
      </c>
      <c r="I1492" s="13">
        <f>Table6[[#This Row],[discharge_date]]-Table6[[#This Row],[surgery_date]]</f>
        <v>0</v>
      </c>
      <c r="J1492" s="9" t="str">
        <f t="shared" si="42"/>
        <v/>
      </c>
    </row>
    <row r="1493" spans="1:10" ht="23.25" customHeight="1">
      <c r="A1493">
        <f>Table4[[#This Row],[Column1]]</f>
        <v>0</v>
      </c>
      <c r="B1493">
        <f>Table4[[#This Row],[Column2]]</f>
        <v>0</v>
      </c>
      <c r="I1493" s="13">
        <f>Table6[[#This Row],[discharge_date]]-Table6[[#This Row],[surgery_date]]</f>
        <v>0</v>
      </c>
      <c r="J1493" s="9" t="str">
        <f t="shared" si="42"/>
        <v/>
      </c>
    </row>
    <row r="1494" spans="1:10" ht="23.25" customHeight="1">
      <c r="A1494">
        <f>Table4[[#This Row],[Column1]]</f>
        <v>0</v>
      </c>
      <c r="B1494">
        <f>Table4[[#This Row],[Column2]]</f>
        <v>0</v>
      </c>
      <c r="I1494" s="13">
        <f>Table6[[#This Row],[discharge_date]]-Table6[[#This Row],[surgery_date]]</f>
        <v>0</v>
      </c>
      <c r="J1494" s="9" t="str">
        <f t="shared" si="42"/>
        <v/>
      </c>
    </row>
    <row r="1495" spans="1:10" ht="23.25" customHeight="1">
      <c r="A1495">
        <f>Table4[[#This Row],[Column1]]</f>
        <v>0</v>
      </c>
      <c r="B1495">
        <f>Table4[[#This Row],[Column2]]</f>
        <v>0</v>
      </c>
      <c r="I1495" s="13">
        <f>Table6[[#This Row],[discharge_date]]-Table6[[#This Row],[surgery_date]]</f>
        <v>0</v>
      </c>
      <c r="J1495" s="9" t="str">
        <f t="shared" si="42"/>
        <v/>
      </c>
    </row>
    <row r="1496" spans="1:10" ht="23.25" customHeight="1">
      <c r="A1496">
        <f>Table4[[#This Row],[Column1]]</f>
        <v>0</v>
      </c>
      <c r="B1496">
        <f>Table4[[#This Row],[Column2]]</f>
        <v>0</v>
      </c>
      <c r="I1496" s="13">
        <f>Table6[[#This Row],[discharge_date]]-Table6[[#This Row],[surgery_date]]</f>
        <v>0</v>
      </c>
      <c r="J1496" s="9" t="str">
        <f t="shared" si="42"/>
        <v/>
      </c>
    </row>
    <row r="1497" spans="1:10" ht="23.25" customHeight="1">
      <c r="A1497">
        <f>Table4[[#This Row],[Column1]]</f>
        <v>0</v>
      </c>
      <c r="B1497">
        <f>Table4[[#This Row],[Column2]]</f>
        <v>0</v>
      </c>
      <c r="I1497" s="13">
        <f>Table6[[#This Row],[discharge_date]]-Table6[[#This Row],[surgery_date]]</f>
        <v>0</v>
      </c>
      <c r="J1497" s="9" t="str">
        <f t="shared" si="42"/>
        <v/>
      </c>
    </row>
    <row r="1498" spans="1:10" ht="23.25" customHeight="1">
      <c r="A1498">
        <f>Table4[[#This Row],[Column1]]</f>
        <v>0</v>
      </c>
      <c r="B1498">
        <f>Table4[[#This Row],[Column2]]</f>
        <v>0</v>
      </c>
      <c r="I1498" s="13">
        <f>Table6[[#This Row],[discharge_date]]-Table6[[#This Row],[surgery_date]]</f>
        <v>0</v>
      </c>
      <c r="J1498" s="9" t="str">
        <f t="shared" si="42"/>
        <v/>
      </c>
    </row>
    <row r="1499" spans="1:10" ht="23.25" customHeight="1">
      <c r="A1499">
        <f>Table4[[#This Row],[Column1]]</f>
        <v>0</v>
      </c>
      <c r="B1499">
        <f>Table4[[#This Row],[Column2]]</f>
        <v>0</v>
      </c>
      <c r="I1499" s="13">
        <f>Table6[[#This Row],[discharge_date]]-Table6[[#This Row],[surgery_date]]</f>
        <v>0</v>
      </c>
      <c r="J1499" s="9" t="str">
        <f t="shared" si="42"/>
        <v/>
      </c>
    </row>
    <row r="1500" spans="1:10" ht="23.25" customHeight="1">
      <c r="A1500">
        <f>Table4[[#This Row],[Column1]]</f>
        <v>0</v>
      </c>
      <c r="B1500">
        <f>Table4[[#This Row],[Column2]]</f>
        <v>0</v>
      </c>
      <c r="I1500" s="13">
        <f>Table6[[#This Row],[discharge_date]]-Table6[[#This Row],[surgery_date]]</f>
        <v>0</v>
      </c>
      <c r="J1500" s="9" t="str">
        <f t="shared" si="42"/>
        <v/>
      </c>
    </row>
    <row r="1501" spans="1:10" ht="23.25" customHeight="1">
      <c r="A1501">
        <f>Table4[[#This Row],[Column1]]</f>
        <v>0</v>
      </c>
      <c r="B1501">
        <f>Table4[[#This Row],[Column2]]</f>
        <v>0</v>
      </c>
      <c r="I1501" s="13">
        <f>Table6[[#This Row],[discharge_date]]-Table6[[#This Row],[surgery_date]]</f>
        <v>0</v>
      </c>
      <c r="J1501" s="9" t="str">
        <f t="shared" si="42"/>
        <v/>
      </c>
    </row>
    <row r="1502" spans="1:10" ht="23.25" customHeight="1">
      <c r="A1502">
        <f>Table4[[#This Row],[Column1]]</f>
        <v>0</v>
      </c>
      <c r="B1502">
        <f>Table4[[#This Row],[Column2]]</f>
        <v>0</v>
      </c>
      <c r="I1502" s="13">
        <f>Table6[[#This Row],[discharge_date]]-Table6[[#This Row],[surgery_date]]</f>
        <v>0</v>
      </c>
      <c r="J1502" s="9" t="str">
        <f t="shared" si="42"/>
        <v/>
      </c>
    </row>
    <row r="1503" spans="1:10" ht="23.25" customHeight="1">
      <c r="A1503">
        <f>Table4[[#This Row],[Column1]]</f>
        <v>0</v>
      </c>
      <c r="B1503">
        <f>Table4[[#This Row],[Column2]]</f>
        <v>0</v>
      </c>
      <c r="I1503" s="13">
        <f>Table6[[#This Row],[discharge_date]]-Table6[[#This Row],[surgery_date]]</f>
        <v>0</v>
      </c>
      <c r="J1503" s="9" t="str">
        <f t="shared" si="42"/>
        <v/>
      </c>
    </row>
    <row r="1504" spans="1:10" ht="23.25" customHeight="1">
      <c r="A1504">
        <f>Table4[[#This Row],[Column1]]</f>
        <v>0</v>
      </c>
      <c r="B1504">
        <f>Table4[[#This Row],[Column2]]</f>
        <v>0</v>
      </c>
      <c r="I1504" s="13">
        <f>Table6[[#This Row],[discharge_date]]-Table6[[#This Row],[surgery_date]]</f>
        <v>0</v>
      </c>
      <c r="J1504" s="9" t="str">
        <f t="shared" si="42"/>
        <v/>
      </c>
    </row>
    <row r="1505" spans="1:10" ht="23.25" customHeight="1">
      <c r="A1505">
        <f>Table4[[#This Row],[Column1]]</f>
        <v>0</v>
      </c>
      <c r="B1505">
        <f>Table4[[#This Row],[Column2]]</f>
        <v>0</v>
      </c>
      <c r="I1505" s="13">
        <f>Table6[[#This Row],[discharge_date]]-Table6[[#This Row],[surgery_date]]</f>
        <v>0</v>
      </c>
      <c r="J1505" s="9" t="str">
        <f t="shared" si="42"/>
        <v/>
      </c>
    </row>
    <row r="1506" spans="1:10" ht="23.25" customHeight="1">
      <c r="A1506">
        <f>Table4[[#This Row],[Column1]]</f>
        <v>0</v>
      </c>
      <c r="B1506">
        <f>Table4[[#This Row],[Column2]]</f>
        <v>0</v>
      </c>
      <c r="I1506" s="13">
        <f>Table6[[#This Row],[discharge_date]]-Table6[[#This Row],[surgery_date]]</f>
        <v>0</v>
      </c>
      <c r="J1506" s="9" t="str">
        <f t="shared" si="42"/>
        <v/>
      </c>
    </row>
    <row r="1507" spans="1:10" ht="23.25" customHeight="1">
      <c r="A1507">
        <f>Table4[[#This Row],[Column1]]</f>
        <v>0</v>
      </c>
      <c r="B1507">
        <f>Table4[[#This Row],[Column2]]</f>
        <v>0</v>
      </c>
      <c r="I1507" s="13">
        <f>Table6[[#This Row],[discharge_date]]-Table6[[#This Row],[surgery_date]]</f>
        <v>0</v>
      </c>
      <c r="J1507" s="9" t="str">
        <f t="shared" si="42"/>
        <v/>
      </c>
    </row>
    <row r="1508" spans="1:10" ht="23.25" customHeight="1">
      <c r="A1508">
        <f>Table4[[#This Row],[Column1]]</f>
        <v>0</v>
      </c>
      <c r="B1508">
        <f>Table4[[#This Row],[Column2]]</f>
        <v>0</v>
      </c>
      <c r="I1508" s="13">
        <f>Table6[[#This Row],[discharge_date]]-Table6[[#This Row],[surgery_date]]</f>
        <v>0</v>
      </c>
      <c r="J1508" s="9" t="str">
        <f t="shared" si="42"/>
        <v/>
      </c>
    </row>
    <row r="1509" spans="1:10" ht="23.25" customHeight="1">
      <c r="A1509">
        <f>Table4[[#This Row],[Column1]]</f>
        <v>0</v>
      </c>
      <c r="B1509">
        <f>Table4[[#This Row],[Column2]]</f>
        <v>0</v>
      </c>
      <c r="I1509" s="13">
        <f>Table6[[#This Row],[discharge_date]]-Table6[[#This Row],[surgery_date]]</f>
        <v>0</v>
      </c>
      <c r="J1509" s="9" t="str">
        <f t="shared" si="42"/>
        <v/>
      </c>
    </row>
    <row r="1510" spans="1:10" ht="23.25" customHeight="1">
      <c r="A1510">
        <f>Table4[[#This Row],[Column1]]</f>
        <v>0</v>
      </c>
      <c r="B1510">
        <f>Table4[[#This Row],[Column2]]</f>
        <v>0</v>
      </c>
      <c r="I1510" s="13">
        <f>Table6[[#This Row],[discharge_date]]-Table6[[#This Row],[surgery_date]]</f>
        <v>0</v>
      </c>
      <c r="J1510" s="9" t="str">
        <f t="shared" si="42"/>
        <v/>
      </c>
    </row>
    <row r="1511" spans="1:10" ht="23.25" customHeight="1">
      <c r="A1511">
        <f>Table4[[#This Row],[Column1]]</f>
        <v>0</v>
      </c>
      <c r="B1511">
        <f>Table4[[#This Row],[Column2]]</f>
        <v>0</v>
      </c>
      <c r="I1511" s="13">
        <f>Table6[[#This Row],[discharge_date]]-Table6[[#This Row],[surgery_date]]</f>
        <v>0</v>
      </c>
      <c r="J1511" s="9" t="str">
        <f t="shared" si="42"/>
        <v/>
      </c>
    </row>
    <row r="1512" spans="1:10" ht="23.25" customHeight="1">
      <c r="A1512">
        <f>Table4[[#This Row],[Column1]]</f>
        <v>0</v>
      </c>
      <c r="B1512">
        <f>Table4[[#This Row],[Column2]]</f>
        <v>0</v>
      </c>
      <c r="I1512" s="13">
        <f>Table6[[#This Row],[discharge_date]]-Table6[[#This Row],[surgery_date]]</f>
        <v>0</v>
      </c>
      <c r="J1512" s="9" t="str">
        <f t="shared" si="42"/>
        <v/>
      </c>
    </row>
    <row r="1513" spans="1:10" ht="23.25" customHeight="1">
      <c r="A1513">
        <f>Table4[[#This Row],[Column1]]</f>
        <v>0</v>
      </c>
      <c r="B1513">
        <f>Table4[[#This Row],[Column2]]</f>
        <v>0</v>
      </c>
      <c r="I1513" s="13">
        <f>Table6[[#This Row],[discharge_date]]-Table6[[#This Row],[surgery_date]]</f>
        <v>0</v>
      </c>
      <c r="J1513" s="9" t="str">
        <f t="shared" si="42"/>
        <v/>
      </c>
    </row>
    <row r="1514" spans="1:10" ht="23.25" customHeight="1">
      <c r="A1514">
        <f>Table4[[#This Row],[Column1]]</f>
        <v>0</v>
      </c>
      <c r="B1514">
        <f>Table4[[#This Row],[Column2]]</f>
        <v>0</v>
      </c>
      <c r="I1514" s="13">
        <f>Table6[[#This Row],[discharge_date]]-Table6[[#This Row],[surgery_date]]</f>
        <v>0</v>
      </c>
      <c r="J1514" s="9" t="str">
        <f t="shared" si="42"/>
        <v/>
      </c>
    </row>
    <row r="1515" spans="1:10" ht="23.25" customHeight="1">
      <c r="A1515">
        <f>Table4[[#This Row],[Column1]]</f>
        <v>0</v>
      </c>
      <c r="B1515">
        <f>Table4[[#This Row],[Column2]]</f>
        <v>0</v>
      </c>
      <c r="I1515" s="13">
        <f>Table6[[#This Row],[discharge_date]]-Table6[[#This Row],[surgery_date]]</f>
        <v>0</v>
      </c>
      <c r="J1515" s="9" t="str">
        <f t="shared" si="42"/>
        <v/>
      </c>
    </row>
    <row r="1516" spans="1:10" ht="23.25" customHeight="1">
      <c r="A1516">
        <f>Table4[[#This Row],[Column1]]</f>
        <v>0</v>
      </c>
      <c r="B1516">
        <f>Table4[[#This Row],[Column2]]</f>
        <v>0</v>
      </c>
      <c r="I1516" s="13">
        <f>Table6[[#This Row],[discharge_date]]-Table6[[#This Row],[surgery_date]]</f>
        <v>0</v>
      </c>
      <c r="J1516" s="9" t="str">
        <f t="shared" si="42"/>
        <v/>
      </c>
    </row>
    <row r="1517" spans="1:10" ht="23.25" customHeight="1">
      <c r="A1517">
        <f>Table4[[#This Row],[Column1]]</f>
        <v>0</v>
      </c>
      <c r="B1517">
        <f>Table4[[#This Row],[Column2]]</f>
        <v>0</v>
      </c>
      <c r="I1517" s="13">
        <f>Table6[[#This Row],[discharge_date]]-Table6[[#This Row],[surgery_date]]</f>
        <v>0</v>
      </c>
      <c r="J1517" s="9" t="str">
        <f t="shared" si="42"/>
        <v/>
      </c>
    </row>
    <row r="1518" spans="1:10" ht="23.25" customHeight="1">
      <c r="A1518">
        <f>Table4[[#This Row],[Column1]]</f>
        <v>0</v>
      </c>
      <c r="B1518">
        <f>Table4[[#This Row],[Column2]]</f>
        <v>0</v>
      </c>
      <c r="I1518" s="13">
        <f>Table6[[#This Row],[discharge_date]]-Table6[[#This Row],[surgery_date]]</f>
        <v>0</v>
      </c>
      <c r="J1518" s="9" t="str">
        <f t="shared" si="42"/>
        <v/>
      </c>
    </row>
    <row r="1519" spans="1:10" ht="23.25" customHeight="1">
      <c r="A1519">
        <f>Table4[[#This Row],[Column1]]</f>
        <v>0</v>
      </c>
      <c r="B1519">
        <f>Table4[[#This Row],[Column2]]</f>
        <v>0</v>
      </c>
      <c r="I1519" s="13">
        <f>Table6[[#This Row],[discharge_date]]-Table6[[#This Row],[surgery_date]]</f>
        <v>0</v>
      </c>
      <c r="J1519" s="9" t="str">
        <f t="shared" si="42"/>
        <v/>
      </c>
    </row>
    <row r="1520" spans="1:10" ht="23.25" customHeight="1">
      <c r="A1520">
        <f>Table4[[#This Row],[Column1]]</f>
        <v>0</v>
      </c>
      <c r="B1520">
        <f>Table4[[#This Row],[Column2]]</f>
        <v>0</v>
      </c>
      <c r="I1520" s="13">
        <f>Table6[[#This Row],[discharge_date]]-Table6[[#This Row],[surgery_date]]</f>
        <v>0</v>
      </c>
      <c r="J1520" s="9" t="str">
        <f t="shared" si="42"/>
        <v/>
      </c>
    </row>
    <row r="1521" spans="1:10" ht="23.25" customHeight="1">
      <c r="A1521">
        <f>Table4[[#This Row],[Column1]]</f>
        <v>0</v>
      </c>
      <c r="B1521">
        <f>Table4[[#This Row],[Column2]]</f>
        <v>0</v>
      </c>
      <c r="I1521" s="13">
        <f>Table6[[#This Row],[discharge_date]]-Table6[[#This Row],[surgery_date]]</f>
        <v>0</v>
      </c>
      <c r="J1521" s="9" t="str">
        <f t="shared" si="42"/>
        <v/>
      </c>
    </row>
    <row r="1522" spans="1:10" ht="23.25" customHeight="1">
      <c r="A1522">
        <f>Table4[[#This Row],[Column1]]</f>
        <v>0</v>
      </c>
      <c r="B1522">
        <f>Table4[[#This Row],[Column2]]</f>
        <v>0</v>
      </c>
      <c r="I1522" s="13">
        <f>Table6[[#This Row],[discharge_date]]-Table6[[#This Row],[surgery_date]]</f>
        <v>0</v>
      </c>
      <c r="J1522" s="9" t="str">
        <f t="shared" si="42"/>
        <v/>
      </c>
    </row>
    <row r="1523" spans="1:10" ht="23.25" customHeight="1">
      <c r="A1523">
        <f>Table4[[#This Row],[Column1]]</f>
        <v>0</v>
      </c>
      <c r="B1523">
        <f>Table4[[#This Row],[Column2]]</f>
        <v>0</v>
      </c>
      <c r="I1523" s="13">
        <f>Table6[[#This Row],[discharge_date]]-Table6[[#This Row],[surgery_date]]</f>
        <v>0</v>
      </c>
      <c r="J1523" s="9" t="str">
        <f t="shared" si="42"/>
        <v/>
      </c>
    </row>
    <row r="1524" spans="1:10" ht="23.25" customHeight="1">
      <c r="A1524">
        <f>Table4[[#This Row],[Column1]]</f>
        <v>0</v>
      </c>
      <c r="B1524">
        <f>Table4[[#This Row],[Column2]]</f>
        <v>0</v>
      </c>
      <c r="I1524" s="13">
        <f>Table6[[#This Row],[discharge_date]]-Table6[[#This Row],[surgery_date]]</f>
        <v>0</v>
      </c>
      <c r="J1524" s="9" t="str">
        <f t="shared" si="42"/>
        <v/>
      </c>
    </row>
    <row r="1525" spans="1:10" ht="23.25" customHeight="1">
      <c r="A1525">
        <f>Table4[[#This Row],[Column1]]</f>
        <v>0</v>
      </c>
      <c r="B1525">
        <f>Table4[[#This Row],[Column2]]</f>
        <v>0</v>
      </c>
      <c r="I1525" s="13">
        <f>Table6[[#This Row],[discharge_date]]-Table6[[#This Row],[surgery_date]]</f>
        <v>0</v>
      </c>
      <c r="J1525" s="9" t="str">
        <f t="shared" si="42"/>
        <v/>
      </c>
    </row>
    <row r="1526" spans="1:10" ht="23.25" customHeight="1">
      <c r="A1526">
        <f>Table4[[#This Row],[Column1]]</f>
        <v>0</v>
      </c>
      <c r="B1526">
        <f>Table4[[#This Row],[Column2]]</f>
        <v>0</v>
      </c>
      <c r="I1526" s="13">
        <f>Table6[[#This Row],[discharge_date]]-Table6[[#This Row],[surgery_date]]</f>
        <v>0</v>
      </c>
      <c r="J1526" s="9" t="str">
        <f t="shared" si="42"/>
        <v/>
      </c>
    </row>
    <row r="1527" spans="1:10" ht="23.25" customHeight="1">
      <c r="A1527">
        <f>Table4[[#This Row],[Column1]]</f>
        <v>0</v>
      </c>
      <c r="B1527">
        <f>Table4[[#This Row],[Column2]]</f>
        <v>0</v>
      </c>
      <c r="I1527" s="13">
        <f>Table6[[#This Row],[discharge_date]]-Table6[[#This Row],[surgery_date]]</f>
        <v>0</v>
      </c>
      <c r="J1527" s="9" t="str">
        <f t="shared" si="42"/>
        <v/>
      </c>
    </row>
    <row r="1528" spans="1:10" ht="23.25" customHeight="1">
      <c r="A1528">
        <f>Table4[[#This Row],[Column1]]</f>
        <v>0</v>
      </c>
      <c r="B1528">
        <f>Table4[[#This Row],[Column2]]</f>
        <v>0</v>
      </c>
      <c r="I1528" s="13">
        <f>Table6[[#This Row],[discharge_date]]-Table6[[#This Row],[surgery_date]]</f>
        <v>0</v>
      </c>
      <c r="J1528" s="9" t="str">
        <f t="shared" si="42"/>
        <v/>
      </c>
    </row>
    <row r="1529" spans="1:10" ht="23.25" customHeight="1">
      <c r="A1529">
        <f>Table4[[#This Row],[Column1]]</f>
        <v>0</v>
      </c>
      <c r="B1529">
        <f>Table4[[#This Row],[Column2]]</f>
        <v>0</v>
      </c>
      <c r="I1529" s="13">
        <f>Table6[[#This Row],[discharge_date]]-Table6[[#This Row],[surgery_date]]</f>
        <v>0</v>
      </c>
      <c r="J1529" s="9" t="str">
        <f t="shared" si="42"/>
        <v/>
      </c>
    </row>
    <row r="1530" spans="1:10" ht="23.25" customHeight="1">
      <c r="A1530">
        <f>Table4[[#This Row],[Column1]]</f>
        <v>0</v>
      </c>
      <c r="B1530">
        <f>Table4[[#This Row],[Column2]]</f>
        <v>0</v>
      </c>
      <c r="I1530" s="13">
        <f>Table6[[#This Row],[discharge_date]]-Table6[[#This Row],[surgery_date]]</f>
        <v>0</v>
      </c>
      <c r="J1530" s="9" t="str">
        <f t="shared" si="42"/>
        <v/>
      </c>
    </row>
    <row r="1531" spans="1:10" ht="23.25" customHeight="1">
      <c r="A1531">
        <f>Table4[[#This Row],[Column1]]</f>
        <v>0</v>
      </c>
      <c r="B1531">
        <f>Table4[[#This Row],[Column2]]</f>
        <v>0</v>
      </c>
      <c r="I1531" s="13">
        <f>Table6[[#This Row],[discharge_date]]-Table6[[#This Row],[surgery_date]]</f>
        <v>0</v>
      </c>
      <c r="J1531" s="9" t="str">
        <f t="shared" si="42"/>
        <v/>
      </c>
    </row>
    <row r="1532" spans="1:10" ht="23.25" customHeight="1">
      <c r="A1532">
        <f>Table4[[#This Row],[Column1]]</f>
        <v>0</v>
      </c>
      <c r="B1532">
        <f>Table4[[#This Row],[Column2]]</f>
        <v>0</v>
      </c>
      <c r="I1532" s="13">
        <f>Table6[[#This Row],[discharge_date]]-Table6[[#This Row],[surgery_date]]</f>
        <v>0</v>
      </c>
      <c r="J1532" s="9" t="str">
        <f t="shared" si="42"/>
        <v/>
      </c>
    </row>
    <row r="1533" spans="1:10" ht="23.25" customHeight="1">
      <c r="A1533">
        <f>Table4[[#This Row],[Column1]]</f>
        <v>0</v>
      </c>
      <c r="B1533">
        <f>Table4[[#This Row],[Column2]]</f>
        <v>0</v>
      </c>
      <c r="I1533" s="13">
        <f>Table6[[#This Row],[discharge_date]]-Table6[[#This Row],[surgery_date]]</f>
        <v>0</v>
      </c>
      <c r="J1533" s="9" t="str">
        <f t="shared" si="42"/>
        <v/>
      </c>
    </row>
    <row r="1534" spans="1:10" ht="23.25" customHeight="1">
      <c r="A1534">
        <f>Table4[[#This Row],[Column1]]</f>
        <v>0</v>
      </c>
      <c r="B1534">
        <f>Table4[[#This Row],[Column2]]</f>
        <v>0</v>
      </c>
      <c r="I1534" s="13">
        <f>Table6[[#This Row],[discharge_date]]-Table6[[#This Row],[surgery_date]]</f>
        <v>0</v>
      </c>
      <c r="J1534" s="9" t="str">
        <f t="shared" si="42"/>
        <v/>
      </c>
    </row>
    <row r="1535" spans="1:10" ht="23.25" customHeight="1">
      <c r="A1535">
        <f>Table4[[#This Row],[Column1]]</f>
        <v>0</v>
      </c>
      <c r="B1535">
        <f>Table4[[#This Row],[Column2]]</f>
        <v>0</v>
      </c>
      <c r="I1535" s="13">
        <f>Table6[[#This Row],[discharge_date]]-Table6[[#This Row],[surgery_date]]</f>
        <v>0</v>
      </c>
      <c r="J1535" s="9" t="str">
        <f t="shared" si="42"/>
        <v/>
      </c>
    </row>
    <row r="1536" spans="1:10" ht="23.25" customHeight="1">
      <c r="A1536">
        <f>Table4[[#This Row],[Column1]]</f>
        <v>0</v>
      </c>
      <c r="B1536">
        <f>Table4[[#This Row],[Column2]]</f>
        <v>0</v>
      </c>
      <c r="I1536" s="13">
        <f>Table6[[#This Row],[discharge_date]]-Table6[[#This Row],[surgery_date]]</f>
        <v>0</v>
      </c>
      <c r="J1536" s="9" t="str">
        <f t="shared" si="42"/>
        <v/>
      </c>
    </row>
    <row r="1537" spans="1:10" ht="23.25" customHeight="1">
      <c r="A1537">
        <f>Table4[[#This Row],[Column1]]</f>
        <v>0</v>
      </c>
      <c r="B1537">
        <f>Table4[[#This Row],[Column2]]</f>
        <v>0</v>
      </c>
      <c r="I1537" s="13">
        <f>Table6[[#This Row],[discharge_date]]-Table6[[#This Row],[surgery_date]]</f>
        <v>0</v>
      </c>
      <c r="J1537" s="9" t="str">
        <f t="shared" si="42"/>
        <v/>
      </c>
    </row>
    <row r="1538" spans="1:10" ht="23.25" customHeight="1">
      <c r="A1538">
        <f>Table4[[#This Row],[Column1]]</f>
        <v>0</v>
      </c>
      <c r="B1538">
        <f>Table4[[#This Row],[Column2]]</f>
        <v>0</v>
      </c>
      <c r="I1538" s="13">
        <f>Table6[[#This Row],[discharge_date]]-Table6[[#This Row],[surgery_date]]</f>
        <v>0</v>
      </c>
      <c r="J1538" s="9" t="str">
        <f t="shared" ref="J1538:J1601" si="43">IF( H1538&lt;&gt;"", H1538+30,"")</f>
        <v/>
      </c>
    </row>
    <row r="1539" spans="1:10" ht="23.25" customHeight="1">
      <c r="A1539">
        <f>Table4[[#This Row],[Column1]]</f>
        <v>0</v>
      </c>
      <c r="B1539">
        <f>Table4[[#This Row],[Column2]]</f>
        <v>0</v>
      </c>
      <c r="I1539" s="13">
        <f>Table6[[#This Row],[discharge_date]]-Table6[[#This Row],[surgery_date]]</f>
        <v>0</v>
      </c>
      <c r="J1539" s="9" t="str">
        <f t="shared" si="43"/>
        <v/>
      </c>
    </row>
    <row r="1540" spans="1:10" ht="23.25" customHeight="1">
      <c r="A1540">
        <f>Table4[[#This Row],[Column1]]</f>
        <v>0</v>
      </c>
      <c r="B1540">
        <f>Table4[[#This Row],[Column2]]</f>
        <v>0</v>
      </c>
      <c r="I1540" s="13">
        <f>Table6[[#This Row],[discharge_date]]-Table6[[#This Row],[surgery_date]]</f>
        <v>0</v>
      </c>
      <c r="J1540" s="9" t="str">
        <f t="shared" si="43"/>
        <v/>
      </c>
    </row>
    <row r="1541" spans="1:10" ht="23.25" customHeight="1">
      <c r="A1541">
        <f>Table4[[#This Row],[Column1]]</f>
        <v>0</v>
      </c>
      <c r="B1541">
        <f>Table4[[#This Row],[Column2]]</f>
        <v>0</v>
      </c>
      <c r="I1541" s="13">
        <f>Table6[[#This Row],[discharge_date]]-Table6[[#This Row],[surgery_date]]</f>
        <v>0</v>
      </c>
      <c r="J1541" s="9" t="str">
        <f t="shared" si="43"/>
        <v/>
      </c>
    </row>
    <row r="1542" spans="1:10" ht="23.25" customHeight="1">
      <c r="A1542">
        <f>Table4[[#This Row],[Column1]]</f>
        <v>0</v>
      </c>
      <c r="B1542">
        <f>Table4[[#This Row],[Column2]]</f>
        <v>0</v>
      </c>
      <c r="I1542" s="13">
        <f>Table6[[#This Row],[discharge_date]]-Table6[[#This Row],[surgery_date]]</f>
        <v>0</v>
      </c>
      <c r="J1542" s="9" t="str">
        <f t="shared" si="43"/>
        <v/>
      </c>
    </row>
    <row r="1543" spans="1:10" ht="23.25" customHeight="1">
      <c r="A1543">
        <f>Table4[[#This Row],[Column1]]</f>
        <v>0</v>
      </c>
      <c r="B1543">
        <f>Table4[[#This Row],[Column2]]</f>
        <v>0</v>
      </c>
      <c r="I1543" s="13">
        <f>Table6[[#This Row],[discharge_date]]-Table6[[#This Row],[surgery_date]]</f>
        <v>0</v>
      </c>
      <c r="J1543" s="9" t="str">
        <f t="shared" si="43"/>
        <v/>
      </c>
    </row>
    <row r="1544" spans="1:10" ht="23.25" customHeight="1">
      <c r="A1544">
        <f>Table4[[#This Row],[Column1]]</f>
        <v>0</v>
      </c>
      <c r="B1544">
        <f>Table4[[#This Row],[Column2]]</f>
        <v>0</v>
      </c>
      <c r="I1544" s="13">
        <f>Table6[[#This Row],[discharge_date]]-Table6[[#This Row],[surgery_date]]</f>
        <v>0</v>
      </c>
      <c r="J1544" s="9" t="str">
        <f t="shared" si="43"/>
        <v/>
      </c>
    </row>
    <row r="1545" spans="1:10" ht="23.25" customHeight="1">
      <c r="A1545">
        <f>Table4[[#This Row],[Column1]]</f>
        <v>0</v>
      </c>
      <c r="B1545">
        <f>Table4[[#This Row],[Column2]]</f>
        <v>0</v>
      </c>
      <c r="I1545" s="13">
        <f>Table6[[#This Row],[discharge_date]]-Table6[[#This Row],[surgery_date]]</f>
        <v>0</v>
      </c>
      <c r="J1545" s="9" t="str">
        <f t="shared" si="43"/>
        <v/>
      </c>
    </row>
    <row r="1546" spans="1:10" ht="23.25" customHeight="1">
      <c r="A1546">
        <f>Table4[[#This Row],[Column1]]</f>
        <v>0</v>
      </c>
      <c r="B1546">
        <f>Table4[[#This Row],[Column2]]</f>
        <v>0</v>
      </c>
      <c r="I1546" s="13">
        <f>Table6[[#This Row],[discharge_date]]-Table6[[#This Row],[surgery_date]]</f>
        <v>0</v>
      </c>
      <c r="J1546" s="9" t="str">
        <f t="shared" si="43"/>
        <v/>
      </c>
    </row>
    <row r="1547" spans="1:10" ht="23.25" customHeight="1">
      <c r="A1547">
        <f>Table4[[#This Row],[Column1]]</f>
        <v>0</v>
      </c>
      <c r="B1547">
        <f>Table4[[#This Row],[Column2]]</f>
        <v>0</v>
      </c>
      <c r="I1547" s="13">
        <f>Table6[[#This Row],[discharge_date]]-Table6[[#This Row],[surgery_date]]</f>
        <v>0</v>
      </c>
      <c r="J1547" s="9" t="str">
        <f t="shared" si="43"/>
        <v/>
      </c>
    </row>
    <row r="1548" spans="1:10" ht="23.25" customHeight="1">
      <c r="A1548">
        <f>Table4[[#This Row],[Column1]]</f>
        <v>0</v>
      </c>
      <c r="B1548">
        <f>Table4[[#This Row],[Column2]]</f>
        <v>0</v>
      </c>
      <c r="I1548" s="13">
        <f>Table6[[#This Row],[discharge_date]]-Table6[[#This Row],[surgery_date]]</f>
        <v>0</v>
      </c>
      <c r="J1548" s="9" t="str">
        <f t="shared" si="43"/>
        <v/>
      </c>
    </row>
    <row r="1549" spans="1:10" ht="23.25" customHeight="1">
      <c r="A1549">
        <f>Table4[[#This Row],[Column1]]</f>
        <v>0</v>
      </c>
      <c r="B1549">
        <f>Table4[[#This Row],[Column2]]</f>
        <v>0</v>
      </c>
      <c r="I1549" s="13">
        <f>Table6[[#This Row],[discharge_date]]-Table6[[#This Row],[surgery_date]]</f>
        <v>0</v>
      </c>
      <c r="J1549" s="9" t="str">
        <f t="shared" si="43"/>
        <v/>
      </c>
    </row>
    <row r="1550" spans="1:10" ht="23.25" customHeight="1">
      <c r="A1550">
        <f>Table4[[#This Row],[Column1]]</f>
        <v>0</v>
      </c>
      <c r="B1550">
        <f>Table4[[#This Row],[Column2]]</f>
        <v>0</v>
      </c>
      <c r="I1550" s="13">
        <f>Table6[[#This Row],[discharge_date]]-Table6[[#This Row],[surgery_date]]</f>
        <v>0</v>
      </c>
      <c r="J1550" s="9" t="str">
        <f t="shared" si="43"/>
        <v/>
      </c>
    </row>
    <row r="1551" spans="1:10" ht="23.25" customHeight="1">
      <c r="A1551">
        <f>Table4[[#This Row],[Column1]]</f>
        <v>0</v>
      </c>
      <c r="B1551">
        <f>Table4[[#This Row],[Column2]]</f>
        <v>0</v>
      </c>
      <c r="I1551" s="13">
        <f>Table6[[#This Row],[discharge_date]]-Table6[[#This Row],[surgery_date]]</f>
        <v>0</v>
      </c>
      <c r="J1551" s="9" t="str">
        <f t="shared" si="43"/>
        <v/>
      </c>
    </row>
    <row r="1552" spans="1:10" ht="23.25" customHeight="1">
      <c r="A1552">
        <f>Table4[[#This Row],[Column1]]</f>
        <v>0</v>
      </c>
      <c r="B1552">
        <f>Table4[[#This Row],[Column2]]</f>
        <v>0</v>
      </c>
      <c r="I1552" s="13">
        <f>Table6[[#This Row],[discharge_date]]-Table6[[#This Row],[surgery_date]]</f>
        <v>0</v>
      </c>
      <c r="J1552" s="9" t="str">
        <f t="shared" si="43"/>
        <v/>
      </c>
    </row>
    <row r="1553" spans="1:10" ht="23.25" customHeight="1">
      <c r="A1553">
        <f>Table4[[#This Row],[Column1]]</f>
        <v>0</v>
      </c>
      <c r="B1553">
        <f>Table4[[#This Row],[Column2]]</f>
        <v>0</v>
      </c>
      <c r="I1553" s="13">
        <f>Table6[[#This Row],[discharge_date]]-Table6[[#This Row],[surgery_date]]</f>
        <v>0</v>
      </c>
      <c r="J1553" s="9" t="str">
        <f t="shared" si="43"/>
        <v/>
      </c>
    </row>
    <row r="1554" spans="1:10" ht="23.25" customHeight="1">
      <c r="A1554">
        <f>Table4[[#This Row],[Column1]]</f>
        <v>0</v>
      </c>
      <c r="B1554">
        <f>Table4[[#This Row],[Column2]]</f>
        <v>0</v>
      </c>
      <c r="I1554" s="13">
        <f>Table6[[#This Row],[discharge_date]]-Table6[[#This Row],[surgery_date]]</f>
        <v>0</v>
      </c>
      <c r="J1554" s="9" t="str">
        <f t="shared" si="43"/>
        <v/>
      </c>
    </row>
    <row r="1555" spans="1:10" ht="23.25" customHeight="1">
      <c r="A1555">
        <f>Table4[[#This Row],[Column1]]</f>
        <v>0</v>
      </c>
      <c r="B1555">
        <f>Table4[[#This Row],[Column2]]</f>
        <v>0</v>
      </c>
      <c r="I1555" s="13">
        <f>Table6[[#This Row],[discharge_date]]-Table6[[#This Row],[surgery_date]]</f>
        <v>0</v>
      </c>
      <c r="J1555" s="9" t="str">
        <f t="shared" si="43"/>
        <v/>
      </c>
    </row>
    <row r="1556" spans="1:10" ht="23.25" customHeight="1">
      <c r="A1556">
        <f>Table4[[#This Row],[Column1]]</f>
        <v>0</v>
      </c>
      <c r="B1556">
        <f>Table4[[#This Row],[Column2]]</f>
        <v>0</v>
      </c>
      <c r="I1556" s="13">
        <f>Table6[[#This Row],[discharge_date]]-Table6[[#This Row],[surgery_date]]</f>
        <v>0</v>
      </c>
      <c r="J1556" s="9" t="str">
        <f t="shared" si="43"/>
        <v/>
      </c>
    </row>
    <row r="1557" spans="1:10" ht="23.25" customHeight="1">
      <c r="A1557">
        <f>Table4[[#This Row],[Column1]]</f>
        <v>0</v>
      </c>
      <c r="B1557">
        <f>Table4[[#This Row],[Column2]]</f>
        <v>0</v>
      </c>
      <c r="I1557" s="13">
        <f>Table6[[#This Row],[discharge_date]]-Table6[[#This Row],[surgery_date]]</f>
        <v>0</v>
      </c>
      <c r="J1557" s="9" t="str">
        <f t="shared" si="43"/>
        <v/>
      </c>
    </row>
    <row r="1558" spans="1:10" ht="23.25" customHeight="1">
      <c r="A1558">
        <f>Table4[[#This Row],[Column1]]</f>
        <v>0</v>
      </c>
      <c r="B1558">
        <f>Table4[[#This Row],[Column2]]</f>
        <v>0</v>
      </c>
      <c r="I1558" s="13">
        <f>Table6[[#This Row],[discharge_date]]-Table6[[#This Row],[surgery_date]]</f>
        <v>0</v>
      </c>
      <c r="J1558" s="9" t="str">
        <f t="shared" si="43"/>
        <v/>
      </c>
    </row>
    <row r="1559" spans="1:10" ht="23.25" customHeight="1">
      <c r="A1559">
        <f>Table4[[#This Row],[Column1]]</f>
        <v>0</v>
      </c>
      <c r="B1559">
        <f>Table4[[#This Row],[Column2]]</f>
        <v>0</v>
      </c>
      <c r="I1559" s="13">
        <f>Table6[[#This Row],[discharge_date]]-Table6[[#This Row],[surgery_date]]</f>
        <v>0</v>
      </c>
      <c r="J1559" s="9" t="str">
        <f t="shared" si="43"/>
        <v/>
      </c>
    </row>
    <row r="1560" spans="1:10" ht="23.25" customHeight="1">
      <c r="A1560">
        <f>Table4[[#This Row],[Column1]]</f>
        <v>0</v>
      </c>
      <c r="B1560">
        <f>Table4[[#This Row],[Column2]]</f>
        <v>0</v>
      </c>
      <c r="I1560" s="13">
        <f>Table6[[#This Row],[discharge_date]]-Table6[[#This Row],[surgery_date]]</f>
        <v>0</v>
      </c>
      <c r="J1560" s="9" t="str">
        <f t="shared" si="43"/>
        <v/>
      </c>
    </row>
    <row r="1561" spans="1:10" ht="23.25" customHeight="1">
      <c r="A1561">
        <f>Table4[[#This Row],[Column1]]</f>
        <v>0</v>
      </c>
      <c r="B1561">
        <f>Table4[[#This Row],[Column2]]</f>
        <v>0</v>
      </c>
      <c r="I1561" s="13">
        <f>Table6[[#This Row],[discharge_date]]-Table6[[#This Row],[surgery_date]]</f>
        <v>0</v>
      </c>
      <c r="J1561" s="9" t="str">
        <f t="shared" si="43"/>
        <v/>
      </c>
    </row>
    <row r="1562" spans="1:10" ht="23.25" customHeight="1">
      <c r="A1562">
        <f>Table4[[#This Row],[Column1]]</f>
        <v>0</v>
      </c>
      <c r="B1562">
        <f>Table4[[#This Row],[Column2]]</f>
        <v>0</v>
      </c>
      <c r="I1562" s="13">
        <f>Table6[[#This Row],[discharge_date]]-Table6[[#This Row],[surgery_date]]</f>
        <v>0</v>
      </c>
      <c r="J1562" s="9" t="str">
        <f t="shared" si="43"/>
        <v/>
      </c>
    </row>
    <row r="1563" spans="1:10" ht="23.25" customHeight="1">
      <c r="A1563">
        <f>Table4[[#This Row],[Column1]]</f>
        <v>0</v>
      </c>
      <c r="B1563">
        <f>Table4[[#This Row],[Column2]]</f>
        <v>0</v>
      </c>
      <c r="I1563" s="13">
        <f>Table6[[#This Row],[discharge_date]]-Table6[[#This Row],[surgery_date]]</f>
        <v>0</v>
      </c>
      <c r="J1563" s="9" t="str">
        <f t="shared" si="43"/>
        <v/>
      </c>
    </row>
    <row r="1564" spans="1:10" ht="23.25" customHeight="1">
      <c r="A1564">
        <f>Table4[[#This Row],[Column1]]</f>
        <v>0</v>
      </c>
      <c r="B1564">
        <f>Table4[[#This Row],[Column2]]</f>
        <v>0</v>
      </c>
      <c r="I1564" s="13">
        <f>Table6[[#This Row],[discharge_date]]-Table6[[#This Row],[surgery_date]]</f>
        <v>0</v>
      </c>
      <c r="J1564" s="9" t="str">
        <f t="shared" si="43"/>
        <v/>
      </c>
    </row>
    <row r="1565" spans="1:10" ht="23.25" customHeight="1">
      <c r="A1565">
        <f>Table4[[#This Row],[Column1]]</f>
        <v>0</v>
      </c>
      <c r="B1565">
        <f>Table4[[#This Row],[Column2]]</f>
        <v>0</v>
      </c>
      <c r="I1565" s="13">
        <f>Table6[[#This Row],[discharge_date]]-Table6[[#This Row],[surgery_date]]</f>
        <v>0</v>
      </c>
      <c r="J1565" s="9" t="str">
        <f t="shared" si="43"/>
        <v/>
      </c>
    </row>
    <row r="1566" spans="1:10" ht="23.25" customHeight="1">
      <c r="A1566">
        <f>Table4[[#This Row],[Column1]]</f>
        <v>0</v>
      </c>
      <c r="B1566">
        <f>Table4[[#This Row],[Column2]]</f>
        <v>0</v>
      </c>
      <c r="I1566" s="13">
        <f>Table6[[#This Row],[discharge_date]]-Table6[[#This Row],[surgery_date]]</f>
        <v>0</v>
      </c>
      <c r="J1566" s="9" t="str">
        <f t="shared" si="43"/>
        <v/>
      </c>
    </row>
    <row r="1567" spans="1:10" ht="23.25" customHeight="1">
      <c r="A1567">
        <f>Table4[[#This Row],[Column1]]</f>
        <v>0</v>
      </c>
      <c r="B1567">
        <f>Table4[[#This Row],[Column2]]</f>
        <v>0</v>
      </c>
      <c r="I1567" s="13">
        <f>Table6[[#This Row],[discharge_date]]-Table6[[#This Row],[surgery_date]]</f>
        <v>0</v>
      </c>
      <c r="J1567" s="9" t="str">
        <f t="shared" si="43"/>
        <v/>
      </c>
    </row>
    <row r="1568" spans="1:10" ht="23.25" customHeight="1">
      <c r="A1568">
        <f>Table4[[#This Row],[Column1]]</f>
        <v>0</v>
      </c>
      <c r="B1568">
        <f>Table4[[#This Row],[Column2]]</f>
        <v>0</v>
      </c>
      <c r="I1568" s="13">
        <f>Table6[[#This Row],[discharge_date]]-Table6[[#This Row],[surgery_date]]</f>
        <v>0</v>
      </c>
      <c r="J1568" s="9" t="str">
        <f t="shared" si="43"/>
        <v/>
      </c>
    </row>
    <row r="1569" spans="1:10" ht="23.25" customHeight="1">
      <c r="A1569">
        <f>Table4[[#This Row],[Column1]]</f>
        <v>0</v>
      </c>
      <c r="B1569">
        <f>Table4[[#This Row],[Column2]]</f>
        <v>0</v>
      </c>
      <c r="I1569" s="13">
        <f>Table6[[#This Row],[discharge_date]]-Table6[[#This Row],[surgery_date]]</f>
        <v>0</v>
      </c>
      <c r="J1569" s="9" t="str">
        <f t="shared" si="43"/>
        <v/>
      </c>
    </row>
    <row r="1570" spans="1:10" ht="23.25" customHeight="1">
      <c r="A1570">
        <f>Table4[[#This Row],[Column1]]</f>
        <v>0</v>
      </c>
      <c r="B1570">
        <f>Table4[[#This Row],[Column2]]</f>
        <v>0</v>
      </c>
      <c r="I1570" s="13">
        <f>Table6[[#This Row],[discharge_date]]-Table6[[#This Row],[surgery_date]]</f>
        <v>0</v>
      </c>
      <c r="J1570" s="9" t="str">
        <f t="shared" si="43"/>
        <v/>
      </c>
    </row>
    <row r="1571" spans="1:10" ht="23.25" customHeight="1">
      <c r="A1571">
        <f>Table4[[#This Row],[Column1]]</f>
        <v>0</v>
      </c>
      <c r="B1571">
        <f>Table4[[#This Row],[Column2]]</f>
        <v>0</v>
      </c>
      <c r="I1571" s="13">
        <f>Table6[[#This Row],[discharge_date]]-Table6[[#This Row],[surgery_date]]</f>
        <v>0</v>
      </c>
      <c r="J1571" s="9" t="str">
        <f t="shared" si="43"/>
        <v/>
      </c>
    </row>
    <row r="1572" spans="1:10" ht="23.25" customHeight="1">
      <c r="A1572">
        <f>Table4[[#This Row],[Column1]]</f>
        <v>0</v>
      </c>
      <c r="B1572">
        <f>Table4[[#This Row],[Column2]]</f>
        <v>0</v>
      </c>
      <c r="I1572" s="13">
        <f>Table6[[#This Row],[discharge_date]]-Table6[[#This Row],[surgery_date]]</f>
        <v>0</v>
      </c>
      <c r="J1572" s="9" t="str">
        <f t="shared" si="43"/>
        <v/>
      </c>
    </row>
    <row r="1573" spans="1:10" ht="23.25" customHeight="1">
      <c r="A1573">
        <f>Table4[[#This Row],[Column1]]</f>
        <v>0</v>
      </c>
      <c r="B1573">
        <f>Table4[[#This Row],[Column2]]</f>
        <v>0</v>
      </c>
      <c r="I1573" s="13">
        <f>Table6[[#This Row],[discharge_date]]-Table6[[#This Row],[surgery_date]]</f>
        <v>0</v>
      </c>
      <c r="J1573" s="9" t="str">
        <f t="shared" si="43"/>
        <v/>
      </c>
    </row>
    <row r="1574" spans="1:10" ht="23.25" customHeight="1">
      <c r="A1574">
        <f>Table4[[#This Row],[Column1]]</f>
        <v>0</v>
      </c>
      <c r="B1574">
        <f>Table4[[#This Row],[Column2]]</f>
        <v>0</v>
      </c>
      <c r="I1574" s="13">
        <f>Table6[[#This Row],[discharge_date]]-Table6[[#This Row],[surgery_date]]</f>
        <v>0</v>
      </c>
      <c r="J1574" s="9" t="str">
        <f t="shared" si="43"/>
        <v/>
      </c>
    </row>
    <row r="1575" spans="1:10" ht="23.25" customHeight="1">
      <c r="A1575">
        <f>Table4[[#This Row],[Column1]]</f>
        <v>0</v>
      </c>
      <c r="B1575">
        <f>Table4[[#This Row],[Column2]]</f>
        <v>0</v>
      </c>
      <c r="I1575" s="13">
        <f>Table6[[#This Row],[discharge_date]]-Table6[[#This Row],[surgery_date]]</f>
        <v>0</v>
      </c>
      <c r="J1575" s="9" t="str">
        <f t="shared" si="43"/>
        <v/>
      </c>
    </row>
    <row r="1576" spans="1:10" ht="23.25" customHeight="1">
      <c r="A1576">
        <f>Table4[[#This Row],[Column1]]</f>
        <v>0</v>
      </c>
      <c r="B1576">
        <f>Table4[[#This Row],[Column2]]</f>
        <v>0</v>
      </c>
      <c r="I1576" s="13">
        <f>Table6[[#This Row],[discharge_date]]-Table6[[#This Row],[surgery_date]]</f>
        <v>0</v>
      </c>
      <c r="J1576" s="9" t="str">
        <f t="shared" si="43"/>
        <v/>
      </c>
    </row>
    <row r="1577" spans="1:10" ht="23.25" customHeight="1">
      <c r="A1577">
        <f>Table4[[#This Row],[Column1]]</f>
        <v>0</v>
      </c>
      <c r="B1577">
        <f>Table4[[#This Row],[Column2]]</f>
        <v>0</v>
      </c>
      <c r="I1577" s="13">
        <f>Table6[[#This Row],[discharge_date]]-Table6[[#This Row],[surgery_date]]</f>
        <v>0</v>
      </c>
      <c r="J1577" s="9" t="str">
        <f t="shared" si="43"/>
        <v/>
      </c>
    </row>
    <row r="1578" spans="1:10" ht="23.25" customHeight="1">
      <c r="A1578">
        <f>Table4[[#This Row],[Column1]]</f>
        <v>0</v>
      </c>
      <c r="B1578">
        <f>Table4[[#This Row],[Column2]]</f>
        <v>0</v>
      </c>
      <c r="I1578" s="13">
        <f>Table6[[#This Row],[discharge_date]]-Table6[[#This Row],[surgery_date]]</f>
        <v>0</v>
      </c>
      <c r="J1578" s="9" t="str">
        <f t="shared" si="43"/>
        <v/>
      </c>
    </row>
    <row r="1579" spans="1:10" ht="23.25" customHeight="1">
      <c r="A1579">
        <f>Table4[[#This Row],[Column1]]</f>
        <v>0</v>
      </c>
      <c r="B1579">
        <f>Table4[[#This Row],[Column2]]</f>
        <v>0</v>
      </c>
      <c r="I1579" s="13">
        <f>Table6[[#This Row],[discharge_date]]-Table6[[#This Row],[surgery_date]]</f>
        <v>0</v>
      </c>
      <c r="J1579" s="9" t="str">
        <f t="shared" si="43"/>
        <v/>
      </c>
    </row>
    <row r="1580" spans="1:10" ht="23.25" customHeight="1">
      <c r="A1580">
        <f>Table4[[#This Row],[Column1]]</f>
        <v>0</v>
      </c>
      <c r="B1580">
        <f>Table4[[#This Row],[Column2]]</f>
        <v>0</v>
      </c>
      <c r="I1580" s="13">
        <f>Table6[[#This Row],[discharge_date]]-Table6[[#This Row],[surgery_date]]</f>
        <v>0</v>
      </c>
      <c r="J1580" s="9" t="str">
        <f t="shared" si="43"/>
        <v/>
      </c>
    </row>
    <row r="1581" spans="1:10" ht="23.25" customHeight="1">
      <c r="A1581">
        <f>Table4[[#This Row],[Column1]]</f>
        <v>0</v>
      </c>
      <c r="B1581">
        <f>Table4[[#This Row],[Column2]]</f>
        <v>0</v>
      </c>
      <c r="I1581" s="13">
        <f>Table6[[#This Row],[discharge_date]]-Table6[[#This Row],[surgery_date]]</f>
        <v>0</v>
      </c>
      <c r="J1581" s="9" t="str">
        <f t="shared" si="43"/>
        <v/>
      </c>
    </row>
    <row r="1582" spans="1:10" ht="23.25" customHeight="1">
      <c r="A1582">
        <f>Table4[[#This Row],[Column1]]</f>
        <v>0</v>
      </c>
      <c r="B1582">
        <f>Table4[[#This Row],[Column2]]</f>
        <v>0</v>
      </c>
      <c r="I1582" s="13">
        <f>Table6[[#This Row],[discharge_date]]-Table6[[#This Row],[surgery_date]]</f>
        <v>0</v>
      </c>
      <c r="J1582" s="9" t="str">
        <f t="shared" si="43"/>
        <v/>
      </c>
    </row>
    <row r="1583" spans="1:10" ht="23.25" customHeight="1">
      <c r="A1583">
        <f>Table4[[#This Row],[Column1]]</f>
        <v>0</v>
      </c>
      <c r="B1583">
        <f>Table4[[#This Row],[Column2]]</f>
        <v>0</v>
      </c>
      <c r="I1583" s="13">
        <f>Table6[[#This Row],[discharge_date]]-Table6[[#This Row],[surgery_date]]</f>
        <v>0</v>
      </c>
      <c r="J1583" s="9" t="str">
        <f t="shared" si="43"/>
        <v/>
      </c>
    </row>
    <row r="1584" spans="1:10" ht="23.25" customHeight="1">
      <c r="A1584">
        <f>Table4[[#This Row],[Column1]]</f>
        <v>0</v>
      </c>
      <c r="B1584">
        <f>Table4[[#This Row],[Column2]]</f>
        <v>0</v>
      </c>
      <c r="I1584" s="13">
        <f>Table6[[#This Row],[discharge_date]]-Table6[[#This Row],[surgery_date]]</f>
        <v>0</v>
      </c>
      <c r="J1584" s="9" t="str">
        <f t="shared" si="43"/>
        <v/>
      </c>
    </row>
    <row r="1585" spans="1:10" ht="23.25" customHeight="1">
      <c r="A1585">
        <f>Table4[[#This Row],[Column1]]</f>
        <v>0</v>
      </c>
      <c r="B1585">
        <f>Table4[[#This Row],[Column2]]</f>
        <v>0</v>
      </c>
      <c r="I1585" s="13">
        <f>Table6[[#This Row],[discharge_date]]-Table6[[#This Row],[surgery_date]]</f>
        <v>0</v>
      </c>
      <c r="J1585" s="9" t="str">
        <f t="shared" si="43"/>
        <v/>
      </c>
    </row>
    <row r="1586" spans="1:10" ht="23.25" customHeight="1">
      <c r="A1586">
        <f>Table4[[#This Row],[Column1]]</f>
        <v>0</v>
      </c>
      <c r="B1586">
        <f>Table4[[#This Row],[Column2]]</f>
        <v>0</v>
      </c>
      <c r="I1586" s="13">
        <f>Table6[[#This Row],[discharge_date]]-Table6[[#This Row],[surgery_date]]</f>
        <v>0</v>
      </c>
      <c r="J1586" s="9" t="str">
        <f t="shared" si="43"/>
        <v/>
      </c>
    </row>
    <row r="1587" spans="1:10" ht="23.25" customHeight="1">
      <c r="A1587">
        <f>Table4[[#This Row],[Column1]]</f>
        <v>0</v>
      </c>
      <c r="B1587">
        <f>Table4[[#This Row],[Column2]]</f>
        <v>0</v>
      </c>
      <c r="I1587" s="13">
        <f>Table6[[#This Row],[discharge_date]]-Table6[[#This Row],[surgery_date]]</f>
        <v>0</v>
      </c>
      <c r="J1587" s="9" t="str">
        <f t="shared" si="43"/>
        <v/>
      </c>
    </row>
    <row r="1588" spans="1:10" ht="23.25" customHeight="1">
      <c r="A1588">
        <f>Table4[[#This Row],[Column1]]</f>
        <v>0</v>
      </c>
      <c r="B1588">
        <f>Table4[[#This Row],[Column2]]</f>
        <v>0</v>
      </c>
      <c r="I1588" s="13">
        <f>Table6[[#This Row],[discharge_date]]-Table6[[#This Row],[surgery_date]]</f>
        <v>0</v>
      </c>
      <c r="J1588" s="9" t="str">
        <f t="shared" si="43"/>
        <v/>
      </c>
    </row>
    <row r="1589" spans="1:10" ht="23.25" customHeight="1">
      <c r="A1589">
        <f>Table4[[#This Row],[Column1]]</f>
        <v>0</v>
      </c>
      <c r="B1589">
        <f>Table4[[#This Row],[Column2]]</f>
        <v>0</v>
      </c>
      <c r="I1589" s="13">
        <f>Table6[[#This Row],[discharge_date]]-Table6[[#This Row],[surgery_date]]</f>
        <v>0</v>
      </c>
      <c r="J1589" s="9" t="str">
        <f t="shared" si="43"/>
        <v/>
      </c>
    </row>
    <row r="1590" spans="1:10" ht="23.25" customHeight="1">
      <c r="A1590">
        <f>Table4[[#This Row],[Column1]]</f>
        <v>0</v>
      </c>
      <c r="B1590">
        <f>Table4[[#This Row],[Column2]]</f>
        <v>0</v>
      </c>
      <c r="I1590" s="13">
        <f>Table6[[#This Row],[discharge_date]]-Table6[[#This Row],[surgery_date]]</f>
        <v>0</v>
      </c>
      <c r="J1590" s="9" t="str">
        <f t="shared" si="43"/>
        <v/>
      </c>
    </row>
    <row r="1591" spans="1:10" ht="23.25" customHeight="1">
      <c r="A1591">
        <f>Table4[[#This Row],[Column1]]</f>
        <v>0</v>
      </c>
      <c r="B1591">
        <f>Table4[[#This Row],[Column2]]</f>
        <v>0</v>
      </c>
      <c r="I1591" s="13">
        <f>Table6[[#This Row],[discharge_date]]-Table6[[#This Row],[surgery_date]]</f>
        <v>0</v>
      </c>
      <c r="J1591" s="9" t="str">
        <f t="shared" si="43"/>
        <v/>
      </c>
    </row>
    <row r="1592" spans="1:10" ht="23.25" customHeight="1">
      <c r="A1592">
        <f>Table4[[#This Row],[Column1]]</f>
        <v>0</v>
      </c>
      <c r="B1592">
        <f>Table4[[#This Row],[Column2]]</f>
        <v>0</v>
      </c>
      <c r="I1592" s="13">
        <f>Table6[[#This Row],[discharge_date]]-Table6[[#This Row],[surgery_date]]</f>
        <v>0</v>
      </c>
      <c r="J1592" s="9" t="str">
        <f t="shared" si="43"/>
        <v/>
      </c>
    </row>
    <row r="1593" spans="1:10" ht="23.25" customHeight="1">
      <c r="A1593">
        <f>Table4[[#This Row],[Column1]]</f>
        <v>0</v>
      </c>
      <c r="B1593">
        <f>Table4[[#This Row],[Column2]]</f>
        <v>0</v>
      </c>
      <c r="I1593" s="13">
        <f>Table6[[#This Row],[discharge_date]]-Table6[[#This Row],[surgery_date]]</f>
        <v>0</v>
      </c>
      <c r="J1593" s="9" t="str">
        <f t="shared" si="43"/>
        <v/>
      </c>
    </row>
    <row r="1594" spans="1:10" ht="23.25" customHeight="1">
      <c r="A1594">
        <f>Table4[[#This Row],[Column1]]</f>
        <v>0</v>
      </c>
      <c r="B1594">
        <f>Table4[[#This Row],[Column2]]</f>
        <v>0</v>
      </c>
      <c r="I1594" s="13">
        <f>Table6[[#This Row],[discharge_date]]-Table6[[#This Row],[surgery_date]]</f>
        <v>0</v>
      </c>
      <c r="J1594" s="9" t="str">
        <f t="shared" si="43"/>
        <v/>
      </c>
    </row>
    <row r="1595" spans="1:10" ht="23.25" customHeight="1">
      <c r="A1595">
        <f>Table4[[#This Row],[Column1]]</f>
        <v>0</v>
      </c>
      <c r="B1595">
        <f>Table4[[#This Row],[Column2]]</f>
        <v>0</v>
      </c>
      <c r="I1595" s="13">
        <f>Table6[[#This Row],[discharge_date]]-Table6[[#This Row],[surgery_date]]</f>
        <v>0</v>
      </c>
      <c r="J1595" s="9" t="str">
        <f t="shared" si="43"/>
        <v/>
      </c>
    </row>
    <row r="1596" spans="1:10" ht="23.25" customHeight="1">
      <c r="A1596">
        <f>Table4[[#This Row],[Column1]]</f>
        <v>0</v>
      </c>
      <c r="B1596">
        <f>Table4[[#This Row],[Column2]]</f>
        <v>0</v>
      </c>
      <c r="I1596" s="13">
        <f>Table6[[#This Row],[discharge_date]]-Table6[[#This Row],[surgery_date]]</f>
        <v>0</v>
      </c>
      <c r="J1596" s="9" t="str">
        <f t="shared" si="43"/>
        <v/>
      </c>
    </row>
    <row r="1597" spans="1:10" ht="23.25" customHeight="1">
      <c r="A1597">
        <f>Table4[[#This Row],[Column1]]</f>
        <v>0</v>
      </c>
      <c r="B1597">
        <f>Table4[[#This Row],[Column2]]</f>
        <v>0</v>
      </c>
      <c r="I1597" s="13">
        <f>Table6[[#This Row],[discharge_date]]-Table6[[#This Row],[surgery_date]]</f>
        <v>0</v>
      </c>
      <c r="J1597" s="9" t="str">
        <f t="shared" si="43"/>
        <v/>
      </c>
    </row>
    <row r="1598" spans="1:10" ht="23.25" customHeight="1">
      <c r="A1598">
        <f>Table4[[#This Row],[Column1]]</f>
        <v>0</v>
      </c>
      <c r="B1598">
        <f>Table4[[#This Row],[Column2]]</f>
        <v>0</v>
      </c>
      <c r="I1598" s="13">
        <f>Table6[[#This Row],[discharge_date]]-Table6[[#This Row],[surgery_date]]</f>
        <v>0</v>
      </c>
      <c r="J1598" s="9" t="str">
        <f t="shared" si="43"/>
        <v/>
      </c>
    </row>
    <row r="1599" spans="1:10" ht="23.25" customHeight="1">
      <c r="A1599">
        <f>Table4[[#This Row],[Column1]]</f>
        <v>0</v>
      </c>
      <c r="B1599">
        <f>Table4[[#This Row],[Column2]]</f>
        <v>0</v>
      </c>
      <c r="I1599" s="13">
        <f>Table6[[#This Row],[discharge_date]]-Table6[[#This Row],[surgery_date]]</f>
        <v>0</v>
      </c>
      <c r="J1599" s="9" t="str">
        <f t="shared" si="43"/>
        <v/>
      </c>
    </row>
    <row r="1600" spans="1:10" ht="23.25" customHeight="1">
      <c r="A1600">
        <f>Table4[[#This Row],[Column1]]</f>
        <v>0</v>
      </c>
      <c r="B1600">
        <f>Table4[[#This Row],[Column2]]</f>
        <v>0</v>
      </c>
      <c r="I1600" s="13">
        <f>Table6[[#This Row],[discharge_date]]-Table6[[#This Row],[surgery_date]]</f>
        <v>0</v>
      </c>
      <c r="J1600" s="9" t="str">
        <f t="shared" si="43"/>
        <v/>
      </c>
    </row>
    <row r="1601" spans="1:10" ht="23.25" customHeight="1">
      <c r="A1601">
        <f>Table4[[#This Row],[Column1]]</f>
        <v>0</v>
      </c>
      <c r="B1601">
        <f>Table4[[#This Row],[Column2]]</f>
        <v>0</v>
      </c>
      <c r="I1601" s="13">
        <f>Table6[[#This Row],[discharge_date]]-Table6[[#This Row],[surgery_date]]</f>
        <v>0</v>
      </c>
      <c r="J1601" s="9" t="str">
        <f t="shared" si="43"/>
        <v/>
      </c>
    </row>
    <row r="1602" spans="1:10" ht="23.25" customHeight="1">
      <c r="A1602">
        <f>Table4[[#This Row],[Column1]]</f>
        <v>0</v>
      </c>
      <c r="B1602">
        <f>Table4[[#This Row],[Column2]]</f>
        <v>0</v>
      </c>
      <c r="I1602" s="13">
        <f>Table6[[#This Row],[discharge_date]]-Table6[[#This Row],[surgery_date]]</f>
        <v>0</v>
      </c>
      <c r="J1602" s="9" t="str">
        <f t="shared" ref="J1602:J1665" si="44">IF( H1602&lt;&gt;"", H1602+30,"")</f>
        <v/>
      </c>
    </row>
    <row r="1603" spans="1:10" ht="23.25" customHeight="1">
      <c r="A1603">
        <f>Table4[[#This Row],[Column1]]</f>
        <v>0</v>
      </c>
      <c r="B1603">
        <f>Table4[[#This Row],[Column2]]</f>
        <v>0</v>
      </c>
      <c r="I1603" s="13">
        <f>Table6[[#This Row],[discharge_date]]-Table6[[#This Row],[surgery_date]]</f>
        <v>0</v>
      </c>
      <c r="J1603" s="9" t="str">
        <f t="shared" si="44"/>
        <v/>
      </c>
    </row>
    <row r="1604" spans="1:10" ht="23.25" customHeight="1">
      <c r="A1604">
        <f>Table4[[#This Row],[Column1]]</f>
        <v>0</v>
      </c>
      <c r="B1604">
        <f>Table4[[#This Row],[Column2]]</f>
        <v>0</v>
      </c>
      <c r="I1604" s="13">
        <f>Table6[[#This Row],[discharge_date]]-Table6[[#This Row],[surgery_date]]</f>
        <v>0</v>
      </c>
      <c r="J1604" s="9" t="str">
        <f t="shared" si="44"/>
        <v/>
      </c>
    </row>
    <row r="1605" spans="1:10" ht="23.25" customHeight="1">
      <c r="A1605">
        <f>Table4[[#This Row],[Column1]]</f>
        <v>0</v>
      </c>
      <c r="B1605">
        <f>Table4[[#This Row],[Column2]]</f>
        <v>0</v>
      </c>
      <c r="I1605" s="13">
        <f>Table6[[#This Row],[discharge_date]]-Table6[[#This Row],[surgery_date]]</f>
        <v>0</v>
      </c>
      <c r="J1605" s="9" t="str">
        <f t="shared" si="44"/>
        <v/>
      </c>
    </row>
    <row r="1606" spans="1:10" ht="23.25" customHeight="1">
      <c r="A1606">
        <f>Table4[[#This Row],[Column1]]</f>
        <v>0</v>
      </c>
      <c r="B1606">
        <f>Table4[[#This Row],[Column2]]</f>
        <v>0</v>
      </c>
      <c r="I1606" s="13">
        <f>Table6[[#This Row],[discharge_date]]-Table6[[#This Row],[surgery_date]]</f>
        <v>0</v>
      </c>
      <c r="J1606" s="9" t="str">
        <f t="shared" si="44"/>
        <v/>
      </c>
    </row>
    <row r="1607" spans="1:10" ht="23.25" customHeight="1">
      <c r="A1607">
        <f>Table4[[#This Row],[Column1]]</f>
        <v>0</v>
      </c>
      <c r="B1607">
        <f>Table4[[#This Row],[Column2]]</f>
        <v>0</v>
      </c>
      <c r="I1607" s="13">
        <f>Table6[[#This Row],[discharge_date]]-Table6[[#This Row],[surgery_date]]</f>
        <v>0</v>
      </c>
      <c r="J1607" s="9" t="str">
        <f t="shared" si="44"/>
        <v/>
      </c>
    </row>
    <row r="1608" spans="1:10" ht="23.25" customHeight="1">
      <c r="A1608">
        <f>Table4[[#This Row],[Column1]]</f>
        <v>0</v>
      </c>
      <c r="B1608">
        <f>Table4[[#This Row],[Column2]]</f>
        <v>0</v>
      </c>
      <c r="I1608" s="13">
        <f>Table6[[#This Row],[discharge_date]]-Table6[[#This Row],[surgery_date]]</f>
        <v>0</v>
      </c>
      <c r="J1608" s="9" t="str">
        <f t="shared" si="44"/>
        <v/>
      </c>
    </row>
    <row r="1609" spans="1:10" ht="23.25" customHeight="1">
      <c r="A1609">
        <f>Table4[[#This Row],[Column1]]</f>
        <v>0</v>
      </c>
      <c r="B1609">
        <f>Table4[[#This Row],[Column2]]</f>
        <v>0</v>
      </c>
      <c r="I1609" s="13">
        <f>Table6[[#This Row],[discharge_date]]-Table6[[#This Row],[surgery_date]]</f>
        <v>0</v>
      </c>
      <c r="J1609" s="9" t="str">
        <f t="shared" si="44"/>
        <v/>
      </c>
    </row>
    <row r="1610" spans="1:10" ht="23.25" customHeight="1">
      <c r="A1610">
        <f>Table4[[#This Row],[Column1]]</f>
        <v>0</v>
      </c>
      <c r="B1610">
        <f>Table4[[#This Row],[Column2]]</f>
        <v>0</v>
      </c>
      <c r="I1610" s="13">
        <f>Table6[[#This Row],[discharge_date]]-Table6[[#This Row],[surgery_date]]</f>
        <v>0</v>
      </c>
      <c r="J1610" s="9" t="str">
        <f t="shared" si="44"/>
        <v/>
      </c>
    </row>
    <row r="1611" spans="1:10" ht="23.25" customHeight="1">
      <c r="A1611">
        <f>Table4[[#This Row],[Column1]]</f>
        <v>0</v>
      </c>
      <c r="B1611">
        <f>Table4[[#This Row],[Column2]]</f>
        <v>0</v>
      </c>
      <c r="I1611" s="13">
        <f>Table6[[#This Row],[discharge_date]]-Table6[[#This Row],[surgery_date]]</f>
        <v>0</v>
      </c>
      <c r="J1611" s="9" t="str">
        <f t="shared" si="44"/>
        <v/>
      </c>
    </row>
    <row r="1612" spans="1:10" ht="23.25" customHeight="1">
      <c r="A1612">
        <f>Table4[[#This Row],[Column1]]</f>
        <v>0</v>
      </c>
      <c r="B1612">
        <f>Table4[[#This Row],[Column2]]</f>
        <v>0</v>
      </c>
      <c r="I1612" s="13">
        <f>Table6[[#This Row],[discharge_date]]-Table6[[#This Row],[surgery_date]]</f>
        <v>0</v>
      </c>
      <c r="J1612" s="9" t="str">
        <f t="shared" si="44"/>
        <v/>
      </c>
    </row>
    <row r="1613" spans="1:10" ht="23.25" customHeight="1">
      <c r="A1613">
        <f>Table4[[#This Row],[Column1]]</f>
        <v>0</v>
      </c>
      <c r="B1613">
        <f>Table4[[#This Row],[Column2]]</f>
        <v>0</v>
      </c>
      <c r="I1613" s="13">
        <f>Table6[[#This Row],[discharge_date]]-Table6[[#This Row],[surgery_date]]</f>
        <v>0</v>
      </c>
      <c r="J1613" s="9" t="str">
        <f t="shared" si="44"/>
        <v/>
      </c>
    </row>
    <row r="1614" spans="1:10" ht="23.25" customHeight="1">
      <c r="A1614">
        <f>Table4[[#This Row],[Column1]]</f>
        <v>0</v>
      </c>
      <c r="B1614">
        <f>Table4[[#This Row],[Column2]]</f>
        <v>0</v>
      </c>
      <c r="I1614" s="13">
        <f>Table6[[#This Row],[discharge_date]]-Table6[[#This Row],[surgery_date]]</f>
        <v>0</v>
      </c>
      <c r="J1614" s="9" t="str">
        <f t="shared" si="44"/>
        <v/>
      </c>
    </row>
    <row r="1615" spans="1:10" ht="23.25" customHeight="1">
      <c r="A1615">
        <f>Table4[[#This Row],[Column1]]</f>
        <v>0</v>
      </c>
      <c r="B1615">
        <f>Table4[[#This Row],[Column2]]</f>
        <v>0</v>
      </c>
      <c r="I1615" s="13">
        <f>Table6[[#This Row],[discharge_date]]-Table6[[#This Row],[surgery_date]]</f>
        <v>0</v>
      </c>
      <c r="J1615" s="9" t="str">
        <f t="shared" si="44"/>
        <v/>
      </c>
    </row>
    <row r="1616" spans="1:10" ht="23.25" customHeight="1">
      <c r="A1616">
        <f>Table4[[#This Row],[Column1]]</f>
        <v>0</v>
      </c>
      <c r="B1616">
        <f>Table4[[#This Row],[Column2]]</f>
        <v>0</v>
      </c>
      <c r="I1616" s="13">
        <f>Table6[[#This Row],[discharge_date]]-Table6[[#This Row],[surgery_date]]</f>
        <v>0</v>
      </c>
      <c r="J1616" s="9" t="str">
        <f t="shared" si="44"/>
        <v/>
      </c>
    </row>
    <row r="1617" spans="1:10" ht="23.25" customHeight="1">
      <c r="A1617">
        <f>Table4[[#This Row],[Column1]]</f>
        <v>0</v>
      </c>
      <c r="B1617">
        <f>Table4[[#This Row],[Column2]]</f>
        <v>0</v>
      </c>
      <c r="I1617" s="13">
        <f>Table6[[#This Row],[discharge_date]]-Table6[[#This Row],[surgery_date]]</f>
        <v>0</v>
      </c>
      <c r="J1617" s="9" t="str">
        <f t="shared" si="44"/>
        <v/>
      </c>
    </row>
    <row r="1618" spans="1:10" ht="23.25" customHeight="1">
      <c r="A1618">
        <f>Table4[[#This Row],[Column1]]</f>
        <v>0</v>
      </c>
      <c r="B1618">
        <f>Table4[[#This Row],[Column2]]</f>
        <v>0</v>
      </c>
      <c r="I1618" s="13">
        <f>Table6[[#This Row],[discharge_date]]-Table6[[#This Row],[surgery_date]]</f>
        <v>0</v>
      </c>
      <c r="J1618" s="9" t="str">
        <f t="shared" si="44"/>
        <v/>
      </c>
    </row>
    <row r="1619" spans="1:10" ht="23.25" customHeight="1">
      <c r="A1619">
        <f>Table4[[#This Row],[Column1]]</f>
        <v>0</v>
      </c>
      <c r="B1619">
        <f>Table4[[#This Row],[Column2]]</f>
        <v>0</v>
      </c>
      <c r="I1619" s="13">
        <f>Table6[[#This Row],[discharge_date]]-Table6[[#This Row],[surgery_date]]</f>
        <v>0</v>
      </c>
      <c r="J1619" s="9" t="str">
        <f t="shared" si="44"/>
        <v/>
      </c>
    </row>
    <row r="1620" spans="1:10" ht="23.25" customHeight="1">
      <c r="A1620">
        <f>Table4[[#This Row],[Column1]]</f>
        <v>0</v>
      </c>
      <c r="B1620">
        <f>Table4[[#This Row],[Column2]]</f>
        <v>0</v>
      </c>
      <c r="I1620" s="13">
        <f>Table6[[#This Row],[discharge_date]]-Table6[[#This Row],[surgery_date]]</f>
        <v>0</v>
      </c>
      <c r="J1620" s="9" t="str">
        <f t="shared" si="44"/>
        <v/>
      </c>
    </row>
    <row r="1621" spans="1:10" ht="23.25" customHeight="1">
      <c r="A1621">
        <f>Table4[[#This Row],[Column1]]</f>
        <v>0</v>
      </c>
      <c r="B1621">
        <f>Table4[[#This Row],[Column2]]</f>
        <v>0</v>
      </c>
      <c r="I1621" s="13">
        <f>Table6[[#This Row],[discharge_date]]-Table6[[#This Row],[surgery_date]]</f>
        <v>0</v>
      </c>
      <c r="J1621" s="9" t="str">
        <f t="shared" si="44"/>
        <v/>
      </c>
    </row>
    <row r="1622" spans="1:10" ht="23.25" customHeight="1">
      <c r="A1622">
        <f>Table4[[#This Row],[Column1]]</f>
        <v>0</v>
      </c>
      <c r="B1622">
        <f>Table4[[#This Row],[Column2]]</f>
        <v>0</v>
      </c>
      <c r="I1622" s="13">
        <f>Table6[[#This Row],[discharge_date]]-Table6[[#This Row],[surgery_date]]</f>
        <v>0</v>
      </c>
      <c r="J1622" s="9" t="str">
        <f t="shared" si="44"/>
        <v/>
      </c>
    </row>
    <row r="1623" spans="1:10" ht="23.25" customHeight="1">
      <c r="A1623">
        <f>Table4[[#This Row],[Column1]]</f>
        <v>0</v>
      </c>
      <c r="B1623">
        <f>Table4[[#This Row],[Column2]]</f>
        <v>0</v>
      </c>
      <c r="I1623" s="13">
        <f>Table6[[#This Row],[discharge_date]]-Table6[[#This Row],[surgery_date]]</f>
        <v>0</v>
      </c>
      <c r="J1623" s="9" t="str">
        <f t="shared" si="44"/>
        <v/>
      </c>
    </row>
    <row r="1624" spans="1:10" ht="23.25" customHeight="1">
      <c r="A1624">
        <f>Table4[[#This Row],[Column1]]</f>
        <v>0</v>
      </c>
      <c r="B1624">
        <f>Table4[[#This Row],[Column2]]</f>
        <v>0</v>
      </c>
      <c r="I1624" s="13">
        <f>Table6[[#This Row],[discharge_date]]-Table6[[#This Row],[surgery_date]]</f>
        <v>0</v>
      </c>
      <c r="J1624" s="9" t="str">
        <f t="shared" si="44"/>
        <v/>
      </c>
    </row>
    <row r="1625" spans="1:10" ht="23.25" customHeight="1">
      <c r="A1625">
        <f>Table4[[#This Row],[Column1]]</f>
        <v>0</v>
      </c>
      <c r="B1625">
        <f>Table4[[#This Row],[Column2]]</f>
        <v>0</v>
      </c>
      <c r="I1625" s="13">
        <f>Table6[[#This Row],[discharge_date]]-Table6[[#This Row],[surgery_date]]</f>
        <v>0</v>
      </c>
      <c r="J1625" s="9" t="str">
        <f t="shared" si="44"/>
        <v/>
      </c>
    </row>
    <row r="1626" spans="1:10" ht="23.25" customHeight="1">
      <c r="A1626">
        <f>Table4[[#This Row],[Column1]]</f>
        <v>0</v>
      </c>
      <c r="B1626">
        <f>Table4[[#This Row],[Column2]]</f>
        <v>0</v>
      </c>
      <c r="I1626" s="13">
        <f>Table6[[#This Row],[discharge_date]]-Table6[[#This Row],[surgery_date]]</f>
        <v>0</v>
      </c>
      <c r="J1626" s="9" t="str">
        <f t="shared" si="44"/>
        <v/>
      </c>
    </row>
    <row r="1627" spans="1:10" ht="23.25" customHeight="1">
      <c r="A1627">
        <f>Table4[[#This Row],[Column1]]</f>
        <v>0</v>
      </c>
      <c r="B1627">
        <f>Table4[[#This Row],[Column2]]</f>
        <v>0</v>
      </c>
      <c r="I1627" s="13">
        <f>Table6[[#This Row],[discharge_date]]-Table6[[#This Row],[surgery_date]]</f>
        <v>0</v>
      </c>
      <c r="J1627" s="9" t="str">
        <f t="shared" si="44"/>
        <v/>
      </c>
    </row>
    <row r="1628" spans="1:10" ht="23.25" customHeight="1">
      <c r="A1628">
        <f>Table4[[#This Row],[Column1]]</f>
        <v>0</v>
      </c>
      <c r="B1628">
        <f>Table4[[#This Row],[Column2]]</f>
        <v>0</v>
      </c>
      <c r="I1628" s="13">
        <f>Table6[[#This Row],[discharge_date]]-Table6[[#This Row],[surgery_date]]</f>
        <v>0</v>
      </c>
      <c r="J1628" s="9" t="str">
        <f t="shared" si="44"/>
        <v/>
      </c>
    </row>
    <row r="1629" spans="1:10" ht="23.25" customHeight="1">
      <c r="A1629">
        <f>Table4[[#This Row],[Column1]]</f>
        <v>0</v>
      </c>
      <c r="B1629">
        <f>Table4[[#This Row],[Column2]]</f>
        <v>0</v>
      </c>
      <c r="I1629" s="13">
        <f>Table6[[#This Row],[discharge_date]]-Table6[[#This Row],[surgery_date]]</f>
        <v>0</v>
      </c>
      <c r="J1629" s="9" t="str">
        <f t="shared" si="44"/>
        <v/>
      </c>
    </row>
    <row r="1630" spans="1:10" ht="23.25" customHeight="1">
      <c r="A1630">
        <f>Table4[[#This Row],[Column1]]</f>
        <v>0</v>
      </c>
      <c r="B1630">
        <f>Table4[[#This Row],[Column2]]</f>
        <v>0</v>
      </c>
      <c r="I1630" s="13">
        <f>Table6[[#This Row],[discharge_date]]-Table6[[#This Row],[surgery_date]]</f>
        <v>0</v>
      </c>
      <c r="J1630" s="9" t="str">
        <f t="shared" si="44"/>
        <v/>
      </c>
    </row>
    <row r="1631" spans="1:10" ht="23.25" customHeight="1">
      <c r="A1631">
        <f>Table4[[#This Row],[Column1]]</f>
        <v>0</v>
      </c>
      <c r="B1631">
        <f>Table4[[#This Row],[Column2]]</f>
        <v>0</v>
      </c>
      <c r="I1631" s="13">
        <f>Table6[[#This Row],[discharge_date]]-Table6[[#This Row],[surgery_date]]</f>
        <v>0</v>
      </c>
      <c r="J1631" s="9" t="str">
        <f t="shared" si="44"/>
        <v/>
      </c>
    </row>
    <row r="1632" spans="1:10" ht="23.25" customHeight="1">
      <c r="A1632">
        <f>Table4[[#This Row],[Column1]]</f>
        <v>0</v>
      </c>
      <c r="B1632">
        <f>Table4[[#This Row],[Column2]]</f>
        <v>0</v>
      </c>
      <c r="I1632" s="13">
        <f>Table6[[#This Row],[discharge_date]]-Table6[[#This Row],[surgery_date]]</f>
        <v>0</v>
      </c>
      <c r="J1632" s="9" t="str">
        <f t="shared" si="44"/>
        <v/>
      </c>
    </row>
    <row r="1633" spans="1:10" ht="23.25" customHeight="1">
      <c r="A1633">
        <f>Table4[[#This Row],[Column1]]</f>
        <v>0</v>
      </c>
      <c r="B1633">
        <f>Table4[[#This Row],[Column2]]</f>
        <v>0</v>
      </c>
      <c r="I1633" s="13">
        <f>Table6[[#This Row],[discharge_date]]-Table6[[#This Row],[surgery_date]]</f>
        <v>0</v>
      </c>
      <c r="J1633" s="9" t="str">
        <f t="shared" si="44"/>
        <v/>
      </c>
    </row>
    <row r="1634" spans="1:10" ht="23.25" customHeight="1">
      <c r="A1634">
        <f>Table4[[#This Row],[Column1]]</f>
        <v>0</v>
      </c>
      <c r="B1634">
        <f>Table4[[#This Row],[Column2]]</f>
        <v>0</v>
      </c>
      <c r="I1634" s="13">
        <f>Table6[[#This Row],[discharge_date]]-Table6[[#This Row],[surgery_date]]</f>
        <v>0</v>
      </c>
      <c r="J1634" s="9" t="str">
        <f t="shared" si="44"/>
        <v/>
      </c>
    </row>
    <row r="1635" spans="1:10" ht="23.25" customHeight="1">
      <c r="A1635">
        <f>Table4[[#This Row],[Column1]]</f>
        <v>0</v>
      </c>
      <c r="B1635">
        <f>Table4[[#This Row],[Column2]]</f>
        <v>0</v>
      </c>
      <c r="I1635" s="13">
        <f>Table6[[#This Row],[discharge_date]]-Table6[[#This Row],[surgery_date]]</f>
        <v>0</v>
      </c>
      <c r="J1635" s="9" t="str">
        <f t="shared" si="44"/>
        <v/>
      </c>
    </row>
    <row r="1636" spans="1:10" ht="23.25" customHeight="1">
      <c r="A1636">
        <f>Table4[[#This Row],[Column1]]</f>
        <v>0</v>
      </c>
      <c r="B1636">
        <f>Table4[[#This Row],[Column2]]</f>
        <v>0</v>
      </c>
      <c r="I1636" s="13">
        <f>Table6[[#This Row],[discharge_date]]-Table6[[#This Row],[surgery_date]]</f>
        <v>0</v>
      </c>
      <c r="J1636" s="9" t="str">
        <f t="shared" si="44"/>
        <v/>
      </c>
    </row>
    <row r="1637" spans="1:10" ht="23.25" customHeight="1">
      <c r="A1637">
        <f>Table4[[#This Row],[Column1]]</f>
        <v>0</v>
      </c>
      <c r="B1637">
        <f>Table4[[#This Row],[Column2]]</f>
        <v>0</v>
      </c>
      <c r="I1637" s="13">
        <f>Table6[[#This Row],[discharge_date]]-Table6[[#This Row],[surgery_date]]</f>
        <v>0</v>
      </c>
      <c r="J1637" s="9" t="str">
        <f t="shared" si="44"/>
        <v/>
      </c>
    </row>
    <row r="1638" spans="1:10" ht="23.25" customHeight="1">
      <c r="A1638">
        <f>Table4[[#This Row],[Column1]]</f>
        <v>0</v>
      </c>
      <c r="B1638">
        <f>Table4[[#This Row],[Column2]]</f>
        <v>0</v>
      </c>
      <c r="I1638" s="13">
        <f>Table6[[#This Row],[discharge_date]]-Table6[[#This Row],[surgery_date]]</f>
        <v>0</v>
      </c>
      <c r="J1638" s="9" t="str">
        <f t="shared" si="44"/>
        <v/>
      </c>
    </row>
    <row r="1639" spans="1:10" ht="23.25" customHeight="1">
      <c r="A1639">
        <f>Table4[[#This Row],[Column1]]</f>
        <v>0</v>
      </c>
      <c r="B1639">
        <f>Table4[[#This Row],[Column2]]</f>
        <v>0</v>
      </c>
      <c r="I1639" s="13">
        <f>Table6[[#This Row],[discharge_date]]-Table6[[#This Row],[surgery_date]]</f>
        <v>0</v>
      </c>
      <c r="J1639" s="9" t="str">
        <f t="shared" si="44"/>
        <v/>
      </c>
    </row>
    <row r="1640" spans="1:10" ht="23.25" customHeight="1">
      <c r="A1640">
        <f>Table4[[#This Row],[Column1]]</f>
        <v>0</v>
      </c>
      <c r="B1640">
        <f>Table4[[#This Row],[Column2]]</f>
        <v>0</v>
      </c>
      <c r="I1640" s="13">
        <f>Table6[[#This Row],[discharge_date]]-Table6[[#This Row],[surgery_date]]</f>
        <v>0</v>
      </c>
      <c r="J1640" s="9" t="str">
        <f t="shared" si="44"/>
        <v/>
      </c>
    </row>
    <row r="1641" spans="1:10" ht="23.25" customHeight="1">
      <c r="A1641">
        <f>Table4[[#This Row],[Column1]]</f>
        <v>0</v>
      </c>
      <c r="B1641">
        <f>Table4[[#This Row],[Column2]]</f>
        <v>0</v>
      </c>
      <c r="I1641" s="13">
        <f>Table6[[#This Row],[discharge_date]]-Table6[[#This Row],[surgery_date]]</f>
        <v>0</v>
      </c>
      <c r="J1641" s="9" t="str">
        <f t="shared" si="44"/>
        <v/>
      </c>
    </row>
    <row r="1642" spans="1:10" ht="23.25" customHeight="1">
      <c r="A1642">
        <f>Table4[[#This Row],[Column1]]</f>
        <v>0</v>
      </c>
      <c r="B1642">
        <f>Table4[[#This Row],[Column2]]</f>
        <v>0</v>
      </c>
      <c r="I1642" s="13">
        <f>Table6[[#This Row],[discharge_date]]-Table6[[#This Row],[surgery_date]]</f>
        <v>0</v>
      </c>
      <c r="J1642" s="9" t="str">
        <f t="shared" si="44"/>
        <v/>
      </c>
    </row>
    <row r="1643" spans="1:10" ht="23.25" customHeight="1">
      <c r="A1643">
        <f>Table4[[#This Row],[Column1]]</f>
        <v>0</v>
      </c>
      <c r="B1643">
        <f>Table4[[#This Row],[Column2]]</f>
        <v>0</v>
      </c>
      <c r="I1643" s="13">
        <f>Table6[[#This Row],[discharge_date]]-Table6[[#This Row],[surgery_date]]</f>
        <v>0</v>
      </c>
      <c r="J1643" s="9" t="str">
        <f t="shared" si="44"/>
        <v/>
      </c>
    </row>
    <row r="1644" spans="1:10" ht="23.25" customHeight="1">
      <c r="A1644">
        <f>Table4[[#This Row],[Column1]]</f>
        <v>0</v>
      </c>
      <c r="B1644">
        <f>Table4[[#This Row],[Column2]]</f>
        <v>0</v>
      </c>
      <c r="I1644" s="13">
        <f>Table6[[#This Row],[discharge_date]]-Table6[[#This Row],[surgery_date]]</f>
        <v>0</v>
      </c>
      <c r="J1644" s="9" t="str">
        <f t="shared" si="44"/>
        <v/>
      </c>
    </row>
    <row r="1645" spans="1:10" ht="23.25" customHeight="1">
      <c r="A1645">
        <f>Table4[[#This Row],[Column1]]</f>
        <v>0</v>
      </c>
      <c r="B1645">
        <f>Table4[[#This Row],[Column2]]</f>
        <v>0</v>
      </c>
      <c r="I1645" s="13">
        <f>Table6[[#This Row],[discharge_date]]-Table6[[#This Row],[surgery_date]]</f>
        <v>0</v>
      </c>
      <c r="J1645" s="9" t="str">
        <f t="shared" si="44"/>
        <v/>
      </c>
    </row>
    <row r="1646" spans="1:10" ht="23.25" customHeight="1">
      <c r="A1646">
        <f>Table4[[#This Row],[Column1]]</f>
        <v>0</v>
      </c>
      <c r="B1646">
        <f>Table4[[#This Row],[Column2]]</f>
        <v>0</v>
      </c>
      <c r="I1646" s="13">
        <f>Table6[[#This Row],[discharge_date]]-Table6[[#This Row],[surgery_date]]</f>
        <v>0</v>
      </c>
      <c r="J1646" s="9" t="str">
        <f t="shared" si="44"/>
        <v/>
      </c>
    </row>
    <row r="1647" spans="1:10" ht="23.25" customHeight="1">
      <c r="A1647">
        <f>Table4[[#This Row],[Column1]]</f>
        <v>0</v>
      </c>
      <c r="B1647">
        <f>Table4[[#This Row],[Column2]]</f>
        <v>0</v>
      </c>
      <c r="I1647" s="13">
        <f>Table6[[#This Row],[discharge_date]]-Table6[[#This Row],[surgery_date]]</f>
        <v>0</v>
      </c>
      <c r="J1647" s="9" t="str">
        <f t="shared" si="44"/>
        <v/>
      </c>
    </row>
    <row r="1648" spans="1:10" ht="23.25" customHeight="1">
      <c r="A1648">
        <f>Table4[[#This Row],[Column1]]</f>
        <v>0</v>
      </c>
      <c r="B1648">
        <f>Table4[[#This Row],[Column2]]</f>
        <v>0</v>
      </c>
      <c r="I1648" s="13">
        <f>Table6[[#This Row],[discharge_date]]-Table6[[#This Row],[surgery_date]]</f>
        <v>0</v>
      </c>
      <c r="J1648" s="9" t="str">
        <f t="shared" si="44"/>
        <v/>
      </c>
    </row>
    <row r="1649" spans="1:10" ht="23.25" customHeight="1">
      <c r="A1649">
        <f>Table4[[#This Row],[Column1]]</f>
        <v>0</v>
      </c>
      <c r="B1649">
        <f>Table4[[#This Row],[Column2]]</f>
        <v>0</v>
      </c>
      <c r="I1649" s="13">
        <f>Table6[[#This Row],[discharge_date]]-Table6[[#This Row],[surgery_date]]</f>
        <v>0</v>
      </c>
      <c r="J1649" s="9" t="str">
        <f t="shared" si="44"/>
        <v/>
      </c>
    </row>
    <row r="1650" spans="1:10" ht="23.25" customHeight="1">
      <c r="A1650">
        <f>Table4[[#This Row],[Column1]]</f>
        <v>0</v>
      </c>
      <c r="B1650">
        <f>Table4[[#This Row],[Column2]]</f>
        <v>0</v>
      </c>
      <c r="I1650" s="13">
        <f>Table6[[#This Row],[discharge_date]]-Table6[[#This Row],[surgery_date]]</f>
        <v>0</v>
      </c>
      <c r="J1650" s="9" t="str">
        <f t="shared" si="44"/>
        <v/>
      </c>
    </row>
    <row r="1651" spans="1:10" ht="23.25" customHeight="1">
      <c r="A1651">
        <f>Table4[[#This Row],[Column1]]</f>
        <v>0</v>
      </c>
      <c r="B1651">
        <f>Table4[[#This Row],[Column2]]</f>
        <v>0</v>
      </c>
      <c r="I1651" s="13">
        <f>Table6[[#This Row],[discharge_date]]-Table6[[#This Row],[surgery_date]]</f>
        <v>0</v>
      </c>
      <c r="J1651" s="9" t="str">
        <f t="shared" si="44"/>
        <v/>
      </c>
    </row>
    <row r="1652" spans="1:10" ht="23.25" customHeight="1">
      <c r="A1652">
        <f>Table4[[#This Row],[Column1]]</f>
        <v>0</v>
      </c>
      <c r="B1652">
        <f>Table4[[#This Row],[Column2]]</f>
        <v>0</v>
      </c>
      <c r="I1652" s="13">
        <f>Table6[[#This Row],[discharge_date]]-Table6[[#This Row],[surgery_date]]</f>
        <v>0</v>
      </c>
      <c r="J1652" s="9" t="str">
        <f t="shared" si="44"/>
        <v/>
      </c>
    </row>
    <row r="1653" spans="1:10" ht="23.25" customHeight="1">
      <c r="A1653">
        <f>Table4[[#This Row],[Column1]]</f>
        <v>0</v>
      </c>
      <c r="B1653">
        <f>Table4[[#This Row],[Column2]]</f>
        <v>0</v>
      </c>
      <c r="I1653" s="13">
        <f>Table6[[#This Row],[discharge_date]]-Table6[[#This Row],[surgery_date]]</f>
        <v>0</v>
      </c>
      <c r="J1653" s="9" t="str">
        <f t="shared" si="44"/>
        <v/>
      </c>
    </row>
    <row r="1654" spans="1:10" ht="23.25" customHeight="1">
      <c r="A1654">
        <f>Table4[[#This Row],[Column1]]</f>
        <v>0</v>
      </c>
      <c r="B1654">
        <f>Table4[[#This Row],[Column2]]</f>
        <v>0</v>
      </c>
      <c r="I1654" s="13">
        <f>Table6[[#This Row],[discharge_date]]-Table6[[#This Row],[surgery_date]]</f>
        <v>0</v>
      </c>
      <c r="J1654" s="9" t="str">
        <f t="shared" si="44"/>
        <v/>
      </c>
    </row>
    <row r="1655" spans="1:10" ht="23.25" customHeight="1">
      <c r="A1655">
        <f>Table4[[#This Row],[Column1]]</f>
        <v>0</v>
      </c>
      <c r="B1655">
        <f>Table4[[#This Row],[Column2]]</f>
        <v>0</v>
      </c>
      <c r="I1655" s="13">
        <f>Table6[[#This Row],[discharge_date]]-Table6[[#This Row],[surgery_date]]</f>
        <v>0</v>
      </c>
      <c r="J1655" s="9" t="str">
        <f t="shared" si="44"/>
        <v/>
      </c>
    </row>
    <row r="1656" spans="1:10" ht="23.25" customHeight="1">
      <c r="A1656">
        <f>Table4[[#This Row],[Column1]]</f>
        <v>0</v>
      </c>
      <c r="B1656">
        <f>Table4[[#This Row],[Column2]]</f>
        <v>0</v>
      </c>
      <c r="I1656" s="13">
        <f>Table6[[#This Row],[discharge_date]]-Table6[[#This Row],[surgery_date]]</f>
        <v>0</v>
      </c>
      <c r="J1656" s="9" t="str">
        <f t="shared" si="44"/>
        <v/>
      </c>
    </row>
    <row r="1657" spans="1:10" ht="23.25" customHeight="1">
      <c r="A1657">
        <f>Table4[[#This Row],[Column1]]</f>
        <v>0</v>
      </c>
      <c r="B1657">
        <f>Table4[[#This Row],[Column2]]</f>
        <v>0</v>
      </c>
      <c r="I1657" s="13">
        <f>Table6[[#This Row],[discharge_date]]-Table6[[#This Row],[surgery_date]]</f>
        <v>0</v>
      </c>
      <c r="J1657" s="9" t="str">
        <f t="shared" si="44"/>
        <v/>
      </c>
    </row>
    <row r="1658" spans="1:10" ht="23.25" customHeight="1">
      <c r="A1658">
        <f>Table4[[#This Row],[Column1]]</f>
        <v>0</v>
      </c>
      <c r="B1658">
        <f>Table4[[#This Row],[Column2]]</f>
        <v>0</v>
      </c>
      <c r="I1658" s="13">
        <f>Table6[[#This Row],[discharge_date]]-Table6[[#This Row],[surgery_date]]</f>
        <v>0</v>
      </c>
      <c r="J1658" s="9" t="str">
        <f t="shared" si="44"/>
        <v/>
      </c>
    </row>
    <row r="1659" spans="1:10" ht="23.25" customHeight="1">
      <c r="A1659">
        <f>Table4[[#This Row],[Column1]]</f>
        <v>0</v>
      </c>
      <c r="B1659">
        <f>Table4[[#This Row],[Column2]]</f>
        <v>0</v>
      </c>
      <c r="I1659" s="13">
        <f>Table6[[#This Row],[discharge_date]]-Table6[[#This Row],[surgery_date]]</f>
        <v>0</v>
      </c>
      <c r="J1659" s="9" t="str">
        <f t="shared" si="44"/>
        <v/>
      </c>
    </row>
    <row r="1660" spans="1:10" ht="23.25" customHeight="1">
      <c r="A1660">
        <f>Table4[[#This Row],[Column1]]</f>
        <v>0</v>
      </c>
      <c r="B1660">
        <f>Table4[[#This Row],[Column2]]</f>
        <v>0</v>
      </c>
      <c r="I1660" s="13">
        <f>Table6[[#This Row],[discharge_date]]-Table6[[#This Row],[surgery_date]]</f>
        <v>0</v>
      </c>
      <c r="J1660" s="9" t="str">
        <f t="shared" si="44"/>
        <v/>
      </c>
    </row>
    <row r="1661" spans="1:10" ht="23.25" customHeight="1">
      <c r="A1661">
        <f>Table4[[#This Row],[Column1]]</f>
        <v>0</v>
      </c>
      <c r="B1661">
        <f>Table4[[#This Row],[Column2]]</f>
        <v>0</v>
      </c>
      <c r="I1661" s="13">
        <f>Table6[[#This Row],[discharge_date]]-Table6[[#This Row],[surgery_date]]</f>
        <v>0</v>
      </c>
      <c r="J1661" s="9" t="str">
        <f t="shared" si="44"/>
        <v/>
      </c>
    </row>
    <row r="1662" spans="1:10" ht="23.25" customHeight="1">
      <c r="A1662">
        <f>Table4[[#This Row],[Column1]]</f>
        <v>0</v>
      </c>
      <c r="B1662">
        <f>Table4[[#This Row],[Column2]]</f>
        <v>0</v>
      </c>
      <c r="I1662" s="13">
        <f>Table6[[#This Row],[discharge_date]]-Table6[[#This Row],[surgery_date]]</f>
        <v>0</v>
      </c>
      <c r="J1662" s="9" t="str">
        <f t="shared" si="44"/>
        <v/>
      </c>
    </row>
    <row r="1663" spans="1:10" ht="23.25" customHeight="1">
      <c r="A1663">
        <f>Table4[[#This Row],[Column1]]</f>
        <v>0</v>
      </c>
      <c r="B1663">
        <f>Table4[[#This Row],[Column2]]</f>
        <v>0</v>
      </c>
      <c r="I1663" s="13">
        <f>Table6[[#This Row],[discharge_date]]-Table6[[#This Row],[surgery_date]]</f>
        <v>0</v>
      </c>
      <c r="J1663" s="9" t="str">
        <f t="shared" si="44"/>
        <v/>
      </c>
    </row>
    <row r="1664" spans="1:10" ht="23.25" customHeight="1">
      <c r="A1664">
        <f>Table4[[#This Row],[Column1]]</f>
        <v>0</v>
      </c>
      <c r="B1664">
        <f>Table4[[#This Row],[Column2]]</f>
        <v>0</v>
      </c>
      <c r="I1664" s="13">
        <f>Table6[[#This Row],[discharge_date]]-Table6[[#This Row],[surgery_date]]</f>
        <v>0</v>
      </c>
      <c r="J1664" s="9" t="str">
        <f t="shared" si="44"/>
        <v/>
      </c>
    </row>
    <row r="1665" spans="1:10" ht="23.25" customHeight="1">
      <c r="A1665">
        <f>Table4[[#This Row],[Column1]]</f>
        <v>0</v>
      </c>
      <c r="B1665">
        <f>Table4[[#This Row],[Column2]]</f>
        <v>0</v>
      </c>
      <c r="I1665" s="13">
        <f>Table6[[#This Row],[discharge_date]]-Table6[[#This Row],[surgery_date]]</f>
        <v>0</v>
      </c>
      <c r="J1665" s="9" t="str">
        <f t="shared" si="44"/>
        <v/>
      </c>
    </row>
    <row r="1666" spans="1:10" ht="23.25" customHeight="1">
      <c r="A1666">
        <f>Table4[[#This Row],[Column1]]</f>
        <v>0</v>
      </c>
      <c r="B1666">
        <f>Table4[[#This Row],[Column2]]</f>
        <v>0</v>
      </c>
      <c r="I1666" s="13">
        <f>Table6[[#This Row],[discharge_date]]-Table6[[#This Row],[surgery_date]]</f>
        <v>0</v>
      </c>
      <c r="J1666" s="9" t="str">
        <f t="shared" ref="J1666:J1729" si="45">IF( H1666&lt;&gt;"", H1666+30,"")</f>
        <v/>
      </c>
    </row>
    <row r="1667" spans="1:10" ht="23.25" customHeight="1">
      <c r="A1667">
        <f>Table4[[#This Row],[Column1]]</f>
        <v>0</v>
      </c>
      <c r="B1667">
        <f>Table4[[#This Row],[Column2]]</f>
        <v>0</v>
      </c>
      <c r="I1667" s="13">
        <f>Table6[[#This Row],[discharge_date]]-Table6[[#This Row],[surgery_date]]</f>
        <v>0</v>
      </c>
      <c r="J1667" s="9" t="str">
        <f t="shared" si="45"/>
        <v/>
      </c>
    </row>
    <row r="1668" spans="1:10" ht="23.25" customHeight="1">
      <c r="A1668">
        <f>Table4[[#This Row],[Column1]]</f>
        <v>0</v>
      </c>
      <c r="B1668">
        <f>Table4[[#This Row],[Column2]]</f>
        <v>0</v>
      </c>
      <c r="I1668" s="13">
        <f>Table6[[#This Row],[discharge_date]]-Table6[[#This Row],[surgery_date]]</f>
        <v>0</v>
      </c>
      <c r="J1668" s="9" t="str">
        <f t="shared" si="45"/>
        <v/>
      </c>
    </row>
    <row r="1669" spans="1:10" ht="23.25" customHeight="1">
      <c r="A1669">
        <f>Table4[[#This Row],[Column1]]</f>
        <v>0</v>
      </c>
      <c r="B1669">
        <f>Table4[[#This Row],[Column2]]</f>
        <v>0</v>
      </c>
      <c r="I1669" s="13">
        <f>Table6[[#This Row],[discharge_date]]-Table6[[#This Row],[surgery_date]]</f>
        <v>0</v>
      </c>
      <c r="J1669" s="9" t="str">
        <f t="shared" si="45"/>
        <v/>
      </c>
    </row>
    <row r="1670" spans="1:10" ht="23.25" customHeight="1">
      <c r="A1670">
        <f>Table4[[#This Row],[Column1]]</f>
        <v>0</v>
      </c>
      <c r="B1670">
        <f>Table4[[#This Row],[Column2]]</f>
        <v>0</v>
      </c>
      <c r="I1670" s="13">
        <f>Table6[[#This Row],[discharge_date]]-Table6[[#This Row],[surgery_date]]</f>
        <v>0</v>
      </c>
      <c r="J1670" s="9" t="str">
        <f t="shared" si="45"/>
        <v/>
      </c>
    </row>
    <row r="1671" spans="1:10" ht="23.25" customHeight="1">
      <c r="A1671">
        <f>Table4[[#This Row],[Column1]]</f>
        <v>0</v>
      </c>
      <c r="B1671">
        <f>Table4[[#This Row],[Column2]]</f>
        <v>0</v>
      </c>
      <c r="I1671" s="13">
        <f>Table6[[#This Row],[discharge_date]]-Table6[[#This Row],[surgery_date]]</f>
        <v>0</v>
      </c>
      <c r="J1671" s="9" t="str">
        <f t="shared" si="45"/>
        <v/>
      </c>
    </row>
    <row r="1672" spans="1:10" ht="23.25" customHeight="1">
      <c r="A1672">
        <f>Table4[[#This Row],[Column1]]</f>
        <v>0</v>
      </c>
      <c r="B1672">
        <f>Table4[[#This Row],[Column2]]</f>
        <v>0</v>
      </c>
      <c r="I1672" s="13">
        <f>Table6[[#This Row],[discharge_date]]-Table6[[#This Row],[surgery_date]]</f>
        <v>0</v>
      </c>
      <c r="J1672" s="9" t="str">
        <f t="shared" si="45"/>
        <v/>
      </c>
    </row>
    <row r="1673" spans="1:10" ht="23.25" customHeight="1">
      <c r="A1673">
        <f>Table4[[#This Row],[Column1]]</f>
        <v>0</v>
      </c>
      <c r="B1673">
        <f>Table4[[#This Row],[Column2]]</f>
        <v>0</v>
      </c>
      <c r="I1673" s="13">
        <f>Table6[[#This Row],[discharge_date]]-Table6[[#This Row],[surgery_date]]</f>
        <v>0</v>
      </c>
      <c r="J1673" s="9" t="str">
        <f t="shared" si="45"/>
        <v/>
      </c>
    </row>
    <row r="1674" spans="1:10" ht="23.25" customHeight="1">
      <c r="A1674">
        <f>Table4[[#This Row],[Column1]]</f>
        <v>0</v>
      </c>
      <c r="B1674">
        <f>Table4[[#This Row],[Column2]]</f>
        <v>0</v>
      </c>
      <c r="I1674" s="13">
        <f>Table6[[#This Row],[discharge_date]]-Table6[[#This Row],[surgery_date]]</f>
        <v>0</v>
      </c>
      <c r="J1674" s="9" t="str">
        <f t="shared" si="45"/>
        <v/>
      </c>
    </row>
    <row r="1675" spans="1:10" ht="23.25" customHeight="1">
      <c r="A1675">
        <f>Table4[[#This Row],[Column1]]</f>
        <v>0</v>
      </c>
      <c r="B1675">
        <f>Table4[[#This Row],[Column2]]</f>
        <v>0</v>
      </c>
      <c r="I1675" s="13">
        <f>Table6[[#This Row],[discharge_date]]-Table6[[#This Row],[surgery_date]]</f>
        <v>0</v>
      </c>
      <c r="J1675" s="9" t="str">
        <f t="shared" si="45"/>
        <v/>
      </c>
    </row>
    <row r="1676" spans="1:10" ht="23.25" customHeight="1">
      <c r="A1676">
        <f>Table4[[#This Row],[Column1]]</f>
        <v>0</v>
      </c>
      <c r="B1676">
        <f>Table4[[#This Row],[Column2]]</f>
        <v>0</v>
      </c>
      <c r="I1676" s="13">
        <f>Table6[[#This Row],[discharge_date]]-Table6[[#This Row],[surgery_date]]</f>
        <v>0</v>
      </c>
      <c r="J1676" s="9" t="str">
        <f t="shared" si="45"/>
        <v/>
      </c>
    </row>
    <row r="1677" spans="1:10" ht="23.25" customHeight="1">
      <c r="A1677">
        <f>Table4[[#This Row],[Column1]]</f>
        <v>0</v>
      </c>
      <c r="B1677">
        <f>Table4[[#This Row],[Column2]]</f>
        <v>0</v>
      </c>
      <c r="I1677" s="13">
        <f>Table6[[#This Row],[discharge_date]]-Table6[[#This Row],[surgery_date]]</f>
        <v>0</v>
      </c>
      <c r="J1677" s="9" t="str">
        <f t="shared" si="45"/>
        <v/>
      </c>
    </row>
    <row r="1678" spans="1:10" ht="23.25" customHeight="1">
      <c r="A1678">
        <f>Table4[[#This Row],[Column1]]</f>
        <v>0</v>
      </c>
      <c r="B1678">
        <f>Table4[[#This Row],[Column2]]</f>
        <v>0</v>
      </c>
      <c r="I1678" s="13">
        <f>Table6[[#This Row],[discharge_date]]-Table6[[#This Row],[surgery_date]]</f>
        <v>0</v>
      </c>
      <c r="J1678" s="9" t="str">
        <f t="shared" si="45"/>
        <v/>
      </c>
    </row>
    <row r="1679" spans="1:10" ht="23.25" customHeight="1">
      <c r="A1679">
        <f>Table4[[#This Row],[Column1]]</f>
        <v>0</v>
      </c>
      <c r="B1679">
        <f>Table4[[#This Row],[Column2]]</f>
        <v>0</v>
      </c>
      <c r="I1679" s="13">
        <f>Table6[[#This Row],[discharge_date]]-Table6[[#This Row],[surgery_date]]</f>
        <v>0</v>
      </c>
      <c r="J1679" s="9" t="str">
        <f t="shared" si="45"/>
        <v/>
      </c>
    </row>
    <row r="1680" spans="1:10" ht="23.25" customHeight="1">
      <c r="A1680">
        <f>Table4[[#This Row],[Column1]]</f>
        <v>0</v>
      </c>
      <c r="B1680">
        <f>Table4[[#This Row],[Column2]]</f>
        <v>0</v>
      </c>
      <c r="I1680" s="13">
        <f>Table6[[#This Row],[discharge_date]]-Table6[[#This Row],[surgery_date]]</f>
        <v>0</v>
      </c>
      <c r="J1680" s="9" t="str">
        <f t="shared" si="45"/>
        <v/>
      </c>
    </row>
    <row r="1681" spans="1:10" ht="23.25" customHeight="1">
      <c r="A1681">
        <f>Table4[[#This Row],[Column1]]</f>
        <v>0</v>
      </c>
      <c r="B1681">
        <f>Table4[[#This Row],[Column2]]</f>
        <v>0</v>
      </c>
      <c r="I1681" s="13">
        <f>Table6[[#This Row],[discharge_date]]-Table6[[#This Row],[surgery_date]]</f>
        <v>0</v>
      </c>
      <c r="J1681" s="9" t="str">
        <f t="shared" si="45"/>
        <v/>
      </c>
    </row>
    <row r="1682" spans="1:10" ht="23.25" customHeight="1">
      <c r="A1682">
        <f>Table4[[#This Row],[Column1]]</f>
        <v>0</v>
      </c>
      <c r="B1682">
        <f>Table4[[#This Row],[Column2]]</f>
        <v>0</v>
      </c>
      <c r="I1682" s="13">
        <f>Table6[[#This Row],[discharge_date]]-Table6[[#This Row],[surgery_date]]</f>
        <v>0</v>
      </c>
      <c r="J1682" s="9" t="str">
        <f t="shared" si="45"/>
        <v/>
      </c>
    </row>
    <row r="1683" spans="1:10" ht="23.25" customHeight="1">
      <c r="A1683">
        <f>Table4[[#This Row],[Column1]]</f>
        <v>0</v>
      </c>
      <c r="B1683">
        <f>Table4[[#This Row],[Column2]]</f>
        <v>0</v>
      </c>
      <c r="I1683" s="13">
        <f>Table6[[#This Row],[discharge_date]]-Table6[[#This Row],[surgery_date]]</f>
        <v>0</v>
      </c>
      <c r="J1683" s="9" t="str">
        <f t="shared" si="45"/>
        <v/>
      </c>
    </row>
    <row r="1684" spans="1:10" ht="23.25" customHeight="1">
      <c r="A1684">
        <f>Table4[[#This Row],[Column1]]</f>
        <v>0</v>
      </c>
      <c r="B1684">
        <f>Table4[[#This Row],[Column2]]</f>
        <v>0</v>
      </c>
      <c r="I1684" s="13">
        <f>Table6[[#This Row],[discharge_date]]-Table6[[#This Row],[surgery_date]]</f>
        <v>0</v>
      </c>
      <c r="J1684" s="9" t="str">
        <f t="shared" si="45"/>
        <v/>
      </c>
    </row>
    <row r="1685" spans="1:10" ht="23.25" customHeight="1">
      <c r="A1685">
        <f>Table4[[#This Row],[Column1]]</f>
        <v>0</v>
      </c>
      <c r="B1685">
        <f>Table4[[#This Row],[Column2]]</f>
        <v>0</v>
      </c>
      <c r="I1685" s="13">
        <f>Table6[[#This Row],[discharge_date]]-Table6[[#This Row],[surgery_date]]</f>
        <v>0</v>
      </c>
      <c r="J1685" s="9" t="str">
        <f t="shared" si="45"/>
        <v/>
      </c>
    </row>
    <row r="1686" spans="1:10" ht="23.25" customHeight="1">
      <c r="A1686">
        <f>Table4[[#This Row],[Column1]]</f>
        <v>0</v>
      </c>
      <c r="B1686">
        <f>Table4[[#This Row],[Column2]]</f>
        <v>0</v>
      </c>
      <c r="I1686" s="13">
        <f>Table6[[#This Row],[discharge_date]]-Table6[[#This Row],[surgery_date]]</f>
        <v>0</v>
      </c>
      <c r="J1686" s="9" t="str">
        <f t="shared" si="45"/>
        <v/>
      </c>
    </row>
    <row r="1687" spans="1:10" ht="23.25" customHeight="1">
      <c r="A1687">
        <f>Table4[[#This Row],[Column1]]</f>
        <v>0</v>
      </c>
      <c r="B1687">
        <f>Table4[[#This Row],[Column2]]</f>
        <v>0</v>
      </c>
      <c r="I1687" s="13">
        <f>Table6[[#This Row],[discharge_date]]-Table6[[#This Row],[surgery_date]]</f>
        <v>0</v>
      </c>
      <c r="J1687" s="9" t="str">
        <f t="shared" si="45"/>
        <v/>
      </c>
    </row>
    <row r="1688" spans="1:10" ht="23.25" customHeight="1">
      <c r="A1688">
        <f>Table4[[#This Row],[Column1]]</f>
        <v>0</v>
      </c>
      <c r="B1688">
        <f>Table4[[#This Row],[Column2]]</f>
        <v>0</v>
      </c>
      <c r="I1688" s="13">
        <f>Table6[[#This Row],[discharge_date]]-Table6[[#This Row],[surgery_date]]</f>
        <v>0</v>
      </c>
      <c r="J1688" s="9" t="str">
        <f t="shared" si="45"/>
        <v/>
      </c>
    </row>
    <row r="1689" spans="1:10" ht="23.25" customHeight="1">
      <c r="A1689">
        <f>Table4[[#This Row],[Column1]]</f>
        <v>0</v>
      </c>
      <c r="B1689">
        <f>Table4[[#This Row],[Column2]]</f>
        <v>0</v>
      </c>
      <c r="I1689" s="13">
        <f>Table6[[#This Row],[discharge_date]]-Table6[[#This Row],[surgery_date]]</f>
        <v>0</v>
      </c>
      <c r="J1689" s="9" t="str">
        <f t="shared" si="45"/>
        <v/>
      </c>
    </row>
    <row r="1690" spans="1:10" ht="23.25" customHeight="1">
      <c r="A1690">
        <f>Table4[[#This Row],[Column1]]</f>
        <v>0</v>
      </c>
      <c r="B1690">
        <f>Table4[[#This Row],[Column2]]</f>
        <v>0</v>
      </c>
      <c r="I1690" s="13">
        <f>Table6[[#This Row],[discharge_date]]-Table6[[#This Row],[surgery_date]]</f>
        <v>0</v>
      </c>
      <c r="J1690" s="9" t="str">
        <f t="shared" si="45"/>
        <v/>
      </c>
    </row>
    <row r="1691" spans="1:10" ht="23.25" customHeight="1">
      <c r="A1691">
        <f>Table4[[#This Row],[Column1]]</f>
        <v>0</v>
      </c>
      <c r="B1691">
        <f>Table4[[#This Row],[Column2]]</f>
        <v>0</v>
      </c>
      <c r="I1691" s="13">
        <f>Table6[[#This Row],[discharge_date]]-Table6[[#This Row],[surgery_date]]</f>
        <v>0</v>
      </c>
      <c r="J1691" s="9" t="str">
        <f t="shared" si="45"/>
        <v/>
      </c>
    </row>
    <row r="1692" spans="1:10" ht="23.25" customHeight="1">
      <c r="A1692">
        <f>Table4[[#This Row],[Column1]]</f>
        <v>0</v>
      </c>
      <c r="B1692">
        <f>Table4[[#This Row],[Column2]]</f>
        <v>0</v>
      </c>
      <c r="I1692" s="13">
        <f>Table6[[#This Row],[discharge_date]]-Table6[[#This Row],[surgery_date]]</f>
        <v>0</v>
      </c>
      <c r="J1692" s="9" t="str">
        <f t="shared" si="45"/>
        <v/>
      </c>
    </row>
    <row r="1693" spans="1:10" ht="23.25" customHeight="1">
      <c r="A1693">
        <f>Table4[[#This Row],[Column1]]</f>
        <v>0</v>
      </c>
      <c r="B1693">
        <f>Table4[[#This Row],[Column2]]</f>
        <v>0</v>
      </c>
      <c r="I1693" s="13">
        <f>Table6[[#This Row],[discharge_date]]-Table6[[#This Row],[surgery_date]]</f>
        <v>0</v>
      </c>
      <c r="J1693" s="9" t="str">
        <f t="shared" si="45"/>
        <v/>
      </c>
    </row>
    <row r="1694" spans="1:10" ht="23.25" customHeight="1">
      <c r="A1694">
        <f>Table4[[#This Row],[Column1]]</f>
        <v>0</v>
      </c>
      <c r="B1694">
        <f>Table4[[#This Row],[Column2]]</f>
        <v>0</v>
      </c>
      <c r="I1694" s="13">
        <f>Table6[[#This Row],[discharge_date]]-Table6[[#This Row],[surgery_date]]</f>
        <v>0</v>
      </c>
      <c r="J1694" s="9" t="str">
        <f t="shared" si="45"/>
        <v/>
      </c>
    </row>
    <row r="1695" spans="1:10" ht="23.25" customHeight="1">
      <c r="A1695">
        <f>Table4[[#This Row],[Column1]]</f>
        <v>0</v>
      </c>
      <c r="B1695">
        <f>Table4[[#This Row],[Column2]]</f>
        <v>0</v>
      </c>
      <c r="I1695" s="13">
        <f>Table6[[#This Row],[discharge_date]]-Table6[[#This Row],[surgery_date]]</f>
        <v>0</v>
      </c>
      <c r="J1695" s="9" t="str">
        <f t="shared" si="45"/>
        <v/>
      </c>
    </row>
    <row r="1696" spans="1:10" ht="23.25" customHeight="1">
      <c r="A1696">
        <f>Table4[[#This Row],[Column1]]</f>
        <v>0</v>
      </c>
      <c r="B1696">
        <f>Table4[[#This Row],[Column2]]</f>
        <v>0</v>
      </c>
      <c r="I1696" s="13">
        <f>Table6[[#This Row],[discharge_date]]-Table6[[#This Row],[surgery_date]]</f>
        <v>0</v>
      </c>
      <c r="J1696" s="9" t="str">
        <f t="shared" si="45"/>
        <v/>
      </c>
    </row>
    <row r="1697" spans="1:10" ht="23.25" customHeight="1">
      <c r="A1697">
        <f>Table4[[#This Row],[Column1]]</f>
        <v>0</v>
      </c>
      <c r="B1697">
        <f>Table4[[#This Row],[Column2]]</f>
        <v>0</v>
      </c>
      <c r="I1697" s="13">
        <f>Table6[[#This Row],[discharge_date]]-Table6[[#This Row],[surgery_date]]</f>
        <v>0</v>
      </c>
      <c r="J1697" s="9" t="str">
        <f t="shared" si="45"/>
        <v/>
      </c>
    </row>
    <row r="1698" spans="1:10" ht="23.25" customHeight="1">
      <c r="A1698">
        <f>Table4[[#This Row],[Column1]]</f>
        <v>0</v>
      </c>
      <c r="B1698">
        <f>Table4[[#This Row],[Column2]]</f>
        <v>0</v>
      </c>
      <c r="I1698" s="13">
        <f>Table6[[#This Row],[discharge_date]]-Table6[[#This Row],[surgery_date]]</f>
        <v>0</v>
      </c>
      <c r="J1698" s="9" t="str">
        <f t="shared" si="45"/>
        <v/>
      </c>
    </row>
    <row r="1699" spans="1:10" ht="23.25" customHeight="1">
      <c r="A1699">
        <f>Table4[[#This Row],[Column1]]</f>
        <v>0</v>
      </c>
      <c r="B1699">
        <f>Table4[[#This Row],[Column2]]</f>
        <v>0</v>
      </c>
      <c r="I1699" s="13">
        <f>Table6[[#This Row],[discharge_date]]-Table6[[#This Row],[surgery_date]]</f>
        <v>0</v>
      </c>
      <c r="J1699" s="9" t="str">
        <f t="shared" si="45"/>
        <v/>
      </c>
    </row>
    <row r="1700" spans="1:10" ht="23.25" customHeight="1">
      <c r="A1700">
        <f>Table4[[#This Row],[Column1]]</f>
        <v>0</v>
      </c>
      <c r="B1700">
        <f>Table4[[#This Row],[Column2]]</f>
        <v>0</v>
      </c>
      <c r="I1700" s="13">
        <f>Table6[[#This Row],[discharge_date]]-Table6[[#This Row],[surgery_date]]</f>
        <v>0</v>
      </c>
      <c r="J1700" s="9" t="str">
        <f t="shared" si="45"/>
        <v/>
      </c>
    </row>
    <row r="1701" spans="1:10" ht="23.25" customHeight="1">
      <c r="A1701">
        <f>Table4[[#This Row],[Column1]]</f>
        <v>0</v>
      </c>
      <c r="B1701">
        <f>Table4[[#This Row],[Column2]]</f>
        <v>0</v>
      </c>
      <c r="I1701" s="13">
        <f>Table6[[#This Row],[discharge_date]]-Table6[[#This Row],[surgery_date]]</f>
        <v>0</v>
      </c>
      <c r="J1701" s="9" t="str">
        <f t="shared" si="45"/>
        <v/>
      </c>
    </row>
    <row r="1702" spans="1:10" ht="23.25" customHeight="1">
      <c r="A1702">
        <f>Table4[[#This Row],[Column1]]</f>
        <v>0</v>
      </c>
      <c r="B1702">
        <f>Table4[[#This Row],[Column2]]</f>
        <v>0</v>
      </c>
      <c r="I1702" s="13">
        <f>Table6[[#This Row],[discharge_date]]-Table6[[#This Row],[surgery_date]]</f>
        <v>0</v>
      </c>
      <c r="J1702" s="9" t="str">
        <f t="shared" si="45"/>
        <v/>
      </c>
    </row>
    <row r="1703" spans="1:10" ht="23.25" customHeight="1">
      <c r="A1703">
        <f>Table4[[#This Row],[Column1]]</f>
        <v>0</v>
      </c>
      <c r="B1703">
        <f>Table4[[#This Row],[Column2]]</f>
        <v>0</v>
      </c>
      <c r="I1703" s="13">
        <f>Table6[[#This Row],[discharge_date]]-Table6[[#This Row],[surgery_date]]</f>
        <v>0</v>
      </c>
      <c r="J1703" s="9" t="str">
        <f t="shared" si="45"/>
        <v/>
      </c>
    </row>
    <row r="1704" spans="1:10" ht="23.25" customHeight="1">
      <c r="A1704">
        <f>Table4[[#This Row],[Column1]]</f>
        <v>0</v>
      </c>
      <c r="B1704">
        <f>Table4[[#This Row],[Column2]]</f>
        <v>0</v>
      </c>
      <c r="I1704" s="13">
        <f>Table6[[#This Row],[discharge_date]]-Table6[[#This Row],[surgery_date]]</f>
        <v>0</v>
      </c>
      <c r="J1704" s="9" t="str">
        <f t="shared" si="45"/>
        <v/>
      </c>
    </row>
    <row r="1705" spans="1:10" ht="23.25" customHeight="1">
      <c r="A1705">
        <f>Table4[[#This Row],[Column1]]</f>
        <v>0</v>
      </c>
      <c r="B1705">
        <f>Table4[[#This Row],[Column2]]</f>
        <v>0</v>
      </c>
      <c r="I1705" s="13">
        <f>Table6[[#This Row],[discharge_date]]-Table6[[#This Row],[surgery_date]]</f>
        <v>0</v>
      </c>
      <c r="J1705" s="9" t="str">
        <f t="shared" si="45"/>
        <v/>
      </c>
    </row>
    <row r="1706" spans="1:10" ht="23.25" customHeight="1">
      <c r="A1706">
        <f>Table4[[#This Row],[Column1]]</f>
        <v>0</v>
      </c>
      <c r="B1706">
        <f>Table4[[#This Row],[Column2]]</f>
        <v>0</v>
      </c>
      <c r="I1706" s="13">
        <f>Table6[[#This Row],[discharge_date]]-Table6[[#This Row],[surgery_date]]</f>
        <v>0</v>
      </c>
      <c r="J1706" s="9" t="str">
        <f t="shared" si="45"/>
        <v/>
      </c>
    </row>
    <row r="1707" spans="1:10" ht="23.25" customHeight="1">
      <c r="A1707">
        <f>Table4[[#This Row],[Column1]]</f>
        <v>0</v>
      </c>
      <c r="B1707">
        <f>Table4[[#This Row],[Column2]]</f>
        <v>0</v>
      </c>
      <c r="I1707" s="13">
        <f>Table6[[#This Row],[discharge_date]]-Table6[[#This Row],[surgery_date]]</f>
        <v>0</v>
      </c>
      <c r="J1707" s="9" t="str">
        <f t="shared" si="45"/>
        <v/>
      </c>
    </row>
    <row r="1708" spans="1:10" ht="23.25" customHeight="1">
      <c r="A1708">
        <f>Table4[[#This Row],[Column1]]</f>
        <v>0</v>
      </c>
      <c r="B1708">
        <f>Table4[[#This Row],[Column2]]</f>
        <v>0</v>
      </c>
      <c r="I1708" s="13">
        <f>Table6[[#This Row],[discharge_date]]-Table6[[#This Row],[surgery_date]]</f>
        <v>0</v>
      </c>
      <c r="J1708" s="9" t="str">
        <f t="shared" si="45"/>
        <v/>
      </c>
    </row>
    <row r="1709" spans="1:10" ht="23.25" customHeight="1">
      <c r="A1709">
        <f>Table4[[#This Row],[Column1]]</f>
        <v>0</v>
      </c>
      <c r="B1709">
        <f>Table4[[#This Row],[Column2]]</f>
        <v>0</v>
      </c>
      <c r="I1709" s="13">
        <f>Table6[[#This Row],[discharge_date]]-Table6[[#This Row],[surgery_date]]</f>
        <v>0</v>
      </c>
      <c r="J1709" s="9" t="str">
        <f t="shared" si="45"/>
        <v/>
      </c>
    </row>
    <row r="1710" spans="1:10" ht="23.25" customHeight="1">
      <c r="A1710">
        <f>Table4[[#This Row],[Column1]]</f>
        <v>0</v>
      </c>
      <c r="B1710">
        <f>Table4[[#This Row],[Column2]]</f>
        <v>0</v>
      </c>
      <c r="I1710" s="13">
        <f>Table6[[#This Row],[discharge_date]]-Table6[[#This Row],[surgery_date]]</f>
        <v>0</v>
      </c>
      <c r="J1710" s="9" t="str">
        <f t="shared" si="45"/>
        <v/>
      </c>
    </row>
    <row r="1711" spans="1:10" ht="23.25" customHeight="1">
      <c r="A1711">
        <f>Table4[[#This Row],[Column1]]</f>
        <v>0</v>
      </c>
      <c r="B1711">
        <f>Table4[[#This Row],[Column2]]</f>
        <v>0</v>
      </c>
      <c r="I1711" s="13">
        <f>Table6[[#This Row],[discharge_date]]-Table6[[#This Row],[surgery_date]]</f>
        <v>0</v>
      </c>
      <c r="J1711" s="9" t="str">
        <f t="shared" si="45"/>
        <v/>
      </c>
    </row>
    <row r="1712" spans="1:10" ht="23.25" customHeight="1">
      <c r="A1712">
        <f>Table4[[#This Row],[Column1]]</f>
        <v>0</v>
      </c>
      <c r="B1712">
        <f>Table4[[#This Row],[Column2]]</f>
        <v>0</v>
      </c>
      <c r="I1712" s="13">
        <f>Table6[[#This Row],[discharge_date]]-Table6[[#This Row],[surgery_date]]</f>
        <v>0</v>
      </c>
      <c r="J1712" s="9" t="str">
        <f t="shared" si="45"/>
        <v/>
      </c>
    </row>
    <row r="1713" spans="1:10" ht="23.25" customHeight="1">
      <c r="A1713">
        <f>Table4[[#This Row],[Column1]]</f>
        <v>0</v>
      </c>
      <c r="B1713">
        <f>Table4[[#This Row],[Column2]]</f>
        <v>0</v>
      </c>
      <c r="I1713" s="13">
        <f>Table6[[#This Row],[discharge_date]]-Table6[[#This Row],[surgery_date]]</f>
        <v>0</v>
      </c>
      <c r="J1713" s="9" t="str">
        <f t="shared" si="45"/>
        <v/>
      </c>
    </row>
    <row r="1714" spans="1:10" ht="23.25" customHeight="1">
      <c r="A1714">
        <f>Table4[[#This Row],[Column1]]</f>
        <v>0</v>
      </c>
      <c r="B1714">
        <f>Table4[[#This Row],[Column2]]</f>
        <v>0</v>
      </c>
      <c r="I1714" s="13">
        <f>Table6[[#This Row],[discharge_date]]-Table6[[#This Row],[surgery_date]]</f>
        <v>0</v>
      </c>
      <c r="J1714" s="9" t="str">
        <f t="shared" si="45"/>
        <v/>
      </c>
    </row>
    <row r="1715" spans="1:10" ht="23.25" customHeight="1">
      <c r="A1715">
        <f>Table4[[#This Row],[Column1]]</f>
        <v>0</v>
      </c>
      <c r="B1715">
        <f>Table4[[#This Row],[Column2]]</f>
        <v>0</v>
      </c>
      <c r="I1715" s="13">
        <f>Table6[[#This Row],[discharge_date]]-Table6[[#This Row],[surgery_date]]</f>
        <v>0</v>
      </c>
      <c r="J1715" s="9" t="str">
        <f t="shared" si="45"/>
        <v/>
      </c>
    </row>
    <row r="1716" spans="1:10" ht="23.25" customHeight="1">
      <c r="A1716">
        <f>Table4[[#This Row],[Column1]]</f>
        <v>0</v>
      </c>
      <c r="B1716">
        <f>Table4[[#This Row],[Column2]]</f>
        <v>0</v>
      </c>
      <c r="I1716" s="13">
        <f>Table6[[#This Row],[discharge_date]]-Table6[[#This Row],[surgery_date]]</f>
        <v>0</v>
      </c>
      <c r="J1716" s="9" t="str">
        <f t="shared" si="45"/>
        <v/>
      </c>
    </row>
    <row r="1717" spans="1:10" ht="23.25" customHeight="1">
      <c r="A1717">
        <f>Table4[[#This Row],[Column1]]</f>
        <v>0</v>
      </c>
      <c r="B1717">
        <f>Table4[[#This Row],[Column2]]</f>
        <v>0</v>
      </c>
      <c r="I1717" s="13">
        <f>Table6[[#This Row],[discharge_date]]-Table6[[#This Row],[surgery_date]]</f>
        <v>0</v>
      </c>
      <c r="J1717" s="9" t="str">
        <f t="shared" si="45"/>
        <v/>
      </c>
    </row>
    <row r="1718" spans="1:10" ht="23.25" customHeight="1">
      <c r="A1718">
        <f>Table4[[#This Row],[Column1]]</f>
        <v>0</v>
      </c>
      <c r="B1718">
        <f>Table4[[#This Row],[Column2]]</f>
        <v>0</v>
      </c>
      <c r="I1718" s="13">
        <f>Table6[[#This Row],[discharge_date]]-Table6[[#This Row],[surgery_date]]</f>
        <v>0</v>
      </c>
      <c r="J1718" s="9" t="str">
        <f t="shared" si="45"/>
        <v/>
      </c>
    </row>
    <row r="1719" spans="1:10" ht="23.25" customHeight="1">
      <c r="A1719">
        <f>Table4[[#This Row],[Column1]]</f>
        <v>0</v>
      </c>
      <c r="B1719">
        <f>Table4[[#This Row],[Column2]]</f>
        <v>0</v>
      </c>
      <c r="I1719" s="13">
        <f>Table6[[#This Row],[discharge_date]]-Table6[[#This Row],[surgery_date]]</f>
        <v>0</v>
      </c>
      <c r="J1719" s="9" t="str">
        <f t="shared" si="45"/>
        <v/>
      </c>
    </row>
    <row r="1720" spans="1:10" ht="23.25" customHeight="1">
      <c r="A1720">
        <f>Table4[[#This Row],[Column1]]</f>
        <v>0</v>
      </c>
      <c r="B1720">
        <f>Table4[[#This Row],[Column2]]</f>
        <v>0</v>
      </c>
      <c r="I1720" s="13">
        <f>Table6[[#This Row],[discharge_date]]-Table6[[#This Row],[surgery_date]]</f>
        <v>0</v>
      </c>
      <c r="J1720" s="9" t="str">
        <f t="shared" si="45"/>
        <v/>
      </c>
    </row>
    <row r="1721" spans="1:10" ht="23.25" customHeight="1">
      <c r="A1721">
        <f>Table4[[#This Row],[Column1]]</f>
        <v>0</v>
      </c>
      <c r="B1721">
        <f>Table4[[#This Row],[Column2]]</f>
        <v>0</v>
      </c>
      <c r="I1721" s="13">
        <f>Table6[[#This Row],[discharge_date]]-Table6[[#This Row],[surgery_date]]</f>
        <v>0</v>
      </c>
      <c r="J1721" s="9" t="str">
        <f t="shared" si="45"/>
        <v/>
      </c>
    </row>
    <row r="1722" spans="1:10" ht="23.25" customHeight="1">
      <c r="A1722">
        <f>Table4[[#This Row],[Column1]]</f>
        <v>0</v>
      </c>
      <c r="B1722">
        <f>Table4[[#This Row],[Column2]]</f>
        <v>0</v>
      </c>
      <c r="I1722" s="13">
        <f>Table6[[#This Row],[discharge_date]]-Table6[[#This Row],[surgery_date]]</f>
        <v>0</v>
      </c>
      <c r="J1722" s="9" t="str">
        <f t="shared" si="45"/>
        <v/>
      </c>
    </row>
    <row r="1723" spans="1:10" ht="23.25" customHeight="1">
      <c r="A1723">
        <f>Table4[[#This Row],[Column1]]</f>
        <v>0</v>
      </c>
      <c r="B1723">
        <f>Table4[[#This Row],[Column2]]</f>
        <v>0</v>
      </c>
      <c r="I1723" s="13">
        <f>Table6[[#This Row],[discharge_date]]-Table6[[#This Row],[surgery_date]]</f>
        <v>0</v>
      </c>
      <c r="J1723" s="9" t="str">
        <f t="shared" si="45"/>
        <v/>
      </c>
    </row>
    <row r="1724" spans="1:10" ht="23.25" customHeight="1">
      <c r="A1724">
        <f>Table4[[#This Row],[Column1]]</f>
        <v>0</v>
      </c>
      <c r="B1724">
        <f>Table4[[#This Row],[Column2]]</f>
        <v>0</v>
      </c>
      <c r="I1724" s="13">
        <f>Table6[[#This Row],[discharge_date]]-Table6[[#This Row],[surgery_date]]</f>
        <v>0</v>
      </c>
      <c r="J1724" s="9" t="str">
        <f t="shared" si="45"/>
        <v/>
      </c>
    </row>
    <row r="1725" spans="1:10" ht="23.25" customHeight="1">
      <c r="A1725">
        <f>Table4[[#This Row],[Column1]]</f>
        <v>0</v>
      </c>
      <c r="B1725">
        <f>Table4[[#This Row],[Column2]]</f>
        <v>0</v>
      </c>
      <c r="I1725" s="13">
        <f>Table6[[#This Row],[discharge_date]]-Table6[[#This Row],[surgery_date]]</f>
        <v>0</v>
      </c>
      <c r="J1725" s="9" t="str">
        <f t="shared" si="45"/>
        <v/>
      </c>
    </row>
    <row r="1726" spans="1:10" ht="23.25" customHeight="1">
      <c r="A1726">
        <f>Table4[[#This Row],[Column1]]</f>
        <v>0</v>
      </c>
      <c r="B1726">
        <f>Table4[[#This Row],[Column2]]</f>
        <v>0</v>
      </c>
      <c r="I1726" s="13">
        <f>Table6[[#This Row],[discharge_date]]-Table6[[#This Row],[surgery_date]]</f>
        <v>0</v>
      </c>
      <c r="J1726" s="9" t="str">
        <f t="shared" si="45"/>
        <v/>
      </c>
    </row>
    <row r="1727" spans="1:10" ht="23.25" customHeight="1">
      <c r="A1727">
        <f>Table4[[#This Row],[Column1]]</f>
        <v>0</v>
      </c>
      <c r="B1727">
        <f>Table4[[#This Row],[Column2]]</f>
        <v>0</v>
      </c>
      <c r="I1727" s="13">
        <f>Table6[[#This Row],[discharge_date]]-Table6[[#This Row],[surgery_date]]</f>
        <v>0</v>
      </c>
      <c r="J1727" s="9" t="str">
        <f t="shared" si="45"/>
        <v/>
      </c>
    </row>
    <row r="1728" spans="1:10" ht="23.25" customHeight="1">
      <c r="A1728">
        <f>Table4[[#This Row],[Column1]]</f>
        <v>0</v>
      </c>
      <c r="B1728">
        <f>Table4[[#This Row],[Column2]]</f>
        <v>0</v>
      </c>
      <c r="I1728" s="13">
        <f>Table6[[#This Row],[discharge_date]]-Table6[[#This Row],[surgery_date]]</f>
        <v>0</v>
      </c>
      <c r="J1728" s="9" t="str">
        <f t="shared" si="45"/>
        <v/>
      </c>
    </row>
    <row r="1729" spans="1:10" ht="23.25" customHeight="1">
      <c r="A1729">
        <f>Table4[[#This Row],[Column1]]</f>
        <v>0</v>
      </c>
      <c r="B1729">
        <f>Table4[[#This Row],[Column2]]</f>
        <v>0</v>
      </c>
      <c r="I1729" s="13">
        <f>Table6[[#This Row],[discharge_date]]-Table6[[#This Row],[surgery_date]]</f>
        <v>0</v>
      </c>
      <c r="J1729" s="9" t="str">
        <f t="shared" si="45"/>
        <v/>
      </c>
    </row>
    <row r="1730" spans="1:10" ht="23.25" customHeight="1">
      <c r="A1730">
        <f>Table4[[#This Row],[Column1]]</f>
        <v>0</v>
      </c>
      <c r="B1730">
        <f>Table4[[#This Row],[Column2]]</f>
        <v>0</v>
      </c>
      <c r="I1730" s="13">
        <f>Table6[[#This Row],[discharge_date]]-Table6[[#This Row],[surgery_date]]</f>
        <v>0</v>
      </c>
      <c r="J1730" s="9" t="str">
        <f t="shared" ref="J1730:J1793" si="46">IF( H1730&lt;&gt;"", H1730+30,"")</f>
        <v/>
      </c>
    </row>
    <row r="1731" spans="1:10" ht="23.25" customHeight="1">
      <c r="A1731">
        <f>Table4[[#This Row],[Column1]]</f>
        <v>0</v>
      </c>
      <c r="B1731">
        <f>Table4[[#This Row],[Column2]]</f>
        <v>0</v>
      </c>
      <c r="I1731" s="13">
        <f>Table6[[#This Row],[discharge_date]]-Table6[[#This Row],[surgery_date]]</f>
        <v>0</v>
      </c>
      <c r="J1731" s="9" t="str">
        <f t="shared" si="46"/>
        <v/>
      </c>
    </row>
    <row r="1732" spans="1:10" ht="23.25" customHeight="1">
      <c r="A1732">
        <f>Table4[[#This Row],[Column1]]</f>
        <v>0</v>
      </c>
      <c r="B1732">
        <f>Table4[[#This Row],[Column2]]</f>
        <v>0</v>
      </c>
      <c r="I1732" s="13">
        <f>Table6[[#This Row],[discharge_date]]-Table6[[#This Row],[surgery_date]]</f>
        <v>0</v>
      </c>
      <c r="J1732" s="9" t="str">
        <f t="shared" si="46"/>
        <v/>
      </c>
    </row>
    <row r="1733" spans="1:10" ht="23.25" customHeight="1">
      <c r="A1733">
        <f>Table4[[#This Row],[Column1]]</f>
        <v>0</v>
      </c>
      <c r="B1733">
        <f>Table4[[#This Row],[Column2]]</f>
        <v>0</v>
      </c>
      <c r="I1733" s="13">
        <f>Table6[[#This Row],[discharge_date]]-Table6[[#This Row],[surgery_date]]</f>
        <v>0</v>
      </c>
      <c r="J1733" s="9" t="str">
        <f t="shared" si="46"/>
        <v/>
      </c>
    </row>
    <row r="1734" spans="1:10" ht="23.25" customHeight="1">
      <c r="A1734">
        <f>Table4[[#This Row],[Column1]]</f>
        <v>0</v>
      </c>
      <c r="B1734">
        <f>Table4[[#This Row],[Column2]]</f>
        <v>0</v>
      </c>
      <c r="I1734" s="13">
        <f>Table6[[#This Row],[discharge_date]]-Table6[[#This Row],[surgery_date]]</f>
        <v>0</v>
      </c>
      <c r="J1734" s="9" t="str">
        <f t="shared" si="46"/>
        <v/>
      </c>
    </row>
    <row r="1735" spans="1:10" ht="23.25" customHeight="1">
      <c r="A1735">
        <f>Table4[[#This Row],[Column1]]</f>
        <v>0</v>
      </c>
      <c r="B1735">
        <f>Table4[[#This Row],[Column2]]</f>
        <v>0</v>
      </c>
      <c r="I1735" s="13">
        <f>Table6[[#This Row],[discharge_date]]-Table6[[#This Row],[surgery_date]]</f>
        <v>0</v>
      </c>
      <c r="J1735" s="9" t="str">
        <f t="shared" si="46"/>
        <v/>
      </c>
    </row>
    <row r="1736" spans="1:10" ht="23.25" customHeight="1">
      <c r="A1736">
        <f>Table4[[#This Row],[Column1]]</f>
        <v>0</v>
      </c>
      <c r="B1736">
        <f>Table4[[#This Row],[Column2]]</f>
        <v>0</v>
      </c>
      <c r="I1736" s="13">
        <f>Table6[[#This Row],[discharge_date]]-Table6[[#This Row],[surgery_date]]</f>
        <v>0</v>
      </c>
      <c r="J1736" s="9" t="str">
        <f t="shared" si="46"/>
        <v/>
      </c>
    </row>
    <row r="1737" spans="1:10" ht="23.25" customHeight="1">
      <c r="A1737">
        <f>Table4[[#This Row],[Column1]]</f>
        <v>0</v>
      </c>
      <c r="B1737">
        <f>Table4[[#This Row],[Column2]]</f>
        <v>0</v>
      </c>
      <c r="I1737" s="13">
        <f>Table6[[#This Row],[discharge_date]]-Table6[[#This Row],[surgery_date]]</f>
        <v>0</v>
      </c>
      <c r="J1737" s="9" t="str">
        <f t="shared" si="46"/>
        <v/>
      </c>
    </row>
    <row r="1738" spans="1:10" ht="23.25" customHeight="1">
      <c r="A1738">
        <f>Table4[[#This Row],[Column1]]</f>
        <v>0</v>
      </c>
      <c r="B1738">
        <f>Table4[[#This Row],[Column2]]</f>
        <v>0</v>
      </c>
      <c r="I1738" s="13">
        <f>Table6[[#This Row],[discharge_date]]-Table6[[#This Row],[surgery_date]]</f>
        <v>0</v>
      </c>
      <c r="J1738" s="9" t="str">
        <f t="shared" si="46"/>
        <v/>
      </c>
    </row>
    <row r="1739" spans="1:10" ht="23.25" customHeight="1">
      <c r="A1739">
        <f>Table4[[#This Row],[Column1]]</f>
        <v>0</v>
      </c>
      <c r="B1739">
        <f>Table4[[#This Row],[Column2]]</f>
        <v>0</v>
      </c>
      <c r="I1739" s="13">
        <f>Table6[[#This Row],[discharge_date]]-Table6[[#This Row],[surgery_date]]</f>
        <v>0</v>
      </c>
      <c r="J1739" s="9" t="str">
        <f t="shared" si="46"/>
        <v/>
      </c>
    </row>
    <row r="1740" spans="1:10" ht="23.25" customHeight="1">
      <c r="A1740">
        <f>Table4[[#This Row],[Column1]]</f>
        <v>0</v>
      </c>
      <c r="B1740">
        <f>Table4[[#This Row],[Column2]]</f>
        <v>0</v>
      </c>
      <c r="I1740" s="13">
        <f>Table6[[#This Row],[discharge_date]]-Table6[[#This Row],[surgery_date]]</f>
        <v>0</v>
      </c>
      <c r="J1740" s="9" t="str">
        <f t="shared" si="46"/>
        <v/>
      </c>
    </row>
    <row r="1741" spans="1:10" ht="23.25" customHeight="1">
      <c r="A1741">
        <f>Table4[[#This Row],[Column1]]</f>
        <v>0</v>
      </c>
      <c r="B1741">
        <f>Table4[[#This Row],[Column2]]</f>
        <v>0</v>
      </c>
      <c r="I1741" s="13">
        <f>Table6[[#This Row],[discharge_date]]-Table6[[#This Row],[surgery_date]]</f>
        <v>0</v>
      </c>
      <c r="J1741" s="9" t="str">
        <f t="shared" si="46"/>
        <v/>
      </c>
    </row>
    <row r="1742" spans="1:10" ht="23.25" customHeight="1">
      <c r="A1742">
        <f>Table4[[#This Row],[Column1]]</f>
        <v>0</v>
      </c>
      <c r="B1742">
        <f>Table4[[#This Row],[Column2]]</f>
        <v>0</v>
      </c>
      <c r="I1742" s="13">
        <f>Table6[[#This Row],[discharge_date]]-Table6[[#This Row],[surgery_date]]</f>
        <v>0</v>
      </c>
      <c r="J1742" s="9" t="str">
        <f t="shared" si="46"/>
        <v/>
      </c>
    </row>
    <row r="1743" spans="1:10" ht="23.25" customHeight="1">
      <c r="A1743">
        <f>Table4[[#This Row],[Column1]]</f>
        <v>0</v>
      </c>
      <c r="B1743">
        <f>Table4[[#This Row],[Column2]]</f>
        <v>0</v>
      </c>
      <c r="I1743" s="13">
        <f>Table6[[#This Row],[discharge_date]]-Table6[[#This Row],[surgery_date]]</f>
        <v>0</v>
      </c>
      <c r="J1743" s="9" t="str">
        <f t="shared" si="46"/>
        <v/>
      </c>
    </row>
    <row r="1744" spans="1:10" ht="23.25" customHeight="1">
      <c r="A1744">
        <f>Table4[[#This Row],[Column1]]</f>
        <v>0</v>
      </c>
      <c r="B1744">
        <f>Table4[[#This Row],[Column2]]</f>
        <v>0</v>
      </c>
      <c r="I1744" s="13">
        <f>Table6[[#This Row],[discharge_date]]-Table6[[#This Row],[surgery_date]]</f>
        <v>0</v>
      </c>
      <c r="J1744" s="9" t="str">
        <f t="shared" si="46"/>
        <v/>
      </c>
    </row>
    <row r="1745" spans="1:10" ht="23.25" customHeight="1">
      <c r="A1745">
        <f>Table4[[#This Row],[Column1]]</f>
        <v>0</v>
      </c>
      <c r="B1745">
        <f>Table4[[#This Row],[Column2]]</f>
        <v>0</v>
      </c>
      <c r="I1745" s="13">
        <f>Table6[[#This Row],[discharge_date]]-Table6[[#This Row],[surgery_date]]</f>
        <v>0</v>
      </c>
      <c r="J1745" s="9" t="str">
        <f t="shared" si="46"/>
        <v/>
      </c>
    </row>
    <row r="1746" spans="1:10" ht="23.25" customHeight="1">
      <c r="A1746">
        <f>Table4[[#This Row],[Column1]]</f>
        <v>0</v>
      </c>
      <c r="B1746">
        <f>Table4[[#This Row],[Column2]]</f>
        <v>0</v>
      </c>
      <c r="I1746" s="13">
        <f>Table6[[#This Row],[discharge_date]]-Table6[[#This Row],[surgery_date]]</f>
        <v>0</v>
      </c>
      <c r="J1746" s="9" t="str">
        <f t="shared" si="46"/>
        <v/>
      </c>
    </row>
    <row r="1747" spans="1:10" ht="23.25" customHeight="1">
      <c r="A1747">
        <f>Table4[[#This Row],[Column1]]</f>
        <v>0</v>
      </c>
      <c r="B1747">
        <f>Table4[[#This Row],[Column2]]</f>
        <v>0</v>
      </c>
      <c r="I1747" s="13">
        <f>Table6[[#This Row],[discharge_date]]-Table6[[#This Row],[surgery_date]]</f>
        <v>0</v>
      </c>
      <c r="J1747" s="9" t="str">
        <f t="shared" si="46"/>
        <v/>
      </c>
    </row>
    <row r="1748" spans="1:10" ht="23.25" customHeight="1">
      <c r="A1748">
        <f>Table4[[#This Row],[Column1]]</f>
        <v>0</v>
      </c>
      <c r="B1748">
        <f>Table4[[#This Row],[Column2]]</f>
        <v>0</v>
      </c>
      <c r="I1748" s="13">
        <f>Table6[[#This Row],[discharge_date]]-Table6[[#This Row],[surgery_date]]</f>
        <v>0</v>
      </c>
      <c r="J1748" s="9" t="str">
        <f t="shared" si="46"/>
        <v/>
      </c>
    </row>
    <row r="1749" spans="1:10" ht="23.25" customHeight="1">
      <c r="A1749">
        <f>Table4[[#This Row],[Column1]]</f>
        <v>0</v>
      </c>
      <c r="B1749">
        <f>Table4[[#This Row],[Column2]]</f>
        <v>0</v>
      </c>
      <c r="I1749" s="13">
        <f>Table6[[#This Row],[discharge_date]]-Table6[[#This Row],[surgery_date]]</f>
        <v>0</v>
      </c>
      <c r="J1749" s="9" t="str">
        <f t="shared" si="46"/>
        <v/>
      </c>
    </row>
    <row r="1750" spans="1:10" ht="23.25" customHeight="1">
      <c r="A1750">
        <f>Table4[[#This Row],[Column1]]</f>
        <v>0</v>
      </c>
      <c r="B1750">
        <f>Table4[[#This Row],[Column2]]</f>
        <v>0</v>
      </c>
      <c r="I1750" s="13">
        <f>Table6[[#This Row],[discharge_date]]-Table6[[#This Row],[surgery_date]]</f>
        <v>0</v>
      </c>
      <c r="J1750" s="9" t="str">
        <f t="shared" si="46"/>
        <v/>
      </c>
    </row>
    <row r="1751" spans="1:10" ht="23.25" customHeight="1">
      <c r="A1751">
        <f>Table4[[#This Row],[Column1]]</f>
        <v>0</v>
      </c>
      <c r="B1751">
        <f>Table4[[#This Row],[Column2]]</f>
        <v>0</v>
      </c>
      <c r="I1751" s="13">
        <f>Table6[[#This Row],[discharge_date]]-Table6[[#This Row],[surgery_date]]</f>
        <v>0</v>
      </c>
      <c r="J1751" s="9" t="str">
        <f t="shared" si="46"/>
        <v/>
      </c>
    </row>
    <row r="1752" spans="1:10" ht="23.25" customHeight="1">
      <c r="A1752">
        <f>Table4[[#This Row],[Column1]]</f>
        <v>0</v>
      </c>
      <c r="B1752">
        <f>Table4[[#This Row],[Column2]]</f>
        <v>0</v>
      </c>
      <c r="I1752" s="13">
        <f>Table6[[#This Row],[discharge_date]]-Table6[[#This Row],[surgery_date]]</f>
        <v>0</v>
      </c>
      <c r="J1752" s="9" t="str">
        <f t="shared" si="46"/>
        <v/>
      </c>
    </row>
    <row r="1753" spans="1:10" ht="23.25" customHeight="1">
      <c r="A1753">
        <f>Table4[[#This Row],[Column1]]</f>
        <v>0</v>
      </c>
      <c r="B1753">
        <f>Table4[[#This Row],[Column2]]</f>
        <v>0</v>
      </c>
      <c r="I1753" s="13">
        <f>Table6[[#This Row],[discharge_date]]-Table6[[#This Row],[surgery_date]]</f>
        <v>0</v>
      </c>
      <c r="J1753" s="9" t="str">
        <f t="shared" si="46"/>
        <v/>
      </c>
    </row>
    <row r="1754" spans="1:10" ht="23.25" customHeight="1">
      <c r="A1754">
        <f>Table4[[#This Row],[Column1]]</f>
        <v>0</v>
      </c>
      <c r="B1754">
        <f>Table4[[#This Row],[Column2]]</f>
        <v>0</v>
      </c>
      <c r="I1754" s="13">
        <f>Table6[[#This Row],[discharge_date]]-Table6[[#This Row],[surgery_date]]</f>
        <v>0</v>
      </c>
      <c r="J1754" s="9" t="str">
        <f t="shared" si="46"/>
        <v/>
      </c>
    </row>
    <row r="1755" spans="1:10" ht="23.25" customHeight="1">
      <c r="A1755">
        <f>Table4[[#This Row],[Column1]]</f>
        <v>0</v>
      </c>
      <c r="B1755">
        <f>Table4[[#This Row],[Column2]]</f>
        <v>0</v>
      </c>
      <c r="I1755" s="13">
        <f>Table6[[#This Row],[discharge_date]]-Table6[[#This Row],[surgery_date]]</f>
        <v>0</v>
      </c>
      <c r="J1755" s="9" t="str">
        <f t="shared" si="46"/>
        <v/>
      </c>
    </row>
    <row r="1756" spans="1:10" ht="23.25" customHeight="1">
      <c r="A1756">
        <f>Table4[[#This Row],[Column1]]</f>
        <v>0</v>
      </c>
      <c r="B1756">
        <f>Table4[[#This Row],[Column2]]</f>
        <v>0</v>
      </c>
      <c r="I1756" s="13">
        <f>Table6[[#This Row],[discharge_date]]-Table6[[#This Row],[surgery_date]]</f>
        <v>0</v>
      </c>
      <c r="J1756" s="9" t="str">
        <f t="shared" si="46"/>
        <v/>
      </c>
    </row>
    <row r="1757" spans="1:10" ht="23.25" customHeight="1">
      <c r="A1757">
        <f>Table4[[#This Row],[Column1]]</f>
        <v>0</v>
      </c>
      <c r="B1757">
        <f>Table4[[#This Row],[Column2]]</f>
        <v>0</v>
      </c>
      <c r="I1757" s="13">
        <f>Table6[[#This Row],[discharge_date]]-Table6[[#This Row],[surgery_date]]</f>
        <v>0</v>
      </c>
      <c r="J1757" s="9" t="str">
        <f t="shared" si="46"/>
        <v/>
      </c>
    </row>
    <row r="1758" spans="1:10" ht="23.25" customHeight="1">
      <c r="A1758">
        <f>Table4[[#This Row],[Column1]]</f>
        <v>0</v>
      </c>
      <c r="B1758">
        <f>Table4[[#This Row],[Column2]]</f>
        <v>0</v>
      </c>
      <c r="I1758" s="13">
        <f>Table6[[#This Row],[discharge_date]]-Table6[[#This Row],[surgery_date]]</f>
        <v>0</v>
      </c>
      <c r="J1758" s="9" t="str">
        <f t="shared" si="46"/>
        <v/>
      </c>
    </row>
    <row r="1759" spans="1:10" ht="23.25" customHeight="1">
      <c r="A1759">
        <f>Table4[[#This Row],[Column1]]</f>
        <v>0</v>
      </c>
      <c r="B1759">
        <f>Table4[[#This Row],[Column2]]</f>
        <v>0</v>
      </c>
      <c r="I1759" s="13">
        <f>Table6[[#This Row],[discharge_date]]-Table6[[#This Row],[surgery_date]]</f>
        <v>0</v>
      </c>
      <c r="J1759" s="9" t="str">
        <f t="shared" si="46"/>
        <v/>
      </c>
    </row>
    <row r="1760" spans="1:10" ht="23.25" customHeight="1">
      <c r="A1760">
        <f>Table4[[#This Row],[Column1]]</f>
        <v>0</v>
      </c>
      <c r="B1760">
        <f>Table4[[#This Row],[Column2]]</f>
        <v>0</v>
      </c>
      <c r="I1760" s="13">
        <f>Table6[[#This Row],[discharge_date]]-Table6[[#This Row],[surgery_date]]</f>
        <v>0</v>
      </c>
      <c r="J1760" s="9" t="str">
        <f t="shared" si="46"/>
        <v/>
      </c>
    </row>
    <row r="1761" spans="1:10" ht="23.25" customHeight="1">
      <c r="A1761">
        <f>Table4[[#This Row],[Column1]]</f>
        <v>0</v>
      </c>
      <c r="B1761">
        <f>Table4[[#This Row],[Column2]]</f>
        <v>0</v>
      </c>
      <c r="I1761" s="13">
        <f>Table6[[#This Row],[discharge_date]]-Table6[[#This Row],[surgery_date]]</f>
        <v>0</v>
      </c>
      <c r="J1761" s="9" t="str">
        <f t="shared" si="46"/>
        <v/>
      </c>
    </row>
    <row r="1762" spans="1:10" ht="23.25" customHeight="1">
      <c r="A1762">
        <f>Table4[[#This Row],[Column1]]</f>
        <v>0</v>
      </c>
      <c r="B1762">
        <f>Table4[[#This Row],[Column2]]</f>
        <v>0</v>
      </c>
      <c r="I1762" s="13">
        <f>Table6[[#This Row],[discharge_date]]-Table6[[#This Row],[surgery_date]]</f>
        <v>0</v>
      </c>
      <c r="J1762" s="9" t="str">
        <f t="shared" si="46"/>
        <v/>
      </c>
    </row>
    <row r="1763" spans="1:10" ht="23.25" customHeight="1">
      <c r="A1763">
        <f>Table4[[#This Row],[Column1]]</f>
        <v>0</v>
      </c>
      <c r="B1763">
        <f>Table4[[#This Row],[Column2]]</f>
        <v>0</v>
      </c>
      <c r="I1763" s="13">
        <f>Table6[[#This Row],[discharge_date]]-Table6[[#This Row],[surgery_date]]</f>
        <v>0</v>
      </c>
      <c r="J1763" s="9" t="str">
        <f t="shared" si="46"/>
        <v/>
      </c>
    </row>
    <row r="1764" spans="1:10" ht="23.25" customHeight="1">
      <c r="A1764">
        <f>Table4[[#This Row],[Column1]]</f>
        <v>0</v>
      </c>
      <c r="B1764">
        <f>Table4[[#This Row],[Column2]]</f>
        <v>0</v>
      </c>
      <c r="I1764" s="13">
        <f>Table6[[#This Row],[discharge_date]]-Table6[[#This Row],[surgery_date]]</f>
        <v>0</v>
      </c>
      <c r="J1764" s="9" t="str">
        <f t="shared" si="46"/>
        <v/>
      </c>
    </row>
    <row r="1765" spans="1:10" ht="23.25" customHeight="1">
      <c r="A1765">
        <f>Table4[[#This Row],[Column1]]</f>
        <v>0</v>
      </c>
      <c r="B1765">
        <f>Table4[[#This Row],[Column2]]</f>
        <v>0</v>
      </c>
      <c r="I1765" s="13">
        <f>Table6[[#This Row],[discharge_date]]-Table6[[#This Row],[surgery_date]]</f>
        <v>0</v>
      </c>
      <c r="J1765" s="9" t="str">
        <f t="shared" si="46"/>
        <v/>
      </c>
    </row>
    <row r="1766" spans="1:10" ht="23.25" customHeight="1">
      <c r="A1766">
        <f>Table4[[#This Row],[Column1]]</f>
        <v>0</v>
      </c>
      <c r="B1766">
        <f>Table4[[#This Row],[Column2]]</f>
        <v>0</v>
      </c>
      <c r="I1766" s="13">
        <f>Table6[[#This Row],[discharge_date]]-Table6[[#This Row],[surgery_date]]</f>
        <v>0</v>
      </c>
      <c r="J1766" s="9" t="str">
        <f t="shared" si="46"/>
        <v/>
      </c>
    </row>
    <row r="1767" spans="1:10" ht="23.25" customHeight="1">
      <c r="A1767">
        <f>Table4[[#This Row],[Column1]]</f>
        <v>0</v>
      </c>
      <c r="B1767">
        <f>Table4[[#This Row],[Column2]]</f>
        <v>0</v>
      </c>
      <c r="I1767" s="13">
        <f>Table6[[#This Row],[discharge_date]]-Table6[[#This Row],[surgery_date]]</f>
        <v>0</v>
      </c>
      <c r="J1767" s="9" t="str">
        <f t="shared" si="46"/>
        <v/>
      </c>
    </row>
    <row r="1768" spans="1:10" ht="23.25" customHeight="1">
      <c r="A1768">
        <f>Table4[[#This Row],[Column1]]</f>
        <v>0</v>
      </c>
      <c r="B1768">
        <f>Table4[[#This Row],[Column2]]</f>
        <v>0</v>
      </c>
      <c r="I1768" s="13">
        <f>Table6[[#This Row],[discharge_date]]-Table6[[#This Row],[surgery_date]]</f>
        <v>0</v>
      </c>
      <c r="J1768" s="9" t="str">
        <f t="shared" si="46"/>
        <v/>
      </c>
    </row>
    <row r="1769" spans="1:10" ht="23.25" customHeight="1">
      <c r="A1769">
        <f>Table4[[#This Row],[Column1]]</f>
        <v>0</v>
      </c>
      <c r="B1769">
        <f>Table4[[#This Row],[Column2]]</f>
        <v>0</v>
      </c>
      <c r="I1769" s="13">
        <f>Table6[[#This Row],[discharge_date]]-Table6[[#This Row],[surgery_date]]</f>
        <v>0</v>
      </c>
      <c r="J1769" s="9" t="str">
        <f t="shared" si="46"/>
        <v/>
      </c>
    </row>
    <row r="1770" spans="1:10" ht="23.25" customHeight="1">
      <c r="A1770">
        <f>Table4[[#This Row],[Column1]]</f>
        <v>0</v>
      </c>
      <c r="B1770">
        <f>Table4[[#This Row],[Column2]]</f>
        <v>0</v>
      </c>
      <c r="I1770" s="13">
        <f>Table6[[#This Row],[discharge_date]]-Table6[[#This Row],[surgery_date]]</f>
        <v>0</v>
      </c>
      <c r="J1770" s="9" t="str">
        <f t="shared" si="46"/>
        <v/>
      </c>
    </row>
    <row r="1771" spans="1:10" ht="23.25" customHeight="1">
      <c r="A1771">
        <f>Table4[[#This Row],[Column1]]</f>
        <v>0</v>
      </c>
      <c r="B1771">
        <f>Table4[[#This Row],[Column2]]</f>
        <v>0</v>
      </c>
      <c r="I1771" s="13">
        <f>Table6[[#This Row],[discharge_date]]-Table6[[#This Row],[surgery_date]]</f>
        <v>0</v>
      </c>
      <c r="J1771" s="9" t="str">
        <f t="shared" si="46"/>
        <v/>
      </c>
    </row>
    <row r="1772" spans="1:10" ht="23.25" customHeight="1">
      <c r="A1772">
        <f>Table4[[#This Row],[Column1]]</f>
        <v>0</v>
      </c>
      <c r="B1772">
        <f>Table4[[#This Row],[Column2]]</f>
        <v>0</v>
      </c>
      <c r="I1772" s="13">
        <f>Table6[[#This Row],[discharge_date]]-Table6[[#This Row],[surgery_date]]</f>
        <v>0</v>
      </c>
      <c r="J1772" s="9" t="str">
        <f t="shared" si="46"/>
        <v/>
      </c>
    </row>
    <row r="1773" spans="1:10" ht="23.25" customHeight="1">
      <c r="A1773">
        <f>Table4[[#This Row],[Column1]]</f>
        <v>0</v>
      </c>
      <c r="B1773">
        <f>Table4[[#This Row],[Column2]]</f>
        <v>0</v>
      </c>
      <c r="I1773" s="13">
        <f>Table6[[#This Row],[discharge_date]]-Table6[[#This Row],[surgery_date]]</f>
        <v>0</v>
      </c>
      <c r="J1773" s="9" t="str">
        <f t="shared" si="46"/>
        <v/>
      </c>
    </row>
    <row r="1774" spans="1:10" ht="23.25" customHeight="1">
      <c r="A1774">
        <f>Table4[[#This Row],[Column1]]</f>
        <v>0</v>
      </c>
      <c r="B1774">
        <f>Table4[[#This Row],[Column2]]</f>
        <v>0</v>
      </c>
      <c r="I1774" s="13">
        <f>Table6[[#This Row],[discharge_date]]-Table6[[#This Row],[surgery_date]]</f>
        <v>0</v>
      </c>
      <c r="J1774" s="9" t="str">
        <f t="shared" si="46"/>
        <v/>
      </c>
    </row>
    <row r="1775" spans="1:10" ht="23.25" customHeight="1">
      <c r="A1775">
        <f>Table4[[#This Row],[Column1]]</f>
        <v>0</v>
      </c>
      <c r="B1775">
        <f>Table4[[#This Row],[Column2]]</f>
        <v>0</v>
      </c>
      <c r="I1775" s="13">
        <f>Table6[[#This Row],[discharge_date]]-Table6[[#This Row],[surgery_date]]</f>
        <v>0</v>
      </c>
      <c r="J1775" s="9" t="str">
        <f t="shared" si="46"/>
        <v/>
      </c>
    </row>
    <row r="1776" spans="1:10" ht="23.25" customHeight="1">
      <c r="A1776">
        <f>Table4[[#This Row],[Column1]]</f>
        <v>0</v>
      </c>
      <c r="B1776">
        <f>Table4[[#This Row],[Column2]]</f>
        <v>0</v>
      </c>
      <c r="I1776" s="13">
        <f>Table6[[#This Row],[discharge_date]]-Table6[[#This Row],[surgery_date]]</f>
        <v>0</v>
      </c>
      <c r="J1776" s="9" t="str">
        <f t="shared" si="46"/>
        <v/>
      </c>
    </row>
    <row r="1777" spans="1:10" ht="23.25" customHeight="1">
      <c r="A1777">
        <f>Table4[[#This Row],[Column1]]</f>
        <v>0</v>
      </c>
      <c r="B1777">
        <f>Table4[[#This Row],[Column2]]</f>
        <v>0</v>
      </c>
      <c r="I1777" s="13">
        <f>Table6[[#This Row],[discharge_date]]-Table6[[#This Row],[surgery_date]]</f>
        <v>0</v>
      </c>
      <c r="J1777" s="9" t="str">
        <f t="shared" si="46"/>
        <v/>
      </c>
    </row>
    <row r="1778" spans="1:10" ht="23.25" customHeight="1">
      <c r="A1778">
        <f>Table4[[#This Row],[Column1]]</f>
        <v>0</v>
      </c>
      <c r="B1778">
        <f>Table4[[#This Row],[Column2]]</f>
        <v>0</v>
      </c>
      <c r="I1778" s="13">
        <f>Table6[[#This Row],[discharge_date]]-Table6[[#This Row],[surgery_date]]</f>
        <v>0</v>
      </c>
      <c r="J1778" s="9" t="str">
        <f t="shared" si="46"/>
        <v/>
      </c>
    </row>
    <row r="1779" spans="1:10" ht="23.25" customHeight="1">
      <c r="A1779">
        <f>Table4[[#This Row],[Column1]]</f>
        <v>0</v>
      </c>
      <c r="B1779">
        <f>Table4[[#This Row],[Column2]]</f>
        <v>0</v>
      </c>
      <c r="I1779" s="13">
        <f>Table6[[#This Row],[discharge_date]]-Table6[[#This Row],[surgery_date]]</f>
        <v>0</v>
      </c>
      <c r="J1779" s="9" t="str">
        <f t="shared" si="46"/>
        <v/>
      </c>
    </row>
    <row r="1780" spans="1:10" ht="23.25" customHeight="1">
      <c r="A1780">
        <f>Table4[[#This Row],[Column1]]</f>
        <v>0</v>
      </c>
      <c r="B1780">
        <f>Table4[[#This Row],[Column2]]</f>
        <v>0</v>
      </c>
      <c r="I1780" s="13">
        <f>Table6[[#This Row],[discharge_date]]-Table6[[#This Row],[surgery_date]]</f>
        <v>0</v>
      </c>
      <c r="J1780" s="9" t="str">
        <f t="shared" si="46"/>
        <v/>
      </c>
    </row>
    <row r="1781" spans="1:10" ht="23.25" customHeight="1">
      <c r="A1781">
        <f>Table4[[#This Row],[Column1]]</f>
        <v>0</v>
      </c>
      <c r="B1781">
        <f>Table4[[#This Row],[Column2]]</f>
        <v>0</v>
      </c>
      <c r="I1781" s="13">
        <f>Table6[[#This Row],[discharge_date]]-Table6[[#This Row],[surgery_date]]</f>
        <v>0</v>
      </c>
      <c r="J1781" s="9" t="str">
        <f t="shared" si="46"/>
        <v/>
      </c>
    </row>
    <row r="1782" spans="1:10" ht="23.25" customHeight="1">
      <c r="A1782">
        <f>Table4[[#This Row],[Column1]]</f>
        <v>0</v>
      </c>
      <c r="B1782">
        <f>Table4[[#This Row],[Column2]]</f>
        <v>0</v>
      </c>
      <c r="I1782" s="13">
        <f>Table6[[#This Row],[discharge_date]]-Table6[[#This Row],[surgery_date]]</f>
        <v>0</v>
      </c>
      <c r="J1782" s="9" t="str">
        <f t="shared" si="46"/>
        <v/>
      </c>
    </row>
    <row r="1783" spans="1:10" ht="23.25" customHeight="1">
      <c r="A1783">
        <f>Table4[[#This Row],[Column1]]</f>
        <v>0</v>
      </c>
      <c r="B1783">
        <f>Table4[[#This Row],[Column2]]</f>
        <v>0</v>
      </c>
      <c r="I1783" s="13">
        <f>Table6[[#This Row],[discharge_date]]-Table6[[#This Row],[surgery_date]]</f>
        <v>0</v>
      </c>
      <c r="J1783" s="9" t="str">
        <f t="shared" si="46"/>
        <v/>
      </c>
    </row>
    <row r="1784" spans="1:10" ht="23.25" customHeight="1">
      <c r="A1784">
        <f>Table4[[#This Row],[Column1]]</f>
        <v>0</v>
      </c>
      <c r="B1784">
        <f>Table4[[#This Row],[Column2]]</f>
        <v>0</v>
      </c>
      <c r="I1784" s="13">
        <f>Table6[[#This Row],[discharge_date]]-Table6[[#This Row],[surgery_date]]</f>
        <v>0</v>
      </c>
      <c r="J1784" s="9" t="str">
        <f t="shared" si="46"/>
        <v/>
      </c>
    </row>
    <row r="1785" spans="1:10" ht="23.25" customHeight="1">
      <c r="A1785">
        <f>Table4[[#This Row],[Column1]]</f>
        <v>0</v>
      </c>
      <c r="B1785">
        <f>Table4[[#This Row],[Column2]]</f>
        <v>0</v>
      </c>
      <c r="I1785" s="13">
        <f>Table6[[#This Row],[discharge_date]]-Table6[[#This Row],[surgery_date]]</f>
        <v>0</v>
      </c>
      <c r="J1785" s="9" t="str">
        <f t="shared" si="46"/>
        <v/>
      </c>
    </row>
    <row r="1786" spans="1:10" ht="23.25" customHeight="1">
      <c r="A1786">
        <f>Table4[[#This Row],[Column1]]</f>
        <v>0</v>
      </c>
      <c r="B1786">
        <f>Table4[[#This Row],[Column2]]</f>
        <v>0</v>
      </c>
      <c r="I1786" s="13">
        <f>Table6[[#This Row],[discharge_date]]-Table6[[#This Row],[surgery_date]]</f>
        <v>0</v>
      </c>
      <c r="J1786" s="9" t="str">
        <f t="shared" si="46"/>
        <v/>
      </c>
    </row>
    <row r="1787" spans="1:10" ht="23.25" customHeight="1">
      <c r="A1787">
        <f>Table4[[#This Row],[Column1]]</f>
        <v>0</v>
      </c>
      <c r="B1787">
        <f>Table4[[#This Row],[Column2]]</f>
        <v>0</v>
      </c>
      <c r="I1787" s="13">
        <f>Table6[[#This Row],[discharge_date]]-Table6[[#This Row],[surgery_date]]</f>
        <v>0</v>
      </c>
      <c r="J1787" s="9" t="str">
        <f t="shared" si="46"/>
        <v/>
      </c>
    </row>
    <row r="1788" spans="1:10" ht="23.25" customHeight="1">
      <c r="A1788">
        <f>Table4[[#This Row],[Column1]]</f>
        <v>0</v>
      </c>
      <c r="B1788">
        <f>Table4[[#This Row],[Column2]]</f>
        <v>0</v>
      </c>
      <c r="I1788" s="13">
        <f>Table6[[#This Row],[discharge_date]]-Table6[[#This Row],[surgery_date]]</f>
        <v>0</v>
      </c>
      <c r="J1788" s="9" t="str">
        <f t="shared" si="46"/>
        <v/>
      </c>
    </row>
    <row r="1789" spans="1:10" ht="23.25" customHeight="1">
      <c r="A1789">
        <f>Table4[[#This Row],[Column1]]</f>
        <v>0</v>
      </c>
      <c r="B1789">
        <f>Table4[[#This Row],[Column2]]</f>
        <v>0</v>
      </c>
      <c r="I1789" s="13">
        <f>Table6[[#This Row],[discharge_date]]-Table6[[#This Row],[surgery_date]]</f>
        <v>0</v>
      </c>
      <c r="J1789" s="9" t="str">
        <f t="shared" si="46"/>
        <v/>
      </c>
    </row>
    <row r="1790" spans="1:10" ht="23.25" customHeight="1">
      <c r="A1790">
        <f>Table4[[#This Row],[Column1]]</f>
        <v>0</v>
      </c>
      <c r="B1790">
        <f>Table4[[#This Row],[Column2]]</f>
        <v>0</v>
      </c>
      <c r="I1790" s="13">
        <f>Table6[[#This Row],[discharge_date]]-Table6[[#This Row],[surgery_date]]</f>
        <v>0</v>
      </c>
      <c r="J1790" s="9" t="str">
        <f t="shared" si="46"/>
        <v/>
      </c>
    </row>
    <row r="1791" spans="1:10" ht="23.25" customHeight="1">
      <c r="A1791">
        <f>Table4[[#This Row],[Column1]]</f>
        <v>0</v>
      </c>
      <c r="B1791">
        <f>Table4[[#This Row],[Column2]]</f>
        <v>0</v>
      </c>
      <c r="I1791" s="13">
        <f>Table6[[#This Row],[discharge_date]]-Table6[[#This Row],[surgery_date]]</f>
        <v>0</v>
      </c>
      <c r="J1791" s="9" t="str">
        <f t="shared" si="46"/>
        <v/>
      </c>
    </row>
    <row r="1792" spans="1:10" ht="23.25" customHeight="1">
      <c r="A1792">
        <f>Table4[[#This Row],[Column1]]</f>
        <v>0</v>
      </c>
      <c r="B1792">
        <f>Table4[[#This Row],[Column2]]</f>
        <v>0</v>
      </c>
      <c r="I1792" s="13">
        <f>Table6[[#This Row],[discharge_date]]-Table6[[#This Row],[surgery_date]]</f>
        <v>0</v>
      </c>
      <c r="J1792" s="9" t="str">
        <f t="shared" si="46"/>
        <v/>
      </c>
    </row>
    <row r="1793" spans="1:10" ht="23.25" customHeight="1">
      <c r="A1793">
        <f>Table4[[#This Row],[Column1]]</f>
        <v>0</v>
      </c>
      <c r="B1793">
        <f>Table4[[#This Row],[Column2]]</f>
        <v>0</v>
      </c>
      <c r="I1793" s="13">
        <f>Table6[[#This Row],[discharge_date]]-Table6[[#This Row],[surgery_date]]</f>
        <v>0</v>
      </c>
      <c r="J1793" s="9" t="str">
        <f t="shared" si="46"/>
        <v/>
      </c>
    </row>
    <row r="1794" spans="1:10" ht="23.25" customHeight="1">
      <c r="A1794">
        <f>Table4[[#This Row],[Column1]]</f>
        <v>0</v>
      </c>
      <c r="B1794">
        <f>Table4[[#This Row],[Column2]]</f>
        <v>0</v>
      </c>
      <c r="I1794" s="13">
        <f>Table6[[#This Row],[discharge_date]]-Table6[[#This Row],[surgery_date]]</f>
        <v>0</v>
      </c>
      <c r="J1794" s="9" t="str">
        <f t="shared" ref="J1794:J1857" si="47">IF( H1794&lt;&gt;"", H1794+30,"")</f>
        <v/>
      </c>
    </row>
    <row r="1795" spans="1:10" ht="23.25" customHeight="1">
      <c r="A1795">
        <f>Table4[[#This Row],[Column1]]</f>
        <v>0</v>
      </c>
      <c r="B1795">
        <f>Table4[[#This Row],[Column2]]</f>
        <v>0</v>
      </c>
      <c r="I1795" s="13">
        <f>Table6[[#This Row],[discharge_date]]-Table6[[#This Row],[surgery_date]]</f>
        <v>0</v>
      </c>
      <c r="J1795" s="9" t="str">
        <f t="shared" si="47"/>
        <v/>
      </c>
    </row>
    <row r="1796" spans="1:10" ht="23.25" customHeight="1">
      <c r="A1796">
        <f>Table4[[#This Row],[Column1]]</f>
        <v>0</v>
      </c>
      <c r="B1796">
        <f>Table4[[#This Row],[Column2]]</f>
        <v>0</v>
      </c>
      <c r="I1796" s="13">
        <f>Table6[[#This Row],[discharge_date]]-Table6[[#This Row],[surgery_date]]</f>
        <v>0</v>
      </c>
      <c r="J1796" s="9" t="str">
        <f t="shared" si="47"/>
        <v/>
      </c>
    </row>
    <row r="1797" spans="1:10" ht="23.25" customHeight="1">
      <c r="A1797">
        <f>Table4[[#This Row],[Column1]]</f>
        <v>0</v>
      </c>
      <c r="B1797">
        <f>Table4[[#This Row],[Column2]]</f>
        <v>0</v>
      </c>
      <c r="I1797" s="13">
        <f>Table6[[#This Row],[discharge_date]]-Table6[[#This Row],[surgery_date]]</f>
        <v>0</v>
      </c>
      <c r="J1797" s="9" t="str">
        <f t="shared" si="47"/>
        <v/>
      </c>
    </row>
    <row r="1798" spans="1:10" ht="23.25" customHeight="1">
      <c r="A1798">
        <f>Table4[[#This Row],[Column1]]</f>
        <v>0</v>
      </c>
      <c r="B1798">
        <f>Table4[[#This Row],[Column2]]</f>
        <v>0</v>
      </c>
      <c r="I1798" s="13">
        <f>Table6[[#This Row],[discharge_date]]-Table6[[#This Row],[surgery_date]]</f>
        <v>0</v>
      </c>
      <c r="J1798" s="9" t="str">
        <f t="shared" si="47"/>
        <v/>
      </c>
    </row>
    <row r="1799" spans="1:10" ht="23.25" customHeight="1">
      <c r="A1799">
        <f>Table4[[#This Row],[Column1]]</f>
        <v>0</v>
      </c>
      <c r="B1799">
        <f>Table4[[#This Row],[Column2]]</f>
        <v>0</v>
      </c>
      <c r="I1799" s="13">
        <f>Table6[[#This Row],[discharge_date]]-Table6[[#This Row],[surgery_date]]</f>
        <v>0</v>
      </c>
      <c r="J1799" s="9" t="str">
        <f t="shared" si="47"/>
        <v/>
      </c>
    </row>
    <row r="1800" spans="1:10" ht="23.25" customHeight="1">
      <c r="A1800">
        <f>Table4[[#This Row],[Column1]]</f>
        <v>0</v>
      </c>
      <c r="B1800">
        <f>Table4[[#This Row],[Column2]]</f>
        <v>0</v>
      </c>
      <c r="I1800" s="13">
        <f>Table6[[#This Row],[discharge_date]]-Table6[[#This Row],[surgery_date]]</f>
        <v>0</v>
      </c>
      <c r="J1800" s="9" t="str">
        <f t="shared" si="47"/>
        <v/>
      </c>
    </row>
    <row r="1801" spans="1:10" ht="23.25" customHeight="1">
      <c r="A1801">
        <f>Table4[[#This Row],[Column1]]</f>
        <v>0</v>
      </c>
      <c r="B1801">
        <f>Table4[[#This Row],[Column2]]</f>
        <v>0</v>
      </c>
      <c r="I1801" s="13">
        <f>Table6[[#This Row],[discharge_date]]-Table6[[#This Row],[surgery_date]]</f>
        <v>0</v>
      </c>
      <c r="J1801" s="9" t="str">
        <f t="shared" si="47"/>
        <v/>
      </c>
    </row>
    <row r="1802" spans="1:10" ht="23.25" customHeight="1">
      <c r="A1802">
        <f>Table4[[#This Row],[Column1]]</f>
        <v>0</v>
      </c>
      <c r="B1802">
        <f>Table4[[#This Row],[Column2]]</f>
        <v>0</v>
      </c>
      <c r="I1802" s="13">
        <f>Table6[[#This Row],[discharge_date]]-Table6[[#This Row],[surgery_date]]</f>
        <v>0</v>
      </c>
      <c r="J1802" s="9" t="str">
        <f t="shared" si="47"/>
        <v/>
      </c>
    </row>
    <row r="1803" spans="1:10" ht="23.25" customHeight="1">
      <c r="A1803">
        <f>Table4[[#This Row],[Column1]]</f>
        <v>0</v>
      </c>
      <c r="B1803">
        <f>Table4[[#This Row],[Column2]]</f>
        <v>0</v>
      </c>
      <c r="I1803" s="13">
        <f>Table6[[#This Row],[discharge_date]]-Table6[[#This Row],[surgery_date]]</f>
        <v>0</v>
      </c>
      <c r="J1803" s="9" t="str">
        <f t="shared" si="47"/>
        <v/>
      </c>
    </row>
    <row r="1804" spans="1:10" ht="23.25" customHeight="1">
      <c r="A1804">
        <f>Table4[[#This Row],[Column1]]</f>
        <v>0</v>
      </c>
      <c r="B1804">
        <f>Table4[[#This Row],[Column2]]</f>
        <v>0</v>
      </c>
      <c r="I1804" s="13">
        <f>Table6[[#This Row],[discharge_date]]-Table6[[#This Row],[surgery_date]]</f>
        <v>0</v>
      </c>
      <c r="J1804" s="9" t="str">
        <f t="shared" si="47"/>
        <v/>
      </c>
    </row>
    <row r="1805" spans="1:10" ht="23.25" customHeight="1">
      <c r="A1805">
        <f>Table4[[#This Row],[Column1]]</f>
        <v>0</v>
      </c>
      <c r="B1805">
        <f>Table4[[#This Row],[Column2]]</f>
        <v>0</v>
      </c>
      <c r="I1805" s="13">
        <f>Table6[[#This Row],[discharge_date]]-Table6[[#This Row],[surgery_date]]</f>
        <v>0</v>
      </c>
      <c r="J1805" s="9" t="str">
        <f t="shared" si="47"/>
        <v/>
      </c>
    </row>
    <row r="1806" spans="1:10" ht="23.25" customHeight="1">
      <c r="A1806">
        <f>Table4[[#This Row],[Column1]]</f>
        <v>0</v>
      </c>
      <c r="B1806">
        <f>Table4[[#This Row],[Column2]]</f>
        <v>0</v>
      </c>
      <c r="I1806" s="13">
        <f>Table6[[#This Row],[discharge_date]]-Table6[[#This Row],[surgery_date]]</f>
        <v>0</v>
      </c>
      <c r="J1806" s="9" t="str">
        <f t="shared" si="47"/>
        <v/>
      </c>
    </row>
    <row r="1807" spans="1:10" ht="23.25" customHeight="1">
      <c r="A1807">
        <f>Table4[[#This Row],[Column1]]</f>
        <v>0</v>
      </c>
      <c r="B1807">
        <f>Table4[[#This Row],[Column2]]</f>
        <v>0</v>
      </c>
      <c r="I1807" s="13">
        <f>Table6[[#This Row],[discharge_date]]-Table6[[#This Row],[surgery_date]]</f>
        <v>0</v>
      </c>
      <c r="J1807" s="9" t="str">
        <f t="shared" si="47"/>
        <v/>
      </c>
    </row>
    <row r="1808" spans="1:10" ht="23.25" customHeight="1">
      <c r="A1808">
        <f>Table4[[#This Row],[Column1]]</f>
        <v>0</v>
      </c>
      <c r="B1808">
        <f>Table4[[#This Row],[Column2]]</f>
        <v>0</v>
      </c>
      <c r="I1808" s="13">
        <f>Table6[[#This Row],[discharge_date]]-Table6[[#This Row],[surgery_date]]</f>
        <v>0</v>
      </c>
      <c r="J1808" s="9" t="str">
        <f t="shared" si="47"/>
        <v/>
      </c>
    </row>
    <row r="1809" spans="1:10" ht="23.25" customHeight="1">
      <c r="A1809">
        <f>Table4[[#This Row],[Column1]]</f>
        <v>0</v>
      </c>
      <c r="B1809">
        <f>Table4[[#This Row],[Column2]]</f>
        <v>0</v>
      </c>
      <c r="I1809" s="13">
        <f>Table6[[#This Row],[discharge_date]]-Table6[[#This Row],[surgery_date]]</f>
        <v>0</v>
      </c>
      <c r="J1809" s="9" t="str">
        <f t="shared" si="47"/>
        <v/>
      </c>
    </row>
    <row r="1810" spans="1:10" ht="23.25" customHeight="1">
      <c r="A1810">
        <f>Table4[[#This Row],[Column1]]</f>
        <v>0</v>
      </c>
      <c r="B1810">
        <f>Table4[[#This Row],[Column2]]</f>
        <v>0</v>
      </c>
      <c r="I1810" s="13">
        <f>Table6[[#This Row],[discharge_date]]-Table6[[#This Row],[surgery_date]]</f>
        <v>0</v>
      </c>
      <c r="J1810" s="9" t="str">
        <f t="shared" si="47"/>
        <v/>
      </c>
    </row>
    <row r="1811" spans="1:10" ht="23.25" customHeight="1">
      <c r="A1811">
        <f>Table4[[#This Row],[Column1]]</f>
        <v>0</v>
      </c>
      <c r="B1811">
        <f>Table4[[#This Row],[Column2]]</f>
        <v>0</v>
      </c>
      <c r="I1811" s="13">
        <f>Table6[[#This Row],[discharge_date]]-Table6[[#This Row],[surgery_date]]</f>
        <v>0</v>
      </c>
      <c r="J1811" s="9" t="str">
        <f t="shared" si="47"/>
        <v/>
      </c>
    </row>
    <row r="1812" spans="1:10" ht="23.25" customHeight="1">
      <c r="A1812">
        <f>Table4[[#This Row],[Column1]]</f>
        <v>0</v>
      </c>
      <c r="B1812">
        <f>Table4[[#This Row],[Column2]]</f>
        <v>0</v>
      </c>
      <c r="I1812" s="13">
        <f>Table6[[#This Row],[discharge_date]]-Table6[[#This Row],[surgery_date]]</f>
        <v>0</v>
      </c>
      <c r="J1812" s="9" t="str">
        <f t="shared" si="47"/>
        <v/>
      </c>
    </row>
    <row r="1813" spans="1:10" ht="23.25" customHeight="1">
      <c r="A1813">
        <f>Table4[[#This Row],[Column1]]</f>
        <v>0</v>
      </c>
      <c r="B1813">
        <f>Table4[[#This Row],[Column2]]</f>
        <v>0</v>
      </c>
      <c r="I1813" s="13">
        <f>Table6[[#This Row],[discharge_date]]-Table6[[#This Row],[surgery_date]]</f>
        <v>0</v>
      </c>
      <c r="J1813" s="9" t="str">
        <f t="shared" si="47"/>
        <v/>
      </c>
    </row>
    <row r="1814" spans="1:10" ht="23.25" customHeight="1">
      <c r="A1814">
        <f>Table4[[#This Row],[Column1]]</f>
        <v>0</v>
      </c>
      <c r="B1814">
        <f>Table4[[#This Row],[Column2]]</f>
        <v>0</v>
      </c>
      <c r="I1814" s="13">
        <f>Table6[[#This Row],[discharge_date]]-Table6[[#This Row],[surgery_date]]</f>
        <v>0</v>
      </c>
      <c r="J1814" s="9" t="str">
        <f t="shared" si="47"/>
        <v/>
      </c>
    </row>
    <row r="1815" spans="1:10" ht="23.25" customHeight="1">
      <c r="A1815">
        <f>Table4[[#This Row],[Column1]]</f>
        <v>0</v>
      </c>
      <c r="B1815">
        <f>Table4[[#This Row],[Column2]]</f>
        <v>0</v>
      </c>
      <c r="I1815" s="13">
        <f>Table6[[#This Row],[discharge_date]]-Table6[[#This Row],[surgery_date]]</f>
        <v>0</v>
      </c>
      <c r="J1815" s="9" t="str">
        <f t="shared" si="47"/>
        <v/>
      </c>
    </row>
    <row r="1816" spans="1:10" ht="23.25" customHeight="1">
      <c r="A1816">
        <f>Table4[[#This Row],[Column1]]</f>
        <v>0</v>
      </c>
      <c r="B1816">
        <f>Table4[[#This Row],[Column2]]</f>
        <v>0</v>
      </c>
      <c r="I1816" s="13">
        <f>Table6[[#This Row],[discharge_date]]-Table6[[#This Row],[surgery_date]]</f>
        <v>0</v>
      </c>
      <c r="J1816" s="9" t="str">
        <f t="shared" si="47"/>
        <v/>
      </c>
    </row>
    <row r="1817" spans="1:10" ht="23.25" customHeight="1">
      <c r="A1817">
        <f>Table4[[#This Row],[Column1]]</f>
        <v>0</v>
      </c>
      <c r="B1817">
        <f>Table4[[#This Row],[Column2]]</f>
        <v>0</v>
      </c>
      <c r="I1817" s="13">
        <f>Table6[[#This Row],[discharge_date]]-Table6[[#This Row],[surgery_date]]</f>
        <v>0</v>
      </c>
      <c r="J1817" s="9" t="str">
        <f t="shared" si="47"/>
        <v/>
      </c>
    </row>
    <row r="1818" spans="1:10" ht="23.25" customHeight="1">
      <c r="A1818">
        <f>Table4[[#This Row],[Column1]]</f>
        <v>0</v>
      </c>
      <c r="B1818">
        <f>Table4[[#This Row],[Column2]]</f>
        <v>0</v>
      </c>
      <c r="I1818" s="13">
        <f>Table6[[#This Row],[discharge_date]]-Table6[[#This Row],[surgery_date]]</f>
        <v>0</v>
      </c>
      <c r="J1818" s="9" t="str">
        <f t="shared" si="47"/>
        <v/>
      </c>
    </row>
    <row r="1819" spans="1:10" ht="23.25" customHeight="1">
      <c r="A1819">
        <f>Table4[[#This Row],[Column1]]</f>
        <v>0</v>
      </c>
      <c r="B1819">
        <f>Table4[[#This Row],[Column2]]</f>
        <v>0</v>
      </c>
      <c r="I1819" s="13">
        <f>Table6[[#This Row],[discharge_date]]-Table6[[#This Row],[surgery_date]]</f>
        <v>0</v>
      </c>
      <c r="J1819" s="9" t="str">
        <f t="shared" si="47"/>
        <v/>
      </c>
    </row>
    <row r="1820" spans="1:10" ht="23.25" customHeight="1">
      <c r="A1820">
        <f>Table4[[#This Row],[Column1]]</f>
        <v>0</v>
      </c>
      <c r="B1820">
        <f>Table4[[#This Row],[Column2]]</f>
        <v>0</v>
      </c>
      <c r="I1820" s="13">
        <f>Table6[[#This Row],[discharge_date]]-Table6[[#This Row],[surgery_date]]</f>
        <v>0</v>
      </c>
      <c r="J1820" s="9" t="str">
        <f t="shared" si="47"/>
        <v/>
      </c>
    </row>
    <row r="1821" spans="1:10" ht="23.25" customHeight="1">
      <c r="A1821">
        <f>Table4[[#This Row],[Column1]]</f>
        <v>0</v>
      </c>
      <c r="B1821">
        <f>Table4[[#This Row],[Column2]]</f>
        <v>0</v>
      </c>
      <c r="I1821" s="13">
        <f>Table6[[#This Row],[discharge_date]]-Table6[[#This Row],[surgery_date]]</f>
        <v>0</v>
      </c>
      <c r="J1821" s="9" t="str">
        <f t="shared" si="47"/>
        <v/>
      </c>
    </row>
    <row r="1822" spans="1:10" ht="23.25" customHeight="1">
      <c r="A1822">
        <f>Table4[[#This Row],[Column1]]</f>
        <v>0</v>
      </c>
      <c r="B1822">
        <f>Table4[[#This Row],[Column2]]</f>
        <v>0</v>
      </c>
      <c r="I1822" s="13">
        <f>Table6[[#This Row],[discharge_date]]-Table6[[#This Row],[surgery_date]]</f>
        <v>0</v>
      </c>
      <c r="J1822" s="9" t="str">
        <f t="shared" si="47"/>
        <v/>
      </c>
    </row>
    <row r="1823" spans="1:10" ht="23.25" customHeight="1">
      <c r="A1823">
        <f>Table4[[#This Row],[Column1]]</f>
        <v>0</v>
      </c>
      <c r="B1823">
        <f>Table4[[#This Row],[Column2]]</f>
        <v>0</v>
      </c>
      <c r="I1823" s="13">
        <f>Table6[[#This Row],[discharge_date]]-Table6[[#This Row],[surgery_date]]</f>
        <v>0</v>
      </c>
      <c r="J1823" s="9" t="str">
        <f t="shared" si="47"/>
        <v/>
      </c>
    </row>
    <row r="1824" spans="1:10" ht="23.25" customHeight="1">
      <c r="A1824">
        <f>Table4[[#This Row],[Column1]]</f>
        <v>0</v>
      </c>
      <c r="B1824">
        <f>Table4[[#This Row],[Column2]]</f>
        <v>0</v>
      </c>
      <c r="I1824" s="13">
        <f>Table6[[#This Row],[discharge_date]]-Table6[[#This Row],[surgery_date]]</f>
        <v>0</v>
      </c>
      <c r="J1824" s="9" t="str">
        <f t="shared" si="47"/>
        <v/>
      </c>
    </row>
    <row r="1825" spans="1:10" ht="23.25" customHeight="1">
      <c r="A1825">
        <f>Table4[[#This Row],[Column1]]</f>
        <v>0</v>
      </c>
      <c r="B1825">
        <f>Table4[[#This Row],[Column2]]</f>
        <v>0</v>
      </c>
      <c r="I1825" s="13">
        <f>Table6[[#This Row],[discharge_date]]-Table6[[#This Row],[surgery_date]]</f>
        <v>0</v>
      </c>
      <c r="J1825" s="9" t="str">
        <f t="shared" si="47"/>
        <v/>
      </c>
    </row>
    <row r="1826" spans="1:10" ht="23.25" customHeight="1">
      <c r="A1826">
        <f>Table4[[#This Row],[Column1]]</f>
        <v>0</v>
      </c>
      <c r="B1826">
        <f>Table4[[#This Row],[Column2]]</f>
        <v>0</v>
      </c>
      <c r="I1826" s="13">
        <f>Table6[[#This Row],[discharge_date]]-Table6[[#This Row],[surgery_date]]</f>
        <v>0</v>
      </c>
      <c r="J1826" s="9" t="str">
        <f t="shared" si="47"/>
        <v/>
      </c>
    </row>
    <row r="1827" spans="1:10" ht="23.25" customHeight="1">
      <c r="A1827">
        <f>Table4[[#This Row],[Column1]]</f>
        <v>0</v>
      </c>
      <c r="B1827">
        <f>Table4[[#This Row],[Column2]]</f>
        <v>0</v>
      </c>
      <c r="I1827" s="13">
        <f>Table6[[#This Row],[discharge_date]]-Table6[[#This Row],[surgery_date]]</f>
        <v>0</v>
      </c>
      <c r="J1827" s="9" t="str">
        <f t="shared" si="47"/>
        <v/>
      </c>
    </row>
    <row r="1828" spans="1:10" ht="23.25" customHeight="1">
      <c r="A1828">
        <f>Table4[[#This Row],[Column1]]</f>
        <v>0</v>
      </c>
      <c r="B1828">
        <f>Table4[[#This Row],[Column2]]</f>
        <v>0</v>
      </c>
      <c r="I1828" s="13">
        <f>Table6[[#This Row],[discharge_date]]-Table6[[#This Row],[surgery_date]]</f>
        <v>0</v>
      </c>
      <c r="J1828" s="9" t="str">
        <f t="shared" si="47"/>
        <v/>
      </c>
    </row>
    <row r="1829" spans="1:10" ht="23.25" customHeight="1">
      <c r="A1829">
        <f>Table4[[#This Row],[Column1]]</f>
        <v>0</v>
      </c>
      <c r="B1829">
        <f>Table4[[#This Row],[Column2]]</f>
        <v>0</v>
      </c>
      <c r="I1829" s="13">
        <f>Table6[[#This Row],[discharge_date]]-Table6[[#This Row],[surgery_date]]</f>
        <v>0</v>
      </c>
      <c r="J1829" s="9" t="str">
        <f t="shared" si="47"/>
        <v/>
      </c>
    </row>
    <row r="1830" spans="1:10" ht="23.25" customHeight="1">
      <c r="A1830">
        <f>Table4[[#This Row],[Column1]]</f>
        <v>0</v>
      </c>
      <c r="B1830">
        <f>Table4[[#This Row],[Column2]]</f>
        <v>0</v>
      </c>
      <c r="I1830" s="13">
        <f>Table6[[#This Row],[discharge_date]]-Table6[[#This Row],[surgery_date]]</f>
        <v>0</v>
      </c>
      <c r="J1830" s="9" t="str">
        <f t="shared" si="47"/>
        <v/>
      </c>
    </row>
    <row r="1831" spans="1:10" ht="23.25" customHeight="1">
      <c r="A1831">
        <f>Table4[[#This Row],[Column1]]</f>
        <v>0</v>
      </c>
      <c r="B1831">
        <f>Table4[[#This Row],[Column2]]</f>
        <v>0</v>
      </c>
      <c r="I1831" s="13">
        <f>Table6[[#This Row],[discharge_date]]-Table6[[#This Row],[surgery_date]]</f>
        <v>0</v>
      </c>
      <c r="J1831" s="9" t="str">
        <f t="shared" si="47"/>
        <v/>
      </c>
    </row>
    <row r="1832" spans="1:10" ht="23.25" customHeight="1">
      <c r="A1832">
        <f>Table4[[#This Row],[Column1]]</f>
        <v>0</v>
      </c>
      <c r="B1832">
        <f>Table4[[#This Row],[Column2]]</f>
        <v>0</v>
      </c>
      <c r="I1832" s="13">
        <f>Table6[[#This Row],[discharge_date]]-Table6[[#This Row],[surgery_date]]</f>
        <v>0</v>
      </c>
      <c r="J1832" s="9" t="str">
        <f t="shared" si="47"/>
        <v/>
      </c>
    </row>
    <row r="1833" spans="1:10" ht="23.25" customHeight="1">
      <c r="A1833">
        <f>Table4[[#This Row],[Column1]]</f>
        <v>0</v>
      </c>
      <c r="B1833">
        <f>Table4[[#This Row],[Column2]]</f>
        <v>0</v>
      </c>
      <c r="I1833" s="13">
        <f>Table6[[#This Row],[discharge_date]]-Table6[[#This Row],[surgery_date]]</f>
        <v>0</v>
      </c>
      <c r="J1833" s="9" t="str">
        <f t="shared" si="47"/>
        <v/>
      </c>
    </row>
    <row r="1834" spans="1:10" ht="23.25" customHeight="1">
      <c r="A1834">
        <f>Table4[[#This Row],[Column1]]</f>
        <v>0</v>
      </c>
      <c r="B1834">
        <f>Table4[[#This Row],[Column2]]</f>
        <v>0</v>
      </c>
      <c r="I1834" s="13">
        <f>Table6[[#This Row],[discharge_date]]-Table6[[#This Row],[surgery_date]]</f>
        <v>0</v>
      </c>
      <c r="J1834" s="9" t="str">
        <f t="shared" si="47"/>
        <v/>
      </c>
    </row>
    <row r="1835" spans="1:10" ht="23.25" customHeight="1">
      <c r="A1835">
        <f>Table4[[#This Row],[Column1]]</f>
        <v>0</v>
      </c>
      <c r="B1835">
        <f>Table4[[#This Row],[Column2]]</f>
        <v>0</v>
      </c>
      <c r="I1835" s="13">
        <f>Table6[[#This Row],[discharge_date]]-Table6[[#This Row],[surgery_date]]</f>
        <v>0</v>
      </c>
      <c r="J1835" s="9" t="str">
        <f t="shared" si="47"/>
        <v/>
      </c>
    </row>
    <row r="1836" spans="1:10" ht="23.25" customHeight="1">
      <c r="A1836">
        <f>Table4[[#This Row],[Column1]]</f>
        <v>0</v>
      </c>
      <c r="B1836">
        <f>Table4[[#This Row],[Column2]]</f>
        <v>0</v>
      </c>
      <c r="I1836" s="13">
        <f>Table6[[#This Row],[discharge_date]]-Table6[[#This Row],[surgery_date]]</f>
        <v>0</v>
      </c>
      <c r="J1836" s="9" t="str">
        <f t="shared" si="47"/>
        <v/>
      </c>
    </row>
    <row r="1837" spans="1:10" ht="23.25" customHeight="1">
      <c r="A1837">
        <f>Table4[[#This Row],[Column1]]</f>
        <v>0</v>
      </c>
      <c r="B1837">
        <f>Table4[[#This Row],[Column2]]</f>
        <v>0</v>
      </c>
      <c r="I1837" s="13">
        <f>Table6[[#This Row],[discharge_date]]-Table6[[#This Row],[surgery_date]]</f>
        <v>0</v>
      </c>
      <c r="J1837" s="9" t="str">
        <f t="shared" si="47"/>
        <v/>
      </c>
    </row>
    <row r="1838" spans="1:10" ht="23.25" customHeight="1">
      <c r="A1838">
        <f>Table4[[#This Row],[Column1]]</f>
        <v>0</v>
      </c>
      <c r="B1838">
        <f>Table4[[#This Row],[Column2]]</f>
        <v>0</v>
      </c>
      <c r="I1838" s="13">
        <f>Table6[[#This Row],[discharge_date]]-Table6[[#This Row],[surgery_date]]</f>
        <v>0</v>
      </c>
      <c r="J1838" s="9" t="str">
        <f t="shared" si="47"/>
        <v/>
      </c>
    </row>
    <row r="1839" spans="1:10" ht="23.25" customHeight="1">
      <c r="A1839">
        <f>Table4[[#This Row],[Column1]]</f>
        <v>0</v>
      </c>
      <c r="B1839">
        <f>Table4[[#This Row],[Column2]]</f>
        <v>0</v>
      </c>
      <c r="I1839" s="13">
        <f>Table6[[#This Row],[discharge_date]]-Table6[[#This Row],[surgery_date]]</f>
        <v>0</v>
      </c>
      <c r="J1839" s="9" t="str">
        <f t="shared" si="47"/>
        <v/>
      </c>
    </row>
    <row r="1840" spans="1:10" ht="23.25" customHeight="1">
      <c r="A1840">
        <f>Table4[[#This Row],[Column1]]</f>
        <v>0</v>
      </c>
      <c r="B1840">
        <f>Table4[[#This Row],[Column2]]</f>
        <v>0</v>
      </c>
      <c r="I1840" s="13">
        <f>Table6[[#This Row],[discharge_date]]-Table6[[#This Row],[surgery_date]]</f>
        <v>0</v>
      </c>
      <c r="J1840" s="9" t="str">
        <f t="shared" si="47"/>
        <v/>
      </c>
    </row>
    <row r="1841" spans="1:10" ht="23.25" customHeight="1">
      <c r="A1841">
        <f>Table4[[#This Row],[Column1]]</f>
        <v>0</v>
      </c>
      <c r="B1841">
        <f>Table4[[#This Row],[Column2]]</f>
        <v>0</v>
      </c>
      <c r="I1841" s="13">
        <f>Table6[[#This Row],[discharge_date]]-Table6[[#This Row],[surgery_date]]</f>
        <v>0</v>
      </c>
      <c r="J1841" s="9" t="str">
        <f t="shared" si="47"/>
        <v/>
      </c>
    </row>
    <row r="1842" spans="1:10" ht="23.25" customHeight="1">
      <c r="A1842">
        <f>Table4[[#This Row],[Column1]]</f>
        <v>0</v>
      </c>
      <c r="B1842">
        <f>Table4[[#This Row],[Column2]]</f>
        <v>0</v>
      </c>
      <c r="I1842" s="13">
        <f>Table6[[#This Row],[discharge_date]]-Table6[[#This Row],[surgery_date]]</f>
        <v>0</v>
      </c>
      <c r="J1842" s="9" t="str">
        <f t="shared" si="47"/>
        <v/>
      </c>
    </row>
    <row r="1843" spans="1:10" ht="23.25" customHeight="1">
      <c r="A1843">
        <f>Table4[[#This Row],[Column1]]</f>
        <v>0</v>
      </c>
      <c r="B1843">
        <f>Table4[[#This Row],[Column2]]</f>
        <v>0</v>
      </c>
      <c r="I1843" s="13">
        <f>Table6[[#This Row],[discharge_date]]-Table6[[#This Row],[surgery_date]]</f>
        <v>0</v>
      </c>
      <c r="J1843" s="9" t="str">
        <f t="shared" si="47"/>
        <v/>
      </c>
    </row>
    <row r="1844" spans="1:10" ht="23.25" customHeight="1">
      <c r="A1844">
        <f>Table4[[#This Row],[Column1]]</f>
        <v>0</v>
      </c>
      <c r="B1844">
        <f>Table4[[#This Row],[Column2]]</f>
        <v>0</v>
      </c>
      <c r="I1844" s="13">
        <f>Table6[[#This Row],[discharge_date]]-Table6[[#This Row],[surgery_date]]</f>
        <v>0</v>
      </c>
      <c r="J1844" s="9" t="str">
        <f t="shared" si="47"/>
        <v/>
      </c>
    </row>
    <row r="1845" spans="1:10" ht="23.25" customHeight="1">
      <c r="A1845">
        <f>Table4[[#This Row],[Column1]]</f>
        <v>0</v>
      </c>
      <c r="B1845">
        <f>Table4[[#This Row],[Column2]]</f>
        <v>0</v>
      </c>
      <c r="I1845" s="13">
        <f>Table6[[#This Row],[discharge_date]]-Table6[[#This Row],[surgery_date]]</f>
        <v>0</v>
      </c>
      <c r="J1845" s="9" t="str">
        <f t="shared" si="47"/>
        <v/>
      </c>
    </row>
    <row r="1846" spans="1:10" ht="23.25" customHeight="1">
      <c r="A1846">
        <f>Table4[[#This Row],[Column1]]</f>
        <v>0</v>
      </c>
      <c r="B1846">
        <f>Table4[[#This Row],[Column2]]</f>
        <v>0</v>
      </c>
      <c r="I1846" s="13">
        <f>Table6[[#This Row],[discharge_date]]-Table6[[#This Row],[surgery_date]]</f>
        <v>0</v>
      </c>
      <c r="J1846" s="9" t="str">
        <f t="shared" si="47"/>
        <v/>
      </c>
    </row>
    <row r="1847" spans="1:10" ht="23.25" customHeight="1">
      <c r="A1847">
        <f>Table4[[#This Row],[Column1]]</f>
        <v>0</v>
      </c>
      <c r="B1847">
        <f>Table4[[#This Row],[Column2]]</f>
        <v>0</v>
      </c>
      <c r="I1847" s="13">
        <f>Table6[[#This Row],[discharge_date]]-Table6[[#This Row],[surgery_date]]</f>
        <v>0</v>
      </c>
      <c r="J1847" s="9" t="str">
        <f t="shared" si="47"/>
        <v/>
      </c>
    </row>
    <row r="1848" spans="1:10" ht="23.25" customHeight="1">
      <c r="A1848">
        <f>Table4[[#This Row],[Column1]]</f>
        <v>0</v>
      </c>
      <c r="B1848">
        <f>Table4[[#This Row],[Column2]]</f>
        <v>0</v>
      </c>
      <c r="I1848" s="13">
        <f>Table6[[#This Row],[discharge_date]]-Table6[[#This Row],[surgery_date]]</f>
        <v>0</v>
      </c>
      <c r="J1848" s="9" t="str">
        <f t="shared" si="47"/>
        <v/>
      </c>
    </row>
    <row r="1849" spans="1:10" ht="23.25" customHeight="1">
      <c r="A1849">
        <f>Table4[[#This Row],[Column1]]</f>
        <v>0</v>
      </c>
      <c r="B1849">
        <f>Table4[[#This Row],[Column2]]</f>
        <v>0</v>
      </c>
      <c r="I1849" s="13">
        <f>Table6[[#This Row],[discharge_date]]-Table6[[#This Row],[surgery_date]]</f>
        <v>0</v>
      </c>
      <c r="J1849" s="9" t="str">
        <f t="shared" si="47"/>
        <v/>
      </c>
    </row>
    <row r="1850" spans="1:10" ht="23.25" customHeight="1">
      <c r="A1850">
        <f>Table4[[#This Row],[Column1]]</f>
        <v>0</v>
      </c>
      <c r="B1850">
        <f>Table4[[#This Row],[Column2]]</f>
        <v>0</v>
      </c>
      <c r="I1850" s="13">
        <f>Table6[[#This Row],[discharge_date]]-Table6[[#This Row],[surgery_date]]</f>
        <v>0</v>
      </c>
      <c r="J1850" s="9" t="str">
        <f t="shared" si="47"/>
        <v/>
      </c>
    </row>
    <row r="1851" spans="1:10" ht="23.25" customHeight="1">
      <c r="A1851">
        <f>Table4[[#This Row],[Column1]]</f>
        <v>0</v>
      </c>
      <c r="B1851">
        <f>Table4[[#This Row],[Column2]]</f>
        <v>0</v>
      </c>
      <c r="I1851" s="13">
        <f>Table6[[#This Row],[discharge_date]]-Table6[[#This Row],[surgery_date]]</f>
        <v>0</v>
      </c>
      <c r="J1851" s="9" t="str">
        <f t="shared" si="47"/>
        <v/>
      </c>
    </row>
    <row r="1852" spans="1:10" ht="23.25" customHeight="1">
      <c r="A1852">
        <f>Table4[[#This Row],[Column1]]</f>
        <v>0</v>
      </c>
      <c r="B1852">
        <f>Table4[[#This Row],[Column2]]</f>
        <v>0</v>
      </c>
      <c r="I1852" s="13">
        <f>Table6[[#This Row],[discharge_date]]-Table6[[#This Row],[surgery_date]]</f>
        <v>0</v>
      </c>
      <c r="J1852" s="9" t="str">
        <f t="shared" si="47"/>
        <v/>
      </c>
    </row>
    <row r="1853" spans="1:10" ht="23.25" customHeight="1">
      <c r="A1853">
        <f>Table4[[#This Row],[Column1]]</f>
        <v>0</v>
      </c>
      <c r="B1853">
        <f>Table4[[#This Row],[Column2]]</f>
        <v>0</v>
      </c>
      <c r="I1853" s="13">
        <f>Table6[[#This Row],[discharge_date]]-Table6[[#This Row],[surgery_date]]</f>
        <v>0</v>
      </c>
      <c r="J1853" s="9" t="str">
        <f t="shared" si="47"/>
        <v/>
      </c>
    </row>
    <row r="1854" spans="1:10" ht="23.25" customHeight="1">
      <c r="A1854">
        <f>Table4[[#This Row],[Column1]]</f>
        <v>0</v>
      </c>
      <c r="B1854">
        <f>Table4[[#This Row],[Column2]]</f>
        <v>0</v>
      </c>
      <c r="I1854" s="13">
        <f>Table6[[#This Row],[discharge_date]]-Table6[[#This Row],[surgery_date]]</f>
        <v>0</v>
      </c>
      <c r="J1854" s="9" t="str">
        <f t="shared" si="47"/>
        <v/>
      </c>
    </row>
    <row r="1855" spans="1:10" ht="23.25" customHeight="1">
      <c r="A1855">
        <f>Table4[[#This Row],[Column1]]</f>
        <v>0</v>
      </c>
      <c r="B1855">
        <f>Table4[[#This Row],[Column2]]</f>
        <v>0</v>
      </c>
      <c r="I1855" s="13">
        <f>Table6[[#This Row],[discharge_date]]-Table6[[#This Row],[surgery_date]]</f>
        <v>0</v>
      </c>
      <c r="J1855" s="9" t="str">
        <f t="shared" si="47"/>
        <v/>
      </c>
    </row>
    <row r="1856" spans="1:10" ht="23.25" customHeight="1">
      <c r="A1856">
        <f>Table4[[#This Row],[Column1]]</f>
        <v>0</v>
      </c>
      <c r="B1856">
        <f>Table4[[#This Row],[Column2]]</f>
        <v>0</v>
      </c>
      <c r="I1856" s="13">
        <f>Table6[[#This Row],[discharge_date]]-Table6[[#This Row],[surgery_date]]</f>
        <v>0</v>
      </c>
      <c r="J1856" s="9" t="str">
        <f t="shared" si="47"/>
        <v/>
      </c>
    </row>
    <row r="1857" spans="1:10" ht="23.25" customHeight="1">
      <c r="A1857">
        <f>Table4[[#This Row],[Column1]]</f>
        <v>0</v>
      </c>
      <c r="B1857">
        <f>Table4[[#This Row],[Column2]]</f>
        <v>0</v>
      </c>
      <c r="I1857" s="13">
        <f>Table6[[#This Row],[discharge_date]]-Table6[[#This Row],[surgery_date]]</f>
        <v>0</v>
      </c>
      <c r="J1857" s="9" t="str">
        <f t="shared" si="47"/>
        <v/>
      </c>
    </row>
    <row r="1858" spans="1:10" ht="23.25" customHeight="1">
      <c r="A1858">
        <f>Table4[[#This Row],[Column1]]</f>
        <v>0</v>
      </c>
      <c r="B1858">
        <f>Table4[[#This Row],[Column2]]</f>
        <v>0</v>
      </c>
      <c r="I1858" s="13">
        <f>Table6[[#This Row],[discharge_date]]-Table6[[#This Row],[surgery_date]]</f>
        <v>0</v>
      </c>
      <c r="J1858" s="9" t="str">
        <f t="shared" ref="J1858:J1921" si="48">IF( H1858&lt;&gt;"", H1858+30,"")</f>
        <v/>
      </c>
    </row>
    <row r="1859" spans="1:10" ht="23.25" customHeight="1">
      <c r="A1859">
        <f>Table4[[#This Row],[Column1]]</f>
        <v>0</v>
      </c>
      <c r="B1859">
        <f>Table4[[#This Row],[Column2]]</f>
        <v>0</v>
      </c>
      <c r="I1859" s="13">
        <f>Table6[[#This Row],[discharge_date]]-Table6[[#This Row],[surgery_date]]</f>
        <v>0</v>
      </c>
      <c r="J1859" s="9" t="str">
        <f t="shared" si="48"/>
        <v/>
      </c>
    </row>
    <row r="1860" spans="1:10" ht="23.25" customHeight="1">
      <c r="A1860">
        <f>Table4[[#This Row],[Column1]]</f>
        <v>0</v>
      </c>
      <c r="B1860">
        <f>Table4[[#This Row],[Column2]]</f>
        <v>0</v>
      </c>
      <c r="I1860" s="13">
        <f>Table6[[#This Row],[discharge_date]]-Table6[[#This Row],[surgery_date]]</f>
        <v>0</v>
      </c>
      <c r="J1860" s="9" t="str">
        <f t="shared" si="48"/>
        <v/>
      </c>
    </row>
    <row r="1861" spans="1:10" ht="23.25" customHeight="1">
      <c r="A1861">
        <f>Table4[[#This Row],[Column1]]</f>
        <v>0</v>
      </c>
      <c r="B1861">
        <f>Table4[[#This Row],[Column2]]</f>
        <v>0</v>
      </c>
      <c r="I1861" s="13">
        <f>Table6[[#This Row],[discharge_date]]-Table6[[#This Row],[surgery_date]]</f>
        <v>0</v>
      </c>
      <c r="J1861" s="9" t="str">
        <f t="shared" si="48"/>
        <v/>
      </c>
    </row>
    <row r="1862" spans="1:10" ht="23.25" customHeight="1">
      <c r="A1862">
        <f>Table4[[#This Row],[Column1]]</f>
        <v>0</v>
      </c>
      <c r="B1862">
        <f>Table4[[#This Row],[Column2]]</f>
        <v>0</v>
      </c>
      <c r="I1862" s="13">
        <f>Table6[[#This Row],[discharge_date]]-Table6[[#This Row],[surgery_date]]</f>
        <v>0</v>
      </c>
      <c r="J1862" s="9" t="str">
        <f t="shared" si="48"/>
        <v/>
      </c>
    </row>
    <row r="1863" spans="1:10" ht="23.25" customHeight="1">
      <c r="A1863">
        <f>Table4[[#This Row],[Column1]]</f>
        <v>0</v>
      </c>
      <c r="B1863">
        <f>Table4[[#This Row],[Column2]]</f>
        <v>0</v>
      </c>
      <c r="I1863" s="13">
        <f>Table6[[#This Row],[discharge_date]]-Table6[[#This Row],[surgery_date]]</f>
        <v>0</v>
      </c>
      <c r="J1863" s="9" t="str">
        <f t="shared" si="48"/>
        <v/>
      </c>
    </row>
    <row r="1864" spans="1:10" ht="23.25" customHeight="1">
      <c r="A1864">
        <f>Table4[[#This Row],[Column1]]</f>
        <v>0</v>
      </c>
      <c r="B1864">
        <f>Table4[[#This Row],[Column2]]</f>
        <v>0</v>
      </c>
      <c r="I1864" s="13">
        <f>Table6[[#This Row],[discharge_date]]-Table6[[#This Row],[surgery_date]]</f>
        <v>0</v>
      </c>
      <c r="J1864" s="9" t="str">
        <f t="shared" si="48"/>
        <v/>
      </c>
    </row>
    <row r="1865" spans="1:10" ht="23.25" customHeight="1">
      <c r="A1865">
        <f>Table4[[#This Row],[Column1]]</f>
        <v>0</v>
      </c>
      <c r="B1865">
        <f>Table4[[#This Row],[Column2]]</f>
        <v>0</v>
      </c>
      <c r="I1865" s="13">
        <f>Table6[[#This Row],[discharge_date]]-Table6[[#This Row],[surgery_date]]</f>
        <v>0</v>
      </c>
      <c r="J1865" s="9" t="str">
        <f t="shared" si="48"/>
        <v/>
      </c>
    </row>
    <row r="1866" spans="1:10" ht="23.25" customHeight="1">
      <c r="A1866">
        <f>Table4[[#This Row],[Column1]]</f>
        <v>0</v>
      </c>
      <c r="B1866">
        <f>Table4[[#This Row],[Column2]]</f>
        <v>0</v>
      </c>
      <c r="I1866" s="13">
        <f>Table6[[#This Row],[discharge_date]]-Table6[[#This Row],[surgery_date]]</f>
        <v>0</v>
      </c>
      <c r="J1866" s="9" t="str">
        <f t="shared" si="48"/>
        <v/>
      </c>
    </row>
    <row r="1867" spans="1:10" ht="23.25" customHeight="1">
      <c r="A1867">
        <f>Table4[[#This Row],[Column1]]</f>
        <v>0</v>
      </c>
      <c r="B1867">
        <f>Table4[[#This Row],[Column2]]</f>
        <v>0</v>
      </c>
      <c r="I1867" s="13">
        <f>Table6[[#This Row],[discharge_date]]-Table6[[#This Row],[surgery_date]]</f>
        <v>0</v>
      </c>
      <c r="J1867" s="9" t="str">
        <f t="shared" si="48"/>
        <v/>
      </c>
    </row>
    <row r="1868" spans="1:10" ht="23.25" customHeight="1">
      <c r="A1868">
        <f>Table4[[#This Row],[Column1]]</f>
        <v>0</v>
      </c>
      <c r="B1868">
        <f>Table4[[#This Row],[Column2]]</f>
        <v>0</v>
      </c>
      <c r="I1868" s="13">
        <f>Table6[[#This Row],[discharge_date]]-Table6[[#This Row],[surgery_date]]</f>
        <v>0</v>
      </c>
      <c r="J1868" s="9" t="str">
        <f t="shared" si="48"/>
        <v/>
      </c>
    </row>
    <row r="1869" spans="1:10" ht="23.25" customHeight="1">
      <c r="A1869">
        <f>Table4[[#This Row],[Column1]]</f>
        <v>0</v>
      </c>
      <c r="B1869">
        <f>Table4[[#This Row],[Column2]]</f>
        <v>0</v>
      </c>
      <c r="I1869" s="13">
        <f>Table6[[#This Row],[discharge_date]]-Table6[[#This Row],[surgery_date]]</f>
        <v>0</v>
      </c>
      <c r="J1869" s="9" t="str">
        <f t="shared" si="48"/>
        <v/>
      </c>
    </row>
    <row r="1870" spans="1:10" ht="23.25" customHeight="1">
      <c r="A1870">
        <f>Table4[[#This Row],[Column1]]</f>
        <v>0</v>
      </c>
      <c r="B1870">
        <f>Table4[[#This Row],[Column2]]</f>
        <v>0</v>
      </c>
      <c r="I1870" s="13">
        <f>Table6[[#This Row],[discharge_date]]-Table6[[#This Row],[surgery_date]]</f>
        <v>0</v>
      </c>
      <c r="J1870" s="9" t="str">
        <f t="shared" si="48"/>
        <v/>
      </c>
    </row>
    <row r="1871" spans="1:10" ht="23.25" customHeight="1">
      <c r="A1871">
        <f>Table4[[#This Row],[Column1]]</f>
        <v>0</v>
      </c>
      <c r="B1871">
        <f>Table4[[#This Row],[Column2]]</f>
        <v>0</v>
      </c>
      <c r="I1871" s="13">
        <f>Table6[[#This Row],[discharge_date]]-Table6[[#This Row],[surgery_date]]</f>
        <v>0</v>
      </c>
      <c r="J1871" s="9" t="str">
        <f t="shared" si="48"/>
        <v/>
      </c>
    </row>
    <row r="1872" spans="1:10" ht="23.25" customHeight="1">
      <c r="A1872">
        <f>Table4[[#This Row],[Column1]]</f>
        <v>0</v>
      </c>
      <c r="B1872">
        <f>Table4[[#This Row],[Column2]]</f>
        <v>0</v>
      </c>
      <c r="I1872" s="13">
        <f>Table6[[#This Row],[discharge_date]]-Table6[[#This Row],[surgery_date]]</f>
        <v>0</v>
      </c>
      <c r="J1872" s="9" t="str">
        <f t="shared" si="48"/>
        <v/>
      </c>
    </row>
    <row r="1873" spans="1:10" ht="23.25" customHeight="1">
      <c r="A1873">
        <f>Table4[[#This Row],[Column1]]</f>
        <v>0</v>
      </c>
      <c r="B1873">
        <f>Table4[[#This Row],[Column2]]</f>
        <v>0</v>
      </c>
      <c r="I1873" s="13">
        <f>Table6[[#This Row],[discharge_date]]-Table6[[#This Row],[surgery_date]]</f>
        <v>0</v>
      </c>
      <c r="J1873" s="9" t="str">
        <f t="shared" si="48"/>
        <v/>
      </c>
    </row>
    <row r="1874" spans="1:10" ht="23.25" customHeight="1">
      <c r="A1874">
        <f>Table4[[#This Row],[Column1]]</f>
        <v>0</v>
      </c>
      <c r="B1874">
        <f>Table4[[#This Row],[Column2]]</f>
        <v>0</v>
      </c>
      <c r="I1874" s="13">
        <f>Table6[[#This Row],[discharge_date]]-Table6[[#This Row],[surgery_date]]</f>
        <v>0</v>
      </c>
      <c r="J1874" s="9" t="str">
        <f t="shared" si="48"/>
        <v/>
      </c>
    </row>
    <row r="1875" spans="1:10" ht="23.25" customHeight="1">
      <c r="A1875">
        <f>Table4[[#This Row],[Column1]]</f>
        <v>0</v>
      </c>
      <c r="B1875">
        <f>Table4[[#This Row],[Column2]]</f>
        <v>0</v>
      </c>
      <c r="I1875" s="13">
        <f>Table6[[#This Row],[discharge_date]]-Table6[[#This Row],[surgery_date]]</f>
        <v>0</v>
      </c>
      <c r="J1875" s="9" t="str">
        <f t="shared" si="48"/>
        <v/>
      </c>
    </row>
    <row r="1876" spans="1:10" ht="23.25" customHeight="1">
      <c r="A1876">
        <f>Table4[[#This Row],[Column1]]</f>
        <v>0</v>
      </c>
      <c r="B1876">
        <f>Table4[[#This Row],[Column2]]</f>
        <v>0</v>
      </c>
      <c r="I1876" s="13">
        <f>Table6[[#This Row],[discharge_date]]-Table6[[#This Row],[surgery_date]]</f>
        <v>0</v>
      </c>
      <c r="J1876" s="9" t="str">
        <f t="shared" si="48"/>
        <v/>
      </c>
    </row>
    <row r="1877" spans="1:10" ht="23.25" customHeight="1">
      <c r="A1877">
        <f>Table4[[#This Row],[Column1]]</f>
        <v>0</v>
      </c>
      <c r="B1877">
        <f>Table4[[#This Row],[Column2]]</f>
        <v>0</v>
      </c>
      <c r="I1877" s="13">
        <f>Table6[[#This Row],[discharge_date]]-Table6[[#This Row],[surgery_date]]</f>
        <v>0</v>
      </c>
      <c r="J1877" s="9" t="str">
        <f t="shared" si="48"/>
        <v/>
      </c>
    </row>
    <row r="1878" spans="1:10" ht="23.25" customHeight="1">
      <c r="A1878">
        <f>Table4[[#This Row],[Column1]]</f>
        <v>0</v>
      </c>
      <c r="B1878">
        <f>Table4[[#This Row],[Column2]]</f>
        <v>0</v>
      </c>
      <c r="I1878" s="13">
        <f>Table6[[#This Row],[discharge_date]]-Table6[[#This Row],[surgery_date]]</f>
        <v>0</v>
      </c>
      <c r="J1878" s="9" t="str">
        <f t="shared" si="48"/>
        <v/>
      </c>
    </row>
    <row r="1879" spans="1:10" ht="23.25" customHeight="1">
      <c r="A1879">
        <f>Table4[[#This Row],[Column1]]</f>
        <v>0</v>
      </c>
      <c r="B1879">
        <f>Table4[[#This Row],[Column2]]</f>
        <v>0</v>
      </c>
      <c r="I1879" s="13">
        <f>Table6[[#This Row],[discharge_date]]-Table6[[#This Row],[surgery_date]]</f>
        <v>0</v>
      </c>
      <c r="J1879" s="9" t="str">
        <f t="shared" si="48"/>
        <v/>
      </c>
    </row>
    <row r="1880" spans="1:10" ht="23.25" customHeight="1">
      <c r="A1880">
        <f>Table4[[#This Row],[Column1]]</f>
        <v>0</v>
      </c>
      <c r="B1880">
        <f>Table4[[#This Row],[Column2]]</f>
        <v>0</v>
      </c>
      <c r="I1880" s="13">
        <f>Table6[[#This Row],[discharge_date]]-Table6[[#This Row],[surgery_date]]</f>
        <v>0</v>
      </c>
      <c r="J1880" s="9" t="str">
        <f t="shared" si="48"/>
        <v/>
      </c>
    </row>
    <row r="1881" spans="1:10" ht="23.25" customHeight="1">
      <c r="A1881">
        <f>Table4[[#This Row],[Column1]]</f>
        <v>0</v>
      </c>
      <c r="B1881">
        <f>Table4[[#This Row],[Column2]]</f>
        <v>0</v>
      </c>
      <c r="I1881" s="13">
        <f>Table6[[#This Row],[discharge_date]]-Table6[[#This Row],[surgery_date]]</f>
        <v>0</v>
      </c>
      <c r="J1881" s="9" t="str">
        <f t="shared" si="48"/>
        <v/>
      </c>
    </row>
    <row r="1882" spans="1:10" ht="23.25" customHeight="1">
      <c r="A1882">
        <f>Table4[[#This Row],[Column1]]</f>
        <v>0</v>
      </c>
      <c r="B1882">
        <f>Table4[[#This Row],[Column2]]</f>
        <v>0</v>
      </c>
      <c r="I1882" s="13">
        <f>Table6[[#This Row],[discharge_date]]-Table6[[#This Row],[surgery_date]]</f>
        <v>0</v>
      </c>
      <c r="J1882" s="9" t="str">
        <f t="shared" si="48"/>
        <v/>
      </c>
    </row>
    <row r="1883" spans="1:10" ht="23.25" customHeight="1">
      <c r="A1883">
        <f>Table4[[#This Row],[Column1]]</f>
        <v>0</v>
      </c>
      <c r="B1883">
        <f>Table4[[#This Row],[Column2]]</f>
        <v>0</v>
      </c>
      <c r="I1883" s="13">
        <f>Table6[[#This Row],[discharge_date]]-Table6[[#This Row],[surgery_date]]</f>
        <v>0</v>
      </c>
      <c r="J1883" s="9" t="str">
        <f t="shared" si="48"/>
        <v/>
      </c>
    </row>
    <row r="1884" spans="1:10" ht="23.25" customHeight="1">
      <c r="A1884">
        <f>Table4[[#This Row],[Column1]]</f>
        <v>0</v>
      </c>
      <c r="B1884">
        <f>Table4[[#This Row],[Column2]]</f>
        <v>0</v>
      </c>
      <c r="I1884" s="13">
        <f>Table6[[#This Row],[discharge_date]]-Table6[[#This Row],[surgery_date]]</f>
        <v>0</v>
      </c>
      <c r="J1884" s="9" t="str">
        <f t="shared" si="48"/>
        <v/>
      </c>
    </row>
    <row r="1885" spans="1:10" ht="23.25" customHeight="1">
      <c r="A1885">
        <f>Table4[[#This Row],[Column1]]</f>
        <v>0</v>
      </c>
      <c r="B1885">
        <f>Table4[[#This Row],[Column2]]</f>
        <v>0</v>
      </c>
      <c r="I1885" s="13">
        <f>Table6[[#This Row],[discharge_date]]-Table6[[#This Row],[surgery_date]]</f>
        <v>0</v>
      </c>
      <c r="J1885" s="9" t="str">
        <f t="shared" si="48"/>
        <v/>
      </c>
    </row>
    <row r="1886" spans="1:10" ht="23.25" customHeight="1">
      <c r="A1886">
        <f>Table4[[#This Row],[Column1]]</f>
        <v>0</v>
      </c>
      <c r="B1886">
        <f>Table4[[#This Row],[Column2]]</f>
        <v>0</v>
      </c>
      <c r="I1886" s="13">
        <f>Table6[[#This Row],[discharge_date]]-Table6[[#This Row],[surgery_date]]</f>
        <v>0</v>
      </c>
      <c r="J1886" s="9" t="str">
        <f t="shared" si="48"/>
        <v/>
      </c>
    </row>
    <row r="1887" spans="1:10" ht="23.25" customHeight="1">
      <c r="A1887">
        <f>Table4[[#This Row],[Column1]]</f>
        <v>0</v>
      </c>
      <c r="B1887">
        <f>Table4[[#This Row],[Column2]]</f>
        <v>0</v>
      </c>
      <c r="I1887" s="13">
        <f>Table6[[#This Row],[discharge_date]]-Table6[[#This Row],[surgery_date]]</f>
        <v>0</v>
      </c>
      <c r="J1887" s="9" t="str">
        <f t="shared" si="48"/>
        <v/>
      </c>
    </row>
    <row r="1888" spans="1:10" ht="23.25" customHeight="1">
      <c r="A1888">
        <f>Table4[[#This Row],[Column1]]</f>
        <v>0</v>
      </c>
      <c r="B1888">
        <f>Table4[[#This Row],[Column2]]</f>
        <v>0</v>
      </c>
      <c r="I1888" s="13">
        <f>Table6[[#This Row],[discharge_date]]-Table6[[#This Row],[surgery_date]]</f>
        <v>0</v>
      </c>
      <c r="J1888" s="9" t="str">
        <f t="shared" si="48"/>
        <v/>
      </c>
    </row>
    <row r="1889" spans="1:10" ht="23.25" customHeight="1">
      <c r="A1889">
        <f>Table4[[#This Row],[Column1]]</f>
        <v>0</v>
      </c>
      <c r="B1889">
        <f>Table4[[#This Row],[Column2]]</f>
        <v>0</v>
      </c>
      <c r="I1889" s="13">
        <f>Table6[[#This Row],[discharge_date]]-Table6[[#This Row],[surgery_date]]</f>
        <v>0</v>
      </c>
      <c r="J1889" s="9" t="str">
        <f t="shared" si="48"/>
        <v/>
      </c>
    </row>
    <row r="1890" spans="1:10" ht="23.25" customHeight="1">
      <c r="A1890">
        <f>Table4[[#This Row],[Column1]]</f>
        <v>0</v>
      </c>
      <c r="B1890">
        <f>Table4[[#This Row],[Column2]]</f>
        <v>0</v>
      </c>
      <c r="I1890" s="13">
        <f>Table6[[#This Row],[discharge_date]]-Table6[[#This Row],[surgery_date]]</f>
        <v>0</v>
      </c>
      <c r="J1890" s="9" t="str">
        <f t="shared" si="48"/>
        <v/>
      </c>
    </row>
    <row r="1891" spans="1:10" ht="23.25" customHeight="1">
      <c r="A1891">
        <f>Table4[[#This Row],[Column1]]</f>
        <v>0</v>
      </c>
      <c r="B1891">
        <f>Table4[[#This Row],[Column2]]</f>
        <v>0</v>
      </c>
      <c r="I1891" s="13">
        <f>Table6[[#This Row],[discharge_date]]-Table6[[#This Row],[surgery_date]]</f>
        <v>0</v>
      </c>
      <c r="J1891" s="9" t="str">
        <f t="shared" si="48"/>
        <v/>
      </c>
    </row>
    <row r="1892" spans="1:10" ht="23.25" customHeight="1">
      <c r="A1892">
        <f>Table4[[#This Row],[Column1]]</f>
        <v>0</v>
      </c>
      <c r="B1892">
        <f>Table4[[#This Row],[Column2]]</f>
        <v>0</v>
      </c>
      <c r="I1892" s="13">
        <f>Table6[[#This Row],[discharge_date]]-Table6[[#This Row],[surgery_date]]</f>
        <v>0</v>
      </c>
      <c r="J1892" s="9" t="str">
        <f t="shared" si="48"/>
        <v/>
      </c>
    </row>
    <row r="1893" spans="1:10" ht="23.25" customHeight="1">
      <c r="A1893">
        <f>Table4[[#This Row],[Column1]]</f>
        <v>0</v>
      </c>
      <c r="B1893">
        <f>Table4[[#This Row],[Column2]]</f>
        <v>0</v>
      </c>
      <c r="I1893" s="13">
        <f>Table6[[#This Row],[discharge_date]]-Table6[[#This Row],[surgery_date]]</f>
        <v>0</v>
      </c>
      <c r="J1893" s="9" t="str">
        <f t="shared" si="48"/>
        <v/>
      </c>
    </row>
    <row r="1894" spans="1:10" ht="23.25" customHeight="1">
      <c r="A1894">
        <f>Table4[[#This Row],[Column1]]</f>
        <v>0</v>
      </c>
      <c r="B1894">
        <f>Table4[[#This Row],[Column2]]</f>
        <v>0</v>
      </c>
      <c r="I1894" s="13">
        <f>Table6[[#This Row],[discharge_date]]-Table6[[#This Row],[surgery_date]]</f>
        <v>0</v>
      </c>
      <c r="J1894" s="9" t="str">
        <f t="shared" si="48"/>
        <v/>
      </c>
    </row>
    <row r="1895" spans="1:10" ht="23.25" customHeight="1">
      <c r="A1895">
        <f>Table4[[#This Row],[Column1]]</f>
        <v>0</v>
      </c>
      <c r="B1895">
        <f>Table4[[#This Row],[Column2]]</f>
        <v>0</v>
      </c>
      <c r="I1895" s="13">
        <f>Table6[[#This Row],[discharge_date]]-Table6[[#This Row],[surgery_date]]</f>
        <v>0</v>
      </c>
      <c r="J1895" s="9" t="str">
        <f t="shared" si="48"/>
        <v/>
      </c>
    </row>
    <row r="1896" spans="1:10" ht="23.25" customHeight="1">
      <c r="A1896">
        <f>Table4[[#This Row],[Column1]]</f>
        <v>0</v>
      </c>
      <c r="B1896">
        <f>Table4[[#This Row],[Column2]]</f>
        <v>0</v>
      </c>
      <c r="I1896" s="13">
        <f>Table6[[#This Row],[discharge_date]]-Table6[[#This Row],[surgery_date]]</f>
        <v>0</v>
      </c>
      <c r="J1896" s="9" t="str">
        <f t="shared" si="48"/>
        <v/>
      </c>
    </row>
    <row r="1897" spans="1:10" ht="23.25" customHeight="1">
      <c r="A1897">
        <f>Table4[[#This Row],[Column1]]</f>
        <v>0</v>
      </c>
      <c r="B1897">
        <f>Table4[[#This Row],[Column2]]</f>
        <v>0</v>
      </c>
      <c r="I1897" s="13">
        <f>Table6[[#This Row],[discharge_date]]-Table6[[#This Row],[surgery_date]]</f>
        <v>0</v>
      </c>
      <c r="J1897" s="9" t="str">
        <f t="shared" si="48"/>
        <v/>
      </c>
    </row>
    <row r="1898" spans="1:10" ht="23.25" customHeight="1">
      <c r="A1898">
        <f>Table4[[#This Row],[Column1]]</f>
        <v>0</v>
      </c>
      <c r="B1898">
        <f>Table4[[#This Row],[Column2]]</f>
        <v>0</v>
      </c>
      <c r="I1898" s="13">
        <f>Table6[[#This Row],[discharge_date]]-Table6[[#This Row],[surgery_date]]</f>
        <v>0</v>
      </c>
      <c r="J1898" s="9" t="str">
        <f t="shared" si="48"/>
        <v/>
      </c>
    </row>
    <row r="1899" spans="1:10" ht="23.25" customHeight="1">
      <c r="A1899">
        <f>Table4[[#This Row],[Column1]]</f>
        <v>0</v>
      </c>
      <c r="B1899">
        <f>Table4[[#This Row],[Column2]]</f>
        <v>0</v>
      </c>
      <c r="I1899" s="13">
        <f>Table6[[#This Row],[discharge_date]]-Table6[[#This Row],[surgery_date]]</f>
        <v>0</v>
      </c>
      <c r="J1899" s="9" t="str">
        <f t="shared" si="48"/>
        <v/>
      </c>
    </row>
    <row r="1900" spans="1:10" ht="23.25" customHeight="1">
      <c r="A1900">
        <f>Table4[[#This Row],[Column1]]</f>
        <v>0</v>
      </c>
      <c r="B1900">
        <f>Table4[[#This Row],[Column2]]</f>
        <v>0</v>
      </c>
      <c r="I1900" s="13">
        <f>Table6[[#This Row],[discharge_date]]-Table6[[#This Row],[surgery_date]]</f>
        <v>0</v>
      </c>
      <c r="J1900" s="9" t="str">
        <f t="shared" si="48"/>
        <v/>
      </c>
    </row>
    <row r="1901" spans="1:10" ht="23.25" customHeight="1">
      <c r="A1901">
        <f>Table4[[#This Row],[Column1]]</f>
        <v>0</v>
      </c>
      <c r="B1901">
        <f>Table4[[#This Row],[Column2]]</f>
        <v>0</v>
      </c>
      <c r="I1901" s="13">
        <f>Table6[[#This Row],[discharge_date]]-Table6[[#This Row],[surgery_date]]</f>
        <v>0</v>
      </c>
      <c r="J1901" s="9" t="str">
        <f t="shared" si="48"/>
        <v/>
      </c>
    </row>
    <row r="1902" spans="1:10" ht="23.25" customHeight="1">
      <c r="A1902">
        <f>Table4[[#This Row],[Column1]]</f>
        <v>0</v>
      </c>
      <c r="B1902">
        <f>Table4[[#This Row],[Column2]]</f>
        <v>0</v>
      </c>
      <c r="I1902" s="13">
        <f>Table6[[#This Row],[discharge_date]]-Table6[[#This Row],[surgery_date]]</f>
        <v>0</v>
      </c>
      <c r="J1902" s="9" t="str">
        <f t="shared" si="48"/>
        <v/>
      </c>
    </row>
    <row r="1903" spans="1:10" ht="23.25" customHeight="1">
      <c r="A1903">
        <f>Table4[[#This Row],[Column1]]</f>
        <v>0</v>
      </c>
      <c r="B1903">
        <f>Table4[[#This Row],[Column2]]</f>
        <v>0</v>
      </c>
      <c r="I1903" s="13">
        <f>Table6[[#This Row],[discharge_date]]-Table6[[#This Row],[surgery_date]]</f>
        <v>0</v>
      </c>
      <c r="J1903" s="9" t="str">
        <f t="shared" si="48"/>
        <v/>
      </c>
    </row>
    <row r="1904" spans="1:10" ht="23.25" customHeight="1">
      <c r="A1904">
        <f>Table4[[#This Row],[Column1]]</f>
        <v>0</v>
      </c>
      <c r="B1904">
        <f>Table4[[#This Row],[Column2]]</f>
        <v>0</v>
      </c>
      <c r="I1904" s="13">
        <f>Table6[[#This Row],[discharge_date]]-Table6[[#This Row],[surgery_date]]</f>
        <v>0</v>
      </c>
      <c r="J1904" s="9" t="str">
        <f t="shared" si="48"/>
        <v/>
      </c>
    </row>
    <row r="1905" spans="1:10" ht="23.25" customHeight="1">
      <c r="A1905">
        <f>Table4[[#This Row],[Column1]]</f>
        <v>0</v>
      </c>
      <c r="B1905">
        <f>Table4[[#This Row],[Column2]]</f>
        <v>0</v>
      </c>
      <c r="I1905" s="13">
        <f>Table6[[#This Row],[discharge_date]]-Table6[[#This Row],[surgery_date]]</f>
        <v>0</v>
      </c>
      <c r="J1905" s="9" t="str">
        <f t="shared" si="48"/>
        <v/>
      </c>
    </row>
    <row r="1906" spans="1:10" ht="23.25" customHeight="1">
      <c r="A1906">
        <f>Table4[[#This Row],[Column1]]</f>
        <v>0</v>
      </c>
      <c r="B1906">
        <f>Table4[[#This Row],[Column2]]</f>
        <v>0</v>
      </c>
      <c r="I1906" s="13">
        <f>Table6[[#This Row],[discharge_date]]-Table6[[#This Row],[surgery_date]]</f>
        <v>0</v>
      </c>
      <c r="J1906" s="9" t="str">
        <f t="shared" si="48"/>
        <v/>
      </c>
    </row>
    <row r="1907" spans="1:10" ht="23.25" customHeight="1">
      <c r="A1907">
        <f>Table4[[#This Row],[Column1]]</f>
        <v>0</v>
      </c>
      <c r="B1907">
        <f>Table4[[#This Row],[Column2]]</f>
        <v>0</v>
      </c>
      <c r="I1907" s="13">
        <f>Table6[[#This Row],[discharge_date]]-Table6[[#This Row],[surgery_date]]</f>
        <v>0</v>
      </c>
      <c r="J1907" s="9" t="str">
        <f t="shared" si="48"/>
        <v/>
      </c>
    </row>
    <row r="1908" spans="1:10" ht="23.25" customHeight="1">
      <c r="A1908">
        <f>Table4[[#This Row],[Column1]]</f>
        <v>0</v>
      </c>
      <c r="B1908">
        <f>Table4[[#This Row],[Column2]]</f>
        <v>0</v>
      </c>
      <c r="I1908" s="13">
        <f>Table6[[#This Row],[discharge_date]]-Table6[[#This Row],[surgery_date]]</f>
        <v>0</v>
      </c>
      <c r="J1908" s="9" t="str">
        <f t="shared" si="48"/>
        <v/>
      </c>
    </row>
    <row r="1909" spans="1:10" ht="23.25" customHeight="1">
      <c r="A1909">
        <f>Table4[[#This Row],[Column1]]</f>
        <v>0</v>
      </c>
      <c r="B1909">
        <f>Table4[[#This Row],[Column2]]</f>
        <v>0</v>
      </c>
      <c r="I1909" s="13">
        <f>Table6[[#This Row],[discharge_date]]-Table6[[#This Row],[surgery_date]]</f>
        <v>0</v>
      </c>
      <c r="J1909" s="9" t="str">
        <f t="shared" si="48"/>
        <v/>
      </c>
    </row>
    <row r="1910" spans="1:10" ht="23.25" customHeight="1">
      <c r="A1910">
        <f>Table4[[#This Row],[Column1]]</f>
        <v>0</v>
      </c>
      <c r="B1910">
        <f>Table4[[#This Row],[Column2]]</f>
        <v>0</v>
      </c>
      <c r="I1910" s="13">
        <f>Table6[[#This Row],[discharge_date]]-Table6[[#This Row],[surgery_date]]</f>
        <v>0</v>
      </c>
      <c r="J1910" s="9" t="str">
        <f t="shared" si="48"/>
        <v/>
      </c>
    </row>
    <row r="1911" spans="1:10" ht="23.25" customHeight="1">
      <c r="A1911">
        <f>Table4[[#This Row],[Column1]]</f>
        <v>0</v>
      </c>
      <c r="B1911">
        <f>Table4[[#This Row],[Column2]]</f>
        <v>0</v>
      </c>
      <c r="I1911" s="13">
        <f>Table6[[#This Row],[discharge_date]]-Table6[[#This Row],[surgery_date]]</f>
        <v>0</v>
      </c>
      <c r="J1911" s="9" t="str">
        <f t="shared" si="48"/>
        <v/>
      </c>
    </row>
    <row r="1912" spans="1:10" ht="23.25" customHeight="1">
      <c r="A1912">
        <f>Table4[[#This Row],[Column1]]</f>
        <v>0</v>
      </c>
      <c r="B1912">
        <f>Table4[[#This Row],[Column2]]</f>
        <v>0</v>
      </c>
      <c r="I1912" s="13">
        <f>Table6[[#This Row],[discharge_date]]-Table6[[#This Row],[surgery_date]]</f>
        <v>0</v>
      </c>
      <c r="J1912" s="9" t="str">
        <f t="shared" si="48"/>
        <v/>
      </c>
    </row>
    <row r="1913" spans="1:10" ht="23.25" customHeight="1">
      <c r="A1913">
        <f>Table4[[#This Row],[Column1]]</f>
        <v>0</v>
      </c>
      <c r="B1913">
        <f>Table4[[#This Row],[Column2]]</f>
        <v>0</v>
      </c>
      <c r="I1913" s="13">
        <f>Table6[[#This Row],[discharge_date]]-Table6[[#This Row],[surgery_date]]</f>
        <v>0</v>
      </c>
      <c r="J1913" s="9" t="str">
        <f t="shared" si="48"/>
        <v/>
      </c>
    </row>
    <row r="1914" spans="1:10" ht="23.25" customHeight="1">
      <c r="A1914">
        <f>Table4[[#This Row],[Column1]]</f>
        <v>0</v>
      </c>
      <c r="B1914">
        <f>Table4[[#This Row],[Column2]]</f>
        <v>0</v>
      </c>
      <c r="I1914" s="13">
        <f>Table6[[#This Row],[discharge_date]]-Table6[[#This Row],[surgery_date]]</f>
        <v>0</v>
      </c>
      <c r="J1914" s="9" t="str">
        <f t="shared" si="48"/>
        <v/>
      </c>
    </row>
    <row r="1915" spans="1:10" ht="23.25" customHeight="1">
      <c r="A1915">
        <f>Table4[[#This Row],[Column1]]</f>
        <v>0</v>
      </c>
      <c r="B1915">
        <f>Table4[[#This Row],[Column2]]</f>
        <v>0</v>
      </c>
      <c r="I1915" s="13">
        <f>Table6[[#This Row],[discharge_date]]-Table6[[#This Row],[surgery_date]]</f>
        <v>0</v>
      </c>
      <c r="J1915" s="9" t="str">
        <f t="shared" si="48"/>
        <v/>
      </c>
    </row>
    <row r="1916" spans="1:10" ht="23.25" customHeight="1">
      <c r="A1916">
        <f>Table4[[#This Row],[Column1]]</f>
        <v>0</v>
      </c>
      <c r="B1916">
        <f>Table4[[#This Row],[Column2]]</f>
        <v>0</v>
      </c>
      <c r="I1916" s="13">
        <f>Table6[[#This Row],[discharge_date]]-Table6[[#This Row],[surgery_date]]</f>
        <v>0</v>
      </c>
      <c r="J1916" s="9" t="str">
        <f t="shared" si="48"/>
        <v/>
      </c>
    </row>
    <row r="1917" spans="1:10" ht="23.25" customHeight="1">
      <c r="A1917">
        <f>Table4[[#This Row],[Column1]]</f>
        <v>0</v>
      </c>
      <c r="B1917">
        <f>Table4[[#This Row],[Column2]]</f>
        <v>0</v>
      </c>
      <c r="I1917" s="13">
        <f>Table6[[#This Row],[discharge_date]]-Table6[[#This Row],[surgery_date]]</f>
        <v>0</v>
      </c>
      <c r="J1917" s="9" t="str">
        <f t="shared" si="48"/>
        <v/>
      </c>
    </row>
    <row r="1918" spans="1:10" ht="23.25" customHeight="1">
      <c r="A1918">
        <f>Table4[[#This Row],[Column1]]</f>
        <v>0</v>
      </c>
      <c r="B1918">
        <f>Table4[[#This Row],[Column2]]</f>
        <v>0</v>
      </c>
      <c r="I1918" s="13">
        <f>Table6[[#This Row],[discharge_date]]-Table6[[#This Row],[surgery_date]]</f>
        <v>0</v>
      </c>
      <c r="J1918" s="9" t="str">
        <f t="shared" si="48"/>
        <v/>
      </c>
    </row>
    <row r="1919" spans="1:10" ht="23.25" customHeight="1">
      <c r="A1919">
        <f>Table4[[#This Row],[Column1]]</f>
        <v>0</v>
      </c>
      <c r="B1919">
        <f>Table4[[#This Row],[Column2]]</f>
        <v>0</v>
      </c>
      <c r="I1919" s="13">
        <f>Table6[[#This Row],[discharge_date]]-Table6[[#This Row],[surgery_date]]</f>
        <v>0</v>
      </c>
      <c r="J1919" s="9" t="str">
        <f t="shared" si="48"/>
        <v/>
      </c>
    </row>
    <row r="1920" spans="1:10" ht="23.25" customHeight="1">
      <c r="A1920">
        <f>Table4[[#This Row],[Column1]]</f>
        <v>0</v>
      </c>
      <c r="B1920">
        <f>Table4[[#This Row],[Column2]]</f>
        <v>0</v>
      </c>
      <c r="I1920" s="13">
        <f>Table6[[#This Row],[discharge_date]]-Table6[[#This Row],[surgery_date]]</f>
        <v>0</v>
      </c>
      <c r="J1920" s="9" t="str">
        <f t="shared" si="48"/>
        <v/>
      </c>
    </row>
    <row r="1921" spans="1:10" ht="23.25" customHeight="1">
      <c r="A1921">
        <f>Table4[[#This Row],[Column1]]</f>
        <v>0</v>
      </c>
      <c r="B1921">
        <f>Table4[[#This Row],[Column2]]</f>
        <v>0</v>
      </c>
      <c r="I1921" s="13">
        <f>Table6[[#This Row],[discharge_date]]-Table6[[#This Row],[surgery_date]]</f>
        <v>0</v>
      </c>
      <c r="J1921" s="9" t="str">
        <f t="shared" si="48"/>
        <v/>
      </c>
    </row>
    <row r="1922" spans="1:10" ht="23.25" customHeight="1">
      <c r="A1922">
        <f>Table4[[#This Row],[Column1]]</f>
        <v>0</v>
      </c>
      <c r="B1922">
        <f>Table4[[#This Row],[Column2]]</f>
        <v>0</v>
      </c>
      <c r="I1922" s="13">
        <f>Table6[[#This Row],[discharge_date]]-Table6[[#This Row],[surgery_date]]</f>
        <v>0</v>
      </c>
      <c r="J1922" s="9" t="str">
        <f t="shared" ref="J1922:J1985" si="49">IF( H1922&lt;&gt;"", H1922+30,"")</f>
        <v/>
      </c>
    </row>
    <row r="1923" spans="1:10" ht="23.25" customHeight="1">
      <c r="A1923">
        <f>Table4[[#This Row],[Column1]]</f>
        <v>0</v>
      </c>
      <c r="B1923">
        <f>Table4[[#This Row],[Column2]]</f>
        <v>0</v>
      </c>
      <c r="I1923" s="13">
        <f>Table6[[#This Row],[discharge_date]]-Table6[[#This Row],[surgery_date]]</f>
        <v>0</v>
      </c>
      <c r="J1923" s="9" t="str">
        <f t="shared" si="49"/>
        <v/>
      </c>
    </row>
    <row r="1924" spans="1:10" ht="23.25" customHeight="1">
      <c r="A1924">
        <f>Table4[[#This Row],[Column1]]</f>
        <v>0</v>
      </c>
      <c r="B1924">
        <f>Table4[[#This Row],[Column2]]</f>
        <v>0</v>
      </c>
      <c r="I1924" s="13">
        <f>Table6[[#This Row],[discharge_date]]-Table6[[#This Row],[surgery_date]]</f>
        <v>0</v>
      </c>
      <c r="J1924" s="9" t="str">
        <f t="shared" si="49"/>
        <v/>
      </c>
    </row>
    <row r="1925" spans="1:10" ht="23.25" customHeight="1">
      <c r="A1925">
        <f>Table4[[#This Row],[Column1]]</f>
        <v>0</v>
      </c>
      <c r="B1925">
        <f>Table4[[#This Row],[Column2]]</f>
        <v>0</v>
      </c>
      <c r="I1925" s="13">
        <f>Table6[[#This Row],[discharge_date]]-Table6[[#This Row],[surgery_date]]</f>
        <v>0</v>
      </c>
      <c r="J1925" s="9" t="str">
        <f t="shared" si="49"/>
        <v/>
      </c>
    </row>
    <row r="1926" spans="1:10" ht="23.25" customHeight="1">
      <c r="A1926">
        <f>Table4[[#This Row],[Column1]]</f>
        <v>0</v>
      </c>
      <c r="B1926">
        <f>Table4[[#This Row],[Column2]]</f>
        <v>0</v>
      </c>
      <c r="I1926" s="13">
        <f>Table6[[#This Row],[discharge_date]]-Table6[[#This Row],[surgery_date]]</f>
        <v>0</v>
      </c>
      <c r="J1926" s="9" t="str">
        <f t="shared" si="49"/>
        <v/>
      </c>
    </row>
    <row r="1927" spans="1:10" ht="23.25" customHeight="1">
      <c r="A1927">
        <f>Table4[[#This Row],[Column1]]</f>
        <v>0</v>
      </c>
      <c r="B1927">
        <f>Table4[[#This Row],[Column2]]</f>
        <v>0</v>
      </c>
      <c r="I1927" s="13">
        <f>Table6[[#This Row],[discharge_date]]-Table6[[#This Row],[surgery_date]]</f>
        <v>0</v>
      </c>
      <c r="J1927" s="9" t="str">
        <f t="shared" si="49"/>
        <v/>
      </c>
    </row>
    <row r="1928" spans="1:10" ht="23.25" customHeight="1">
      <c r="A1928">
        <f>Table4[[#This Row],[Column1]]</f>
        <v>0</v>
      </c>
      <c r="B1928">
        <f>Table4[[#This Row],[Column2]]</f>
        <v>0</v>
      </c>
      <c r="I1928" s="13">
        <f>Table6[[#This Row],[discharge_date]]-Table6[[#This Row],[surgery_date]]</f>
        <v>0</v>
      </c>
      <c r="J1928" s="9" t="str">
        <f t="shared" si="49"/>
        <v/>
      </c>
    </row>
    <row r="1929" spans="1:10" ht="23.25" customHeight="1">
      <c r="A1929">
        <f>Table4[[#This Row],[Column1]]</f>
        <v>0</v>
      </c>
      <c r="B1929">
        <f>Table4[[#This Row],[Column2]]</f>
        <v>0</v>
      </c>
      <c r="I1929" s="13">
        <f>Table6[[#This Row],[discharge_date]]-Table6[[#This Row],[surgery_date]]</f>
        <v>0</v>
      </c>
      <c r="J1929" s="9" t="str">
        <f t="shared" si="49"/>
        <v/>
      </c>
    </row>
    <row r="1930" spans="1:10" ht="23.25" customHeight="1">
      <c r="A1930">
        <f>Table4[[#This Row],[Column1]]</f>
        <v>0</v>
      </c>
      <c r="B1930">
        <f>Table4[[#This Row],[Column2]]</f>
        <v>0</v>
      </c>
      <c r="I1930" s="13">
        <f>Table6[[#This Row],[discharge_date]]-Table6[[#This Row],[surgery_date]]</f>
        <v>0</v>
      </c>
      <c r="J1930" s="9" t="str">
        <f t="shared" si="49"/>
        <v/>
      </c>
    </row>
    <row r="1931" spans="1:10" ht="23.25" customHeight="1">
      <c r="A1931">
        <f>Table4[[#This Row],[Column1]]</f>
        <v>0</v>
      </c>
      <c r="B1931">
        <f>Table4[[#This Row],[Column2]]</f>
        <v>0</v>
      </c>
      <c r="I1931" s="13">
        <f>Table6[[#This Row],[discharge_date]]-Table6[[#This Row],[surgery_date]]</f>
        <v>0</v>
      </c>
      <c r="J1931" s="9" t="str">
        <f t="shared" si="49"/>
        <v/>
      </c>
    </row>
    <row r="1932" spans="1:10" ht="23.25" customHeight="1">
      <c r="A1932">
        <f>Table4[[#This Row],[Column1]]</f>
        <v>0</v>
      </c>
      <c r="B1932">
        <f>Table4[[#This Row],[Column2]]</f>
        <v>0</v>
      </c>
      <c r="I1932" s="13">
        <f>Table6[[#This Row],[discharge_date]]-Table6[[#This Row],[surgery_date]]</f>
        <v>0</v>
      </c>
      <c r="J1932" s="9" t="str">
        <f t="shared" si="49"/>
        <v/>
      </c>
    </row>
    <row r="1933" spans="1:10" ht="23.25" customHeight="1">
      <c r="A1933">
        <f>Table4[[#This Row],[Column1]]</f>
        <v>0</v>
      </c>
      <c r="B1933">
        <f>Table4[[#This Row],[Column2]]</f>
        <v>0</v>
      </c>
      <c r="I1933" s="13">
        <f>Table6[[#This Row],[discharge_date]]-Table6[[#This Row],[surgery_date]]</f>
        <v>0</v>
      </c>
      <c r="J1933" s="9" t="str">
        <f t="shared" si="49"/>
        <v/>
      </c>
    </row>
    <row r="1934" spans="1:10" ht="23.25" customHeight="1">
      <c r="A1934">
        <f>Table4[[#This Row],[Column1]]</f>
        <v>0</v>
      </c>
      <c r="B1934">
        <f>Table4[[#This Row],[Column2]]</f>
        <v>0</v>
      </c>
      <c r="I1934" s="13">
        <f>Table6[[#This Row],[discharge_date]]-Table6[[#This Row],[surgery_date]]</f>
        <v>0</v>
      </c>
      <c r="J1934" s="9" t="str">
        <f t="shared" si="49"/>
        <v/>
      </c>
    </row>
    <row r="1935" spans="1:10" ht="23.25" customHeight="1">
      <c r="A1935">
        <f>Table4[[#This Row],[Column1]]</f>
        <v>0</v>
      </c>
      <c r="B1935">
        <f>Table4[[#This Row],[Column2]]</f>
        <v>0</v>
      </c>
      <c r="I1935" s="13">
        <f>Table6[[#This Row],[discharge_date]]-Table6[[#This Row],[surgery_date]]</f>
        <v>0</v>
      </c>
      <c r="J1935" s="9" t="str">
        <f t="shared" si="49"/>
        <v/>
      </c>
    </row>
    <row r="1936" spans="1:10" ht="23.25" customHeight="1">
      <c r="A1936">
        <f>Table4[[#This Row],[Column1]]</f>
        <v>0</v>
      </c>
      <c r="B1936">
        <f>Table4[[#This Row],[Column2]]</f>
        <v>0</v>
      </c>
      <c r="I1936" s="13">
        <f>Table6[[#This Row],[discharge_date]]-Table6[[#This Row],[surgery_date]]</f>
        <v>0</v>
      </c>
      <c r="J1936" s="9" t="str">
        <f t="shared" si="49"/>
        <v/>
      </c>
    </row>
    <row r="1937" spans="1:10" ht="23.25" customHeight="1">
      <c r="A1937">
        <f>Table4[[#This Row],[Column1]]</f>
        <v>0</v>
      </c>
      <c r="B1937">
        <f>Table4[[#This Row],[Column2]]</f>
        <v>0</v>
      </c>
      <c r="I1937" s="13">
        <f>Table6[[#This Row],[discharge_date]]-Table6[[#This Row],[surgery_date]]</f>
        <v>0</v>
      </c>
      <c r="J1937" s="9" t="str">
        <f t="shared" si="49"/>
        <v/>
      </c>
    </row>
    <row r="1938" spans="1:10" ht="23.25" customHeight="1">
      <c r="A1938">
        <f>Table4[[#This Row],[Column1]]</f>
        <v>0</v>
      </c>
      <c r="B1938">
        <f>Table4[[#This Row],[Column2]]</f>
        <v>0</v>
      </c>
      <c r="I1938" s="13">
        <f>Table6[[#This Row],[discharge_date]]-Table6[[#This Row],[surgery_date]]</f>
        <v>0</v>
      </c>
      <c r="J1938" s="9" t="str">
        <f t="shared" si="49"/>
        <v/>
      </c>
    </row>
    <row r="1939" spans="1:10" ht="23.25" customHeight="1">
      <c r="A1939">
        <f>Table4[[#This Row],[Column1]]</f>
        <v>0</v>
      </c>
      <c r="B1939">
        <f>Table4[[#This Row],[Column2]]</f>
        <v>0</v>
      </c>
      <c r="I1939" s="13">
        <f>Table6[[#This Row],[discharge_date]]-Table6[[#This Row],[surgery_date]]</f>
        <v>0</v>
      </c>
      <c r="J1939" s="9" t="str">
        <f t="shared" si="49"/>
        <v/>
      </c>
    </row>
    <row r="1940" spans="1:10" ht="23.25" customHeight="1">
      <c r="A1940">
        <f>Table4[[#This Row],[Column1]]</f>
        <v>0</v>
      </c>
      <c r="B1940">
        <f>Table4[[#This Row],[Column2]]</f>
        <v>0</v>
      </c>
      <c r="I1940" s="13">
        <f>Table6[[#This Row],[discharge_date]]-Table6[[#This Row],[surgery_date]]</f>
        <v>0</v>
      </c>
      <c r="J1940" s="9" t="str">
        <f t="shared" si="49"/>
        <v/>
      </c>
    </row>
    <row r="1941" spans="1:10" ht="23.25" customHeight="1">
      <c r="A1941">
        <f>Table4[[#This Row],[Column1]]</f>
        <v>0</v>
      </c>
      <c r="B1941">
        <f>Table4[[#This Row],[Column2]]</f>
        <v>0</v>
      </c>
      <c r="I1941" s="13">
        <f>Table6[[#This Row],[discharge_date]]-Table6[[#This Row],[surgery_date]]</f>
        <v>0</v>
      </c>
      <c r="J1941" s="9" t="str">
        <f t="shared" si="49"/>
        <v/>
      </c>
    </row>
    <row r="1942" spans="1:10" ht="23.25" customHeight="1">
      <c r="A1942">
        <f>Table4[[#This Row],[Column1]]</f>
        <v>0</v>
      </c>
      <c r="B1942">
        <f>Table4[[#This Row],[Column2]]</f>
        <v>0</v>
      </c>
      <c r="I1942" s="13">
        <f>Table6[[#This Row],[discharge_date]]-Table6[[#This Row],[surgery_date]]</f>
        <v>0</v>
      </c>
      <c r="J1942" s="9" t="str">
        <f t="shared" si="49"/>
        <v/>
      </c>
    </row>
    <row r="1943" spans="1:10" ht="23.25" customHeight="1">
      <c r="A1943">
        <f>Table4[[#This Row],[Column1]]</f>
        <v>0</v>
      </c>
      <c r="B1943">
        <f>Table4[[#This Row],[Column2]]</f>
        <v>0</v>
      </c>
      <c r="I1943" s="13">
        <f>Table6[[#This Row],[discharge_date]]-Table6[[#This Row],[surgery_date]]</f>
        <v>0</v>
      </c>
      <c r="J1943" s="9" t="str">
        <f t="shared" si="49"/>
        <v/>
      </c>
    </row>
    <row r="1944" spans="1:10" ht="23.25" customHeight="1">
      <c r="A1944">
        <f>Table4[[#This Row],[Column1]]</f>
        <v>0</v>
      </c>
      <c r="B1944">
        <f>Table4[[#This Row],[Column2]]</f>
        <v>0</v>
      </c>
      <c r="I1944" s="13">
        <f>Table6[[#This Row],[discharge_date]]-Table6[[#This Row],[surgery_date]]</f>
        <v>0</v>
      </c>
      <c r="J1944" s="9" t="str">
        <f t="shared" si="49"/>
        <v/>
      </c>
    </row>
    <row r="1945" spans="1:10" ht="23.25" customHeight="1">
      <c r="A1945">
        <f>Table4[[#This Row],[Column1]]</f>
        <v>0</v>
      </c>
      <c r="B1945">
        <f>Table4[[#This Row],[Column2]]</f>
        <v>0</v>
      </c>
      <c r="I1945" s="13">
        <f>Table6[[#This Row],[discharge_date]]-Table6[[#This Row],[surgery_date]]</f>
        <v>0</v>
      </c>
      <c r="J1945" s="9" t="str">
        <f t="shared" si="49"/>
        <v/>
      </c>
    </row>
    <row r="1946" spans="1:10" ht="23.25" customHeight="1">
      <c r="A1946">
        <f>Table4[[#This Row],[Column1]]</f>
        <v>0</v>
      </c>
      <c r="B1946">
        <f>Table4[[#This Row],[Column2]]</f>
        <v>0</v>
      </c>
      <c r="I1946" s="13">
        <f>Table6[[#This Row],[discharge_date]]-Table6[[#This Row],[surgery_date]]</f>
        <v>0</v>
      </c>
      <c r="J1946" s="9" t="str">
        <f t="shared" si="49"/>
        <v/>
      </c>
    </row>
    <row r="1947" spans="1:10" ht="23.25" customHeight="1">
      <c r="A1947">
        <f>Table4[[#This Row],[Column1]]</f>
        <v>0</v>
      </c>
      <c r="B1947">
        <f>Table4[[#This Row],[Column2]]</f>
        <v>0</v>
      </c>
      <c r="I1947" s="13">
        <f>Table6[[#This Row],[discharge_date]]-Table6[[#This Row],[surgery_date]]</f>
        <v>0</v>
      </c>
      <c r="J1947" s="9" t="str">
        <f t="shared" si="49"/>
        <v/>
      </c>
    </row>
    <row r="1948" spans="1:10" ht="23.25" customHeight="1">
      <c r="A1948">
        <f>Table4[[#This Row],[Column1]]</f>
        <v>0</v>
      </c>
      <c r="B1948">
        <f>Table4[[#This Row],[Column2]]</f>
        <v>0</v>
      </c>
      <c r="I1948" s="13">
        <f>Table6[[#This Row],[discharge_date]]-Table6[[#This Row],[surgery_date]]</f>
        <v>0</v>
      </c>
      <c r="J1948" s="9" t="str">
        <f t="shared" si="49"/>
        <v/>
      </c>
    </row>
    <row r="1949" spans="1:10" ht="23.25" customHeight="1">
      <c r="A1949">
        <f>Table4[[#This Row],[Column1]]</f>
        <v>0</v>
      </c>
      <c r="B1949">
        <f>Table4[[#This Row],[Column2]]</f>
        <v>0</v>
      </c>
      <c r="I1949" s="13">
        <f>Table6[[#This Row],[discharge_date]]-Table6[[#This Row],[surgery_date]]</f>
        <v>0</v>
      </c>
      <c r="J1949" s="9" t="str">
        <f t="shared" si="49"/>
        <v/>
      </c>
    </row>
    <row r="1950" spans="1:10" ht="23.25" customHeight="1">
      <c r="A1950">
        <f>Table4[[#This Row],[Column1]]</f>
        <v>0</v>
      </c>
      <c r="B1950">
        <f>Table4[[#This Row],[Column2]]</f>
        <v>0</v>
      </c>
      <c r="I1950" s="13">
        <f>Table6[[#This Row],[discharge_date]]-Table6[[#This Row],[surgery_date]]</f>
        <v>0</v>
      </c>
      <c r="J1950" s="9" t="str">
        <f t="shared" si="49"/>
        <v/>
      </c>
    </row>
    <row r="1951" spans="1:10" ht="23.25" customHeight="1">
      <c r="A1951">
        <f>Table4[[#This Row],[Column1]]</f>
        <v>0</v>
      </c>
      <c r="B1951">
        <f>Table4[[#This Row],[Column2]]</f>
        <v>0</v>
      </c>
      <c r="I1951" s="13">
        <f>Table6[[#This Row],[discharge_date]]-Table6[[#This Row],[surgery_date]]</f>
        <v>0</v>
      </c>
      <c r="J1951" s="9" t="str">
        <f t="shared" si="49"/>
        <v/>
      </c>
    </row>
    <row r="1952" spans="1:10" ht="23.25" customHeight="1">
      <c r="A1952">
        <f>Table4[[#This Row],[Column1]]</f>
        <v>0</v>
      </c>
      <c r="B1952">
        <f>Table4[[#This Row],[Column2]]</f>
        <v>0</v>
      </c>
      <c r="I1952" s="13">
        <f>Table6[[#This Row],[discharge_date]]-Table6[[#This Row],[surgery_date]]</f>
        <v>0</v>
      </c>
      <c r="J1952" s="9" t="str">
        <f t="shared" si="49"/>
        <v/>
      </c>
    </row>
    <row r="1953" spans="1:10" ht="23.25" customHeight="1">
      <c r="A1953">
        <f>Table4[[#This Row],[Column1]]</f>
        <v>0</v>
      </c>
      <c r="B1953">
        <f>Table4[[#This Row],[Column2]]</f>
        <v>0</v>
      </c>
      <c r="I1953" s="13">
        <f>Table6[[#This Row],[discharge_date]]-Table6[[#This Row],[surgery_date]]</f>
        <v>0</v>
      </c>
      <c r="J1953" s="9" t="str">
        <f t="shared" si="49"/>
        <v/>
      </c>
    </row>
    <row r="1954" spans="1:10" ht="23.25" customHeight="1">
      <c r="A1954">
        <f>Table4[[#This Row],[Column1]]</f>
        <v>0</v>
      </c>
      <c r="B1954">
        <f>Table4[[#This Row],[Column2]]</f>
        <v>0</v>
      </c>
      <c r="I1954" s="13">
        <f>Table6[[#This Row],[discharge_date]]-Table6[[#This Row],[surgery_date]]</f>
        <v>0</v>
      </c>
      <c r="J1954" s="9" t="str">
        <f t="shared" si="49"/>
        <v/>
      </c>
    </row>
    <row r="1955" spans="1:10" ht="23.25" customHeight="1">
      <c r="A1955">
        <f>Table4[[#This Row],[Column1]]</f>
        <v>0</v>
      </c>
      <c r="B1955">
        <f>Table4[[#This Row],[Column2]]</f>
        <v>0</v>
      </c>
      <c r="I1955" s="13">
        <f>Table6[[#This Row],[discharge_date]]-Table6[[#This Row],[surgery_date]]</f>
        <v>0</v>
      </c>
      <c r="J1955" s="9" t="str">
        <f t="shared" si="49"/>
        <v/>
      </c>
    </row>
    <row r="1956" spans="1:10" ht="23.25" customHeight="1">
      <c r="A1956">
        <f>Table4[[#This Row],[Column1]]</f>
        <v>0</v>
      </c>
      <c r="B1956">
        <f>Table4[[#This Row],[Column2]]</f>
        <v>0</v>
      </c>
      <c r="I1956" s="13">
        <f>Table6[[#This Row],[discharge_date]]-Table6[[#This Row],[surgery_date]]</f>
        <v>0</v>
      </c>
      <c r="J1956" s="9" t="str">
        <f t="shared" si="49"/>
        <v/>
      </c>
    </row>
    <row r="1957" spans="1:10" ht="23.25" customHeight="1">
      <c r="A1957">
        <f>Table4[[#This Row],[Column1]]</f>
        <v>0</v>
      </c>
      <c r="B1957">
        <f>Table4[[#This Row],[Column2]]</f>
        <v>0</v>
      </c>
      <c r="I1957" s="13">
        <f>Table6[[#This Row],[discharge_date]]-Table6[[#This Row],[surgery_date]]</f>
        <v>0</v>
      </c>
      <c r="J1957" s="9" t="str">
        <f t="shared" si="49"/>
        <v/>
      </c>
    </row>
    <row r="1958" spans="1:10" ht="23.25" customHeight="1">
      <c r="A1958">
        <f>Table4[[#This Row],[Column1]]</f>
        <v>0</v>
      </c>
      <c r="B1958">
        <f>Table4[[#This Row],[Column2]]</f>
        <v>0</v>
      </c>
      <c r="I1958" s="13">
        <f>Table6[[#This Row],[discharge_date]]-Table6[[#This Row],[surgery_date]]</f>
        <v>0</v>
      </c>
      <c r="J1958" s="9" t="str">
        <f t="shared" si="49"/>
        <v/>
      </c>
    </row>
    <row r="1959" spans="1:10" ht="23.25" customHeight="1">
      <c r="A1959">
        <f>Table4[[#This Row],[Column1]]</f>
        <v>0</v>
      </c>
      <c r="B1959">
        <f>Table4[[#This Row],[Column2]]</f>
        <v>0</v>
      </c>
      <c r="I1959" s="13">
        <f>Table6[[#This Row],[discharge_date]]-Table6[[#This Row],[surgery_date]]</f>
        <v>0</v>
      </c>
      <c r="J1959" s="9" t="str">
        <f t="shared" si="49"/>
        <v/>
      </c>
    </row>
    <row r="1960" spans="1:10" ht="23.25" customHeight="1">
      <c r="A1960">
        <f>Table4[[#This Row],[Column1]]</f>
        <v>0</v>
      </c>
      <c r="B1960">
        <f>Table4[[#This Row],[Column2]]</f>
        <v>0</v>
      </c>
      <c r="I1960" s="13">
        <f>Table6[[#This Row],[discharge_date]]-Table6[[#This Row],[surgery_date]]</f>
        <v>0</v>
      </c>
      <c r="J1960" s="9" t="str">
        <f t="shared" si="49"/>
        <v/>
      </c>
    </row>
    <row r="1961" spans="1:10" ht="23.25" customHeight="1">
      <c r="A1961">
        <f>Table4[[#This Row],[Column1]]</f>
        <v>0</v>
      </c>
      <c r="B1961">
        <f>Table4[[#This Row],[Column2]]</f>
        <v>0</v>
      </c>
      <c r="I1961" s="13">
        <f>Table6[[#This Row],[discharge_date]]-Table6[[#This Row],[surgery_date]]</f>
        <v>0</v>
      </c>
      <c r="J1961" s="9" t="str">
        <f t="shared" si="49"/>
        <v/>
      </c>
    </row>
    <row r="1962" spans="1:10" ht="23.25" customHeight="1">
      <c r="A1962">
        <f>Table4[[#This Row],[Column1]]</f>
        <v>0</v>
      </c>
      <c r="B1962">
        <f>Table4[[#This Row],[Column2]]</f>
        <v>0</v>
      </c>
      <c r="I1962" s="13">
        <f>Table6[[#This Row],[discharge_date]]-Table6[[#This Row],[surgery_date]]</f>
        <v>0</v>
      </c>
      <c r="J1962" s="9" t="str">
        <f t="shared" si="49"/>
        <v/>
      </c>
    </row>
    <row r="1963" spans="1:10" ht="23.25" customHeight="1">
      <c r="A1963">
        <f>Table4[[#This Row],[Column1]]</f>
        <v>0</v>
      </c>
      <c r="B1963">
        <f>Table4[[#This Row],[Column2]]</f>
        <v>0</v>
      </c>
      <c r="I1963" s="13">
        <f>Table6[[#This Row],[discharge_date]]-Table6[[#This Row],[surgery_date]]</f>
        <v>0</v>
      </c>
      <c r="J1963" s="9" t="str">
        <f t="shared" si="49"/>
        <v/>
      </c>
    </row>
    <row r="1964" spans="1:10" ht="23.25" customHeight="1">
      <c r="A1964">
        <f>Table4[[#This Row],[Column1]]</f>
        <v>0</v>
      </c>
      <c r="B1964">
        <f>Table4[[#This Row],[Column2]]</f>
        <v>0</v>
      </c>
      <c r="I1964" s="13">
        <f>Table6[[#This Row],[discharge_date]]-Table6[[#This Row],[surgery_date]]</f>
        <v>0</v>
      </c>
      <c r="J1964" s="9" t="str">
        <f t="shared" si="49"/>
        <v/>
      </c>
    </row>
    <row r="1965" spans="1:10" ht="23.25" customHeight="1">
      <c r="A1965">
        <f>Table4[[#This Row],[Column1]]</f>
        <v>0</v>
      </c>
      <c r="B1965">
        <f>Table4[[#This Row],[Column2]]</f>
        <v>0</v>
      </c>
      <c r="I1965" s="13">
        <f>Table6[[#This Row],[discharge_date]]-Table6[[#This Row],[surgery_date]]</f>
        <v>0</v>
      </c>
      <c r="J1965" s="9" t="str">
        <f t="shared" si="49"/>
        <v/>
      </c>
    </row>
    <row r="1966" spans="1:10" ht="23.25" customHeight="1">
      <c r="A1966">
        <f>Table4[[#This Row],[Column1]]</f>
        <v>0</v>
      </c>
      <c r="B1966">
        <f>Table4[[#This Row],[Column2]]</f>
        <v>0</v>
      </c>
      <c r="I1966" s="13">
        <f>Table6[[#This Row],[discharge_date]]-Table6[[#This Row],[surgery_date]]</f>
        <v>0</v>
      </c>
      <c r="J1966" s="9" t="str">
        <f t="shared" si="49"/>
        <v/>
      </c>
    </row>
    <row r="1967" spans="1:10" ht="23.25" customHeight="1">
      <c r="A1967">
        <f>Table4[[#This Row],[Column1]]</f>
        <v>0</v>
      </c>
      <c r="B1967">
        <f>Table4[[#This Row],[Column2]]</f>
        <v>0</v>
      </c>
      <c r="I1967" s="13">
        <f>Table6[[#This Row],[discharge_date]]-Table6[[#This Row],[surgery_date]]</f>
        <v>0</v>
      </c>
      <c r="J1967" s="9" t="str">
        <f t="shared" si="49"/>
        <v/>
      </c>
    </row>
    <row r="1968" spans="1:10" ht="23.25" customHeight="1">
      <c r="A1968">
        <f>Table4[[#This Row],[Column1]]</f>
        <v>0</v>
      </c>
      <c r="B1968">
        <f>Table4[[#This Row],[Column2]]</f>
        <v>0</v>
      </c>
      <c r="I1968" s="13">
        <f>Table6[[#This Row],[discharge_date]]-Table6[[#This Row],[surgery_date]]</f>
        <v>0</v>
      </c>
      <c r="J1968" s="9" t="str">
        <f t="shared" si="49"/>
        <v/>
      </c>
    </row>
    <row r="1969" spans="1:10" ht="23.25" customHeight="1">
      <c r="A1969">
        <f>Table4[[#This Row],[Column1]]</f>
        <v>0</v>
      </c>
      <c r="B1969">
        <f>Table4[[#This Row],[Column2]]</f>
        <v>0</v>
      </c>
      <c r="I1969" s="13">
        <f>Table6[[#This Row],[discharge_date]]-Table6[[#This Row],[surgery_date]]</f>
        <v>0</v>
      </c>
      <c r="J1969" s="9" t="str">
        <f t="shared" si="49"/>
        <v/>
      </c>
    </row>
    <row r="1970" spans="1:10" ht="23.25" customHeight="1">
      <c r="A1970">
        <f>Table4[[#This Row],[Column1]]</f>
        <v>0</v>
      </c>
      <c r="B1970">
        <f>Table4[[#This Row],[Column2]]</f>
        <v>0</v>
      </c>
      <c r="I1970" s="13">
        <f>Table6[[#This Row],[discharge_date]]-Table6[[#This Row],[surgery_date]]</f>
        <v>0</v>
      </c>
      <c r="J1970" s="9" t="str">
        <f t="shared" si="49"/>
        <v/>
      </c>
    </row>
    <row r="1971" spans="1:10" ht="23.25" customHeight="1">
      <c r="A1971">
        <f>Table4[[#This Row],[Column1]]</f>
        <v>0</v>
      </c>
      <c r="B1971">
        <f>Table4[[#This Row],[Column2]]</f>
        <v>0</v>
      </c>
      <c r="I1971" s="13">
        <f>Table6[[#This Row],[discharge_date]]-Table6[[#This Row],[surgery_date]]</f>
        <v>0</v>
      </c>
      <c r="J1971" s="9" t="str">
        <f t="shared" si="49"/>
        <v/>
      </c>
    </row>
    <row r="1972" spans="1:10" ht="23.25" customHeight="1">
      <c r="A1972">
        <f>Table4[[#This Row],[Column1]]</f>
        <v>0</v>
      </c>
      <c r="B1972">
        <f>Table4[[#This Row],[Column2]]</f>
        <v>0</v>
      </c>
      <c r="I1972" s="13">
        <f>Table6[[#This Row],[discharge_date]]-Table6[[#This Row],[surgery_date]]</f>
        <v>0</v>
      </c>
      <c r="J1972" s="9" t="str">
        <f t="shared" si="49"/>
        <v/>
      </c>
    </row>
    <row r="1973" spans="1:10" ht="23.25" customHeight="1">
      <c r="A1973">
        <f>Table4[[#This Row],[Column1]]</f>
        <v>0</v>
      </c>
      <c r="B1973">
        <f>Table4[[#This Row],[Column2]]</f>
        <v>0</v>
      </c>
      <c r="I1973" s="13">
        <f>Table6[[#This Row],[discharge_date]]-Table6[[#This Row],[surgery_date]]</f>
        <v>0</v>
      </c>
      <c r="J1973" s="9" t="str">
        <f t="shared" si="49"/>
        <v/>
      </c>
    </row>
    <row r="1974" spans="1:10" ht="23.25" customHeight="1">
      <c r="A1974">
        <f>Table4[[#This Row],[Column1]]</f>
        <v>0</v>
      </c>
      <c r="B1974">
        <f>Table4[[#This Row],[Column2]]</f>
        <v>0</v>
      </c>
      <c r="I1974" s="13">
        <f>Table6[[#This Row],[discharge_date]]-Table6[[#This Row],[surgery_date]]</f>
        <v>0</v>
      </c>
      <c r="J1974" s="9" t="str">
        <f t="shared" si="49"/>
        <v/>
      </c>
    </row>
    <row r="1975" spans="1:10" ht="23.25" customHeight="1">
      <c r="A1975">
        <f>Table4[[#This Row],[Column1]]</f>
        <v>0</v>
      </c>
      <c r="B1975">
        <f>Table4[[#This Row],[Column2]]</f>
        <v>0</v>
      </c>
      <c r="I1975" s="13">
        <f>Table6[[#This Row],[discharge_date]]-Table6[[#This Row],[surgery_date]]</f>
        <v>0</v>
      </c>
      <c r="J1975" s="9" t="str">
        <f t="shared" si="49"/>
        <v/>
      </c>
    </row>
    <row r="1976" spans="1:10" ht="23.25" customHeight="1">
      <c r="A1976">
        <f>Table4[[#This Row],[Column1]]</f>
        <v>0</v>
      </c>
      <c r="B1976">
        <f>Table4[[#This Row],[Column2]]</f>
        <v>0</v>
      </c>
      <c r="I1976" s="13">
        <f>Table6[[#This Row],[discharge_date]]-Table6[[#This Row],[surgery_date]]</f>
        <v>0</v>
      </c>
      <c r="J1976" s="9" t="str">
        <f t="shared" si="49"/>
        <v/>
      </c>
    </row>
    <row r="1977" spans="1:10" ht="23.25" customHeight="1">
      <c r="A1977">
        <f>Table4[[#This Row],[Column1]]</f>
        <v>0</v>
      </c>
      <c r="B1977">
        <f>Table4[[#This Row],[Column2]]</f>
        <v>0</v>
      </c>
      <c r="I1977" s="13">
        <f>Table6[[#This Row],[discharge_date]]-Table6[[#This Row],[surgery_date]]</f>
        <v>0</v>
      </c>
      <c r="J1977" s="9" t="str">
        <f t="shared" si="49"/>
        <v/>
      </c>
    </row>
    <row r="1978" spans="1:10" ht="23.25" customHeight="1">
      <c r="A1978">
        <f>Table4[[#This Row],[Column1]]</f>
        <v>0</v>
      </c>
      <c r="B1978">
        <f>Table4[[#This Row],[Column2]]</f>
        <v>0</v>
      </c>
      <c r="I1978" s="13">
        <f>Table6[[#This Row],[discharge_date]]-Table6[[#This Row],[surgery_date]]</f>
        <v>0</v>
      </c>
      <c r="J1978" s="9" t="str">
        <f t="shared" si="49"/>
        <v/>
      </c>
    </row>
    <row r="1979" spans="1:10" ht="23.25" customHeight="1">
      <c r="A1979">
        <f>Table4[[#This Row],[Column1]]</f>
        <v>0</v>
      </c>
      <c r="B1979">
        <f>Table4[[#This Row],[Column2]]</f>
        <v>0</v>
      </c>
      <c r="I1979" s="13">
        <f>Table6[[#This Row],[discharge_date]]-Table6[[#This Row],[surgery_date]]</f>
        <v>0</v>
      </c>
      <c r="J1979" s="9" t="str">
        <f t="shared" si="49"/>
        <v/>
      </c>
    </row>
    <row r="1980" spans="1:10" ht="23.25" customHeight="1">
      <c r="A1980">
        <f>Table4[[#This Row],[Column1]]</f>
        <v>0</v>
      </c>
      <c r="B1980">
        <f>Table4[[#This Row],[Column2]]</f>
        <v>0</v>
      </c>
      <c r="I1980" s="13">
        <f>Table6[[#This Row],[discharge_date]]-Table6[[#This Row],[surgery_date]]</f>
        <v>0</v>
      </c>
      <c r="J1980" s="9" t="str">
        <f t="shared" si="49"/>
        <v/>
      </c>
    </row>
    <row r="1981" spans="1:10" ht="23.25" customHeight="1">
      <c r="A1981">
        <f>Table4[[#This Row],[Column1]]</f>
        <v>0</v>
      </c>
      <c r="B1981">
        <f>Table4[[#This Row],[Column2]]</f>
        <v>0</v>
      </c>
      <c r="I1981" s="13">
        <f>Table6[[#This Row],[discharge_date]]-Table6[[#This Row],[surgery_date]]</f>
        <v>0</v>
      </c>
      <c r="J1981" s="9" t="str">
        <f t="shared" si="49"/>
        <v/>
      </c>
    </row>
    <row r="1982" spans="1:10" ht="23.25" customHeight="1">
      <c r="A1982">
        <f>Table4[[#This Row],[Column1]]</f>
        <v>0</v>
      </c>
      <c r="B1982">
        <f>Table4[[#This Row],[Column2]]</f>
        <v>0</v>
      </c>
      <c r="I1982" s="13">
        <f>Table6[[#This Row],[discharge_date]]-Table6[[#This Row],[surgery_date]]</f>
        <v>0</v>
      </c>
      <c r="J1982" s="9" t="str">
        <f t="shared" si="49"/>
        <v/>
      </c>
    </row>
    <row r="1983" spans="1:10" ht="23.25" customHeight="1">
      <c r="A1983">
        <f>Table4[[#This Row],[Column1]]</f>
        <v>0</v>
      </c>
      <c r="B1983">
        <f>Table4[[#This Row],[Column2]]</f>
        <v>0</v>
      </c>
      <c r="I1983" s="13">
        <f>Table6[[#This Row],[discharge_date]]-Table6[[#This Row],[surgery_date]]</f>
        <v>0</v>
      </c>
      <c r="J1983" s="9" t="str">
        <f t="shared" si="49"/>
        <v/>
      </c>
    </row>
    <row r="1984" spans="1:10" ht="23.25" customHeight="1">
      <c r="A1984">
        <f>Table4[[#This Row],[Column1]]</f>
        <v>0</v>
      </c>
      <c r="B1984">
        <f>Table4[[#This Row],[Column2]]</f>
        <v>0</v>
      </c>
      <c r="I1984" s="13">
        <f>Table6[[#This Row],[discharge_date]]-Table6[[#This Row],[surgery_date]]</f>
        <v>0</v>
      </c>
      <c r="J1984" s="9" t="str">
        <f t="shared" si="49"/>
        <v/>
      </c>
    </row>
    <row r="1985" spans="1:10" ht="23.25" customHeight="1">
      <c r="A1985">
        <f>Table4[[#This Row],[Column1]]</f>
        <v>0</v>
      </c>
      <c r="B1985">
        <f>Table4[[#This Row],[Column2]]</f>
        <v>0</v>
      </c>
      <c r="I1985" s="13">
        <f>Table6[[#This Row],[discharge_date]]-Table6[[#This Row],[surgery_date]]</f>
        <v>0</v>
      </c>
      <c r="J1985" s="9" t="str">
        <f t="shared" si="49"/>
        <v/>
      </c>
    </row>
    <row r="1986" spans="1:10" ht="23.25" customHeight="1">
      <c r="A1986">
        <f>Table4[[#This Row],[Column1]]</f>
        <v>0</v>
      </c>
      <c r="B1986">
        <f>Table4[[#This Row],[Column2]]</f>
        <v>0</v>
      </c>
      <c r="I1986" s="13">
        <f>Table6[[#This Row],[discharge_date]]-Table6[[#This Row],[surgery_date]]</f>
        <v>0</v>
      </c>
      <c r="J1986" s="9" t="str">
        <f t="shared" ref="J1986:J2049" si="50">IF( H1986&lt;&gt;"", H1986+30,"")</f>
        <v/>
      </c>
    </row>
    <row r="1987" spans="1:10" ht="23.25" customHeight="1">
      <c r="A1987">
        <f>Table4[[#This Row],[Column1]]</f>
        <v>0</v>
      </c>
      <c r="B1987">
        <f>Table4[[#This Row],[Column2]]</f>
        <v>0</v>
      </c>
      <c r="I1987" s="13">
        <f>Table6[[#This Row],[discharge_date]]-Table6[[#This Row],[surgery_date]]</f>
        <v>0</v>
      </c>
      <c r="J1987" s="9" t="str">
        <f t="shared" si="50"/>
        <v/>
      </c>
    </row>
    <row r="1988" spans="1:10" ht="23.25" customHeight="1">
      <c r="A1988">
        <f>Table4[[#This Row],[Column1]]</f>
        <v>0</v>
      </c>
      <c r="B1988">
        <f>Table4[[#This Row],[Column2]]</f>
        <v>0</v>
      </c>
      <c r="I1988" s="13">
        <f>Table6[[#This Row],[discharge_date]]-Table6[[#This Row],[surgery_date]]</f>
        <v>0</v>
      </c>
      <c r="J1988" s="9" t="str">
        <f t="shared" si="50"/>
        <v/>
      </c>
    </row>
    <row r="1989" spans="1:10" ht="23.25" customHeight="1">
      <c r="A1989">
        <f>Table4[[#This Row],[Column1]]</f>
        <v>0</v>
      </c>
      <c r="B1989">
        <f>Table4[[#This Row],[Column2]]</f>
        <v>0</v>
      </c>
      <c r="I1989" s="13">
        <f>Table6[[#This Row],[discharge_date]]-Table6[[#This Row],[surgery_date]]</f>
        <v>0</v>
      </c>
      <c r="J1989" s="9" t="str">
        <f t="shared" si="50"/>
        <v/>
      </c>
    </row>
    <row r="1990" spans="1:10" ht="23.25" customHeight="1">
      <c r="A1990">
        <f>Table4[[#This Row],[Column1]]</f>
        <v>0</v>
      </c>
      <c r="B1990">
        <f>Table4[[#This Row],[Column2]]</f>
        <v>0</v>
      </c>
      <c r="I1990" s="13">
        <f>Table6[[#This Row],[discharge_date]]-Table6[[#This Row],[surgery_date]]</f>
        <v>0</v>
      </c>
      <c r="J1990" s="9" t="str">
        <f t="shared" si="50"/>
        <v/>
      </c>
    </row>
    <row r="1991" spans="1:10" ht="23.25" customHeight="1">
      <c r="A1991">
        <f>Table4[[#This Row],[Column1]]</f>
        <v>0</v>
      </c>
      <c r="B1991">
        <f>Table4[[#This Row],[Column2]]</f>
        <v>0</v>
      </c>
      <c r="I1991" s="13">
        <f>Table6[[#This Row],[discharge_date]]-Table6[[#This Row],[surgery_date]]</f>
        <v>0</v>
      </c>
      <c r="J1991" s="9" t="str">
        <f t="shared" si="50"/>
        <v/>
      </c>
    </row>
    <row r="1992" spans="1:10" ht="23.25" customHeight="1">
      <c r="A1992">
        <f>Table4[[#This Row],[Column1]]</f>
        <v>0</v>
      </c>
      <c r="B1992">
        <f>Table4[[#This Row],[Column2]]</f>
        <v>0</v>
      </c>
      <c r="I1992" s="13">
        <f>Table6[[#This Row],[discharge_date]]-Table6[[#This Row],[surgery_date]]</f>
        <v>0</v>
      </c>
      <c r="J1992" s="9" t="str">
        <f t="shared" si="50"/>
        <v/>
      </c>
    </row>
    <row r="1993" spans="1:10" ht="23.25" customHeight="1">
      <c r="A1993">
        <f>Table4[[#This Row],[Column1]]</f>
        <v>0</v>
      </c>
      <c r="B1993">
        <f>Table4[[#This Row],[Column2]]</f>
        <v>0</v>
      </c>
      <c r="I1993" s="13">
        <f>Table6[[#This Row],[discharge_date]]-Table6[[#This Row],[surgery_date]]</f>
        <v>0</v>
      </c>
      <c r="J1993" s="9" t="str">
        <f t="shared" si="50"/>
        <v/>
      </c>
    </row>
    <row r="1994" spans="1:10" ht="23.25" customHeight="1">
      <c r="A1994">
        <f>Table4[[#This Row],[Column1]]</f>
        <v>0</v>
      </c>
      <c r="B1994">
        <f>Table4[[#This Row],[Column2]]</f>
        <v>0</v>
      </c>
      <c r="I1994" s="13">
        <f>Table6[[#This Row],[discharge_date]]-Table6[[#This Row],[surgery_date]]</f>
        <v>0</v>
      </c>
      <c r="J1994" s="9" t="str">
        <f t="shared" si="50"/>
        <v/>
      </c>
    </row>
    <row r="1995" spans="1:10" ht="23.25" customHeight="1">
      <c r="A1995">
        <f>Table4[[#This Row],[Column1]]</f>
        <v>0</v>
      </c>
      <c r="B1995">
        <f>Table4[[#This Row],[Column2]]</f>
        <v>0</v>
      </c>
      <c r="I1995" s="13">
        <f>Table6[[#This Row],[discharge_date]]-Table6[[#This Row],[surgery_date]]</f>
        <v>0</v>
      </c>
      <c r="J1995" s="9" t="str">
        <f t="shared" si="50"/>
        <v/>
      </c>
    </row>
    <row r="1996" spans="1:10" ht="23.25" customHeight="1">
      <c r="A1996">
        <f>Table4[[#This Row],[Column1]]</f>
        <v>0</v>
      </c>
      <c r="B1996">
        <f>Table4[[#This Row],[Column2]]</f>
        <v>0</v>
      </c>
      <c r="I1996" s="13">
        <f>Table6[[#This Row],[discharge_date]]-Table6[[#This Row],[surgery_date]]</f>
        <v>0</v>
      </c>
      <c r="J1996" s="9" t="str">
        <f t="shared" si="50"/>
        <v/>
      </c>
    </row>
    <row r="1997" spans="1:10" ht="23.25" customHeight="1">
      <c r="A1997">
        <f>Table4[[#This Row],[Column1]]</f>
        <v>0</v>
      </c>
      <c r="B1997">
        <f>Table4[[#This Row],[Column2]]</f>
        <v>0</v>
      </c>
      <c r="I1997" s="13">
        <f>Table6[[#This Row],[discharge_date]]-Table6[[#This Row],[surgery_date]]</f>
        <v>0</v>
      </c>
      <c r="J1997" s="9" t="str">
        <f t="shared" si="50"/>
        <v/>
      </c>
    </row>
    <row r="1998" spans="1:10" ht="23.25" customHeight="1">
      <c r="A1998">
        <f>Table4[[#This Row],[Column1]]</f>
        <v>0</v>
      </c>
      <c r="B1998">
        <f>Table4[[#This Row],[Column2]]</f>
        <v>0</v>
      </c>
      <c r="I1998" s="13">
        <f>Table6[[#This Row],[discharge_date]]-Table6[[#This Row],[surgery_date]]</f>
        <v>0</v>
      </c>
      <c r="J1998" s="9" t="str">
        <f t="shared" si="50"/>
        <v/>
      </c>
    </row>
    <row r="1999" spans="1:10" ht="23.25" customHeight="1">
      <c r="A1999">
        <f>Table4[[#This Row],[Column1]]</f>
        <v>0</v>
      </c>
      <c r="B1999">
        <f>Table4[[#This Row],[Column2]]</f>
        <v>0</v>
      </c>
      <c r="I1999" s="13">
        <f>Table6[[#This Row],[discharge_date]]-Table6[[#This Row],[surgery_date]]</f>
        <v>0</v>
      </c>
      <c r="J1999" s="9" t="str">
        <f t="shared" si="50"/>
        <v/>
      </c>
    </row>
    <row r="2000" spans="1:10" ht="23.25" customHeight="1">
      <c r="A2000">
        <f>Table4[[#This Row],[Column1]]</f>
        <v>0</v>
      </c>
      <c r="B2000">
        <f>Table4[[#This Row],[Column2]]</f>
        <v>0</v>
      </c>
      <c r="I2000" s="13">
        <f>Table6[[#This Row],[discharge_date]]-Table6[[#This Row],[surgery_date]]</f>
        <v>0</v>
      </c>
      <c r="J2000" s="9" t="str">
        <f t="shared" si="50"/>
        <v/>
      </c>
    </row>
    <row r="2001" spans="1:10" ht="23.25" customHeight="1">
      <c r="A2001">
        <f>Table4[[#This Row],[Column1]]</f>
        <v>0</v>
      </c>
      <c r="B2001">
        <f>Table4[[#This Row],[Column2]]</f>
        <v>0</v>
      </c>
      <c r="I2001" s="13">
        <f>Table6[[#This Row],[discharge_date]]-Table6[[#This Row],[surgery_date]]</f>
        <v>0</v>
      </c>
      <c r="J2001" s="9" t="str">
        <f t="shared" si="50"/>
        <v/>
      </c>
    </row>
    <row r="2002" spans="1:10" ht="23.25" customHeight="1">
      <c r="A2002">
        <f>Table4[[#This Row],[Column1]]</f>
        <v>0</v>
      </c>
      <c r="B2002">
        <f>Table4[[#This Row],[Column2]]</f>
        <v>0</v>
      </c>
      <c r="I2002" s="13">
        <f>Table6[[#This Row],[discharge_date]]-Table6[[#This Row],[surgery_date]]</f>
        <v>0</v>
      </c>
      <c r="J2002" s="9" t="str">
        <f t="shared" si="50"/>
        <v/>
      </c>
    </row>
    <row r="2003" spans="1:10" ht="23.25" customHeight="1">
      <c r="A2003">
        <f>Table4[[#This Row],[Column1]]</f>
        <v>0</v>
      </c>
      <c r="B2003">
        <f>Table4[[#This Row],[Column2]]</f>
        <v>0</v>
      </c>
      <c r="I2003" s="13">
        <f>Table6[[#This Row],[discharge_date]]-Table6[[#This Row],[surgery_date]]</f>
        <v>0</v>
      </c>
      <c r="J2003" s="9" t="str">
        <f t="shared" si="50"/>
        <v/>
      </c>
    </row>
    <row r="2004" spans="1:10" ht="23.25" customHeight="1">
      <c r="A2004">
        <f>Table4[[#This Row],[Column1]]</f>
        <v>0</v>
      </c>
      <c r="B2004">
        <f>Table4[[#This Row],[Column2]]</f>
        <v>0</v>
      </c>
      <c r="I2004" s="13">
        <f>Table6[[#This Row],[discharge_date]]-Table6[[#This Row],[surgery_date]]</f>
        <v>0</v>
      </c>
      <c r="J2004" s="9" t="str">
        <f t="shared" si="50"/>
        <v/>
      </c>
    </row>
    <row r="2005" spans="1:10" ht="23.25" customHeight="1">
      <c r="A2005">
        <f>Table4[[#This Row],[Column1]]</f>
        <v>0</v>
      </c>
      <c r="B2005">
        <f>Table4[[#This Row],[Column2]]</f>
        <v>0</v>
      </c>
      <c r="I2005" s="13">
        <f>Table6[[#This Row],[discharge_date]]-Table6[[#This Row],[surgery_date]]</f>
        <v>0</v>
      </c>
      <c r="J2005" s="9" t="str">
        <f t="shared" si="50"/>
        <v/>
      </c>
    </row>
    <row r="2006" spans="1:10" ht="23.25" customHeight="1">
      <c r="A2006">
        <f>Table4[[#This Row],[Column1]]</f>
        <v>0</v>
      </c>
      <c r="B2006">
        <f>Table4[[#This Row],[Column2]]</f>
        <v>0</v>
      </c>
      <c r="I2006" s="13">
        <f>Table6[[#This Row],[discharge_date]]-Table6[[#This Row],[surgery_date]]</f>
        <v>0</v>
      </c>
      <c r="J2006" s="9" t="str">
        <f t="shared" si="50"/>
        <v/>
      </c>
    </row>
    <row r="2007" spans="1:10" ht="23.25" customHeight="1">
      <c r="A2007">
        <f>Table4[[#This Row],[Column1]]</f>
        <v>0</v>
      </c>
      <c r="B2007">
        <f>Table4[[#This Row],[Column2]]</f>
        <v>0</v>
      </c>
      <c r="I2007" s="13">
        <f>Table6[[#This Row],[discharge_date]]-Table6[[#This Row],[surgery_date]]</f>
        <v>0</v>
      </c>
      <c r="J2007" s="9" t="str">
        <f t="shared" si="50"/>
        <v/>
      </c>
    </row>
    <row r="2008" spans="1:10" ht="23.25" customHeight="1">
      <c r="A2008">
        <f>Table4[[#This Row],[Column1]]</f>
        <v>0</v>
      </c>
      <c r="B2008">
        <f>Table4[[#This Row],[Column2]]</f>
        <v>0</v>
      </c>
      <c r="I2008" s="13">
        <f>Table6[[#This Row],[discharge_date]]-Table6[[#This Row],[surgery_date]]</f>
        <v>0</v>
      </c>
      <c r="J2008" s="9" t="str">
        <f t="shared" si="50"/>
        <v/>
      </c>
    </row>
    <row r="2009" spans="1:10" ht="23.25" customHeight="1">
      <c r="A2009">
        <f>Table4[[#This Row],[Column1]]</f>
        <v>0</v>
      </c>
      <c r="B2009">
        <f>Table4[[#This Row],[Column2]]</f>
        <v>0</v>
      </c>
      <c r="I2009" s="13">
        <f>Table6[[#This Row],[discharge_date]]-Table6[[#This Row],[surgery_date]]</f>
        <v>0</v>
      </c>
      <c r="J2009" s="9" t="str">
        <f t="shared" si="50"/>
        <v/>
      </c>
    </row>
    <row r="2010" spans="1:10" ht="23.25" customHeight="1">
      <c r="A2010">
        <f>Table4[[#This Row],[Column1]]</f>
        <v>0</v>
      </c>
      <c r="B2010">
        <f>Table4[[#This Row],[Column2]]</f>
        <v>0</v>
      </c>
      <c r="I2010" s="13">
        <f>Table6[[#This Row],[discharge_date]]-Table6[[#This Row],[surgery_date]]</f>
        <v>0</v>
      </c>
      <c r="J2010" s="9" t="str">
        <f t="shared" si="50"/>
        <v/>
      </c>
    </row>
    <row r="2011" spans="1:10" ht="23.25" customHeight="1">
      <c r="A2011">
        <f>Table4[[#This Row],[Column1]]</f>
        <v>0</v>
      </c>
      <c r="B2011">
        <f>Table4[[#This Row],[Column2]]</f>
        <v>0</v>
      </c>
      <c r="I2011" s="13">
        <f>Table6[[#This Row],[discharge_date]]-Table6[[#This Row],[surgery_date]]</f>
        <v>0</v>
      </c>
      <c r="J2011" s="9" t="str">
        <f t="shared" si="50"/>
        <v/>
      </c>
    </row>
    <row r="2012" spans="1:10" ht="23.25" customHeight="1">
      <c r="A2012">
        <f>Table4[[#This Row],[Column1]]</f>
        <v>0</v>
      </c>
      <c r="B2012">
        <f>Table4[[#This Row],[Column2]]</f>
        <v>0</v>
      </c>
      <c r="I2012" s="13">
        <f>Table6[[#This Row],[discharge_date]]-Table6[[#This Row],[surgery_date]]</f>
        <v>0</v>
      </c>
      <c r="J2012" s="9" t="str">
        <f t="shared" si="50"/>
        <v/>
      </c>
    </row>
    <row r="2013" spans="1:10" ht="23.25" customHeight="1">
      <c r="A2013">
        <f>Table4[[#This Row],[Column1]]</f>
        <v>0</v>
      </c>
      <c r="B2013">
        <f>Table4[[#This Row],[Column2]]</f>
        <v>0</v>
      </c>
      <c r="I2013" s="13">
        <f>Table6[[#This Row],[discharge_date]]-Table6[[#This Row],[surgery_date]]</f>
        <v>0</v>
      </c>
      <c r="J2013" s="9" t="str">
        <f t="shared" si="50"/>
        <v/>
      </c>
    </row>
    <row r="2014" spans="1:10" ht="23.25" customHeight="1">
      <c r="A2014">
        <f>Table4[[#This Row],[Column1]]</f>
        <v>0</v>
      </c>
      <c r="B2014">
        <f>Table4[[#This Row],[Column2]]</f>
        <v>0</v>
      </c>
      <c r="I2014" s="13">
        <f>Table6[[#This Row],[discharge_date]]-Table6[[#This Row],[surgery_date]]</f>
        <v>0</v>
      </c>
      <c r="J2014" s="9" t="str">
        <f t="shared" si="50"/>
        <v/>
      </c>
    </row>
    <row r="2015" spans="1:10" ht="23.25" customHeight="1">
      <c r="A2015">
        <f>Table4[[#This Row],[Column1]]</f>
        <v>0</v>
      </c>
      <c r="B2015">
        <f>Table4[[#This Row],[Column2]]</f>
        <v>0</v>
      </c>
      <c r="I2015" s="13">
        <f>Table6[[#This Row],[discharge_date]]-Table6[[#This Row],[surgery_date]]</f>
        <v>0</v>
      </c>
      <c r="J2015" s="9" t="str">
        <f t="shared" si="50"/>
        <v/>
      </c>
    </row>
    <row r="2016" spans="1:10" ht="23.25" customHeight="1">
      <c r="A2016">
        <f>Table4[[#This Row],[Column1]]</f>
        <v>0</v>
      </c>
      <c r="B2016">
        <f>Table4[[#This Row],[Column2]]</f>
        <v>0</v>
      </c>
      <c r="I2016" s="13">
        <f>Table6[[#This Row],[discharge_date]]-Table6[[#This Row],[surgery_date]]</f>
        <v>0</v>
      </c>
      <c r="J2016" s="9" t="str">
        <f t="shared" si="50"/>
        <v/>
      </c>
    </row>
    <row r="2017" spans="1:10" ht="23.25" customHeight="1">
      <c r="A2017">
        <f>Table4[[#This Row],[Column1]]</f>
        <v>0</v>
      </c>
      <c r="B2017">
        <f>Table4[[#This Row],[Column2]]</f>
        <v>0</v>
      </c>
      <c r="I2017" s="13">
        <f>Table6[[#This Row],[discharge_date]]-Table6[[#This Row],[surgery_date]]</f>
        <v>0</v>
      </c>
      <c r="J2017" s="9" t="str">
        <f t="shared" si="50"/>
        <v/>
      </c>
    </row>
    <row r="2018" spans="1:10" ht="23.25" customHeight="1">
      <c r="A2018">
        <f>Table4[[#This Row],[Column1]]</f>
        <v>0</v>
      </c>
      <c r="B2018">
        <f>Table4[[#This Row],[Column2]]</f>
        <v>0</v>
      </c>
      <c r="I2018" s="13">
        <f>Table6[[#This Row],[discharge_date]]-Table6[[#This Row],[surgery_date]]</f>
        <v>0</v>
      </c>
      <c r="J2018" s="9" t="str">
        <f t="shared" si="50"/>
        <v/>
      </c>
    </row>
    <row r="2019" spans="1:10" ht="23.25" customHeight="1">
      <c r="A2019">
        <f>Table4[[#This Row],[Column1]]</f>
        <v>0</v>
      </c>
      <c r="B2019">
        <f>Table4[[#This Row],[Column2]]</f>
        <v>0</v>
      </c>
      <c r="I2019" s="13">
        <f>Table6[[#This Row],[discharge_date]]-Table6[[#This Row],[surgery_date]]</f>
        <v>0</v>
      </c>
      <c r="J2019" s="9" t="str">
        <f t="shared" si="50"/>
        <v/>
      </c>
    </row>
    <row r="2020" spans="1:10" ht="23.25" customHeight="1">
      <c r="A2020">
        <f>Table4[[#This Row],[Column1]]</f>
        <v>0</v>
      </c>
      <c r="B2020">
        <f>Table4[[#This Row],[Column2]]</f>
        <v>0</v>
      </c>
      <c r="I2020" s="13">
        <f>Table6[[#This Row],[discharge_date]]-Table6[[#This Row],[surgery_date]]</f>
        <v>0</v>
      </c>
      <c r="J2020" s="9" t="str">
        <f t="shared" si="50"/>
        <v/>
      </c>
    </row>
    <row r="2021" spans="1:10" ht="23.25" customHeight="1">
      <c r="A2021">
        <f>Table4[[#This Row],[Column1]]</f>
        <v>0</v>
      </c>
      <c r="B2021">
        <f>Table4[[#This Row],[Column2]]</f>
        <v>0</v>
      </c>
      <c r="I2021" s="13">
        <f>Table6[[#This Row],[discharge_date]]-Table6[[#This Row],[surgery_date]]</f>
        <v>0</v>
      </c>
      <c r="J2021" s="9" t="str">
        <f t="shared" si="50"/>
        <v/>
      </c>
    </row>
    <row r="2022" spans="1:10" ht="23.25" customHeight="1">
      <c r="A2022">
        <f>Table4[[#This Row],[Column1]]</f>
        <v>0</v>
      </c>
      <c r="B2022">
        <f>Table4[[#This Row],[Column2]]</f>
        <v>0</v>
      </c>
      <c r="I2022" s="13">
        <f>Table6[[#This Row],[discharge_date]]-Table6[[#This Row],[surgery_date]]</f>
        <v>0</v>
      </c>
      <c r="J2022" s="9" t="str">
        <f t="shared" si="50"/>
        <v/>
      </c>
    </row>
    <row r="2023" spans="1:10" ht="23.25" customHeight="1">
      <c r="A2023">
        <f>Table4[[#This Row],[Column1]]</f>
        <v>0</v>
      </c>
      <c r="B2023">
        <f>Table4[[#This Row],[Column2]]</f>
        <v>0</v>
      </c>
      <c r="I2023" s="13">
        <f>Table6[[#This Row],[discharge_date]]-Table6[[#This Row],[surgery_date]]</f>
        <v>0</v>
      </c>
      <c r="J2023" s="9" t="str">
        <f t="shared" si="50"/>
        <v/>
      </c>
    </row>
    <row r="2024" spans="1:10" ht="23.25" customHeight="1">
      <c r="A2024">
        <f>Table4[[#This Row],[Column1]]</f>
        <v>0</v>
      </c>
      <c r="B2024">
        <f>Table4[[#This Row],[Column2]]</f>
        <v>0</v>
      </c>
      <c r="I2024" s="13">
        <f>Table6[[#This Row],[discharge_date]]-Table6[[#This Row],[surgery_date]]</f>
        <v>0</v>
      </c>
      <c r="J2024" s="9" t="str">
        <f t="shared" si="50"/>
        <v/>
      </c>
    </row>
    <row r="2025" spans="1:10" ht="23.25" customHeight="1">
      <c r="A2025">
        <f>Table4[[#This Row],[Column1]]</f>
        <v>0</v>
      </c>
      <c r="B2025">
        <f>Table4[[#This Row],[Column2]]</f>
        <v>0</v>
      </c>
      <c r="I2025" s="13">
        <f>Table6[[#This Row],[discharge_date]]-Table6[[#This Row],[surgery_date]]</f>
        <v>0</v>
      </c>
      <c r="J2025" s="9" t="str">
        <f t="shared" si="50"/>
        <v/>
      </c>
    </row>
    <row r="2026" spans="1:10" ht="23.25" customHeight="1">
      <c r="A2026">
        <f>Table4[[#This Row],[Column1]]</f>
        <v>0</v>
      </c>
      <c r="B2026">
        <f>Table4[[#This Row],[Column2]]</f>
        <v>0</v>
      </c>
      <c r="I2026" s="13">
        <f>Table6[[#This Row],[discharge_date]]-Table6[[#This Row],[surgery_date]]</f>
        <v>0</v>
      </c>
      <c r="J2026" s="9" t="str">
        <f t="shared" si="50"/>
        <v/>
      </c>
    </row>
    <row r="2027" spans="1:10" ht="23.25" customHeight="1">
      <c r="A2027">
        <f>Table4[[#This Row],[Column1]]</f>
        <v>0</v>
      </c>
      <c r="B2027">
        <f>Table4[[#This Row],[Column2]]</f>
        <v>0</v>
      </c>
      <c r="I2027" s="13">
        <f>Table6[[#This Row],[discharge_date]]-Table6[[#This Row],[surgery_date]]</f>
        <v>0</v>
      </c>
      <c r="J2027" s="9" t="str">
        <f t="shared" si="50"/>
        <v/>
      </c>
    </row>
    <row r="2028" spans="1:10" ht="23.25" customHeight="1">
      <c r="A2028">
        <f>Table4[[#This Row],[Column1]]</f>
        <v>0</v>
      </c>
      <c r="B2028">
        <f>Table4[[#This Row],[Column2]]</f>
        <v>0</v>
      </c>
      <c r="I2028" s="13">
        <f>Table6[[#This Row],[discharge_date]]-Table6[[#This Row],[surgery_date]]</f>
        <v>0</v>
      </c>
      <c r="J2028" s="9" t="str">
        <f t="shared" si="50"/>
        <v/>
      </c>
    </row>
    <row r="2029" spans="1:10" ht="23.25" customHeight="1">
      <c r="A2029">
        <f>Table4[[#This Row],[Column1]]</f>
        <v>0</v>
      </c>
      <c r="B2029">
        <f>Table4[[#This Row],[Column2]]</f>
        <v>0</v>
      </c>
      <c r="I2029" s="13">
        <f>Table6[[#This Row],[discharge_date]]-Table6[[#This Row],[surgery_date]]</f>
        <v>0</v>
      </c>
      <c r="J2029" s="9" t="str">
        <f t="shared" si="50"/>
        <v/>
      </c>
    </row>
    <row r="2030" spans="1:10" ht="23.25" customHeight="1">
      <c r="A2030">
        <f>Table4[[#This Row],[Column1]]</f>
        <v>0</v>
      </c>
      <c r="B2030">
        <f>Table4[[#This Row],[Column2]]</f>
        <v>0</v>
      </c>
      <c r="I2030" s="13">
        <f>Table6[[#This Row],[discharge_date]]-Table6[[#This Row],[surgery_date]]</f>
        <v>0</v>
      </c>
      <c r="J2030" s="9" t="str">
        <f t="shared" si="50"/>
        <v/>
      </c>
    </row>
    <row r="2031" spans="1:10" ht="23.25" customHeight="1">
      <c r="A2031">
        <f>Table4[[#This Row],[Column1]]</f>
        <v>0</v>
      </c>
      <c r="B2031">
        <f>Table4[[#This Row],[Column2]]</f>
        <v>0</v>
      </c>
      <c r="I2031" s="13">
        <f>Table6[[#This Row],[discharge_date]]-Table6[[#This Row],[surgery_date]]</f>
        <v>0</v>
      </c>
      <c r="J2031" s="9" t="str">
        <f t="shared" si="50"/>
        <v/>
      </c>
    </row>
    <row r="2032" spans="1:10" ht="23.25" customHeight="1">
      <c r="A2032">
        <f>Table4[[#This Row],[Column1]]</f>
        <v>0</v>
      </c>
      <c r="B2032">
        <f>Table4[[#This Row],[Column2]]</f>
        <v>0</v>
      </c>
      <c r="I2032" s="13">
        <f>Table6[[#This Row],[discharge_date]]-Table6[[#This Row],[surgery_date]]</f>
        <v>0</v>
      </c>
      <c r="J2032" s="9" t="str">
        <f t="shared" si="50"/>
        <v/>
      </c>
    </row>
    <row r="2033" spans="1:10" ht="23.25" customHeight="1">
      <c r="A2033">
        <f>Table4[[#This Row],[Column1]]</f>
        <v>0</v>
      </c>
      <c r="B2033">
        <f>Table4[[#This Row],[Column2]]</f>
        <v>0</v>
      </c>
      <c r="I2033" s="13">
        <f>Table6[[#This Row],[discharge_date]]-Table6[[#This Row],[surgery_date]]</f>
        <v>0</v>
      </c>
      <c r="J2033" s="9" t="str">
        <f t="shared" si="50"/>
        <v/>
      </c>
    </row>
    <row r="2034" spans="1:10" ht="23.25" customHeight="1">
      <c r="A2034">
        <f>Table4[[#This Row],[Column1]]</f>
        <v>0</v>
      </c>
      <c r="B2034">
        <f>Table4[[#This Row],[Column2]]</f>
        <v>0</v>
      </c>
      <c r="I2034" s="13">
        <f>Table6[[#This Row],[discharge_date]]-Table6[[#This Row],[surgery_date]]</f>
        <v>0</v>
      </c>
      <c r="J2034" s="9" t="str">
        <f t="shared" si="50"/>
        <v/>
      </c>
    </row>
    <row r="2035" spans="1:10" ht="23.25" customHeight="1">
      <c r="A2035">
        <f>Table4[[#This Row],[Column1]]</f>
        <v>0</v>
      </c>
      <c r="B2035">
        <f>Table4[[#This Row],[Column2]]</f>
        <v>0</v>
      </c>
      <c r="I2035" s="13">
        <f>Table6[[#This Row],[discharge_date]]-Table6[[#This Row],[surgery_date]]</f>
        <v>0</v>
      </c>
      <c r="J2035" s="9" t="str">
        <f t="shared" si="50"/>
        <v/>
      </c>
    </row>
    <row r="2036" spans="1:10" ht="23.25" customHeight="1">
      <c r="A2036">
        <f>Table4[[#This Row],[Column1]]</f>
        <v>0</v>
      </c>
      <c r="B2036">
        <f>Table4[[#This Row],[Column2]]</f>
        <v>0</v>
      </c>
      <c r="I2036" s="13">
        <f>Table6[[#This Row],[discharge_date]]-Table6[[#This Row],[surgery_date]]</f>
        <v>0</v>
      </c>
      <c r="J2036" s="9" t="str">
        <f t="shared" si="50"/>
        <v/>
      </c>
    </row>
    <row r="2037" spans="1:10" ht="23.25" customHeight="1">
      <c r="A2037">
        <f>Table4[[#This Row],[Column1]]</f>
        <v>0</v>
      </c>
      <c r="B2037">
        <f>Table4[[#This Row],[Column2]]</f>
        <v>0</v>
      </c>
      <c r="I2037" s="13">
        <f>Table6[[#This Row],[discharge_date]]-Table6[[#This Row],[surgery_date]]</f>
        <v>0</v>
      </c>
      <c r="J2037" s="9" t="str">
        <f t="shared" si="50"/>
        <v/>
      </c>
    </row>
    <row r="2038" spans="1:10" ht="23.25" customHeight="1">
      <c r="A2038">
        <f>Table4[[#This Row],[Column1]]</f>
        <v>0</v>
      </c>
      <c r="B2038">
        <f>Table4[[#This Row],[Column2]]</f>
        <v>0</v>
      </c>
      <c r="I2038" s="13">
        <f>Table6[[#This Row],[discharge_date]]-Table6[[#This Row],[surgery_date]]</f>
        <v>0</v>
      </c>
      <c r="J2038" s="9" t="str">
        <f t="shared" si="50"/>
        <v/>
      </c>
    </row>
    <row r="2039" spans="1:10" ht="23.25" customHeight="1">
      <c r="A2039">
        <f>Table4[[#This Row],[Column1]]</f>
        <v>0</v>
      </c>
      <c r="B2039">
        <f>Table4[[#This Row],[Column2]]</f>
        <v>0</v>
      </c>
      <c r="I2039" s="13">
        <f>Table6[[#This Row],[discharge_date]]-Table6[[#This Row],[surgery_date]]</f>
        <v>0</v>
      </c>
      <c r="J2039" s="9" t="str">
        <f t="shared" si="50"/>
        <v/>
      </c>
    </row>
    <row r="2040" spans="1:10" ht="23.25" customHeight="1">
      <c r="A2040">
        <f>Table4[[#This Row],[Column1]]</f>
        <v>0</v>
      </c>
      <c r="B2040">
        <f>Table4[[#This Row],[Column2]]</f>
        <v>0</v>
      </c>
      <c r="I2040" s="13">
        <f>Table6[[#This Row],[discharge_date]]-Table6[[#This Row],[surgery_date]]</f>
        <v>0</v>
      </c>
      <c r="J2040" s="9" t="str">
        <f t="shared" si="50"/>
        <v/>
      </c>
    </row>
    <row r="2041" spans="1:10" ht="23.25" customHeight="1">
      <c r="A2041">
        <f>Table4[[#This Row],[Column1]]</f>
        <v>0</v>
      </c>
      <c r="B2041">
        <f>Table4[[#This Row],[Column2]]</f>
        <v>0</v>
      </c>
      <c r="I2041" s="13">
        <f>Table6[[#This Row],[discharge_date]]-Table6[[#This Row],[surgery_date]]</f>
        <v>0</v>
      </c>
      <c r="J2041" s="9" t="str">
        <f t="shared" si="50"/>
        <v/>
      </c>
    </row>
    <row r="2042" spans="1:10" ht="23.25" customHeight="1">
      <c r="A2042">
        <f>Table4[[#This Row],[Column1]]</f>
        <v>0</v>
      </c>
      <c r="B2042">
        <f>Table4[[#This Row],[Column2]]</f>
        <v>0</v>
      </c>
      <c r="I2042" s="13">
        <f>Table6[[#This Row],[discharge_date]]-Table6[[#This Row],[surgery_date]]</f>
        <v>0</v>
      </c>
      <c r="J2042" s="9" t="str">
        <f t="shared" si="50"/>
        <v/>
      </c>
    </row>
    <row r="2043" spans="1:10" ht="23.25" customHeight="1">
      <c r="A2043">
        <f>Table4[[#This Row],[Column1]]</f>
        <v>0</v>
      </c>
      <c r="B2043">
        <f>Table4[[#This Row],[Column2]]</f>
        <v>0</v>
      </c>
      <c r="I2043" s="13">
        <f>Table6[[#This Row],[discharge_date]]-Table6[[#This Row],[surgery_date]]</f>
        <v>0</v>
      </c>
      <c r="J2043" s="9" t="str">
        <f t="shared" si="50"/>
        <v/>
      </c>
    </row>
    <row r="2044" spans="1:10" ht="23.25" customHeight="1">
      <c r="A2044">
        <f>Table4[[#This Row],[Column1]]</f>
        <v>0</v>
      </c>
      <c r="B2044">
        <f>Table4[[#This Row],[Column2]]</f>
        <v>0</v>
      </c>
      <c r="I2044" s="13">
        <f>Table6[[#This Row],[discharge_date]]-Table6[[#This Row],[surgery_date]]</f>
        <v>0</v>
      </c>
      <c r="J2044" s="9" t="str">
        <f t="shared" si="50"/>
        <v/>
      </c>
    </row>
    <row r="2045" spans="1:10" ht="23.25" customHeight="1">
      <c r="A2045">
        <f>Table4[[#This Row],[Column1]]</f>
        <v>0</v>
      </c>
      <c r="B2045">
        <f>Table4[[#This Row],[Column2]]</f>
        <v>0</v>
      </c>
      <c r="I2045" s="13">
        <f>Table6[[#This Row],[discharge_date]]-Table6[[#This Row],[surgery_date]]</f>
        <v>0</v>
      </c>
      <c r="J2045" s="9" t="str">
        <f t="shared" si="50"/>
        <v/>
      </c>
    </row>
    <row r="2046" spans="1:10" ht="23.25" customHeight="1">
      <c r="A2046">
        <f>Table4[[#This Row],[Column1]]</f>
        <v>0</v>
      </c>
      <c r="B2046">
        <f>Table4[[#This Row],[Column2]]</f>
        <v>0</v>
      </c>
      <c r="I2046" s="13">
        <f>Table6[[#This Row],[discharge_date]]-Table6[[#This Row],[surgery_date]]</f>
        <v>0</v>
      </c>
      <c r="J2046" s="9" t="str">
        <f t="shared" si="50"/>
        <v/>
      </c>
    </row>
    <row r="2047" spans="1:10" ht="23.25" customHeight="1">
      <c r="A2047">
        <f>Table4[[#This Row],[Column1]]</f>
        <v>0</v>
      </c>
      <c r="B2047">
        <f>Table4[[#This Row],[Column2]]</f>
        <v>0</v>
      </c>
      <c r="I2047" s="13">
        <f>Table6[[#This Row],[discharge_date]]-Table6[[#This Row],[surgery_date]]</f>
        <v>0</v>
      </c>
      <c r="J2047" s="9" t="str">
        <f t="shared" si="50"/>
        <v/>
      </c>
    </row>
    <row r="2048" spans="1:10" ht="23.25" customHeight="1">
      <c r="A2048">
        <f>Table4[[#This Row],[Column1]]</f>
        <v>0</v>
      </c>
      <c r="B2048">
        <f>Table4[[#This Row],[Column2]]</f>
        <v>0</v>
      </c>
      <c r="I2048" s="13">
        <f>Table6[[#This Row],[discharge_date]]-Table6[[#This Row],[surgery_date]]</f>
        <v>0</v>
      </c>
      <c r="J2048" s="9" t="str">
        <f t="shared" si="50"/>
        <v/>
      </c>
    </row>
    <row r="2049" spans="1:10" ht="23.25" customHeight="1">
      <c r="A2049">
        <f>Table4[[#This Row],[Column1]]</f>
        <v>0</v>
      </c>
      <c r="B2049">
        <f>Table4[[#This Row],[Column2]]</f>
        <v>0</v>
      </c>
      <c r="I2049" s="13">
        <f>Table6[[#This Row],[discharge_date]]-Table6[[#This Row],[surgery_date]]</f>
        <v>0</v>
      </c>
      <c r="J2049" s="9" t="str">
        <f t="shared" si="50"/>
        <v/>
      </c>
    </row>
    <row r="2050" spans="1:10" ht="23.25" customHeight="1">
      <c r="A2050">
        <f>Table4[[#This Row],[Column1]]</f>
        <v>0</v>
      </c>
      <c r="B2050">
        <f>Table4[[#This Row],[Column2]]</f>
        <v>0</v>
      </c>
      <c r="I2050" s="13">
        <f>Table6[[#This Row],[discharge_date]]-Table6[[#This Row],[surgery_date]]</f>
        <v>0</v>
      </c>
      <c r="J2050" s="9" t="str">
        <f t="shared" ref="J2050:J2113" si="51">IF( H2050&lt;&gt;"", H2050+30,"")</f>
        <v/>
      </c>
    </row>
    <row r="2051" spans="1:10" ht="23.25" customHeight="1">
      <c r="A2051">
        <f>Table4[[#This Row],[Column1]]</f>
        <v>0</v>
      </c>
      <c r="B2051">
        <f>Table4[[#This Row],[Column2]]</f>
        <v>0</v>
      </c>
      <c r="I2051" s="13">
        <f>Table6[[#This Row],[discharge_date]]-Table6[[#This Row],[surgery_date]]</f>
        <v>0</v>
      </c>
      <c r="J2051" s="9" t="str">
        <f t="shared" si="51"/>
        <v/>
      </c>
    </row>
    <row r="2052" spans="1:10" ht="23.25" customHeight="1">
      <c r="A2052">
        <f>Table4[[#This Row],[Column1]]</f>
        <v>0</v>
      </c>
      <c r="B2052">
        <f>Table4[[#This Row],[Column2]]</f>
        <v>0</v>
      </c>
      <c r="I2052" s="13">
        <f>Table6[[#This Row],[discharge_date]]-Table6[[#This Row],[surgery_date]]</f>
        <v>0</v>
      </c>
      <c r="J2052" s="9" t="str">
        <f t="shared" si="51"/>
        <v/>
      </c>
    </row>
    <row r="2053" spans="1:10" ht="23.25" customHeight="1">
      <c r="A2053">
        <f>Table4[[#This Row],[Column1]]</f>
        <v>0</v>
      </c>
      <c r="B2053">
        <f>Table4[[#This Row],[Column2]]</f>
        <v>0</v>
      </c>
      <c r="I2053" s="13">
        <f>Table6[[#This Row],[discharge_date]]-Table6[[#This Row],[surgery_date]]</f>
        <v>0</v>
      </c>
      <c r="J2053" s="9" t="str">
        <f t="shared" si="51"/>
        <v/>
      </c>
    </row>
    <row r="2054" spans="1:10" ht="23.25" customHeight="1">
      <c r="A2054">
        <f>Table4[[#This Row],[Column1]]</f>
        <v>0</v>
      </c>
      <c r="B2054">
        <f>Table4[[#This Row],[Column2]]</f>
        <v>0</v>
      </c>
      <c r="I2054" s="13">
        <f>Table6[[#This Row],[discharge_date]]-Table6[[#This Row],[surgery_date]]</f>
        <v>0</v>
      </c>
      <c r="J2054" s="9" t="str">
        <f t="shared" si="51"/>
        <v/>
      </c>
    </row>
    <row r="2055" spans="1:10" ht="23.25" customHeight="1">
      <c r="A2055">
        <f>Table4[[#This Row],[Column1]]</f>
        <v>0</v>
      </c>
      <c r="B2055">
        <f>Table4[[#This Row],[Column2]]</f>
        <v>0</v>
      </c>
      <c r="I2055" s="13">
        <f>Table6[[#This Row],[discharge_date]]-Table6[[#This Row],[surgery_date]]</f>
        <v>0</v>
      </c>
      <c r="J2055" s="9" t="str">
        <f t="shared" si="51"/>
        <v/>
      </c>
    </row>
    <row r="2056" spans="1:10" ht="23.25" customHeight="1">
      <c r="A2056">
        <f>Table4[[#This Row],[Column1]]</f>
        <v>0</v>
      </c>
      <c r="B2056">
        <f>Table4[[#This Row],[Column2]]</f>
        <v>0</v>
      </c>
      <c r="I2056" s="13">
        <f>Table6[[#This Row],[discharge_date]]-Table6[[#This Row],[surgery_date]]</f>
        <v>0</v>
      </c>
      <c r="J2056" s="9" t="str">
        <f t="shared" si="51"/>
        <v/>
      </c>
    </row>
    <row r="2057" spans="1:10" ht="23.25" customHeight="1">
      <c r="A2057">
        <f>Table4[[#This Row],[Column1]]</f>
        <v>0</v>
      </c>
      <c r="B2057">
        <f>Table4[[#This Row],[Column2]]</f>
        <v>0</v>
      </c>
      <c r="I2057" s="13">
        <f>Table6[[#This Row],[discharge_date]]-Table6[[#This Row],[surgery_date]]</f>
        <v>0</v>
      </c>
      <c r="J2057" s="9" t="str">
        <f t="shared" si="51"/>
        <v/>
      </c>
    </row>
    <row r="2058" spans="1:10" ht="23.25" customHeight="1">
      <c r="A2058">
        <f>Table4[[#This Row],[Column1]]</f>
        <v>0</v>
      </c>
      <c r="B2058">
        <f>Table4[[#This Row],[Column2]]</f>
        <v>0</v>
      </c>
      <c r="I2058" s="13">
        <f>Table6[[#This Row],[discharge_date]]-Table6[[#This Row],[surgery_date]]</f>
        <v>0</v>
      </c>
      <c r="J2058" s="9" t="str">
        <f t="shared" si="51"/>
        <v/>
      </c>
    </row>
    <row r="2059" spans="1:10" ht="23.25" customHeight="1">
      <c r="A2059">
        <f>Table4[[#This Row],[Column1]]</f>
        <v>0</v>
      </c>
      <c r="B2059">
        <f>Table4[[#This Row],[Column2]]</f>
        <v>0</v>
      </c>
      <c r="I2059" s="13">
        <f>Table6[[#This Row],[discharge_date]]-Table6[[#This Row],[surgery_date]]</f>
        <v>0</v>
      </c>
      <c r="J2059" s="9" t="str">
        <f t="shared" si="51"/>
        <v/>
      </c>
    </row>
    <row r="2060" spans="1:10" ht="23.25" customHeight="1">
      <c r="A2060">
        <f>Table4[[#This Row],[Column1]]</f>
        <v>0</v>
      </c>
      <c r="B2060">
        <f>Table4[[#This Row],[Column2]]</f>
        <v>0</v>
      </c>
      <c r="I2060" s="13">
        <f>Table6[[#This Row],[discharge_date]]-Table6[[#This Row],[surgery_date]]</f>
        <v>0</v>
      </c>
      <c r="J2060" s="9" t="str">
        <f t="shared" si="51"/>
        <v/>
      </c>
    </row>
    <row r="2061" spans="1:10" ht="23.25" customHeight="1">
      <c r="A2061">
        <f>Table4[[#This Row],[Column1]]</f>
        <v>0</v>
      </c>
      <c r="B2061">
        <f>Table4[[#This Row],[Column2]]</f>
        <v>0</v>
      </c>
      <c r="I2061" s="13">
        <f>Table6[[#This Row],[discharge_date]]-Table6[[#This Row],[surgery_date]]</f>
        <v>0</v>
      </c>
      <c r="J2061" s="9" t="str">
        <f t="shared" si="51"/>
        <v/>
      </c>
    </row>
    <row r="2062" spans="1:10" ht="23.25" customHeight="1">
      <c r="A2062">
        <f>Table4[[#This Row],[Column1]]</f>
        <v>0</v>
      </c>
      <c r="B2062">
        <f>Table4[[#This Row],[Column2]]</f>
        <v>0</v>
      </c>
      <c r="I2062" s="13">
        <f>Table6[[#This Row],[discharge_date]]-Table6[[#This Row],[surgery_date]]</f>
        <v>0</v>
      </c>
      <c r="J2062" s="9" t="str">
        <f t="shared" si="51"/>
        <v/>
      </c>
    </row>
    <row r="2063" spans="1:10" ht="23.25" customHeight="1">
      <c r="A2063">
        <f>Table4[[#This Row],[Column1]]</f>
        <v>0</v>
      </c>
      <c r="B2063">
        <f>Table4[[#This Row],[Column2]]</f>
        <v>0</v>
      </c>
      <c r="I2063" s="13">
        <f>Table6[[#This Row],[discharge_date]]-Table6[[#This Row],[surgery_date]]</f>
        <v>0</v>
      </c>
      <c r="J2063" s="9" t="str">
        <f t="shared" si="51"/>
        <v/>
      </c>
    </row>
    <row r="2064" spans="1:10" ht="23.25" customHeight="1">
      <c r="A2064">
        <f>Table4[[#This Row],[Column1]]</f>
        <v>0</v>
      </c>
      <c r="B2064">
        <f>Table4[[#This Row],[Column2]]</f>
        <v>0</v>
      </c>
      <c r="I2064" s="13">
        <f>Table6[[#This Row],[discharge_date]]-Table6[[#This Row],[surgery_date]]</f>
        <v>0</v>
      </c>
      <c r="J2064" s="9" t="str">
        <f t="shared" si="51"/>
        <v/>
      </c>
    </row>
    <row r="2065" spans="1:10" ht="23.25" customHeight="1">
      <c r="A2065">
        <f>Table4[[#This Row],[Column1]]</f>
        <v>0</v>
      </c>
      <c r="B2065">
        <f>Table4[[#This Row],[Column2]]</f>
        <v>0</v>
      </c>
      <c r="I2065" s="13">
        <f>Table6[[#This Row],[discharge_date]]-Table6[[#This Row],[surgery_date]]</f>
        <v>0</v>
      </c>
      <c r="J2065" s="9" t="str">
        <f t="shared" si="51"/>
        <v/>
      </c>
    </row>
    <row r="2066" spans="1:10" ht="23.25" customHeight="1">
      <c r="A2066">
        <f>Table4[[#This Row],[Column1]]</f>
        <v>0</v>
      </c>
      <c r="B2066">
        <f>Table4[[#This Row],[Column2]]</f>
        <v>0</v>
      </c>
      <c r="I2066" s="13">
        <f>Table6[[#This Row],[discharge_date]]-Table6[[#This Row],[surgery_date]]</f>
        <v>0</v>
      </c>
      <c r="J2066" s="9" t="str">
        <f t="shared" si="51"/>
        <v/>
      </c>
    </row>
    <row r="2067" spans="1:10" ht="23.25" customHeight="1">
      <c r="A2067">
        <f>Table4[[#This Row],[Column1]]</f>
        <v>0</v>
      </c>
      <c r="B2067">
        <f>Table4[[#This Row],[Column2]]</f>
        <v>0</v>
      </c>
      <c r="I2067" s="13">
        <f>Table6[[#This Row],[discharge_date]]-Table6[[#This Row],[surgery_date]]</f>
        <v>0</v>
      </c>
      <c r="J2067" s="9" t="str">
        <f t="shared" si="51"/>
        <v/>
      </c>
    </row>
    <row r="2068" spans="1:10" ht="23.25" customHeight="1">
      <c r="A2068">
        <f>Table4[[#This Row],[Column1]]</f>
        <v>0</v>
      </c>
      <c r="B2068">
        <f>Table4[[#This Row],[Column2]]</f>
        <v>0</v>
      </c>
      <c r="I2068" s="13">
        <f>Table6[[#This Row],[discharge_date]]-Table6[[#This Row],[surgery_date]]</f>
        <v>0</v>
      </c>
      <c r="J2068" s="9" t="str">
        <f t="shared" si="51"/>
        <v/>
      </c>
    </row>
    <row r="2069" spans="1:10" ht="23.25" customHeight="1">
      <c r="A2069">
        <f>Table4[[#This Row],[Column1]]</f>
        <v>0</v>
      </c>
      <c r="B2069">
        <f>Table4[[#This Row],[Column2]]</f>
        <v>0</v>
      </c>
      <c r="I2069" s="13">
        <f>Table6[[#This Row],[discharge_date]]-Table6[[#This Row],[surgery_date]]</f>
        <v>0</v>
      </c>
      <c r="J2069" s="9" t="str">
        <f t="shared" si="51"/>
        <v/>
      </c>
    </row>
    <row r="2070" spans="1:10" ht="23.25" customHeight="1">
      <c r="A2070">
        <f>Table4[[#This Row],[Column1]]</f>
        <v>0</v>
      </c>
      <c r="B2070">
        <f>Table4[[#This Row],[Column2]]</f>
        <v>0</v>
      </c>
      <c r="I2070" s="13">
        <f>Table6[[#This Row],[discharge_date]]-Table6[[#This Row],[surgery_date]]</f>
        <v>0</v>
      </c>
      <c r="J2070" s="9" t="str">
        <f t="shared" si="51"/>
        <v/>
      </c>
    </row>
    <row r="2071" spans="1:10" ht="23.25" customHeight="1">
      <c r="A2071">
        <f>Table4[[#This Row],[Column1]]</f>
        <v>0</v>
      </c>
      <c r="B2071">
        <f>Table4[[#This Row],[Column2]]</f>
        <v>0</v>
      </c>
      <c r="I2071" s="13">
        <f>Table6[[#This Row],[discharge_date]]-Table6[[#This Row],[surgery_date]]</f>
        <v>0</v>
      </c>
      <c r="J2071" s="9" t="str">
        <f t="shared" si="51"/>
        <v/>
      </c>
    </row>
    <row r="2072" spans="1:10" ht="23.25" customHeight="1">
      <c r="A2072">
        <f>Table4[[#This Row],[Column1]]</f>
        <v>0</v>
      </c>
      <c r="B2072">
        <f>Table4[[#This Row],[Column2]]</f>
        <v>0</v>
      </c>
      <c r="I2072" s="13">
        <f>Table6[[#This Row],[discharge_date]]-Table6[[#This Row],[surgery_date]]</f>
        <v>0</v>
      </c>
      <c r="J2072" s="9" t="str">
        <f t="shared" si="51"/>
        <v/>
      </c>
    </row>
    <row r="2073" spans="1:10" ht="23.25" customHeight="1">
      <c r="A2073">
        <f>Table4[[#This Row],[Column1]]</f>
        <v>0</v>
      </c>
      <c r="B2073">
        <f>Table4[[#This Row],[Column2]]</f>
        <v>0</v>
      </c>
      <c r="I2073" s="13">
        <f>Table6[[#This Row],[discharge_date]]-Table6[[#This Row],[surgery_date]]</f>
        <v>0</v>
      </c>
      <c r="J2073" s="9" t="str">
        <f t="shared" si="51"/>
        <v/>
      </c>
    </row>
    <row r="2074" spans="1:10" ht="23.25" customHeight="1">
      <c r="A2074">
        <f>Table4[[#This Row],[Column1]]</f>
        <v>0</v>
      </c>
      <c r="B2074">
        <f>Table4[[#This Row],[Column2]]</f>
        <v>0</v>
      </c>
      <c r="I2074" s="13">
        <f>Table6[[#This Row],[discharge_date]]-Table6[[#This Row],[surgery_date]]</f>
        <v>0</v>
      </c>
      <c r="J2074" s="9" t="str">
        <f t="shared" si="51"/>
        <v/>
      </c>
    </row>
    <row r="2075" spans="1:10" ht="23.25" customHeight="1">
      <c r="A2075">
        <f>Table4[[#This Row],[Column1]]</f>
        <v>0</v>
      </c>
      <c r="B2075">
        <f>Table4[[#This Row],[Column2]]</f>
        <v>0</v>
      </c>
      <c r="I2075" s="13">
        <f>Table6[[#This Row],[discharge_date]]-Table6[[#This Row],[surgery_date]]</f>
        <v>0</v>
      </c>
      <c r="J2075" s="9" t="str">
        <f t="shared" si="51"/>
        <v/>
      </c>
    </row>
    <row r="2076" spans="1:10" ht="23.25" customHeight="1">
      <c r="A2076">
        <f>Table4[[#This Row],[Column1]]</f>
        <v>0</v>
      </c>
      <c r="B2076">
        <f>Table4[[#This Row],[Column2]]</f>
        <v>0</v>
      </c>
      <c r="I2076" s="13">
        <f>Table6[[#This Row],[discharge_date]]-Table6[[#This Row],[surgery_date]]</f>
        <v>0</v>
      </c>
      <c r="J2076" s="9" t="str">
        <f t="shared" si="51"/>
        <v/>
      </c>
    </row>
    <row r="2077" spans="1:10" ht="23.25" customHeight="1">
      <c r="A2077">
        <f>Table4[[#This Row],[Column1]]</f>
        <v>0</v>
      </c>
      <c r="B2077">
        <f>Table4[[#This Row],[Column2]]</f>
        <v>0</v>
      </c>
      <c r="I2077" s="13">
        <f>Table6[[#This Row],[discharge_date]]-Table6[[#This Row],[surgery_date]]</f>
        <v>0</v>
      </c>
      <c r="J2077" s="9" t="str">
        <f t="shared" si="51"/>
        <v/>
      </c>
    </row>
    <row r="2078" spans="1:10" ht="23.25" customHeight="1">
      <c r="A2078">
        <f>Table4[[#This Row],[Column1]]</f>
        <v>0</v>
      </c>
      <c r="B2078">
        <f>Table4[[#This Row],[Column2]]</f>
        <v>0</v>
      </c>
      <c r="I2078" s="13">
        <f>Table6[[#This Row],[discharge_date]]-Table6[[#This Row],[surgery_date]]</f>
        <v>0</v>
      </c>
      <c r="J2078" s="9" t="str">
        <f t="shared" si="51"/>
        <v/>
      </c>
    </row>
    <row r="2079" spans="1:10" ht="23.25" customHeight="1">
      <c r="A2079">
        <f>Table4[[#This Row],[Column1]]</f>
        <v>0</v>
      </c>
      <c r="B2079">
        <f>Table4[[#This Row],[Column2]]</f>
        <v>0</v>
      </c>
      <c r="I2079" s="13">
        <f>Table6[[#This Row],[discharge_date]]-Table6[[#This Row],[surgery_date]]</f>
        <v>0</v>
      </c>
      <c r="J2079" s="9" t="str">
        <f t="shared" si="51"/>
        <v/>
      </c>
    </row>
    <row r="2080" spans="1:10" ht="23.25" customHeight="1">
      <c r="A2080">
        <f>Table4[[#This Row],[Column1]]</f>
        <v>0</v>
      </c>
      <c r="B2080">
        <f>Table4[[#This Row],[Column2]]</f>
        <v>0</v>
      </c>
      <c r="I2080" s="13">
        <f>Table6[[#This Row],[discharge_date]]-Table6[[#This Row],[surgery_date]]</f>
        <v>0</v>
      </c>
      <c r="J2080" s="9" t="str">
        <f t="shared" si="51"/>
        <v/>
      </c>
    </row>
    <row r="2081" spans="1:10" ht="23.25" customHeight="1">
      <c r="A2081">
        <f>Table4[[#This Row],[Column1]]</f>
        <v>0</v>
      </c>
      <c r="B2081">
        <f>Table4[[#This Row],[Column2]]</f>
        <v>0</v>
      </c>
      <c r="I2081" s="13">
        <f>Table6[[#This Row],[discharge_date]]-Table6[[#This Row],[surgery_date]]</f>
        <v>0</v>
      </c>
      <c r="J2081" s="9" t="str">
        <f t="shared" si="51"/>
        <v/>
      </c>
    </row>
    <row r="2082" spans="1:10" ht="23.25" customHeight="1">
      <c r="A2082">
        <f>Table4[[#This Row],[Column1]]</f>
        <v>0</v>
      </c>
      <c r="B2082">
        <f>Table4[[#This Row],[Column2]]</f>
        <v>0</v>
      </c>
      <c r="I2082" s="13">
        <f>Table6[[#This Row],[discharge_date]]-Table6[[#This Row],[surgery_date]]</f>
        <v>0</v>
      </c>
      <c r="J2082" s="9" t="str">
        <f t="shared" si="51"/>
        <v/>
      </c>
    </row>
    <row r="2083" spans="1:10" ht="23.25" customHeight="1">
      <c r="A2083">
        <f>Table4[[#This Row],[Column1]]</f>
        <v>0</v>
      </c>
      <c r="B2083">
        <f>Table4[[#This Row],[Column2]]</f>
        <v>0</v>
      </c>
      <c r="I2083" s="13">
        <f>Table6[[#This Row],[discharge_date]]-Table6[[#This Row],[surgery_date]]</f>
        <v>0</v>
      </c>
      <c r="J2083" s="9" t="str">
        <f t="shared" si="51"/>
        <v/>
      </c>
    </row>
    <row r="2084" spans="1:10" ht="23.25" customHeight="1">
      <c r="A2084">
        <f>Table4[[#This Row],[Column1]]</f>
        <v>0</v>
      </c>
      <c r="B2084">
        <f>Table4[[#This Row],[Column2]]</f>
        <v>0</v>
      </c>
      <c r="I2084" s="13">
        <f>Table6[[#This Row],[discharge_date]]-Table6[[#This Row],[surgery_date]]</f>
        <v>0</v>
      </c>
      <c r="J2084" s="9" t="str">
        <f t="shared" si="51"/>
        <v/>
      </c>
    </row>
    <row r="2085" spans="1:10" ht="23.25" customHeight="1">
      <c r="A2085">
        <f>Table4[[#This Row],[Column1]]</f>
        <v>0</v>
      </c>
      <c r="B2085">
        <f>Table4[[#This Row],[Column2]]</f>
        <v>0</v>
      </c>
      <c r="I2085" s="13">
        <f>Table6[[#This Row],[discharge_date]]-Table6[[#This Row],[surgery_date]]</f>
        <v>0</v>
      </c>
      <c r="J2085" s="9" t="str">
        <f t="shared" si="51"/>
        <v/>
      </c>
    </row>
    <row r="2086" spans="1:10" ht="23.25" customHeight="1">
      <c r="A2086">
        <f>Table4[[#This Row],[Column1]]</f>
        <v>0</v>
      </c>
      <c r="B2086">
        <f>Table4[[#This Row],[Column2]]</f>
        <v>0</v>
      </c>
      <c r="I2086" s="13">
        <f>Table6[[#This Row],[discharge_date]]-Table6[[#This Row],[surgery_date]]</f>
        <v>0</v>
      </c>
      <c r="J2086" s="9" t="str">
        <f t="shared" si="51"/>
        <v/>
      </c>
    </row>
    <row r="2087" spans="1:10" ht="23.25" customHeight="1">
      <c r="A2087">
        <f>Table4[[#This Row],[Column1]]</f>
        <v>0</v>
      </c>
      <c r="B2087">
        <f>Table4[[#This Row],[Column2]]</f>
        <v>0</v>
      </c>
      <c r="I2087" s="13">
        <f>Table6[[#This Row],[discharge_date]]-Table6[[#This Row],[surgery_date]]</f>
        <v>0</v>
      </c>
      <c r="J2087" s="9" t="str">
        <f t="shared" si="51"/>
        <v/>
      </c>
    </row>
    <row r="2088" spans="1:10" ht="23.25" customHeight="1">
      <c r="A2088">
        <f>Table4[[#This Row],[Column1]]</f>
        <v>0</v>
      </c>
      <c r="B2088">
        <f>Table4[[#This Row],[Column2]]</f>
        <v>0</v>
      </c>
      <c r="I2088" s="13">
        <f>Table6[[#This Row],[discharge_date]]-Table6[[#This Row],[surgery_date]]</f>
        <v>0</v>
      </c>
      <c r="J2088" s="9" t="str">
        <f t="shared" si="51"/>
        <v/>
      </c>
    </row>
    <row r="2089" spans="1:10" ht="23.25" customHeight="1">
      <c r="A2089">
        <f>Table4[[#This Row],[Column1]]</f>
        <v>0</v>
      </c>
      <c r="B2089">
        <f>Table4[[#This Row],[Column2]]</f>
        <v>0</v>
      </c>
      <c r="I2089" s="13">
        <f>Table6[[#This Row],[discharge_date]]-Table6[[#This Row],[surgery_date]]</f>
        <v>0</v>
      </c>
      <c r="J2089" s="9" t="str">
        <f t="shared" si="51"/>
        <v/>
      </c>
    </row>
    <row r="2090" spans="1:10" ht="23.25" customHeight="1">
      <c r="A2090">
        <f>Table4[[#This Row],[Column1]]</f>
        <v>0</v>
      </c>
      <c r="B2090">
        <f>Table4[[#This Row],[Column2]]</f>
        <v>0</v>
      </c>
      <c r="I2090" s="13">
        <f>Table6[[#This Row],[discharge_date]]-Table6[[#This Row],[surgery_date]]</f>
        <v>0</v>
      </c>
      <c r="J2090" s="9" t="str">
        <f t="shared" si="51"/>
        <v/>
      </c>
    </row>
    <row r="2091" spans="1:10" ht="23.25" customHeight="1">
      <c r="A2091">
        <f>Table4[[#This Row],[Column1]]</f>
        <v>0</v>
      </c>
      <c r="B2091">
        <f>Table4[[#This Row],[Column2]]</f>
        <v>0</v>
      </c>
      <c r="I2091" s="13">
        <f>Table6[[#This Row],[discharge_date]]-Table6[[#This Row],[surgery_date]]</f>
        <v>0</v>
      </c>
      <c r="J2091" s="9" t="str">
        <f t="shared" si="51"/>
        <v/>
      </c>
    </row>
    <row r="2092" spans="1:10" ht="23.25" customHeight="1">
      <c r="A2092">
        <f>Table4[[#This Row],[Column1]]</f>
        <v>0</v>
      </c>
      <c r="B2092">
        <f>Table4[[#This Row],[Column2]]</f>
        <v>0</v>
      </c>
      <c r="I2092" s="13">
        <f>Table6[[#This Row],[discharge_date]]-Table6[[#This Row],[surgery_date]]</f>
        <v>0</v>
      </c>
      <c r="J2092" s="9" t="str">
        <f t="shared" si="51"/>
        <v/>
      </c>
    </row>
    <row r="2093" spans="1:10" ht="23.25" customHeight="1">
      <c r="A2093">
        <f>Table4[[#This Row],[Column1]]</f>
        <v>0</v>
      </c>
      <c r="B2093">
        <f>Table4[[#This Row],[Column2]]</f>
        <v>0</v>
      </c>
      <c r="I2093" s="13">
        <f>Table6[[#This Row],[discharge_date]]-Table6[[#This Row],[surgery_date]]</f>
        <v>0</v>
      </c>
      <c r="J2093" s="9" t="str">
        <f t="shared" si="51"/>
        <v/>
      </c>
    </row>
    <row r="2094" spans="1:10" ht="23.25" customHeight="1">
      <c r="A2094">
        <f>Table4[[#This Row],[Column1]]</f>
        <v>0</v>
      </c>
      <c r="B2094">
        <f>Table4[[#This Row],[Column2]]</f>
        <v>0</v>
      </c>
      <c r="I2094" s="13">
        <f>Table6[[#This Row],[discharge_date]]-Table6[[#This Row],[surgery_date]]</f>
        <v>0</v>
      </c>
      <c r="J2094" s="9" t="str">
        <f t="shared" si="51"/>
        <v/>
      </c>
    </row>
    <row r="2095" spans="1:10" ht="23.25" customHeight="1">
      <c r="A2095">
        <f>Table4[[#This Row],[Column1]]</f>
        <v>0</v>
      </c>
      <c r="B2095">
        <f>Table4[[#This Row],[Column2]]</f>
        <v>0</v>
      </c>
      <c r="I2095" s="13">
        <f>Table6[[#This Row],[discharge_date]]-Table6[[#This Row],[surgery_date]]</f>
        <v>0</v>
      </c>
      <c r="J2095" s="9" t="str">
        <f t="shared" si="51"/>
        <v/>
      </c>
    </row>
    <row r="2096" spans="1:10" ht="23.25" customHeight="1">
      <c r="A2096">
        <f>Table4[[#This Row],[Column1]]</f>
        <v>0</v>
      </c>
      <c r="B2096">
        <f>Table4[[#This Row],[Column2]]</f>
        <v>0</v>
      </c>
      <c r="I2096" s="13">
        <f>Table6[[#This Row],[discharge_date]]-Table6[[#This Row],[surgery_date]]</f>
        <v>0</v>
      </c>
      <c r="J2096" s="9" t="str">
        <f t="shared" si="51"/>
        <v/>
      </c>
    </row>
    <row r="2097" spans="1:10" ht="23.25" customHeight="1">
      <c r="A2097">
        <f>Table4[[#This Row],[Column1]]</f>
        <v>0</v>
      </c>
      <c r="B2097">
        <f>Table4[[#This Row],[Column2]]</f>
        <v>0</v>
      </c>
      <c r="I2097" s="13">
        <f>Table6[[#This Row],[discharge_date]]-Table6[[#This Row],[surgery_date]]</f>
        <v>0</v>
      </c>
      <c r="J2097" s="9" t="str">
        <f t="shared" si="51"/>
        <v/>
      </c>
    </row>
    <row r="2098" spans="1:10" ht="23.25" customHeight="1">
      <c r="A2098">
        <f>Table4[[#This Row],[Column1]]</f>
        <v>0</v>
      </c>
      <c r="B2098">
        <f>Table4[[#This Row],[Column2]]</f>
        <v>0</v>
      </c>
      <c r="I2098" s="13">
        <f>Table6[[#This Row],[discharge_date]]-Table6[[#This Row],[surgery_date]]</f>
        <v>0</v>
      </c>
      <c r="J2098" s="9" t="str">
        <f t="shared" si="51"/>
        <v/>
      </c>
    </row>
    <row r="2099" spans="1:10" ht="23.25" customHeight="1">
      <c r="A2099">
        <f>Table4[[#This Row],[Column1]]</f>
        <v>0</v>
      </c>
      <c r="B2099">
        <f>Table4[[#This Row],[Column2]]</f>
        <v>0</v>
      </c>
      <c r="I2099" s="13">
        <f>Table6[[#This Row],[discharge_date]]-Table6[[#This Row],[surgery_date]]</f>
        <v>0</v>
      </c>
      <c r="J2099" s="9" t="str">
        <f t="shared" si="51"/>
        <v/>
      </c>
    </row>
    <row r="2100" spans="1:10" ht="23.25" customHeight="1">
      <c r="A2100">
        <f>Table4[[#This Row],[Column1]]</f>
        <v>0</v>
      </c>
      <c r="B2100">
        <f>Table4[[#This Row],[Column2]]</f>
        <v>0</v>
      </c>
      <c r="I2100" s="13">
        <f>Table6[[#This Row],[discharge_date]]-Table6[[#This Row],[surgery_date]]</f>
        <v>0</v>
      </c>
      <c r="J2100" s="9" t="str">
        <f t="shared" si="51"/>
        <v/>
      </c>
    </row>
    <row r="2101" spans="1:10" ht="23.25" customHeight="1">
      <c r="A2101">
        <f>Table4[[#This Row],[Column1]]</f>
        <v>0</v>
      </c>
      <c r="B2101">
        <f>Table4[[#This Row],[Column2]]</f>
        <v>0</v>
      </c>
      <c r="I2101" s="13">
        <f>Table6[[#This Row],[discharge_date]]-Table6[[#This Row],[surgery_date]]</f>
        <v>0</v>
      </c>
      <c r="J2101" s="9" t="str">
        <f t="shared" si="51"/>
        <v/>
      </c>
    </row>
    <row r="2102" spans="1:10" ht="23.25" customHeight="1">
      <c r="A2102">
        <f>Table4[[#This Row],[Column1]]</f>
        <v>0</v>
      </c>
      <c r="B2102">
        <f>Table4[[#This Row],[Column2]]</f>
        <v>0</v>
      </c>
      <c r="I2102" s="13">
        <f>Table6[[#This Row],[discharge_date]]-Table6[[#This Row],[surgery_date]]</f>
        <v>0</v>
      </c>
      <c r="J2102" s="9" t="str">
        <f t="shared" si="51"/>
        <v/>
      </c>
    </row>
    <row r="2103" spans="1:10" ht="23.25" customHeight="1">
      <c r="A2103">
        <f>Table4[[#This Row],[Column1]]</f>
        <v>0</v>
      </c>
      <c r="B2103">
        <f>Table4[[#This Row],[Column2]]</f>
        <v>0</v>
      </c>
      <c r="I2103" s="13">
        <f>Table6[[#This Row],[discharge_date]]-Table6[[#This Row],[surgery_date]]</f>
        <v>0</v>
      </c>
      <c r="J2103" s="9" t="str">
        <f t="shared" si="51"/>
        <v/>
      </c>
    </row>
    <row r="2104" spans="1:10" ht="23.25" customHeight="1">
      <c r="A2104">
        <f>Table4[[#This Row],[Column1]]</f>
        <v>0</v>
      </c>
      <c r="B2104">
        <f>Table4[[#This Row],[Column2]]</f>
        <v>0</v>
      </c>
      <c r="I2104" s="13">
        <f>Table6[[#This Row],[discharge_date]]-Table6[[#This Row],[surgery_date]]</f>
        <v>0</v>
      </c>
      <c r="J2104" s="9" t="str">
        <f t="shared" si="51"/>
        <v/>
      </c>
    </row>
    <row r="2105" spans="1:10" ht="23.25" customHeight="1">
      <c r="A2105">
        <f>Table4[[#This Row],[Column1]]</f>
        <v>0</v>
      </c>
      <c r="B2105">
        <f>Table4[[#This Row],[Column2]]</f>
        <v>0</v>
      </c>
      <c r="I2105" s="13">
        <f>Table6[[#This Row],[discharge_date]]-Table6[[#This Row],[surgery_date]]</f>
        <v>0</v>
      </c>
      <c r="J2105" s="9" t="str">
        <f t="shared" si="51"/>
        <v/>
      </c>
    </row>
    <row r="2106" spans="1:10" ht="23.25" customHeight="1">
      <c r="A2106">
        <f>Table4[[#This Row],[Column1]]</f>
        <v>0</v>
      </c>
      <c r="B2106">
        <f>Table4[[#This Row],[Column2]]</f>
        <v>0</v>
      </c>
      <c r="I2106" s="13">
        <f>Table6[[#This Row],[discharge_date]]-Table6[[#This Row],[surgery_date]]</f>
        <v>0</v>
      </c>
      <c r="J2106" s="9" t="str">
        <f t="shared" si="51"/>
        <v/>
      </c>
    </row>
    <row r="2107" spans="1:10" ht="23.25" customHeight="1">
      <c r="A2107">
        <f>Table4[[#This Row],[Column1]]</f>
        <v>0</v>
      </c>
      <c r="B2107">
        <f>Table4[[#This Row],[Column2]]</f>
        <v>0</v>
      </c>
      <c r="I2107" s="13">
        <f>Table6[[#This Row],[discharge_date]]-Table6[[#This Row],[surgery_date]]</f>
        <v>0</v>
      </c>
      <c r="J2107" s="9" t="str">
        <f t="shared" si="51"/>
        <v/>
      </c>
    </row>
    <row r="2108" spans="1:10" ht="23.25" customHeight="1">
      <c r="A2108">
        <f>Table4[[#This Row],[Column1]]</f>
        <v>0</v>
      </c>
      <c r="B2108">
        <f>Table4[[#This Row],[Column2]]</f>
        <v>0</v>
      </c>
      <c r="I2108" s="13">
        <f>Table6[[#This Row],[discharge_date]]-Table6[[#This Row],[surgery_date]]</f>
        <v>0</v>
      </c>
      <c r="J2108" s="9" t="str">
        <f t="shared" si="51"/>
        <v/>
      </c>
    </row>
    <row r="2109" spans="1:10" ht="23.25" customHeight="1">
      <c r="A2109">
        <f>Table4[[#This Row],[Column1]]</f>
        <v>0</v>
      </c>
      <c r="B2109">
        <f>Table4[[#This Row],[Column2]]</f>
        <v>0</v>
      </c>
      <c r="I2109" s="13">
        <f>Table6[[#This Row],[discharge_date]]-Table6[[#This Row],[surgery_date]]</f>
        <v>0</v>
      </c>
      <c r="J2109" s="9" t="str">
        <f t="shared" si="51"/>
        <v/>
      </c>
    </row>
    <row r="2110" spans="1:10" ht="23.25" customHeight="1">
      <c r="A2110">
        <f>Table4[[#This Row],[Column1]]</f>
        <v>0</v>
      </c>
      <c r="B2110">
        <f>Table4[[#This Row],[Column2]]</f>
        <v>0</v>
      </c>
      <c r="I2110" s="13">
        <f>Table6[[#This Row],[discharge_date]]-Table6[[#This Row],[surgery_date]]</f>
        <v>0</v>
      </c>
      <c r="J2110" s="9" t="str">
        <f t="shared" si="51"/>
        <v/>
      </c>
    </row>
    <row r="2111" spans="1:10" ht="23.25" customHeight="1">
      <c r="A2111">
        <f>Table4[[#This Row],[Column1]]</f>
        <v>0</v>
      </c>
      <c r="B2111">
        <f>Table4[[#This Row],[Column2]]</f>
        <v>0</v>
      </c>
      <c r="I2111" s="13">
        <f>Table6[[#This Row],[discharge_date]]-Table6[[#This Row],[surgery_date]]</f>
        <v>0</v>
      </c>
      <c r="J2111" s="9" t="str">
        <f t="shared" si="51"/>
        <v/>
      </c>
    </row>
    <row r="2112" spans="1:10" ht="23.25" customHeight="1">
      <c r="A2112">
        <f>Table4[[#This Row],[Column1]]</f>
        <v>0</v>
      </c>
      <c r="B2112">
        <f>Table4[[#This Row],[Column2]]</f>
        <v>0</v>
      </c>
      <c r="I2112" s="13">
        <f>Table6[[#This Row],[discharge_date]]-Table6[[#This Row],[surgery_date]]</f>
        <v>0</v>
      </c>
      <c r="J2112" s="9" t="str">
        <f t="shared" si="51"/>
        <v/>
      </c>
    </row>
    <row r="2113" spans="1:10" ht="23.25" customHeight="1">
      <c r="A2113">
        <f>Table4[[#This Row],[Column1]]</f>
        <v>0</v>
      </c>
      <c r="B2113">
        <f>Table4[[#This Row],[Column2]]</f>
        <v>0</v>
      </c>
      <c r="I2113" s="13">
        <f>Table6[[#This Row],[discharge_date]]-Table6[[#This Row],[surgery_date]]</f>
        <v>0</v>
      </c>
      <c r="J2113" s="9" t="str">
        <f t="shared" si="51"/>
        <v/>
      </c>
    </row>
    <row r="2114" spans="1:10" ht="23.25" customHeight="1">
      <c r="A2114">
        <f>Table4[[#This Row],[Column1]]</f>
        <v>0</v>
      </c>
      <c r="B2114">
        <f>Table4[[#This Row],[Column2]]</f>
        <v>0</v>
      </c>
      <c r="I2114" s="13">
        <f>Table6[[#This Row],[discharge_date]]-Table6[[#This Row],[surgery_date]]</f>
        <v>0</v>
      </c>
      <c r="J2114" s="9" t="str">
        <f t="shared" ref="J2114:J2177" si="52">IF( H2114&lt;&gt;"", H2114+30,"")</f>
        <v/>
      </c>
    </row>
    <row r="2115" spans="1:10" ht="23.25" customHeight="1">
      <c r="A2115">
        <f>Table4[[#This Row],[Column1]]</f>
        <v>0</v>
      </c>
      <c r="B2115">
        <f>Table4[[#This Row],[Column2]]</f>
        <v>0</v>
      </c>
      <c r="I2115" s="13">
        <f>Table6[[#This Row],[discharge_date]]-Table6[[#This Row],[surgery_date]]</f>
        <v>0</v>
      </c>
      <c r="J2115" s="9" t="str">
        <f t="shared" si="52"/>
        <v/>
      </c>
    </row>
    <row r="2116" spans="1:10" ht="23.25" customHeight="1">
      <c r="A2116">
        <f>Table4[[#This Row],[Column1]]</f>
        <v>0</v>
      </c>
      <c r="B2116">
        <f>Table4[[#This Row],[Column2]]</f>
        <v>0</v>
      </c>
      <c r="I2116" s="13">
        <f>Table6[[#This Row],[discharge_date]]-Table6[[#This Row],[surgery_date]]</f>
        <v>0</v>
      </c>
      <c r="J2116" s="9" t="str">
        <f t="shared" si="52"/>
        <v/>
      </c>
    </row>
    <row r="2117" spans="1:10" ht="23.25" customHeight="1">
      <c r="A2117">
        <f>Table4[[#This Row],[Column1]]</f>
        <v>0</v>
      </c>
      <c r="B2117">
        <f>Table4[[#This Row],[Column2]]</f>
        <v>0</v>
      </c>
      <c r="I2117" s="13">
        <f>Table6[[#This Row],[discharge_date]]-Table6[[#This Row],[surgery_date]]</f>
        <v>0</v>
      </c>
      <c r="J2117" s="9" t="str">
        <f t="shared" si="52"/>
        <v/>
      </c>
    </row>
    <row r="2118" spans="1:10" ht="23.25" customHeight="1">
      <c r="A2118">
        <f>Table4[[#This Row],[Column1]]</f>
        <v>0</v>
      </c>
      <c r="B2118">
        <f>Table4[[#This Row],[Column2]]</f>
        <v>0</v>
      </c>
      <c r="I2118" s="13">
        <f>Table6[[#This Row],[discharge_date]]-Table6[[#This Row],[surgery_date]]</f>
        <v>0</v>
      </c>
      <c r="J2118" s="9" t="str">
        <f t="shared" si="52"/>
        <v/>
      </c>
    </row>
    <row r="2119" spans="1:10" ht="23.25" customHeight="1">
      <c r="A2119">
        <f>Table4[[#This Row],[Column1]]</f>
        <v>0</v>
      </c>
      <c r="B2119">
        <f>Table4[[#This Row],[Column2]]</f>
        <v>0</v>
      </c>
      <c r="I2119" s="13">
        <f>Table6[[#This Row],[discharge_date]]-Table6[[#This Row],[surgery_date]]</f>
        <v>0</v>
      </c>
      <c r="J2119" s="9" t="str">
        <f t="shared" si="52"/>
        <v/>
      </c>
    </row>
    <row r="2120" spans="1:10" ht="23.25" customHeight="1">
      <c r="A2120">
        <f>Table4[[#This Row],[Column1]]</f>
        <v>0</v>
      </c>
      <c r="B2120">
        <f>Table4[[#This Row],[Column2]]</f>
        <v>0</v>
      </c>
      <c r="I2120" s="13">
        <f>Table6[[#This Row],[discharge_date]]-Table6[[#This Row],[surgery_date]]</f>
        <v>0</v>
      </c>
      <c r="J2120" s="9" t="str">
        <f t="shared" si="52"/>
        <v/>
      </c>
    </row>
    <row r="2121" spans="1:10" ht="23.25" customHeight="1">
      <c r="A2121">
        <f>Table4[[#This Row],[Column1]]</f>
        <v>0</v>
      </c>
      <c r="B2121">
        <f>Table4[[#This Row],[Column2]]</f>
        <v>0</v>
      </c>
      <c r="I2121" s="13">
        <f>Table6[[#This Row],[discharge_date]]-Table6[[#This Row],[surgery_date]]</f>
        <v>0</v>
      </c>
      <c r="J2121" s="9" t="str">
        <f t="shared" si="52"/>
        <v/>
      </c>
    </row>
    <row r="2122" spans="1:10" ht="23.25" customHeight="1">
      <c r="A2122">
        <f>Table4[[#This Row],[Column1]]</f>
        <v>0</v>
      </c>
      <c r="B2122">
        <f>Table4[[#This Row],[Column2]]</f>
        <v>0</v>
      </c>
      <c r="I2122" s="13">
        <f>Table6[[#This Row],[discharge_date]]-Table6[[#This Row],[surgery_date]]</f>
        <v>0</v>
      </c>
      <c r="J2122" s="9" t="str">
        <f t="shared" si="52"/>
        <v/>
      </c>
    </row>
    <row r="2123" spans="1:10" ht="23.25" customHeight="1">
      <c r="A2123">
        <f>Table4[[#This Row],[Column1]]</f>
        <v>0</v>
      </c>
      <c r="B2123">
        <f>Table4[[#This Row],[Column2]]</f>
        <v>0</v>
      </c>
      <c r="I2123" s="13">
        <f>Table6[[#This Row],[discharge_date]]-Table6[[#This Row],[surgery_date]]</f>
        <v>0</v>
      </c>
      <c r="J2123" s="9" t="str">
        <f t="shared" si="52"/>
        <v/>
      </c>
    </row>
    <row r="2124" spans="1:10" ht="23.25" customHeight="1">
      <c r="A2124">
        <f>Table4[[#This Row],[Column1]]</f>
        <v>0</v>
      </c>
      <c r="B2124">
        <f>Table4[[#This Row],[Column2]]</f>
        <v>0</v>
      </c>
      <c r="I2124" s="13">
        <f>Table6[[#This Row],[discharge_date]]-Table6[[#This Row],[surgery_date]]</f>
        <v>0</v>
      </c>
      <c r="J2124" s="9" t="str">
        <f t="shared" si="52"/>
        <v/>
      </c>
    </row>
    <row r="2125" spans="1:10" ht="23.25" customHeight="1">
      <c r="A2125">
        <f>Table4[[#This Row],[Column1]]</f>
        <v>0</v>
      </c>
      <c r="B2125">
        <f>Table4[[#This Row],[Column2]]</f>
        <v>0</v>
      </c>
      <c r="I2125" s="13">
        <f>Table6[[#This Row],[discharge_date]]-Table6[[#This Row],[surgery_date]]</f>
        <v>0</v>
      </c>
      <c r="J2125" s="9" t="str">
        <f t="shared" si="52"/>
        <v/>
      </c>
    </row>
    <row r="2126" spans="1:10" ht="23.25" customHeight="1">
      <c r="A2126">
        <f>Table4[[#This Row],[Column1]]</f>
        <v>0</v>
      </c>
      <c r="B2126">
        <f>Table4[[#This Row],[Column2]]</f>
        <v>0</v>
      </c>
      <c r="I2126" s="13">
        <f>Table6[[#This Row],[discharge_date]]-Table6[[#This Row],[surgery_date]]</f>
        <v>0</v>
      </c>
      <c r="J2126" s="9" t="str">
        <f t="shared" si="52"/>
        <v/>
      </c>
    </row>
    <row r="2127" spans="1:10" ht="23.25" customHeight="1">
      <c r="A2127">
        <f>Table4[[#This Row],[Column1]]</f>
        <v>0</v>
      </c>
      <c r="B2127">
        <f>Table4[[#This Row],[Column2]]</f>
        <v>0</v>
      </c>
      <c r="I2127" s="13">
        <f>Table6[[#This Row],[discharge_date]]-Table6[[#This Row],[surgery_date]]</f>
        <v>0</v>
      </c>
      <c r="J2127" s="9" t="str">
        <f t="shared" si="52"/>
        <v/>
      </c>
    </row>
    <row r="2128" spans="1:10" ht="23.25" customHeight="1">
      <c r="A2128">
        <f>Table4[[#This Row],[Column1]]</f>
        <v>0</v>
      </c>
      <c r="B2128">
        <f>Table4[[#This Row],[Column2]]</f>
        <v>0</v>
      </c>
      <c r="I2128" s="13">
        <f>Table6[[#This Row],[discharge_date]]-Table6[[#This Row],[surgery_date]]</f>
        <v>0</v>
      </c>
      <c r="J2128" s="9" t="str">
        <f t="shared" si="52"/>
        <v/>
      </c>
    </row>
    <row r="2129" spans="1:10" ht="23.25" customHeight="1">
      <c r="A2129">
        <f>Table4[[#This Row],[Column1]]</f>
        <v>0</v>
      </c>
      <c r="B2129">
        <f>Table4[[#This Row],[Column2]]</f>
        <v>0</v>
      </c>
      <c r="I2129" s="13">
        <f>Table6[[#This Row],[discharge_date]]-Table6[[#This Row],[surgery_date]]</f>
        <v>0</v>
      </c>
      <c r="J2129" s="9" t="str">
        <f t="shared" si="52"/>
        <v/>
      </c>
    </row>
    <row r="2130" spans="1:10" ht="23.25" customHeight="1">
      <c r="A2130">
        <f>Table4[[#This Row],[Column1]]</f>
        <v>0</v>
      </c>
      <c r="B2130">
        <f>Table4[[#This Row],[Column2]]</f>
        <v>0</v>
      </c>
      <c r="I2130" s="13">
        <f>Table6[[#This Row],[discharge_date]]-Table6[[#This Row],[surgery_date]]</f>
        <v>0</v>
      </c>
      <c r="J2130" s="9" t="str">
        <f t="shared" si="52"/>
        <v/>
      </c>
    </row>
    <row r="2131" spans="1:10" ht="23.25" customHeight="1">
      <c r="A2131">
        <f>Table4[[#This Row],[Column1]]</f>
        <v>0</v>
      </c>
      <c r="B2131">
        <f>Table4[[#This Row],[Column2]]</f>
        <v>0</v>
      </c>
      <c r="I2131" s="13">
        <f>Table6[[#This Row],[discharge_date]]-Table6[[#This Row],[surgery_date]]</f>
        <v>0</v>
      </c>
      <c r="J2131" s="9" t="str">
        <f t="shared" si="52"/>
        <v/>
      </c>
    </row>
    <row r="2132" spans="1:10" ht="23.25" customHeight="1">
      <c r="A2132">
        <f>Table4[[#This Row],[Column1]]</f>
        <v>0</v>
      </c>
      <c r="B2132">
        <f>Table4[[#This Row],[Column2]]</f>
        <v>0</v>
      </c>
      <c r="I2132" s="13">
        <f>Table6[[#This Row],[discharge_date]]-Table6[[#This Row],[surgery_date]]</f>
        <v>0</v>
      </c>
      <c r="J2132" s="9" t="str">
        <f t="shared" si="52"/>
        <v/>
      </c>
    </row>
    <row r="2133" spans="1:10" ht="23.25" customHeight="1">
      <c r="A2133">
        <f>Table4[[#This Row],[Column1]]</f>
        <v>0</v>
      </c>
      <c r="B2133">
        <f>Table4[[#This Row],[Column2]]</f>
        <v>0</v>
      </c>
      <c r="I2133" s="13">
        <f>Table6[[#This Row],[discharge_date]]-Table6[[#This Row],[surgery_date]]</f>
        <v>0</v>
      </c>
      <c r="J2133" s="9" t="str">
        <f t="shared" si="52"/>
        <v/>
      </c>
    </row>
    <row r="2134" spans="1:10" ht="23.25" customHeight="1">
      <c r="A2134">
        <f>Table4[[#This Row],[Column1]]</f>
        <v>0</v>
      </c>
      <c r="B2134">
        <f>Table4[[#This Row],[Column2]]</f>
        <v>0</v>
      </c>
      <c r="I2134" s="13">
        <f>Table6[[#This Row],[discharge_date]]-Table6[[#This Row],[surgery_date]]</f>
        <v>0</v>
      </c>
      <c r="J2134" s="9" t="str">
        <f t="shared" si="52"/>
        <v/>
      </c>
    </row>
    <row r="2135" spans="1:10" ht="23.25" customHeight="1">
      <c r="A2135">
        <f>Table4[[#This Row],[Column1]]</f>
        <v>0</v>
      </c>
      <c r="B2135">
        <f>Table4[[#This Row],[Column2]]</f>
        <v>0</v>
      </c>
      <c r="I2135" s="13">
        <f>Table6[[#This Row],[discharge_date]]-Table6[[#This Row],[surgery_date]]</f>
        <v>0</v>
      </c>
      <c r="J2135" s="9" t="str">
        <f t="shared" si="52"/>
        <v/>
      </c>
    </row>
    <row r="2136" spans="1:10" ht="23.25" customHeight="1">
      <c r="A2136">
        <f>Table4[[#This Row],[Column1]]</f>
        <v>0</v>
      </c>
      <c r="B2136">
        <f>Table4[[#This Row],[Column2]]</f>
        <v>0</v>
      </c>
      <c r="I2136" s="13">
        <f>Table6[[#This Row],[discharge_date]]-Table6[[#This Row],[surgery_date]]</f>
        <v>0</v>
      </c>
      <c r="J2136" s="9" t="str">
        <f t="shared" si="52"/>
        <v/>
      </c>
    </row>
    <row r="2137" spans="1:10" ht="23.25" customHeight="1">
      <c r="A2137">
        <f>Table4[[#This Row],[Column1]]</f>
        <v>0</v>
      </c>
      <c r="B2137">
        <f>Table4[[#This Row],[Column2]]</f>
        <v>0</v>
      </c>
      <c r="I2137" s="13">
        <f>Table6[[#This Row],[discharge_date]]-Table6[[#This Row],[surgery_date]]</f>
        <v>0</v>
      </c>
      <c r="J2137" s="9" t="str">
        <f t="shared" si="52"/>
        <v/>
      </c>
    </row>
    <row r="2138" spans="1:10" ht="23.25" customHeight="1">
      <c r="A2138">
        <f>Table4[[#This Row],[Column1]]</f>
        <v>0</v>
      </c>
      <c r="B2138">
        <f>Table4[[#This Row],[Column2]]</f>
        <v>0</v>
      </c>
      <c r="I2138" s="13">
        <f>Table6[[#This Row],[discharge_date]]-Table6[[#This Row],[surgery_date]]</f>
        <v>0</v>
      </c>
      <c r="J2138" s="9" t="str">
        <f t="shared" si="52"/>
        <v/>
      </c>
    </row>
    <row r="2139" spans="1:10" ht="23.25" customHeight="1">
      <c r="A2139">
        <f>Table4[[#This Row],[Column1]]</f>
        <v>0</v>
      </c>
      <c r="B2139">
        <f>Table4[[#This Row],[Column2]]</f>
        <v>0</v>
      </c>
      <c r="I2139" s="13">
        <f>Table6[[#This Row],[discharge_date]]-Table6[[#This Row],[surgery_date]]</f>
        <v>0</v>
      </c>
      <c r="J2139" s="9" t="str">
        <f t="shared" si="52"/>
        <v/>
      </c>
    </row>
    <row r="2140" spans="1:10" ht="23.25" customHeight="1">
      <c r="A2140">
        <f>Table4[[#This Row],[Column1]]</f>
        <v>0</v>
      </c>
      <c r="B2140">
        <f>Table4[[#This Row],[Column2]]</f>
        <v>0</v>
      </c>
      <c r="I2140" s="13">
        <f>Table6[[#This Row],[discharge_date]]-Table6[[#This Row],[surgery_date]]</f>
        <v>0</v>
      </c>
      <c r="J2140" s="9" t="str">
        <f t="shared" si="52"/>
        <v/>
      </c>
    </row>
    <row r="2141" spans="1:10" ht="23.25" customHeight="1">
      <c r="A2141">
        <f>Table4[[#This Row],[Column1]]</f>
        <v>0</v>
      </c>
      <c r="B2141">
        <f>Table4[[#This Row],[Column2]]</f>
        <v>0</v>
      </c>
      <c r="I2141" s="13">
        <f>Table6[[#This Row],[discharge_date]]-Table6[[#This Row],[surgery_date]]</f>
        <v>0</v>
      </c>
      <c r="J2141" s="9" t="str">
        <f t="shared" si="52"/>
        <v/>
      </c>
    </row>
    <row r="2142" spans="1:10" ht="23.25" customHeight="1">
      <c r="A2142">
        <f>Table4[[#This Row],[Column1]]</f>
        <v>0</v>
      </c>
      <c r="B2142">
        <f>Table4[[#This Row],[Column2]]</f>
        <v>0</v>
      </c>
      <c r="I2142" s="13">
        <f>Table6[[#This Row],[discharge_date]]-Table6[[#This Row],[surgery_date]]</f>
        <v>0</v>
      </c>
      <c r="J2142" s="9" t="str">
        <f t="shared" si="52"/>
        <v/>
      </c>
    </row>
    <row r="2143" spans="1:10" ht="23.25" customHeight="1">
      <c r="A2143">
        <f>Table4[[#This Row],[Column1]]</f>
        <v>0</v>
      </c>
      <c r="B2143">
        <f>Table4[[#This Row],[Column2]]</f>
        <v>0</v>
      </c>
      <c r="I2143" s="13">
        <f>Table6[[#This Row],[discharge_date]]-Table6[[#This Row],[surgery_date]]</f>
        <v>0</v>
      </c>
      <c r="J2143" s="9" t="str">
        <f t="shared" si="52"/>
        <v/>
      </c>
    </row>
    <row r="2144" spans="1:10" ht="23.25" customHeight="1">
      <c r="A2144">
        <f>Table4[[#This Row],[Column1]]</f>
        <v>0</v>
      </c>
      <c r="B2144">
        <f>Table4[[#This Row],[Column2]]</f>
        <v>0</v>
      </c>
      <c r="I2144" s="13">
        <f>Table6[[#This Row],[discharge_date]]-Table6[[#This Row],[surgery_date]]</f>
        <v>0</v>
      </c>
      <c r="J2144" s="9" t="str">
        <f t="shared" si="52"/>
        <v/>
      </c>
    </row>
    <row r="2145" spans="1:10" ht="23.25" customHeight="1">
      <c r="A2145">
        <f>Table4[[#This Row],[Column1]]</f>
        <v>0</v>
      </c>
      <c r="B2145">
        <f>Table4[[#This Row],[Column2]]</f>
        <v>0</v>
      </c>
      <c r="I2145" s="13">
        <f>Table6[[#This Row],[discharge_date]]-Table6[[#This Row],[surgery_date]]</f>
        <v>0</v>
      </c>
      <c r="J2145" s="9" t="str">
        <f t="shared" si="52"/>
        <v/>
      </c>
    </row>
    <row r="2146" spans="1:10" ht="23.25" customHeight="1">
      <c r="A2146">
        <f>Table4[[#This Row],[Column1]]</f>
        <v>0</v>
      </c>
      <c r="B2146">
        <f>Table4[[#This Row],[Column2]]</f>
        <v>0</v>
      </c>
      <c r="I2146" s="13">
        <f>Table6[[#This Row],[discharge_date]]-Table6[[#This Row],[surgery_date]]</f>
        <v>0</v>
      </c>
      <c r="J2146" s="9" t="str">
        <f t="shared" si="52"/>
        <v/>
      </c>
    </row>
    <row r="2147" spans="1:10" ht="23.25" customHeight="1">
      <c r="A2147">
        <f>Table4[[#This Row],[Column1]]</f>
        <v>0</v>
      </c>
      <c r="B2147">
        <f>Table4[[#This Row],[Column2]]</f>
        <v>0</v>
      </c>
      <c r="I2147" s="13">
        <f>Table6[[#This Row],[discharge_date]]-Table6[[#This Row],[surgery_date]]</f>
        <v>0</v>
      </c>
      <c r="J2147" s="9" t="str">
        <f t="shared" si="52"/>
        <v/>
      </c>
    </row>
    <row r="2148" spans="1:10" ht="23.25" customHeight="1">
      <c r="A2148">
        <f>Table4[[#This Row],[Column1]]</f>
        <v>0</v>
      </c>
      <c r="B2148">
        <f>Table4[[#This Row],[Column2]]</f>
        <v>0</v>
      </c>
      <c r="I2148" s="13">
        <f>Table6[[#This Row],[discharge_date]]-Table6[[#This Row],[surgery_date]]</f>
        <v>0</v>
      </c>
      <c r="J2148" s="9" t="str">
        <f t="shared" si="52"/>
        <v/>
      </c>
    </row>
    <row r="2149" spans="1:10" ht="23.25" customHeight="1">
      <c r="A2149">
        <f>Table4[[#This Row],[Column1]]</f>
        <v>0</v>
      </c>
      <c r="B2149">
        <f>Table4[[#This Row],[Column2]]</f>
        <v>0</v>
      </c>
      <c r="I2149" s="13">
        <f>Table6[[#This Row],[discharge_date]]-Table6[[#This Row],[surgery_date]]</f>
        <v>0</v>
      </c>
      <c r="J2149" s="9" t="str">
        <f t="shared" si="52"/>
        <v/>
      </c>
    </row>
    <row r="2150" spans="1:10" ht="23.25" customHeight="1">
      <c r="A2150">
        <f>Table4[[#This Row],[Column1]]</f>
        <v>0</v>
      </c>
      <c r="B2150">
        <f>Table4[[#This Row],[Column2]]</f>
        <v>0</v>
      </c>
      <c r="I2150" s="13">
        <f>Table6[[#This Row],[discharge_date]]-Table6[[#This Row],[surgery_date]]</f>
        <v>0</v>
      </c>
      <c r="J2150" s="9" t="str">
        <f t="shared" si="52"/>
        <v/>
      </c>
    </row>
    <row r="2151" spans="1:10" ht="23.25" customHeight="1">
      <c r="A2151">
        <f>Table4[[#This Row],[Column1]]</f>
        <v>0</v>
      </c>
      <c r="B2151">
        <f>Table4[[#This Row],[Column2]]</f>
        <v>0</v>
      </c>
      <c r="I2151" s="13">
        <f>Table6[[#This Row],[discharge_date]]-Table6[[#This Row],[surgery_date]]</f>
        <v>0</v>
      </c>
      <c r="J2151" s="9" t="str">
        <f t="shared" si="52"/>
        <v/>
      </c>
    </row>
    <row r="2152" spans="1:10" ht="23.25" customHeight="1">
      <c r="A2152">
        <f>Table4[[#This Row],[Column1]]</f>
        <v>0</v>
      </c>
      <c r="B2152">
        <f>Table4[[#This Row],[Column2]]</f>
        <v>0</v>
      </c>
      <c r="I2152" s="13">
        <f>Table6[[#This Row],[discharge_date]]-Table6[[#This Row],[surgery_date]]</f>
        <v>0</v>
      </c>
      <c r="J2152" s="9" t="str">
        <f t="shared" si="52"/>
        <v/>
      </c>
    </row>
    <row r="2153" spans="1:10" ht="23.25" customHeight="1">
      <c r="A2153">
        <f>Table4[[#This Row],[Column1]]</f>
        <v>0</v>
      </c>
      <c r="B2153">
        <f>Table4[[#This Row],[Column2]]</f>
        <v>0</v>
      </c>
      <c r="I2153" s="13">
        <f>Table6[[#This Row],[discharge_date]]-Table6[[#This Row],[surgery_date]]</f>
        <v>0</v>
      </c>
      <c r="J2153" s="9" t="str">
        <f t="shared" si="52"/>
        <v/>
      </c>
    </row>
    <row r="2154" spans="1:10" ht="23.25" customHeight="1">
      <c r="A2154">
        <f>Table4[[#This Row],[Column1]]</f>
        <v>0</v>
      </c>
      <c r="B2154">
        <f>Table4[[#This Row],[Column2]]</f>
        <v>0</v>
      </c>
      <c r="I2154" s="13">
        <f>Table6[[#This Row],[discharge_date]]-Table6[[#This Row],[surgery_date]]</f>
        <v>0</v>
      </c>
      <c r="J2154" s="9" t="str">
        <f t="shared" si="52"/>
        <v/>
      </c>
    </row>
    <row r="2155" spans="1:10" ht="23.25" customHeight="1">
      <c r="A2155">
        <f>Table4[[#This Row],[Column1]]</f>
        <v>0</v>
      </c>
      <c r="B2155">
        <f>Table4[[#This Row],[Column2]]</f>
        <v>0</v>
      </c>
      <c r="I2155" s="13">
        <f>Table6[[#This Row],[discharge_date]]-Table6[[#This Row],[surgery_date]]</f>
        <v>0</v>
      </c>
      <c r="J2155" s="9" t="str">
        <f t="shared" si="52"/>
        <v/>
      </c>
    </row>
    <row r="2156" spans="1:10" ht="23.25" customHeight="1">
      <c r="A2156">
        <f>Table4[[#This Row],[Column1]]</f>
        <v>0</v>
      </c>
      <c r="B2156">
        <f>Table4[[#This Row],[Column2]]</f>
        <v>0</v>
      </c>
      <c r="I2156" s="13">
        <f>Table6[[#This Row],[discharge_date]]-Table6[[#This Row],[surgery_date]]</f>
        <v>0</v>
      </c>
      <c r="J2156" s="9" t="str">
        <f t="shared" si="52"/>
        <v/>
      </c>
    </row>
    <row r="2157" spans="1:10" ht="23.25" customHeight="1">
      <c r="A2157">
        <f>Table4[[#This Row],[Column1]]</f>
        <v>0</v>
      </c>
      <c r="B2157">
        <f>Table4[[#This Row],[Column2]]</f>
        <v>0</v>
      </c>
      <c r="I2157" s="13">
        <f>Table6[[#This Row],[discharge_date]]-Table6[[#This Row],[surgery_date]]</f>
        <v>0</v>
      </c>
      <c r="J2157" s="9" t="str">
        <f t="shared" si="52"/>
        <v/>
      </c>
    </row>
    <row r="2158" spans="1:10" ht="23.25" customHeight="1">
      <c r="A2158">
        <f>Table4[[#This Row],[Column1]]</f>
        <v>0</v>
      </c>
      <c r="B2158">
        <f>Table4[[#This Row],[Column2]]</f>
        <v>0</v>
      </c>
      <c r="I2158" s="13">
        <f>Table6[[#This Row],[discharge_date]]-Table6[[#This Row],[surgery_date]]</f>
        <v>0</v>
      </c>
      <c r="J2158" s="9" t="str">
        <f t="shared" si="52"/>
        <v/>
      </c>
    </row>
    <row r="2159" spans="1:10" ht="23.25" customHeight="1">
      <c r="A2159">
        <f>Table4[[#This Row],[Column1]]</f>
        <v>0</v>
      </c>
      <c r="B2159">
        <f>Table4[[#This Row],[Column2]]</f>
        <v>0</v>
      </c>
      <c r="I2159" s="13">
        <f>Table6[[#This Row],[discharge_date]]-Table6[[#This Row],[surgery_date]]</f>
        <v>0</v>
      </c>
      <c r="J2159" s="9" t="str">
        <f t="shared" si="52"/>
        <v/>
      </c>
    </row>
    <row r="2160" spans="1:10" ht="23.25" customHeight="1">
      <c r="A2160">
        <f>Table4[[#This Row],[Column1]]</f>
        <v>0</v>
      </c>
      <c r="B2160">
        <f>Table4[[#This Row],[Column2]]</f>
        <v>0</v>
      </c>
      <c r="I2160" s="13">
        <f>Table6[[#This Row],[discharge_date]]-Table6[[#This Row],[surgery_date]]</f>
        <v>0</v>
      </c>
      <c r="J2160" s="9" t="str">
        <f t="shared" si="52"/>
        <v/>
      </c>
    </row>
    <row r="2161" spans="1:10" ht="23.25" customHeight="1">
      <c r="A2161">
        <f>Table4[[#This Row],[Column1]]</f>
        <v>0</v>
      </c>
      <c r="B2161">
        <f>Table4[[#This Row],[Column2]]</f>
        <v>0</v>
      </c>
      <c r="I2161" s="13">
        <f>Table6[[#This Row],[discharge_date]]-Table6[[#This Row],[surgery_date]]</f>
        <v>0</v>
      </c>
      <c r="J2161" s="9" t="str">
        <f t="shared" si="52"/>
        <v/>
      </c>
    </row>
    <row r="2162" spans="1:10" ht="23.25" customHeight="1">
      <c r="A2162">
        <f>Table4[[#This Row],[Column1]]</f>
        <v>0</v>
      </c>
      <c r="B2162">
        <f>Table4[[#This Row],[Column2]]</f>
        <v>0</v>
      </c>
      <c r="I2162" s="13">
        <f>Table6[[#This Row],[discharge_date]]-Table6[[#This Row],[surgery_date]]</f>
        <v>0</v>
      </c>
      <c r="J2162" s="9" t="str">
        <f t="shared" si="52"/>
        <v/>
      </c>
    </row>
    <row r="2163" spans="1:10" ht="23.25" customHeight="1">
      <c r="A2163">
        <f>Table4[[#This Row],[Column1]]</f>
        <v>0</v>
      </c>
      <c r="B2163">
        <f>Table4[[#This Row],[Column2]]</f>
        <v>0</v>
      </c>
      <c r="I2163" s="13">
        <f>Table6[[#This Row],[discharge_date]]-Table6[[#This Row],[surgery_date]]</f>
        <v>0</v>
      </c>
      <c r="J2163" s="9" t="str">
        <f t="shared" si="52"/>
        <v/>
      </c>
    </row>
    <row r="2164" spans="1:10" ht="23.25" customHeight="1">
      <c r="A2164">
        <f>Table4[[#This Row],[Column1]]</f>
        <v>0</v>
      </c>
      <c r="B2164">
        <f>Table4[[#This Row],[Column2]]</f>
        <v>0</v>
      </c>
      <c r="I2164" s="13">
        <f>Table6[[#This Row],[discharge_date]]-Table6[[#This Row],[surgery_date]]</f>
        <v>0</v>
      </c>
      <c r="J2164" s="9" t="str">
        <f t="shared" si="52"/>
        <v/>
      </c>
    </row>
    <row r="2165" spans="1:10" ht="23.25" customHeight="1">
      <c r="A2165">
        <f>Table4[[#This Row],[Column1]]</f>
        <v>0</v>
      </c>
      <c r="B2165">
        <f>Table4[[#This Row],[Column2]]</f>
        <v>0</v>
      </c>
      <c r="I2165" s="13">
        <f>Table6[[#This Row],[discharge_date]]-Table6[[#This Row],[surgery_date]]</f>
        <v>0</v>
      </c>
      <c r="J2165" s="9" t="str">
        <f t="shared" si="52"/>
        <v/>
      </c>
    </row>
    <row r="2166" spans="1:10" ht="23.25" customHeight="1">
      <c r="A2166">
        <f>Table4[[#This Row],[Column1]]</f>
        <v>0</v>
      </c>
      <c r="B2166">
        <f>Table4[[#This Row],[Column2]]</f>
        <v>0</v>
      </c>
      <c r="I2166" s="13">
        <f>Table6[[#This Row],[discharge_date]]-Table6[[#This Row],[surgery_date]]</f>
        <v>0</v>
      </c>
      <c r="J2166" s="9" t="str">
        <f t="shared" si="52"/>
        <v/>
      </c>
    </row>
    <row r="2167" spans="1:10" ht="23.25" customHeight="1">
      <c r="A2167">
        <f>Table4[[#This Row],[Column1]]</f>
        <v>0</v>
      </c>
      <c r="B2167">
        <f>Table4[[#This Row],[Column2]]</f>
        <v>0</v>
      </c>
      <c r="I2167" s="13">
        <f>Table6[[#This Row],[discharge_date]]-Table6[[#This Row],[surgery_date]]</f>
        <v>0</v>
      </c>
      <c r="J2167" s="9" t="str">
        <f t="shared" si="52"/>
        <v/>
      </c>
    </row>
    <row r="2168" spans="1:10" ht="23.25" customHeight="1">
      <c r="A2168">
        <f>Table4[[#This Row],[Column1]]</f>
        <v>0</v>
      </c>
      <c r="B2168">
        <f>Table4[[#This Row],[Column2]]</f>
        <v>0</v>
      </c>
      <c r="I2168" s="13">
        <f>Table6[[#This Row],[discharge_date]]-Table6[[#This Row],[surgery_date]]</f>
        <v>0</v>
      </c>
      <c r="J2168" s="9" t="str">
        <f t="shared" si="52"/>
        <v/>
      </c>
    </row>
    <row r="2169" spans="1:10" ht="23.25" customHeight="1">
      <c r="A2169">
        <f>Table4[[#This Row],[Column1]]</f>
        <v>0</v>
      </c>
      <c r="B2169">
        <f>Table4[[#This Row],[Column2]]</f>
        <v>0</v>
      </c>
      <c r="I2169" s="13">
        <f>Table6[[#This Row],[discharge_date]]-Table6[[#This Row],[surgery_date]]</f>
        <v>0</v>
      </c>
      <c r="J2169" s="9" t="str">
        <f t="shared" si="52"/>
        <v/>
      </c>
    </row>
    <row r="2170" spans="1:10" ht="23.25" customHeight="1">
      <c r="A2170">
        <f>Table4[[#This Row],[Column1]]</f>
        <v>0</v>
      </c>
      <c r="B2170">
        <f>Table4[[#This Row],[Column2]]</f>
        <v>0</v>
      </c>
      <c r="I2170" s="13">
        <f>Table6[[#This Row],[discharge_date]]-Table6[[#This Row],[surgery_date]]</f>
        <v>0</v>
      </c>
      <c r="J2170" s="9" t="str">
        <f t="shared" si="52"/>
        <v/>
      </c>
    </row>
    <row r="2171" spans="1:10" ht="23.25" customHeight="1">
      <c r="A2171">
        <f>Table4[[#This Row],[Column1]]</f>
        <v>0</v>
      </c>
      <c r="B2171">
        <f>Table4[[#This Row],[Column2]]</f>
        <v>0</v>
      </c>
      <c r="I2171" s="13">
        <f>Table6[[#This Row],[discharge_date]]-Table6[[#This Row],[surgery_date]]</f>
        <v>0</v>
      </c>
      <c r="J2171" s="9" t="str">
        <f t="shared" si="52"/>
        <v/>
      </c>
    </row>
    <row r="2172" spans="1:10" ht="23.25" customHeight="1">
      <c r="A2172">
        <f>Table4[[#This Row],[Column1]]</f>
        <v>0</v>
      </c>
      <c r="B2172">
        <f>Table4[[#This Row],[Column2]]</f>
        <v>0</v>
      </c>
      <c r="I2172" s="13">
        <f>Table6[[#This Row],[discharge_date]]-Table6[[#This Row],[surgery_date]]</f>
        <v>0</v>
      </c>
      <c r="J2172" s="9" t="str">
        <f t="shared" si="52"/>
        <v/>
      </c>
    </row>
    <row r="2173" spans="1:10" ht="23.25" customHeight="1">
      <c r="A2173">
        <f>Table4[[#This Row],[Column1]]</f>
        <v>0</v>
      </c>
      <c r="B2173">
        <f>Table4[[#This Row],[Column2]]</f>
        <v>0</v>
      </c>
      <c r="I2173" s="13">
        <f>Table6[[#This Row],[discharge_date]]-Table6[[#This Row],[surgery_date]]</f>
        <v>0</v>
      </c>
      <c r="J2173" s="9" t="str">
        <f t="shared" si="52"/>
        <v/>
      </c>
    </row>
    <row r="2174" spans="1:10" ht="23.25" customHeight="1">
      <c r="A2174">
        <f>Table4[[#This Row],[Column1]]</f>
        <v>0</v>
      </c>
      <c r="B2174">
        <f>Table4[[#This Row],[Column2]]</f>
        <v>0</v>
      </c>
      <c r="I2174" s="13">
        <f>Table6[[#This Row],[discharge_date]]-Table6[[#This Row],[surgery_date]]</f>
        <v>0</v>
      </c>
      <c r="J2174" s="9" t="str">
        <f t="shared" si="52"/>
        <v/>
      </c>
    </row>
    <row r="2175" spans="1:10" ht="23.25" customHeight="1">
      <c r="A2175">
        <f>Table4[[#This Row],[Column1]]</f>
        <v>0</v>
      </c>
      <c r="B2175">
        <f>Table4[[#This Row],[Column2]]</f>
        <v>0</v>
      </c>
      <c r="I2175" s="13">
        <f>Table6[[#This Row],[discharge_date]]-Table6[[#This Row],[surgery_date]]</f>
        <v>0</v>
      </c>
      <c r="J2175" s="9" t="str">
        <f t="shared" si="52"/>
        <v/>
      </c>
    </row>
    <row r="2176" spans="1:10" ht="23.25" customHeight="1">
      <c r="A2176">
        <f>Table4[[#This Row],[Column1]]</f>
        <v>0</v>
      </c>
      <c r="B2176">
        <f>Table4[[#This Row],[Column2]]</f>
        <v>0</v>
      </c>
      <c r="I2176" s="13">
        <f>Table6[[#This Row],[discharge_date]]-Table6[[#This Row],[surgery_date]]</f>
        <v>0</v>
      </c>
      <c r="J2176" s="9" t="str">
        <f t="shared" si="52"/>
        <v/>
      </c>
    </row>
    <row r="2177" spans="1:10" ht="23.25" customHeight="1">
      <c r="A2177">
        <f>Table4[[#This Row],[Column1]]</f>
        <v>0</v>
      </c>
      <c r="B2177">
        <f>Table4[[#This Row],[Column2]]</f>
        <v>0</v>
      </c>
      <c r="I2177" s="13">
        <f>Table6[[#This Row],[discharge_date]]-Table6[[#This Row],[surgery_date]]</f>
        <v>0</v>
      </c>
      <c r="J2177" s="9" t="str">
        <f t="shared" si="52"/>
        <v/>
      </c>
    </row>
    <row r="2178" spans="1:10" ht="23.25" customHeight="1">
      <c r="A2178">
        <f>Table4[[#This Row],[Column1]]</f>
        <v>0</v>
      </c>
      <c r="B2178">
        <f>Table4[[#This Row],[Column2]]</f>
        <v>0</v>
      </c>
      <c r="I2178" s="13">
        <f>Table6[[#This Row],[discharge_date]]-Table6[[#This Row],[surgery_date]]</f>
        <v>0</v>
      </c>
      <c r="J2178" s="9" t="str">
        <f t="shared" ref="J2178:J2241" si="53">IF( H2178&lt;&gt;"", H2178+30,"")</f>
        <v/>
      </c>
    </row>
    <row r="2179" spans="1:10" ht="23.25" customHeight="1">
      <c r="A2179">
        <f>Table4[[#This Row],[Column1]]</f>
        <v>0</v>
      </c>
      <c r="B2179">
        <f>Table4[[#This Row],[Column2]]</f>
        <v>0</v>
      </c>
      <c r="I2179" s="13">
        <f>Table6[[#This Row],[discharge_date]]-Table6[[#This Row],[surgery_date]]</f>
        <v>0</v>
      </c>
      <c r="J2179" s="9" t="str">
        <f t="shared" si="53"/>
        <v/>
      </c>
    </row>
    <row r="2180" spans="1:10" ht="23.25" customHeight="1">
      <c r="A2180">
        <f>Table4[[#This Row],[Column1]]</f>
        <v>0</v>
      </c>
      <c r="B2180">
        <f>Table4[[#This Row],[Column2]]</f>
        <v>0</v>
      </c>
      <c r="I2180" s="13">
        <f>Table6[[#This Row],[discharge_date]]-Table6[[#This Row],[surgery_date]]</f>
        <v>0</v>
      </c>
      <c r="J2180" s="9" t="str">
        <f t="shared" si="53"/>
        <v/>
      </c>
    </row>
    <row r="2181" spans="1:10" ht="23.25" customHeight="1">
      <c r="A2181">
        <f>Table4[[#This Row],[Column1]]</f>
        <v>0</v>
      </c>
      <c r="B2181">
        <f>Table4[[#This Row],[Column2]]</f>
        <v>0</v>
      </c>
      <c r="I2181" s="13">
        <f>Table6[[#This Row],[discharge_date]]-Table6[[#This Row],[surgery_date]]</f>
        <v>0</v>
      </c>
      <c r="J2181" s="9" t="str">
        <f t="shared" si="53"/>
        <v/>
      </c>
    </row>
    <row r="2182" spans="1:10" ht="23.25" customHeight="1">
      <c r="A2182">
        <f>Table4[[#This Row],[Column1]]</f>
        <v>0</v>
      </c>
      <c r="B2182">
        <f>Table4[[#This Row],[Column2]]</f>
        <v>0</v>
      </c>
      <c r="I2182" s="13">
        <f>Table6[[#This Row],[discharge_date]]-Table6[[#This Row],[surgery_date]]</f>
        <v>0</v>
      </c>
      <c r="J2182" s="9" t="str">
        <f t="shared" si="53"/>
        <v/>
      </c>
    </row>
    <row r="2183" spans="1:10" ht="23.25" customHeight="1">
      <c r="A2183">
        <f>Table4[[#This Row],[Column1]]</f>
        <v>0</v>
      </c>
      <c r="B2183">
        <f>Table4[[#This Row],[Column2]]</f>
        <v>0</v>
      </c>
      <c r="I2183" s="13">
        <f>Table6[[#This Row],[discharge_date]]-Table6[[#This Row],[surgery_date]]</f>
        <v>0</v>
      </c>
      <c r="J2183" s="9" t="str">
        <f t="shared" si="53"/>
        <v/>
      </c>
    </row>
    <row r="2184" spans="1:10" ht="23.25" customHeight="1">
      <c r="A2184">
        <f>Table4[[#This Row],[Column1]]</f>
        <v>0</v>
      </c>
      <c r="B2184">
        <f>Table4[[#This Row],[Column2]]</f>
        <v>0</v>
      </c>
      <c r="I2184" s="13">
        <f>Table6[[#This Row],[discharge_date]]-Table6[[#This Row],[surgery_date]]</f>
        <v>0</v>
      </c>
      <c r="J2184" s="9" t="str">
        <f t="shared" si="53"/>
        <v/>
      </c>
    </row>
    <row r="2185" spans="1:10" ht="23.25" customHeight="1">
      <c r="A2185">
        <f>Table4[[#This Row],[Column1]]</f>
        <v>0</v>
      </c>
      <c r="B2185">
        <f>Table4[[#This Row],[Column2]]</f>
        <v>0</v>
      </c>
      <c r="I2185" s="13">
        <f>Table6[[#This Row],[discharge_date]]-Table6[[#This Row],[surgery_date]]</f>
        <v>0</v>
      </c>
      <c r="J2185" s="9" t="str">
        <f t="shared" si="53"/>
        <v/>
      </c>
    </row>
    <row r="2186" spans="1:10" ht="23.25" customHeight="1">
      <c r="A2186">
        <f>Table4[[#This Row],[Column1]]</f>
        <v>0</v>
      </c>
      <c r="B2186">
        <f>Table4[[#This Row],[Column2]]</f>
        <v>0</v>
      </c>
      <c r="I2186" s="13">
        <f>Table6[[#This Row],[discharge_date]]-Table6[[#This Row],[surgery_date]]</f>
        <v>0</v>
      </c>
      <c r="J2186" s="9" t="str">
        <f t="shared" si="53"/>
        <v/>
      </c>
    </row>
    <row r="2187" spans="1:10" ht="23.25" customHeight="1">
      <c r="A2187">
        <f>Table4[[#This Row],[Column1]]</f>
        <v>0</v>
      </c>
      <c r="B2187">
        <f>Table4[[#This Row],[Column2]]</f>
        <v>0</v>
      </c>
      <c r="I2187" s="13">
        <f>Table6[[#This Row],[discharge_date]]-Table6[[#This Row],[surgery_date]]</f>
        <v>0</v>
      </c>
      <c r="J2187" s="9" t="str">
        <f t="shared" si="53"/>
        <v/>
      </c>
    </row>
    <row r="2188" spans="1:10" ht="23.25" customHeight="1">
      <c r="A2188">
        <f>Table4[[#This Row],[Column1]]</f>
        <v>0</v>
      </c>
      <c r="B2188">
        <f>Table4[[#This Row],[Column2]]</f>
        <v>0</v>
      </c>
      <c r="I2188" s="13">
        <f>Table6[[#This Row],[discharge_date]]-Table6[[#This Row],[surgery_date]]</f>
        <v>0</v>
      </c>
      <c r="J2188" s="9" t="str">
        <f t="shared" si="53"/>
        <v/>
      </c>
    </row>
    <row r="2189" spans="1:10" ht="23.25" customHeight="1">
      <c r="A2189">
        <f>Table4[[#This Row],[Column1]]</f>
        <v>0</v>
      </c>
      <c r="B2189">
        <f>Table4[[#This Row],[Column2]]</f>
        <v>0</v>
      </c>
      <c r="I2189" s="13">
        <f>Table6[[#This Row],[discharge_date]]-Table6[[#This Row],[surgery_date]]</f>
        <v>0</v>
      </c>
      <c r="J2189" s="9" t="str">
        <f t="shared" si="53"/>
        <v/>
      </c>
    </row>
    <row r="2190" spans="1:10" ht="23.25" customHeight="1">
      <c r="A2190">
        <f>Table4[[#This Row],[Column1]]</f>
        <v>0</v>
      </c>
      <c r="B2190">
        <f>Table4[[#This Row],[Column2]]</f>
        <v>0</v>
      </c>
      <c r="I2190" s="13">
        <f>Table6[[#This Row],[discharge_date]]-Table6[[#This Row],[surgery_date]]</f>
        <v>0</v>
      </c>
      <c r="J2190" s="9" t="str">
        <f t="shared" si="53"/>
        <v/>
      </c>
    </row>
    <row r="2191" spans="1:10" ht="23.25" customHeight="1">
      <c r="A2191">
        <f>Table4[[#This Row],[Column1]]</f>
        <v>0</v>
      </c>
      <c r="B2191">
        <f>Table4[[#This Row],[Column2]]</f>
        <v>0</v>
      </c>
      <c r="I2191" s="13">
        <f>Table6[[#This Row],[discharge_date]]-Table6[[#This Row],[surgery_date]]</f>
        <v>0</v>
      </c>
      <c r="J2191" s="9" t="str">
        <f t="shared" si="53"/>
        <v/>
      </c>
    </row>
    <row r="2192" spans="1:10" ht="23.25" customHeight="1">
      <c r="A2192">
        <f>Table4[[#This Row],[Column1]]</f>
        <v>0</v>
      </c>
      <c r="B2192">
        <f>Table4[[#This Row],[Column2]]</f>
        <v>0</v>
      </c>
      <c r="I2192" s="13">
        <f>Table6[[#This Row],[discharge_date]]-Table6[[#This Row],[surgery_date]]</f>
        <v>0</v>
      </c>
      <c r="J2192" s="9" t="str">
        <f t="shared" si="53"/>
        <v/>
      </c>
    </row>
    <row r="2193" spans="1:10" ht="23.25" customHeight="1">
      <c r="A2193">
        <f>Table4[[#This Row],[Column1]]</f>
        <v>0</v>
      </c>
      <c r="B2193">
        <f>Table4[[#This Row],[Column2]]</f>
        <v>0</v>
      </c>
      <c r="I2193" s="13">
        <f>Table6[[#This Row],[discharge_date]]-Table6[[#This Row],[surgery_date]]</f>
        <v>0</v>
      </c>
      <c r="J2193" s="9" t="str">
        <f t="shared" si="53"/>
        <v/>
      </c>
    </row>
    <row r="2194" spans="1:10" ht="23.25" customHeight="1">
      <c r="A2194">
        <f>Table4[[#This Row],[Column1]]</f>
        <v>0</v>
      </c>
      <c r="B2194">
        <f>Table4[[#This Row],[Column2]]</f>
        <v>0</v>
      </c>
      <c r="I2194" s="13">
        <f>Table6[[#This Row],[discharge_date]]-Table6[[#This Row],[surgery_date]]</f>
        <v>0</v>
      </c>
      <c r="J2194" s="9" t="str">
        <f t="shared" si="53"/>
        <v/>
      </c>
    </row>
    <row r="2195" spans="1:10" ht="23.25" customHeight="1">
      <c r="A2195">
        <f>Table4[[#This Row],[Column1]]</f>
        <v>0</v>
      </c>
      <c r="B2195">
        <f>Table4[[#This Row],[Column2]]</f>
        <v>0</v>
      </c>
      <c r="I2195" s="13">
        <f>Table6[[#This Row],[discharge_date]]-Table6[[#This Row],[surgery_date]]</f>
        <v>0</v>
      </c>
      <c r="J2195" s="9" t="str">
        <f t="shared" si="53"/>
        <v/>
      </c>
    </row>
    <row r="2196" spans="1:10" ht="23.25" customHeight="1">
      <c r="A2196">
        <f>Table4[[#This Row],[Column1]]</f>
        <v>0</v>
      </c>
      <c r="B2196">
        <f>Table4[[#This Row],[Column2]]</f>
        <v>0</v>
      </c>
      <c r="I2196" s="13">
        <f>Table6[[#This Row],[discharge_date]]-Table6[[#This Row],[surgery_date]]</f>
        <v>0</v>
      </c>
      <c r="J2196" s="9" t="str">
        <f t="shared" si="53"/>
        <v/>
      </c>
    </row>
    <row r="2197" spans="1:10" ht="23.25" customHeight="1">
      <c r="A2197">
        <f>Table4[[#This Row],[Column1]]</f>
        <v>0</v>
      </c>
      <c r="B2197">
        <f>Table4[[#This Row],[Column2]]</f>
        <v>0</v>
      </c>
      <c r="I2197" s="13">
        <f>Table6[[#This Row],[discharge_date]]-Table6[[#This Row],[surgery_date]]</f>
        <v>0</v>
      </c>
      <c r="J2197" s="9" t="str">
        <f t="shared" si="53"/>
        <v/>
      </c>
    </row>
    <row r="2198" spans="1:10" ht="23.25" customHeight="1">
      <c r="A2198">
        <f>Table4[[#This Row],[Column1]]</f>
        <v>0</v>
      </c>
      <c r="B2198">
        <f>Table4[[#This Row],[Column2]]</f>
        <v>0</v>
      </c>
      <c r="I2198" s="13">
        <f>Table6[[#This Row],[discharge_date]]-Table6[[#This Row],[surgery_date]]</f>
        <v>0</v>
      </c>
      <c r="J2198" s="9" t="str">
        <f t="shared" si="53"/>
        <v/>
      </c>
    </row>
    <row r="2199" spans="1:10" ht="23.25" customHeight="1">
      <c r="A2199">
        <f>Table4[[#This Row],[Column1]]</f>
        <v>0</v>
      </c>
      <c r="B2199">
        <f>Table4[[#This Row],[Column2]]</f>
        <v>0</v>
      </c>
      <c r="I2199" s="13">
        <f>Table6[[#This Row],[discharge_date]]-Table6[[#This Row],[surgery_date]]</f>
        <v>0</v>
      </c>
      <c r="J2199" s="9" t="str">
        <f t="shared" si="53"/>
        <v/>
      </c>
    </row>
    <row r="2200" spans="1:10" ht="23.25" customHeight="1">
      <c r="A2200">
        <f>Table4[[#This Row],[Column1]]</f>
        <v>0</v>
      </c>
      <c r="B2200">
        <f>Table4[[#This Row],[Column2]]</f>
        <v>0</v>
      </c>
      <c r="I2200" s="13">
        <f>Table6[[#This Row],[discharge_date]]-Table6[[#This Row],[surgery_date]]</f>
        <v>0</v>
      </c>
      <c r="J2200" s="9" t="str">
        <f t="shared" si="53"/>
        <v/>
      </c>
    </row>
    <row r="2201" spans="1:10" ht="23.25" customHeight="1">
      <c r="A2201">
        <f>Table4[[#This Row],[Column1]]</f>
        <v>0</v>
      </c>
      <c r="B2201">
        <f>Table4[[#This Row],[Column2]]</f>
        <v>0</v>
      </c>
      <c r="I2201" s="13">
        <f>Table6[[#This Row],[discharge_date]]-Table6[[#This Row],[surgery_date]]</f>
        <v>0</v>
      </c>
      <c r="J2201" s="9" t="str">
        <f t="shared" si="53"/>
        <v/>
      </c>
    </row>
    <row r="2202" spans="1:10" ht="23.25" customHeight="1">
      <c r="A2202">
        <f>Table4[[#This Row],[Column1]]</f>
        <v>0</v>
      </c>
      <c r="B2202">
        <f>Table4[[#This Row],[Column2]]</f>
        <v>0</v>
      </c>
      <c r="I2202" s="13">
        <f>Table6[[#This Row],[discharge_date]]-Table6[[#This Row],[surgery_date]]</f>
        <v>0</v>
      </c>
      <c r="J2202" s="9" t="str">
        <f t="shared" si="53"/>
        <v/>
      </c>
    </row>
    <row r="2203" spans="1:10" ht="23.25" customHeight="1">
      <c r="A2203">
        <f>Table4[[#This Row],[Column1]]</f>
        <v>0</v>
      </c>
      <c r="B2203">
        <f>Table4[[#This Row],[Column2]]</f>
        <v>0</v>
      </c>
      <c r="I2203" s="13">
        <f>Table6[[#This Row],[discharge_date]]-Table6[[#This Row],[surgery_date]]</f>
        <v>0</v>
      </c>
      <c r="J2203" s="9" t="str">
        <f t="shared" si="53"/>
        <v/>
      </c>
    </row>
    <row r="2204" spans="1:10" ht="23.25" customHeight="1">
      <c r="A2204">
        <f>Table4[[#This Row],[Column1]]</f>
        <v>0</v>
      </c>
      <c r="B2204">
        <f>Table4[[#This Row],[Column2]]</f>
        <v>0</v>
      </c>
      <c r="I2204" s="13">
        <f>Table6[[#This Row],[discharge_date]]-Table6[[#This Row],[surgery_date]]</f>
        <v>0</v>
      </c>
      <c r="J2204" s="9" t="str">
        <f t="shared" si="53"/>
        <v/>
      </c>
    </row>
    <row r="2205" spans="1:10" ht="23.25" customHeight="1">
      <c r="A2205">
        <f>Table4[[#This Row],[Column1]]</f>
        <v>0</v>
      </c>
      <c r="B2205">
        <f>Table4[[#This Row],[Column2]]</f>
        <v>0</v>
      </c>
      <c r="I2205" s="13">
        <f>Table6[[#This Row],[discharge_date]]-Table6[[#This Row],[surgery_date]]</f>
        <v>0</v>
      </c>
      <c r="J2205" s="9" t="str">
        <f t="shared" si="53"/>
        <v/>
      </c>
    </row>
    <row r="2206" spans="1:10" ht="23.25" customHeight="1">
      <c r="A2206">
        <f>Table4[[#This Row],[Column1]]</f>
        <v>0</v>
      </c>
      <c r="B2206">
        <f>Table4[[#This Row],[Column2]]</f>
        <v>0</v>
      </c>
      <c r="I2206" s="13">
        <f>Table6[[#This Row],[discharge_date]]-Table6[[#This Row],[surgery_date]]</f>
        <v>0</v>
      </c>
      <c r="J2206" s="9" t="str">
        <f t="shared" si="53"/>
        <v/>
      </c>
    </row>
    <row r="2207" spans="1:10" ht="23.25" customHeight="1">
      <c r="A2207">
        <f>Table4[[#This Row],[Column1]]</f>
        <v>0</v>
      </c>
      <c r="B2207">
        <f>Table4[[#This Row],[Column2]]</f>
        <v>0</v>
      </c>
      <c r="I2207" s="13">
        <f>Table6[[#This Row],[discharge_date]]-Table6[[#This Row],[surgery_date]]</f>
        <v>0</v>
      </c>
      <c r="J2207" s="9" t="str">
        <f t="shared" si="53"/>
        <v/>
      </c>
    </row>
    <row r="2208" spans="1:10" ht="23.25" customHeight="1">
      <c r="A2208">
        <f>Table4[[#This Row],[Column1]]</f>
        <v>0</v>
      </c>
      <c r="B2208">
        <f>Table4[[#This Row],[Column2]]</f>
        <v>0</v>
      </c>
      <c r="I2208" s="13">
        <f>Table6[[#This Row],[discharge_date]]-Table6[[#This Row],[surgery_date]]</f>
        <v>0</v>
      </c>
      <c r="J2208" s="9" t="str">
        <f t="shared" si="53"/>
        <v/>
      </c>
    </row>
    <row r="2209" spans="1:10" ht="23.25" customHeight="1">
      <c r="A2209">
        <f>Table4[[#This Row],[Column1]]</f>
        <v>0</v>
      </c>
      <c r="B2209">
        <f>Table4[[#This Row],[Column2]]</f>
        <v>0</v>
      </c>
      <c r="I2209" s="13">
        <f>Table6[[#This Row],[discharge_date]]-Table6[[#This Row],[surgery_date]]</f>
        <v>0</v>
      </c>
      <c r="J2209" s="9" t="str">
        <f t="shared" si="53"/>
        <v/>
      </c>
    </row>
    <row r="2210" spans="1:10" ht="23.25" customHeight="1">
      <c r="A2210">
        <f>Table4[[#This Row],[Column1]]</f>
        <v>0</v>
      </c>
      <c r="B2210">
        <f>Table4[[#This Row],[Column2]]</f>
        <v>0</v>
      </c>
      <c r="I2210" s="13">
        <f>Table6[[#This Row],[discharge_date]]-Table6[[#This Row],[surgery_date]]</f>
        <v>0</v>
      </c>
      <c r="J2210" s="9" t="str">
        <f t="shared" si="53"/>
        <v/>
      </c>
    </row>
    <row r="2211" spans="1:10" ht="23.25" customHeight="1">
      <c r="A2211">
        <f>Table4[[#This Row],[Column1]]</f>
        <v>0</v>
      </c>
      <c r="B2211">
        <f>Table4[[#This Row],[Column2]]</f>
        <v>0</v>
      </c>
      <c r="I2211" s="13">
        <f>Table6[[#This Row],[discharge_date]]-Table6[[#This Row],[surgery_date]]</f>
        <v>0</v>
      </c>
      <c r="J2211" s="9" t="str">
        <f t="shared" si="53"/>
        <v/>
      </c>
    </row>
    <row r="2212" spans="1:10" ht="23.25" customHeight="1">
      <c r="A2212">
        <f>Table4[[#This Row],[Column1]]</f>
        <v>0</v>
      </c>
      <c r="B2212">
        <f>Table4[[#This Row],[Column2]]</f>
        <v>0</v>
      </c>
      <c r="I2212" s="13">
        <f>Table6[[#This Row],[discharge_date]]-Table6[[#This Row],[surgery_date]]</f>
        <v>0</v>
      </c>
      <c r="J2212" s="9" t="str">
        <f t="shared" si="53"/>
        <v/>
      </c>
    </row>
    <row r="2213" spans="1:10" ht="23.25" customHeight="1">
      <c r="A2213">
        <f>Table4[[#This Row],[Column1]]</f>
        <v>0</v>
      </c>
      <c r="B2213">
        <f>Table4[[#This Row],[Column2]]</f>
        <v>0</v>
      </c>
      <c r="I2213" s="13">
        <f>Table6[[#This Row],[discharge_date]]-Table6[[#This Row],[surgery_date]]</f>
        <v>0</v>
      </c>
      <c r="J2213" s="9" t="str">
        <f t="shared" si="53"/>
        <v/>
      </c>
    </row>
    <row r="2214" spans="1:10" ht="23.25" customHeight="1">
      <c r="A2214">
        <f>Table4[[#This Row],[Column1]]</f>
        <v>0</v>
      </c>
      <c r="B2214">
        <f>Table4[[#This Row],[Column2]]</f>
        <v>0</v>
      </c>
      <c r="I2214" s="13">
        <f>Table6[[#This Row],[discharge_date]]-Table6[[#This Row],[surgery_date]]</f>
        <v>0</v>
      </c>
      <c r="J2214" s="9" t="str">
        <f t="shared" si="53"/>
        <v/>
      </c>
    </row>
    <row r="2215" spans="1:10" ht="23.25" customHeight="1">
      <c r="A2215">
        <f>Table4[[#This Row],[Column1]]</f>
        <v>0</v>
      </c>
      <c r="B2215">
        <f>Table4[[#This Row],[Column2]]</f>
        <v>0</v>
      </c>
      <c r="I2215" s="13">
        <f>Table6[[#This Row],[discharge_date]]-Table6[[#This Row],[surgery_date]]</f>
        <v>0</v>
      </c>
      <c r="J2215" s="9" t="str">
        <f t="shared" si="53"/>
        <v/>
      </c>
    </row>
    <row r="2216" spans="1:10" ht="23.25" customHeight="1">
      <c r="A2216">
        <f>Table4[[#This Row],[Column1]]</f>
        <v>0</v>
      </c>
      <c r="B2216">
        <f>Table4[[#This Row],[Column2]]</f>
        <v>0</v>
      </c>
      <c r="I2216" s="13">
        <f>Table6[[#This Row],[discharge_date]]-Table6[[#This Row],[surgery_date]]</f>
        <v>0</v>
      </c>
      <c r="J2216" s="9" t="str">
        <f t="shared" si="53"/>
        <v/>
      </c>
    </row>
    <row r="2217" spans="1:10" ht="23.25" customHeight="1">
      <c r="A2217">
        <f>Table4[[#This Row],[Column1]]</f>
        <v>0</v>
      </c>
      <c r="B2217">
        <f>Table4[[#This Row],[Column2]]</f>
        <v>0</v>
      </c>
      <c r="I2217" s="13">
        <f>Table6[[#This Row],[discharge_date]]-Table6[[#This Row],[surgery_date]]</f>
        <v>0</v>
      </c>
      <c r="J2217" s="9" t="str">
        <f t="shared" si="53"/>
        <v/>
      </c>
    </row>
    <row r="2218" spans="1:10" ht="23.25" customHeight="1">
      <c r="A2218">
        <f>Table4[[#This Row],[Column1]]</f>
        <v>0</v>
      </c>
      <c r="B2218">
        <f>Table4[[#This Row],[Column2]]</f>
        <v>0</v>
      </c>
      <c r="I2218" s="13">
        <f>Table6[[#This Row],[discharge_date]]-Table6[[#This Row],[surgery_date]]</f>
        <v>0</v>
      </c>
      <c r="J2218" s="9" t="str">
        <f t="shared" si="53"/>
        <v/>
      </c>
    </row>
    <row r="2219" spans="1:10" ht="23.25" customHeight="1">
      <c r="A2219">
        <f>Table4[[#This Row],[Column1]]</f>
        <v>0</v>
      </c>
      <c r="B2219">
        <f>Table4[[#This Row],[Column2]]</f>
        <v>0</v>
      </c>
      <c r="I2219" s="13">
        <f>Table6[[#This Row],[discharge_date]]-Table6[[#This Row],[surgery_date]]</f>
        <v>0</v>
      </c>
      <c r="J2219" s="9" t="str">
        <f t="shared" si="53"/>
        <v/>
      </c>
    </row>
    <row r="2220" spans="1:10" ht="23.25" customHeight="1">
      <c r="A2220">
        <f>Table4[[#This Row],[Column1]]</f>
        <v>0</v>
      </c>
      <c r="B2220">
        <f>Table4[[#This Row],[Column2]]</f>
        <v>0</v>
      </c>
      <c r="I2220" s="13">
        <f>Table6[[#This Row],[discharge_date]]-Table6[[#This Row],[surgery_date]]</f>
        <v>0</v>
      </c>
      <c r="J2220" s="9" t="str">
        <f t="shared" si="53"/>
        <v/>
      </c>
    </row>
    <row r="2221" spans="1:10" ht="23.25" customHeight="1">
      <c r="A2221">
        <f>Table4[[#This Row],[Column1]]</f>
        <v>0</v>
      </c>
      <c r="B2221">
        <f>Table4[[#This Row],[Column2]]</f>
        <v>0</v>
      </c>
      <c r="I2221" s="13">
        <f>Table6[[#This Row],[discharge_date]]-Table6[[#This Row],[surgery_date]]</f>
        <v>0</v>
      </c>
      <c r="J2221" s="9" t="str">
        <f t="shared" si="53"/>
        <v/>
      </c>
    </row>
    <row r="2222" spans="1:10" ht="23.25" customHeight="1">
      <c r="A2222">
        <f>Table4[[#This Row],[Column1]]</f>
        <v>0</v>
      </c>
      <c r="B2222">
        <f>Table4[[#This Row],[Column2]]</f>
        <v>0</v>
      </c>
      <c r="I2222" s="13">
        <f>Table6[[#This Row],[discharge_date]]-Table6[[#This Row],[surgery_date]]</f>
        <v>0</v>
      </c>
      <c r="J2222" s="9" t="str">
        <f t="shared" si="53"/>
        <v/>
      </c>
    </row>
    <row r="2223" spans="1:10" ht="23.25" customHeight="1">
      <c r="A2223">
        <f>Table4[[#This Row],[Column1]]</f>
        <v>0</v>
      </c>
      <c r="B2223">
        <f>Table4[[#This Row],[Column2]]</f>
        <v>0</v>
      </c>
      <c r="I2223" s="13">
        <f>Table6[[#This Row],[discharge_date]]-Table6[[#This Row],[surgery_date]]</f>
        <v>0</v>
      </c>
      <c r="J2223" s="9" t="str">
        <f t="shared" si="53"/>
        <v/>
      </c>
    </row>
    <row r="2224" spans="1:10" ht="23.25" customHeight="1">
      <c r="A2224">
        <f>Table4[[#This Row],[Column1]]</f>
        <v>0</v>
      </c>
      <c r="B2224">
        <f>Table4[[#This Row],[Column2]]</f>
        <v>0</v>
      </c>
      <c r="I2224" s="13">
        <f>Table6[[#This Row],[discharge_date]]-Table6[[#This Row],[surgery_date]]</f>
        <v>0</v>
      </c>
      <c r="J2224" s="9" t="str">
        <f t="shared" si="53"/>
        <v/>
      </c>
    </row>
    <row r="2225" spans="1:10" ht="23.25" customHeight="1">
      <c r="A2225">
        <f>Table4[[#This Row],[Column1]]</f>
        <v>0</v>
      </c>
      <c r="B2225">
        <f>Table4[[#This Row],[Column2]]</f>
        <v>0</v>
      </c>
      <c r="I2225" s="13">
        <f>Table6[[#This Row],[discharge_date]]-Table6[[#This Row],[surgery_date]]</f>
        <v>0</v>
      </c>
      <c r="J2225" s="9" t="str">
        <f t="shared" si="53"/>
        <v/>
      </c>
    </row>
    <row r="2226" spans="1:10" ht="23.25" customHeight="1">
      <c r="A2226">
        <f>Table4[[#This Row],[Column1]]</f>
        <v>0</v>
      </c>
      <c r="B2226">
        <f>Table4[[#This Row],[Column2]]</f>
        <v>0</v>
      </c>
      <c r="I2226" s="13">
        <f>Table6[[#This Row],[discharge_date]]-Table6[[#This Row],[surgery_date]]</f>
        <v>0</v>
      </c>
      <c r="J2226" s="9" t="str">
        <f t="shared" si="53"/>
        <v/>
      </c>
    </row>
    <row r="2227" spans="1:10" ht="23.25" customHeight="1">
      <c r="A2227">
        <f>Table4[[#This Row],[Column1]]</f>
        <v>0</v>
      </c>
      <c r="B2227">
        <f>Table4[[#This Row],[Column2]]</f>
        <v>0</v>
      </c>
      <c r="I2227" s="13">
        <f>Table6[[#This Row],[discharge_date]]-Table6[[#This Row],[surgery_date]]</f>
        <v>0</v>
      </c>
      <c r="J2227" s="9" t="str">
        <f t="shared" si="53"/>
        <v/>
      </c>
    </row>
    <row r="2228" spans="1:10" ht="23.25" customHeight="1">
      <c r="A2228">
        <f>Table4[[#This Row],[Column1]]</f>
        <v>0</v>
      </c>
      <c r="B2228">
        <f>Table4[[#This Row],[Column2]]</f>
        <v>0</v>
      </c>
      <c r="I2228" s="13">
        <f>Table6[[#This Row],[discharge_date]]-Table6[[#This Row],[surgery_date]]</f>
        <v>0</v>
      </c>
      <c r="J2228" s="9" t="str">
        <f t="shared" si="53"/>
        <v/>
      </c>
    </row>
    <row r="2229" spans="1:10" ht="23.25" customHeight="1">
      <c r="A2229">
        <f>Table4[[#This Row],[Column1]]</f>
        <v>0</v>
      </c>
      <c r="B2229">
        <f>Table4[[#This Row],[Column2]]</f>
        <v>0</v>
      </c>
      <c r="I2229" s="13">
        <f>Table6[[#This Row],[discharge_date]]-Table6[[#This Row],[surgery_date]]</f>
        <v>0</v>
      </c>
      <c r="J2229" s="9" t="str">
        <f t="shared" si="53"/>
        <v/>
      </c>
    </row>
    <row r="2230" spans="1:10" ht="23.25" customHeight="1">
      <c r="A2230">
        <f>Table4[[#This Row],[Column1]]</f>
        <v>0</v>
      </c>
      <c r="B2230">
        <f>Table4[[#This Row],[Column2]]</f>
        <v>0</v>
      </c>
      <c r="I2230" s="13">
        <f>Table6[[#This Row],[discharge_date]]-Table6[[#This Row],[surgery_date]]</f>
        <v>0</v>
      </c>
      <c r="J2230" s="9" t="str">
        <f t="shared" si="53"/>
        <v/>
      </c>
    </row>
    <row r="2231" spans="1:10" ht="23.25" customHeight="1">
      <c r="A2231">
        <f>Table4[[#This Row],[Column1]]</f>
        <v>0</v>
      </c>
      <c r="B2231">
        <f>Table4[[#This Row],[Column2]]</f>
        <v>0</v>
      </c>
      <c r="I2231" s="13">
        <f>Table6[[#This Row],[discharge_date]]-Table6[[#This Row],[surgery_date]]</f>
        <v>0</v>
      </c>
      <c r="J2231" s="9" t="str">
        <f t="shared" si="53"/>
        <v/>
      </c>
    </row>
    <row r="2232" spans="1:10" ht="23.25" customHeight="1">
      <c r="A2232">
        <f>Table4[[#This Row],[Column1]]</f>
        <v>0</v>
      </c>
      <c r="B2232">
        <f>Table4[[#This Row],[Column2]]</f>
        <v>0</v>
      </c>
      <c r="I2232" s="13">
        <f>Table6[[#This Row],[discharge_date]]-Table6[[#This Row],[surgery_date]]</f>
        <v>0</v>
      </c>
      <c r="J2232" s="9" t="str">
        <f t="shared" si="53"/>
        <v/>
      </c>
    </row>
    <row r="2233" spans="1:10" ht="23.25" customHeight="1">
      <c r="A2233">
        <f>Table4[[#This Row],[Column1]]</f>
        <v>0</v>
      </c>
      <c r="B2233">
        <f>Table4[[#This Row],[Column2]]</f>
        <v>0</v>
      </c>
      <c r="I2233" s="13">
        <f>Table6[[#This Row],[discharge_date]]-Table6[[#This Row],[surgery_date]]</f>
        <v>0</v>
      </c>
      <c r="J2233" s="9" t="str">
        <f t="shared" si="53"/>
        <v/>
      </c>
    </row>
    <row r="2234" spans="1:10" ht="23.25" customHeight="1">
      <c r="A2234">
        <f>Table4[[#This Row],[Column1]]</f>
        <v>0</v>
      </c>
      <c r="B2234">
        <f>Table4[[#This Row],[Column2]]</f>
        <v>0</v>
      </c>
      <c r="I2234" s="13">
        <f>Table6[[#This Row],[discharge_date]]-Table6[[#This Row],[surgery_date]]</f>
        <v>0</v>
      </c>
      <c r="J2234" s="9" t="str">
        <f t="shared" si="53"/>
        <v/>
      </c>
    </row>
    <row r="2235" spans="1:10" ht="23.25" customHeight="1">
      <c r="A2235">
        <f>Table4[[#This Row],[Column1]]</f>
        <v>0</v>
      </c>
      <c r="B2235">
        <f>Table4[[#This Row],[Column2]]</f>
        <v>0</v>
      </c>
      <c r="I2235" s="13">
        <f>Table6[[#This Row],[discharge_date]]-Table6[[#This Row],[surgery_date]]</f>
        <v>0</v>
      </c>
      <c r="J2235" s="9" t="str">
        <f t="shared" si="53"/>
        <v/>
      </c>
    </row>
    <row r="2236" spans="1:10" ht="23.25" customHeight="1">
      <c r="A2236">
        <f>Table4[[#This Row],[Column1]]</f>
        <v>0</v>
      </c>
      <c r="B2236">
        <f>Table4[[#This Row],[Column2]]</f>
        <v>0</v>
      </c>
      <c r="I2236" s="13">
        <f>Table6[[#This Row],[discharge_date]]-Table6[[#This Row],[surgery_date]]</f>
        <v>0</v>
      </c>
      <c r="J2236" s="9" t="str">
        <f t="shared" si="53"/>
        <v/>
      </c>
    </row>
    <row r="2237" spans="1:10" ht="23.25" customHeight="1">
      <c r="A2237">
        <f>Table4[[#This Row],[Column1]]</f>
        <v>0</v>
      </c>
      <c r="B2237">
        <f>Table4[[#This Row],[Column2]]</f>
        <v>0</v>
      </c>
      <c r="I2237" s="13">
        <f>Table6[[#This Row],[discharge_date]]-Table6[[#This Row],[surgery_date]]</f>
        <v>0</v>
      </c>
      <c r="J2237" s="9" t="str">
        <f t="shared" si="53"/>
        <v/>
      </c>
    </row>
    <row r="2238" spans="1:10" ht="23.25" customHeight="1">
      <c r="A2238">
        <f>Table4[[#This Row],[Column1]]</f>
        <v>0</v>
      </c>
      <c r="B2238">
        <f>Table4[[#This Row],[Column2]]</f>
        <v>0</v>
      </c>
      <c r="I2238" s="13">
        <f>Table6[[#This Row],[discharge_date]]-Table6[[#This Row],[surgery_date]]</f>
        <v>0</v>
      </c>
      <c r="J2238" s="9" t="str">
        <f t="shared" si="53"/>
        <v/>
      </c>
    </row>
    <row r="2239" spans="1:10" ht="23.25" customHeight="1">
      <c r="A2239">
        <f>Table4[[#This Row],[Column1]]</f>
        <v>0</v>
      </c>
      <c r="B2239">
        <f>Table4[[#This Row],[Column2]]</f>
        <v>0</v>
      </c>
      <c r="I2239" s="13">
        <f>Table6[[#This Row],[discharge_date]]-Table6[[#This Row],[surgery_date]]</f>
        <v>0</v>
      </c>
      <c r="J2239" s="9" t="str">
        <f t="shared" si="53"/>
        <v/>
      </c>
    </row>
    <row r="2240" spans="1:10" ht="23.25" customHeight="1">
      <c r="A2240">
        <f>Table4[[#This Row],[Column1]]</f>
        <v>0</v>
      </c>
      <c r="B2240">
        <f>Table4[[#This Row],[Column2]]</f>
        <v>0</v>
      </c>
      <c r="I2240" s="13">
        <f>Table6[[#This Row],[discharge_date]]-Table6[[#This Row],[surgery_date]]</f>
        <v>0</v>
      </c>
      <c r="J2240" s="9" t="str">
        <f t="shared" si="53"/>
        <v/>
      </c>
    </row>
    <row r="2241" spans="1:10" ht="23.25" customHeight="1">
      <c r="A2241">
        <f>Table4[[#This Row],[Column1]]</f>
        <v>0</v>
      </c>
      <c r="B2241">
        <f>Table4[[#This Row],[Column2]]</f>
        <v>0</v>
      </c>
      <c r="I2241" s="13">
        <f>Table6[[#This Row],[discharge_date]]-Table6[[#This Row],[surgery_date]]</f>
        <v>0</v>
      </c>
      <c r="J2241" s="9" t="str">
        <f t="shared" si="53"/>
        <v/>
      </c>
    </row>
    <row r="2242" spans="1:10" ht="23.25" customHeight="1">
      <c r="A2242">
        <f>Table4[[#This Row],[Column1]]</f>
        <v>0</v>
      </c>
      <c r="B2242">
        <f>Table4[[#This Row],[Column2]]</f>
        <v>0</v>
      </c>
      <c r="I2242" s="13">
        <f>Table6[[#This Row],[discharge_date]]-Table6[[#This Row],[surgery_date]]</f>
        <v>0</v>
      </c>
      <c r="J2242" s="9" t="str">
        <f t="shared" ref="J2242:J2305" si="54">IF( H2242&lt;&gt;"", H2242+30,"")</f>
        <v/>
      </c>
    </row>
    <row r="2243" spans="1:10" ht="23.25" customHeight="1">
      <c r="A2243">
        <f>Table4[[#This Row],[Column1]]</f>
        <v>0</v>
      </c>
      <c r="B2243">
        <f>Table4[[#This Row],[Column2]]</f>
        <v>0</v>
      </c>
      <c r="I2243" s="13">
        <f>Table6[[#This Row],[discharge_date]]-Table6[[#This Row],[surgery_date]]</f>
        <v>0</v>
      </c>
      <c r="J2243" s="9" t="str">
        <f t="shared" si="54"/>
        <v/>
      </c>
    </row>
    <row r="2244" spans="1:10" ht="23.25" customHeight="1">
      <c r="A2244">
        <f>Table4[[#This Row],[Column1]]</f>
        <v>0</v>
      </c>
      <c r="B2244">
        <f>Table4[[#This Row],[Column2]]</f>
        <v>0</v>
      </c>
      <c r="I2244" s="13">
        <f>Table6[[#This Row],[discharge_date]]-Table6[[#This Row],[surgery_date]]</f>
        <v>0</v>
      </c>
      <c r="J2244" s="9" t="str">
        <f t="shared" si="54"/>
        <v/>
      </c>
    </row>
    <row r="2245" spans="1:10" ht="23.25" customHeight="1">
      <c r="A2245">
        <f>Table4[[#This Row],[Column1]]</f>
        <v>0</v>
      </c>
      <c r="B2245">
        <f>Table4[[#This Row],[Column2]]</f>
        <v>0</v>
      </c>
      <c r="I2245" s="13">
        <f>Table6[[#This Row],[discharge_date]]-Table6[[#This Row],[surgery_date]]</f>
        <v>0</v>
      </c>
      <c r="J2245" s="9" t="str">
        <f t="shared" si="54"/>
        <v/>
      </c>
    </row>
    <row r="2246" spans="1:10" ht="23.25" customHeight="1">
      <c r="A2246">
        <f>Table4[[#This Row],[Column1]]</f>
        <v>0</v>
      </c>
      <c r="B2246">
        <f>Table4[[#This Row],[Column2]]</f>
        <v>0</v>
      </c>
      <c r="I2246" s="13">
        <f>Table6[[#This Row],[discharge_date]]-Table6[[#This Row],[surgery_date]]</f>
        <v>0</v>
      </c>
      <c r="J2246" s="9" t="str">
        <f t="shared" si="54"/>
        <v/>
      </c>
    </row>
    <row r="2247" spans="1:10" ht="23.25" customHeight="1">
      <c r="A2247">
        <f>Table4[[#This Row],[Column1]]</f>
        <v>0</v>
      </c>
      <c r="B2247">
        <f>Table4[[#This Row],[Column2]]</f>
        <v>0</v>
      </c>
      <c r="I2247" s="13">
        <f>Table6[[#This Row],[discharge_date]]-Table6[[#This Row],[surgery_date]]</f>
        <v>0</v>
      </c>
      <c r="J2247" s="9" t="str">
        <f t="shared" si="54"/>
        <v/>
      </c>
    </row>
    <row r="2248" spans="1:10" ht="23.25" customHeight="1">
      <c r="A2248">
        <f>Table4[[#This Row],[Column1]]</f>
        <v>0</v>
      </c>
      <c r="B2248">
        <f>Table4[[#This Row],[Column2]]</f>
        <v>0</v>
      </c>
      <c r="I2248" s="13">
        <f>Table6[[#This Row],[discharge_date]]-Table6[[#This Row],[surgery_date]]</f>
        <v>0</v>
      </c>
      <c r="J2248" s="9" t="str">
        <f t="shared" si="54"/>
        <v/>
      </c>
    </row>
    <row r="2249" spans="1:10" ht="23.25" customHeight="1">
      <c r="A2249">
        <f>Table4[[#This Row],[Column1]]</f>
        <v>0</v>
      </c>
      <c r="B2249">
        <f>Table4[[#This Row],[Column2]]</f>
        <v>0</v>
      </c>
      <c r="I2249" s="13">
        <f>Table6[[#This Row],[discharge_date]]-Table6[[#This Row],[surgery_date]]</f>
        <v>0</v>
      </c>
      <c r="J2249" s="9" t="str">
        <f t="shared" si="54"/>
        <v/>
      </c>
    </row>
    <row r="2250" spans="1:10" ht="23.25" customHeight="1">
      <c r="A2250">
        <f>Table4[[#This Row],[Column1]]</f>
        <v>0</v>
      </c>
      <c r="B2250">
        <f>Table4[[#This Row],[Column2]]</f>
        <v>0</v>
      </c>
      <c r="I2250" s="13">
        <f>Table6[[#This Row],[discharge_date]]-Table6[[#This Row],[surgery_date]]</f>
        <v>0</v>
      </c>
      <c r="J2250" s="9" t="str">
        <f t="shared" si="54"/>
        <v/>
      </c>
    </row>
    <row r="2251" spans="1:10" ht="23.25" customHeight="1">
      <c r="A2251">
        <f>Table4[[#This Row],[Column1]]</f>
        <v>0</v>
      </c>
      <c r="B2251">
        <f>Table4[[#This Row],[Column2]]</f>
        <v>0</v>
      </c>
      <c r="I2251" s="13">
        <f>Table6[[#This Row],[discharge_date]]-Table6[[#This Row],[surgery_date]]</f>
        <v>0</v>
      </c>
      <c r="J2251" s="9" t="str">
        <f t="shared" si="54"/>
        <v/>
      </c>
    </row>
    <row r="2252" spans="1:10" ht="23.25" customHeight="1">
      <c r="A2252">
        <f>Table4[[#This Row],[Column1]]</f>
        <v>0</v>
      </c>
      <c r="B2252">
        <f>Table4[[#This Row],[Column2]]</f>
        <v>0</v>
      </c>
      <c r="I2252" s="13">
        <f>Table6[[#This Row],[discharge_date]]-Table6[[#This Row],[surgery_date]]</f>
        <v>0</v>
      </c>
      <c r="J2252" s="9" t="str">
        <f t="shared" si="54"/>
        <v/>
      </c>
    </row>
    <row r="2253" spans="1:10" ht="23.25" customHeight="1">
      <c r="A2253">
        <f>Table4[[#This Row],[Column1]]</f>
        <v>0</v>
      </c>
      <c r="B2253">
        <f>Table4[[#This Row],[Column2]]</f>
        <v>0</v>
      </c>
      <c r="I2253" s="13">
        <f>Table6[[#This Row],[discharge_date]]-Table6[[#This Row],[surgery_date]]</f>
        <v>0</v>
      </c>
      <c r="J2253" s="9" t="str">
        <f t="shared" si="54"/>
        <v/>
      </c>
    </row>
    <row r="2254" spans="1:10" ht="23.25" customHeight="1">
      <c r="A2254">
        <f>Table4[[#This Row],[Column1]]</f>
        <v>0</v>
      </c>
      <c r="B2254">
        <f>Table4[[#This Row],[Column2]]</f>
        <v>0</v>
      </c>
      <c r="I2254" s="13">
        <f>Table6[[#This Row],[discharge_date]]-Table6[[#This Row],[surgery_date]]</f>
        <v>0</v>
      </c>
      <c r="J2254" s="9" t="str">
        <f t="shared" si="54"/>
        <v/>
      </c>
    </row>
    <row r="2255" spans="1:10" ht="23.25" customHeight="1">
      <c r="A2255">
        <f>Table4[[#This Row],[Column1]]</f>
        <v>0</v>
      </c>
      <c r="B2255">
        <f>Table4[[#This Row],[Column2]]</f>
        <v>0</v>
      </c>
      <c r="I2255" s="13">
        <f>Table6[[#This Row],[discharge_date]]-Table6[[#This Row],[surgery_date]]</f>
        <v>0</v>
      </c>
      <c r="J2255" s="9" t="str">
        <f t="shared" si="54"/>
        <v/>
      </c>
    </row>
    <row r="2256" spans="1:10" ht="23.25" customHeight="1">
      <c r="A2256">
        <f>Table4[[#This Row],[Column1]]</f>
        <v>0</v>
      </c>
      <c r="B2256">
        <f>Table4[[#This Row],[Column2]]</f>
        <v>0</v>
      </c>
      <c r="I2256" s="13">
        <f>Table6[[#This Row],[discharge_date]]-Table6[[#This Row],[surgery_date]]</f>
        <v>0</v>
      </c>
      <c r="J2256" s="9" t="str">
        <f t="shared" si="54"/>
        <v/>
      </c>
    </row>
    <row r="2257" spans="1:10" ht="23.25" customHeight="1">
      <c r="A2257">
        <f>Table4[[#This Row],[Column1]]</f>
        <v>0</v>
      </c>
      <c r="B2257">
        <f>Table4[[#This Row],[Column2]]</f>
        <v>0</v>
      </c>
      <c r="I2257" s="13">
        <f>Table6[[#This Row],[discharge_date]]-Table6[[#This Row],[surgery_date]]</f>
        <v>0</v>
      </c>
      <c r="J2257" s="9" t="str">
        <f t="shared" si="54"/>
        <v/>
      </c>
    </row>
    <row r="2258" spans="1:10" ht="23.25" customHeight="1">
      <c r="A2258">
        <f>Table4[[#This Row],[Column1]]</f>
        <v>0</v>
      </c>
      <c r="B2258">
        <f>Table4[[#This Row],[Column2]]</f>
        <v>0</v>
      </c>
      <c r="I2258" s="13">
        <f>Table6[[#This Row],[discharge_date]]-Table6[[#This Row],[surgery_date]]</f>
        <v>0</v>
      </c>
      <c r="J2258" s="9" t="str">
        <f t="shared" si="54"/>
        <v/>
      </c>
    </row>
    <row r="2259" spans="1:10" ht="23.25" customHeight="1">
      <c r="A2259">
        <f>Table4[[#This Row],[Column1]]</f>
        <v>0</v>
      </c>
      <c r="B2259">
        <f>Table4[[#This Row],[Column2]]</f>
        <v>0</v>
      </c>
      <c r="I2259" s="13">
        <f>Table6[[#This Row],[discharge_date]]-Table6[[#This Row],[surgery_date]]</f>
        <v>0</v>
      </c>
      <c r="J2259" s="9" t="str">
        <f t="shared" si="54"/>
        <v/>
      </c>
    </row>
    <row r="2260" spans="1:10" ht="23.25" customHeight="1">
      <c r="A2260">
        <f>Table4[[#This Row],[Column1]]</f>
        <v>0</v>
      </c>
      <c r="B2260">
        <f>Table4[[#This Row],[Column2]]</f>
        <v>0</v>
      </c>
      <c r="I2260" s="13">
        <f>Table6[[#This Row],[discharge_date]]-Table6[[#This Row],[surgery_date]]</f>
        <v>0</v>
      </c>
      <c r="J2260" s="9" t="str">
        <f t="shared" si="54"/>
        <v/>
      </c>
    </row>
    <row r="2261" spans="1:10" ht="23.25" customHeight="1">
      <c r="A2261">
        <f>Table4[[#This Row],[Column1]]</f>
        <v>0</v>
      </c>
      <c r="B2261">
        <f>Table4[[#This Row],[Column2]]</f>
        <v>0</v>
      </c>
      <c r="I2261" s="13">
        <f>Table6[[#This Row],[discharge_date]]-Table6[[#This Row],[surgery_date]]</f>
        <v>0</v>
      </c>
      <c r="J2261" s="9" t="str">
        <f t="shared" si="54"/>
        <v/>
      </c>
    </row>
    <row r="2262" spans="1:10" ht="23.25" customHeight="1">
      <c r="A2262">
        <f>Table4[[#This Row],[Column1]]</f>
        <v>0</v>
      </c>
      <c r="B2262">
        <f>Table4[[#This Row],[Column2]]</f>
        <v>0</v>
      </c>
      <c r="I2262" s="13">
        <f>Table6[[#This Row],[discharge_date]]-Table6[[#This Row],[surgery_date]]</f>
        <v>0</v>
      </c>
      <c r="J2262" s="9" t="str">
        <f t="shared" si="54"/>
        <v/>
      </c>
    </row>
    <row r="2263" spans="1:10" ht="23.25" customHeight="1">
      <c r="A2263">
        <f>Table4[[#This Row],[Column1]]</f>
        <v>0</v>
      </c>
      <c r="B2263">
        <f>Table4[[#This Row],[Column2]]</f>
        <v>0</v>
      </c>
      <c r="I2263" s="13">
        <f>Table6[[#This Row],[discharge_date]]-Table6[[#This Row],[surgery_date]]</f>
        <v>0</v>
      </c>
      <c r="J2263" s="9" t="str">
        <f t="shared" si="54"/>
        <v/>
      </c>
    </row>
    <row r="2264" spans="1:10" ht="23.25" customHeight="1">
      <c r="A2264">
        <f>Table4[[#This Row],[Column1]]</f>
        <v>0</v>
      </c>
      <c r="B2264">
        <f>Table4[[#This Row],[Column2]]</f>
        <v>0</v>
      </c>
      <c r="I2264" s="13">
        <f>Table6[[#This Row],[discharge_date]]-Table6[[#This Row],[surgery_date]]</f>
        <v>0</v>
      </c>
      <c r="J2264" s="9" t="str">
        <f t="shared" si="54"/>
        <v/>
      </c>
    </row>
    <row r="2265" spans="1:10" ht="23.25" customHeight="1">
      <c r="A2265">
        <f>Table4[[#This Row],[Column1]]</f>
        <v>0</v>
      </c>
      <c r="B2265">
        <f>Table4[[#This Row],[Column2]]</f>
        <v>0</v>
      </c>
      <c r="I2265" s="13">
        <f>Table6[[#This Row],[discharge_date]]-Table6[[#This Row],[surgery_date]]</f>
        <v>0</v>
      </c>
      <c r="J2265" s="9" t="str">
        <f t="shared" si="54"/>
        <v/>
      </c>
    </row>
    <row r="2266" spans="1:10" ht="23.25" customHeight="1">
      <c r="A2266">
        <f>Table4[[#This Row],[Column1]]</f>
        <v>0</v>
      </c>
      <c r="B2266">
        <f>Table4[[#This Row],[Column2]]</f>
        <v>0</v>
      </c>
      <c r="I2266" s="13">
        <f>Table6[[#This Row],[discharge_date]]-Table6[[#This Row],[surgery_date]]</f>
        <v>0</v>
      </c>
      <c r="J2266" s="9" t="str">
        <f t="shared" si="54"/>
        <v/>
      </c>
    </row>
    <row r="2267" spans="1:10" ht="23.25" customHeight="1">
      <c r="A2267">
        <f>Table4[[#This Row],[Column1]]</f>
        <v>0</v>
      </c>
      <c r="B2267">
        <f>Table4[[#This Row],[Column2]]</f>
        <v>0</v>
      </c>
      <c r="I2267" s="13">
        <f>Table6[[#This Row],[discharge_date]]-Table6[[#This Row],[surgery_date]]</f>
        <v>0</v>
      </c>
      <c r="J2267" s="9" t="str">
        <f t="shared" si="54"/>
        <v/>
      </c>
    </row>
    <row r="2268" spans="1:10" ht="23.25" customHeight="1">
      <c r="A2268">
        <f>Table4[[#This Row],[Column1]]</f>
        <v>0</v>
      </c>
      <c r="B2268">
        <f>Table4[[#This Row],[Column2]]</f>
        <v>0</v>
      </c>
      <c r="I2268" s="13">
        <f>Table6[[#This Row],[discharge_date]]-Table6[[#This Row],[surgery_date]]</f>
        <v>0</v>
      </c>
      <c r="J2268" s="9" t="str">
        <f t="shared" si="54"/>
        <v/>
      </c>
    </row>
    <row r="2269" spans="1:10" ht="23.25" customHeight="1">
      <c r="A2269">
        <f>Table4[[#This Row],[Column1]]</f>
        <v>0</v>
      </c>
      <c r="B2269">
        <f>Table4[[#This Row],[Column2]]</f>
        <v>0</v>
      </c>
      <c r="I2269" s="13">
        <f>Table6[[#This Row],[discharge_date]]-Table6[[#This Row],[surgery_date]]</f>
        <v>0</v>
      </c>
      <c r="J2269" s="9" t="str">
        <f t="shared" si="54"/>
        <v/>
      </c>
    </row>
    <row r="2270" spans="1:10" ht="23.25" customHeight="1">
      <c r="A2270">
        <f>Table4[[#This Row],[Column1]]</f>
        <v>0</v>
      </c>
      <c r="B2270">
        <f>Table4[[#This Row],[Column2]]</f>
        <v>0</v>
      </c>
      <c r="I2270" s="13">
        <f>Table6[[#This Row],[discharge_date]]-Table6[[#This Row],[surgery_date]]</f>
        <v>0</v>
      </c>
      <c r="J2270" s="9" t="str">
        <f t="shared" si="54"/>
        <v/>
      </c>
    </row>
    <row r="2271" spans="1:10" ht="23.25" customHeight="1">
      <c r="A2271">
        <f>Table4[[#This Row],[Column1]]</f>
        <v>0</v>
      </c>
      <c r="B2271">
        <f>Table4[[#This Row],[Column2]]</f>
        <v>0</v>
      </c>
      <c r="I2271" s="13">
        <f>Table6[[#This Row],[discharge_date]]-Table6[[#This Row],[surgery_date]]</f>
        <v>0</v>
      </c>
      <c r="J2271" s="9" t="str">
        <f t="shared" si="54"/>
        <v/>
      </c>
    </row>
    <row r="2272" spans="1:10" ht="23.25" customHeight="1">
      <c r="A2272">
        <f>Table4[[#This Row],[Column1]]</f>
        <v>0</v>
      </c>
      <c r="B2272">
        <f>Table4[[#This Row],[Column2]]</f>
        <v>0</v>
      </c>
      <c r="I2272" s="13">
        <f>Table6[[#This Row],[discharge_date]]-Table6[[#This Row],[surgery_date]]</f>
        <v>0</v>
      </c>
      <c r="J2272" s="9" t="str">
        <f t="shared" si="54"/>
        <v/>
      </c>
    </row>
    <row r="2273" spans="1:10" ht="23.25" customHeight="1">
      <c r="A2273">
        <f>Table4[[#This Row],[Column1]]</f>
        <v>0</v>
      </c>
      <c r="B2273">
        <f>Table4[[#This Row],[Column2]]</f>
        <v>0</v>
      </c>
      <c r="I2273" s="13">
        <f>Table6[[#This Row],[discharge_date]]-Table6[[#This Row],[surgery_date]]</f>
        <v>0</v>
      </c>
      <c r="J2273" s="9" t="str">
        <f t="shared" si="54"/>
        <v/>
      </c>
    </row>
    <row r="2274" spans="1:10" ht="23.25" customHeight="1">
      <c r="A2274">
        <f>Table4[[#This Row],[Column1]]</f>
        <v>0</v>
      </c>
      <c r="B2274">
        <f>Table4[[#This Row],[Column2]]</f>
        <v>0</v>
      </c>
      <c r="I2274" s="13">
        <f>Table6[[#This Row],[discharge_date]]-Table6[[#This Row],[surgery_date]]</f>
        <v>0</v>
      </c>
      <c r="J2274" s="9" t="str">
        <f t="shared" si="54"/>
        <v/>
      </c>
    </row>
    <row r="2275" spans="1:10" ht="23.25" customHeight="1">
      <c r="A2275">
        <f>Table4[[#This Row],[Column1]]</f>
        <v>0</v>
      </c>
      <c r="B2275">
        <f>Table4[[#This Row],[Column2]]</f>
        <v>0</v>
      </c>
      <c r="I2275" s="13">
        <f>Table6[[#This Row],[discharge_date]]-Table6[[#This Row],[surgery_date]]</f>
        <v>0</v>
      </c>
      <c r="J2275" s="9" t="str">
        <f t="shared" si="54"/>
        <v/>
      </c>
    </row>
    <row r="2276" spans="1:10" ht="23.25" customHeight="1">
      <c r="A2276">
        <f>Table4[[#This Row],[Column1]]</f>
        <v>0</v>
      </c>
      <c r="B2276">
        <f>Table4[[#This Row],[Column2]]</f>
        <v>0</v>
      </c>
      <c r="I2276" s="13">
        <f>Table6[[#This Row],[discharge_date]]-Table6[[#This Row],[surgery_date]]</f>
        <v>0</v>
      </c>
      <c r="J2276" s="9" t="str">
        <f t="shared" si="54"/>
        <v/>
      </c>
    </row>
    <row r="2277" spans="1:10" ht="23.25" customHeight="1">
      <c r="A2277">
        <f>Table4[[#This Row],[Column1]]</f>
        <v>0</v>
      </c>
      <c r="B2277">
        <f>Table4[[#This Row],[Column2]]</f>
        <v>0</v>
      </c>
      <c r="I2277" s="13">
        <f>Table6[[#This Row],[discharge_date]]-Table6[[#This Row],[surgery_date]]</f>
        <v>0</v>
      </c>
      <c r="J2277" s="9" t="str">
        <f t="shared" si="54"/>
        <v/>
      </c>
    </row>
    <row r="2278" spans="1:10" ht="23.25" customHeight="1">
      <c r="A2278">
        <f>Table4[[#This Row],[Column1]]</f>
        <v>0</v>
      </c>
      <c r="B2278">
        <f>Table4[[#This Row],[Column2]]</f>
        <v>0</v>
      </c>
      <c r="I2278" s="13">
        <f>Table6[[#This Row],[discharge_date]]-Table6[[#This Row],[surgery_date]]</f>
        <v>0</v>
      </c>
      <c r="J2278" s="9" t="str">
        <f t="shared" si="54"/>
        <v/>
      </c>
    </row>
    <row r="2279" spans="1:10" ht="23.25" customHeight="1">
      <c r="A2279">
        <f>Table4[[#This Row],[Column1]]</f>
        <v>0</v>
      </c>
      <c r="B2279">
        <f>Table4[[#This Row],[Column2]]</f>
        <v>0</v>
      </c>
      <c r="I2279" s="13">
        <f>Table6[[#This Row],[discharge_date]]-Table6[[#This Row],[surgery_date]]</f>
        <v>0</v>
      </c>
      <c r="J2279" s="9" t="str">
        <f t="shared" si="54"/>
        <v/>
      </c>
    </row>
    <row r="2280" spans="1:10" ht="23.25" customHeight="1">
      <c r="A2280">
        <f>Table4[[#This Row],[Column1]]</f>
        <v>0</v>
      </c>
      <c r="B2280">
        <f>Table4[[#This Row],[Column2]]</f>
        <v>0</v>
      </c>
      <c r="I2280" s="13">
        <f>Table6[[#This Row],[discharge_date]]-Table6[[#This Row],[surgery_date]]</f>
        <v>0</v>
      </c>
      <c r="J2280" s="9" t="str">
        <f t="shared" si="54"/>
        <v/>
      </c>
    </row>
    <row r="2281" spans="1:10" ht="23.25" customHeight="1">
      <c r="A2281">
        <f>Table4[[#This Row],[Column1]]</f>
        <v>0</v>
      </c>
      <c r="B2281">
        <f>Table4[[#This Row],[Column2]]</f>
        <v>0</v>
      </c>
      <c r="I2281" s="13">
        <f>Table6[[#This Row],[discharge_date]]-Table6[[#This Row],[surgery_date]]</f>
        <v>0</v>
      </c>
      <c r="J2281" s="9" t="str">
        <f t="shared" si="54"/>
        <v/>
      </c>
    </row>
    <row r="2282" spans="1:10" ht="23.25" customHeight="1">
      <c r="A2282">
        <f>Table4[[#This Row],[Column1]]</f>
        <v>0</v>
      </c>
      <c r="B2282">
        <f>Table4[[#This Row],[Column2]]</f>
        <v>0</v>
      </c>
      <c r="I2282" s="13">
        <f>Table6[[#This Row],[discharge_date]]-Table6[[#This Row],[surgery_date]]</f>
        <v>0</v>
      </c>
      <c r="J2282" s="9" t="str">
        <f t="shared" si="54"/>
        <v/>
      </c>
    </row>
    <row r="2283" spans="1:10" ht="23.25" customHeight="1">
      <c r="A2283">
        <f>Table4[[#This Row],[Column1]]</f>
        <v>0</v>
      </c>
      <c r="B2283">
        <f>Table4[[#This Row],[Column2]]</f>
        <v>0</v>
      </c>
      <c r="I2283" s="13">
        <f>Table6[[#This Row],[discharge_date]]-Table6[[#This Row],[surgery_date]]</f>
        <v>0</v>
      </c>
      <c r="J2283" s="9" t="str">
        <f t="shared" si="54"/>
        <v/>
      </c>
    </row>
    <row r="2284" spans="1:10" ht="23.25" customHeight="1">
      <c r="A2284">
        <f>Table4[[#This Row],[Column1]]</f>
        <v>0</v>
      </c>
      <c r="B2284">
        <f>Table4[[#This Row],[Column2]]</f>
        <v>0</v>
      </c>
      <c r="I2284" s="13">
        <f>Table6[[#This Row],[discharge_date]]-Table6[[#This Row],[surgery_date]]</f>
        <v>0</v>
      </c>
      <c r="J2284" s="9" t="str">
        <f t="shared" si="54"/>
        <v/>
      </c>
    </row>
    <row r="2285" spans="1:10" ht="23.25" customHeight="1">
      <c r="A2285">
        <f>Table4[[#This Row],[Column1]]</f>
        <v>0</v>
      </c>
      <c r="B2285">
        <f>Table4[[#This Row],[Column2]]</f>
        <v>0</v>
      </c>
      <c r="I2285" s="13">
        <f>Table6[[#This Row],[discharge_date]]-Table6[[#This Row],[surgery_date]]</f>
        <v>0</v>
      </c>
      <c r="J2285" s="9" t="str">
        <f t="shared" si="54"/>
        <v/>
      </c>
    </row>
    <row r="2286" spans="1:10" ht="23.25" customHeight="1">
      <c r="A2286">
        <f>Table4[[#This Row],[Column1]]</f>
        <v>0</v>
      </c>
      <c r="B2286">
        <f>Table4[[#This Row],[Column2]]</f>
        <v>0</v>
      </c>
      <c r="I2286" s="13">
        <f>Table6[[#This Row],[discharge_date]]-Table6[[#This Row],[surgery_date]]</f>
        <v>0</v>
      </c>
      <c r="J2286" s="9" t="str">
        <f t="shared" si="54"/>
        <v/>
      </c>
    </row>
    <row r="2287" spans="1:10" ht="23.25" customHeight="1">
      <c r="A2287">
        <f>Table4[[#This Row],[Column1]]</f>
        <v>0</v>
      </c>
      <c r="B2287">
        <f>Table4[[#This Row],[Column2]]</f>
        <v>0</v>
      </c>
      <c r="I2287" s="13">
        <f>Table6[[#This Row],[discharge_date]]-Table6[[#This Row],[surgery_date]]</f>
        <v>0</v>
      </c>
      <c r="J2287" s="9" t="str">
        <f t="shared" si="54"/>
        <v/>
      </c>
    </row>
    <row r="2288" spans="1:10" ht="23.25" customHeight="1">
      <c r="A2288">
        <f>Table4[[#This Row],[Column1]]</f>
        <v>0</v>
      </c>
      <c r="B2288">
        <f>Table4[[#This Row],[Column2]]</f>
        <v>0</v>
      </c>
      <c r="I2288" s="13">
        <f>Table6[[#This Row],[discharge_date]]-Table6[[#This Row],[surgery_date]]</f>
        <v>0</v>
      </c>
      <c r="J2288" s="9" t="str">
        <f t="shared" si="54"/>
        <v/>
      </c>
    </row>
    <row r="2289" spans="1:10" ht="23.25" customHeight="1">
      <c r="A2289">
        <f>Table4[[#This Row],[Column1]]</f>
        <v>0</v>
      </c>
      <c r="B2289">
        <f>Table4[[#This Row],[Column2]]</f>
        <v>0</v>
      </c>
      <c r="I2289" s="13">
        <f>Table6[[#This Row],[discharge_date]]-Table6[[#This Row],[surgery_date]]</f>
        <v>0</v>
      </c>
      <c r="J2289" s="9" t="str">
        <f t="shared" si="54"/>
        <v/>
      </c>
    </row>
    <row r="2290" spans="1:10" ht="23.25" customHeight="1">
      <c r="A2290">
        <f>Table4[[#This Row],[Column1]]</f>
        <v>0</v>
      </c>
      <c r="B2290">
        <f>Table4[[#This Row],[Column2]]</f>
        <v>0</v>
      </c>
      <c r="I2290" s="13">
        <f>Table6[[#This Row],[discharge_date]]-Table6[[#This Row],[surgery_date]]</f>
        <v>0</v>
      </c>
      <c r="J2290" s="9" t="str">
        <f t="shared" si="54"/>
        <v/>
      </c>
    </row>
    <row r="2291" spans="1:10" ht="23.25" customHeight="1">
      <c r="A2291">
        <f>Table4[[#This Row],[Column1]]</f>
        <v>0</v>
      </c>
      <c r="B2291">
        <f>Table4[[#This Row],[Column2]]</f>
        <v>0</v>
      </c>
      <c r="I2291" s="13">
        <f>Table6[[#This Row],[discharge_date]]-Table6[[#This Row],[surgery_date]]</f>
        <v>0</v>
      </c>
      <c r="J2291" s="9" t="str">
        <f t="shared" si="54"/>
        <v/>
      </c>
    </row>
    <row r="2292" spans="1:10" ht="23.25" customHeight="1">
      <c r="A2292">
        <f>Table4[[#This Row],[Column1]]</f>
        <v>0</v>
      </c>
      <c r="B2292">
        <f>Table4[[#This Row],[Column2]]</f>
        <v>0</v>
      </c>
      <c r="I2292" s="13">
        <f>Table6[[#This Row],[discharge_date]]-Table6[[#This Row],[surgery_date]]</f>
        <v>0</v>
      </c>
      <c r="J2292" s="9" t="str">
        <f t="shared" si="54"/>
        <v/>
      </c>
    </row>
    <row r="2293" spans="1:10" ht="23.25" customHeight="1">
      <c r="A2293">
        <f>Table4[[#This Row],[Column1]]</f>
        <v>0</v>
      </c>
      <c r="B2293">
        <f>Table4[[#This Row],[Column2]]</f>
        <v>0</v>
      </c>
      <c r="I2293" s="13">
        <f>Table6[[#This Row],[discharge_date]]-Table6[[#This Row],[surgery_date]]</f>
        <v>0</v>
      </c>
      <c r="J2293" s="9" t="str">
        <f t="shared" si="54"/>
        <v/>
      </c>
    </row>
    <row r="2294" spans="1:10" ht="23.25" customHeight="1">
      <c r="A2294">
        <f>Table4[[#This Row],[Column1]]</f>
        <v>0</v>
      </c>
      <c r="B2294">
        <f>Table4[[#This Row],[Column2]]</f>
        <v>0</v>
      </c>
      <c r="I2294" s="13">
        <f>Table6[[#This Row],[discharge_date]]-Table6[[#This Row],[surgery_date]]</f>
        <v>0</v>
      </c>
      <c r="J2294" s="9" t="str">
        <f t="shared" si="54"/>
        <v/>
      </c>
    </row>
    <row r="2295" spans="1:10" ht="23.25" customHeight="1">
      <c r="A2295">
        <f>Table4[[#This Row],[Column1]]</f>
        <v>0</v>
      </c>
      <c r="B2295">
        <f>Table4[[#This Row],[Column2]]</f>
        <v>0</v>
      </c>
      <c r="I2295" s="13">
        <f>Table6[[#This Row],[discharge_date]]-Table6[[#This Row],[surgery_date]]</f>
        <v>0</v>
      </c>
      <c r="J2295" s="9" t="str">
        <f t="shared" si="54"/>
        <v/>
      </c>
    </row>
    <row r="2296" spans="1:10" ht="23.25" customHeight="1">
      <c r="A2296">
        <f>Table4[[#This Row],[Column1]]</f>
        <v>0</v>
      </c>
      <c r="B2296">
        <f>Table4[[#This Row],[Column2]]</f>
        <v>0</v>
      </c>
      <c r="I2296" s="13">
        <f>Table6[[#This Row],[discharge_date]]-Table6[[#This Row],[surgery_date]]</f>
        <v>0</v>
      </c>
      <c r="J2296" s="9" t="str">
        <f t="shared" si="54"/>
        <v/>
      </c>
    </row>
    <row r="2297" spans="1:10" ht="23.25" customHeight="1">
      <c r="A2297">
        <f>Table4[[#This Row],[Column1]]</f>
        <v>0</v>
      </c>
      <c r="B2297">
        <f>Table4[[#This Row],[Column2]]</f>
        <v>0</v>
      </c>
      <c r="I2297" s="13">
        <f>Table6[[#This Row],[discharge_date]]-Table6[[#This Row],[surgery_date]]</f>
        <v>0</v>
      </c>
      <c r="J2297" s="9" t="str">
        <f t="shared" si="54"/>
        <v/>
      </c>
    </row>
    <row r="2298" spans="1:10" ht="23.25" customHeight="1">
      <c r="A2298">
        <f>Table4[[#This Row],[Column1]]</f>
        <v>0</v>
      </c>
      <c r="B2298">
        <f>Table4[[#This Row],[Column2]]</f>
        <v>0</v>
      </c>
      <c r="I2298" s="13">
        <f>Table6[[#This Row],[discharge_date]]-Table6[[#This Row],[surgery_date]]</f>
        <v>0</v>
      </c>
      <c r="J2298" s="9" t="str">
        <f t="shared" si="54"/>
        <v/>
      </c>
    </row>
    <row r="2299" spans="1:10" ht="23.25" customHeight="1">
      <c r="A2299">
        <f>Table4[[#This Row],[Column1]]</f>
        <v>0</v>
      </c>
      <c r="B2299">
        <f>Table4[[#This Row],[Column2]]</f>
        <v>0</v>
      </c>
      <c r="I2299" s="13">
        <f>Table6[[#This Row],[discharge_date]]-Table6[[#This Row],[surgery_date]]</f>
        <v>0</v>
      </c>
      <c r="J2299" s="9" t="str">
        <f t="shared" si="54"/>
        <v/>
      </c>
    </row>
    <row r="2300" spans="1:10" ht="23.25" customHeight="1">
      <c r="A2300">
        <f>Table4[[#This Row],[Column1]]</f>
        <v>0</v>
      </c>
      <c r="B2300">
        <f>Table4[[#This Row],[Column2]]</f>
        <v>0</v>
      </c>
      <c r="I2300" s="13">
        <f>Table6[[#This Row],[discharge_date]]-Table6[[#This Row],[surgery_date]]</f>
        <v>0</v>
      </c>
      <c r="J2300" s="9" t="str">
        <f t="shared" si="54"/>
        <v/>
      </c>
    </row>
    <row r="2301" spans="1:10" ht="23.25" customHeight="1">
      <c r="A2301">
        <f>Table4[[#This Row],[Column1]]</f>
        <v>0</v>
      </c>
      <c r="B2301">
        <f>Table4[[#This Row],[Column2]]</f>
        <v>0</v>
      </c>
      <c r="I2301" s="13">
        <f>Table6[[#This Row],[discharge_date]]-Table6[[#This Row],[surgery_date]]</f>
        <v>0</v>
      </c>
      <c r="J2301" s="9" t="str">
        <f t="shared" si="54"/>
        <v/>
      </c>
    </row>
    <row r="2302" spans="1:10" ht="23.25" customHeight="1">
      <c r="A2302">
        <f>Table4[[#This Row],[Column1]]</f>
        <v>0</v>
      </c>
      <c r="B2302">
        <f>Table4[[#This Row],[Column2]]</f>
        <v>0</v>
      </c>
      <c r="I2302" s="13">
        <f>Table6[[#This Row],[discharge_date]]-Table6[[#This Row],[surgery_date]]</f>
        <v>0</v>
      </c>
      <c r="J2302" s="9" t="str">
        <f t="shared" si="54"/>
        <v/>
      </c>
    </row>
    <row r="2303" spans="1:10" ht="23.25" customHeight="1">
      <c r="A2303">
        <f>Table4[[#This Row],[Column1]]</f>
        <v>0</v>
      </c>
      <c r="B2303">
        <f>Table4[[#This Row],[Column2]]</f>
        <v>0</v>
      </c>
      <c r="I2303" s="13">
        <f>Table6[[#This Row],[discharge_date]]-Table6[[#This Row],[surgery_date]]</f>
        <v>0</v>
      </c>
      <c r="J2303" s="9" t="str">
        <f t="shared" si="54"/>
        <v/>
      </c>
    </row>
    <row r="2304" spans="1:10" ht="23.25" customHeight="1">
      <c r="A2304">
        <f>Table4[[#This Row],[Column1]]</f>
        <v>0</v>
      </c>
      <c r="B2304">
        <f>Table4[[#This Row],[Column2]]</f>
        <v>0</v>
      </c>
      <c r="I2304" s="13">
        <f>Table6[[#This Row],[discharge_date]]-Table6[[#This Row],[surgery_date]]</f>
        <v>0</v>
      </c>
      <c r="J2304" s="9" t="str">
        <f t="shared" si="54"/>
        <v/>
      </c>
    </row>
    <row r="2305" spans="1:10" ht="23.25" customHeight="1">
      <c r="A2305">
        <f>Table4[[#This Row],[Column1]]</f>
        <v>0</v>
      </c>
      <c r="B2305">
        <f>Table4[[#This Row],[Column2]]</f>
        <v>0</v>
      </c>
      <c r="I2305" s="13">
        <f>Table6[[#This Row],[discharge_date]]-Table6[[#This Row],[surgery_date]]</f>
        <v>0</v>
      </c>
      <c r="J2305" s="9" t="str">
        <f t="shared" si="54"/>
        <v/>
      </c>
    </row>
    <row r="2306" spans="1:10" ht="23.25" customHeight="1">
      <c r="A2306">
        <f>Table4[[#This Row],[Column1]]</f>
        <v>0</v>
      </c>
      <c r="B2306">
        <f>Table4[[#This Row],[Column2]]</f>
        <v>0</v>
      </c>
      <c r="I2306" s="13">
        <f>Table6[[#This Row],[discharge_date]]-Table6[[#This Row],[surgery_date]]</f>
        <v>0</v>
      </c>
      <c r="J2306" s="9" t="str">
        <f t="shared" ref="J2306:J2369" si="55">IF( H2306&lt;&gt;"", H2306+30,"")</f>
        <v/>
      </c>
    </row>
    <row r="2307" spans="1:10" ht="23.25" customHeight="1">
      <c r="A2307">
        <f>Table4[[#This Row],[Column1]]</f>
        <v>0</v>
      </c>
      <c r="B2307">
        <f>Table4[[#This Row],[Column2]]</f>
        <v>0</v>
      </c>
      <c r="I2307" s="13">
        <f>Table6[[#This Row],[discharge_date]]-Table6[[#This Row],[surgery_date]]</f>
        <v>0</v>
      </c>
      <c r="J2307" s="9" t="str">
        <f t="shared" si="55"/>
        <v/>
      </c>
    </row>
    <row r="2308" spans="1:10" ht="23.25" customHeight="1">
      <c r="A2308">
        <f>Table4[[#This Row],[Column1]]</f>
        <v>0</v>
      </c>
      <c r="B2308">
        <f>Table4[[#This Row],[Column2]]</f>
        <v>0</v>
      </c>
      <c r="I2308" s="13">
        <f>Table6[[#This Row],[discharge_date]]-Table6[[#This Row],[surgery_date]]</f>
        <v>0</v>
      </c>
      <c r="J2308" s="9" t="str">
        <f t="shared" si="55"/>
        <v/>
      </c>
    </row>
    <row r="2309" spans="1:10" ht="23.25" customHeight="1">
      <c r="A2309">
        <f>Table4[[#This Row],[Column1]]</f>
        <v>0</v>
      </c>
      <c r="B2309">
        <f>Table4[[#This Row],[Column2]]</f>
        <v>0</v>
      </c>
      <c r="I2309" s="13">
        <f>Table6[[#This Row],[discharge_date]]-Table6[[#This Row],[surgery_date]]</f>
        <v>0</v>
      </c>
      <c r="J2309" s="9" t="str">
        <f t="shared" si="55"/>
        <v/>
      </c>
    </row>
    <row r="2310" spans="1:10" ht="23.25" customHeight="1">
      <c r="A2310">
        <f>Table4[[#This Row],[Column1]]</f>
        <v>0</v>
      </c>
      <c r="B2310">
        <f>Table4[[#This Row],[Column2]]</f>
        <v>0</v>
      </c>
      <c r="I2310" s="13">
        <f>Table6[[#This Row],[discharge_date]]-Table6[[#This Row],[surgery_date]]</f>
        <v>0</v>
      </c>
      <c r="J2310" s="9" t="str">
        <f t="shared" si="55"/>
        <v/>
      </c>
    </row>
    <row r="2311" spans="1:10" ht="23.25" customHeight="1">
      <c r="A2311">
        <f>Table4[[#This Row],[Column1]]</f>
        <v>0</v>
      </c>
      <c r="B2311">
        <f>Table4[[#This Row],[Column2]]</f>
        <v>0</v>
      </c>
      <c r="I2311" s="13">
        <f>Table6[[#This Row],[discharge_date]]-Table6[[#This Row],[surgery_date]]</f>
        <v>0</v>
      </c>
      <c r="J2311" s="9" t="str">
        <f t="shared" si="55"/>
        <v/>
      </c>
    </row>
    <row r="2312" spans="1:10" ht="23.25" customHeight="1">
      <c r="A2312">
        <f>Table4[[#This Row],[Column1]]</f>
        <v>0</v>
      </c>
      <c r="B2312">
        <f>Table4[[#This Row],[Column2]]</f>
        <v>0</v>
      </c>
      <c r="I2312" s="13">
        <f>Table6[[#This Row],[discharge_date]]-Table6[[#This Row],[surgery_date]]</f>
        <v>0</v>
      </c>
      <c r="J2312" s="9" t="str">
        <f t="shared" si="55"/>
        <v/>
      </c>
    </row>
    <row r="2313" spans="1:10" ht="23.25" customHeight="1">
      <c r="A2313">
        <f>Table4[[#This Row],[Column1]]</f>
        <v>0</v>
      </c>
      <c r="B2313">
        <f>Table4[[#This Row],[Column2]]</f>
        <v>0</v>
      </c>
      <c r="I2313" s="13">
        <f>Table6[[#This Row],[discharge_date]]-Table6[[#This Row],[surgery_date]]</f>
        <v>0</v>
      </c>
      <c r="J2313" s="9" t="str">
        <f t="shared" si="55"/>
        <v/>
      </c>
    </row>
    <row r="2314" spans="1:10" ht="23.25" customHeight="1">
      <c r="A2314">
        <f>Table4[[#This Row],[Column1]]</f>
        <v>0</v>
      </c>
      <c r="B2314">
        <f>Table4[[#This Row],[Column2]]</f>
        <v>0</v>
      </c>
      <c r="I2314" s="13">
        <f>Table6[[#This Row],[discharge_date]]-Table6[[#This Row],[surgery_date]]</f>
        <v>0</v>
      </c>
      <c r="J2314" s="9" t="str">
        <f t="shared" si="55"/>
        <v/>
      </c>
    </row>
    <row r="2315" spans="1:10" ht="23.25" customHeight="1">
      <c r="A2315">
        <f>Table4[[#This Row],[Column1]]</f>
        <v>0</v>
      </c>
      <c r="B2315">
        <f>Table4[[#This Row],[Column2]]</f>
        <v>0</v>
      </c>
      <c r="I2315" s="13">
        <f>Table6[[#This Row],[discharge_date]]-Table6[[#This Row],[surgery_date]]</f>
        <v>0</v>
      </c>
      <c r="J2315" s="9" t="str">
        <f t="shared" si="55"/>
        <v/>
      </c>
    </row>
    <row r="2316" spans="1:10" ht="23.25" customHeight="1">
      <c r="A2316">
        <f>Table4[[#This Row],[Column1]]</f>
        <v>0</v>
      </c>
      <c r="B2316">
        <f>Table4[[#This Row],[Column2]]</f>
        <v>0</v>
      </c>
      <c r="I2316" s="13">
        <f>Table6[[#This Row],[discharge_date]]-Table6[[#This Row],[surgery_date]]</f>
        <v>0</v>
      </c>
      <c r="J2316" s="9" t="str">
        <f t="shared" si="55"/>
        <v/>
      </c>
    </row>
    <row r="2317" spans="1:10" ht="23.25" customHeight="1">
      <c r="A2317">
        <f>Table4[[#This Row],[Column1]]</f>
        <v>0</v>
      </c>
      <c r="B2317">
        <f>Table4[[#This Row],[Column2]]</f>
        <v>0</v>
      </c>
      <c r="I2317" s="13">
        <f>Table6[[#This Row],[discharge_date]]-Table6[[#This Row],[surgery_date]]</f>
        <v>0</v>
      </c>
      <c r="J2317" s="9" t="str">
        <f t="shared" si="55"/>
        <v/>
      </c>
    </row>
    <row r="2318" spans="1:10" ht="23.25" customHeight="1">
      <c r="A2318">
        <f>Table4[[#This Row],[Column1]]</f>
        <v>0</v>
      </c>
      <c r="B2318">
        <f>Table4[[#This Row],[Column2]]</f>
        <v>0</v>
      </c>
      <c r="I2318" s="13">
        <f>Table6[[#This Row],[discharge_date]]-Table6[[#This Row],[surgery_date]]</f>
        <v>0</v>
      </c>
      <c r="J2318" s="9" t="str">
        <f t="shared" si="55"/>
        <v/>
      </c>
    </row>
    <row r="2319" spans="1:10" ht="23.25" customHeight="1">
      <c r="A2319">
        <f>Table4[[#This Row],[Column1]]</f>
        <v>0</v>
      </c>
      <c r="B2319">
        <f>Table4[[#This Row],[Column2]]</f>
        <v>0</v>
      </c>
      <c r="I2319" s="13">
        <f>Table6[[#This Row],[discharge_date]]-Table6[[#This Row],[surgery_date]]</f>
        <v>0</v>
      </c>
      <c r="J2319" s="9" t="str">
        <f t="shared" si="55"/>
        <v/>
      </c>
    </row>
    <row r="2320" spans="1:10" ht="23.25" customHeight="1">
      <c r="A2320">
        <f>Table4[[#This Row],[Column1]]</f>
        <v>0</v>
      </c>
      <c r="B2320">
        <f>Table4[[#This Row],[Column2]]</f>
        <v>0</v>
      </c>
      <c r="I2320" s="13">
        <f>Table6[[#This Row],[discharge_date]]-Table6[[#This Row],[surgery_date]]</f>
        <v>0</v>
      </c>
      <c r="J2320" s="9" t="str">
        <f t="shared" si="55"/>
        <v/>
      </c>
    </row>
    <row r="2321" spans="1:10" ht="23.25" customHeight="1">
      <c r="A2321">
        <f>Table4[[#This Row],[Column1]]</f>
        <v>0</v>
      </c>
      <c r="B2321">
        <f>Table4[[#This Row],[Column2]]</f>
        <v>0</v>
      </c>
      <c r="I2321" s="13">
        <f>Table6[[#This Row],[discharge_date]]-Table6[[#This Row],[surgery_date]]</f>
        <v>0</v>
      </c>
      <c r="J2321" s="9" t="str">
        <f t="shared" si="55"/>
        <v/>
      </c>
    </row>
    <row r="2322" spans="1:10" ht="23.25" customHeight="1">
      <c r="A2322">
        <f>Table4[[#This Row],[Column1]]</f>
        <v>0</v>
      </c>
      <c r="B2322">
        <f>Table4[[#This Row],[Column2]]</f>
        <v>0</v>
      </c>
      <c r="I2322" s="13">
        <f>Table6[[#This Row],[discharge_date]]-Table6[[#This Row],[surgery_date]]</f>
        <v>0</v>
      </c>
      <c r="J2322" s="9" t="str">
        <f t="shared" si="55"/>
        <v/>
      </c>
    </row>
    <row r="2323" spans="1:10" ht="23.25" customHeight="1">
      <c r="A2323">
        <f>Table4[[#This Row],[Column1]]</f>
        <v>0</v>
      </c>
      <c r="B2323">
        <f>Table4[[#This Row],[Column2]]</f>
        <v>0</v>
      </c>
      <c r="I2323" s="13">
        <f>Table6[[#This Row],[discharge_date]]-Table6[[#This Row],[surgery_date]]</f>
        <v>0</v>
      </c>
      <c r="J2323" s="9" t="str">
        <f t="shared" si="55"/>
        <v/>
      </c>
    </row>
    <row r="2324" spans="1:10" ht="23.25" customHeight="1">
      <c r="A2324">
        <f>Table4[[#This Row],[Column1]]</f>
        <v>0</v>
      </c>
      <c r="B2324">
        <f>Table4[[#This Row],[Column2]]</f>
        <v>0</v>
      </c>
      <c r="I2324" s="13">
        <f>Table6[[#This Row],[discharge_date]]-Table6[[#This Row],[surgery_date]]</f>
        <v>0</v>
      </c>
      <c r="J2324" s="9" t="str">
        <f t="shared" si="55"/>
        <v/>
      </c>
    </row>
    <row r="2325" spans="1:10" ht="23.25" customHeight="1">
      <c r="A2325">
        <f>Table4[[#This Row],[Column1]]</f>
        <v>0</v>
      </c>
      <c r="B2325">
        <f>Table4[[#This Row],[Column2]]</f>
        <v>0</v>
      </c>
      <c r="I2325" s="13">
        <f>Table6[[#This Row],[discharge_date]]-Table6[[#This Row],[surgery_date]]</f>
        <v>0</v>
      </c>
      <c r="J2325" s="9" t="str">
        <f t="shared" si="55"/>
        <v/>
      </c>
    </row>
    <row r="2326" spans="1:10" ht="23.25" customHeight="1">
      <c r="A2326">
        <f>Table4[[#This Row],[Column1]]</f>
        <v>0</v>
      </c>
      <c r="B2326">
        <f>Table4[[#This Row],[Column2]]</f>
        <v>0</v>
      </c>
      <c r="I2326" s="13">
        <f>Table6[[#This Row],[discharge_date]]-Table6[[#This Row],[surgery_date]]</f>
        <v>0</v>
      </c>
      <c r="J2326" s="9" t="str">
        <f t="shared" si="55"/>
        <v/>
      </c>
    </row>
    <row r="2327" spans="1:10" ht="23.25" customHeight="1">
      <c r="A2327">
        <f>Table4[[#This Row],[Column1]]</f>
        <v>0</v>
      </c>
      <c r="B2327">
        <f>Table4[[#This Row],[Column2]]</f>
        <v>0</v>
      </c>
      <c r="I2327" s="13">
        <f>Table6[[#This Row],[discharge_date]]-Table6[[#This Row],[surgery_date]]</f>
        <v>0</v>
      </c>
      <c r="J2327" s="9" t="str">
        <f t="shared" si="55"/>
        <v/>
      </c>
    </row>
    <row r="2328" spans="1:10" ht="23.25" customHeight="1">
      <c r="A2328">
        <f>Table4[[#This Row],[Column1]]</f>
        <v>0</v>
      </c>
      <c r="B2328">
        <f>Table4[[#This Row],[Column2]]</f>
        <v>0</v>
      </c>
      <c r="I2328" s="13">
        <f>Table6[[#This Row],[discharge_date]]-Table6[[#This Row],[surgery_date]]</f>
        <v>0</v>
      </c>
      <c r="J2328" s="9" t="str">
        <f t="shared" si="55"/>
        <v/>
      </c>
    </row>
    <row r="2329" spans="1:10" ht="23.25" customHeight="1">
      <c r="A2329">
        <f>Table4[[#This Row],[Column1]]</f>
        <v>0</v>
      </c>
      <c r="B2329">
        <f>Table4[[#This Row],[Column2]]</f>
        <v>0</v>
      </c>
      <c r="I2329" s="13">
        <f>Table6[[#This Row],[discharge_date]]-Table6[[#This Row],[surgery_date]]</f>
        <v>0</v>
      </c>
      <c r="J2329" s="9" t="str">
        <f t="shared" si="55"/>
        <v/>
      </c>
    </row>
    <row r="2330" spans="1:10" ht="23.25" customHeight="1">
      <c r="A2330">
        <f>Table4[[#This Row],[Column1]]</f>
        <v>0</v>
      </c>
      <c r="B2330">
        <f>Table4[[#This Row],[Column2]]</f>
        <v>0</v>
      </c>
      <c r="I2330" s="13">
        <f>Table6[[#This Row],[discharge_date]]-Table6[[#This Row],[surgery_date]]</f>
        <v>0</v>
      </c>
      <c r="J2330" s="9" t="str">
        <f t="shared" si="55"/>
        <v/>
      </c>
    </row>
    <row r="2331" spans="1:10" ht="23.25" customHeight="1">
      <c r="A2331">
        <f>Table4[[#This Row],[Column1]]</f>
        <v>0</v>
      </c>
      <c r="B2331">
        <f>Table4[[#This Row],[Column2]]</f>
        <v>0</v>
      </c>
      <c r="I2331" s="13">
        <f>Table6[[#This Row],[discharge_date]]-Table6[[#This Row],[surgery_date]]</f>
        <v>0</v>
      </c>
      <c r="J2331" s="9" t="str">
        <f t="shared" si="55"/>
        <v/>
      </c>
    </row>
    <row r="2332" spans="1:10" ht="23.25" customHeight="1">
      <c r="A2332">
        <f>Table4[[#This Row],[Column1]]</f>
        <v>0</v>
      </c>
      <c r="B2332">
        <f>Table4[[#This Row],[Column2]]</f>
        <v>0</v>
      </c>
      <c r="I2332" s="13">
        <f>Table6[[#This Row],[discharge_date]]-Table6[[#This Row],[surgery_date]]</f>
        <v>0</v>
      </c>
      <c r="J2332" s="9" t="str">
        <f t="shared" si="55"/>
        <v/>
      </c>
    </row>
    <row r="2333" spans="1:10" ht="23.25" customHeight="1">
      <c r="A2333">
        <f>Table4[[#This Row],[Column1]]</f>
        <v>0</v>
      </c>
      <c r="B2333">
        <f>Table4[[#This Row],[Column2]]</f>
        <v>0</v>
      </c>
      <c r="I2333" s="13">
        <f>Table6[[#This Row],[discharge_date]]-Table6[[#This Row],[surgery_date]]</f>
        <v>0</v>
      </c>
      <c r="J2333" s="9" t="str">
        <f t="shared" si="55"/>
        <v/>
      </c>
    </row>
    <row r="2334" spans="1:10" ht="23.25" customHeight="1">
      <c r="A2334">
        <f>Table4[[#This Row],[Column1]]</f>
        <v>0</v>
      </c>
      <c r="B2334">
        <f>Table4[[#This Row],[Column2]]</f>
        <v>0</v>
      </c>
      <c r="I2334" s="13">
        <f>Table6[[#This Row],[discharge_date]]-Table6[[#This Row],[surgery_date]]</f>
        <v>0</v>
      </c>
      <c r="J2334" s="9" t="str">
        <f t="shared" si="55"/>
        <v/>
      </c>
    </row>
    <row r="2335" spans="1:10" ht="23.25" customHeight="1">
      <c r="A2335">
        <f>Table4[[#This Row],[Column1]]</f>
        <v>0</v>
      </c>
      <c r="B2335">
        <f>Table4[[#This Row],[Column2]]</f>
        <v>0</v>
      </c>
      <c r="I2335" s="13">
        <f>Table6[[#This Row],[discharge_date]]-Table6[[#This Row],[surgery_date]]</f>
        <v>0</v>
      </c>
      <c r="J2335" s="9" t="str">
        <f t="shared" si="55"/>
        <v/>
      </c>
    </row>
    <row r="2336" spans="1:10" ht="23.25" customHeight="1">
      <c r="A2336">
        <f>Table4[[#This Row],[Column1]]</f>
        <v>0</v>
      </c>
      <c r="B2336">
        <f>Table4[[#This Row],[Column2]]</f>
        <v>0</v>
      </c>
      <c r="I2336" s="13">
        <f>Table6[[#This Row],[discharge_date]]-Table6[[#This Row],[surgery_date]]</f>
        <v>0</v>
      </c>
      <c r="J2336" s="9" t="str">
        <f t="shared" si="55"/>
        <v/>
      </c>
    </row>
    <row r="2337" spans="1:10" ht="23.25" customHeight="1">
      <c r="A2337">
        <f>Table4[[#This Row],[Column1]]</f>
        <v>0</v>
      </c>
      <c r="B2337">
        <f>Table4[[#This Row],[Column2]]</f>
        <v>0</v>
      </c>
      <c r="I2337" s="13">
        <f>Table6[[#This Row],[discharge_date]]-Table6[[#This Row],[surgery_date]]</f>
        <v>0</v>
      </c>
      <c r="J2337" s="9" t="str">
        <f t="shared" si="55"/>
        <v/>
      </c>
    </row>
    <row r="2338" spans="1:10" ht="23.25" customHeight="1">
      <c r="A2338">
        <f>Table4[[#This Row],[Column1]]</f>
        <v>0</v>
      </c>
      <c r="B2338">
        <f>Table4[[#This Row],[Column2]]</f>
        <v>0</v>
      </c>
      <c r="I2338" s="13">
        <f>Table6[[#This Row],[discharge_date]]-Table6[[#This Row],[surgery_date]]</f>
        <v>0</v>
      </c>
      <c r="J2338" s="9" t="str">
        <f t="shared" si="55"/>
        <v/>
      </c>
    </row>
    <row r="2339" spans="1:10" ht="23.25" customHeight="1">
      <c r="A2339">
        <f>Table4[[#This Row],[Column1]]</f>
        <v>0</v>
      </c>
      <c r="B2339">
        <f>Table4[[#This Row],[Column2]]</f>
        <v>0</v>
      </c>
      <c r="I2339" s="13">
        <f>Table6[[#This Row],[discharge_date]]-Table6[[#This Row],[surgery_date]]</f>
        <v>0</v>
      </c>
      <c r="J2339" s="9" t="str">
        <f t="shared" si="55"/>
        <v/>
      </c>
    </row>
    <row r="2340" spans="1:10" ht="23.25" customHeight="1">
      <c r="A2340">
        <f>Table4[[#This Row],[Column1]]</f>
        <v>0</v>
      </c>
      <c r="B2340">
        <f>Table4[[#This Row],[Column2]]</f>
        <v>0</v>
      </c>
      <c r="I2340" s="13">
        <f>Table6[[#This Row],[discharge_date]]-Table6[[#This Row],[surgery_date]]</f>
        <v>0</v>
      </c>
      <c r="J2340" s="9" t="str">
        <f t="shared" si="55"/>
        <v/>
      </c>
    </row>
    <row r="2341" spans="1:10" ht="23.25" customHeight="1">
      <c r="A2341">
        <f>Table4[[#This Row],[Column1]]</f>
        <v>0</v>
      </c>
      <c r="B2341">
        <f>Table4[[#This Row],[Column2]]</f>
        <v>0</v>
      </c>
      <c r="I2341" s="13">
        <f>Table6[[#This Row],[discharge_date]]-Table6[[#This Row],[surgery_date]]</f>
        <v>0</v>
      </c>
      <c r="J2341" s="9" t="str">
        <f t="shared" si="55"/>
        <v/>
      </c>
    </row>
    <row r="2342" spans="1:10" ht="23.25" customHeight="1">
      <c r="A2342">
        <f>Table4[[#This Row],[Column1]]</f>
        <v>0</v>
      </c>
      <c r="B2342">
        <f>Table4[[#This Row],[Column2]]</f>
        <v>0</v>
      </c>
      <c r="I2342" s="13">
        <f>Table6[[#This Row],[discharge_date]]-Table6[[#This Row],[surgery_date]]</f>
        <v>0</v>
      </c>
      <c r="J2342" s="9" t="str">
        <f t="shared" si="55"/>
        <v/>
      </c>
    </row>
    <row r="2343" spans="1:10" ht="23.25" customHeight="1">
      <c r="A2343">
        <f>Table4[[#This Row],[Column1]]</f>
        <v>0</v>
      </c>
      <c r="B2343">
        <f>Table4[[#This Row],[Column2]]</f>
        <v>0</v>
      </c>
      <c r="I2343" s="13">
        <f>Table6[[#This Row],[discharge_date]]-Table6[[#This Row],[surgery_date]]</f>
        <v>0</v>
      </c>
      <c r="J2343" s="9" t="str">
        <f t="shared" si="55"/>
        <v/>
      </c>
    </row>
    <row r="2344" spans="1:10" ht="23.25" customHeight="1">
      <c r="A2344">
        <f>Table4[[#This Row],[Column1]]</f>
        <v>0</v>
      </c>
      <c r="B2344">
        <f>Table4[[#This Row],[Column2]]</f>
        <v>0</v>
      </c>
      <c r="I2344" s="13">
        <f>Table6[[#This Row],[discharge_date]]-Table6[[#This Row],[surgery_date]]</f>
        <v>0</v>
      </c>
      <c r="J2344" s="9" t="str">
        <f t="shared" si="55"/>
        <v/>
      </c>
    </row>
    <row r="2345" spans="1:10" ht="23.25" customHeight="1">
      <c r="A2345">
        <f>Table4[[#This Row],[Column1]]</f>
        <v>0</v>
      </c>
      <c r="B2345">
        <f>Table4[[#This Row],[Column2]]</f>
        <v>0</v>
      </c>
      <c r="I2345" s="13">
        <f>Table6[[#This Row],[discharge_date]]-Table6[[#This Row],[surgery_date]]</f>
        <v>0</v>
      </c>
      <c r="J2345" s="9" t="str">
        <f t="shared" si="55"/>
        <v/>
      </c>
    </row>
    <row r="2346" spans="1:10" ht="23.25" customHeight="1">
      <c r="A2346">
        <f>Table4[[#This Row],[Column1]]</f>
        <v>0</v>
      </c>
      <c r="B2346">
        <f>Table4[[#This Row],[Column2]]</f>
        <v>0</v>
      </c>
      <c r="I2346" s="13">
        <f>Table6[[#This Row],[discharge_date]]-Table6[[#This Row],[surgery_date]]</f>
        <v>0</v>
      </c>
      <c r="J2346" s="9" t="str">
        <f t="shared" si="55"/>
        <v/>
      </c>
    </row>
    <row r="2347" spans="1:10" ht="23.25" customHeight="1">
      <c r="A2347">
        <f>Table4[[#This Row],[Column1]]</f>
        <v>0</v>
      </c>
      <c r="B2347">
        <f>Table4[[#This Row],[Column2]]</f>
        <v>0</v>
      </c>
      <c r="I2347" s="13">
        <f>Table6[[#This Row],[discharge_date]]-Table6[[#This Row],[surgery_date]]</f>
        <v>0</v>
      </c>
      <c r="J2347" s="9" t="str">
        <f t="shared" si="55"/>
        <v/>
      </c>
    </row>
    <row r="2348" spans="1:10" ht="23.25" customHeight="1">
      <c r="A2348">
        <f>Table4[[#This Row],[Column1]]</f>
        <v>0</v>
      </c>
      <c r="B2348">
        <f>Table4[[#This Row],[Column2]]</f>
        <v>0</v>
      </c>
      <c r="I2348" s="13">
        <f>Table6[[#This Row],[discharge_date]]-Table6[[#This Row],[surgery_date]]</f>
        <v>0</v>
      </c>
      <c r="J2348" s="9" t="str">
        <f t="shared" si="55"/>
        <v/>
      </c>
    </row>
    <row r="2349" spans="1:10" ht="23.25" customHeight="1">
      <c r="A2349">
        <f>Table4[[#This Row],[Column1]]</f>
        <v>0</v>
      </c>
      <c r="B2349">
        <f>Table4[[#This Row],[Column2]]</f>
        <v>0</v>
      </c>
      <c r="I2349" s="13">
        <f>Table6[[#This Row],[discharge_date]]-Table6[[#This Row],[surgery_date]]</f>
        <v>0</v>
      </c>
      <c r="J2349" s="9" t="str">
        <f t="shared" si="55"/>
        <v/>
      </c>
    </row>
    <row r="2350" spans="1:10" ht="23.25" customHeight="1">
      <c r="A2350">
        <f>Table4[[#This Row],[Column1]]</f>
        <v>0</v>
      </c>
      <c r="B2350">
        <f>Table4[[#This Row],[Column2]]</f>
        <v>0</v>
      </c>
      <c r="I2350" s="13">
        <f>Table6[[#This Row],[discharge_date]]-Table6[[#This Row],[surgery_date]]</f>
        <v>0</v>
      </c>
      <c r="J2350" s="9" t="str">
        <f t="shared" si="55"/>
        <v/>
      </c>
    </row>
    <row r="2351" spans="1:10" ht="23.25" customHeight="1">
      <c r="A2351">
        <f>Table4[[#This Row],[Column1]]</f>
        <v>0</v>
      </c>
      <c r="B2351">
        <f>Table4[[#This Row],[Column2]]</f>
        <v>0</v>
      </c>
      <c r="I2351" s="13">
        <f>Table6[[#This Row],[discharge_date]]-Table6[[#This Row],[surgery_date]]</f>
        <v>0</v>
      </c>
      <c r="J2351" s="9" t="str">
        <f t="shared" si="55"/>
        <v/>
      </c>
    </row>
    <row r="2352" spans="1:10" ht="23.25" customHeight="1">
      <c r="A2352">
        <f>Table4[[#This Row],[Column1]]</f>
        <v>0</v>
      </c>
      <c r="B2352">
        <f>Table4[[#This Row],[Column2]]</f>
        <v>0</v>
      </c>
      <c r="I2352" s="13">
        <f>Table6[[#This Row],[discharge_date]]-Table6[[#This Row],[surgery_date]]</f>
        <v>0</v>
      </c>
      <c r="J2352" s="9" t="str">
        <f t="shared" si="55"/>
        <v/>
      </c>
    </row>
    <row r="2353" spans="1:10" ht="23.25" customHeight="1">
      <c r="A2353">
        <f>Table4[[#This Row],[Column1]]</f>
        <v>0</v>
      </c>
      <c r="B2353">
        <f>Table4[[#This Row],[Column2]]</f>
        <v>0</v>
      </c>
      <c r="I2353" s="13">
        <f>Table6[[#This Row],[discharge_date]]-Table6[[#This Row],[surgery_date]]</f>
        <v>0</v>
      </c>
      <c r="J2353" s="9" t="str">
        <f t="shared" si="55"/>
        <v/>
      </c>
    </row>
    <row r="2354" spans="1:10" ht="23.25" customHeight="1">
      <c r="A2354">
        <f>Table4[[#This Row],[Column1]]</f>
        <v>0</v>
      </c>
      <c r="B2354">
        <f>Table4[[#This Row],[Column2]]</f>
        <v>0</v>
      </c>
      <c r="I2354" s="13">
        <f>Table6[[#This Row],[discharge_date]]-Table6[[#This Row],[surgery_date]]</f>
        <v>0</v>
      </c>
      <c r="J2354" s="9" t="str">
        <f t="shared" si="55"/>
        <v/>
      </c>
    </row>
    <row r="2355" spans="1:10" ht="23.25" customHeight="1">
      <c r="A2355">
        <f>Table4[[#This Row],[Column1]]</f>
        <v>0</v>
      </c>
      <c r="B2355">
        <f>Table4[[#This Row],[Column2]]</f>
        <v>0</v>
      </c>
      <c r="I2355" s="13">
        <f>Table6[[#This Row],[discharge_date]]-Table6[[#This Row],[surgery_date]]</f>
        <v>0</v>
      </c>
      <c r="J2355" s="9" t="str">
        <f t="shared" si="55"/>
        <v/>
      </c>
    </row>
    <row r="2356" spans="1:10" ht="23.25" customHeight="1">
      <c r="A2356">
        <f>Table4[[#This Row],[Column1]]</f>
        <v>0</v>
      </c>
      <c r="B2356">
        <f>Table4[[#This Row],[Column2]]</f>
        <v>0</v>
      </c>
      <c r="I2356" s="13">
        <f>Table6[[#This Row],[discharge_date]]-Table6[[#This Row],[surgery_date]]</f>
        <v>0</v>
      </c>
      <c r="J2356" s="9" t="str">
        <f t="shared" si="55"/>
        <v/>
      </c>
    </row>
    <row r="2357" spans="1:10" ht="23.25" customHeight="1">
      <c r="A2357">
        <f>Table4[[#This Row],[Column1]]</f>
        <v>0</v>
      </c>
      <c r="B2357">
        <f>Table4[[#This Row],[Column2]]</f>
        <v>0</v>
      </c>
      <c r="I2357" s="13">
        <f>Table6[[#This Row],[discharge_date]]-Table6[[#This Row],[surgery_date]]</f>
        <v>0</v>
      </c>
      <c r="J2357" s="9" t="str">
        <f t="shared" si="55"/>
        <v/>
      </c>
    </row>
    <row r="2358" spans="1:10" ht="23.25" customHeight="1">
      <c r="A2358">
        <f>Table4[[#This Row],[Column1]]</f>
        <v>0</v>
      </c>
      <c r="B2358">
        <f>Table4[[#This Row],[Column2]]</f>
        <v>0</v>
      </c>
      <c r="I2358" s="13">
        <f>Table6[[#This Row],[discharge_date]]-Table6[[#This Row],[surgery_date]]</f>
        <v>0</v>
      </c>
      <c r="J2358" s="9" t="str">
        <f t="shared" si="55"/>
        <v/>
      </c>
    </row>
    <row r="2359" spans="1:10" ht="23.25" customHeight="1">
      <c r="A2359">
        <f>Table4[[#This Row],[Column1]]</f>
        <v>0</v>
      </c>
      <c r="B2359">
        <f>Table4[[#This Row],[Column2]]</f>
        <v>0</v>
      </c>
      <c r="I2359" s="13">
        <f>Table6[[#This Row],[discharge_date]]-Table6[[#This Row],[surgery_date]]</f>
        <v>0</v>
      </c>
      <c r="J2359" s="9" t="str">
        <f t="shared" si="55"/>
        <v/>
      </c>
    </row>
    <row r="2360" spans="1:10" ht="23.25" customHeight="1">
      <c r="A2360">
        <f>Table4[[#This Row],[Column1]]</f>
        <v>0</v>
      </c>
      <c r="B2360">
        <f>Table4[[#This Row],[Column2]]</f>
        <v>0</v>
      </c>
      <c r="I2360" s="13">
        <f>Table6[[#This Row],[discharge_date]]-Table6[[#This Row],[surgery_date]]</f>
        <v>0</v>
      </c>
      <c r="J2360" s="9" t="str">
        <f t="shared" si="55"/>
        <v/>
      </c>
    </row>
    <row r="2361" spans="1:10" ht="23.25" customHeight="1">
      <c r="A2361">
        <f>Table4[[#This Row],[Column1]]</f>
        <v>0</v>
      </c>
      <c r="B2361">
        <f>Table4[[#This Row],[Column2]]</f>
        <v>0</v>
      </c>
      <c r="I2361" s="13">
        <f>Table6[[#This Row],[discharge_date]]-Table6[[#This Row],[surgery_date]]</f>
        <v>0</v>
      </c>
      <c r="J2361" s="9" t="str">
        <f t="shared" si="55"/>
        <v/>
      </c>
    </row>
    <row r="2362" spans="1:10" ht="23.25" customHeight="1">
      <c r="A2362">
        <f>Table4[[#This Row],[Column1]]</f>
        <v>0</v>
      </c>
      <c r="B2362">
        <f>Table4[[#This Row],[Column2]]</f>
        <v>0</v>
      </c>
      <c r="I2362" s="13">
        <f>Table6[[#This Row],[discharge_date]]-Table6[[#This Row],[surgery_date]]</f>
        <v>0</v>
      </c>
      <c r="J2362" s="9" t="str">
        <f t="shared" si="55"/>
        <v/>
      </c>
    </row>
    <row r="2363" spans="1:10" ht="23.25" customHeight="1">
      <c r="A2363">
        <f>Table4[[#This Row],[Column1]]</f>
        <v>0</v>
      </c>
      <c r="B2363">
        <f>Table4[[#This Row],[Column2]]</f>
        <v>0</v>
      </c>
      <c r="I2363" s="13">
        <f>Table6[[#This Row],[discharge_date]]-Table6[[#This Row],[surgery_date]]</f>
        <v>0</v>
      </c>
      <c r="J2363" s="9" t="str">
        <f t="shared" si="55"/>
        <v/>
      </c>
    </row>
    <row r="2364" spans="1:10" ht="23.25" customHeight="1">
      <c r="A2364">
        <f>Table4[[#This Row],[Column1]]</f>
        <v>0</v>
      </c>
      <c r="B2364">
        <f>Table4[[#This Row],[Column2]]</f>
        <v>0</v>
      </c>
      <c r="I2364" s="13">
        <f>Table6[[#This Row],[discharge_date]]-Table6[[#This Row],[surgery_date]]</f>
        <v>0</v>
      </c>
      <c r="J2364" s="9" t="str">
        <f t="shared" si="55"/>
        <v/>
      </c>
    </row>
    <row r="2365" spans="1:10" ht="23.25" customHeight="1">
      <c r="A2365">
        <f>Table4[[#This Row],[Column1]]</f>
        <v>0</v>
      </c>
      <c r="B2365">
        <f>Table4[[#This Row],[Column2]]</f>
        <v>0</v>
      </c>
      <c r="I2365" s="13">
        <f>Table6[[#This Row],[discharge_date]]-Table6[[#This Row],[surgery_date]]</f>
        <v>0</v>
      </c>
      <c r="J2365" s="9" t="str">
        <f t="shared" si="55"/>
        <v/>
      </c>
    </row>
    <row r="2366" spans="1:10" ht="23.25" customHeight="1">
      <c r="A2366">
        <f>Table4[[#This Row],[Column1]]</f>
        <v>0</v>
      </c>
      <c r="B2366">
        <f>Table4[[#This Row],[Column2]]</f>
        <v>0</v>
      </c>
      <c r="I2366" s="13">
        <f>Table6[[#This Row],[discharge_date]]-Table6[[#This Row],[surgery_date]]</f>
        <v>0</v>
      </c>
      <c r="J2366" s="9" t="str">
        <f t="shared" si="55"/>
        <v/>
      </c>
    </row>
    <row r="2367" spans="1:10" ht="23.25" customHeight="1">
      <c r="A2367">
        <f>Table4[[#This Row],[Column1]]</f>
        <v>0</v>
      </c>
      <c r="B2367">
        <f>Table4[[#This Row],[Column2]]</f>
        <v>0</v>
      </c>
      <c r="I2367" s="13">
        <f>Table6[[#This Row],[discharge_date]]-Table6[[#This Row],[surgery_date]]</f>
        <v>0</v>
      </c>
      <c r="J2367" s="9" t="str">
        <f t="shared" si="55"/>
        <v/>
      </c>
    </row>
    <row r="2368" spans="1:10" ht="23.25" customHeight="1">
      <c r="A2368">
        <f>Table4[[#This Row],[Column1]]</f>
        <v>0</v>
      </c>
      <c r="B2368">
        <f>Table4[[#This Row],[Column2]]</f>
        <v>0</v>
      </c>
      <c r="I2368" s="13">
        <f>Table6[[#This Row],[discharge_date]]-Table6[[#This Row],[surgery_date]]</f>
        <v>0</v>
      </c>
      <c r="J2368" s="9" t="str">
        <f t="shared" si="55"/>
        <v/>
      </c>
    </row>
    <row r="2369" spans="1:10" ht="23.25" customHeight="1">
      <c r="A2369">
        <f>Table4[[#This Row],[Column1]]</f>
        <v>0</v>
      </c>
      <c r="B2369">
        <f>Table4[[#This Row],[Column2]]</f>
        <v>0</v>
      </c>
      <c r="I2369" s="13">
        <f>Table6[[#This Row],[discharge_date]]-Table6[[#This Row],[surgery_date]]</f>
        <v>0</v>
      </c>
      <c r="J2369" s="9" t="str">
        <f t="shared" si="55"/>
        <v/>
      </c>
    </row>
    <row r="2370" spans="1:10" ht="23.25" customHeight="1">
      <c r="A2370">
        <f>Table4[[#This Row],[Column1]]</f>
        <v>0</v>
      </c>
      <c r="B2370">
        <f>Table4[[#This Row],[Column2]]</f>
        <v>0</v>
      </c>
      <c r="I2370" s="13">
        <f>Table6[[#This Row],[discharge_date]]-Table6[[#This Row],[surgery_date]]</f>
        <v>0</v>
      </c>
      <c r="J2370" s="9" t="str">
        <f t="shared" ref="J2370:J2433" si="56">IF( H2370&lt;&gt;"", H2370+30,"")</f>
        <v/>
      </c>
    </row>
    <row r="2371" spans="1:10" ht="23.25" customHeight="1">
      <c r="A2371">
        <f>Table4[[#This Row],[Column1]]</f>
        <v>0</v>
      </c>
      <c r="B2371">
        <f>Table4[[#This Row],[Column2]]</f>
        <v>0</v>
      </c>
      <c r="I2371" s="13">
        <f>Table6[[#This Row],[discharge_date]]-Table6[[#This Row],[surgery_date]]</f>
        <v>0</v>
      </c>
      <c r="J2371" s="9" t="str">
        <f t="shared" si="56"/>
        <v/>
      </c>
    </row>
    <row r="2372" spans="1:10" ht="23.25" customHeight="1">
      <c r="A2372">
        <f>Table4[[#This Row],[Column1]]</f>
        <v>0</v>
      </c>
      <c r="B2372">
        <f>Table4[[#This Row],[Column2]]</f>
        <v>0</v>
      </c>
      <c r="I2372" s="13">
        <f>Table6[[#This Row],[discharge_date]]-Table6[[#This Row],[surgery_date]]</f>
        <v>0</v>
      </c>
      <c r="J2372" s="9" t="str">
        <f t="shared" si="56"/>
        <v/>
      </c>
    </row>
    <row r="2373" spans="1:10" ht="23.25" customHeight="1">
      <c r="A2373">
        <f>Table4[[#This Row],[Column1]]</f>
        <v>0</v>
      </c>
      <c r="B2373">
        <f>Table4[[#This Row],[Column2]]</f>
        <v>0</v>
      </c>
      <c r="I2373" s="13">
        <f>Table6[[#This Row],[discharge_date]]-Table6[[#This Row],[surgery_date]]</f>
        <v>0</v>
      </c>
      <c r="J2373" s="9" t="str">
        <f t="shared" si="56"/>
        <v/>
      </c>
    </row>
    <row r="2374" spans="1:10" ht="23.25" customHeight="1">
      <c r="A2374">
        <f>Table4[[#This Row],[Column1]]</f>
        <v>0</v>
      </c>
      <c r="B2374">
        <f>Table4[[#This Row],[Column2]]</f>
        <v>0</v>
      </c>
      <c r="I2374" s="13">
        <f>Table6[[#This Row],[discharge_date]]-Table6[[#This Row],[surgery_date]]</f>
        <v>0</v>
      </c>
      <c r="J2374" s="9" t="str">
        <f t="shared" si="56"/>
        <v/>
      </c>
    </row>
    <row r="2375" spans="1:10" ht="23.25" customHeight="1">
      <c r="A2375">
        <f>Table4[[#This Row],[Column1]]</f>
        <v>0</v>
      </c>
      <c r="B2375">
        <f>Table4[[#This Row],[Column2]]</f>
        <v>0</v>
      </c>
      <c r="I2375" s="13">
        <f>Table6[[#This Row],[discharge_date]]-Table6[[#This Row],[surgery_date]]</f>
        <v>0</v>
      </c>
      <c r="J2375" s="9" t="str">
        <f t="shared" si="56"/>
        <v/>
      </c>
    </row>
    <row r="2376" spans="1:10" ht="23.25" customHeight="1">
      <c r="A2376">
        <f>Table4[[#This Row],[Column1]]</f>
        <v>0</v>
      </c>
      <c r="B2376">
        <f>Table4[[#This Row],[Column2]]</f>
        <v>0</v>
      </c>
      <c r="I2376" s="13">
        <f>Table6[[#This Row],[discharge_date]]-Table6[[#This Row],[surgery_date]]</f>
        <v>0</v>
      </c>
      <c r="J2376" s="9" t="str">
        <f t="shared" si="56"/>
        <v/>
      </c>
    </row>
    <row r="2377" spans="1:10" ht="23.25" customHeight="1">
      <c r="A2377">
        <f>Table4[[#This Row],[Column1]]</f>
        <v>0</v>
      </c>
      <c r="B2377">
        <f>Table4[[#This Row],[Column2]]</f>
        <v>0</v>
      </c>
      <c r="I2377" s="13">
        <f>Table6[[#This Row],[discharge_date]]-Table6[[#This Row],[surgery_date]]</f>
        <v>0</v>
      </c>
      <c r="J2377" s="9" t="str">
        <f t="shared" si="56"/>
        <v/>
      </c>
    </row>
    <row r="2378" spans="1:10" ht="23.25" customHeight="1">
      <c r="A2378">
        <f>Table4[[#This Row],[Column1]]</f>
        <v>0</v>
      </c>
      <c r="B2378">
        <f>Table4[[#This Row],[Column2]]</f>
        <v>0</v>
      </c>
      <c r="I2378" s="13">
        <f>Table6[[#This Row],[discharge_date]]-Table6[[#This Row],[surgery_date]]</f>
        <v>0</v>
      </c>
      <c r="J2378" s="9" t="str">
        <f t="shared" si="56"/>
        <v/>
      </c>
    </row>
    <row r="2379" spans="1:10" ht="23.25" customHeight="1">
      <c r="A2379">
        <f>Table4[[#This Row],[Column1]]</f>
        <v>0</v>
      </c>
      <c r="B2379">
        <f>Table4[[#This Row],[Column2]]</f>
        <v>0</v>
      </c>
      <c r="I2379" s="13">
        <f>Table6[[#This Row],[discharge_date]]-Table6[[#This Row],[surgery_date]]</f>
        <v>0</v>
      </c>
      <c r="J2379" s="9" t="str">
        <f t="shared" si="56"/>
        <v/>
      </c>
    </row>
    <row r="2380" spans="1:10" ht="23.25" customHeight="1">
      <c r="A2380">
        <f>Table4[[#This Row],[Column1]]</f>
        <v>0</v>
      </c>
      <c r="B2380">
        <f>Table4[[#This Row],[Column2]]</f>
        <v>0</v>
      </c>
      <c r="I2380" s="13">
        <f>Table6[[#This Row],[discharge_date]]-Table6[[#This Row],[surgery_date]]</f>
        <v>0</v>
      </c>
      <c r="J2380" s="9" t="str">
        <f t="shared" si="56"/>
        <v/>
      </c>
    </row>
    <row r="2381" spans="1:10" ht="23.25" customHeight="1">
      <c r="A2381">
        <f>Table4[[#This Row],[Column1]]</f>
        <v>0</v>
      </c>
      <c r="B2381">
        <f>Table4[[#This Row],[Column2]]</f>
        <v>0</v>
      </c>
      <c r="I2381" s="13">
        <f>Table6[[#This Row],[discharge_date]]-Table6[[#This Row],[surgery_date]]</f>
        <v>0</v>
      </c>
      <c r="J2381" s="9" t="str">
        <f t="shared" si="56"/>
        <v/>
      </c>
    </row>
    <row r="2382" spans="1:10" ht="23.25" customHeight="1">
      <c r="A2382">
        <f>Table4[[#This Row],[Column1]]</f>
        <v>0</v>
      </c>
      <c r="B2382">
        <f>Table4[[#This Row],[Column2]]</f>
        <v>0</v>
      </c>
      <c r="I2382" s="13">
        <f>Table6[[#This Row],[discharge_date]]-Table6[[#This Row],[surgery_date]]</f>
        <v>0</v>
      </c>
      <c r="J2382" s="9" t="str">
        <f t="shared" si="56"/>
        <v/>
      </c>
    </row>
    <row r="2383" spans="1:10" ht="23.25" customHeight="1">
      <c r="A2383">
        <f>Table4[[#This Row],[Column1]]</f>
        <v>0</v>
      </c>
      <c r="B2383">
        <f>Table4[[#This Row],[Column2]]</f>
        <v>0</v>
      </c>
      <c r="I2383" s="13">
        <f>Table6[[#This Row],[discharge_date]]-Table6[[#This Row],[surgery_date]]</f>
        <v>0</v>
      </c>
      <c r="J2383" s="9" t="str">
        <f t="shared" si="56"/>
        <v/>
      </c>
    </row>
    <row r="2384" spans="1:10" ht="23.25" customHeight="1">
      <c r="A2384">
        <f>Table4[[#This Row],[Column1]]</f>
        <v>0</v>
      </c>
      <c r="B2384">
        <f>Table4[[#This Row],[Column2]]</f>
        <v>0</v>
      </c>
      <c r="I2384" s="13">
        <f>Table6[[#This Row],[discharge_date]]-Table6[[#This Row],[surgery_date]]</f>
        <v>0</v>
      </c>
      <c r="J2384" s="9" t="str">
        <f t="shared" si="56"/>
        <v/>
      </c>
    </row>
    <row r="2385" spans="1:10" ht="23.25" customHeight="1">
      <c r="A2385">
        <f>Table4[[#This Row],[Column1]]</f>
        <v>0</v>
      </c>
      <c r="B2385">
        <f>Table4[[#This Row],[Column2]]</f>
        <v>0</v>
      </c>
      <c r="I2385" s="13">
        <f>Table6[[#This Row],[discharge_date]]-Table6[[#This Row],[surgery_date]]</f>
        <v>0</v>
      </c>
      <c r="J2385" s="9" t="str">
        <f t="shared" si="56"/>
        <v/>
      </c>
    </row>
    <row r="2386" spans="1:10" ht="23.25" customHeight="1">
      <c r="A2386">
        <f>Table4[[#This Row],[Column1]]</f>
        <v>0</v>
      </c>
      <c r="B2386">
        <f>Table4[[#This Row],[Column2]]</f>
        <v>0</v>
      </c>
      <c r="I2386" s="13">
        <f>Table6[[#This Row],[discharge_date]]-Table6[[#This Row],[surgery_date]]</f>
        <v>0</v>
      </c>
      <c r="J2386" s="9" t="str">
        <f t="shared" si="56"/>
        <v/>
      </c>
    </row>
    <row r="2387" spans="1:10" ht="23.25" customHeight="1">
      <c r="A2387">
        <f>Table4[[#This Row],[Column1]]</f>
        <v>0</v>
      </c>
      <c r="B2387">
        <f>Table4[[#This Row],[Column2]]</f>
        <v>0</v>
      </c>
      <c r="I2387" s="13">
        <f>Table6[[#This Row],[discharge_date]]-Table6[[#This Row],[surgery_date]]</f>
        <v>0</v>
      </c>
      <c r="J2387" s="9" t="str">
        <f t="shared" si="56"/>
        <v/>
      </c>
    </row>
    <row r="2388" spans="1:10" ht="23.25" customHeight="1">
      <c r="A2388">
        <f>Table4[[#This Row],[Column1]]</f>
        <v>0</v>
      </c>
      <c r="B2388">
        <f>Table4[[#This Row],[Column2]]</f>
        <v>0</v>
      </c>
      <c r="I2388" s="13">
        <f>Table6[[#This Row],[discharge_date]]-Table6[[#This Row],[surgery_date]]</f>
        <v>0</v>
      </c>
      <c r="J2388" s="9" t="str">
        <f t="shared" si="56"/>
        <v/>
      </c>
    </row>
    <row r="2389" spans="1:10" ht="23.25" customHeight="1">
      <c r="A2389">
        <f>Table4[[#This Row],[Column1]]</f>
        <v>0</v>
      </c>
      <c r="B2389">
        <f>Table4[[#This Row],[Column2]]</f>
        <v>0</v>
      </c>
      <c r="I2389" s="13">
        <f>Table6[[#This Row],[discharge_date]]-Table6[[#This Row],[surgery_date]]</f>
        <v>0</v>
      </c>
      <c r="J2389" s="9" t="str">
        <f t="shared" si="56"/>
        <v/>
      </c>
    </row>
    <row r="2390" spans="1:10" ht="23.25" customHeight="1">
      <c r="A2390">
        <f>Table4[[#This Row],[Column1]]</f>
        <v>0</v>
      </c>
      <c r="B2390">
        <f>Table4[[#This Row],[Column2]]</f>
        <v>0</v>
      </c>
      <c r="I2390" s="13">
        <f>Table6[[#This Row],[discharge_date]]-Table6[[#This Row],[surgery_date]]</f>
        <v>0</v>
      </c>
      <c r="J2390" s="9" t="str">
        <f t="shared" si="56"/>
        <v/>
      </c>
    </row>
    <row r="2391" spans="1:10" ht="23.25" customHeight="1">
      <c r="A2391">
        <f>Table4[[#This Row],[Column1]]</f>
        <v>0</v>
      </c>
      <c r="B2391">
        <f>Table4[[#This Row],[Column2]]</f>
        <v>0</v>
      </c>
      <c r="I2391" s="13">
        <f>Table6[[#This Row],[discharge_date]]-Table6[[#This Row],[surgery_date]]</f>
        <v>0</v>
      </c>
      <c r="J2391" s="9" t="str">
        <f t="shared" si="56"/>
        <v/>
      </c>
    </row>
    <row r="2392" spans="1:10" ht="23.25" customHeight="1">
      <c r="A2392">
        <f>Table4[[#This Row],[Column1]]</f>
        <v>0</v>
      </c>
      <c r="B2392">
        <f>Table4[[#This Row],[Column2]]</f>
        <v>0</v>
      </c>
      <c r="I2392" s="13">
        <f>Table6[[#This Row],[discharge_date]]-Table6[[#This Row],[surgery_date]]</f>
        <v>0</v>
      </c>
      <c r="J2392" s="9" t="str">
        <f t="shared" si="56"/>
        <v/>
      </c>
    </row>
    <row r="2393" spans="1:10" ht="23.25" customHeight="1">
      <c r="A2393">
        <f>Table4[[#This Row],[Column1]]</f>
        <v>0</v>
      </c>
      <c r="B2393">
        <f>Table4[[#This Row],[Column2]]</f>
        <v>0</v>
      </c>
      <c r="I2393" s="13">
        <f>Table6[[#This Row],[discharge_date]]-Table6[[#This Row],[surgery_date]]</f>
        <v>0</v>
      </c>
      <c r="J2393" s="9" t="str">
        <f t="shared" si="56"/>
        <v/>
      </c>
    </row>
    <row r="2394" spans="1:10" ht="23.25" customHeight="1">
      <c r="A2394">
        <f>Table4[[#This Row],[Column1]]</f>
        <v>0</v>
      </c>
      <c r="B2394">
        <f>Table4[[#This Row],[Column2]]</f>
        <v>0</v>
      </c>
      <c r="I2394" s="13">
        <f>Table6[[#This Row],[discharge_date]]-Table6[[#This Row],[surgery_date]]</f>
        <v>0</v>
      </c>
      <c r="J2394" s="9" t="str">
        <f t="shared" si="56"/>
        <v/>
      </c>
    </row>
    <row r="2395" spans="1:10" ht="23.25" customHeight="1">
      <c r="A2395">
        <f>Table4[[#This Row],[Column1]]</f>
        <v>0</v>
      </c>
      <c r="B2395">
        <f>Table4[[#This Row],[Column2]]</f>
        <v>0</v>
      </c>
      <c r="I2395" s="13">
        <f>Table6[[#This Row],[discharge_date]]-Table6[[#This Row],[surgery_date]]</f>
        <v>0</v>
      </c>
      <c r="J2395" s="9" t="str">
        <f t="shared" si="56"/>
        <v/>
      </c>
    </row>
    <row r="2396" spans="1:10" ht="23.25" customHeight="1">
      <c r="A2396">
        <f>Table4[[#This Row],[Column1]]</f>
        <v>0</v>
      </c>
      <c r="B2396">
        <f>Table4[[#This Row],[Column2]]</f>
        <v>0</v>
      </c>
      <c r="I2396" s="13">
        <f>Table6[[#This Row],[discharge_date]]-Table6[[#This Row],[surgery_date]]</f>
        <v>0</v>
      </c>
      <c r="J2396" s="9" t="str">
        <f t="shared" si="56"/>
        <v/>
      </c>
    </row>
    <row r="2397" spans="1:10" ht="23.25" customHeight="1">
      <c r="A2397">
        <f>Table4[[#This Row],[Column1]]</f>
        <v>0</v>
      </c>
      <c r="B2397">
        <f>Table4[[#This Row],[Column2]]</f>
        <v>0</v>
      </c>
      <c r="I2397" s="13">
        <f>Table6[[#This Row],[discharge_date]]-Table6[[#This Row],[surgery_date]]</f>
        <v>0</v>
      </c>
      <c r="J2397" s="9" t="str">
        <f t="shared" si="56"/>
        <v/>
      </c>
    </row>
    <row r="2398" spans="1:10" ht="23.25" customHeight="1">
      <c r="A2398">
        <f>Table4[[#This Row],[Column1]]</f>
        <v>0</v>
      </c>
      <c r="B2398">
        <f>Table4[[#This Row],[Column2]]</f>
        <v>0</v>
      </c>
      <c r="I2398" s="13">
        <f>Table6[[#This Row],[discharge_date]]-Table6[[#This Row],[surgery_date]]</f>
        <v>0</v>
      </c>
      <c r="J2398" s="9" t="str">
        <f t="shared" si="56"/>
        <v/>
      </c>
    </row>
    <row r="2399" spans="1:10" ht="23.25" customHeight="1">
      <c r="A2399">
        <f>Table4[[#This Row],[Column1]]</f>
        <v>0</v>
      </c>
      <c r="B2399">
        <f>Table4[[#This Row],[Column2]]</f>
        <v>0</v>
      </c>
      <c r="I2399" s="13">
        <f>Table6[[#This Row],[discharge_date]]-Table6[[#This Row],[surgery_date]]</f>
        <v>0</v>
      </c>
      <c r="J2399" s="9" t="str">
        <f t="shared" si="56"/>
        <v/>
      </c>
    </row>
    <row r="2400" spans="1:10" ht="23.25" customHeight="1">
      <c r="A2400">
        <f>Table4[[#This Row],[Column1]]</f>
        <v>0</v>
      </c>
      <c r="B2400">
        <f>Table4[[#This Row],[Column2]]</f>
        <v>0</v>
      </c>
      <c r="I2400" s="13">
        <f>Table6[[#This Row],[discharge_date]]-Table6[[#This Row],[surgery_date]]</f>
        <v>0</v>
      </c>
      <c r="J2400" s="9" t="str">
        <f t="shared" si="56"/>
        <v/>
      </c>
    </row>
    <row r="2401" spans="1:10" ht="23.25" customHeight="1">
      <c r="A2401">
        <f>Table4[[#This Row],[Column1]]</f>
        <v>0</v>
      </c>
      <c r="B2401">
        <f>Table4[[#This Row],[Column2]]</f>
        <v>0</v>
      </c>
      <c r="I2401" s="13">
        <f>Table6[[#This Row],[discharge_date]]-Table6[[#This Row],[surgery_date]]</f>
        <v>0</v>
      </c>
      <c r="J2401" s="9" t="str">
        <f t="shared" si="56"/>
        <v/>
      </c>
    </row>
    <row r="2402" spans="1:10" ht="23.25" customHeight="1">
      <c r="A2402">
        <f>Table4[[#This Row],[Column1]]</f>
        <v>0</v>
      </c>
      <c r="B2402">
        <f>Table4[[#This Row],[Column2]]</f>
        <v>0</v>
      </c>
      <c r="I2402" s="13">
        <f>Table6[[#This Row],[discharge_date]]-Table6[[#This Row],[surgery_date]]</f>
        <v>0</v>
      </c>
      <c r="J2402" s="9" t="str">
        <f t="shared" si="56"/>
        <v/>
      </c>
    </row>
    <row r="2403" spans="1:10" ht="23.25" customHeight="1">
      <c r="A2403">
        <f>Table4[[#This Row],[Column1]]</f>
        <v>0</v>
      </c>
      <c r="B2403">
        <f>Table4[[#This Row],[Column2]]</f>
        <v>0</v>
      </c>
      <c r="I2403" s="13">
        <f>Table6[[#This Row],[discharge_date]]-Table6[[#This Row],[surgery_date]]</f>
        <v>0</v>
      </c>
      <c r="J2403" s="9" t="str">
        <f t="shared" si="56"/>
        <v/>
      </c>
    </row>
    <row r="2404" spans="1:10" ht="23.25" customHeight="1">
      <c r="A2404">
        <f>Table4[[#This Row],[Column1]]</f>
        <v>0</v>
      </c>
      <c r="B2404">
        <f>Table4[[#This Row],[Column2]]</f>
        <v>0</v>
      </c>
      <c r="I2404" s="13">
        <f>Table6[[#This Row],[discharge_date]]-Table6[[#This Row],[surgery_date]]</f>
        <v>0</v>
      </c>
      <c r="J2404" s="9" t="str">
        <f t="shared" si="56"/>
        <v/>
      </c>
    </row>
    <row r="2405" spans="1:10" ht="23.25" customHeight="1">
      <c r="A2405">
        <f>Table4[[#This Row],[Column1]]</f>
        <v>0</v>
      </c>
      <c r="B2405">
        <f>Table4[[#This Row],[Column2]]</f>
        <v>0</v>
      </c>
      <c r="I2405" s="13">
        <f>Table6[[#This Row],[discharge_date]]-Table6[[#This Row],[surgery_date]]</f>
        <v>0</v>
      </c>
      <c r="J2405" s="9" t="str">
        <f t="shared" si="56"/>
        <v/>
      </c>
    </row>
    <row r="2406" spans="1:10" ht="23.25" customHeight="1">
      <c r="A2406">
        <f>Table4[[#This Row],[Column1]]</f>
        <v>0</v>
      </c>
      <c r="B2406">
        <f>Table4[[#This Row],[Column2]]</f>
        <v>0</v>
      </c>
      <c r="I2406" s="13">
        <f>Table6[[#This Row],[discharge_date]]-Table6[[#This Row],[surgery_date]]</f>
        <v>0</v>
      </c>
      <c r="J2406" s="9" t="str">
        <f t="shared" si="56"/>
        <v/>
      </c>
    </row>
    <row r="2407" spans="1:10" ht="23.25" customHeight="1">
      <c r="A2407">
        <f>Table4[[#This Row],[Column1]]</f>
        <v>0</v>
      </c>
      <c r="B2407">
        <f>Table4[[#This Row],[Column2]]</f>
        <v>0</v>
      </c>
      <c r="I2407" s="13">
        <f>Table6[[#This Row],[discharge_date]]-Table6[[#This Row],[surgery_date]]</f>
        <v>0</v>
      </c>
      <c r="J2407" s="9" t="str">
        <f t="shared" si="56"/>
        <v/>
      </c>
    </row>
    <row r="2408" spans="1:10" ht="23.25" customHeight="1">
      <c r="A2408">
        <f>Table4[[#This Row],[Column1]]</f>
        <v>0</v>
      </c>
      <c r="B2408">
        <f>Table4[[#This Row],[Column2]]</f>
        <v>0</v>
      </c>
      <c r="I2408" s="13">
        <f>Table6[[#This Row],[discharge_date]]-Table6[[#This Row],[surgery_date]]</f>
        <v>0</v>
      </c>
      <c r="J2408" s="9" t="str">
        <f t="shared" si="56"/>
        <v/>
      </c>
    </row>
    <row r="2409" spans="1:10" ht="23.25" customHeight="1">
      <c r="A2409">
        <f>Table4[[#This Row],[Column1]]</f>
        <v>0</v>
      </c>
      <c r="B2409">
        <f>Table4[[#This Row],[Column2]]</f>
        <v>0</v>
      </c>
      <c r="I2409" s="13">
        <f>Table6[[#This Row],[discharge_date]]-Table6[[#This Row],[surgery_date]]</f>
        <v>0</v>
      </c>
      <c r="J2409" s="9" t="str">
        <f t="shared" si="56"/>
        <v/>
      </c>
    </row>
    <row r="2410" spans="1:10" ht="23.25" customHeight="1">
      <c r="A2410">
        <f>Table4[[#This Row],[Column1]]</f>
        <v>0</v>
      </c>
      <c r="B2410">
        <f>Table4[[#This Row],[Column2]]</f>
        <v>0</v>
      </c>
      <c r="I2410" s="13">
        <f>Table6[[#This Row],[discharge_date]]-Table6[[#This Row],[surgery_date]]</f>
        <v>0</v>
      </c>
      <c r="J2410" s="9" t="str">
        <f t="shared" si="56"/>
        <v/>
      </c>
    </row>
    <row r="2411" spans="1:10" ht="23.25" customHeight="1">
      <c r="A2411">
        <f>Table4[[#This Row],[Column1]]</f>
        <v>0</v>
      </c>
      <c r="B2411">
        <f>Table4[[#This Row],[Column2]]</f>
        <v>0</v>
      </c>
      <c r="I2411" s="13">
        <f>Table6[[#This Row],[discharge_date]]-Table6[[#This Row],[surgery_date]]</f>
        <v>0</v>
      </c>
      <c r="J2411" s="9" t="str">
        <f t="shared" si="56"/>
        <v/>
      </c>
    </row>
    <row r="2412" spans="1:10" ht="23.25" customHeight="1">
      <c r="A2412">
        <f>Table4[[#This Row],[Column1]]</f>
        <v>0</v>
      </c>
      <c r="B2412">
        <f>Table4[[#This Row],[Column2]]</f>
        <v>0</v>
      </c>
      <c r="I2412" s="13">
        <f>Table6[[#This Row],[discharge_date]]-Table6[[#This Row],[surgery_date]]</f>
        <v>0</v>
      </c>
      <c r="J2412" s="9" t="str">
        <f t="shared" si="56"/>
        <v/>
      </c>
    </row>
    <row r="2413" spans="1:10" ht="23.25" customHeight="1">
      <c r="A2413">
        <f>Table4[[#This Row],[Column1]]</f>
        <v>0</v>
      </c>
      <c r="B2413">
        <f>Table4[[#This Row],[Column2]]</f>
        <v>0</v>
      </c>
      <c r="I2413" s="13">
        <f>Table6[[#This Row],[discharge_date]]-Table6[[#This Row],[surgery_date]]</f>
        <v>0</v>
      </c>
      <c r="J2413" s="9" t="str">
        <f t="shared" si="56"/>
        <v/>
      </c>
    </row>
    <row r="2414" spans="1:10" ht="23.25" customHeight="1">
      <c r="A2414">
        <f>Table4[[#This Row],[Column1]]</f>
        <v>0</v>
      </c>
      <c r="B2414">
        <f>Table4[[#This Row],[Column2]]</f>
        <v>0</v>
      </c>
      <c r="I2414" s="13">
        <f>Table6[[#This Row],[discharge_date]]-Table6[[#This Row],[surgery_date]]</f>
        <v>0</v>
      </c>
      <c r="J2414" s="9" t="str">
        <f t="shared" si="56"/>
        <v/>
      </c>
    </row>
    <row r="2415" spans="1:10" ht="23.25" customHeight="1">
      <c r="A2415">
        <f>Table4[[#This Row],[Column1]]</f>
        <v>0</v>
      </c>
      <c r="B2415">
        <f>Table4[[#This Row],[Column2]]</f>
        <v>0</v>
      </c>
      <c r="I2415" s="13">
        <f>Table6[[#This Row],[discharge_date]]-Table6[[#This Row],[surgery_date]]</f>
        <v>0</v>
      </c>
      <c r="J2415" s="9" t="str">
        <f t="shared" si="56"/>
        <v/>
      </c>
    </row>
    <row r="2416" spans="1:10" ht="23.25" customHeight="1">
      <c r="A2416">
        <f>Table4[[#This Row],[Column1]]</f>
        <v>0</v>
      </c>
      <c r="B2416">
        <f>Table4[[#This Row],[Column2]]</f>
        <v>0</v>
      </c>
      <c r="I2416" s="13">
        <f>Table6[[#This Row],[discharge_date]]-Table6[[#This Row],[surgery_date]]</f>
        <v>0</v>
      </c>
      <c r="J2416" s="9" t="str">
        <f t="shared" si="56"/>
        <v/>
      </c>
    </row>
    <row r="2417" spans="1:10" ht="23.25" customHeight="1">
      <c r="A2417">
        <f>Table4[[#This Row],[Column1]]</f>
        <v>0</v>
      </c>
      <c r="B2417">
        <f>Table4[[#This Row],[Column2]]</f>
        <v>0</v>
      </c>
      <c r="I2417" s="13">
        <f>Table6[[#This Row],[discharge_date]]-Table6[[#This Row],[surgery_date]]</f>
        <v>0</v>
      </c>
      <c r="J2417" s="9" t="str">
        <f t="shared" si="56"/>
        <v/>
      </c>
    </row>
    <row r="2418" spans="1:10" ht="23.25" customHeight="1">
      <c r="A2418">
        <f>Table4[[#This Row],[Column1]]</f>
        <v>0</v>
      </c>
      <c r="B2418">
        <f>Table4[[#This Row],[Column2]]</f>
        <v>0</v>
      </c>
      <c r="I2418" s="13">
        <f>Table6[[#This Row],[discharge_date]]-Table6[[#This Row],[surgery_date]]</f>
        <v>0</v>
      </c>
      <c r="J2418" s="9" t="str">
        <f t="shared" si="56"/>
        <v/>
      </c>
    </row>
    <row r="2419" spans="1:10" ht="23.25" customHeight="1">
      <c r="A2419">
        <f>Table4[[#This Row],[Column1]]</f>
        <v>0</v>
      </c>
      <c r="B2419">
        <f>Table4[[#This Row],[Column2]]</f>
        <v>0</v>
      </c>
      <c r="I2419" s="13">
        <f>Table6[[#This Row],[discharge_date]]-Table6[[#This Row],[surgery_date]]</f>
        <v>0</v>
      </c>
      <c r="J2419" s="9" t="str">
        <f t="shared" si="56"/>
        <v/>
      </c>
    </row>
    <row r="2420" spans="1:10" ht="23.25" customHeight="1">
      <c r="A2420">
        <f>Table4[[#This Row],[Column1]]</f>
        <v>0</v>
      </c>
      <c r="B2420">
        <f>Table4[[#This Row],[Column2]]</f>
        <v>0</v>
      </c>
      <c r="I2420" s="13">
        <f>Table6[[#This Row],[discharge_date]]-Table6[[#This Row],[surgery_date]]</f>
        <v>0</v>
      </c>
      <c r="J2420" s="9" t="str">
        <f t="shared" si="56"/>
        <v/>
      </c>
    </row>
    <row r="2421" spans="1:10" ht="23.25" customHeight="1">
      <c r="A2421">
        <f>Table4[[#This Row],[Column1]]</f>
        <v>0</v>
      </c>
      <c r="B2421">
        <f>Table4[[#This Row],[Column2]]</f>
        <v>0</v>
      </c>
      <c r="I2421" s="13">
        <f>Table6[[#This Row],[discharge_date]]-Table6[[#This Row],[surgery_date]]</f>
        <v>0</v>
      </c>
      <c r="J2421" s="9" t="str">
        <f t="shared" si="56"/>
        <v/>
      </c>
    </row>
    <row r="2422" spans="1:10" ht="23.25" customHeight="1">
      <c r="A2422">
        <f>Table4[[#This Row],[Column1]]</f>
        <v>0</v>
      </c>
      <c r="B2422">
        <f>Table4[[#This Row],[Column2]]</f>
        <v>0</v>
      </c>
      <c r="I2422" s="13">
        <f>Table6[[#This Row],[discharge_date]]-Table6[[#This Row],[surgery_date]]</f>
        <v>0</v>
      </c>
      <c r="J2422" s="9" t="str">
        <f t="shared" si="56"/>
        <v/>
      </c>
    </row>
    <row r="2423" spans="1:10" ht="23.25" customHeight="1">
      <c r="A2423">
        <f>Table4[[#This Row],[Column1]]</f>
        <v>0</v>
      </c>
      <c r="B2423">
        <f>Table4[[#This Row],[Column2]]</f>
        <v>0</v>
      </c>
      <c r="I2423" s="13">
        <f>Table6[[#This Row],[discharge_date]]-Table6[[#This Row],[surgery_date]]</f>
        <v>0</v>
      </c>
      <c r="J2423" s="9" t="str">
        <f t="shared" si="56"/>
        <v/>
      </c>
    </row>
    <row r="2424" spans="1:10" ht="23.25" customHeight="1">
      <c r="A2424">
        <f>Table4[[#This Row],[Column1]]</f>
        <v>0</v>
      </c>
      <c r="B2424">
        <f>Table4[[#This Row],[Column2]]</f>
        <v>0</v>
      </c>
      <c r="I2424" s="13">
        <f>Table6[[#This Row],[discharge_date]]-Table6[[#This Row],[surgery_date]]</f>
        <v>0</v>
      </c>
      <c r="J2424" s="9" t="str">
        <f t="shared" si="56"/>
        <v/>
      </c>
    </row>
    <row r="2425" spans="1:10" ht="23.25" customHeight="1">
      <c r="A2425">
        <f>Table4[[#This Row],[Column1]]</f>
        <v>0</v>
      </c>
      <c r="B2425">
        <f>Table4[[#This Row],[Column2]]</f>
        <v>0</v>
      </c>
      <c r="I2425" s="13">
        <f>Table6[[#This Row],[discharge_date]]-Table6[[#This Row],[surgery_date]]</f>
        <v>0</v>
      </c>
      <c r="J2425" s="9" t="str">
        <f t="shared" si="56"/>
        <v/>
      </c>
    </row>
    <row r="2426" spans="1:10" ht="23.25" customHeight="1">
      <c r="A2426">
        <f>Table4[[#This Row],[Column1]]</f>
        <v>0</v>
      </c>
      <c r="B2426">
        <f>Table4[[#This Row],[Column2]]</f>
        <v>0</v>
      </c>
      <c r="I2426" s="13">
        <f>Table6[[#This Row],[discharge_date]]-Table6[[#This Row],[surgery_date]]</f>
        <v>0</v>
      </c>
      <c r="J2426" s="9" t="str">
        <f t="shared" si="56"/>
        <v/>
      </c>
    </row>
    <row r="2427" spans="1:10" ht="23.25" customHeight="1">
      <c r="A2427">
        <f>Table4[[#This Row],[Column1]]</f>
        <v>0</v>
      </c>
      <c r="B2427">
        <f>Table4[[#This Row],[Column2]]</f>
        <v>0</v>
      </c>
      <c r="I2427" s="13">
        <f>Table6[[#This Row],[discharge_date]]-Table6[[#This Row],[surgery_date]]</f>
        <v>0</v>
      </c>
      <c r="J2427" s="9" t="str">
        <f t="shared" si="56"/>
        <v/>
      </c>
    </row>
    <row r="2428" spans="1:10" ht="23.25" customHeight="1">
      <c r="A2428">
        <f>Table4[[#This Row],[Column1]]</f>
        <v>0</v>
      </c>
      <c r="B2428">
        <f>Table4[[#This Row],[Column2]]</f>
        <v>0</v>
      </c>
      <c r="I2428" s="13">
        <f>Table6[[#This Row],[discharge_date]]-Table6[[#This Row],[surgery_date]]</f>
        <v>0</v>
      </c>
      <c r="J2428" s="9" t="str">
        <f t="shared" si="56"/>
        <v/>
      </c>
    </row>
    <row r="2429" spans="1:10" ht="23.25" customHeight="1">
      <c r="A2429">
        <f>Table4[[#This Row],[Column1]]</f>
        <v>0</v>
      </c>
      <c r="B2429">
        <f>Table4[[#This Row],[Column2]]</f>
        <v>0</v>
      </c>
      <c r="I2429" s="13">
        <f>Table6[[#This Row],[discharge_date]]-Table6[[#This Row],[surgery_date]]</f>
        <v>0</v>
      </c>
      <c r="J2429" s="9" t="str">
        <f t="shared" si="56"/>
        <v/>
      </c>
    </row>
    <row r="2430" spans="1:10" ht="23.25" customHeight="1">
      <c r="A2430">
        <f>Table4[[#This Row],[Column1]]</f>
        <v>0</v>
      </c>
      <c r="B2430">
        <f>Table4[[#This Row],[Column2]]</f>
        <v>0</v>
      </c>
      <c r="I2430" s="13">
        <f>Table6[[#This Row],[discharge_date]]-Table6[[#This Row],[surgery_date]]</f>
        <v>0</v>
      </c>
      <c r="J2430" s="9" t="str">
        <f t="shared" si="56"/>
        <v/>
      </c>
    </row>
    <row r="2431" spans="1:10" ht="23.25" customHeight="1">
      <c r="A2431">
        <f>Table4[[#This Row],[Column1]]</f>
        <v>0</v>
      </c>
      <c r="B2431">
        <f>Table4[[#This Row],[Column2]]</f>
        <v>0</v>
      </c>
      <c r="I2431" s="13">
        <f>Table6[[#This Row],[discharge_date]]-Table6[[#This Row],[surgery_date]]</f>
        <v>0</v>
      </c>
      <c r="J2431" s="9" t="str">
        <f t="shared" si="56"/>
        <v/>
      </c>
    </row>
    <row r="2432" spans="1:10" ht="23.25" customHeight="1">
      <c r="A2432">
        <f>Table4[[#This Row],[Column1]]</f>
        <v>0</v>
      </c>
      <c r="B2432">
        <f>Table4[[#This Row],[Column2]]</f>
        <v>0</v>
      </c>
      <c r="I2432" s="13">
        <f>Table6[[#This Row],[discharge_date]]-Table6[[#This Row],[surgery_date]]</f>
        <v>0</v>
      </c>
      <c r="J2432" s="9" t="str">
        <f t="shared" si="56"/>
        <v/>
      </c>
    </row>
    <row r="2433" spans="1:10" ht="23.25" customHeight="1">
      <c r="A2433">
        <f>Table4[[#This Row],[Column1]]</f>
        <v>0</v>
      </c>
      <c r="B2433">
        <f>Table4[[#This Row],[Column2]]</f>
        <v>0</v>
      </c>
      <c r="I2433" s="13">
        <f>Table6[[#This Row],[discharge_date]]-Table6[[#This Row],[surgery_date]]</f>
        <v>0</v>
      </c>
      <c r="J2433" s="9" t="str">
        <f t="shared" si="56"/>
        <v/>
      </c>
    </row>
    <row r="2434" spans="1:10" ht="23.25" customHeight="1">
      <c r="A2434">
        <f>Table4[[#This Row],[Column1]]</f>
        <v>0</v>
      </c>
      <c r="B2434">
        <f>Table4[[#This Row],[Column2]]</f>
        <v>0</v>
      </c>
      <c r="I2434" s="13">
        <f>Table6[[#This Row],[discharge_date]]-Table6[[#This Row],[surgery_date]]</f>
        <v>0</v>
      </c>
      <c r="J2434" s="9" t="str">
        <f t="shared" ref="J2434:J2497" si="57">IF( H2434&lt;&gt;"", H2434+30,"")</f>
        <v/>
      </c>
    </row>
    <row r="2435" spans="1:10" ht="23.25" customHeight="1">
      <c r="A2435">
        <f>Table4[[#This Row],[Column1]]</f>
        <v>0</v>
      </c>
      <c r="B2435">
        <f>Table4[[#This Row],[Column2]]</f>
        <v>0</v>
      </c>
      <c r="I2435" s="13">
        <f>Table6[[#This Row],[discharge_date]]-Table6[[#This Row],[surgery_date]]</f>
        <v>0</v>
      </c>
      <c r="J2435" s="9" t="str">
        <f t="shared" si="57"/>
        <v/>
      </c>
    </row>
    <row r="2436" spans="1:10" ht="23.25" customHeight="1">
      <c r="A2436">
        <f>Table4[[#This Row],[Column1]]</f>
        <v>0</v>
      </c>
      <c r="B2436">
        <f>Table4[[#This Row],[Column2]]</f>
        <v>0</v>
      </c>
      <c r="I2436" s="13">
        <f>Table6[[#This Row],[discharge_date]]-Table6[[#This Row],[surgery_date]]</f>
        <v>0</v>
      </c>
      <c r="J2436" s="9" t="str">
        <f t="shared" si="57"/>
        <v/>
      </c>
    </row>
    <row r="2437" spans="1:10" ht="23.25" customHeight="1">
      <c r="A2437">
        <f>Table4[[#This Row],[Column1]]</f>
        <v>0</v>
      </c>
      <c r="B2437">
        <f>Table4[[#This Row],[Column2]]</f>
        <v>0</v>
      </c>
      <c r="I2437" s="13">
        <f>Table6[[#This Row],[discharge_date]]-Table6[[#This Row],[surgery_date]]</f>
        <v>0</v>
      </c>
      <c r="J2437" s="9" t="str">
        <f t="shared" si="57"/>
        <v/>
      </c>
    </row>
    <row r="2438" spans="1:10" ht="23.25" customHeight="1">
      <c r="A2438">
        <f>Table4[[#This Row],[Column1]]</f>
        <v>0</v>
      </c>
      <c r="B2438">
        <f>Table4[[#This Row],[Column2]]</f>
        <v>0</v>
      </c>
      <c r="I2438" s="13">
        <f>Table6[[#This Row],[discharge_date]]-Table6[[#This Row],[surgery_date]]</f>
        <v>0</v>
      </c>
      <c r="J2438" s="9" t="str">
        <f t="shared" si="57"/>
        <v/>
      </c>
    </row>
    <row r="2439" spans="1:10" ht="23.25" customHeight="1">
      <c r="A2439">
        <f>Table4[[#This Row],[Column1]]</f>
        <v>0</v>
      </c>
      <c r="B2439">
        <f>Table4[[#This Row],[Column2]]</f>
        <v>0</v>
      </c>
      <c r="I2439" s="13">
        <f>Table6[[#This Row],[discharge_date]]-Table6[[#This Row],[surgery_date]]</f>
        <v>0</v>
      </c>
      <c r="J2439" s="9" t="str">
        <f t="shared" si="57"/>
        <v/>
      </c>
    </row>
    <row r="2440" spans="1:10" ht="23.25" customHeight="1">
      <c r="A2440">
        <f>Table4[[#This Row],[Column1]]</f>
        <v>0</v>
      </c>
      <c r="B2440">
        <f>Table4[[#This Row],[Column2]]</f>
        <v>0</v>
      </c>
      <c r="I2440" s="13">
        <f>Table6[[#This Row],[discharge_date]]-Table6[[#This Row],[surgery_date]]</f>
        <v>0</v>
      </c>
      <c r="J2440" s="9" t="str">
        <f t="shared" si="57"/>
        <v/>
      </c>
    </row>
    <row r="2441" spans="1:10" ht="23.25" customHeight="1">
      <c r="A2441">
        <f>Table4[[#This Row],[Column1]]</f>
        <v>0</v>
      </c>
      <c r="B2441">
        <f>Table4[[#This Row],[Column2]]</f>
        <v>0</v>
      </c>
      <c r="I2441" s="13">
        <f>Table6[[#This Row],[discharge_date]]-Table6[[#This Row],[surgery_date]]</f>
        <v>0</v>
      </c>
      <c r="J2441" s="9" t="str">
        <f t="shared" si="57"/>
        <v/>
      </c>
    </row>
    <row r="2442" spans="1:10" ht="23.25" customHeight="1">
      <c r="A2442">
        <f>Table4[[#This Row],[Column1]]</f>
        <v>0</v>
      </c>
      <c r="B2442">
        <f>Table4[[#This Row],[Column2]]</f>
        <v>0</v>
      </c>
      <c r="I2442" s="13">
        <f>Table6[[#This Row],[discharge_date]]-Table6[[#This Row],[surgery_date]]</f>
        <v>0</v>
      </c>
      <c r="J2442" s="9" t="str">
        <f t="shared" si="57"/>
        <v/>
      </c>
    </row>
    <row r="2443" spans="1:10" ht="23.25" customHeight="1">
      <c r="A2443">
        <f>Table4[[#This Row],[Column1]]</f>
        <v>0</v>
      </c>
      <c r="B2443">
        <f>Table4[[#This Row],[Column2]]</f>
        <v>0</v>
      </c>
      <c r="I2443" s="13">
        <f>Table6[[#This Row],[discharge_date]]-Table6[[#This Row],[surgery_date]]</f>
        <v>0</v>
      </c>
      <c r="J2443" s="9" t="str">
        <f t="shared" si="57"/>
        <v/>
      </c>
    </row>
    <row r="2444" spans="1:10" ht="23.25" customHeight="1">
      <c r="A2444">
        <f>Table4[[#This Row],[Column1]]</f>
        <v>0</v>
      </c>
      <c r="B2444">
        <f>Table4[[#This Row],[Column2]]</f>
        <v>0</v>
      </c>
      <c r="I2444" s="13">
        <f>Table6[[#This Row],[discharge_date]]-Table6[[#This Row],[surgery_date]]</f>
        <v>0</v>
      </c>
      <c r="J2444" s="9" t="str">
        <f t="shared" si="57"/>
        <v/>
      </c>
    </row>
    <row r="2445" spans="1:10" ht="23.25" customHeight="1">
      <c r="A2445">
        <f>Table4[[#This Row],[Column1]]</f>
        <v>0</v>
      </c>
      <c r="B2445">
        <f>Table4[[#This Row],[Column2]]</f>
        <v>0</v>
      </c>
      <c r="I2445" s="13">
        <f>Table6[[#This Row],[discharge_date]]-Table6[[#This Row],[surgery_date]]</f>
        <v>0</v>
      </c>
      <c r="J2445" s="9" t="str">
        <f t="shared" si="57"/>
        <v/>
      </c>
    </row>
    <row r="2446" spans="1:10" ht="23.25" customHeight="1">
      <c r="A2446">
        <f>Table4[[#This Row],[Column1]]</f>
        <v>0</v>
      </c>
      <c r="B2446">
        <f>Table4[[#This Row],[Column2]]</f>
        <v>0</v>
      </c>
      <c r="I2446" s="13">
        <f>Table6[[#This Row],[discharge_date]]-Table6[[#This Row],[surgery_date]]</f>
        <v>0</v>
      </c>
      <c r="J2446" s="9" t="str">
        <f t="shared" si="57"/>
        <v/>
      </c>
    </row>
    <row r="2447" spans="1:10" ht="23.25" customHeight="1">
      <c r="A2447">
        <f>Table4[[#This Row],[Column1]]</f>
        <v>0</v>
      </c>
      <c r="B2447">
        <f>Table4[[#This Row],[Column2]]</f>
        <v>0</v>
      </c>
      <c r="I2447" s="13">
        <f>Table6[[#This Row],[discharge_date]]-Table6[[#This Row],[surgery_date]]</f>
        <v>0</v>
      </c>
      <c r="J2447" s="9" t="str">
        <f t="shared" si="57"/>
        <v/>
      </c>
    </row>
    <row r="2448" spans="1:10" ht="23.25" customHeight="1">
      <c r="A2448">
        <f>Table4[[#This Row],[Column1]]</f>
        <v>0</v>
      </c>
      <c r="B2448">
        <f>Table4[[#This Row],[Column2]]</f>
        <v>0</v>
      </c>
      <c r="I2448" s="13">
        <f>Table6[[#This Row],[discharge_date]]-Table6[[#This Row],[surgery_date]]</f>
        <v>0</v>
      </c>
      <c r="J2448" s="9" t="str">
        <f t="shared" si="57"/>
        <v/>
      </c>
    </row>
    <row r="2449" spans="1:10" ht="23.25" customHeight="1">
      <c r="A2449">
        <f>Table4[[#This Row],[Column1]]</f>
        <v>0</v>
      </c>
      <c r="B2449">
        <f>Table4[[#This Row],[Column2]]</f>
        <v>0</v>
      </c>
      <c r="I2449" s="13">
        <f>Table6[[#This Row],[discharge_date]]-Table6[[#This Row],[surgery_date]]</f>
        <v>0</v>
      </c>
      <c r="J2449" s="9" t="str">
        <f t="shared" si="57"/>
        <v/>
      </c>
    </row>
    <row r="2450" spans="1:10" ht="23.25" customHeight="1">
      <c r="A2450">
        <f>Table4[[#This Row],[Column1]]</f>
        <v>0</v>
      </c>
      <c r="B2450">
        <f>Table4[[#This Row],[Column2]]</f>
        <v>0</v>
      </c>
      <c r="I2450" s="13">
        <f>Table6[[#This Row],[discharge_date]]-Table6[[#This Row],[surgery_date]]</f>
        <v>0</v>
      </c>
      <c r="J2450" s="9" t="str">
        <f t="shared" si="57"/>
        <v/>
      </c>
    </row>
    <row r="2451" spans="1:10" ht="23.25" customHeight="1">
      <c r="A2451">
        <f>Table4[[#This Row],[Column1]]</f>
        <v>0</v>
      </c>
      <c r="B2451">
        <f>Table4[[#This Row],[Column2]]</f>
        <v>0</v>
      </c>
      <c r="I2451" s="13">
        <f>Table6[[#This Row],[discharge_date]]-Table6[[#This Row],[surgery_date]]</f>
        <v>0</v>
      </c>
      <c r="J2451" s="9" t="str">
        <f t="shared" si="57"/>
        <v/>
      </c>
    </row>
    <row r="2452" spans="1:10" ht="23.25" customHeight="1">
      <c r="A2452">
        <f>Table4[[#This Row],[Column1]]</f>
        <v>0</v>
      </c>
      <c r="B2452">
        <f>Table4[[#This Row],[Column2]]</f>
        <v>0</v>
      </c>
      <c r="I2452" s="13">
        <f>Table6[[#This Row],[discharge_date]]-Table6[[#This Row],[surgery_date]]</f>
        <v>0</v>
      </c>
      <c r="J2452" s="9" t="str">
        <f t="shared" si="57"/>
        <v/>
      </c>
    </row>
    <row r="2453" spans="1:10" ht="23.25" customHeight="1">
      <c r="A2453">
        <f>Table4[[#This Row],[Column1]]</f>
        <v>0</v>
      </c>
      <c r="B2453">
        <f>Table4[[#This Row],[Column2]]</f>
        <v>0</v>
      </c>
      <c r="I2453" s="13">
        <f>Table6[[#This Row],[discharge_date]]-Table6[[#This Row],[surgery_date]]</f>
        <v>0</v>
      </c>
      <c r="J2453" s="9" t="str">
        <f t="shared" si="57"/>
        <v/>
      </c>
    </row>
    <row r="2454" spans="1:10" ht="23.25" customHeight="1">
      <c r="A2454">
        <f>Table4[[#This Row],[Column1]]</f>
        <v>0</v>
      </c>
      <c r="B2454">
        <f>Table4[[#This Row],[Column2]]</f>
        <v>0</v>
      </c>
      <c r="I2454" s="13">
        <f>Table6[[#This Row],[discharge_date]]-Table6[[#This Row],[surgery_date]]</f>
        <v>0</v>
      </c>
      <c r="J2454" s="9" t="str">
        <f t="shared" si="57"/>
        <v/>
      </c>
    </row>
    <row r="2455" spans="1:10" ht="23.25" customHeight="1">
      <c r="A2455">
        <f>Table4[[#This Row],[Column1]]</f>
        <v>0</v>
      </c>
      <c r="B2455">
        <f>Table4[[#This Row],[Column2]]</f>
        <v>0</v>
      </c>
      <c r="I2455" s="13">
        <f>Table6[[#This Row],[discharge_date]]-Table6[[#This Row],[surgery_date]]</f>
        <v>0</v>
      </c>
      <c r="J2455" s="9" t="str">
        <f t="shared" si="57"/>
        <v/>
      </c>
    </row>
    <row r="2456" spans="1:10" ht="23.25" customHeight="1">
      <c r="A2456">
        <f>Table4[[#This Row],[Column1]]</f>
        <v>0</v>
      </c>
      <c r="B2456">
        <f>Table4[[#This Row],[Column2]]</f>
        <v>0</v>
      </c>
      <c r="I2456" s="13">
        <f>Table6[[#This Row],[discharge_date]]-Table6[[#This Row],[surgery_date]]</f>
        <v>0</v>
      </c>
      <c r="J2456" s="9" t="str">
        <f t="shared" si="57"/>
        <v/>
      </c>
    </row>
    <row r="2457" spans="1:10" ht="23.25" customHeight="1">
      <c r="A2457">
        <f>Table4[[#This Row],[Column1]]</f>
        <v>0</v>
      </c>
      <c r="B2457">
        <f>Table4[[#This Row],[Column2]]</f>
        <v>0</v>
      </c>
      <c r="I2457" s="13">
        <f>Table6[[#This Row],[discharge_date]]-Table6[[#This Row],[surgery_date]]</f>
        <v>0</v>
      </c>
      <c r="J2457" s="9" t="str">
        <f t="shared" si="57"/>
        <v/>
      </c>
    </row>
    <row r="2458" spans="1:10" ht="23.25" customHeight="1">
      <c r="A2458">
        <f>Table4[[#This Row],[Column1]]</f>
        <v>0</v>
      </c>
      <c r="B2458">
        <f>Table4[[#This Row],[Column2]]</f>
        <v>0</v>
      </c>
      <c r="I2458" s="13">
        <f>Table6[[#This Row],[discharge_date]]-Table6[[#This Row],[surgery_date]]</f>
        <v>0</v>
      </c>
      <c r="J2458" s="9" t="str">
        <f t="shared" si="57"/>
        <v/>
      </c>
    </row>
    <row r="2459" spans="1:10" ht="23.25" customHeight="1">
      <c r="A2459">
        <f>Table4[[#This Row],[Column1]]</f>
        <v>0</v>
      </c>
      <c r="B2459">
        <f>Table4[[#This Row],[Column2]]</f>
        <v>0</v>
      </c>
      <c r="I2459" s="13">
        <f>Table6[[#This Row],[discharge_date]]-Table6[[#This Row],[surgery_date]]</f>
        <v>0</v>
      </c>
      <c r="J2459" s="9" t="str">
        <f t="shared" si="57"/>
        <v/>
      </c>
    </row>
    <row r="2460" spans="1:10" ht="23.25" customHeight="1">
      <c r="A2460">
        <f>Table4[[#This Row],[Column1]]</f>
        <v>0</v>
      </c>
      <c r="B2460">
        <f>Table4[[#This Row],[Column2]]</f>
        <v>0</v>
      </c>
      <c r="I2460" s="13">
        <f>Table6[[#This Row],[discharge_date]]-Table6[[#This Row],[surgery_date]]</f>
        <v>0</v>
      </c>
      <c r="J2460" s="9" t="str">
        <f t="shared" si="57"/>
        <v/>
      </c>
    </row>
    <row r="2461" spans="1:10" ht="23.25" customHeight="1">
      <c r="A2461">
        <f>Table4[[#This Row],[Column1]]</f>
        <v>0</v>
      </c>
      <c r="B2461">
        <f>Table4[[#This Row],[Column2]]</f>
        <v>0</v>
      </c>
      <c r="I2461" s="13">
        <f>Table6[[#This Row],[discharge_date]]-Table6[[#This Row],[surgery_date]]</f>
        <v>0</v>
      </c>
      <c r="J2461" s="9" t="str">
        <f t="shared" si="57"/>
        <v/>
      </c>
    </row>
    <row r="2462" spans="1:10" ht="23.25" customHeight="1">
      <c r="A2462">
        <f>Table4[[#This Row],[Column1]]</f>
        <v>0</v>
      </c>
      <c r="B2462">
        <f>Table4[[#This Row],[Column2]]</f>
        <v>0</v>
      </c>
      <c r="I2462" s="13">
        <f>Table6[[#This Row],[discharge_date]]-Table6[[#This Row],[surgery_date]]</f>
        <v>0</v>
      </c>
      <c r="J2462" s="9" t="str">
        <f t="shared" si="57"/>
        <v/>
      </c>
    </row>
    <row r="2463" spans="1:10" ht="23.25" customHeight="1">
      <c r="A2463">
        <f>Table4[[#This Row],[Column1]]</f>
        <v>0</v>
      </c>
      <c r="B2463">
        <f>Table4[[#This Row],[Column2]]</f>
        <v>0</v>
      </c>
      <c r="I2463" s="13">
        <f>Table6[[#This Row],[discharge_date]]-Table6[[#This Row],[surgery_date]]</f>
        <v>0</v>
      </c>
      <c r="J2463" s="9" t="str">
        <f t="shared" si="57"/>
        <v/>
      </c>
    </row>
    <row r="2464" spans="1:10" ht="23.25" customHeight="1">
      <c r="A2464">
        <f>Table4[[#This Row],[Column1]]</f>
        <v>0</v>
      </c>
      <c r="B2464">
        <f>Table4[[#This Row],[Column2]]</f>
        <v>0</v>
      </c>
      <c r="I2464" s="13">
        <f>Table6[[#This Row],[discharge_date]]-Table6[[#This Row],[surgery_date]]</f>
        <v>0</v>
      </c>
      <c r="J2464" s="9" t="str">
        <f t="shared" si="57"/>
        <v/>
      </c>
    </row>
    <row r="2465" spans="1:10" ht="23.25" customHeight="1">
      <c r="A2465">
        <f>Table4[[#This Row],[Column1]]</f>
        <v>0</v>
      </c>
      <c r="B2465">
        <f>Table4[[#This Row],[Column2]]</f>
        <v>0</v>
      </c>
      <c r="I2465" s="13">
        <f>Table6[[#This Row],[discharge_date]]-Table6[[#This Row],[surgery_date]]</f>
        <v>0</v>
      </c>
      <c r="J2465" s="9" t="str">
        <f t="shared" si="57"/>
        <v/>
      </c>
    </row>
    <row r="2466" spans="1:10" ht="23.25" customHeight="1">
      <c r="A2466">
        <f>Table4[[#This Row],[Column1]]</f>
        <v>0</v>
      </c>
      <c r="B2466">
        <f>Table4[[#This Row],[Column2]]</f>
        <v>0</v>
      </c>
      <c r="I2466" s="13">
        <f>Table6[[#This Row],[discharge_date]]-Table6[[#This Row],[surgery_date]]</f>
        <v>0</v>
      </c>
      <c r="J2466" s="9" t="str">
        <f t="shared" si="57"/>
        <v/>
      </c>
    </row>
    <row r="2467" spans="1:10" ht="23.25" customHeight="1">
      <c r="A2467">
        <f>Table4[[#This Row],[Column1]]</f>
        <v>0</v>
      </c>
      <c r="B2467">
        <f>Table4[[#This Row],[Column2]]</f>
        <v>0</v>
      </c>
      <c r="I2467" s="13">
        <f>Table6[[#This Row],[discharge_date]]-Table6[[#This Row],[surgery_date]]</f>
        <v>0</v>
      </c>
      <c r="J2467" s="9" t="str">
        <f t="shared" si="57"/>
        <v/>
      </c>
    </row>
    <row r="2468" spans="1:10" ht="23.25" customHeight="1">
      <c r="A2468">
        <f>Table4[[#This Row],[Column1]]</f>
        <v>0</v>
      </c>
      <c r="B2468">
        <f>Table4[[#This Row],[Column2]]</f>
        <v>0</v>
      </c>
      <c r="I2468" s="13">
        <f>Table6[[#This Row],[discharge_date]]-Table6[[#This Row],[surgery_date]]</f>
        <v>0</v>
      </c>
      <c r="J2468" s="9" t="str">
        <f t="shared" si="57"/>
        <v/>
      </c>
    </row>
    <row r="2469" spans="1:10" ht="23.25" customHeight="1">
      <c r="A2469">
        <f>Table4[[#This Row],[Column1]]</f>
        <v>0</v>
      </c>
      <c r="B2469">
        <f>Table4[[#This Row],[Column2]]</f>
        <v>0</v>
      </c>
      <c r="I2469" s="13">
        <f>Table6[[#This Row],[discharge_date]]-Table6[[#This Row],[surgery_date]]</f>
        <v>0</v>
      </c>
      <c r="J2469" s="9" t="str">
        <f t="shared" si="57"/>
        <v/>
      </c>
    </row>
    <row r="2470" spans="1:10" ht="23.25" customHeight="1">
      <c r="A2470">
        <f>Table4[[#This Row],[Column1]]</f>
        <v>0</v>
      </c>
      <c r="B2470">
        <f>Table4[[#This Row],[Column2]]</f>
        <v>0</v>
      </c>
      <c r="I2470" s="13">
        <f>Table6[[#This Row],[discharge_date]]-Table6[[#This Row],[surgery_date]]</f>
        <v>0</v>
      </c>
      <c r="J2470" s="9" t="str">
        <f t="shared" si="57"/>
        <v/>
      </c>
    </row>
    <row r="2471" spans="1:10" ht="23.25" customHeight="1">
      <c r="A2471">
        <f>Table4[[#This Row],[Column1]]</f>
        <v>0</v>
      </c>
      <c r="B2471">
        <f>Table4[[#This Row],[Column2]]</f>
        <v>0</v>
      </c>
      <c r="I2471" s="13">
        <f>Table6[[#This Row],[discharge_date]]-Table6[[#This Row],[surgery_date]]</f>
        <v>0</v>
      </c>
      <c r="J2471" s="9" t="str">
        <f t="shared" si="57"/>
        <v/>
      </c>
    </row>
    <row r="2472" spans="1:10" ht="23.25" customHeight="1">
      <c r="A2472">
        <f>Table4[[#This Row],[Column1]]</f>
        <v>0</v>
      </c>
      <c r="B2472">
        <f>Table4[[#This Row],[Column2]]</f>
        <v>0</v>
      </c>
      <c r="I2472" s="13">
        <f>Table6[[#This Row],[discharge_date]]-Table6[[#This Row],[surgery_date]]</f>
        <v>0</v>
      </c>
      <c r="J2472" s="9" t="str">
        <f t="shared" si="57"/>
        <v/>
      </c>
    </row>
    <row r="2473" spans="1:10" ht="23.25" customHeight="1">
      <c r="A2473">
        <f>Table4[[#This Row],[Column1]]</f>
        <v>0</v>
      </c>
      <c r="B2473">
        <f>Table4[[#This Row],[Column2]]</f>
        <v>0</v>
      </c>
      <c r="I2473" s="13">
        <f>Table6[[#This Row],[discharge_date]]-Table6[[#This Row],[surgery_date]]</f>
        <v>0</v>
      </c>
      <c r="J2473" s="9" t="str">
        <f t="shared" si="57"/>
        <v/>
      </c>
    </row>
    <row r="2474" spans="1:10" ht="23.25" customHeight="1">
      <c r="A2474">
        <f>Table4[[#This Row],[Column1]]</f>
        <v>0</v>
      </c>
      <c r="B2474">
        <f>Table4[[#This Row],[Column2]]</f>
        <v>0</v>
      </c>
      <c r="I2474" s="13">
        <f>Table6[[#This Row],[discharge_date]]-Table6[[#This Row],[surgery_date]]</f>
        <v>0</v>
      </c>
      <c r="J2474" s="9" t="str">
        <f t="shared" si="57"/>
        <v/>
      </c>
    </row>
    <row r="2475" spans="1:10" ht="23.25" customHeight="1">
      <c r="A2475">
        <f>Table4[[#This Row],[Column1]]</f>
        <v>0</v>
      </c>
      <c r="B2475">
        <f>Table4[[#This Row],[Column2]]</f>
        <v>0</v>
      </c>
      <c r="I2475" s="13">
        <f>Table6[[#This Row],[discharge_date]]-Table6[[#This Row],[surgery_date]]</f>
        <v>0</v>
      </c>
      <c r="J2475" s="9" t="str">
        <f t="shared" si="57"/>
        <v/>
      </c>
    </row>
    <row r="2476" spans="1:10" ht="23.25" customHeight="1">
      <c r="A2476">
        <f>Table4[[#This Row],[Column1]]</f>
        <v>0</v>
      </c>
      <c r="B2476">
        <f>Table4[[#This Row],[Column2]]</f>
        <v>0</v>
      </c>
      <c r="I2476" s="13">
        <f>Table6[[#This Row],[discharge_date]]-Table6[[#This Row],[surgery_date]]</f>
        <v>0</v>
      </c>
      <c r="J2476" s="9" t="str">
        <f t="shared" si="57"/>
        <v/>
      </c>
    </row>
    <row r="2477" spans="1:10" ht="23.25" customHeight="1">
      <c r="A2477">
        <f>Table4[[#This Row],[Column1]]</f>
        <v>0</v>
      </c>
      <c r="B2477">
        <f>Table4[[#This Row],[Column2]]</f>
        <v>0</v>
      </c>
      <c r="I2477" s="13">
        <f>Table6[[#This Row],[discharge_date]]-Table6[[#This Row],[surgery_date]]</f>
        <v>0</v>
      </c>
      <c r="J2477" s="9" t="str">
        <f t="shared" si="57"/>
        <v/>
      </c>
    </row>
    <row r="2478" spans="1:10" ht="23.25" customHeight="1">
      <c r="A2478">
        <f>Table4[[#This Row],[Column1]]</f>
        <v>0</v>
      </c>
      <c r="B2478">
        <f>Table4[[#This Row],[Column2]]</f>
        <v>0</v>
      </c>
      <c r="I2478" s="13">
        <f>Table6[[#This Row],[discharge_date]]-Table6[[#This Row],[surgery_date]]</f>
        <v>0</v>
      </c>
      <c r="J2478" s="9" t="str">
        <f t="shared" si="57"/>
        <v/>
      </c>
    </row>
    <row r="2479" spans="1:10" ht="23.25" customHeight="1">
      <c r="A2479">
        <f>Table4[[#This Row],[Column1]]</f>
        <v>0</v>
      </c>
      <c r="B2479">
        <f>Table4[[#This Row],[Column2]]</f>
        <v>0</v>
      </c>
      <c r="I2479" s="13">
        <f>Table6[[#This Row],[discharge_date]]-Table6[[#This Row],[surgery_date]]</f>
        <v>0</v>
      </c>
      <c r="J2479" s="9" t="str">
        <f t="shared" si="57"/>
        <v/>
      </c>
    </row>
    <row r="2480" spans="1:10" ht="23.25" customHeight="1">
      <c r="A2480">
        <f>Table4[[#This Row],[Column1]]</f>
        <v>0</v>
      </c>
      <c r="B2480">
        <f>Table4[[#This Row],[Column2]]</f>
        <v>0</v>
      </c>
      <c r="I2480" s="13">
        <f>Table6[[#This Row],[discharge_date]]-Table6[[#This Row],[surgery_date]]</f>
        <v>0</v>
      </c>
      <c r="J2480" s="9" t="str">
        <f t="shared" si="57"/>
        <v/>
      </c>
    </row>
    <row r="2481" spans="1:10" ht="23.25" customHeight="1">
      <c r="A2481">
        <f>Table4[[#This Row],[Column1]]</f>
        <v>0</v>
      </c>
      <c r="B2481">
        <f>Table4[[#This Row],[Column2]]</f>
        <v>0</v>
      </c>
      <c r="I2481" s="13">
        <f>Table6[[#This Row],[discharge_date]]-Table6[[#This Row],[surgery_date]]</f>
        <v>0</v>
      </c>
      <c r="J2481" s="9" t="str">
        <f t="shared" si="57"/>
        <v/>
      </c>
    </row>
    <row r="2482" spans="1:10" ht="23.25" customHeight="1">
      <c r="A2482">
        <f>Table4[[#This Row],[Column1]]</f>
        <v>0</v>
      </c>
      <c r="B2482">
        <f>Table4[[#This Row],[Column2]]</f>
        <v>0</v>
      </c>
      <c r="I2482" s="13">
        <f>Table6[[#This Row],[discharge_date]]-Table6[[#This Row],[surgery_date]]</f>
        <v>0</v>
      </c>
      <c r="J2482" s="9" t="str">
        <f t="shared" si="57"/>
        <v/>
      </c>
    </row>
    <row r="2483" spans="1:10" ht="23.25" customHeight="1">
      <c r="A2483">
        <f>Table4[[#This Row],[Column1]]</f>
        <v>0</v>
      </c>
      <c r="B2483">
        <f>Table4[[#This Row],[Column2]]</f>
        <v>0</v>
      </c>
      <c r="I2483" s="13">
        <f>Table6[[#This Row],[discharge_date]]-Table6[[#This Row],[surgery_date]]</f>
        <v>0</v>
      </c>
      <c r="J2483" s="9" t="str">
        <f t="shared" si="57"/>
        <v/>
      </c>
    </row>
    <row r="2484" spans="1:10" ht="23.25" customHeight="1">
      <c r="A2484">
        <f>Table4[[#This Row],[Column1]]</f>
        <v>0</v>
      </c>
      <c r="B2484">
        <f>Table4[[#This Row],[Column2]]</f>
        <v>0</v>
      </c>
      <c r="I2484" s="13">
        <f>Table6[[#This Row],[discharge_date]]-Table6[[#This Row],[surgery_date]]</f>
        <v>0</v>
      </c>
      <c r="J2484" s="9" t="str">
        <f t="shared" si="57"/>
        <v/>
      </c>
    </row>
    <row r="2485" spans="1:10" ht="23.25" customHeight="1">
      <c r="A2485">
        <f>Table4[[#This Row],[Column1]]</f>
        <v>0</v>
      </c>
      <c r="B2485">
        <f>Table4[[#This Row],[Column2]]</f>
        <v>0</v>
      </c>
      <c r="I2485" s="13">
        <f>Table6[[#This Row],[discharge_date]]-Table6[[#This Row],[surgery_date]]</f>
        <v>0</v>
      </c>
      <c r="J2485" s="9" t="str">
        <f t="shared" si="57"/>
        <v/>
      </c>
    </row>
    <row r="2486" spans="1:10" ht="23.25" customHeight="1">
      <c r="A2486">
        <f>Table4[[#This Row],[Column1]]</f>
        <v>0</v>
      </c>
      <c r="B2486">
        <f>Table4[[#This Row],[Column2]]</f>
        <v>0</v>
      </c>
      <c r="I2486" s="13">
        <f>Table6[[#This Row],[discharge_date]]-Table6[[#This Row],[surgery_date]]</f>
        <v>0</v>
      </c>
      <c r="J2486" s="9" t="str">
        <f t="shared" si="57"/>
        <v/>
      </c>
    </row>
    <row r="2487" spans="1:10" ht="23.25" customHeight="1">
      <c r="A2487">
        <f>Table4[[#This Row],[Column1]]</f>
        <v>0</v>
      </c>
      <c r="B2487">
        <f>Table4[[#This Row],[Column2]]</f>
        <v>0</v>
      </c>
      <c r="I2487" s="13">
        <f>Table6[[#This Row],[discharge_date]]-Table6[[#This Row],[surgery_date]]</f>
        <v>0</v>
      </c>
      <c r="J2487" s="9" t="str">
        <f t="shared" si="57"/>
        <v/>
      </c>
    </row>
    <row r="2488" spans="1:10" ht="23.25" customHeight="1">
      <c r="A2488">
        <f>Table4[[#This Row],[Column1]]</f>
        <v>0</v>
      </c>
      <c r="B2488">
        <f>Table4[[#This Row],[Column2]]</f>
        <v>0</v>
      </c>
      <c r="I2488" s="13">
        <f>Table6[[#This Row],[discharge_date]]-Table6[[#This Row],[surgery_date]]</f>
        <v>0</v>
      </c>
      <c r="J2488" s="9" t="str">
        <f t="shared" si="57"/>
        <v/>
      </c>
    </row>
    <row r="2489" spans="1:10" ht="23.25" customHeight="1">
      <c r="A2489">
        <f>Table4[[#This Row],[Column1]]</f>
        <v>0</v>
      </c>
      <c r="B2489">
        <f>Table4[[#This Row],[Column2]]</f>
        <v>0</v>
      </c>
      <c r="I2489" s="13">
        <f>Table6[[#This Row],[discharge_date]]-Table6[[#This Row],[surgery_date]]</f>
        <v>0</v>
      </c>
      <c r="J2489" s="9" t="str">
        <f t="shared" si="57"/>
        <v/>
      </c>
    </row>
    <row r="2490" spans="1:10" ht="23.25" customHeight="1">
      <c r="A2490">
        <f>Table4[[#This Row],[Column1]]</f>
        <v>0</v>
      </c>
      <c r="B2490">
        <f>Table4[[#This Row],[Column2]]</f>
        <v>0</v>
      </c>
      <c r="I2490" s="13">
        <f>Table6[[#This Row],[discharge_date]]-Table6[[#This Row],[surgery_date]]</f>
        <v>0</v>
      </c>
      <c r="J2490" s="9" t="str">
        <f t="shared" si="57"/>
        <v/>
      </c>
    </row>
    <row r="2491" spans="1:10" ht="23.25" customHeight="1">
      <c r="A2491">
        <f>Table4[[#This Row],[Column1]]</f>
        <v>0</v>
      </c>
      <c r="B2491">
        <f>Table4[[#This Row],[Column2]]</f>
        <v>0</v>
      </c>
      <c r="I2491" s="13">
        <f>Table6[[#This Row],[discharge_date]]-Table6[[#This Row],[surgery_date]]</f>
        <v>0</v>
      </c>
      <c r="J2491" s="9" t="str">
        <f t="shared" si="57"/>
        <v/>
      </c>
    </row>
    <row r="2492" spans="1:10" ht="23.25" customHeight="1">
      <c r="A2492">
        <f>Table4[[#This Row],[Column1]]</f>
        <v>0</v>
      </c>
      <c r="B2492">
        <f>Table4[[#This Row],[Column2]]</f>
        <v>0</v>
      </c>
      <c r="I2492" s="13">
        <f>Table6[[#This Row],[discharge_date]]-Table6[[#This Row],[surgery_date]]</f>
        <v>0</v>
      </c>
      <c r="J2492" s="9" t="str">
        <f t="shared" si="57"/>
        <v/>
      </c>
    </row>
    <row r="2493" spans="1:10" ht="23.25" customHeight="1">
      <c r="A2493">
        <f>Table4[[#This Row],[Column1]]</f>
        <v>0</v>
      </c>
      <c r="B2493">
        <f>Table4[[#This Row],[Column2]]</f>
        <v>0</v>
      </c>
      <c r="I2493" s="13">
        <f>Table6[[#This Row],[discharge_date]]-Table6[[#This Row],[surgery_date]]</f>
        <v>0</v>
      </c>
      <c r="J2493" s="9" t="str">
        <f t="shared" si="57"/>
        <v/>
      </c>
    </row>
    <row r="2494" spans="1:10" ht="23.25" customHeight="1">
      <c r="A2494">
        <f>Table4[[#This Row],[Column1]]</f>
        <v>0</v>
      </c>
      <c r="B2494">
        <f>Table4[[#This Row],[Column2]]</f>
        <v>0</v>
      </c>
      <c r="I2494" s="13">
        <f>Table6[[#This Row],[discharge_date]]-Table6[[#This Row],[surgery_date]]</f>
        <v>0</v>
      </c>
      <c r="J2494" s="9" t="str">
        <f t="shared" si="57"/>
        <v/>
      </c>
    </row>
    <row r="2495" spans="1:10" ht="23.25" customHeight="1">
      <c r="A2495">
        <f>Table4[[#This Row],[Column1]]</f>
        <v>0</v>
      </c>
      <c r="B2495">
        <f>Table4[[#This Row],[Column2]]</f>
        <v>0</v>
      </c>
      <c r="I2495" s="13">
        <f>Table6[[#This Row],[discharge_date]]-Table6[[#This Row],[surgery_date]]</f>
        <v>0</v>
      </c>
      <c r="J2495" s="9" t="str">
        <f t="shared" si="57"/>
        <v/>
      </c>
    </row>
    <row r="2496" spans="1:10" ht="23.25" customHeight="1">
      <c r="A2496">
        <f>Table4[[#This Row],[Column1]]</f>
        <v>0</v>
      </c>
      <c r="B2496">
        <f>Table4[[#This Row],[Column2]]</f>
        <v>0</v>
      </c>
      <c r="I2496" s="13">
        <f>Table6[[#This Row],[discharge_date]]-Table6[[#This Row],[surgery_date]]</f>
        <v>0</v>
      </c>
      <c r="J2496" s="9" t="str">
        <f t="shared" si="57"/>
        <v/>
      </c>
    </row>
    <row r="2497" spans="1:10" ht="23.25" customHeight="1">
      <c r="A2497">
        <f>Table4[[#This Row],[Column1]]</f>
        <v>0</v>
      </c>
      <c r="B2497">
        <f>Table4[[#This Row],[Column2]]</f>
        <v>0</v>
      </c>
      <c r="I2497" s="13">
        <f>Table6[[#This Row],[discharge_date]]-Table6[[#This Row],[surgery_date]]</f>
        <v>0</v>
      </c>
      <c r="J2497" s="9" t="str">
        <f t="shared" si="57"/>
        <v/>
      </c>
    </row>
    <row r="2498" spans="1:10" ht="23.25" customHeight="1">
      <c r="A2498">
        <f>Table4[[#This Row],[Column1]]</f>
        <v>0</v>
      </c>
      <c r="B2498">
        <f>Table4[[#This Row],[Column2]]</f>
        <v>0</v>
      </c>
      <c r="I2498" s="13">
        <f>Table6[[#This Row],[discharge_date]]-Table6[[#This Row],[surgery_date]]</f>
        <v>0</v>
      </c>
      <c r="J2498" s="9" t="str">
        <f t="shared" ref="J2498:J2561" si="58">IF( H2498&lt;&gt;"", H2498+30,"")</f>
        <v/>
      </c>
    </row>
    <row r="2499" spans="1:10" ht="23.25" customHeight="1">
      <c r="A2499">
        <f>Table4[[#This Row],[Column1]]</f>
        <v>0</v>
      </c>
      <c r="B2499">
        <f>Table4[[#This Row],[Column2]]</f>
        <v>0</v>
      </c>
      <c r="I2499" s="13">
        <f>Table6[[#This Row],[discharge_date]]-Table6[[#This Row],[surgery_date]]</f>
        <v>0</v>
      </c>
      <c r="J2499" s="9" t="str">
        <f t="shared" si="58"/>
        <v/>
      </c>
    </row>
    <row r="2500" spans="1:10" ht="23.25" customHeight="1">
      <c r="A2500">
        <f>Table4[[#This Row],[Column1]]</f>
        <v>0</v>
      </c>
      <c r="B2500">
        <f>Table4[[#This Row],[Column2]]</f>
        <v>0</v>
      </c>
      <c r="I2500" s="13">
        <f>Table6[[#This Row],[discharge_date]]-Table6[[#This Row],[surgery_date]]</f>
        <v>0</v>
      </c>
      <c r="J2500" s="9" t="str">
        <f t="shared" si="58"/>
        <v/>
      </c>
    </row>
    <row r="2501" spans="1:10" ht="23.25" customHeight="1">
      <c r="A2501">
        <f>Table4[[#This Row],[Column1]]</f>
        <v>0</v>
      </c>
      <c r="B2501">
        <f>Table4[[#This Row],[Column2]]</f>
        <v>0</v>
      </c>
      <c r="I2501" s="13">
        <f>Table6[[#This Row],[discharge_date]]-Table6[[#This Row],[surgery_date]]</f>
        <v>0</v>
      </c>
      <c r="J2501" s="9" t="str">
        <f t="shared" si="58"/>
        <v/>
      </c>
    </row>
    <row r="2502" spans="1:10" ht="23.25" customHeight="1">
      <c r="A2502">
        <f>Table4[[#This Row],[Column1]]</f>
        <v>0</v>
      </c>
      <c r="B2502">
        <f>Table4[[#This Row],[Column2]]</f>
        <v>0</v>
      </c>
      <c r="I2502" s="13">
        <f>Table6[[#This Row],[discharge_date]]-Table6[[#This Row],[surgery_date]]</f>
        <v>0</v>
      </c>
      <c r="J2502" s="9" t="str">
        <f t="shared" si="58"/>
        <v/>
      </c>
    </row>
    <row r="2503" spans="1:10" ht="23.25" customHeight="1">
      <c r="A2503">
        <f>Table4[[#This Row],[Column1]]</f>
        <v>0</v>
      </c>
      <c r="B2503">
        <f>Table4[[#This Row],[Column2]]</f>
        <v>0</v>
      </c>
      <c r="I2503" s="13">
        <f>Table6[[#This Row],[discharge_date]]-Table6[[#This Row],[surgery_date]]</f>
        <v>0</v>
      </c>
      <c r="J2503" s="9" t="str">
        <f t="shared" si="58"/>
        <v/>
      </c>
    </row>
    <row r="2504" spans="1:10" ht="23.25" customHeight="1">
      <c r="A2504">
        <f>Table4[[#This Row],[Column1]]</f>
        <v>0</v>
      </c>
      <c r="B2504">
        <f>Table4[[#This Row],[Column2]]</f>
        <v>0</v>
      </c>
      <c r="I2504" s="13">
        <f>Table6[[#This Row],[discharge_date]]-Table6[[#This Row],[surgery_date]]</f>
        <v>0</v>
      </c>
      <c r="J2504" s="9" t="str">
        <f t="shared" si="58"/>
        <v/>
      </c>
    </row>
    <row r="2505" spans="1:10" ht="23.25" customHeight="1">
      <c r="A2505">
        <f>Table4[[#This Row],[Column1]]</f>
        <v>0</v>
      </c>
      <c r="B2505">
        <f>Table4[[#This Row],[Column2]]</f>
        <v>0</v>
      </c>
      <c r="I2505" s="13">
        <f>Table6[[#This Row],[discharge_date]]-Table6[[#This Row],[surgery_date]]</f>
        <v>0</v>
      </c>
      <c r="J2505" s="9" t="str">
        <f t="shared" si="58"/>
        <v/>
      </c>
    </row>
    <row r="2506" spans="1:10" ht="23.25" customHeight="1">
      <c r="A2506">
        <f>Table4[[#This Row],[Column1]]</f>
        <v>0</v>
      </c>
      <c r="B2506">
        <f>Table4[[#This Row],[Column2]]</f>
        <v>0</v>
      </c>
      <c r="I2506" s="13">
        <f>Table6[[#This Row],[discharge_date]]-Table6[[#This Row],[surgery_date]]</f>
        <v>0</v>
      </c>
      <c r="J2506" s="9" t="str">
        <f t="shared" si="58"/>
        <v/>
      </c>
    </row>
    <row r="2507" spans="1:10" ht="23.25" customHeight="1">
      <c r="A2507">
        <f>Table4[[#This Row],[Column1]]</f>
        <v>0</v>
      </c>
      <c r="B2507">
        <f>Table4[[#This Row],[Column2]]</f>
        <v>0</v>
      </c>
      <c r="I2507" s="13">
        <f>Table6[[#This Row],[discharge_date]]-Table6[[#This Row],[surgery_date]]</f>
        <v>0</v>
      </c>
      <c r="J2507" s="9" t="str">
        <f t="shared" si="58"/>
        <v/>
      </c>
    </row>
    <row r="2508" spans="1:10" ht="23.25" customHeight="1">
      <c r="A2508">
        <f>Table4[[#This Row],[Column1]]</f>
        <v>0</v>
      </c>
      <c r="B2508">
        <f>Table4[[#This Row],[Column2]]</f>
        <v>0</v>
      </c>
      <c r="I2508" s="13">
        <f>Table6[[#This Row],[discharge_date]]-Table6[[#This Row],[surgery_date]]</f>
        <v>0</v>
      </c>
      <c r="J2508" s="9" t="str">
        <f t="shared" si="58"/>
        <v/>
      </c>
    </row>
    <row r="2509" spans="1:10" ht="23.25" customHeight="1">
      <c r="A2509">
        <f>Table4[[#This Row],[Column1]]</f>
        <v>0</v>
      </c>
      <c r="B2509">
        <f>Table4[[#This Row],[Column2]]</f>
        <v>0</v>
      </c>
      <c r="I2509" s="13">
        <f>Table6[[#This Row],[discharge_date]]-Table6[[#This Row],[surgery_date]]</f>
        <v>0</v>
      </c>
      <c r="J2509" s="9" t="str">
        <f t="shared" si="58"/>
        <v/>
      </c>
    </row>
    <row r="2510" spans="1:10" ht="23.25" customHeight="1">
      <c r="A2510">
        <f>Table4[[#This Row],[Column1]]</f>
        <v>0</v>
      </c>
      <c r="B2510">
        <f>Table4[[#This Row],[Column2]]</f>
        <v>0</v>
      </c>
      <c r="I2510" s="13">
        <f>Table6[[#This Row],[discharge_date]]-Table6[[#This Row],[surgery_date]]</f>
        <v>0</v>
      </c>
      <c r="J2510" s="9" t="str">
        <f t="shared" si="58"/>
        <v/>
      </c>
    </row>
    <row r="2511" spans="1:10" ht="23.25" customHeight="1">
      <c r="A2511">
        <f>Table4[[#This Row],[Column1]]</f>
        <v>0</v>
      </c>
      <c r="B2511">
        <f>Table4[[#This Row],[Column2]]</f>
        <v>0</v>
      </c>
      <c r="I2511" s="13">
        <f>Table6[[#This Row],[discharge_date]]-Table6[[#This Row],[surgery_date]]</f>
        <v>0</v>
      </c>
      <c r="J2511" s="9" t="str">
        <f t="shared" si="58"/>
        <v/>
      </c>
    </row>
    <row r="2512" spans="1:10" ht="23.25" customHeight="1">
      <c r="A2512">
        <f>Table4[[#This Row],[Column1]]</f>
        <v>0</v>
      </c>
      <c r="B2512">
        <f>Table4[[#This Row],[Column2]]</f>
        <v>0</v>
      </c>
      <c r="I2512" s="13">
        <f>Table6[[#This Row],[discharge_date]]-Table6[[#This Row],[surgery_date]]</f>
        <v>0</v>
      </c>
      <c r="J2512" s="9" t="str">
        <f t="shared" si="58"/>
        <v/>
      </c>
    </row>
    <row r="2513" spans="1:10" ht="23.25" customHeight="1">
      <c r="A2513">
        <f>Table4[[#This Row],[Column1]]</f>
        <v>0</v>
      </c>
      <c r="B2513">
        <f>Table4[[#This Row],[Column2]]</f>
        <v>0</v>
      </c>
      <c r="I2513" s="13">
        <f>Table6[[#This Row],[discharge_date]]-Table6[[#This Row],[surgery_date]]</f>
        <v>0</v>
      </c>
      <c r="J2513" s="9" t="str">
        <f t="shared" si="58"/>
        <v/>
      </c>
    </row>
    <row r="2514" spans="1:10" ht="23.25" customHeight="1">
      <c r="A2514">
        <f>Table4[[#This Row],[Column1]]</f>
        <v>0</v>
      </c>
      <c r="B2514">
        <f>Table4[[#This Row],[Column2]]</f>
        <v>0</v>
      </c>
      <c r="I2514" s="13">
        <f>Table6[[#This Row],[discharge_date]]-Table6[[#This Row],[surgery_date]]</f>
        <v>0</v>
      </c>
      <c r="J2514" s="9" t="str">
        <f t="shared" si="58"/>
        <v/>
      </c>
    </row>
    <row r="2515" spans="1:10" ht="23.25" customHeight="1">
      <c r="A2515">
        <f>Table4[[#This Row],[Column1]]</f>
        <v>0</v>
      </c>
      <c r="B2515">
        <f>Table4[[#This Row],[Column2]]</f>
        <v>0</v>
      </c>
      <c r="I2515" s="13">
        <f>Table6[[#This Row],[discharge_date]]-Table6[[#This Row],[surgery_date]]</f>
        <v>0</v>
      </c>
      <c r="J2515" s="9" t="str">
        <f t="shared" si="58"/>
        <v/>
      </c>
    </row>
    <row r="2516" spans="1:10" ht="23.25" customHeight="1">
      <c r="A2516">
        <f>Table4[[#This Row],[Column1]]</f>
        <v>0</v>
      </c>
      <c r="B2516">
        <f>Table4[[#This Row],[Column2]]</f>
        <v>0</v>
      </c>
      <c r="I2516" s="13">
        <f>Table6[[#This Row],[discharge_date]]-Table6[[#This Row],[surgery_date]]</f>
        <v>0</v>
      </c>
      <c r="J2516" s="9" t="str">
        <f t="shared" si="58"/>
        <v/>
      </c>
    </row>
    <row r="2517" spans="1:10" ht="23.25" customHeight="1">
      <c r="A2517">
        <f>Table4[[#This Row],[Column1]]</f>
        <v>0</v>
      </c>
      <c r="B2517">
        <f>Table4[[#This Row],[Column2]]</f>
        <v>0</v>
      </c>
      <c r="I2517" s="13">
        <f>Table6[[#This Row],[discharge_date]]-Table6[[#This Row],[surgery_date]]</f>
        <v>0</v>
      </c>
      <c r="J2517" s="9" t="str">
        <f t="shared" si="58"/>
        <v/>
      </c>
    </row>
    <row r="2518" spans="1:10" ht="23.25" customHeight="1">
      <c r="A2518">
        <f>Table4[[#This Row],[Column1]]</f>
        <v>0</v>
      </c>
      <c r="B2518">
        <f>Table4[[#This Row],[Column2]]</f>
        <v>0</v>
      </c>
      <c r="I2518" s="13">
        <f>Table6[[#This Row],[discharge_date]]-Table6[[#This Row],[surgery_date]]</f>
        <v>0</v>
      </c>
      <c r="J2518" s="9" t="str">
        <f t="shared" si="58"/>
        <v/>
      </c>
    </row>
    <row r="2519" spans="1:10" ht="23.25" customHeight="1">
      <c r="A2519">
        <f>Table4[[#This Row],[Column1]]</f>
        <v>0</v>
      </c>
      <c r="B2519">
        <f>Table4[[#This Row],[Column2]]</f>
        <v>0</v>
      </c>
      <c r="I2519" s="13">
        <f>Table6[[#This Row],[discharge_date]]-Table6[[#This Row],[surgery_date]]</f>
        <v>0</v>
      </c>
      <c r="J2519" s="9" t="str">
        <f t="shared" si="58"/>
        <v/>
      </c>
    </row>
    <row r="2520" spans="1:10" ht="23.25" customHeight="1">
      <c r="A2520">
        <f>Table4[[#This Row],[Column1]]</f>
        <v>0</v>
      </c>
      <c r="B2520">
        <f>Table4[[#This Row],[Column2]]</f>
        <v>0</v>
      </c>
      <c r="I2520" s="13">
        <f>Table6[[#This Row],[discharge_date]]-Table6[[#This Row],[surgery_date]]</f>
        <v>0</v>
      </c>
      <c r="J2520" s="9" t="str">
        <f t="shared" si="58"/>
        <v/>
      </c>
    </row>
    <row r="2521" spans="1:10" ht="23.25" customHeight="1">
      <c r="A2521">
        <f>Table4[[#This Row],[Column1]]</f>
        <v>0</v>
      </c>
      <c r="B2521">
        <f>Table4[[#This Row],[Column2]]</f>
        <v>0</v>
      </c>
      <c r="I2521" s="13">
        <f>Table6[[#This Row],[discharge_date]]-Table6[[#This Row],[surgery_date]]</f>
        <v>0</v>
      </c>
      <c r="J2521" s="9" t="str">
        <f t="shared" si="58"/>
        <v/>
      </c>
    </row>
    <row r="2522" spans="1:10" ht="23.25" customHeight="1">
      <c r="A2522">
        <f>Table4[[#This Row],[Column1]]</f>
        <v>0</v>
      </c>
      <c r="B2522">
        <f>Table4[[#This Row],[Column2]]</f>
        <v>0</v>
      </c>
      <c r="I2522" s="13">
        <f>Table6[[#This Row],[discharge_date]]-Table6[[#This Row],[surgery_date]]</f>
        <v>0</v>
      </c>
      <c r="J2522" s="9" t="str">
        <f t="shared" si="58"/>
        <v/>
      </c>
    </row>
    <row r="2523" spans="1:10" ht="23.25" customHeight="1">
      <c r="A2523">
        <f>Table4[[#This Row],[Column1]]</f>
        <v>0</v>
      </c>
      <c r="B2523">
        <f>Table4[[#This Row],[Column2]]</f>
        <v>0</v>
      </c>
      <c r="I2523" s="13">
        <f>Table6[[#This Row],[discharge_date]]-Table6[[#This Row],[surgery_date]]</f>
        <v>0</v>
      </c>
      <c r="J2523" s="9" t="str">
        <f t="shared" si="58"/>
        <v/>
      </c>
    </row>
    <row r="2524" spans="1:10" ht="23.25" customHeight="1">
      <c r="A2524">
        <f>Table4[[#This Row],[Column1]]</f>
        <v>0</v>
      </c>
      <c r="B2524">
        <f>Table4[[#This Row],[Column2]]</f>
        <v>0</v>
      </c>
      <c r="I2524" s="13">
        <f>Table6[[#This Row],[discharge_date]]-Table6[[#This Row],[surgery_date]]</f>
        <v>0</v>
      </c>
      <c r="J2524" s="9" t="str">
        <f t="shared" si="58"/>
        <v/>
      </c>
    </row>
    <row r="2525" spans="1:10" ht="23.25" customHeight="1">
      <c r="A2525">
        <f>Table4[[#This Row],[Column1]]</f>
        <v>0</v>
      </c>
      <c r="B2525">
        <f>Table4[[#This Row],[Column2]]</f>
        <v>0</v>
      </c>
      <c r="I2525" s="13">
        <f>Table6[[#This Row],[discharge_date]]-Table6[[#This Row],[surgery_date]]</f>
        <v>0</v>
      </c>
      <c r="J2525" s="9" t="str">
        <f t="shared" si="58"/>
        <v/>
      </c>
    </row>
    <row r="2526" spans="1:10" ht="23.25" customHeight="1">
      <c r="A2526">
        <f>Table4[[#This Row],[Column1]]</f>
        <v>0</v>
      </c>
      <c r="B2526">
        <f>Table4[[#This Row],[Column2]]</f>
        <v>0</v>
      </c>
      <c r="I2526" s="13">
        <f>Table6[[#This Row],[discharge_date]]-Table6[[#This Row],[surgery_date]]</f>
        <v>0</v>
      </c>
      <c r="J2526" s="9" t="str">
        <f t="shared" si="58"/>
        <v/>
      </c>
    </row>
    <row r="2527" spans="1:10" ht="23.25" customHeight="1">
      <c r="A2527">
        <f>Table4[[#This Row],[Column1]]</f>
        <v>0</v>
      </c>
      <c r="B2527">
        <f>Table4[[#This Row],[Column2]]</f>
        <v>0</v>
      </c>
      <c r="I2527" s="13">
        <f>Table6[[#This Row],[discharge_date]]-Table6[[#This Row],[surgery_date]]</f>
        <v>0</v>
      </c>
      <c r="J2527" s="9" t="str">
        <f t="shared" si="58"/>
        <v/>
      </c>
    </row>
    <row r="2528" spans="1:10" ht="23.25" customHeight="1">
      <c r="A2528">
        <f>Table4[[#This Row],[Column1]]</f>
        <v>0</v>
      </c>
      <c r="B2528">
        <f>Table4[[#This Row],[Column2]]</f>
        <v>0</v>
      </c>
      <c r="I2528" s="13">
        <f>Table6[[#This Row],[discharge_date]]-Table6[[#This Row],[surgery_date]]</f>
        <v>0</v>
      </c>
      <c r="J2528" s="9" t="str">
        <f t="shared" si="58"/>
        <v/>
      </c>
    </row>
    <row r="2529" spans="1:10" ht="23.25" customHeight="1">
      <c r="A2529">
        <f>Table4[[#This Row],[Column1]]</f>
        <v>0</v>
      </c>
      <c r="B2529">
        <f>Table4[[#This Row],[Column2]]</f>
        <v>0</v>
      </c>
      <c r="I2529" s="13">
        <f>Table6[[#This Row],[discharge_date]]-Table6[[#This Row],[surgery_date]]</f>
        <v>0</v>
      </c>
      <c r="J2529" s="9" t="str">
        <f t="shared" si="58"/>
        <v/>
      </c>
    </row>
    <row r="2530" spans="1:10" ht="23.25" customHeight="1">
      <c r="A2530">
        <f>Table4[[#This Row],[Column1]]</f>
        <v>0</v>
      </c>
      <c r="B2530">
        <f>Table4[[#This Row],[Column2]]</f>
        <v>0</v>
      </c>
      <c r="I2530" s="13">
        <f>Table6[[#This Row],[discharge_date]]-Table6[[#This Row],[surgery_date]]</f>
        <v>0</v>
      </c>
      <c r="J2530" s="9" t="str">
        <f t="shared" si="58"/>
        <v/>
      </c>
    </row>
    <row r="2531" spans="1:10" ht="23.25" customHeight="1">
      <c r="A2531">
        <f>Table4[[#This Row],[Column1]]</f>
        <v>0</v>
      </c>
      <c r="B2531">
        <f>Table4[[#This Row],[Column2]]</f>
        <v>0</v>
      </c>
      <c r="I2531" s="13">
        <f>Table6[[#This Row],[discharge_date]]-Table6[[#This Row],[surgery_date]]</f>
        <v>0</v>
      </c>
      <c r="J2531" s="9" t="str">
        <f t="shared" si="58"/>
        <v/>
      </c>
    </row>
    <row r="2532" spans="1:10" ht="23.25" customHeight="1">
      <c r="A2532">
        <f>Table4[[#This Row],[Column1]]</f>
        <v>0</v>
      </c>
      <c r="B2532">
        <f>Table4[[#This Row],[Column2]]</f>
        <v>0</v>
      </c>
      <c r="I2532" s="13">
        <f>Table6[[#This Row],[discharge_date]]-Table6[[#This Row],[surgery_date]]</f>
        <v>0</v>
      </c>
      <c r="J2532" s="9" t="str">
        <f t="shared" si="58"/>
        <v/>
      </c>
    </row>
    <row r="2533" spans="1:10" ht="23.25" customHeight="1">
      <c r="A2533">
        <f>Table4[[#This Row],[Column1]]</f>
        <v>0</v>
      </c>
      <c r="B2533">
        <f>Table4[[#This Row],[Column2]]</f>
        <v>0</v>
      </c>
      <c r="I2533" s="13">
        <f>Table6[[#This Row],[discharge_date]]-Table6[[#This Row],[surgery_date]]</f>
        <v>0</v>
      </c>
      <c r="J2533" s="9" t="str">
        <f t="shared" si="58"/>
        <v/>
      </c>
    </row>
    <row r="2534" spans="1:10" ht="23.25" customHeight="1">
      <c r="A2534">
        <f>Table4[[#This Row],[Column1]]</f>
        <v>0</v>
      </c>
      <c r="B2534">
        <f>Table4[[#This Row],[Column2]]</f>
        <v>0</v>
      </c>
      <c r="I2534" s="13">
        <f>Table6[[#This Row],[discharge_date]]-Table6[[#This Row],[surgery_date]]</f>
        <v>0</v>
      </c>
      <c r="J2534" s="9" t="str">
        <f t="shared" si="58"/>
        <v/>
      </c>
    </row>
    <row r="2535" spans="1:10" ht="23.25" customHeight="1">
      <c r="A2535">
        <f>Table4[[#This Row],[Column1]]</f>
        <v>0</v>
      </c>
      <c r="B2535">
        <f>Table4[[#This Row],[Column2]]</f>
        <v>0</v>
      </c>
      <c r="I2535" s="13">
        <f>Table6[[#This Row],[discharge_date]]-Table6[[#This Row],[surgery_date]]</f>
        <v>0</v>
      </c>
      <c r="J2535" s="9" t="str">
        <f t="shared" si="58"/>
        <v/>
      </c>
    </row>
    <row r="2536" spans="1:10" ht="23.25" customHeight="1">
      <c r="A2536">
        <f>Table4[[#This Row],[Column1]]</f>
        <v>0</v>
      </c>
      <c r="B2536">
        <f>Table4[[#This Row],[Column2]]</f>
        <v>0</v>
      </c>
      <c r="I2536" s="13">
        <f>Table6[[#This Row],[discharge_date]]-Table6[[#This Row],[surgery_date]]</f>
        <v>0</v>
      </c>
      <c r="J2536" s="9" t="str">
        <f t="shared" si="58"/>
        <v/>
      </c>
    </row>
    <row r="2537" spans="1:10" ht="23.25" customHeight="1">
      <c r="A2537">
        <f>Table4[[#This Row],[Column1]]</f>
        <v>0</v>
      </c>
      <c r="B2537">
        <f>Table4[[#This Row],[Column2]]</f>
        <v>0</v>
      </c>
      <c r="I2537" s="13">
        <f>Table6[[#This Row],[discharge_date]]-Table6[[#This Row],[surgery_date]]</f>
        <v>0</v>
      </c>
      <c r="J2537" s="9" t="str">
        <f t="shared" si="58"/>
        <v/>
      </c>
    </row>
    <row r="2538" spans="1:10" ht="23.25" customHeight="1">
      <c r="A2538">
        <f>Table4[[#This Row],[Column1]]</f>
        <v>0</v>
      </c>
      <c r="B2538">
        <f>Table4[[#This Row],[Column2]]</f>
        <v>0</v>
      </c>
      <c r="I2538" s="13">
        <f>Table6[[#This Row],[discharge_date]]-Table6[[#This Row],[surgery_date]]</f>
        <v>0</v>
      </c>
      <c r="J2538" s="9" t="str">
        <f t="shared" si="58"/>
        <v/>
      </c>
    </row>
    <row r="2539" spans="1:10" ht="23.25" customHeight="1">
      <c r="A2539">
        <f>Table4[[#This Row],[Column1]]</f>
        <v>0</v>
      </c>
      <c r="B2539">
        <f>Table4[[#This Row],[Column2]]</f>
        <v>0</v>
      </c>
      <c r="I2539" s="13">
        <f>Table6[[#This Row],[discharge_date]]-Table6[[#This Row],[surgery_date]]</f>
        <v>0</v>
      </c>
      <c r="J2539" s="9" t="str">
        <f t="shared" si="58"/>
        <v/>
      </c>
    </row>
    <row r="2540" spans="1:10" ht="23.25" customHeight="1">
      <c r="A2540">
        <f>Table4[[#This Row],[Column1]]</f>
        <v>0</v>
      </c>
      <c r="B2540">
        <f>Table4[[#This Row],[Column2]]</f>
        <v>0</v>
      </c>
      <c r="I2540" s="13">
        <f>Table6[[#This Row],[discharge_date]]-Table6[[#This Row],[surgery_date]]</f>
        <v>0</v>
      </c>
      <c r="J2540" s="9" t="str">
        <f t="shared" si="58"/>
        <v/>
      </c>
    </row>
    <row r="2541" spans="1:10" ht="23.25" customHeight="1">
      <c r="A2541">
        <f>Table4[[#This Row],[Column1]]</f>
        <v>0</v>
      </c>
      <c r="B2541">
        <f>Table4[[#This Row],[Column2]]</f>
        <v>0</v>
      </c>
      <c r="I2541" s="13">
        <f>Table6[[#This Row],[discharge_date]]-Table6[[#This Row],[surgery_date]]</f>
        <v>0</v>
      </c>
      <c r="J2541" s="9" t="str">
        <f t="shared" si="58"/>
        <v/>
      </c>
    </row>
    <row r="2542" spans="1:10" ht="23.25" customHeight="1">
      <c r="A2542">
        <f>Table4[[#This Row],[Column1]]</f>
        <v>0</v>
      </c>
      <c r="B2542">
        <f>Table4[[#This Row],[Column2]]</f>
        <v>0</v>
      </c>
      <c r="I2542" s="13">
        <f>Table6[[#This Row],[discharge_date]]-Table6[[#This Row],[surgery_date]]</f>
        <v>0</v>
      </c>
      <c r="J2542" s="9" t="str">
        <f t="shared" si="58"/>
        <v/>
      </c>
    </row>
    <row r="2543" spans="1:10" ht="23.25" customHeight="1">
      <c r="A2543">
        <f>Table4[[#This Row],[Column1]]</f>
        <v>0</v>
      </c>
      <c r="B2543">
        <f>Table4[[#This Row],[Column2]]</f>
        <v>0</v>
      </c>
      <c r="I2543" s="13">
        <f>Table6[[#This Row],[discharge_date]]-Table6[[#This Row],[surgery_date]]</f>
        <v>0</v>
      </c>
      <c r="J2543" s="9" t="str">
        <f t="shared" si="58"/>
        <v/>
      </c>
    </row>
    <row r="2544" spans="1:10" ht="23.25" customHeight="1">
      <c r="A2544">
        <f>Table4[[#This Row],[Column1]]</f>
        <v>0</v>
      </c>
      <c r="B2544">
        <f>Table4[[#This Row],[Column2]]</f>
        <v>0</v>
      </c>
      <c r="I2544" s="13">
        <f>Table6[[#This Row],[discharge_date]]-Table6[[#This Row],[surgery_date]]</f>
        <v>0</v>
      </c>
      <c r="J2544" s="9" t="str">
        <f t="shared" si="58"/>
        <v/>
      </c>
    </row>
    <row r="2545" spans="1:10" ht="23.25" customHeight="1">
      <c r="A2545">
        <f>Table4[[#This Row],[Column1]]</f>
        <v>0</v>
      </c>
      <c r="B2545">
        <f>Table4[[#This Row],[Column2]]</f>
        <v>0</v>
      </c>
      <c r="I2545" s="13">
        <f>Table6[[#This Row],[discharge_date]]-Table6[[#This Row],[surgery_date]]</f>
        <v>0</v>
      </c>
      <c r="J2545" s="9" t="str">
        <f t="shared" si="58"/>
        <v/>
      </c>
    </row>
    <row r="2546" spans="1:10" ht="23.25" customHeight="1">
      <c r="A2546">
        <f>Table4[[#This Row],[Column1]]</f>
        <v>0</v>
      </c>
      <c r="B2546">
        <f>Table4[[#This Row],[Column2]]</f>
        <v>0</v>
      </c>
      <c r="I2546" s="13">
        <f>Table6[[#This Row],[discharge_date]]-Table6[[#This Row],[surgery_date]]</f>
        <v>0</v>
      </c>
      <c r="J2546" s="9" t="str">
        <f t="shared" si="58"/>
        <v/>
      </c>
    </row>
    <row r="2547" spans="1:10" ht="23.25" customHeight="1">
      <c r="A2547">
        <f>Table4[[#This Row],[Column1]]</f>
        <v>0</v>
      </c>
      <c r="B2547">
        <f>Table4[[#This Row],[Column2]]</f>
        <v>0</v>
      </c>
      <c r="I2547" s="13">
        <f>Table6[[#This Row],[discharge_date]]-Table6[[#This Row],[surgery_date]]</f>
        <v>0</v>
      </c>
      <c r="J2547" s="9" t="str">
        <f t="shared" si="58"/>
        <v/>
      </c>
    </row>
    <row r="2548" spans="1:10" ht="23.25" customHeight="1">
      <c r="A2548">
        <f>Table4[[#This Row],[Column1]]</f>
        <v>0</v>
      </c>
      <c r="B2548">
        <f>Table4[[#This Row],[Column2]]</f>
        <v>0</v>
      </c>
      <c r="I2548" s="13">
        <f>Table6[[#This Row],[discharge_date]]-Table6[[#This Row],[surgery_date]]</f>
        <v>0</v>
      </c>
      <c r="J2548" s="9" t="str">
        <f t="shared" si="58"/>
        <v/>
      </c>
    </row>
    <row r="2549" spans="1:10" ht="23.25" customHeight="1">
      <c r="A2549">
        <f>Table4[[#This Row],[Column1]]</f>
        <v>0</v>
      </c>
      <c r="B2549">
        <f>Table4[[#This Row],[Column2]]</f>
        <v>0</v>
      </c>
      <c r="I2549" s="13">
        <f>Table6[[#This Row],[discharge_date]]-Table6[[#This Row],[surgery_date]]</f>
        <v>0</v>
      </c>
      <c r="J2549" s="9" t="str">
        <f t="shared" si="58"/>
        <v/>
      </c>
    </row>
    <row r="2550" spans="1:10" ht="23.25" customHeight="1">
      <c r="A2550">
        <f>Table4[[#This Row],[Column1]]</f>
        <v>0</v>
      </c>
      <c r="B2550">
        <f>Table4[[#This Row],[Column2]]</f>
        <v>0</v>
      </c>
      <c r="I2550" s="13">
        <f>Table6[[#This Row],[discharge_date]]-Table6[[#This Row],[surgery_date]]</f>
        <v>0</v>
      </c>
      <c r="J2550" s="9" t="str">
        <f t="shared" si="58"/>
        <v/>
      </c>
    </row>
    <row r="2551" spans="1:10" ht="23.25" customHeight="1">
      <c r="A2551">
        <f>Table4[[#This Row],[Column1]]</f>
        <v>0</v>
      </c>
      <c r="B2551">
        <f>Table4[[#This Row],[Column2]]</f>
        <v>0</v>
      </c>
      <c r="I2551" s="13">
        <f>Table6[[#This Row],[discharge_date]]-Table6[[#This Row],[surgery_date]]</f>
        <v>0</v>
      </c>
      <c r="J2551" s="9" t="str">
        <f t="shared" si="58"/>
        <v/>
      </c>
    </row>
    <row r="2552" spans="1:10" ht="23.25" customHeight="1">
      <c r="A2552">
        <f>Table4[[#This Row],[Column1]]</f>
        <v>0</v>
      </c>
      <c r="B2552">
        <f>Table4[[#This Row],[Column2]]</f>
        <v>0</v>
      </c>
      <c r="I2552" s="13">
        <f>Table6[[#This Row],[discharge_date]]-Table6[[#This Row],[surgery_date]]</f>
        <v>0</v>
      </c>
      <c r="J2552" s="9" t="str">
        <f t="shared" si="58"/>
        <v/>
      </c>
    </row>
    <row r="2553" spans="1:10" ht="23.25" customHeight="1">
      <c r="A2553">
        <f>Table4[[#This Row],[Column1]]</f>
        <v>0</v>
      </c>
      <c r="B2553">
        <f>Table4[[#This Row],[Column2]]</f>
        <v>0</v>
      </c>
      <c r="I2553" s="13">
        <f>Table6[[#This Row],[discharge_date]]-Table6[[#This Row],[surgery_date]]</f>
        <v>0</v>
      </c>
      <c r="J2553" s="9" t="str">
        <f t="shared" si="58"/>
        <v/>
      </c>
    </row>
    <row r="2554" spans="1:10" ht="23.25" customHeight="1">
      <c r="A2554">
        <f>Table4[[#This Row],[Column1]]</f>
        <v>0</v>
      </c>
      <c r="B2554">
        <f>Table4[[#This Row],[Column2]]</f>
        <v>0</v>
      </c>
      <c r="I2554" s="13">
        <f>Table6[[#This Row],[discharge_date]]-Table6[[#This Row],[surgery_date]]</f>
        <v>0</v>
      </c>
      <c r="J2554" s="9" t="str">
        <f t="shared" si="58"/>
        <v/>
      </c>
    </row>
    <row r="2555" spans="1:10" ht="23.25" customHeight="1">
      <c r="A2555">
        <f>Table4[[#This Row],[Column1]]</f>
        <v>0</v>
      </c>
      <c r="B2555">
        <f>Table4[[#This Row],[Column2]]</f>
        <v>0</v>
      </c>
      <c r="I2555" s="13">
        <f>Table6[[#This Row],[discharge_date]]-Table6[[#This Row],[surgery_date]]</f>
        <v>0</v>
      </c>
      <c r="J2555" s="9" t="str">
        <f t="shared" si="58"/>
        <v/>
      </c>
    </row>
    <row r="2556" spans="1:10" ht="23.25" customHeight="1">
      <c r="A2556">
        <f>Table4[[#This Row],[Column1]]</f>
        <v>0</v>
      </c>
      <c r="B2556">
        <f>Table4[[#This Row],[Column2]]</f>
        <v>0</v>
      </c>
      <c r="I2556" s="13">
        <f>Table6[[#This Row],[discharge_date]]-Table6[[#This Row],[surgery_date]]</f>
        <v>0</v>
      </c>
      <c r="J2556" s="9" t="str">
        <f t="shared" si="58"/>
        <v/>
      </c>
    </row>
    <row r="2557" spans="1:10" ht="23.25" customHeight="1">
      <c r="A2557">
        <f>Table4[[#This Row],[Column1]]</f>
        <v>0</v>
      </c>
      <c r="B2557">
        <f>Table4[[#This Row],[Column2]]</f>
        <v>0</v>
      </c>
      <c r="I2557" s="13">
        <f>Table6[[#This Row],[discharge_date]]-Table6[[#This Row],[surgery_date]]</f>
        <v>0</v>
      </c>
      <c r="J2557" s="9" t="str">
        <f t="shared" si="58"/>
        <v/>
      </c>
    </row>
    <row r="2558" spans="1:10" ht="23.25" customHeight="1">
      <c r="A2558">
        <f>Table4[[#This Row],[Column1]]</f>
        <v>0</v>
      </c>
      <c r="B2558">
        <f>Table4[[#This Row],[Column2]]</f>
        <v>0</v>
      </c>
      <c r="I2558" s="13">
        <f>Table6[[#This Row],[discharge_date]]-Table6[[#This Row],[surgery_date]]</f>
        <v>0</v>
      </c>
      <c r="J2558" s="9" t="str">
        <f t="shared" si="58"/>
        <v/>
      </c>
    </row>
    <row r="2559" spans="1:10" ht="23.25" customHeight="1">
      <c r="A2559">
        <f>Table4[[#This Row],[Column1]]</f>
        <v>0</v>
      </c>
      <c r="B2559">
        <f>Table4[[#This Row],[Column2]]</f>
        <v>0</v>
      </c>
      <c r="I2559" s="13">
        <f>Table6[[#This Row],[discharge_date]]-Table6[[#This Row],[surgery_date]]</f>
        <v>0</v>
      </c>
      <c r="J2559" s="9" t="str">
        <f t="shared" si="58"/>
        <v/>
      </c>
    </row>
    <row r="2560" spans="1:10" ht="23.25" customHeight="1">
      <c r="A2560">
        <f>Table4[[#This Row],[Column1]]</f>
        <v>0</v>
      </c>
      <c r="B2560">
        <f>Table4[[#This Row],[Column2]]</f>
        <v>0</v>
      </c>
      <c r="I2560" s="13">
        <f>Table6[[#This Row],[discharge_date]]-Table6[[#This Row],[surgery_date]]</f>
        <v>0</v>
      </c>
      <c r="J2560" s="9" t="str">
        <f t="shared" si="58"/>
        <v/>
      </c>
    </row>
    <row r="2561" spans="1:10" ht="23.25" customHeight="1">
      <c r="A2561">
        <f>Table4[[#This Row],[Column1]]</f>
        <v>0</v>
      </c>
      <c r="B2561">
        <f>Table4[[#This Row],[Column2]]</f>
        <v>0</v>
      </c>
      <c r="I2561" s="13">
        <f>Table6[[#This Row],[discharge_date]]-Table6[[#This Row],[surgery_date]]</f>
        <v>0</v>
      </c>
      <c r="J2561" s="9" t="str">
        <f t="shared" si="58"/>
        <v/>
      </c>
    </row>
    <row r="2562" spans="1:10" ht="23.25" customHeight="1">
      <c r="A2562">
        <f>Table4[[#This Row],[Column1]]</f>
        <v>0</v>
      </c>
      <c r="B2562">
        <f>Table4[[#This Row],[Column2]]</f>
        <v>0</v>
      </c>
      <c r="I2562" s="13">
        <f>Table6[[#This Row],[discharge_date]]-Table6[[#This Row],[surgery_date]]</f>
        <v>0</v>
      </c>
      <c r="J2562" s="9" t="str">
        <f t="shared" ref="J2562:J2625" si="59">IF( H2562&lt;&gt;"", H2562+30,"")</f>
        <v/>
      </c>
    </row>
    <row r="2563" spans="1:10" ht="23.25" customHeight="1">
      <c r="A2563">
        <f>Table4[[#This Row],[Column1]]</f>
        <v>0</v>
      </c>
      <c r="B2563">
        <f>Table4[[#This Row],[Column2]]</f>
        <v>0</v>
      </c>
      <c r="I2563" s="13">
        <f>Table6[[#This Row],[discharge_date]]-Table6[[#This Row],[surgery_date]]</f>
        <v>0</v>
      </c>
      <c r="J2563" s="9" t="str">
        <f t="shared" si="59"/>
        <v/>
      </c>
    </row>
    <row r="2564" spans="1:10" ht="23.25" customHeight="1">
      <c r="A2564">
        <f>Table4[[#This Row],[Column1]]</f>
        <v>0</v>
      </c>
      <c r="B2564">
        <f>Table4[[#This Row],[Column2]]</f>
        <v>0</v>
      </c>
      <c r="I2564" s="13">
        <f>Table6[[#This Row],[discharge_date]]-Table6[[#This Row],[surgery_date]]</f>
        <v>0</v>
      </c>
      <c r="J2564" s="9" t="str">
        <f t="shared" si="59"/>
        <v/>
      </c>
    </row>
    <row r="2565" spans="1:10" ht="23.25" customHeight="1">
      <c r="A2565">
        <f>Table4[[#This Row],[Column1]]</f>
        <v>0</v>
      </c>
      <c r="B2565">
        <f>Table4[[#This Row],[Column2]]</f>
        <v>0</v>
      </c>
      <c r="I2565" s="13">
        <f>Table6[[#This Row],[discharge_date]]-Table6[[#This Row],[surgery_date]]</f>
        <v>0</v>
      </c>
      <c r="J2565" s="9" t="str">
        <f t="shared" si="59"/>
        <v/>
      </c>
    </row>
    <row r="2566" spans="1:10" ht="23.25" customHeight="1">
      <c r="A2566">
        <f>Table4[[#This Row],[Column1]]</f>
        <v>0</v>
      </c>
      <c r="B2566">
        <f>Table4[[#This Row],[Column2]]</f>
        <v>0</v>
      </c>
      <c r="I2566" s="13">
        <f>Table6[[#This Row],[discharge_date]]-Table6[[#This Row],[surgery_date]]</f>
        <v>0</v>
      </c>
      <c r="J2566" s="9" t="str">
        <f t="shared" si="59"/>
        <v/>
      </c>
    </row>
    <row r="2567" spans="1:10" ht="23.25" customHeight="1">
      <c r="A2567">
        <f>Table4[[#This Row],[Column1]]</f>
        <v>0</v>
      </c>
      <c r="B2567">
        <f>Table4[[#This Row],[Column2]]</f>
        <v>0</v>
      </c>
      <c r="I2567" s="13">
        <f>Table6[[#This Row],[discharge_date]]-Table6[[#This Row],[surgery_date]]</f>
        <v>0</v>
      </c>
      <c r="J2567" s="9" t="str">
        <f t="shared" si="59"/>
        <v/>
      </c>
    </row>
    <row r="2568" spans="1:10" ht="23.25" customHeight="1">
      <c r="A2568">
        <f>Table4[[#This Row],[Column1]]</f>
        <v>0</v>
      </c>
      <c r="B2568">
        <f>Table4[[#This Row],[Column2]]</f>
        <v>0</v>
      </c>
      <c r="I2568" s="13">
        <f>Table6[[#This Row],[discharge_date]]-Table6[[#This Row],[surgery_date]]</f>
        <v>0</v>
      </c>
      <c r="J2568" s="9" t="str">
        <f t="shared" si="59"/>
        <v/>
      </c>
    </row>
    <row r="2569" spans="1:10" ht="23.25" customHeight="1">
      <c r="A2569">
        <f>Table4[[#This Row],[Column1]]</f>
        <v>0</v>
      </c>
      <c r="B2569">
        <f>Table4[[#This Row],[Column2]]</f>
        <v>0</v>
      </c>
      <c r="I2569" s="13">
        <f>Table6[[#This Row],[discharge_date]]-Table6[[#This Row],[surgery_date]]</f>
        <v>0</v>
      </c>
      <c r="J2569" s="9" t="str">
        <f t="shared" si="59"/>
        <v/>
      </c>
    </row>
    <row r="2570" spans="1:10" ht="23.25" customHeight="1">
      <c r="A2570">
        <f>Table4[[#This Row],[Column1]]</f>
        <v>0</v>
      </c>
      <c r="B2570">
        <f>Table4[[#This Row],[Column2]]</f>
        <v>0</v>
      </c>
      <c r="I2570" s="13">
        <f>Table6[[#This Row],[discharge_date]]-Table6[[#This Row],[surgery_date]]</f>
        <v>0</v>
      </c>
      <c r="J2570" s="9" t="str">
        <f t="shared" si="59"/>
        <v/>
      </c>
    </row>
    <row r="2571" spans="1:10" ht="23.25" customHeight="1">
      <c r="A2571">
        <f>Table4[[#This Row],[Column1]]</f>
        <v>0</v>
      </c>
      <c r="B2571">
        <f>Table4[[#This Row],[Column2]]</f>
        <v>0</v>
      </c>
      <c r="I2571" s="13">
        <f>Table6[[#This Row],[discharge_date]]-Table6[[#This Row],[surgery_date]]</f>
        <v>0</v>
      </c>
      <c r="J2571" s="9" t="str">
        <f t="shared" si="59"/>
        <v/>
      </c>
    </row>
    <row r="2572" spans="1:10" ht="23.25" customHeight="1">
      <c r="A2572">
        <f>Table4[[#This Row],[Column1]]</f>
        <v>0</v>
      </c>
      <c r="B2572">
        <f>Table4[[#This Row],[Column2]]</f>
        <v>0</v>
      </c>
      <c r="I2572" s="13">
        <f>Table6[[#This Row],[discharge_date]]-Table6[[#This Row],[surgery_date]]</f>
        <v>0</v>
      </c>
      <c r="J2572" s="9" t="str">
        <f t="shared" si="59"/>
        <v/>
      </c>
    </row>
    <row r="2573" spans="1:10" ht="23.25" customHeight="1">
      <c r="A2573">
        <f>Table4[[#This Row],[Column1]]</f>
        <v>0</v>
      </c>
      <c r="B2573">
        <f>Table4[[#This Row],[Column2]]</f>
        <v>0</v>
      </c>
      <c r="I2573" s="13">
        <f>Table6[[#This Row],[discharge_date]]-Table6[[#This Row],[surgery_date]]</f>
        <v>0</v>
      </c>
      <c r="J2573" s="9" t="str">
        <f t="shared" si="59"/>
        <v/>
      </c>
    </row>
    <row r="2574" spans="1:10" ht="23.25" customHeight="1">
      <c r="A2574">
        <f>Table4[[#This Row],[Column1]]</f>
        <v>0</v>
      </c>
      <c r="B2574">
        <f>Table4[[#This Row],[Column2]]</f>
        <v>0</v>
      </c>
      <c r="I2574" s="13">
        <f>Table6[[#This Row],[discharge_date]]-Table6[[#This Row],[surgery_date]]</f>
        <v>0</v>
      </c>
      <c r="J2574" s="9" t="str">
        <f t="shared" si="59"/>
        <v/>
      </c>
    </row>
    <row r="2575" spans="1:10" ht="23.25" customHeight="1">
      <c r="A2575">
        <f>Table4[[#This Row],[Column1]]</f>
        <v>0</v>
      </c>
      <c r="B2575">
        <f>Table4[[#This Row],[Column2]]</f>
        <v>0</v>
      </c>
      <c r="I2575" s="13">
        <f>Table6[[#This Row],[discharge_date]]-Table6[[#This Row],[surgery_date]]</f>
        <v>0</v>
      </c>
      <c r="J2575" s="9" t="str">
        <f t="shared" si="59"/>
        <v/>
      </c>
    </row>
    <row r="2576" spans="1:10" ht="23.25" customHeight="1">
      <c r="A2576">
        <f>Table4[[#This Row],[Column1]]</f>
        <v>0</v>
      </c>
      <c r="B2576">
        <f>Table4[[#This Row],[Column2]]</f>
        <v>0</v>
      </c>
      <c r="I2576" s="13">
        <f>Table6[[#This Row],[discharge_date]]-Table6[[#This Row],[surgery_date]]</f>
        <v>0</v>
      </c>
      <c r="J2576" s="9" t="str">
        <f t="shared" si="59"/>
        <v/>
      </c>
    </row>
    <row r="2577" spans="1:10" ht="23.25" customHeight="1">
      <c r="A2577">
        <f>Table4[[#This Row],[Column1]]</f>
        <v>0</v>
      </c>
      <c r="B2577">
        <f>Table4[[#This Row],[Column2]]</f>
        <v>0</v>
      </c>
      <c r="I2577" s="13">
        <f>Table6[[#This Row],[discharge_date]]-Table6[[#This Row],[surgery_date]]</f>
        <v>0</v>
      </c>
      <c r="J2577" s="9" t="str">
        <f t="shared" si="59"/>
        <v/>
      </c>
    </row>
    <row r="2578" spans="1:10" ht="23.25" customHeight="1">
      <c r="A2578">
        <f>Table4[[#This Row],[Column1]]</f>
        <v>0</v>
      </c>
      <c r="B2578">
        <f>Table4[[#This Row],[Column2]]</f>
        <v>0</v>
      </c>
      <c r="I2578" s="13">
        <f>Table6[[#This Row],[discharge_date]]-Table6[[#This Row],[surgery_date]]</f>
        <v>0</v>
      </c>
      <c r="J2578" s="9" t="str">
        <f t="shared" si="59"/>
        <v/>
      </c>
    </row>
    <row r="2579" spans="1:10" ht="23.25" customHeight="1">
      <c r="A2579">
        <f>Table4[[#This Row],[Column1]]</f>
        <v>0</v>
      </c>
      <c r="B2579">
        <f>Table4[[#This Row],[Column2]]</f>
        <v>0</v>
      </c>
      <c r="I2579" s="13">
        <f>Table6[[#This Row],[discharge_date]]-Table6[[#This Row],[surgery_date]]</f>
        <v>0</v>
      </c>
      <c r="J2579" s="9" t="str">
        <f t="shared" si="59"/>
        <v/>
      </c>
    </row>
    <row r="2580" spans="1:10" ht="23.25" customHeight="1">
      <c r="A2580">
        <f>Table4[[#This Row],[Column1]]</f>
        <v>0</v>
      </c>
      <c r="B2580">
        <f>Table4[[#This Row],[Column2]]</f>
        <v>0</v>
      </c>
      <c r="I2580" s="13">
        <f>Table6[[#This Row],[discharge_date]]-Table6[[#This Row],[surgery_date]]</f>
        <v>0</v>
      </c>
      <c r="J2580" s="9" t="str">
        <f t="shared" si="59"/>
        <v/>
      </c>
    </row>
    <row r="2581" spans="1:10" ht="23.25" customHeight="1">
      <c r="A2581">
        <f>Table4[[#This Row],[Column1]]</f>
        <v>0</v>
      </c>
      <c r="B2581">
        <f>Table4[[#This Row],[Column2]]</f>
        <v>0</v>
      </c>
      <c r="I2581" s="13">
        <f>Table6[[#This Row],[discharge_date]]-Table6[[#This Row],[surgery_date]]</f>
        <v>0</v>
      </c>
      <c r="J2581" s="9" t="str">
        <f t="shared" si="59"/>
        <v/>
      </c>
    </row>
    <row r="2582" spans="1:10" ht="23.25" customHeight="1">
      <c r="A2582">
        <f>Table4[[#This Row],[Column1]]</f>
        <v>0</v>
      </c>
      <c r="B2582">
        <f>Table4[[#This Row],[Column2]]</f>
        <v>0</v>
      </c>
      <c r="I2582" s="13">
        <f>Table6[[#This Row],[discharge_date]]-Table6[[#This Row],[surgery_date]]</f>
        <v>0</v>
      </c>
      <c r="J2582" s="9" t="str">
        <f t="shared" si="59"/>
        <v/>
      </c>
    </row>
    <row r="2583" spans="1:10" ht="23.25" customHeight="1">
      <c r="A2583">
        <f>Table4[[#This Row],[Column1]]</f>
        <v>0</v>
      </c>
      <c r="B2583">
        <f>Table4[[#This Row],[Column2]]</f>
        <v>0</v>
      </c>
      <c r="I2583" s="13">
        <f>Table6[[#This Row],[discharge_date]]-Table6[[#This Row],[surgery_date]]</f>
        <v>0</v>
      </c>
      <c r="J2583" s="9" t="str">
        <f t="shared" si="59"/>
        <v/>
      </c>
    </row>
    <row r="2584" spans="1:10" ht="23.25" customHeight="1">
      <c r="A2584">
        <f>Table4[[#This Row],[Column1]]</f>
        <v>0</v>
      </c>
      <c r="B2584">
        <f>Table4[[#This Row],[Column2]]</f>
        <v>0</v>
      </c>
      <c r="I2584" s="13">
        <f>Table6[[#This Row],[discharge_date]]-Table6[[#This Row],[surgery_date]]</f>
        <v>0</v>
      </c>
      <c r="J2584" s="9" t="str">
        <f t="shared" si="59"/>
        <v/>
      </c>
    </row>
    <row r="2585" spans="1:10" ht="23.25" customHeight="1">
      <c r="A2585">
        <f>Table4[[#This Row],[Column1]]</f>
        <v>0</v>
      </c>
      <c r="B2585">
        <f>Table4[[#This Row],[Column2]]</f>
        <v>0</v>
      </c>
      <c r="I2585" s="13">
        <f>Table6[[#This Row],[discharge_date]]-Table6[[#This Row],[surgery_date]]</f>
        <v>0</v>
      </c>
      <c r="J2585" s="9" t="str">
        <f t="shared" si="59"/>
        <v/>
      </c>
    </row>
    <row r="2586" spans="1:10" ht="23.25" customHeight="1">
      <c r="A2586">
        <f>Table4[[#This Row],[Column1]]</f>
        <v>0</v>
      </c>
      <c r="B2586">
        <f>Table4[[#This Row],[Column2]]</f>
        <v>0</v>
      </c>
      <c r="I2586" s="13">
        <f>Table6[[#This Row],[discharge_date]]-Table6[[#This Row],[surgery_date]]</f>
        <v>0</v>
      </c>
      <c r="J2586" s="9" t="str">
        <f t="shared" si="59"/>
        <v/>
      </c>
    </row>
    <row r="2587" spans="1:10" ht="23.25" customHeight="1">
      <c r="A2587">
        <f>Table4[[#This Row],[Column1]]</f>
        <v>0</v>
      </c>
      <c r="B2587">
        <f>Table4[[#This Row],[Column2]]</f>
        <v>0</v>
      </c>
      <c r="I2587" s="13">
        <f>Table6[[#This Row],[discharge_date]]-Table6[[#This Row],[surgery_date]]</f>
        <v>0</v>
      </c>
      <c r="J2587" s="9" t="str">
        <f t="shared" si="59"/>
        <v/>
      </c>
    </row>
    <row r="2588" spans="1:10" ht="23.25" customHeight="1">
      <c r="A2588">
        <f>Table4[[#This Row],[Column1]]</f>
        <v>0</v>
      </c>
      <c r="B2588">
        <f>Table4[[#This Row],[Column2]]</f>
        <v>0</v>
      </c>
      <c r="I2588" s="13">
        <f>Table6[[#This Row],[discharge_date]]-Table6[[#This Row],[surgery_date]]</f>
        <v>0</v>
      </c>
      <c r="J2588" s="9" t="str">
        <f t="shared" si="59"/>
        <v/>
      </c>
    </row>
    <row r="2589" spans="1:10" ht="23.25" customHeight="1">
      <c r="A2589">
        <f>Table4[[#This Row],[Column1]]</f>
        <v>0</v>
      </c>
      <c r="B2589">
        <f>Table4[[#This Row],[Column2]]</f>
        <v>0</v>
      </c>
      <c r="I2589" s="13">
        <f>Table6[[#This Row],[discharge_date]]-Table6[[#This Row],[surgery_date]]</f>
        <v>0</v>
      </c>
      <c r="J2589" s="9" t="str">
        <f t="shared" si="59"/>
        <v/>
      </c>
    </row>
    <row r="2590" spans="1:10" ht="23.25" customHeight="1">
      <c r="A2590">
        <f>Table4[[#This Row],[Column1]]</f>
        <v>0</v>
      </c>
      <c r="B2590">
        <f>Table4[[#This Row],[Column2]]</f>
        <v>0</v>
      </c>
      <c r="I2590" s="13">
        <f>Table6[[#This Row],[discharge_date]]-Table6[[#This Row],[surgery_date]]</f>
        <v>0</v>
      </c>
      <c r="J2590" s="9" t="str">
        <f t="shared" si="59"/>
        <v/>
      </c>
    </row>
    <row r="2591" spans="1:10" ht="23.25" customHeight="1">
      <c r="A2591">
        <f>Table4[[#This Row],[Column1]]</f>
        <v>0</v>
      </c>
      <c r="B2591">
        <f>Table4[[#This Row],[Column2]]</f>
        <v>0</v>
      </c>
      <c r="I2591" s="13">
        <f>Table6[[#This Row],[discharge_date]]-Table6[[#This Row],[surgery_date]]</f>
        <v>0</v>
      </c>
      <c r="J2591" s="9" t="str">
        <f t="shared" si="59"/>
        <v/>
      </c>
    </row>
    <row r="2592" spans="1:10" ht="23.25" customHeight="1">
      <c r="A2592">
        <f>Table4[[#This Row],[Column1]]</f>
        <v>0</v>
      </c>
      <c r="B2592">
        <f>Table4[[#This Row],[Column2]]</f>
        <v>0</v>
      </c>
      <c r="I2592" s="13">
        <f>Table6[[#This Row],[discharge_date]]-Table6[[#This Row],[surgery_date]]</f>
        <v>0</v>
      </c>
      <c r="J2592" s="9" t="str">
        <f t="shared" si="59"/>
        <v/>
      </c>
    </row>
    <row r="2593" spans="1:10" ht="23.25" customHeight="1">
      <c r="A2593">
        <f>Table4[[#This Row],[Column1]]</f>
        <v>0</v>
      </c>
      <c r="B2593">
        <f>Table4[[#This Row],[Column2]]</f>
        <v>0</v>
      </c>
      <c r="I2593" s="13">
        <f>Table6[[#This Row],[discharge_date]]-Table6[[#This Row],[surgery_date]]</f>
        <v>0</v>
      </c>
      <c r="J2593" s="9" t="str">
        <f t="shared" si="59"/>
        <v/>
      </c>
    </row>
    <row r="2594" spans="1:10" ht="23.25" customHeight="1">
      <c r="A2594">
        <f>Table4[[#This Row],[Column1]]</f>
        <v>0</v>
      </c>
      <c r="B2594">
        <f>Table4[[#This Row],[Column2]]</f>
        <v>0</v>
      </c>
      <c r="I2594" s="13">
        <f>Table6[[#This Row],[discharge_date]]-Table6[[#This Row],[surgery_date]]</f>
        <v>0</v>
      </c>
      <c r="J2594" s="9" t="str">
        <f t="shared" si="59"/>
        <v/>
      </c>
    </row>
    <row r="2595" spans="1:10" ht="23.25" customHeight="1">
      <c r="A2595">
        <f>Table4[[#This Row],[Column1]]</f>
        <v>0</v>
      </c>
      <c r="B2595">
        <f>Table4[[#This Row],[Column2]]</f>
        <v>0</v>
      </c>
      <c r="I2595" s="13">
        <f>Table6[[#This Row],[discharge_date]]-Table6[[#This Row],[surgery_date]]</f>
        <v>0</v>
      </c>
      <c r="J2595" s="9" t="str">
        <f t="shared" si="59"/>
        <v/>
      </c>
    </row>
    <row r="2596" spans="1:10" ht="23.25" customHeight="1">
      <c r="A2596">
        <f>Table4[[#This Row],[Column1]]</f>
        <v>0</v>
      </c>
      <c r="B2596">
        <f>Table4[[#This Row],[Column2]]</f>
        <v>0</v>
      </c>
      <c r="I2596" s="13">
        <f>Table6[[#This Row],[discharge_date]]-Table6[[#This Row],[surgery_date]]</f>
        <v>0</v>
      </c>
      <c r="J2596" s="9" t="str">
        <f t="shared" si="59"/>
        <v/>
      </c>
    </row>
    <row r="2597" spans="1:10" ht="23.25" customHeight="1">
      <c r="A2597">
        <f>Table4[[#This Row],[Column1]]</f>
        <v>0</v>
      </c>
      <c r="B2597">
        <f>Table4[[#This Row],[Column2]]</f>
        <v>0</v>
      </c>
      <c r="I2597" s="13">
        <f>Table6[[#This Row],[discharge_date]]-Table6[[#This Row],[surgery_date]]</f>
        <v>0</v>
      </c>
      <c r="J2597" s="9" t="str">
        <f t="shared" si="59"/>
        <v/>
      </c>
    </row>
    <row r="2598" spans="1:10" ht="23.25" customHeight="1">
      <c r="A2598">
        <f>Table4[[#This Row],[Column1]]</f>
        <v>0</v>
      </c>
      <c r="B2598">
        <f>Table4[[#This Row],[Column2]]</f>
        <v>0</v>
      </c>
      <c r="I2598" s="13">
        <f>Table6[[#This Row],[discharge_date]]-Table6[[#This Row],[surgery_date]]</f>
        <v>0</v>
      </c>
      <c r="J2598" s="9" t="str">
        <f t="shared" si="59"/>
        <v/>
      </c>
    </row>
    <row r="2599" spans="1:10" ht="23.25" customHeight="1">
      <c r="A2599">
        <f>Table4[[#This Row],[Column1]]</f>
        <v>0</v>
      </c>
      <c r="B2599">
        <f>Table4[[#This Row],[Column2]]</f>
        <v>0</v>
      </c>
      <c r="I2599" s="13">
        <f>Table6[[#This Row],[discharge_date]]-Table6[[#This Row],[surgery_date]]</f>
        <v>0</v>
      </c>
      <c r="J2599" s="9" t="str">
        <f t="shared" si="59"/>
        <v/>
      </c>
    </row>
    <row r="2600" spans="1:10" ht="23.25" customHeight="1">
      <c r="A2600">
        <f>Table4[[#This Row],[Column1]]</f>
        <v>0</v>
      </c>
      <c r="B2600">
        <f>Table4[[#This Row],[Column2]]</f>
        <v>0</v>
      </c>
      <c r="I2600" s="13">
        <f>Table6[[#This Row],[discharge_date]]-Table6[[#This Row],[surgery_date]]</f>
        <v>0</v>
      </c>
      <c r="J2600" s="9" t="str">
        <f t="shared" si="59"/>
        <v/>
      </c>
    </row>
    <row r="2601" spans="1:10" ht="23.25" customHeight="1">
      <c r="A2601">
        <f>Table4[[#This Row],[Column1]]</f>
        <v>0</v>
      </c>
      <c r="B2601">
        <f>Table4[[#This Row],[Column2]]</f>
        <v>0</v>
      </c>
      <c r="I2601" s="13">
        <f>Table6[[#This Row],[discharge_date]]-Table6[[#This Row],[surgery_date]]</f>
        <v>0</v>
      </c>
      <c r="J2601" s="9" t="str">
        <f t="shared" si="59"/>
        <v/>
      </c>
    </row>
    <row r="2602" spans="1:10" ht="23.25" customHeight="1">
      <c r="A2602">
        <f>Table4[[#This Row],[Column1]]</f>
        <v>0</v>
      </c>
      <c r="B2602">
        <f>Table4[[#This Row],[Column2]]</f>
        <v>0</v>
      </c>
      <c r="I2602" s="13">
        <f>Table6[[#This Row],[discharge_date]]-Table6[[#This Row],[surgery_date]]</f>
        <v>0</v>
      </c>
      <c r="J2602" s="9" t="str">
        <f t="shared" si="59"/>
        <v/>
      </c>
    </row>
    <row r="2603" spans="1:10" ht="23.25" customHeight="1">
      <c r="A2603">
        <f>Table4[[#This Row],[Column1]]</f>
        <v>0</v>
      </c>
      <c r="B2603">
        <f>Table4[[#This Row],[Column2]]</f>
        <v>0</v>
      </c>
      <c r="I2603" s="13">
        <f>Table6[[#This Row],[discharge_date]]-Table6[[#This Row],[surgery_date]]</f>
        <v>0</v>
      </c>
      <c r="J2603" s="9" t="str">
        <f t="shared" si="59"/>
        <v/>
      </c>
    </row>
    <row r="2604" spans="1:10" ht="23.25" customHeight="1">
      <c r="A2604">
        <f>Table4[[#This Row],[Column1]]</f>
        <v>0</v>
      </c>
      <c r="B2604">
        <f>Table4[[#This Row],[Column2]]</f>
        <v>0</v>
      </c>
      <c r="I2604" s="13">
        <f>Table6[[#This Row],[discharge_date]]-Table6[[#This Row],[surgery_date]]</f>
        <v>0</v>
      </c>
      <c r="J2604" s="9" t="str">
        <f t="shared" si="59"/>
        <v/>
      </c>
    </row>
    <row r="2605" spans="1:10" ht="23.25" customHeight="1">
      <c r="A2605">
        <f>Table4[[#This Row],[Column1]]</f>
        <v>0</v>
      </c>
      <c r="B2605">
        <f>Table4[[#This Row],[Column2]]</f>
        <v>0</v>
      </c>
      <c r="I2605" s="13">
        <f>Table6[[#This Row],[discharge_date]]-Table6[[#This Row],[surgery_date]]</f>
        <v>0</v>
      </c>
      <c r="J2605" s="9" t="str">
        <f t="shared" si="59"/>
        <v/>
      </c>
    </row>
    <row r="2606" spans="1:10" ht="23.25" customHeight="1">
      <c r="A2606">
        <f>Table4[[#This Row],[Column1]]</f>
        <v>0</v>
      </c>
      <c r="B2606">
        <f>Table4[[#This Row],[Column2]]</f>
        <v>0</v>
      </c>
      <c r="I2606" s="13">
        <f>Table6[[#This Row],[discharge_date]]-Table6[[#This Row],[surgery_date]]</f>
        <v>0</v>
      </c>
      <c r="J2606" s="9" t="str">
        <f t="shared" si="59"/>
        <v/>
      </c>
    </row>
    <row r="2607" spans="1:10" ht="23.25" customHeight="1">
      <c r="A2607">
        <f>Table4[[#This Row],[Column1]]</f>
        <v>0</v>
      </c>
      <c r="B2607">
        <f>Table4[[#This Row],[Column2]]</f>
        <v>0</v>
      </c>
      <c r="I2607" s="13">
        <f>Table6[[#This Row],[discharge_date]]-Table6[[#This Row],[surgery_date]]</f>
        <v>0</v>
      </c>
      <c r="J2607" s="9" t="str">
        <f t="shared" si="59"/>
        <v/>
      </c>
    </row>
    <row r="2608" spans="1:10" ht="23.25" customHeight="1">
      <c r="A2608">
        <f>Table4[[#This Row],[Column1]]</f>
        <v>0</v>
      </c>
      <c r="B2608">
        <f>Table4[[#This Row],[Column2]]</f>
        <v>0</v>
      </c>
      <c r="I2608" s="13">
        <f>Table6[[#This Row],[discharge_date]]-Table6[[#This Row],[surgery_date]]</f>
        <v>0</v>
      </c>
      <c r="J2608" s="9" t="str">
        <f t="shared" si="59"/>
        <v/>
      </c>
    </row>
    <row r="2609" spans="1:10" ht="23.25" customHeight="1">
      <c r="A2609">
        <f>Table4[[#This Row],[Column1]]</f>
        <v>0</v>
      </c>
      <c r="B2609">
        <f>Table4[[#This Row],[Column2]]</f>
        <v>0</v>
      </c>
      <c r="I2609" s="13">
        <f>Table6[[#This Row],[discharge_date]]-Table6[[#This Row],[surgery_date]]</f>
        <v>0</v>
      </c>
      <c r="J2609" s="9" t="str">
        <f t="shared" si="59"/>
        <v/>
      </c>
    </row>
    <row r="2610" spans="1:10" ht="23.25" customHeight="1">
      <c r="A2610">
        <f>Table4[[#This Row],[Column1]]</f>
        <v>0</v>
      </c>
      <c r="B2610">
        <f>Table4[[#This Row],[Column2]]</f>
        <v>0</v>
      </c>
      <c r="I2610" s="13">
        <f>Table6[[#This Row],[discharge_date]]-Table6[[#This Row],[surgery_date]]</f>
        <v>0</v>
      </c>
      <c r="J2610" s="9" t="str">
        <f t="shared" si="59"/>
        <v/>
      </c>
    </row>
    <row r="2611" spans="1:10" ht="23.25" customHeight="1">
      <c r="A2611">
        <f>Table4[[#This Row],[Column1]]</f>
        <v>0</v>
      </c>
      <c r="B2611">
        <f>Table4[[#This Row],[Column2]]</f>
        <v>0</v>
      </c>
      <c r="I2611" s="13">
        <f>Table6[[#This Row],[discharge_date]]-Table6[[#This Row],[surgery_date]]</f>
        <v>0</v>
      </c>
      <c r="J2611" s="9" t="str">
        <f t="shared" si="59"/>
        <v/>
      </c>
    </row>
    <row r="2612" spans="1:10" ht="23.25" customHeight="1">
      <c r="A2612">
        <f>Table4[[#This Row],[Column1]]</f>
        <v>0</v>
      </c>
      <c r="B2612">
        <f>Table4[[#This Row],[Column2]]</f>
        <v>0</v>
      </c>
      <c r="I2612" s="13">
        <f>Table6[[#This Row],[discharge_date]]-Table6[[#This Row],[surgery_date]]</f>
        <v>0</v>
      </c>
      <c r="J2612" s="9" t="str">
        <f t="shared" si="59"/>
        <v/>
      </c>
    </row>
    <row r="2613" spans="1:10" ht="23.25" customHeight="1">
      <c r="A2613">
        <f>Table4[[#This Row],[Column1]]</f>
        <v>0</v>
      </c>
      <c r="B2613">
        <f>Table4[[#This Row],[Column2]]</f>
        <v>0</v>
      </c>
      <c r="I2613" s="13">
        <f>Table6[[#This Row],[discharge_date]]-Table6[[#This Row],[surgery_date]]</f>
        <v>0</v>
      </c>
      <c r="J2613" s="9" t="str">
        <f t="shared" si="59"/>
        <v/>
      </c>
    </row>
    <row r="2614" spans="1:10" ht="23.25" customHeight="1">
      <c r="A2614">
        <f>Table4[[#This Row],[Column1]]</f>
        <v>0</v>
      </c>
      <c r="B2614">
        <f>Table4[[#This Row],[Column2]]</f>
        <v>0</v>
      </c>
      <c r="I2614" s="13">
        <f>Table6[[#This Row],[discharge_date]]-Table6[[#This Row],[surgery_date]]</f>
        <v>0</v>
      </c>
      <c r="J2614" s="9" t="str">
        <f t="shared" si="59"/>
        <v/>
      </c>
    </row>
    <row r="2615" spans="1:10" ht="23.25" customHeight="1">
      <c r="A2615">
        <f>Table4[[#This Row],[Column1]]</f>
        <v>0</v>
      </c>
      <c r="B2615">
        <f>Table4[[#This Row],[Column2]]</f>
        <v>0</v>
      </c>
      <c r="I2615" s="13">
        <f>Table6[[#This Row],[discharge_date]]-Table6[[#This Row],[surgery_date]]</f>
        <v>0</v>
      </c>
      <c r="J2615" s="9" t="str">
        <f t="shared" si="59"/>
        <v/>
      </c>
    </row>
    <row r="2616" spans="1:10" ht="23.25" customHeight="1">
      <c r="A2616">
        <f>Table4[[#This Row],[Column1]]</f>
        <v>0</v>
      </c>
      <c r="B2616">
        <f>Table4[[#This Row],[Column2]]</f>
        <v>0</v>
      </c>
      <c r="I2616" s="13">
        <f>Table6[[#This Row],[discharge_date]]-Table6[[#This Row],[surgery_date]]</f>
        <v>0</v>
      </c>
      <c r="J2616" s="9" t="str">
        <f t="shared" si="59"/>
        <v/>
      </c>
    </row>
    <row r="2617" spans="1:10" ht="23.25" customHeight="1">
      <c r="A2617">
        <f>Table4[[#This Row],[Column1]]</f>
        <v>0</v>
      </c>
      <c r="B2617">
        <f>Table4[[#This Row],[Column2]]</f>
        <v>0</v>
      </c>
      <c r="I2617" s="13">
        <f>Table6[[#This Row],[discharge_date]]-Table6[[#This Row],[surgery_date]]</f>
        <v>0</v>
      </c>
      <c r="J2617" s="9" t="str">
        <f t="shared" si="59"/>
        <v/>
      </c>
    </row>
    <row r="2618" spans="1:10" ht="23.25" customHeight="1">
      <c r="A2618">
        <f>Table4[[#This Row],[Column1]]</f>
        <v>0</v>
      </c>
      <c r="B2618">
        <f>Table4[[#This Row],[Column2]]</f>
        <v>0</v>
      </c>
      <c r="I2618" s="13">
        <f>Table6[[#This Row],[discharge_date]]-Table6[[#This Row],[surgery_date]]</f>
        <v>0</v>
      </c>
      <c r="J2618" s="9" t="str">
        <f t="shared" si="59"/>
        <v/>
      </c>
    </row>
    <row r="2619" spans="1:10" ht="23.25" customHeight="1">
      <c r="A2619">
        <f>Table4[[#This Row],[Column1]]</f>
        <v>0</v>
      </c>
      <c r="B2619">
        <f>Table4[[#This Row],[Column2]]</f>
        <v>0</v>
      </c>
      <c r="I2619" s="13">
        <f>Table6[[#This Row],[discharge_date]]-Table6[[#This Row],[surgery_date]]</f>
        <v>0</v>
      </c>
      <c r="J2619" s="9" t="str">
        <f t="shared" si="59"/>
        <v/>
      </c>
    </row>
    <row r="2620" spans="1:10" ht="23.25" customHeight="1">
      <c r="A2620">
        <f>Table4[[#This Row],[Column1]]</f>
        <v>0</v>
      </c>
      <c r="B2620">
        <f>Table4[[#This Row],[Column2]]</f>
        <v>0</v>
      </c>
      <c r="I2620" s="13">
        <f>Table6[[#This Row],[discharge_date]]-Table6[[#This Row],[surgery_date]]</f>
        <v>0</v>
      </c>
      <c r="J2620" s="9" t="str">
        <f t="shared" si="59"/>
        <v/>
      </c>
    </row>
    <row r="2621" spans="1:10" ht="23.25" customHeight="1">
      <c r="A2621">
        <f>Table4[[#This Row],[Column1]]</f>
        <v>0</v>
      </c>
      <c r="B2621">
        <f>Table4[[#This Row],[Column2]]</f>
        <v>0</v>
      </c>
      <c r="I2621" s="13">
        <f>Table6[[#This Row],[discharge_date]]-Table6[[#This Row],[surgery_date]]</f>
        <v>0</v>
      </c>
      <c r="J2621" s="9" t="str">
        <f t="shared" si="59"/>
        <v/>
      </c>
    </row>
    <row r="2622" spans="1:10" ht="23.25" customHeight="1">
      <c r="A2622">
        <f>Table4[[#This Row],[Column1]]</f>
        <v>0</v>
      </c>
      <c r="B2622">
        <f>Table4[[#This Row],[Column2]]</f>
        <v>0</v>
      </c>
      <c r="I2622" s="13">
        <f>Table6[[#This Row],[discharge_date]]-Table6[[#This Row],[surgery_date]]</f>
        <v>0</v>
      </c>
      <c r="J2622" s="9" t="str">
        <f t="shared" si="59"/>
        <v/>
      </c>
    </row>
    <row r="2623" spans="1:10" ht="23.25" customHeight="1">
      <c r="A2623">
        <f>Table4[[#This Row],[Column1]]</f>
        <v>0</v>
      </c>
      <c r="B2623">
        <f>Table4[[#This Row],[Column2]]</f>
        <v>0</v>
      </c>
      <c r="I2623" s="13">
        <f>Table6[[#This Row],[discharge_date]]-Table6[[#This Row],[surgery_date]]</f>
        <v>0</v>
      </c>
      <c r="J2623" s="9" t="str">
        <f t="shared" si="59"/>
        <v/>
      </c>
    </row>
    <row r="2624" spans="1:10" ht="23.25" customHeight="1">
      <c r="A2624">
        <f>Table4[[#This Row],[Column1]]</f>
        <v>0</v>
      </c>
      <c r="B2624">
        <f>Table4[[#This Row],[Column2]]</f>
        <v>0</v>
      </c>
      <c r="I2624" s="13">
        <f>Table6[[#This Row],[discharge_date]]-Table6[[#This Row],[surgery_date]]</f>
        <v>0</v>
      </c>
      <c r="J2624" s="9" t="str">
        <f t="shared" si="59"/>
        <v/>
      </c>
    </row>
    <row r="2625" spans="1:10" ht="23.25" customHeight="1">
      <c r="A2625">
        <f>Table4[[#This Row],[Column1]]</f>
        <v>0</v>
      </c>
      <c r="B2625">
        <f>Table4[[#This Row],[Column2]]</f>
        <v>0</v>
      </c>
      <c r="I2625" s="13">
        <f>Table6[[#This Row],[discharge_date]]-Table6[[#This Row],[surgery_date]]</f>
        <v>0</v>
      </c>
      <c r="J2625" s="9" t="str">
        <f t="shared" si="59"/>
        <v/>
      </c>
    </row>
    <row r="2626" spans="1:10" ht="23.25" customHeight="1">
      <c r="A2626">
        <f>Table4[[#This Row],[Column1]]</f>
        <v>0</v>
      </c>
      <c r="B2626">
        <f>Table4[[#This Row],[Column2]]</f>
        <v>0</v>
      </c>
      <c r="I2626" s="13">
        <f>Table6[[#This Row],[discharge_date]]-Table6[[#This Row],[surgery_date]]</f>
        <v>0</v>
      </c>
      <c r="J2626" s="9" t="str">
        <f t="shared" ref="J2626:J2689" si="60">IF( H2626&lt;&gt;"", H2626+30,"")</f>
        <v/>
      </c>
    </row>
    <row r="2627" spans="1:10" ht="23.25" customHeight="1">
      <c r="A2627">
        <f>Table4[[#This Row],[Column1]]</f>
        <v>0</v>
      </c>
      <c r="B2627">
        <f>Table4[[#This Row],[Column2]]</f>
        <v>0</v>
      </c>
      <c r="I2627" s="13">
        <f>Table6[[#This Row],[discharge_date]]-Table6[[#This Row],[surgery_date]]</f>
        <v>0</v>
      </c>
      <c r="J2627" s="9" t="str">
        <f t="shared" si="60"/>
        <v/>
      </c>
    </row>
    <row r="2628" spans="1:10" ht="23.25" customHeight="1">
      <c r="A2628">
        <f>Table4[[#This Row],[Column1]]</f>
        <v>0</v>
      </c>
      <c r="B2628">
        <f>Table4[[#This Row],[Column2]]</f>
        <v>0</v>
      </c>
      <c r="I2628" s="13">
        <f>Table6[[#This Row],[discharge_date]]-Table6[[#This Row],[surgery_date]]</f>
        <v>0</v>
      </c>
      <c r="J2628" s="9" t="str">
        <f t="shared" si="60"/>
        <v/>
      </c>
    </row>
    <row r="2629" spans="1:10" ht="23.25" customHeight="1">
      <c r="A2629">
        <f>Table4[[#This Row],[Column1]]</f>
        <v>0</v>
      </c>
      <c r="B2629">
        <f>Table4[[#This Row],[Column2]]</f>
        <v>0</v>
      </c>
      <c r="I2629" s="13">
        <f>Table6[[#This Row],[discharge_date]]-Table6[[#This Row],[surgery_date]]</f>
        <v>0</v>
      </c>
      <c r="J2629" s="9" t="str">
        <f t="shared" si="60"/>
        <v/>
      </c>
    </row>
    <row r="2630" spans="1:10" ht="23.25" customHeight="1">
      <c r="A2630">
        <f>Table4[[#This Row],[Column1]]</f>
        <v>0</v>
      </c>
      <c r="B2630">
        <f>Table4[[#This Row],[Column2]]</f>
        <v>0</v>
      </c>
      <c r="I2630" s="13">
        <f>Table6[[#This Row],[discharge_date]]-Table6[[#This Row],[surgery_date]]</f>
        <v>0</v>
      </c>
      <c r="J2630" s="9" t="str">
        <f t="shared" si="60"/>
        <v/>
      </c>
    </row>
    <row r="2631" spans="1:10" ht="23.25" customHeight="1">
      <c r="A2631">
        <f>Table4[[#This Row],[Column1]]</f>
        <v>0</v>
      </c>
      <c r="B2631">
        <f>Table4[[#This Row],[Column2]]</f>
        <v>0</v>
      </c>
      <c r="I2631" s="13">
        <f>Table6[[#This Row],[discharge_date]]-Table6[[#This Row],[surgery_date]]</f>
        <v>0</v>
      </c>
      <c r="J2631" s="9" t="str">
        <f t="shared" si="60"/>
        <v/>
      </c>
    </row>
    <row r="2632" spans="1:10" ht="23.25" customHeight="1">
      <c r="A2632">
        <f>Table4[[#This Row],[Column1]]</f>
        <v>0</v>
      </c>
      <c r="B2632">
        <f>Table4[[#This Row],[Column2]]</f>
        <v>0</v>
      </c>
      <c r="I2632" s="13">
        <f>Table6[[#This Row],[discharge_date]]-Table6[[#This Row],[surgery_date]]</f>
        <v>0</v>
      </c>
      <c r="J2632" s="9" t="str">
        <f t="shared" si="60"/>
        <v/>
      </c>
    </row>
    <row r="2633" spans="1:10" ht="23.25" customHeight="1">
      <c r="A2633">
        <f>Table4[[#This Row],[Column1]]</f>
        <v>0</v>
      </c>
      <c r="B2633">
        <f>Table4[[#This Row],[Column2]]</f>
        <v>0</v>
      </c>
      <c r="I2633" s="13">
        <f>Table6[[#This Row],[discharge_date]]-Table6[[#This Row],[surgery_date]]</f>
        <v>0</v>
      </c>
      <c r="J2633" s="9" t="str">
        <f t="shared" si="60"/>
        <v/>
      </c>
    </row>
    <row r="2634" spans="1:10" ht="23.25" customHeight="1">
      <c r="A2634">
        <f>Table4[[#This Row],[Column1]]</f>
        <v>0</v>
      </c>
      <c r="B2634">
        <f>Table4[[#This Row],[Column2]]</f>
        <v>0</v>
      </c>
      <c r="I2634" s="13">
        <f>Table6[[#This Row],[discharge_date]]-Table6[[#This Row],[surgery_date]]</f>
        <v>0</v>
      </c>
      <c r="J2634" s="9" t="str">
        <f t="shared" si="60"/>
        <v/>
      </c>
    </row>
    <row r="2635" spans="1:10" ht="23.25" customHeight="1">
      <c r="A2635">
        <f>Table4[[#This Row],[Column1]]</f>
        <v>0</v>
      </c>
      <c r="B2635">
        <f>Table4[[#This Row],[Column2]]</f>
        <v>0</v>
      </c>
      <c r="I2635" s="13">
        <f>Table6[[#This Row],[discharge_date]]-Table6[[#This Row],[surgery_date]]</f>
        <v>0</v>
      </c>
      <c r="J2635" s="9" t="str">
        <f t="shared" si="60"/>
        <v/>
      </c>
    </row>
    <row r="2636" spans="1:10" ht="23.25" customHeight="1">
      <c r="A2636">
        <f>Table4[[#This Row],[Column1]]</f>
        <v>0</v>
      </c>
      <c r="B2636">
        <f>Table4[[#This Row],[Column2]]</f>
        <v>0</v>
      </c>
      <c r="I2636" s="13">
        <f>Table6[[#This Row],[discharge_date]]-Table6[[#This Row],[surgery_date]]</f>
        <v>0</v>
      </c>
      <c r="J2636" s="9" t="str">
        <f t="shared" si="60"/>
        <v/>
      </c>
    </row>
    <row r="2637" spans="1:10" ht="23.25" customHeight="1">
      <c r="A2637">
        <f>Table4[[#This Row],[Column1]]</f>
        <v>0</v>
      </c>
      <c r="B2637">
        <f>Table4[[#This Row],[Column2]]</f>
        <v>0</v>
      </c>
      <c r="I2637" s="13">
        <f>Table6[[#This Row],[discharge_date]]-Table6[[#This Row],[surgery_date]]</f>
        <v>0</v>
      </c>
      <c r="J2637" s="9" t="str">
        <f t="shared" si="60"/>
        <v/>
      </c>
    </row>
    <row r="2638" spans="1:10" ht="23.25" customHeight="1">
      <c r="A2638">
        <f>Table4[[#This Row],[Column1]]</f>
        <v>0</v>
      </c>
      <c r="B2638">
        <f>Table4[[#This Row],[Column2]]</f>
        <v>0</v>
      </c>
      <c r="I2638" s="13">
        <f>Table6[[#This Row],[discharge_date]]-Table6[[#This Row],[surgery_date]]</f>
        <v>0</v>
      </c>
      <c r="J2638" s="9" t="str">
        <f t="shared" si="60"/>
        <v/>
      </c>
    </row>
    <row r="2639" spans="1:10" ht="23.25" customHeight="1">
      <c r="A2639">
        <f>Table4[[#This Row],[Column1]]</f>
        <v>0</v>
      </c>
      <c r="B2639">
        <f>Table4[[#This Row],[Column2]]</f>
        <v>0</v>
      </c>
      <c r="I2639" s="13">
        <f>Table6[[#This Row],[discharge_date]]-Table6[[#This Row],[surgery_date]]</f>
        <v>0</v>
      </c>
      <c r="J2639" s="9" t="str">
        <f t="shared" si="60"/>
        <v/>
      </c>
    </row>
    <row r="2640" spans="1:10" ht="23.25" customHeight="1">
      <c r="A2640">
        <f>Table4[[#This Row],[Column1]]</f>
        <v>0</v>
      </c>
      <c r="B2640">
        <f>Table4[[#This Row],[Column2]]</f>
        <v>0</v>
      </c>
      <c r="I2640" s="13">
        <f>Table6[[#This Row],[discharge_date]]-Table6[[#This Row],[surgery_date]]</f>
        <v>0</v>
      </c>
      <c r="J2640" s="9" t="str">
        <f t="shared" si="60"/>
        <v/>
      </c>
    </row>
    <row r="2641" spans="1:10" ht="23.25" customHeight="1">
      <c r="A2641">
        <f>Table4[[#This Row],[Column1]]</f>
        <v>0</v>
      </c>
      <c r="B2641">
        <f>Table4[[#This Row],[Column2]]</f>
        <v>0</v>
      </c>
      <c r="I2641" s="13">
        <f>Table6[[#This Row],[discharge_date]]-Table6[[#This Row],[surgery_date]]</f>
        <v>0</v>
      </c>
      <c r="J2641" s="9" t="str">
        <f t="shared" si="60"/>
        <v/>
      </c>
    </row>
    <row r="2642" spans="1:10" ht="23.25" customHeight="1">
      <c r="A2642">
        <f>Table4[[#This Row],[Column1]]</f>
        <v>0</v>
      </c>
      <c r="B2642">
        <f>Table4[[#This Row],[Column2]]</f>
        <v>0</v>
      </c>
      <c r="I2642" s="13">
        <f>Table6[[#This Row],[discharge_date]]-Table6[[#This Row],[surgery_date]]</f>
        <v>0</v>
      </c>
      <c r="J2642" s="9" t="str">
        <f t="shared" si="60"/>
        <v/>
      </c>
    </row>
    <row r="2643" spans="1:10" ht="23.25" customHeight="1">
      <c r="A2643">
        <f>Table4[[#This Row],[Column1]]</f>
        <v>0</v>
      </c>
      <c r="B2643">
        <f>Table4[[#This Row],[Column2]]</f>
        <v>0</v>
      </c>
      <c r="I2643" s="13">
        <f>Table6[[#This Row],[discharge_date]]-Table6[[#This Row],[surgery_date]]</f>
        <v>0</v>
      </c>
      <c r="J2643" s="9" t="str">
        <f t="shared" si="60"/>
        <v/>
      </c>
    </row>
    <row r="2644" spans="1:10" ht="23.25" customHeight="1">
      <c r="A2644">
        <f>Table4[[#This Row],[Column1]]</f>
        <v>0</v>
      </c>
      <c r="B2644">
        <f>Table4[[#This Row],[Column2]]</f>
        <v>0</v>
      </c>
      <c r="I2644" s="13">
        <f>Table6[[#This Row],[discharge_date]]-Table6[[#This Row],[surgery_date]]</f>
        <v>0</v>
      </c>
      <c r="J2644" s="9" t="str">
        <f t="shared" si="60"/>
        <v/>
      </c>
    </row>
    <row r="2645" spans="1:10" ht="23.25" customHeight="1">
      <c r="A2645">
        <f>Table4[[#This Row],[Column1]]</f>
        <v>0</v>
      </c>
      <c r="B2645">
        <f>Table4[[#This Row],[Column2]]</f>
        <v>0</v>
      </c>
      <c r="I2645" s="13">
        <f>Table6[[#This Row],[discharge_date]]-Table6[[#This Row],[surgery_date]]</f>
        <v>0</v>
      </c>
      <c r="J2645" s="9" t="str">
        <f t="shared" si="60"/>
        <v/>
      </c>
    </row>
    <row r="2646" spans="1:10" ht="23.25" customHeight="1">
      <c r="A2646">
        <f>Table4[[#This Row],[Column1]]</f>
        <v>0</v>
      </c>
      <c r="B2646">
        <f>Table4[[#This Row],[Column2]]</f>
        <v>0</v>
      </c>
      <c r="I2646" s="13">
        <f>Table6[[#This Row],[discharge_date]]-Table6[[#This Row],[surgery_date]]</f>
        <v>0</v>
      </c>
      <c r="J2646" s="9" t="str">
        <f t="shared" si="60"/>
        <v/>
      </c>
    </row>
    <row r="2647" spans="1:10" ht="23.25" customHeight="1">
      <c r="A2647">
        <f>Table4[[#This Row],[Column1]]</f>
        <v>0</v>
      </c>
      <c r="B2647">
        <f>Table4[[#This Row],[Column2]]</f>
        <v>0</v>
      </c>
      <c r="I2647" s="13">
        <f>Table6[[#This Row],[discharge_date]]-Table6[[#This Row],[surgery_date]]</f>
        <v>0</v>
      </c>
      <c r="J2647" s="9" t="str">
        <f t="shared" si="60"/>
        <v/>
      </c>
    </row>
    <row r="2648" spans="1:10" ht="23.25" customHeight="1">
      <c r="A2648">
        <f>Table4[[#This Row],[Column1]]</f>
        <v>0</v>
      </c>
      <c r="B2648">
        <f>Table4[[#This Row],[Column2]]</f>
        <v>0</v>
      </c>
      <c r="I2648" s="13">
        <f>Table6[[#This Row],[discharge_date]]-Table6[[#This Row],[surgery_date]]</f>
        <v>0</v>
      </c>
      <c r="J2648" s="9" t="str">
        <f t="shared" si="60"/>
        <v/>
      </c>
    </row>
    <row r="2649" spans="1:10" ht="23.25" customHeight="1">
      <c r="A2649">
        <f>Table4[[#This Row],[Column1]]</f>
        <v>0</v>
      </c>
      <c r="B2649">
        <f>Table4[[#This Row],[Column2]]</f>
        <v>0</v>
      </c>
      <c r="I2649" s="13">
        <f>Table6[[#This Row],[discharge_date]]-Table6[[#This Row],[surgery_date]]</f>
        <v>0</v>
      </c>
      <c r="J2649" s="9" t="str">
        <f t="shared" si="60"/>
        <v/>
      </c>
    </row>
    <row r="2650" spans="1:10" ht="23.25" customHeight="1">
      <c r="A2650">
        <f>Table4[[#This Row],[Column1]]</f>
        <v>0</v>
      </c>
      <c r="B2650">
        <f>Table4[[#This Row],[Column2]]</f>
        <v>0</v>
      </c>
      <c r="I2650" s="13">
        <f>Table6[[#This Row],[discharge_date]]-Table6[[#This Row],[surgery_date]]</f>
        <v>0</v>
      </c>
      <c r="J2650" s="9" t="str">
        <f t="shared" si="60"/>
        <v/>
      </c>
    </row>
    <row r="2651" spans="1:10" ht="23.25" customHeight="1">
      <c r="A2651">
        <f>Table4[[#This Row],[Column1]]</f>
        <v>0</v>
      </c>
      <c r="B2651">
        <f>Table4[[#This Row],[Column2]]</f>
        <v>0</v>
      </c>
      <c r="I2651" s="13">
        <f>Table6[[#This Row],[discharge_date]]-Table6[[#This Row],[surgery_date]]</f>
        <v>0</v>
      </c>
      <c r="J2651" s="9" t="str">
        <f t="shared" si="60"/>
        <v/>
      </c>
    </row>
    <row r="2652" spans="1:10" ht="23.25" customHeight="1">
      <c r="A2652">
        <f>Table4[[#This Row],[Column1]]</f>
        <v>0</v>
      </c>
      <c r="B2652">
        <f>Table4[[#This Row],[Column2]]</f>
        <v>0</v>
      </c>
      <c r="I2652" s="13">
        <f>Table6[[#This Row],[discharge_date]]-Table6[[#This Row],[surgery_date]]</f>
        <v>0</v>
      </c>
      <c r="J2652" s="9" t="str">
        <f t="shared" si="60"/>
        <v/>
      </c>
    </row>
    <row r="2653" spans="1:10" ht="23.25" customHeight="1">
      <c r="A2653">
        <f>Table4[[#This Row],[Column1]]</f>
        <v>0</v>
      </c>
      <c r="B2653">
        <f>Table4[[#This Row],[Column2]]</f>
        <v>0</v>
      </c>
      <c r="I2653" s="13">
        <f>Table6[[#This Row],[discharge_date]]-Table6[[#This Row],[surgery_date]]</f>
        <v>0</v>
      </c>
      <c r="J2653" s="9" t="str">
        <f t="shared" si="60"/>
        <v/>
      </c>
    </row>
    <row r="2654" spans="1:10" ht="23.25" customHeight="1">
      <c r="A2654">
        <f>Table4[[#This Row],[Column1]]</f>
        <v>0</v>
      </c>
      <c r="B2654">
        <f>Table4[[#This Row],[Column2]]</f>
        <v>0</v>
      </c>
      <c r="I2654" s="13">
        <f>Table6[[#This Row],[discharge_date]]-Table6[[#This Row],[surgery_date]]</f>
        <v>0</v>
      </c>
      <c r="J2654" s="9" t="str">
        <f t="shared" si="60"/>
        <v/>
      </c>
    </row>
    <row r="2655" spans="1:10" ht="23.25" customHeight="1">
      <c r="A2655">
        <f>Table4[[#This Row],[Column1]]</f>
        <v>0</v>
      </c>
      <c r="B2655">
        <f>Table4[[#This Row],[Column2]]</f>
        <v>0</v>
      </c>
      <c r="I2655" s="13">
        <f>Table6[[#This Row],[discharge_date]]-Table6[[#This Row],[surgery_date]]</f>
        <v>0</v>
      </c>
      <c r="J2655" s="9" t="str">
        <f t="shared" si="60"/>
        <v/>
      </c>
    </row>
    <row r="2656" spans="1:10" ht="23.25" customHeight="1">
      <c r="A2656">
        <f>Table4[[#This Row],[Column1]]</f>
        <v>0</v>
      </c>
      <c r="B2656">
        <f>Table4[[#This Row],[Column2]]</f>
        <v>0</v>
      </c>
      <c r="I2656" s="13">
        <f>Table6[[#This Row],[discharge_date]]-Table6[[#This Row],[surgery_date]]</f>
        <v>0</v>
      </c>
      <c r="J2656" s="9" t="str">
        <f t="shared" si="60"/>
        <v/>
      </c>
    </row>
    <row r="2657" spans="1:10" ht="23.25" customHeight="1">
      <c r="A2657">
        <f>Table4[[#This Row],[Column1]]</f>
        <v>0</v>
      </c>
      <c r="B2657">
        <f>Table4[[#This Row],[Column2]]</f>
        <v>0</v>
      </c>
      <c r="I2657" s="13">
        <f>Table6[[#This Row],[discharge_date]]-Table6[[#This Row],[surgery_date]]</f>
        <v>0</v>
      </c>
      <c r="J2657" s="9" t="str">
        <f t="shared" si="60"/>
        <v/>
      </c>
    </row>
    <row r="2658" spans="1:10" ht="23.25" customHeight="1">
      <c r="A2658">
        <f>Table4[[#This Row],[Column1]]</f>
        <v>0</v>
      </c>
      <c r="B2658">
        <f>Table4[[#This Row],[Column2]]</f>
        <v>0</v>
      </c>
      <c r="I2658" s="13">
        <f>Table6[[#This Row],[discharge_date]]-Table6[[#This Row],[surgery_date]]</f>
        <v>0</v>
      </c>
      <c r="J2658" s="9" t="str">
        <f t="shared" si="60"/>
        <v/>
      </c>
    </row>
    <row r="2659" spans="1:10" ht="23.25" customHeight="1">
      <c r="A2659">
        <f>Table4[[#This Row],[Column1]]</f>
        <v>0</v>
      </c>
      <c r="B2659">
        <f>Table4[[#This Row],[Column2]]</f>
        <v>0</v>
      </c>
      <c r="I2659" s="13">
        <f>Table6[[#This Row],[discharge_date]]-Table6[[#This Row],[surgery_date]]</f>
        <v>0</v>
      </c>
      <c r="J2659" s="9" t="str">
        <f t="shared" si="60"/>
        <v/>
      </c>
    </row>
    <row r="2660" spans="1:10" ht="23.25" customHeight="1">
      <c r="A2660">
        <f>Table4[[#This Row],[Column1]]</f>
        <v>0</v>
      </c>
      <c r="B2660">
        <f>Table4[[#This Row],[Column2]]</f>
        <v>0</v>
      </c>
      <c r="I2660" s="13">
        <f>Table6[[#This Row],[discharge_date]]-Table6[[#This Row],[surgery_date]]</f>
        <v>0</v>
      </c>
      <c r="J2660" s="9" t="str">
        <f t="shared" si="60"/>
        <v/>
      </c>
    </row>
    <row r="2661" spans="1:10" ht="23.25" customHeight="1">
      <c r="A2661">
        <f>Table4[[#This Row],[Column1]]</f>
        <v>0</v>
      </c>
      <c r="B2661">
        <f>Table4[[#This Row],[Column2]]</f>
        <v>0</v>
      </c>
      <c r="I2661" s="13">
        <f>Table6[[#This Row],[discharge_date]]-Table6[[#This Row],[surgery_date]]</f>
        <v>0</v>
      </c>
      <c r="J2661" s="9" t="str">
        <f t="shared" si="60"/>
        <v/>
      </c>
    </row>
    <row r="2662" spans="1:10" ht="23.25" customHeight="1">
      <c r="A2662">
        <f>Table4[[#This Row],[Column1]]</f>
        <v>0</v>
      </c>
      <c r="B2662">
        <f>Table4[[#This Row],[Column2]]</f>
        <v>0</v>
      </c>
      <c r="I2662" s="13">
        <f>Table6[[#This Row],[discharge_date]]-Table6[[#This Row],[surgery_date]]</f>
        <v>0</v>
      </c>
      <c r="J2662" s="9" t="str">
        <f t="shared" si="60"/>
        <v/>
      </c>
    </row>
    <row r="2663" spans="1:10" ht="23.25" customHeight="1">
      <c r="A2663">
        <f>Table4[[#This Row],[Column1]]</f>
        <v>0</v>
      </c>
      <c r="B2663">
        <f>Table4[[#This Row],[Column2]]</f>
        <v>0</v>
      </c>
      <c r="I2663" s="13">
        <f>Table6[[#This Row],[discharge_date]]-Table6[[#This Row],[surgery_date]]</f>
        <v>0</v>
      </c>
      <c r="J2663" s="9" t="str">
        <f t="shared" si="60"/>
        <v/>
      </c>
    </row>
    <row r="2664" spans="1:10" ht="23.25" customHeight="1">
      <c r="A2664">
        <f>Table4[[#This Row],[Column1]]</f>
        <v>0</v>
      </c>
      <c r="B2664">
        <f>Table4[[#This Row],[Column2]]</f>
        <v>0</v>
      </c>
      <c r="I2664" s="13">
        <f>Table6[[#This Row],[discharge_date]]-Table6[[#This Row],[surgery_date]]</f>
        <v>0</v>
      </c>
      <c r="J2664" s="9" t="str">
        <f t="shared" si="60"/>
        <v/>
      </c>
    </row>
    <row r="2665" spans="1:10" ht="23.25" customHeight="1">
      <c r="A2665">
        <f>Table4[[#This Row],[Column1]]</f>
        <v>0</v>
      </c>
      <c r="B2665">
        <f>Table4[[#This Row],[Column2]]</f>
        <v>0</v>
      </c>
      <c r="I2665" s="13">
        <f>Table6[[#This Row],[discharge_date]]-Table6[[#This Row],[surgery_date]]</f>
        <v>0</v>
      </c>
      <c r="J2665" s="9" t="str">
        <f t="shared" si="60"/>
        <v/>
      </c>
    </row>
    <row r="2666" spans="1:10" ht="23.25" customHeight="1">
      <c r="A2666">
        <f>Table4[[#This Row],[Column1]]</f>
        <v>0</v>
      </c>
      <c r="B2666">
        <f>Table4[[#This Row],[Column2]]</f>
        <v>0</v>
      </c>
      <c r="I2666" s="13">
        <f>Table6[[#This Row],[discharge_date]]-Table6[[#This Row],[surgery_date]]</f>
        <v>0</v>
      </c>
      <c r="J2666" s="9" t="str">
        <f t="shared" si="60"/>
        <v/>
      </c>
    </row>
    <row r="2667" spans="1:10" ht="23.25" customHeight="1">
      <c r="A2667">
        <f>Table4[[#This Row],[Column1]]</f>
        <v>0</v>
      </c>
      <c r="B2667">
        <f>Table4[[#This Row],[Column2]]</f>
        <v>0</v>
      </c>
      <c r="I2667" s="13">
        <f>Table6[[#This Row],[discharge_date]]-Table6[[#This Row],[surgery_date]]</f>
        <v>0</v>
      </c>
      <c r="J2667" s="9" t="str">
        <f t="shared" si="60"/>
        <v/>
      </c>
    </row>
    <row r="2668" spans="1:10" ht="23.25" customHeight="1">
      <c r="A2668">
        <f>Table4[[#This Row],[Column1]]</f>
        <v>0</v>
      </c>
      <c r="B2668">
        <f>Table4[[#This Row],[Column2]]</f>
        <v>0</v>
      </c>
      <c r="I2668" s="13">
        <f>Table6[[#This Row],[discharge_date]]-Table6[[#This Row],[surgery_date]]</f>
        <v>0</v>
      </c>
      <c r="J2668" s="9" t="str">
        <f t="shared" si="60"/>
        <v/>
      </c>
    </row>
    <row r="2669" spans="1:10" ht="23.25" customHeight="1">
      <c r="A2669">
        <f>Table4[[#This Row],[Column1]]</f>
        <v>0</v>
      </c>
      <c r="B2669">
        <f>Table4[[#This Row],[Column2]]</f>
        <v>0</v>
      </c>
      <c r="I2669" s="13">
        <f>Table6[[#This Row],[discharge_date]]-Table6[[#This Row],[surgery_date]]</f>
        <v>0</v>
      </c>
      <c r="J2669" s="9" t="str">
        <f t="shared" si="60"/>
        <v/>
      </c>
    </row>
    <row r="2670" spans="1:10" ht="23.25" customHeight="1">
      <c r="A2670">
        <f>Table4[[#This Row],[Column1]]</f>
        <v>0</v>
      </c>
      <c r="B2670">
        <f>Table4[[#This Row],[Column2]]</f>
        <v>0</v>
      </c>
      <c r="I2670" s="13">
        <f>Table6[[#This Row],[discharge_date]]-Table6[[#This Row],[surgery_date]]</f>
        <v>0</v>
      </c>
      <c r="J2670" s="9" t="str">
        <f t="shared" si="60"/>
        <v/>
      </c>
    </row>
    <row r="2671" spans="1:10" ht="23.25" customHeight="1">
      <c r="A2671">
        <f>Table4[[#This Row],[Column1]]</f>
        <v>0</v>
      </c>
      <c r="B2671">
        <f>Table4[[#This Row],[Column2]]</f>
        <v>0</v>
      </c>
      <c r="I2671" s="13">
        <f>Table6[[#This Row],[discharge_date]]-Table6[[#This Row],[surgery_date]]</f>
        <v>0</v>
      </c>
      <c r="J2671" s="9" t="str">
        <f t="shared" si="60"/>
        <v/>
      </c>
    </row>
    <row r="2672" spans="1:10" ht="23.25" customHeight="1">
      <c r="A2672">
        <f>Table4[[#This Row],[Column1]]</f>
        <v>0</v>
      </c>
      <c r="B2672">
        <f>Table4[[#This Row],[Column2]]</f>
        <v>0</v>
      </c>
      <c r="I2672" s="13">
        <f>Table6[[#This Row],[discharge_date]]-Table6[[#This Row],[surgery_date]]</f>
        <v>0</v>
      </c>
      <c r="J2672" s="9" t="str">
        <f t="shared" si="60"/>
        <v/>
      </c>
    </row>
    <row r="2673" spans="1:10" ht="23.25" customHeight="1">
      <c r="A2673">
        <f>Table4[[#This Row],[Column1]]</f>
        <v>0</v>
      </c>
      <c r="B2673">
        <f>Table4[[#This Row],[Column2]]</f>
        <v>0</v>
      </c>
      <c r="I2673" s="13">
        <f>Table6[[#This Row],[discharge_date]]-Table6[[#This Row],[surgery_date]]</f>
        <v>0</v>
      </c>
      <c r="J2673" s="9" t="str">
        <f t="shared" si="60"/>
        <v/>
      </c>
    </row>
    <row r="2674" spans="1:10" ht="23.25" customHeight="1">
      <c r="A2674">
        <f>Table4[[#This Row],[Column1]]</f>
        <v>0</v>
      </c>
      <c r="B2674">
        <f>Table4[[#This Row],[Column2]]</f>
        <v>0</v>
      </c>
      <c r="I2674" s="13">
        <f>Table6[[#This Row],[discharge_date]]-Table6[[#This Row],[surgery_date]]</f>
        <v>0</v>
      </c>
      <c r="J2674" s="9" t="str">
        <f t="shared" si="60"/>
        <v/>
      </c>
    </row>
    <row r="2675" spans="1:10" ht="23.25" customHeight="1">
      <c r="A2675">
        <f>Table4[[#This Row],[Column1]]</f>
        <v>0</v>
      </c>
      <c r="B2675">
        <f>Table4[[#This Row],[Column2]]</f>
        <v>0</v>
      </c>
      <c r="I2675" s="13">
        <f>Table6[[#This Row],[discharge_date]]-Table6[[#This Row],[surgery_date]]</f>
        <v>0</v>
      </c>
      <c r="J2675" s="9" t="str">
        <f t="shared" si="60"/>
        <v/>
      </c>
    </row>
    <row r="2676" spans="1:10" ht="23.25" customHeight="1">
      <c r="A2676">
        <f>Table4[[#This Row],[Column1]]</f>
        <v>0</v>
      </c>
      <c r="B2676">
        <f>Table4[[#This Row],[Column2]]</f>
        <v>0</v>
      </c>
      <c r="I2676" s="13">
        <f>Table6[[#This Row],[discharge_date]]-Table6[[#This Row],[surgery_date]]</f>
        <v>0</v>
      </c>
      <c r="J2676" s="9" t="str">
        <f t="shared" si="60"/>
        <v/>
      </c>
    </row>
    <row r="2677" spans="1:10" ht="23.25" customHeight="1">
      <c r="A2677">
        <f>Table4[[#This Row],[Column1]]</f>
        <v>0</v>
      </c>
      <c r="B2677">
        <f>Table4[[#This Row],[Column2]]</f>
        <v>0</v>
      </c>
      <c r="I2677" s="13">
        <f>Table6[[#This Row],[discharge_date]]-Table6[[#This Row],[surgery_date]]</f>
        <v>0</v>
      </c>
      <c r="J2677" s="9" t="str">
        <f t="shared" si="60"/>
        <v/>
      </c>
    </row>
    <row r="2678" spans="1:10" ht="23.25" customHeight="1">
      <c r="A2678">
        <f>Table4[[#This Row],[Column1]]</f>
        <v>0</v>
      </c>
      <c r="B2678">
        <f>Table4[[#This Row],[Column2]]</f>
        <v>0</v>
      </c>
      <c r="I2678" s="13">
        <f>Table6[[#This Row],[discharge_date]]-Table6[[#This Row],[surgery_date]]</f>
        <v>0</v>
      </c>
      <c r="J2678" s="9" t="str">
        <f t="shared" si="60"/>
        <v/>
      </c>
    </row>
    <row r="2679" spans="1:10" ht="23.25" customHeight="1">
      <c r="A2679">
        <f>Table4[[#This Row],[Column1]]</f>
        <v>0</v>
      </c>
      <c r="B2679">
        <f>Table4[[#This Row],[Column2]]</f>
        <v>0</v>
      </c>
      <c r="I2679" s="13">
        <f>Table6[[#This Row],[discharge_date]]-Table6[[#This Row],[surgery_date]]</f>
        <v>0</v>
      </c>
      <c r="J2679" s="9" t="str">
        <f t="shared" si="60"/>
        <v/>
      </c>
    </row>
    <row r="2680" spans="1:10" ht="23.25" customHeight="1">
      <c r="A2680">
        <f>Table4[[#This Row],[Column1]]</f>
        <v>0</v>
      </c>
      <c r="B2680">
        <f>Table4[[#This Row],[Column2]]</f>
        <v>0</v>
      </c>
      <c r="I2680" s="13">
        <f>Table6[[#This Row],[discharge_date]]-Table6[[#This Row],[surgery_date]]</f>
        <v>0</v>
      </c>
      <c r="J2680" s="9" t="str">
        <f t="shared" si="60"/>
        <v/>
      </c>
    </row>
    <row r="2681" spans="1:10" ht="23.25" customHeight="1">
      <c r="A2681">
        <f>Table4[[#This Row],[Column1]]</f>
        <v>0</v>
      </c>
      <c r="B2681">
        <f>Table4[[#This Row],[Column2]]</f>
        <v>0</v>
      </c>
      <c r="I2681" s="13">
        <f>Table6[[#This Row],[discharge_date]]-Table6[[#This Row],[surgery_date]]</f>
        <v>0</v>
      </c>
      <c r="J2681" s="9" t="str">
        <f t="shared" si="60"/>
        <v/>
      </c>
    </row>
    <row r="2682" spans="1:10" ht="23.25" customHeight="1">
      <c r="A2682">
        <f>Table4[[#This Row],[Column1]]</f>
        <v>0</v>
      </c>
      <c r="B2682">
        <f>Table4[[#This Row],[Column2]]</f>
        <v>0</v>
      </c>
      <c r="I2682" s="13">
        <f>Table6[[#This Row],[discharge_date]]-Table6[[#This Row],[surgery_date]]</f>
        <v>0</v>
      </c>
      <c r="J2682" s="9" t="str">
        <f t="shared" si="60"/>
        <v/>
      </c>
    </row>
    <row r="2683" spans="1:10" ht="23.25" customHeight="1">
      <c r="A2683">
        <f>Table4[[#This Row],[Column1]]</f>
        <v>0</v>
      </c>
      <c r="B2683">
        <f>Table4[[#This Row],[Column2]]</f>
        <v>0</v>
      </c>
      <c r="I2683" s="13">
        <f>Table6[[#This Row],[discharge_date]]-Table6[[#This Row],[surgery_date]]</f>
        <v>0</v>
      </c>
      <c r="J2683" s="9" t="str">
        <f t="shared" si="60"/>
        <v/>
      </c>
    </row>
    <row r="2684" spans="1:10" ht="23.25" customHeight="1">
      <c r="A2684">
        <f>Table4[[#This Row],[Column1]]</f>
        <v>0</v>
      </c>
      <c r="B2684">
        <f>Table4[[#This Row],[Column2]]</f>
        <v>0</v>
      </c>
      <c r="I2684" s="13">
        <f>Table6[[#This Row],[discharge_date]]-Table6[[#This Row],[surgery_date]]</f>
        <v>0</v>
      </c>
      <c r="J2684" s="9" t="str">
        <f t="shared" si="60"/>
        <v/>
      </c>
    </row>
    <row r="2685" spans="1:10" ht="23.25" customHeight="1">
      <c r="A2685">
        <f>Table4[[#This Row],[Column1]]</f>
        <v>0</v>
      </c>
      <c r="B2685">
        <f>Table4[[#This Row],[Column2]]</f>
        <v>0</v>
      </c>
      <c r="I2685" s="13">
        <f>Table6[[#This Row],[discharge_date]]-Table6[[#This Row],[surgery_date]]</f>
        <v>0</v>
      </c>
      <c r="J2685" s="9" t="str">
        <f t="shared" si="60"/>
        <v/>
      </c>
    </row>
    <row r="2686" spans="1:10" ht="23.25" customHeight="1">
      <c r="A2686">
        <f>Table4[[#This Row],[Column1]]</f>
        <v>0</v>
      </c>
      <c r="B2686">
        <f>Table4[[#This Row],[Column2]]</f>
        <v>0</v>
      </c>
      <c r="I2686" s="13">
        <f>Table6[[#This Row],[discharge_date]]-Table6[[#This Row],[surgery_date]]</f>
        <v>0</v>
      </c>
      <c r="J2686" s="9" t="str">
        <f t="shared" si="60"/>
        <v/>
      </c>
    </row>
    <row r="2687" spans="1:10" ht="23.25" customHeight="1">
      <c r="A2687">
        <f>Table4[[#This Row],[Column1]]</f>
        <v>0</v>
      </c>
      <c r="B2687">
        <f>Table4[[#This Row],[Column2]]</f>
        <v>0</v>
      </c>
      <c r="I2687" s="13">
        <f>Table6[[#This Row],[discharge_date]]-Table6[[#This Row],[surgery_date]]</f>
        <v>0</v>
      </c>
      <c r="J2687" s="9" t="str">
        <f t="shared" si="60"/>
        <v/>
      </c>
    </row>
    <row r="2688" spans="1:10" ht="23.25" customHeight="1">
      <c r="A2688">
        <f>Table4[[#This Row],[Column1]]</f>
        <v>0</v>
      </c>
      <c r="B2688">
        <f>Table4[[#This Row],[Column2]]</f>
        <v>0</v>
      </c>
      <c r="I2688" s="13">
        <f>Table6[[#This Row],[discharge_date]]-Table6[[#This Row],[surgery_date]]</f>
        <v>0</v>
      </c>
      <c r="J2688" s="9" t="str">
        <f t="shared" si="60"/>
        <v/>
      </c>
    </row>
    <row r="2689" spans="1:10" ht="23.25" customHeight="1">
      <c r="A2689">
        <f>Table4[[#This Row],[Column1]]</f>
        <v>0</v>
      </c>
      <c r="B2689">
        <f>Table4[[#This Row],[Column2]]</f>
        <v>0</v>
      </c>
      <c r="I2689" s="13">
        <f>Table6[[#This Row],[discharge_date]]-Table6[[#This Row],[surgery_date]]</f>
        <v>0</v>
      </c>
      <c r="J2689" s="9" t="str">
        <f t="shared" si="60"/>
        <v/>
      </c>
    </row>
    <row r="2690" spans="1:10" ht="23.25" customHeight="1">
      <c r="A2690">
        <f>Table4[[#This Row],[Column1]]</f>
        <v>0</v>
      </c>
      <c r="B2690">
        <f>Table4[[#This Row],[Column2]]</f>
        <v>0</v>
      </c>
      <c r="I2690" s="13">
        <f>Table6[[#This Row],[discharge_date]]-Table6[[#This Row],[surgery_date]]</f>
        <v>0</v>
      </c>
      <c r="J2690" s="9" t="str">
        <f t="shared" ref="J2690:J2753" si="61">IF( H2690&lt;&gt;"", H2690+30,"")</f>
        <v/>
      </c>
    </row>
    <row r="2691" spans="1:10" ht="23.25" customHeight="1">
      <c r="A2691">
        <f>Table4[[#This Row],[Column1]]</f>
        <v>0</v>
      </c>
      <c r="B2691">
        <f>Table4[[#This Row],[Column2]]</f>
        <v>0</v>
      </c>
      <c r="I2691" s="13">
        <f>Table6[[#This Row],[discharge_date]]-Table6[[#This Row],[surgery_date]]</f>
        <v>0</v>
      </c>
      <c r="J2691" s="9" t="str">
        <f t="shared" si="61"/>
        <v/>
      </c>
    </row>
    <row r="2692" spans="1:10" ht="23.25" customHeight="1">
      <c r="A2692">
        <f>Table4[[#This Row],[Column1]]</f>
        <v>0</v>
      </c>
      <c r="B2692">
        <f>Table4[[#This Row],[Column2]]</f>
        <v>0</v>
      </c>
      <c r="I2692" s="13">
        <f>Table6[[#This Row],[discharge_date]]-Table6[[#This Row],[surgery_date]]</f>
        <v>0</v>
      </c>
      <c r="J2692" s="9" t="str">
        <f t="shared" si="61"/>
        <v/>
      </c>
    </row>
    <row r="2693" spans="1:10" ht="23.25" customHeight="1">
      <c r="A2693">
        <f>Table4[[#This Row],[Column1]]</f>
        <v>0</v>
      </c>
      <c r="B2693">
        <f>Table4[[#This Row],[Column2]]</f>
        <v>0</v>
      </c>
      <c r="I2693" s="13">
        <f>Table6[[#This Row],[discharge_date]]-Table6[[#This Row],[surgery_date]]</f>
        <v>0</v>
      </c>
      <c r="J2693" s="9" t="str">
        <f t="shared" si="61"/>
        <v/>
      </c>
    </row>
    <row r="2694" spans="1:10" ht="23.25" customHeight="1">
      <c r="A2694">
        <f>Table4[[#This Row],[Column1]]</f>
        <v>0</v>
      </c>
      <c r="B2694">
        <f>Table4[[#This Row],[Column2]]</f>
        <v>0</v>
      </c>
      <c r="I2694" s="13">
        <f>Table6[[#This Row],[discharge_date]]-Table6[[#This Row],[surgery_date]]</f>
        <v>0</v>
      </c>
      <c r="J2694" s="9" t="str">
        <f t="shared" si="61"/>
        <v/>
      </c>
    </row>
    <row r="2695" spans="1:10" ht="23.25" customHeight="1">
      <c r="A2695">
        <f>Table4[[#This Row],[Column1]]</f>
        <v>0</v>
      </c>
      <c r="B2695">
        <f>Table4[[#This Row],[Column2]]</f>
        <v>0</v>
      </c>
      <c r="I2695" s="13">
        <f>Table6[[#This Row],[discharge_date]]-Table6[[#This Row],[surgery_date]]</f>
        <v>0</v>
      </c>
      <c r="J2695" s="9" t="str">
        <f t="shared" si="61"/>
        <v/>
      </c>
    </row>
    <row r="2696" spans="1:10" ht="23.25" customHeight="1">
      <c r="A2696">
        <f>Table4[[#This Row],[Column1]]</f>
        <v>0</v>
      </c>
      <c r="B2696">
        <f>Table4[[#This Row],[Column2]]</f>
        <v>0</v>
      </c>
      <c r="I2696" s="13">
        <f>Table6[[#This Row],[discharge_date]]-Table6[[#This Row],[surgery_date]]</f>
        <v>0</v>
      </c>
      <c r="J2696" s="9" t="str">
        <f t="shared" si="61"/>
        <v/>
      </c>
    </row>
    <row r="2697" spans="1:10" ht="23.25" customHeight="1">
      <c r="A2697">
        <f>Table4[[#This Row],[Column1]]</f>
        <v>0</v>
      </c>
      <c r="B2697">
        <f>Table4[[#This Row],[Column2]]</f>
        <v>0</v>
      </c>
      <c r="I2697" s="13">
        <f>Table6[[#This Row],[discharge_date]]-Table6[[#This Row],[surgery_date]]</f>
        <v>0</v>
      </c>
      <c r="J2697" s="9" t="str">
        <f t="shared" si="61"/>
        <v/>
      </c>
    </row>
    <row r="2698" spans="1:10" ht="23.25" customHeight="1">
      <c r="A2698">
        <f>Table4[[#This Row],[Column1]]</f>
        <v>0</v>
      </c>
      <c r="B2698">
        <f>Table4[[#This Row],[Column2]]</f>
        <v>0</v>
      </c>
      <c r="I2698" s="13">
        <f>Table6[[#This Row],[discharge_date]]-Table6[[#This Row],[surgery_date]]</f>
        <v>0</v>
      </c>
      <c r="J2698" s="9" t="str">
        <f t="shared" si="61"/>
        <v/>
      </c>
    </row>
    <row r="2699" spans="1:10" ht="23.25" customHeight="1">
      <c r="A2699">
        <f>Table4[[#This Row],[Column1]]</f>
        <v>0</v>
      </c>
      <c r="B2699">
        <f>Table4[[#This Row],[Column2]]</f>
        <v>0</v>
      </c>
      <c r="I2699" s="13">
        <f>Table6[[#This Row],[discharge_date]]-Table6[[#This Row],[surgery_date]]</f>
        <v>0</v>
      </c>
      <c r="J2699" s="9" t="str">
        <f t="shared" si="61"/>
        <v/>
      </c>
    </row>
    <row r="2700" spans="1:10" ht="23.25" customHeight="1">
      <c r="A2700">
        <f>Table4[[#This Row],[Column1]]</f>
        <v>0</v>
      </c>
      <c r="B2700">
        <f>Table4[[#This Row],[Column2]]</f>
        <v>0</v>
      </c>
      <c r="I2700" s="13">
        <f>Table6[[#This Row],[discharge_date]]-Table6[[#This Row],[surgery_date]]</f>
        <v>0</v>
      </c>
      <c r="J2700" s="9" t="str">
        <f t="shared" si="61"/>
        <v/>
      </c>
    </row>
    <row r="2701" spans="1:10" ht="23.25" customHeight="1">
      <c r="A2701">
        <f>Table4[[#This Row],[Column1]]</f>
        <v>0</v>
      </c>
      <c r="B2701">
        <f>Table4[[#This Row],[Column2]]</f>
        <v>0</v>
      </c>
      <c r="I2701" s="13">
        <f>Table6[[#This Row],[discharge_date]]-Table6[[#This Row],[surgery_date]]</f>
        <v>0</v>
      </c>
      <c r="J2701" s="9" t="str">
        <f t="shared" si="61"/>
        <v/>
      </c>
    </row>
    <row r="2702" spans="1:10" ht="23.25" customHeight="1">
      <c r="A2702">
        <f>Table4[[#This Row],[Column1]]</f>
        <v>0</v>
      </c>
      <c r="B2702">
        <f>Table4[[#This Row],[Column2]]</f>
        <v>0</v>
      </c>
      <c r="I2702" s="13">
        <f>Table6[[#This Row],[discharge_date]]-Table6[[#This Row],[surgery_date]]</f>
        <v>0</v>
      </c>
      <c r="J2702" s="9" t="str">
        <f t="shared" si="61"/>
        <v/>
      </c>
    </row>
    <row r="2703" spans="1:10" ht="23.25" customHeight="1">
      <c r="A2703">
        <f>Table4[[#This Row],[Column1]]</f>
        <v>0</v>
      </c>
      <c r="B2703">
        <f>Table4[[#This Row],[Column2]]</f>
        <v>0</v>
      </c>
      <c r="I2703" s="13">
        <f>Table6[[#This Row],[discharge_date]]-Table6[[#This Row],[surgery_date]]</f>
        <v>0</v>
      </c>
      <c r="J2703" s="9" t="str">
        <f t="shared" si="61"/>
        <v/>
      </c>
    </row>
    <row r="2704" spans="1:10" ht="23.25" customHeight="1">
      <c r="A2704">
        <f>Table4[[#This Row],[Column1]]</f>
        <v>0</v>
      </c>
      <c r="B2704">
        <f>Table4[[#This Row],[Column2]]</f>
        <v>0</v>
      </c>
      <c r="I2704" s="13">
        <f>Table6[[#This Row],[discharge_date]]-Table6[[#This Row],[surgery_date]]</f>
        <v>0</v>
      </c>
      <c r="J2704" s="9" t="str">
        <f t="shared" si="61"/>
        <v/>
      </c>
    </row>
    <row r="2705" spans="1:10" ht="23.25" customHeight="1">
      <c r="A2705">
        <f>Table4[[#This Row],[Column1]]</f>
        <v>0</v>
      </c>
      <c r="B2705">
        <f>Table4[[#This Row],[Column2]]</f>
        <v>0</v>
      </c>
      <c r="I2705" s="13">
        <f>Table6[[#This Row],[discharge_date]]-Table6[[#This Row],[surgery_date]]</f>
        <v>0</v>
      </c>
      <c r="J2705" s="9" t="str">
        <f t="shared" si="61"/>
        <v/>
      </c>
    </row>
    <row r="2706" spans="1:10" ht="23.25" customHeight="1">
      <c r="A2706">
        <f>Table4[[#This Row],[Column1]]</f>
        <v>0</v>
      </c>
      <c r="B2706">
        <f>Table4[[#This Row],[Column2]]</f>
        <v>0</v>
      </c>
      <c r="I2706" s="13">
        <f>Table6[[#This Row],[discharge_date]]-Table6[[#This Row],[surgery_date]]</f>
        <v>0</v>
      </c>
      <c r="J2706" s="9" t="str">
        <f t="shared" si="61"/>
        <v/>
      </c>
    </row>
    <row r="2707" spans="1:10" ht="23.25" customHeight="1">
      <c r="A2707">
        <f>Table4[[#This Row],[Column1]]</f>
        <v>0</v>
      </c>
      <c r="B2707">
        <f>Table4[[#This Row],[Column2]]</f>
        <v>0</v>
      </c>
      <c r="I2707" s="13">
        <f>Table6[[#This Row],[discharge_date]]-Table6[[#This Row],[surgery_date]]</f>
        <v>0</v>
      </c>
      <c r="J2707" s="9" t="str">
        <f t="shared" si="61"/>
        <v/>
      </c>
    </row>
    <row r="2708" spans="1:10" ht="23.25" customHeight="1">
      <c r="A2708">
        <f>Table4[[#This Row],[Column1]]</f>
        <v>0</v>
      </c>
      <c r="B2708">
        <f>Table4[[#This Row],[Column2]]</f>
        <v>0</v>
      </c>
      <c r="I2708" s="13">
        <f>Table6[[#This Row],[discharge_date]]-Table6[[#This Row],[surgery_date]]</f>
        <v>0</v>
      </c>
      <c r="J2708" s="9" t="str">
        <f t="shared" si="61"/>
        <v/>
      </c>
    </row>
    <row r="2709" spans="1:10" ht="23.25" customHeight="1">
      <c r="A2709">
        <f>Table4[[#This Row],[Column1]]</f>
        <v>0</v>
      </c>
      <c r="B2709">
        <f>Table4[[#This Row],[Column2]]</f>
        <v>0</v>
      </c>
      <c r="I2709" s="13">
        <f>Table6[[#This Row],[discharge_date]]-Table6[[#This Row],[surgery_date]]</f>
        <v>0</v>
      </c>
      <c r="J2709" s="9" t="str">
        <f t="shared" si="61"/>
        <v/>
      </c>
    </row>
    <row r="2710" spans="1:10" ht="23.25" customHeight="1">
      <c r="A2710">
        <f>Table4[[#This Row],[Column1]]</f>
        <v>0</v>
      </c>
      <c r="B2710">
        <f>Table4[[#This Row],[Column2]]</f>
        <v>0</v>
      </c>
      <c r="I2710" s="13">
        <f>Table6[[#This Row],[discharge_date]]-Table6[[#This Row],[surgery_date]]</f>
        <v>0</v>
      </c>
      <c r="J2710" s="9" t="str">
        <f t="shared" si="61"/>
        <v/>
      </c>
    </row>
    <row r="2711" spans="1:10" ht="23.25" customHeight="1">
      <c r="A2711">
        <f>Table4[[#This Row],[Column1]]</f>
        <v>0</v>
      </c>
      <c r="B2711">
        <f>Table4[[#This Row],[Column2]]</f>
        <v>0</v>
      </c>
      <c r="I2711" s="13">
        <f>Table6[[#This Row],[discharge_date]]-Table6[[#This Row],[surgery_date]]</f>
        <v>0</v>
      </c>
      <c r="J2711" s="9" t="str">
        <f t="shared" si="61"/>
        <v/>
      </c>
    </row>
    <row r="2712" spans="1:10" ht="23.25" customHeight="1">
      <c r="A2712">
        <f>Table4[[#This Row],[Column1]]</f>
        <v>0</v>
      </c>
      <c r="B2712">
        <f>Table4[[#This Row],[Column2]]</f>
        <v>0</v>
      </c>
      <c r="I2712" s="13">
        <f>Table6[[#This Row],[discharge_date]]-Table6[[#This Row],[surgery_date]]</f>
        <v>0</v>
      </c>
      <c r="J2712" s="9" t="str">
        <f t="shared" si="61"/>
        <v/>
      </c>
    </row>
    <row r="2713" spans="1:10" ht="23.25" customHeight="1">
      <c r="A2713">
        <f>Table4[[#This Row],[Column1]]</f>
        <v>0</v>
      </c>
      <c r="B2713">
        <f>Table4[[#This Row],[Column2]]</f>
        <v>0</v>
      </c>
      <c r="I2713" s="13">
        <f>Table6[[#This Row],[discharge_date]]-Table6[[#This Row],[surgery_date]]</f>
        <v>0</v>
      </c>
      <c r="J2713" s="9" t="str">
        <f t="shared" si="61"/>
        <v/>
      </c>
    </row>
    <row r="2714" spans="1:10" ht="23.25" customHeight="1">
      <c r="A2714">
        <f>Table4[[#This Row],[Column1]]</f>
        <v>0</v>
      </c>
      <c r="B2714">
        <f>Table4[[#This Row],[Column2]]</f>
        <v>0</v>
      </c>
      <c r="I2714" s="13">
        <f>Table6[[#This Row],[discharge_date]]-Table6[[#This Row],[surgery_date]]</f>
        <v>0</v>
      </c>
      <c r="J2714" s="9" t="str">
        <f t="shared" si="61"/>
        <v/>
      </c>
    </row>
    <row r="2715" spans="1:10" ht="23.25" customHeight="1">
      <c r="A2715">
        <f>Table4[[#This Row],[Column1]]</f>
        <v>0</v>
      </c>
      <c r="B2715">
        <f>Table4[[#This Row],[Column2]]</f>
        <v>0</v>
      </c>
      <c r="I2715" s="13">
        <f>Table6[[#This Row],[discharge_date]]-Table6[[#This Row],[surgery_date]]</f>
        <v>0</v>
      </c>
      <c r="J2715" s="9" t="str">
        <f t="shared" si="61"/>
        <v/>
      </c>
    </row>
    <row r="2716" spans="1:10" ht="23.25" customHeight="1">
      <c r="A2716">
        <f>Table4[[#This Row],[Column1]]</f>
        <v>0</v>
      </c>
      <c r="B2716">
        <f>Table4[[#This Row],[Column2]]</f>
        <v>0</v>
      </c>
      <c r="I2716" s="13">
        <f>Table6[[#This Row],[discharge_date]]-Table6[[#This Row],[surgery_date]]</f>
        <v>0</v>
      </c>
      <c r="J2716" s="9" t="str">
        <f t="shared" si="61"/>
        <v/>
      </c>
    </row>
    <row r="2717" spans="1:10" ht="23.25" customHeight="1">
      <c r="A2717">
        <f>Table4[[#This Row],[Column1]]</f>
        <v>0</v>
      </c>
      <c r="B2717">
        <f>Table4[[#This Row],[Column2]]</f>
        <v>0</v>
      </c>
      <c r="I2717" s="13">
        <f>Table6[[#This Row],[discharge_date]]-Table6[[#This Row],[surgery_date]]</f>
        <v>0</v>
      </c>
      <c r="J2717" s="9" t="str">
        <f t="shared" si="61"/>
        <v/>
      </c>
    </row>
    <row r="2718" spans="1:10" ht="23.25" customHeight="1">
      <c r="A2718">
        <f>Table4[[#This Row],[Column1]]</f>
        <v>0</v>
      </c>
      <c r="B2718">
        <f>Table4[[#This Row],[Column2]]</f>
        <v>0</v>
      </c>
      <c r="I2718" s="13">
        <f>Table6[[#This Row],[discharge_date]]-Table6[[#This Row],[surgery_date]]</f>
        <v>0</v>
      </c>
      <c r="J2718" s="9" t="str">
        <f t="shared" si="61"/>
        <v/>
      </c>
    </row>
    <row r="2719" spans="1:10" ht="23.25" customHeight="1">
      <c r="A2719">
        <f>Table4[[#This Row],[Column1]]</f>
        <v>0</v>
      </c>
      <c r="B2719">
        <f>Table4[[#This Row],[Column2]]</f>
        <v>0</v>
      </c>
      <c r="I2719" s="13">
        <f>Table6[[#This Row],[discharge_date]]-Table6[[#This Row],[surgery_date]]</f>
        <v>0</v>
      </c>
      <c r="J2719" s="9" t="str">
        <f t="shared" si="61"/>
        <v/>
      </c>
    </row>
    <row r="2720" spans="1:10" ht="23.25" customHeight="1">
      <c r="A2720">
        <f>Table4[[#This Row],[Column1]]</f>
        <v>0</v>
      </c>
      <c r="B2720">
        <f>Table4[[#This Row],[Column2]]</f>
        <v>0</v>
      </c>
      <c r="I2720" s="13">
        <f>Table6[[#This Row],[discharge_date]]-Table6[[#This Row],[surgery_date]]</f>
        <v>0</v>
      </c>
      <c r="J2720" s="9" t="str">
        <f t="shared" si="61"/>
        <v/>
      </c>
    </row>
    <row r="2721" spans="1:10" ht="23.25" customHeight="1">
      <c r="A2721">
        <f>Table4[[#This Row],[Column1]]</f>
        <v>0</v>
      </c>
      <c r="B2721">
        <f>Table4[[#This Row],[Column2]]</f>
        <v>0</v>
      </c>
      <c r="I2721" s="13">
        <f>Table6[[#This Row],[discharge_date]]-Table6[[#This Row],[surgery_date]]</f>
        <v>0</v>
      </c>
      <c r="J2721" s="9" t="str">
        <f t="shared" si="61"/>
        <v/>
      </c>
    </row>
    <row r="2722" spans="1:10" ht="23.25" customHeight="1">
      <c r="A2722">
        <f>Table4[[#This Row],[Column1]]</f>
        <v>0</v>
      </c>
      <c r="B2722">
        <f>Table4[[#This Row],[Column2]]</f>
        <v>0</v>
      </c>
      <c r="I2722" s="13">
        <f>Table6[[#This Row],[discharge_date]]-Table6[[#This Row],[surgery_date]]</f>
        <v>0</v>
      </c>
      <c r="J2722" s="9" t="str">
        <f t="shared" si="61"/>
        <v/>
      </c>
    </row>
    <row r="2723" spans="1:10" ht="23.25" customHeight="1">
      <c r="A2723">
        <f>Table4[[#This Row],[Column1]]</f>
        <v>0</v>
      </c>
      <c r="B2723">
        <f>Table4[[#This Row],[Column2]]</f>
        <v>0</v>
      </c>
      <c r="I2723" s="13">
        <f>Table6[[#This Row],[discharge_date]]-Table6[[#This Row],[surgery_date]]</f>
        <v>0</v>
      </c>
      <c r="J2723" s="9" t="str">
        <f t="shared" si="61"/>
        <v/>
      </c>
    </row>
    <row r="2724" spans="1:10" ht="23.25" customHeight="1">
      <c r="A2724">
        <f>Table4[[#This Row],[Column1]]</f>
        <v>0</v>
      </c>
      <c r="B2724">
        <f>Table4[[#This Row],[Column2]]</f>
        <v>0</v>
      </c>
      <c r="I2724" s="13">
        <f>Table6[[#This Row],[discharge_date]]-Table6[[#This Row],[surgery_date]]</f>
        <v>0</v>
      </c>
      <c r="J2724" s="9" t="str">
        <f t="shared" si="61"/>
        <v/>
      </c>
    </row>
    <row r="2725" spans="1:10" ht="23.25" customHeight="1">
      <c r="A2725">
        <f>Table4[[#This Row],[Column1]]</f>
        <v>0</v>
      </c>
      <c r="B2725">
        <f>Table4[[#This Row],[Column2]]</f>
        <v>0</v>
      </c>
      <c r="I2725" s="13">
        <f>Table6[[#This Row],[discharge_date]]-Table6[[#This Row],[surgery_date]]</f>
        <v>0</v>
      </c>
      <c r="J2725" s="9" t="str">
        <f t="shared" si="61"/>
        <v/>
      </c>
    </row>
    <row r="2726" spans="1:10" ht="23.25" customHeight="1">
      <c r="A2726">
        <f>Table4[[#This Row],[Column1]]</f>
        <v>0</v>
      </c>
      <c r="B2726">
        <f>Table4[[#This Row],[Column2]]</f>
        <v>0</v>
      </c>
      <c r="I2726" s="13">
        <f>Table6[[#This Row],[discharge_date]]-Table6[[#This Row],[surgery_date]]</f>
        <v>0</v>
      </c>
      <c r="J2726" s="9" t="str">
        <f t="shared" si="61"/>
        <v/>
      </c>
    </row>
    <row r="2727" spans="1:10" ht="23.25" customHeight="1">
      <c r="A2727">
        <f>Table4[[#This Row],[Column1]]</f>
        <v>0</v>
      </c>
      <c r="B2727">
        <f>Table4[[#This Row],[Column2]]</f>
        <v>0</v>
      </c>
      <c r="I2727" s="13">
        <f>Table6[[#This Row],[discharge_date]]-Table6[[#This Row],[surgery_date]]</f>
        <v>0</v>
      </c>
      <c r="J2727" s="9" t="str">
        <f t="shared" si="61"/>
        <v/>
      </c>
    </row>
    <row r="2728" spans="1:10" ht="23.25" customHeight="1">
      <c r="A2728">
        <f>Table4[[#This Row],[Column1]]</f>
        <v>0</v>
      </c>
      <c r="B2728">
        <f>Table4[[#This Row],[Column2]]</f>
        <v>0</v>
      </c>
      <c r="I2728" s="13">
        <f>Table6[[#This Row],[discharge_date]]-Table6[[#This Row],[surgery_date]]</f>
        <v>0</v>
      </c>
      <c r="J2728" s="9" t="str">
        <f t="shared" si="61"/>
        <v/>
      </c>
    </row>
    <row r="2729" spans="1:10" ht="23.25" customHeight="1">
      <c r="A2729">
        <f>Table4[[#This Row],[Column1]]</f>
        <v>0</v>
      </c>
      <c r="B2729">
        <f>Table4[[#This Row],[Column2]]</f>
        <v>0</v>
      </c>
      <c r="I2729" s="13">
        <f>Table6[[#This Row],[discharge_date]]-Table6[[#This Row],[surgery_date]]</f>
        <v>0</v>
      </c>
      <c r="J2729" s="9" t="str">
        <f t="shared" si="61"/>
        <v/>
      </c>
    </row>
    <row r="2730" spans="1:10" ht="23.25" customHeight="1">
      <c r="A2730">
        <f>Table4[[#This Row],[Column1]]</f>
        <v>0</v>
      </c>
      <c r="B2730">
        <f>Table4[[#This Row],[Column2]]</f>
        <v>0</v>
      </c>
      <c r="I2730" s="13">
        <f>Table6[[#This Row],[discharge_date]]-Table6[[#This Row],[surgery_date]]</f>
        <v>0</v>
      </c>
      <c r="J2730" s="9" t="str">
        <f t="shared" si="61"/>
        <v/>
      </c>
    </row>
    <row r="2731" spans="1:10" ht="23.25" customHeight="1">
      <c r="A2731">
        <f>Table4[[#This Row],[Column1]]</f>
        <v>0</v>
      </c>
      <c r="B2731">
        <f>Table4[[#This Row],[Column2]]</f>
        <v>0</v>
      </c>
      <c r="I2731" s="13">
        <f>Table6[[#This Row],[discharge_date]]-Table6[[#This Row],[surgery_date]]</f>
        <v>0</v>
      </c>
      <c r="J2731" s="9" t="str">
        <f t="shared" si="61"/>
        <v/>
      </c>
    </row>
    <row r="2732" spans="1:10" ht="23.25" customHeight="1">
      <c r="A2732">
        <f>Table4[[#This Row],[Column1]]</f>
        <v>0</v>
      </c>
      <c r="B2732">
        <f>Table4[[#This Row],[Column2]]</f>
        <v>0</v>
      </c>
      <c r="I2732" s="13">
        <f>Table6[[#This Row],[discharge_date]]-Table6[[#This Row],[surgery_date]]</f>
        <v>0</v>
      </c>
      <c r="J2732" s="9" t="str">
        <f t="shared" si="61"/>
        <v/>
      </c>
    </row>
    <row r="2733" spans="1:10" ht="23.25" customHeight="1">
      <c r="A2733">
        <f>Table4[[#This Row],[Column1]]</f>
        <v>0</v>
      </c>
      <c r="B2733">
        <f>Table4[[#This Row],[Column2]]</f>
        <v>0</v>
      </c>
      <c r="I2733" s="13">
        <f>Table6[[#This Row],[discharge_date]]-Table6[[#This Row],[surgery_date]]</f>
        <v>0</v>
      </c>
      <c r="J2733" s="9" t="str">
        <f t="shared" si="61"/>
        <v/>
      </c>
    </row>
    <row r="2734" spans="1:10" ht="23.25" customHeight="1">
      <c r="A2734">
        <f>Table4[[#This Row],[Column1]]</f>
        <v>0</v>
      </c>
      <c r="B2734">
        <f>Table4[[#This Row],[Column2]]</f>
        <v>0</v>
      </c>
      <c r="I2734" s="13">
        <f>Table6[[#This Row],[discharge_date]]-Table6[[#This Row],[surgery_date]]</f>
        <v>0</v>
      </c>
      <c r="J2734" s="9" t="str">
        <f t="shared" si="61"/>
        <v/>
      </c>
    </row>
    <row r="2735" spans="1:10" ht="23.25" customHeight="1">
      <c r="A2735">
        <f>Table4[[#This Row],[Column1]]</f>
        <v>0</v>
      </c>
      <c r="B2735">
        <f>Table4[[#This Row],[Column2]]</f>
        <v>0</v>
      </c>
      <c r="I2735" s="13">
        <f>Table6[[#This Row],[discharge_date]]-Table6[[#This Row],[surgery_date]]</f>
        <v>0</v>
      </c>
      <c r="J2735" s="9" t="str">
        <f t="shared" si="61"/>
        <v/>
      </c>
    </row>
    <row r="2736" spans="1:10" ht="23.25" customHeight="1">
      <c r="A2736">
        <f>Table4[[#This Row],[Column1]]</f>
        <v>0</v>
      </c>
      <c r="B2736">
        <f>Table4[[#This Row],[Column2]]</f>
        <v>0</v>
      </c>
      <c r="I2736" s="13">
        <f>Table6[[#This Row],[discharge_date]]-Table6[[#This Row],[surgery_date]]</f>
        <v>0</v>
      </c>
      <c r="J2736" s="9" t="str">
        <f t="shared" si="61"/>
        <v/>
      </c>
    </row>
    <row r="2737" spans="1:10" ht="23.25" customHeight="1">
      <c r="A2737">
        <f>Table4[[#This Row],[Column1]]</f>
        <v>0</v>
      </c>
      <c r="B2737">
        <f>Table4[[#This Row],[Column2]]</f>
        <v>0</v>
      </c>
      <c r="I2737" s="13">
        <f>Table6[[#This Row],[discharge_date]]-Table6[[#This Row],[surgery_date]]</f>
        <v>0</v>
      </c>
      <c r="J2737" s="9" t="str">
        <f t="shared" si="61"/>
        <v/>
      </c>
    </row>
    <row r="2738" spans="1:10" ht="23.25" customHeight="1">
      <c r="A2738">
        <f>Table4[[#This Row],[Column1]]</f>
        <v>0</v>
      </c>
      <c r="B2738">
        <f>Table4[[#This Row],[Column2]]</f>
        <v>0</v>
      </c>
      <c r="I2738" s="13">
        <f>Table6[[#This Row],[discharge_date]]-Table6[[#This Row],[surgery_date]]</f>
        <v>0</v>
      </c>
      <c r="J2738" s="9" t="str">
        <f t="shared" si="61"/>
        <v/>
      </c>
    </row>
    <row r="2739" spans="1:10" ht="23.25" customHeight="1">
      <c r="A2739">
        <f>Table4[[#This Row],[Column1]]</f>
        <v>0</v>
      </c>
      <c r="B2739">
        <f>Table4[[#This Row],[Column2]]</f>
        <v>0</v>
      </c>
      <c r="I2739" s="13">
        <f>Table6[[#This Row],[discharge_date]]-Table6[[#This Row],[surgery_date]]</f>
        <v>0</v>
      </c>
      <c r="J2739" s="9" t="str">
        <f t="shared" si="61"/>
        <v/>
      </c>
    </row>
    <row r="2740" spans="1:10" ht="23.25" customHeight="1">
      <c r="A2740">
        <f>Table4[[#This Row],[Column1]]</f>
        <v>0</v>
      </c>
      <c r="B2740">
        <f>Table4[[#This Row],[Column2]]</f>
        <v>0</v>
      </c>
      <c r="I2740" s="13">
        <f>Table6[[#This Row],[discharge_date]]-Table6[[#This Row],[surgery_date]]</f>
        <v>0</v>
      </c>
      <c r="J2740" s="9" t="str">
        <f t="shared" si="61"/>
        <v/>
      </c>
    </row>
    <row r="2741" spans="1:10" ht="23.25" customHeight="1">
      <c r="A2741">
        <f>Table4[[#This Row],[Column1]]</f>
        <v>0</v>
      </c>
      <c r="B2741">
        <f>Table4[[#This Row],[Column2]]</f>
        <v>0</v>
      </c>
      <c r="I2741" s="13">
        <f>Table6[[#This Row],[discharge_date]]-Table6[[#This Row],[surgery_date]]</f>
        <v>0</v>
      </c>
      <c r="J2741" s="9" t="str">
        <f t="shared" si="61"/>
        <v/>
      </c>
    </row>
    <row r="2742" spans="1:10" ht="23.25" customHeight="1">
      <c r="A2742">
        <f>Table4[[#This Row],[Column1]]</f>
        <v>0</v>
      </c>
      <c r="B2742">
        <f>Table4[[#This Row],[Column2]]</f>
        <v>0</v>
      </c>
      <c r="I2742" s="13">
        <f>Table6[[#This Row],[discharge_date]]-Table6[[#This Row],[surgery_date]]</f>
        <v>0</v>
      </c>
      <c r="J2742" s="9" t="str">
        <f t="shared" si="61"/>
        <v/>
      </c>
    </row>
    <row r="2743" spans="1:10" ht="23.25" customHeight="1">
      <c r="A2743">
        <f>Table4[[#This Row],[Column1]]</f>
        <v>0</v>
      </c>
      <c r="B2743">
        <f>Table4[[#This Row],[Column2]]</f>
        <v>0</v>
      </c>
      <c r="I2743" s="13">
        <f>Table6[[#This Row],[discharge_date]]-Table6[[#This Row],[surgery_date]]</f>
        <v>0</v>
      </c>
      <c r="J2743" s="9" t="str">
        <f t="shared" si="61"/>
        <v/>
      </c>
    </row>
    <row r="2744" spans="1:10" ht="23.25" customHeight="1">
      <c r="A2744">
        <f>Table4[[#This Row],[Column1]]</f>
        <v>0</v>
      </c>
      <c r="B2744">
        <f>Table4[[#This Row],[Column2]]</f>
        <v>0</v>
      </c>
      <c r="I2744" s="13">
        <f>Table6[[#This Row],[discharge_date]]-Table6[[#This Row],[surgery_date]]</f>
        <v>0</v>
      </c>
      <c r="J2744" s="9" t="str">
        <f t="shared" si="61"/>
        <v/>
      </c>
    </row>
    <row r="2745" spans="1:10" ht="23.25" customHeight="1">
      <c r="A2745">
        <f>Table4[[#This Row],[Column1]]</f>
        <v>0</v>
      </c>
      <c r="B2745">
        <f>Table4[[#This Row],[Column2]]</f>
        <v>0</v>
      </c>
      <c r="I2745" s="13">
        <f>Table6[[#This Row],[discharge_date]]-Table6[[#This Row],[surgery_date]]</f>
        <v>0</v>
      </c>
      <c r="J2745" s="9" t="str">
        <f t="shared" si="61"/>
        <v/>
      </c>
    </row>
    <row r="2746" spans="1:10" ht="23.25" customHeight="1">
      <c r="A2746">
        <f>Table4[[#This Row],[Column1]]</f>
        <v>0</v>
      </c>
      <c r="B2746">
        <f>Table4[[#This Row],[Column2]]</f>
        <v>0</v>
      </c>
      <c r="I2746" s="13">
        <f>Table6[[#This Row],[discharge_date]]-Table6[[#This Row],[surgery_date]]</f>
        <v>0</v>
      </c>
      <c r="J2746" s="9" t="str">
        <f t="shared" si="61"/>
        <v/>
      </c>
    </row>
    <row r="2747" spans="1:10" ht="23.25" customHeight="1">
      <c r="A2747">
        <f>Table4[[#This Row],[Column1]]</f>
        <v>0</v>
      </c>
      <c r="B2747">
        <f>Table4[[#This Row],[Column2]]</f>
        <v>0</v>
      </c>
      <c r="I2747" s="13">
        <f>Table6[[#This Row],[discharge_date]]-Table6[[#This Row],[surgery_date]]</f>
        <v>0</v>
      </c>
      <c r="J2747" s="9" t="str">
        <f t="shared" si="61"/>
        <v/>
      </c>
    </row>
    <row r="2748" spans="1:10" ht="23.25" customHeight="1">
      <c r="A2748">
        <f>Table4[[#This Row],[Column1]]</f>
        <v>0</v>
      </c>
      <c r="B2748">
        <f>Table4[[#This Row],[Column2]]</f>
        <v>0</v>
      </c>
      <c r="I2748" s="13">
        <f>Table6[[#This Row],[discharge_date]]-Table6[[#This Row],[surgery_date]]</f>
        <v>0</v>
      </c>
      <c r="J2748" s="9" t="str">
        <f t="shared" si="61"/>
        <v/>
      </c>
    </row>
    <row r="2749" spans="1:10" ht="23.25" customHeight="1">
      <c r="A2749">
        <f>Table4[[#This Row],[Column1]]</f>
        <v>0</v>
      </c>
      <c r="B2749">
        <f>Table4[[#This Row],[Column2]]</f>
        <v>0</v>
      </c>
      <c r="I2749" s="13">
        <f>Table6[[#This Row],[discharge_date]]-Table6[[#This Row],[surgery_date]]</f>
        <v>0</v>
      </c>
      <c r="J2749" s="9" t="str">
        <f t="shared" si="61"/>
        <v/>
      </c>
    </row>
    <row r="2750" spans="1:10" ht="23.25" customHeight="1">
      <c r="A2750">
        <f>Table4[[#This Row],[Column1]]</f>
        <v>0</v>
      </c>
      <c r="B2750">
        <f>Table4[[#This Row],[Column2]]</f>
        <v>0</v>
      </c>
      <c r="I2750" s="13">
        <f>Table6[[#This Row],[discharge_date]]-Table6[[#This Row],[surgery_date]]</f>
        <v>0</v>
      </c>
      <c r="J2750" s="9" t="str">
        <f t="shared" si="61"/>
        <v/>
      </c>
    </row>
    <row r="2751" spans="1:10" ht="23.25" customHeight="1">
      <c r="A2751">
        <f>Table4[[#This Row],[Column1]]</f>
        <v>0</v>
      </c>
      <c r="B2751">
        <f>Table4[[#This Row],[Column2]]</f>
        <v>0</v>
      </c>
      <c r="I2751" s="13">
        <f>Table6[[#This Row],[discharge_date]]-Table6[[#This Row],[surgery_date]]</f>
        <v>0</v>
      </c>
      <c r="J2751" s="9" t="str">
        <f t="shared" si="61"/>
        <v/>
      </c>
    </row>
    <row r="2752" spans="1:10" ht="23.25" customHeight="1">
      <c r="A2752">
        <f>Table4[[#This Row],[Column1]]</f>
        <v>0</v>
      </c>
      <c r="B2752">
        <f>Table4[[#This Row],[Column2]]</f>
        <v>0</v>
      </c>
      <c r="I2752" s="13">
        <f>Table6[[#This Row],[discharge_date]]-Table6[[#This Row],[surgery_date]]</f>
        <v>0</v>
      </c>
      <c r="J2752" s="9" t="str">
        <f t="shared" si="61"/>
        <v/>
      </c>
    </row>
    <row r="2753" spans="1:10" ht="23.25" customHeight="1">
      <c r="A2753">
        <f>Table4[[#This Row],[Column1]]</f>
        <v>0</v>
      </c>
      <c r="B2753">
        <f>Table4[[#This Row],[Column2]]</f>
        <v>0</v>
      </c>
      <c r="I2753" s="13">
        <f>Table6[[#This Row],[discharge_date]]-Table6[[#This Row],[surgery_date]]</f>
        <v>0</v>
      </c>
      <c r="J2753" s="9" t="str">
        <f t="shared" si="61"/>
        <v/>
      </c>
    </row>
    <row r="2754" spans="1:10" ht="23.25" customHeight="1">
      <c r="A2754">
        <f>Table4[[#This Row],[Column1]]</f>
        <v>0</v>
      </c>
      <c r="B2754">
        <f>Table4[[#This Row],[Column2]]</f>
        <v>0</v>
      </c>
      <c r="I2754" s="13">
        <f>Table6[[#This Row],[discharge_date]]-Table6[[#This Row],[surgery_date]]</f>
        <v>0</v>
      </c>
      <c r="J2754" s="9" t="str">
        <f t="shared" ref="J2754:J2817" si="62">IF( H2754&lt;&gt;"", H2754+30,"")</f>
        <v/>
      </c>
    </row>
    <row r="2755" spans="1:10" ht="23.25" customHeight="1">
      <c r="A2755">
        <f>Table4[[#This Row],[Column1]]</f>
        <v>0</v>
      </c>
      <c r="B2755">
        <f>Table4[[#This Row],[Column2]]</f>
        <v>0</v>
      </c>
      <c r="I2755" s="13">
        <f>Table6[[#This Row],[discharge_date]]-Table6[[#This Row],[surgery_date]]</f>
        <v>0</v>
      </c>
      <c r="J2755" s="9" t="str">
        <f t="shared" si="62"/>
        <v/>
      </c>
    </row>
    <row r="2756" spans="1:10" ht="23.25" customHeight="1">
      <c r="A2756">
        <f>Table4[[#This Row],[Column1]]</f>
        <v>0</v>
      </c>
      <c r="B2756">
        <f>Table4[[#This Row],[Column2]]</f>
        <v>0</v>
      </c>
      <c r="I2756" s="13">
        <f>Table6[[#This Row],[discharge_date]]-Table6[[#This Row],[surgery_date]]</f>
        <v>0</v>
      </c>
      <c r="J2756" s="9" t="str">
        <f t="shared" si="62"/>
        <v/>
      </c>
    </row>
    <row r="2757" spans="1:10" ht="23.25" customHeight="1">
      <c r="A2757">
        <f>Table4[[#This Row],[Column1]]</f>
        <v>0</v>
      </c>
      <c r="B2757">
        <f>Table4[[#This Row],[Column2]]</f>
        <v>0</v>
      </c>
      <c r="I2757" s="13">
        <f>Table6[[#This Row],[discharge_date]]-Table6[[#This Row],[surgery_date]]</f>
        <v>0</v>
      </c>
      <c r="J2757" s="9" t="str">
        <f t="shared" si="62"/>
        <v/>
      </c>
    </row>
    <row r="2758" spans="1:10" ht="23.25" customHeight="1">
      <c r="A2758">
        <f>Table4[[#This Row],[Column1]]</f>
        <v>0</v>
      </c>
      <c r="B2758">
        <f>Table4[[#This Row],[Column2]]</f>
        <v>0</v>
      </c>
      <c r="I2758" s="13">
        <f>Table6[[#This Row],[discharge_date]]-Table6[[#This Row],[surgery_date]]</f>
        <v>0</v>
      </c>
      <c r="J2758" s="9" t="str">
        <f t="shared" si="62"/>
        <v/>
      </c>
    </row>
    <row r="2759" spans="1:10" ht="23.25" customHeight="1">
      <c r="A2759">
        <f>Table4[[#This Row],[Column1]]</f>
        <v>0</v>
      </c>
      <c r="B2759">
        <f>Table4[[#This Row],[Column2]]</f>
        <v>0</v>
      </c>
      <c r="I2759" s="13">
        <f>Table6[[#This Row],[discharge_date]]-Table6[[#This Row],[surgery_date]]</f>
        <v>0</v>
      </c>
      <c r="J2759" s="9" t="str">
        <f t="shared" si="62"/>
        <v/>
      </c>
    </row>
    <row r="2760" spans="1:10" ht="23.25" customHeight="1">
      <c r="A2760">
        <f>Table4[[#This Row],[Column1]]</f>
        <v>0</v>
      </c>
      <c r="B2760">
        <f>Table4[[#This Row],[Column2]]</f>
        <v>0</v>
      </c>
      <c r="I2760" s="13">
        <f>Table6[[#This Row],[discharge_date]]-Table6[[#This Row],[surgery_date]]</f>
        <v>0</v>
      </c>
      <c r="J2760" s="9" t="str">
        <f t="shared" si="62"/>
        <v/>
      </c>
    </row>
    <row r="2761" spans="1:10" ht="23.25" customHeight="1">
      <c r="A2761">
        <f>Table4[[#This Row],[Column1]]</f>
        <v>0</v>
      </c>
      <c r="B2761">
        <f>Table4[[#This Row],[Column2]]</f>
        <v>0</v>
      </c>
      <c r="I2761" s="13">
        <f>Table6[[#This Row],[discharge_date]]-Table6[[#This Row],[surgery_date]]</f>
        <v>0</v>
      </c>
      <c r="J2761" s="9" t="str">
        <f t="shared" si="62"/>
        <v/>
      </c>
    </row>
    <row r="2762" spans="1:10" ht="23.25" customHeight="1">
      <c r="A2762">
        <f>Table4[[#This Row],[Column1]]</f>
        <v>0</v>
      </c>
      <c r="B2762">
        <f>Table4[[#This Row],[Column2]]</f>
        <v>0</v>
      </c>
      <c r="I2762" s="13">
        <f>Table6[[#This Row],[discharge_date]]-Table6[[#This Row],[surgery_date]]</f>
        <v>0</v>
      </c>
      <c r="J2762" s="9" t="str">
        <f t="shared" si="62"/>
        <v/>
      </c>
    </row>
    <row r="2763" spans="1:10" ht="23.25" customHeight="1">
      <c r="A2763">
        <f>Table4[[#This Row],[Column1]]</f>
        <v>0</v>
      </c>
      <c r="B2763">
        <f>Table4[[#This Row],[Column2]]</f>
        <v>0</v>
      </c>
      <c r="I2763" s="13">
        <f>Table6[[#This Row],[discharge_date]]-Table6[[#This Row],[surgery_date]]</f>
        <v>0</v>
      </c>
      <c r="J2763" s="9" t="str">
        <f t="shared" si="62"/>
        <v/>
      </c>
    </row>
    <row r="2764" spans="1:10" ht="23.25" customHeight="1">
      <c r="A2764">
        <f>Table4[[#This Row],[Column1]]</f>
        <v>0</v>
      </c>
      <c r="B2764">
        <f>Table4[[#This Row],[Column2]]</f>
        <v>0</v>
      </c>
      <c r="I2764" s="13">
        <f>Table6[[#This Row],[discharge_date]]-Table6[[#This Row],[surgery_date]]</f>
        <v>0</v>
      </c>
      <c r="J2764" s="9" t="str">
        <f t="shared" si="62"/>
        <v/>
      </c>
    </row>
    <row r="2765" spans="1:10" ht="23.25" customHeight="1">
      <c r="A2765">
        <f>Table4[[#This Row],[Column1]]</f>
        <v>0</v>
      </c>
      <c r="B2765">
        <f>Table4[[#This Row],[Column2]]</f>
        <v>0</v>
      </c>
      <c r="I2765" s="13">
        <f>Table6[[#This Row],[discharge_date]]-Table6[[#This Row],[surgery_date]]</f>
        <v>0</v>
      </c>
      <c r="J2765" s="9" t="str">
        <f t="shared" si="62"/>
        <v/>
      </c>
    </row>
    <row r="2766" spans="1:10" ht="23.25" customHeight="1">
      <c r="A2766">
        <f>Table4[[#This Row],[Column1]]</f>
        <v>0</v>
      </c>
      <c r="B2766">
        <f>Table4[[#This Row],[Column2]]</f>
        <v>0</v>
      </c>
      <c r="I2766" s="13">
        <f>Table6[[#This Row],[discharge_date]]-Table6[[#This Row],[surgery_date]]</f>
        <v>0</v>
      </c>
      <c r="J2766" s="9" t="str">
        <f t="shared" si="62"/>
        <v/>
      </c>
    </row>
    <row r="2767" spans="1:10" ht="23.25" customHeight="1">
      <c r="A2767">
        <f>Table4[[#This Row],[Column1]]</f>
        <v>0</v>
      </c>
      <c r="B2767">
        <f>Table4[[#This Row],[Column2]]</f>
        <v>0</v>
      </c>
      <c r="I2767" s="13">
        <f>Table6[[#This Row],[discharge_date]]-Table6[[#This Row],[surgery_date]]</f>
        <v>0</v>
      </c>
      <c r="J2767" s="9" t="str">
        <f t="shared" si="62"/>
        <v/>
      </c>
    </row>
    <row r="2768" spans="1:10" ht="23.25" customHeight="1">
      <c r="A2768">
        <f>Table4[[#This Row],[Column1]]</f>
        <v>0</v>
      </c>
      <c r="B2768">
        <f>Table4[[#This Row],[Column2]]</f>
        <v>0</v>
      </c>
      <c r="I2768" s="13">
        <f>Table6[[#This Row],[discharge_date]]-Table6[[#This Row],[surgery_date]]</f>
        <v>0</v>
      </c>
      <c r="J2768" s="9" t="str">
        <f t="shared" si="62"/>
        <v/>
      </c>
    </row>
    <row r="2769" spans="1:10" ht="23.25" customHeight="1">
      <c r="A2769">
        <f>Table4[[#This Row],[Column1]]</f>
        <v>0</v>
      </c>
      <c r="B2769">
        <f>Table4[[#This Row],[Column2]]</f>
        <v>0</v>
      </c>
      <c r="I2769" s="13">
        <f>Table6[[#This Row],[discharge_date]]-Table6[[#This Row],[surgery_date]]</f>
        <v>0</v>
      </c>
      <c r="J2769" s="9" t="str">
        <f t="shared" si="62"/>
        <v/>
      </c>
    </row>
    <row r="2770" spans="1:10" ht="23.25" customHeight="1">
      <c r="A2770">
        <f>Table4[[#This Row],[Column1]]</f>
        <v>0</v>
      </c>
      <c r="B2770">
        <f>Table4[[#This Row],[Column2]]</f>
        <v>0</v>
      </c>
      <c r="I2770" s="13">
        <f>Table6[[#This Row],[discharge_date]]-Table6[[#This Row],[surgery_date]]</f>
        <v>0</v>
      </c>
      <c r="J2770" s="9" t="str">
        <f t="shared" si="62"/>
        <v/>
      </c>
    </row>
    <row r="2771" spans="1:10" ht="23.25" customHeight="1">
      <c r="A2771">
        <f>Table4[[#This Row],[Column1]]</f>
        <v>0</v>
      </c>
      <c r="B2771">
        <f>Table4[[#This Row],[Column2]]</f>
        <v>0</v>
      </c>
      <c r="I2771" s="13">
        <f>Table6[[#This Row],[discharge_date]]-Table6[[#This Row],[surgery_date]]</f>
        <v>0</v>
      </c>
      <c r="J2771" s="9" t="str">
        <f t="shared" si="62"/>
        <v/>
      </c>
    </row>
    <row r="2772" spans="1:10" ht="23.25" customHeight="1">
      <c r="A2772">
        <f>Table4[[#This Row],[Column1]]</f>
        <v>0</v>
      </c>
      <c r="B2772">
        <f>Table4[[#This Row],[Column2]]</f>
        <v>0</v>
      </c>
      <c r="I2772" s="13">
        <f>Table6[[#This Row],[discharge_date]]-Table6[[#This Row],[surgery_date]]</f>
        <v>0</v>
      </c>
      <c r="J2772" s="9" t="str">
        <f t="shared" si="62"/>
        <v/>
      </c>
    </row>
    <row r="2773" spans="1:10" ht="23.25" customHeight="1">
      <c r="A2773">
        <f>Table4[[#This Row],[Column1]]</f>
        <v>0</v>
      </c>
      <c r="B2773">
        <f>Table4[[#This Row],[Column2]]</f>
        <v>0</v>
      </c>
      <c r="I2773" s="13">
        <f>Table6[[#This Row],[discharge_date]]-Table6[[#This Row],[surgery_date]]</f>
        <v>0</v>
      </c>
      <c r="J2773" s="9" t="str">
        <f t="shared" si="62"/>
        <v/>
      </c>
    </row>
    <row r="2774" spans="1:10" ht="23.25" customHeight="1">
      <c r="A2774">
        <f>Table4[[#This Row],[Column1]]</f>
        <v>0</v>
      </c>
      <c r="B2774">
        <f>Table4[[#This Row],[Column2]]</f>
        <v>0</v>
      </c>
      <c r="I2774" s="13">
        <f>Table6[[#This Row],[discharge_date]]-Table6[[#This Row],[surgery_date]]</f>
        <v>0</v>
      </c>
      <c r="J2774" s="9" t="str">
        <f t="shared" si="62"/>
        <v/>
      </c>
    </row>
    <row r="2775" spans="1:10" ht="23.25" customHeight="1">
      <c r="A2775">
        <f>Table4[[#This Row],[Column1]]</f>
        <v>0</v>
      </c>
      <c r="B2775">
        <f>Table4[[#This Row],[Column2]]</f>
        <v>0</v>
      </c>
      <c r="I2775" s="13">
        <f>Table6[[#This Row],[discharge_date]]-Table6[[#This Row],[surgery_date]]</f>
        <v>0</v>
      </c>
      <c r="J2775" s="9" t="str">
        <f t="shared" si="62"/>
        <v/>
      </c>
    </row>
    <row r="2776" spans="1:10" ht="23.25" customHeight="1">
      <c r="A2776">
        <f>Table4[[#This Row],[Column1]]</f>
        <v>0</v>
      </c>
      <c r="B2776">
        <f>Table4[[#This Row],[Column2]]</f>
        <v>0</v>
      </c>
      <c r="I2776" s="13">
        <f>Table6[[#This Row],[discharge_date]]-Table6[[#This Row],[surgery_date]]</f>
        <v>0</v>
      </c>
      <c r="J2776" s="9" t="str">
        <f t="shared" si="62"/>
        <v/>
      </c>
    </row>
    <row r="2777" spans="1:10" ht="23.25" customHeight="1">
      <c r="A2777">
        <f>Table4[[#This Row],[Column1]]</f>
        <v>0</v>
      </c>
      <c r="B2777">
        <f>Table4[[#This Row],[Column2]]</f>
        <v>0</v>
      </c>
      <c r="I2777" s="13">
        <f>Table6[[#This Row],[discharge_date]]-Table6[[#This Row],[surgery_date]]</f>
        <v>0</v>
      </c>
      <c r="J2777" s="9" t="str">
        <f t="shared" si="62"/>
        <v/>
      </c>
    </row>
    <row r="2778" spans="1:10" ht="23.25" customHeight="1">
      <c r="A2778">
        <f>Table4[[#This Row],[Column1]]</f>
        <v>0</v>
      </c>
      <c r="B2778">
        <f>Table4[[#This Row],[Column2]]</f>
        <v>0</v>
      </c>
      <c r="I2778" s="13">
        <f>Table6[[#This Row],[discharge_date]]-Table6[[#This Row],[surgery_date]]</f>
        <v>0</v>
      </c>
      <c r="J2778" s="9" t="str">
        <f t="shared" si="62"/>
        <v/>
      </c>
    </row>
    <row r="2779" spans="1:10" ht="23.25" customHeight="1">
      <c r="A2779">
        <f>Table4[[#This Row],[Column1]]</f>
        <v>0</v>
      </c>
      <c r="B2779">
        <f>Table4[[#This Row],[Column2]]</f>
        <v>0</v>
      </c>
      <c r="I2779" s="13">
        <f>Table6[[#This Row],[discharge_date]]-Table6[[#This Row],[surgery_date]]</f>
        <v>0</v>
      </c>
      <c r="J2779" s="9" t="str">
        <f t="shared" si="62"/>
        <v/>
      </c>
    </row>
    <row r="2780" spans="1:10" ht="23.25" customHeight="1">
      <c r="A2780">
        <f>Table4[[#This Row],[Column1]]</f>
        <v>0</v>
      </c>
      <c r="B2780">
        <f>Table4[[#This Row],[Column2]]</f>
        <v>0</v>
      </c>
      <c r="I2780" s="13">
        <f>Table6[[#This Row],[discharge_date]]-Table6[[#This Row],[surgery_date]]</f>
        <v>0</v>
      </c>
      <c r="J2780" s="9" t="str">
        <f t="shared" si="62"/>
        <v/>
      </c>
    </row>
    <row r="2781" spans="1:10" ht="23.25" customHeight="1">
      <c r="A2781">
        <f>Table4[[#This Row],[Column1]]</f>
        <v>0</v>
      </c>
      <c r="B2781">
        <f>Table4[[#This Row],[Column2]]</f>
        <v>0</v>
      </c>
      <c r="I2781" s="13">
        <f>Table6[[#This Row],[discharge_date]]-Table6[[#This Row],[surgery_date]]</f>
        <v>0</v>
      </c>
      <c r="J2781" s="9" t="str">
        <f t="shared" si="62"/>
        <v/>
      </c>
    </row>
    <row r="2782" spans="1:10" ht="23.25" customHeight="1">
      <c r="A2782">
        <f>Table4[[#This Row],[Column1]]</f>
        <v>0</v>
      </c>
      <c r="B2782">
        <f>Table4[[#This Row],[Column2]]</f>
        <v>0</v>
      </c>
      <c r="I2782" s="13">
        <f>Table6[[#This Row],[discharge_date]]-Table6[[#This Row],[surgery_date]]</f>
        <v>0</v>
      </c>
      <c r="J2782" s="9" t="str">
        <f t="shared" si="62"/>
        <v/>
      </c>
    </row>
    <row r="2783" spans="1:10" ht="23.25" customHeight="1">
      <c r="A2783">
        <f>Table4[[#This Row],[Column1]]</f>
        <v>0</v>
      </c>
      <c r="B2783">
        <f>Table4[[#This Row],[Column2]]</f>
        <v>0</v>
      </c>
      <c r="I2783" s="13">
        <f>Table6[[#This Row],[discharge_date]]-Table6[[#This Row],[surgery_date]]</f>
        <v>0</v>
      </c>
      <c r="J2783" s="9" t="str">
        <f t="shared" si="62"/>
        <v/>
      </c>
    </row>
    <row r="2784" spans="1:10" ht="23.25" customHeight="1">
      <c r="A2784">
        <f>Table4[[#This Row],[Column1]]</f>
        <v>0</v>
      </c>
      <c r="B2784">
        <f>Table4[[#This Row],[Column2]]</f>
        <v>0</v>
      </c>
      <c r="I2784" s="13">
        <f>Table6[[#This Row],[discharge_date]]-Table6[[#This Row],[surgery_date]]</f>
        <v>0</v>
      </c>
      <c r="J2784" s="9" t="str">
        <f t="shared" si="62"/>
        <v/>
      </c>
    </row>
    <row r="2785" spans="1:10" ht="23.25" customHeight="1">
      <c r="A2785">
        <f>Table4[[#This Row],[Column1]]</f>
        <v>0</v>
      </c>
      <c r="B2785">
        <f>Table4[[#This Row],[Column2]]</f>
        <v>0</v>
      </c>
      <c r="I2785" s="13">
        <f>Table6[[#This Row],[discharge_date]]-Table6[[#This Row],[surgery_date]]</f>
        <v>0</v>
      </c>
      <c r="J2785" s="9" t="str">
        <f t="shared" si="62"/>
        <v/>
      </c>
    </row>
    <row r="2786" spans="1:10" ht="23.25" customHeight="1">
      <c r="A2786">
        <f>Table4[[#This Row],[Column1]]</f>
        <v>0</v>
      </c>
      <c r="B2786">
        <f>Table4[[#This Row],[Column2]]</f>
        <v>0</v>
      </c>
      <c r="I2786" s="13">
        <f>Table6[[#This Row],[discharge_date]]-Table6[[#This Row],[surgery_date]]</f>
        <v>0</v>
      </c>
      <c r="J2786" s="9" t="str">
        <f t="shared" si="62"/>
        <v/>
      </c>
    </row>
    <row r="2787" spans="1:10" ht="23.25" customHeight="1">
      <c r="A2787">
        <f>Table4[[#This Row],[Column1]]</f>
        <v>0</v>
      </c>
      <c r="B2787">
        <f>Table4[[#This Row],[Column2]]</f>
        <v>0</v>
      </c>
      <c r="I2787" s="13">
        <f>Table6[[#This Row],[discharge_date]]-Table6[[#This Row],[surgery_date]]</f>
        <v>0</v>
      </c>
      <c r="J2787" s="9" t="str">
        <f t="shared" si="62"/>
        <v/>
      </c>
    </row>
    <row r="2788" spans="1:10" ht="23.25" customHeight="1">
      <c r="A2788">
        <f>Table4[[#This Row],[Column1]]</f>
        <v>0</v>
      </c>
      <c r="B2788">
        <f>Table4[[#This Row],[Column2]]</f>
        <v>0</v>
      </c>
      <c r="I2788" s="13">
        <f>Table6[[#This Row],[discharge_date]]-Table6[[#This Row],[surgery_date]]</f>
        <v>0</v>
      </c>
      <c r="J2788" s="9" t="str">
        <f t="shared" si="62"/>
        <v/>
      </c>
    </row>
    <row r="2789" spans="1:10" ht="23.25" customHeight="1">
      <c r="A2789">
        <f>Table4[[#This Row],[Column1]]</f>
        <v>0</v>
      </c>
      <c r="B2789">
        <f>Table4[[#This Row],[Column2]]</f>
        <v>0</v>
      </c>
      <c r="I2789" s="13">
        <f>Table6[[#This Row],[discharge_date]]-Table6[[#This Row],[surgery_date]]</f>
        <v>0</v>
      </c>
      <c r="J2789" s="9" t="str">
        <f t="shared" si="62"/>
        <v/>
      </c>
    </row>
    <row r="2790" spans="1:10" ht="23.25" customHeight="1">
      <c r="A2790">
        <f>Table4[[#This Row],[Column1]]</f>
        <v>0</v>
      </c>
      <c r="B2790">
        <f>Table4[[#This Row],[Column2]]</f>
        <v>0</v>
      </c>
      <c r="I2790" s="13">
        <f>Table6[[#This Row],[discharge_date]]-Table6[[#This Row],[surgery_date]]</f>
        <v>0</v>
      </c>
      <c r="J2790" s="9" t="str">
        <f t="shared" si="62"/>
        <v/>
      </c>
    </row>
    <row r="2791" spans="1:10" ht="23.25" customHeight="1">
      <c r="A2791">
        <f>Table4[[#This Row],[Column1]]</f>
        <v>0</v>
      </c>
      <c r="B2791">
        <f>Table4[[#This Row],[Column2]]</f>
        <v>0</v>
      </c>
      <c r="I2791" s="13">
        <f>Table6[[#This Row],[discharge_date]]-Table6[[#This Row],[surgery_date]]</f>
        <v>0</v>
      </c>
      <c r="J2791" s="9" t="str">
        <f t="shared" si="62"/>
        <v/>
      </c>
    </row>
    <row r="2792" spans="1:10" ht="23.25" customHeight="1">
      <c r="A2792">
        <f>Table4[[#This Row],[Column1]]</f>
        <v>0</v>
      </c>
      <c r="B2792">
        <f>Table4[[#This Row],[Column2]]</f>
        <v>0</v>
      </c>
      <c r="I2792" s="13">
        <f>Table6[[#This Row],[discharge_date]]-Table6[[#This Row],[surgery_date]]</f>
        <v>0</v>
      </c>
      <c r="J2792" s="9" t="str">
        <f t="shared" si="62"/>
        <v/>
      </c>
    </row>
    <row r="2793" spans="1:10" ht="23.25" customHeight="1">
      <c r="A2793">
        <f>Table4[[#This Row],[Column1]]</f>
        <v>0</v>
      </c>
      <c r="B2793">
        <f>Table4[[#This Row],[Column2]]</f>
        <v>0</v>
      </c>
      <c r="I2793" s="13">
        <f>Table6[[#This Row],[discharge_date]]-Table6[[#This Row],[surgery_date]]</f>
        <v>0</v>
      </c>
      <c r="J2793" s="9" t="str">
        <f t="shared" si="62"/>
        <v/>
      </c>
    </row>
    <row r="2794" spans="1:10" ht="23.25" customHeight="1">
      <c r="A2794">
        <f>Table4[[#This Row],[Column1]]</f>
        <v>0</v>
      </c>
      <c r="B2794">
        <f>Table4[[#This Row],[Column2]]</f>
        <v>0</v>
      </c>
      <c r="I2794" s="13">
        <f>Table6[[#This Row],[discharge_date]]-Table6[[#This Row],[surgery_date]]</f>
        <v>0</v>
      </c>
      <c r="J2794" s="9" t="str">
        <f t="shared" si="62"/>
        <v/>
      </c>
    </row>
    <row r="2795" spans="1:10" ht="23.25" customHeight="1">
      <c r="A2795">
        <f>Table4[[#This Row],[Column1]]</f>
        <v>0</v>
      </c>
      <c r="B2795">
        <f>Table4[[#This Row],[Column2]]</f>
        <v>0</v>
      </c>
      <c r="I2795" s="13">
        <f>Table6[[#This Row],[discharge_date]]-Table6[[#This Row],[surgery_date]]</f>
        <v>0</v>
      </c>
      <c r="J2795" s="9" t="str">
        <f t="shared" si="62"/>
        <v/>
      </c>
    </row>
    <row r="2796" spans="1:10" ht="23.25" customHeight="1">
      <c r="A2796">
        <f>Table4[[#This Row],[Column1]]</f>
        <v>0</v>
      </c>
      <c r="B2796">
        <f>Table4[[#This Row],[Column2]]</f>
        <v>0</v>
      </c>
      <c r="I2796" s="13">
        <f>Table6[[#This Row],[discharge_date]]-Table6[[#This Row],[surgery_date]]</f>
        <v>0</v>
      </c>
      <c r="J2796" s="9" t="str">
        <f t="shared" si="62"/>
        <v/>
      </c>
    </row>
    <row r="2797" spans="1:10" ht="23.25" customHeight="1">
      <c r="A2797">
        <f>Table4[[#This Row],[Column1]]</f>
        <v>0</v>
      </c>
      <c r="B2797">
        <f>Table4[[#This Row],[Column2]]</f>
        <v>0</v>
      </c>
      <c r="I2797" s="13">
        <f>Table6[[#This Row],[discharge_date]]-Table6[[#This Row],[surgery_date]]</f>
        <v>0</v>
      </c>
      <c r="J2797" s="9" t="str">
        <f t="shared" si="62"/>
        <v/>
      </c>
    </row>
    <row r="2798" spans="1:10" ht="23.25" customHeight="1">
      <c r="A2798">
        <f>Table4[[#This Row],[Column1]]</f>
        <v>0</v>
      </c>
      <c r="B2798">
        <f>Table4[[#This Row],[Column2]]</f>
        <v>0</v>
      </c>
      <c r="I2798" s="13">
        <f>Table6[[#This Row],[discharge_date]]-Table6[[#This Row],[surgery_date]]</f>
        <v>0</v>
      </c>
      <c r="J2798" s="9" t="str">
        <f t="shared" si="62"/>
        <v/>
      </c>
    </row>
    <row r="2799" spans="1:10" ht="23.25" customHeight="1">
      <c r="A2799">
        <f>Table4[[#This Row],[Column1]]</f>
        <v>0</v>
      </c>
      <c r="B2799">
        <f>Table4[[#This Row],[Column2]]</f>
        <v>0</v>
      </c>
      <c r="I2799" s="13">
        <f>Table6[[#This Row],[discharge_date]]-Table6[[#This Row],[surgery_date]]</f>
        <v>0</v>
      </c>
      <c r="J2799" s="9" t="str">
        <f t="shared" si="62"/>
        <v/>
      </c>
    </row>
    <row r="2800" spans="1:10" ht="23.25" customHeight="1">
      <c r="A2800">
        <f>Table4[[#This Row],[Column1]]</f>
        <v>0</v>
      </c>
      <c r="B2800">
        <f>Table4[[#This Row],[Column2]]</f>
        <v>0</v>
      </c>
      <c r="I2800" s="13">
        <f>Table6[[#This Row],[discharge_date]]-Table6[[#This Row],[surgery_date]]</f>
        <v>0</v>
      </c>
      <c r="J2800" s="9" t="str">
        <f t="shared" si="62"/>
        <v/>
      </c>
    </row>
    <row r="2801" spans="1:10" ht="23.25" customHeight="1">
      <c r="A2801">
        <f>Table4[[#This Row],[Column1]]</f>
        <v>0</v>
      </c>
      <c r="B2801">
        <f>Table4[[#This Row],[Column2]]</f>
        <v>0</v>
      </c>
      <c r="I2801" s="13">
        <f>Table6[[#This Row],[discharge_date]]-Table6[[#This Row],[surgery_date]]</f>
        <v>0</v>
      </c>
      <c r="J2801" s="9" t="str">
        <f t="shared" si="62"/>
        <v/>
      </c>
    </row>
    <row r="2802" spans="1:10" ht="23.25" customHeight="1">
      <c r="A2802">
        <f>Table4[[#This Row],[Column1]]</f>
        <v>0</v>
      </c>
      <c r="B2802">
        <f>Table4[[#This Row],[Column2]]</f>
        <v>0</v>
      </c>
      <c r="I2802" s="13">
        <f>Table6[[#This Row],[discharge_date]]-Table6[[#This Row],[surgery_date]]</f>
        <v>0</v>
      </c>
      <c r="J2802" s="9" t="str">
        <f t="shared" si="62"/>
        <v/>
      </c>
    </row>
    <row r="2803" spans="1:10" ht="23.25" customHeight="1">
      <c r="A2803">
        <f>Table4[[#This Row],[Column1]]</f>
        <v>0</v>
      </c>
      <c r="B2803">
        <f>Table4[[#This Row],[Column2]]</f>
        <v>0</v>
      </c>
      <c r="I2803" s="13">
        <f>Table6[[#This Row],[discharge_date]]-Table6[[#This Row],[surgery_date]]</f>
        <v>0</v>
      </c>
      <c r="J2803" s="9" t="str">
        <f t="shared" si="62"/>
        <v/>
      </c>
    </row>
    <row r="2804" spans="1:10" ht="23.25" customHeight="1">
      <c r="A2804">
        <f>Table4[[#This Row],[Column1]]</f>
        <v>0</v>
      </c>
      <c r="B2804">
        <f>Table4[[#This Row],[Column2]]</f>
        <v>0</v>
      </c>
      <c r="I2804" s="13">
        <f>Table6[[#This Row],[discharge_date]]-Table6[[#This Row],[surgery_date]]</f>
        <v>0</v>
      </c>
      <c r="J2804" s="9" t="str">
        <f t="shared" si="62"/>
        <v/>
      </c>
    </row>
    <row r="2805" spans="1:10" ht="23.25" customHeight="1">
      <c r="A2805">
        <f>Table4[[#This Row],[Column1]]</f>
        <v>0</v>
      </c>
      <c r="B2805">
        <f>Table4[[#This Row],[Column2]]</f>
        <v>0</v>
      </c>
      <c r="I2805" s="13">
        <f>Table6[[#This Row],[discharge_date]]-Table6[[#This Row],[surgery_date]]</f>
        <v>0</v>
      </c>
      <c r="J2805" s="9" t="str">
        <f t="shared" si="62"/>
        <v/>
      </c>
    </row>
    <row r="2806" spans="1:10" ht="23.25" customHeight="1">
      <c r="A2806">
        <f>Table4[[#This Row],[Column1]]</f>
        <v>0</v>
      </c>
      <c r="B2806">
        <f>Table4[[#This Row],[Column2]]</f>
        <v>0</v>
      </c>
      <c r="I2806" s="13">
        <f>Table6[[#This Row],[discharge_date]]-Table6[[#This Row],[surgery_date]]</f>
        <v>0</v>
      </c>
      <c r="J2806" s="9" t="str">
        <f t="shared" si="62"/>
        <v/>
      </c>
    </row>
    <row r="2807" spans="1:10" ht="23.25" customHeight="1">
      <c r="A2807">
        <f>Table4[[#This Row],[Column1]]</f>
        <v>0</v>
      </c>
      <c r="B2807">
        <f>Table4[[#This Row],[Column2]]</f>
        <v>0</v>
      </c>
      <c r="I2807" s="13">
        <f>Table6[[#This Row],[discharge_date]]-Table6[[#This Row],[surgery_date]]</f>
        <v>0</v>
      </c>
      <c r="J2807" s="9" t="str">
        <f t="shared" si="62"/>
        <v/>
      </c>
    </row>
    <row r="2808" spans="1:10" ht="23.25" customHeight="1">
      <c r="A2808">
        <f>Table4[[#This Row],[Column1]]</f>
        <v>0</v>
      </c>
      <c r="B2808">
        <f>Table4[[#This Row],[Column2]]</f>
        <v>0</v>
      </c>
      <c r="I2808" s="13">
        <f>Table6[[#This Row],[discharge_date]]-Table6[[#This Row],[surgery_date]]</f>
        <v>0</v>
      </c>
      <c r="J2808" s="9" t="str">
        <f t="shared" si="62"/>
        <v/>
      </c>
    </row>
    <row r="2809" spans="1:10" ht="23.25" customHeight="1">
      <c r="A2809">
        <f>Table4[[#This Row],[Column1]]</f>
        <v>0</v>
      </c>
      <c r="B2809">
        <f>Table4[[#This Row],[Column2]]</f>
        <v>0</v>
      </c>
      <c r="I2809" s="13">
        <f>Table6[[#This Row],[discharge_date]]-Table6[[#This Row],[surgery_date]]</f>
        <v>0</v>
      </c>
      <c r="J2809" s="9" t="str">
        <f t="shared" si="62"/>
        <v/>
      </c>
    </row>
    <row r="2810" spans="1:10" ht="23.25" customHeight="1">
      <c r="A2810">
        <f>Table4[[#This Row],[Column1]]</f>
        <v>0</v>
      </c>
      <c r="B2810">
        <f>Table4[[#This Row],[Column2]]</f>
        <v>0</v>
      </c>
      <c r="I2810" s="13">
        <f>Table6[[#This Row],[discharge_date]]-Table6[[#This Row],[surgery_date]]</f>
        <v>0</v>
      </c>
      <c r="J2810" s="9" t="str">
        <f t="shared" si="62"/>
        <v/>
      </c>
    </row>
    <row r="2811" spans="1:10" ht="23.25" customHeight="1">
      <c r="A2811">
        <f>Table4[[#This Row],[Column1]]</f>
        <v>0</v>
      </c>
      <c r="B2811">
        <f>Table4[[#This Row],[Column2]]</f>
        <v>0</v>
      </c>
      <c r="I2811" s="13">
        <f>Table6[[#This Row],[discharge_date]]-Table6[[#This Row],[surgery_date]]</f>
        <v>0</v>
      </c>
      <c r="J2811" s="9" t="str">
        <f t="shared" si="62"/>
        <v/>
      </c>
    </row>
    <row r="2812" spans="1:10" ht="23.25" customHeight="1">
      <c r="A2812">
        <f>Table4[[#This Row],[Column1]]</f>
        <v>0</v>
      </c>
      <c r="B2812">
        <f>Table4[[#This Row],[Column2]]</f>
        <v>0</v>
      </c>
      <c r="I2812" s="13">
        <f>Table6[[#This Row],[discharge_date]]-Table6[[#This Row],[surgery_date]]</f>
        <v>0</v>
      </c>
      <c r="J2812" s="9" t="str">
        <f t="shared" si="62"/>
        <v/>
      </c>
    </row>
    <row r="2813" spans="1:10" ht="23.25" customHeight="1">
      <c r="A2813">
        <f>Table4[[#This Row],[Column1]]</f>
        <v>0</v>
      </c>
      <c r="B2813">
        <f>Table4[[#This Row],[Column2]]</f>
        <v>0</v>
      </c>
      <c r="I2813" s="13">
        <f>Table6[[#This Row],[discharge_date]]-Table6[[#This Row],[surgery_date]]</f>
        <v>0</v>
      </c>
      <c r="J2813" s="9" t="str">
        <f t="shared" si="62"/>
        <v/>
      </c>
    </row>
    <row r="2814" spans="1:10" ht="23.25" customHeight="1">
      <c r="A2814">
        <f>Table4[[#This Row],[Column1]]</f>
        <v>0</v>
      </c>
      <c r="B2814">
        <f>Table4[[#This Row],[Column2]]</f>
        <v>0</v>
      </c>
      <c r="I2814" s="13">
        <f>Table6[[#This Row],[discharge_date]]-Table6[[#This Row],[surgery_date]]</f>
        <v>0</v>
      </c>
      <c r="J2814" s="9" t="str">
        <f t="shared" si="62"/>
        <v/>
      </c>
    </row>
    <row r="2815" spans="1:10" ht="23.25" customHeight="1">
      <c r="A2815">
        <f>Table4[[#This Row],[Column1]]</f>
        <v>0</v>
      </c>
      <c r="B2815">
        <f>Table4[[#This Row],[Column2]]</f>
        <v>0</v>
      </c>
      <c r="I2815" s="13">
        <f>Table6[[#This Row],[discharge_date]]-Table6[[#This Row],[surgery_date]]</f>
        <v>0</v>
      </c>
      <c r="J2815" s="9" t="str">
        <f t="shared" si="62"/>
        <v/>
      </c>
    </row>
    <row r="2816" spans="1:10" ht="23.25" customHeight="1">
      <c r="A2816">
        <f>Table4[[#This Row],[Column1]]</f>
        <v>0</v>
      </c>
      <c r="B2816">
        <f>Table4[[#This Row],[Column2]]</f>
        <v>0</v>
      </c>
      <c r="I2816" s="13">
        <f>Table6[[#This Row],[discharge_date]]-Table6[[#This Row],[surgery_date]]</f>
        <v>0</v>
      </c>
      <c r="J2816" s="9" t="str">
        <f t="shared" si="62"/>
        <v/>
      </c>
    </row>
    <row r="2817" spans="1:10" ht="23.25" customHeight="1">
      <c r="A2817">
        <f>Table4[[#This Row],[Column1]]</f>
        <v>0</v>
      </c>
      <c r="B2817">
        <f>Table4[[#This Row],[Column2]]</f>
        <v>0</v>
      </c>
      <c r="I2817" s="13">
        <f>Table6[[#This Row],[discharge_date]]-Table6[[#This Row],[surgery_date]]</f>
        <v>0</v>
      </c>
      <c r="J2817" s="9" t="str">
        <f t="shared" si="62"/>
        <v/>
      </c>
    </row>
    <row r="2818" spans="1:10" ht="23.25" customHeight="1">
      <c r="A2818">
        <f>Table4[[#This Row],[Column1]]</f>
        <v>0</v>
      </c>
      <c r="B2818">
        <f>Table4[[#This Row],[Column2]]</f>
        <v>0</v>
      </c>
      <c r="I2818" s="13">
        <f>Table6[[#This Row],[discharge_date]]-Table6[[#This Row],[surgery_date]]</f>
        <v>0</v>
      </c>
      <c r="J2818" s="9" t="str">
        <f t="shared" ref="J2818:J2881" si="63">IF( H2818&lt;&gt;"", H2818+30,"")</f>
        <v/>
      </c>
    </row>
    <row r="2819" spans="1:10" ht="23.25" customHeight="1">
      <c r="A2819">
        <f>Table4[[#This Row],[Column1]]</f>
        <v>0</v>
      </c>
      <c r="B2819">
        <f>Table4[[#This Row],[Column2]]</f>
        <v>0</v>
      </c>
      <c r="I2819" s="13">
        <f>Table6[[#This Row],[discharge_date]]-Table6[[#This Row],[surgery_date]]</f>
        <v>0</v>
      </c>
      <c r="J2819" s="9" t="str">
        <f t="shared" si="63"/>
        <v/>
      </c>
    </row>
    <row r="2820" spans="1:10" ht="23.25" customHeight="1">
      <c r="A2820">
        <f>Table4[[#This Row],[Column1]]</f>
        <v>0</v>
      </c>
      <c r="B2820">
        <f>Table4[[#This Row],[Column2]]</f>
        <v>0</v>
      </c>
      <c r="I2820" s="13">
        <f>Table6[[#This Row],[discharge_date]]-Table6[[#This Row],[surgery_date]]</f>
        <v>0</v>
      </c>
      <c r="J2820" s="9" t="str">
        <f t="shared" si="63"/>
        <v/>
      </c>
    </row>
    <row r="2821" spans="1:10" ht="23.25" customHeight="1">
      <c r="A2821">
        <f>Table4[[#This Row],[Column1]]</f>
        <v>0</v>
      </c>
      <c r="B2821">
        <f>Table4[[#This Row],[Column2]]</f>
        <v>0</v>
      </c>
      <c r="I2821" s="13">
        <f>Table6[[#This Row],[discharge_date]]-Table6[[#This Row],[surgery_date]]</f>
        <v>0</v>
      </c>
      <c r="J2821" s="9" t="str">
        <f t="shared" si="63"/>
        <v/>
      </c>
    </row>
    <row r="2822" spans="1:10" ht="23.25" customHeight="1">
      <c r="A2822">
        <f>Table4[[#This Row],[Column1]]</f>
        <v>0</v>
      </c>
      <c r="B2822">
        <f>Table4[[#This Row],[Column2]]</f>
        <v>0</v>
      </c>
      <c r="I2822" s="13">
        <f>Table6[[#This Row],[discharge_date]]-Table6[[#This Row],[surgery_date]]</f>
        <v>0</v>
      </c>
      <c r="J2822" s="9" t="str">
        <f t="shared" si="63"/>
        <v/>
      </c>
    </row>
    <row r="2823" spans="1:10" ht="23.25" customHeight="1">
      <c r="A2823">
        <f>Table4[[#This Row],[Column1]]</f>
        <v>0</v>
      </c>
      <c r="B2823">
        <f>Table4[[#This Row],[Column2]]</f>
        <v>0</v>
      </c>
      <c r="I2823" s="13">
        <f>Table6[[#This Row],[discharge_date]]-Table6[[#This Row],[surgery_date]]</f>
        <v>0</v>
      </c>
      <c r="J2823" s="9" t="str">
        <f t="shared" si="63"/>
        <v/>
      </c>
    </row>
    <row r="2824" spans="1:10" ht="23.25" customHeight="1">
      <c r="A2824">
        <f>Table4[[#This Row],[Column1]]</f>
        <v>0</v>
      </c>
      <c r="B2824">
        <f>Table4[[#This Row],[Column2]]</f>
        <v>0</v>
      </c>
      <c r="I2824" s="13">
        <f>Table6[[#This Row],[discharge_date]]-Table6[[#This Row],[surgery_date]]</f>
        <v>0</v>
      </c>
      <c r="J2824" s="9" t="str">
        <f t="shared" si="63"/>
        <v/>
      </c>
    </row>
    <row r="2825" spans="1:10" ht="23.25" customHeight="1">
      <c r="A2825">
        <f>Table4[[#This Row],[Column1]]</f>
        <v>0</v>
      </c>
      <c r="B2825">
        <f>Table4[[#This Row],[Column2]]</f>
        <v>0</v>
      </c>
      <c r="I2825" s="13">
        <f>Table6[[#This Row],[discharge_date]]-Table6[[#This Row],[surgery_date]]</f>
        <v>0</v>
      </c>
      <c r="J2825" s="9" t="str">
        <f t="shared" si="63"/>
        <v/>
      </c>
    </row>
    <row r="2826" spans="1:10" ht="23.25" customHeight="1">
      <c r="A2826">
        <f>Table4[[#This Row],[Column1]]</f>
        <v>0</v>
      </c>
      <c r="B2826">
        <f>Table4[[#This Row],[Column2]]</f>
        <v>0</v>
      </c>
      <c r="I2826" s="13">
        <f>Table6[[#This Row],[discharge_date]]-Table6[[#This Row],[surgery_date]]</f>
        <v>0</v>
      </c>
      <c r="J2826" s="9" t="str">
        <f t="shared" si="63"/>
        <v/>
      </c>
    </row>
    <row r="2827" spans="1:10" ht="23.25" customHeight="1">
      <c r="A2827">
        <f>Table4[[#This Row],[Column1]]</f>
        <v>0</v>
      </c>
      <c r="B2827">
        <f>Table4[[#This Row],[Column2]]</f>
        <v>0</v>
      </c>
      <c r="I2827" s="13">
        <f>Table6[[#This Row],[discharge_date]]-Table6[[#This Row],[surgery_date]]</f>
        <v>0</v>
      </c>
      <c r="J2827" s="9" t="str">
        <f t="shared" si="63"/>
        <v/>
      </c>
    </row>
    <row r="2828" spans="1:10" ht="23.25" customHeight="1">
      <c r="A2828">
        <f>Table4[[#This Row],[Column1]]</f>
        <v>0</v>
      </c>
      <c r="B2828">
        <f>Table4[[#This Row],[Column2]]</f>
        <v>0</v>
      </c>
      <c r="I2828" s="13">
        <f>Table6[[#This Row],[discharge_date]]-Table6[[#This Row],[surgery_date]]</f>
        <v>0</v>
      </c>
      <c r="J2828" s="9" t="str">
        <f t="shared" si="63"/>
        <v/>
      </c>
    </row>
    <row r="2829" spans="1:10" ht="23.25" customHeight="1">
      <c r="A2829">
        <f>Table4[[#This Row],[Column1]]</f>
        <v>0</v>
      </c>
      <c r="B2829">
        <f>Table4[[#This Row],[Column2]]</f>
        <v>0</v>
      </c>
      <c r="I2829" s="13">
        <f>Table6[[#This Row],[discharge_date]]-Table6[[#This Row],[surgery_date]]</f>
        <v>0</v>
      </c>
      <c r="J2829" s="9" t="str">
        <f t="shared" si="63"/>
        <v/>
      </c>
    </row>
    <row r="2830" spans="1:10" ht="23.25" customHeight="1">
      <c r="A2830">
        <f>Table4[[#This Row],[Column1]]</f>
        <v>0</v>
      </c>
      <c r="B2830">
        <f>Table4[[#This Row],[Column2]]</f>
        <v>0</v>
      </c>
      <c r="I2830" s="13">
        <f>Table6[[#This Row],[discharge_date]]-Table6[[#This Row],[surgery_date]]</f>
        <v>0</v>
      </c>
      <c r="J2830" s="9" t="str">
        <f t="shared" si="63"/>
        <v/>
      </c>
    </row>
    <row r="2831" spans="1:10" ht="23.25" customHeight="1">
      <c r="A2831">
        <f>Table4[[#This Row],[Column1]]</f>
        <v>0</v>
      </c>
      <c r="B2831">
        <f>Table4[[#This Row],[Column2]]</f>
        <v>0</v>
      </c>
      <c r="I2831" s="13">
        <f>Table6[[#This Row],[discharge_date]]-Table6[[#This Row],[surgery_date]]</f>
        <v>0</v>
      </c>
      <c r="J2831" s="9" t="str">
        <f t="shared" si="63"/>
        <v/>
      </c>
    </row>
    <row r="2832" spans="1:10" ht="23.25" customHeight="1">
      <c r="A2832">
        <f>Table4[[#This Row],[Column1]]</f>
        <v>0</v>
      </c>
      <c r="B2832">
        <f>Table4[[#This Row],[Column2]]</f>
        <v>0</v>
      </c>
      <c r="I2832" s="13">
        <f>Table6[[#This Row],[discharge_date]]-Table6[[#This Row],[surgery_date]]</f>
        <v>0</v>
      </c>
      <c r="J2832" s="9" t="str">
        <f t="shared" si="63"/>
        <v/>
      </c>
    </row>
    <row r="2833" spans="1:10" ht="23.25" customHeight="1">
      <c r="A2833">
        <f>Table4[[#This Row],[Column1]]</f>
        <v>0</v>
      </c>
      <c r="B2833">
        <f>Table4[[#This Row],[Column2]]</f>
        <v>0</v>
      </c>
      <c r="I2833" s="13">
        <f>Table6[[#This Row],[discharge_date]]-Table6[[#This Row],[surgery_date]]</f>
        <v>0</v>
      </c>
      <c r="J2833" s="9" t="str">
        <f t="shared" si="63"/>
        <v/>
      </c>
    </row>
    <row r="2834" spans="1:10" ht="23.25" customHeight="1">
      <c r="A2834">
        <f>Table4[[#This Row],[Column1]]</f>
        <v>0</v>
      </c>
      <c r="B2834">
        <f>Table4[[#This Row],[Column2]]</f>
        <v>0</v>
      </c>
      <c r="I2834" s="13">
        <f>Table6[[#This Row],[discharge_date]]-Table6[[#This Row],[surgery_date]]</f>
        <v>0</v>
      </c>
      <c r="J2834" s="9" t="str">
        <f t="shared" si="63"/>
        <v/>
      </c>
    </row>
    <row r="2835" spans="1:10" ht="23.25" customHeight="1">
      <c r="A2835">
        <f>Table4[[#This Row],[Column1]]</f>
        <v>0</v>
      </c>
      <c r="B2835">
        <f>Table4[[#This Row],[Column2]]</f>
        <v>0</v>
      </c>
      <c r="I2835" s="13">
        <f>Table6[[#This Row],[discharge_date]]-Table6[[#This Row],[surgery_date]]</f>
        <v>0</v>
      </c>
      <c r="J2835" s="9" t="str">
        <f t="shared" si="63"/>
        <v/>
      </c>
    </row>
    <row r="2836" spans="1:10" ht="23.25" customHeight="1">
      <c r="A2836">
        <f>Table4[[#This Row],[Column1]]</f>
        <v>0</v>
      </c>
      <c r="B2836">
        <f>Table4[[#This Row],[Column2]]</f>
        <v>0</v>
      </c>
      <c r="I2836" s="13">
        <f>Table6[[#This Row],[discharge_date]]-Table6[[#This Row],[surgery_date]]</f>
        <v>0</v>
      </c>
      <c r="J2836" s="9" t="str">
        <f t="shared" si="63"/>
        <v/>
      </c>
    </row>
    <row r="2837" spans="1:10" ht="23.25" customHeight="1">
      <c r="A2837">
        <f>Table4[[#This Row],[Column1]]</f>
        <v>0</v>
      </c>
      <c r="B2837">
        <f>Table4[[#This Row],[Column2]]</f>
        <v>0</v>
      </c>
      <c r="I2837" s="13">
        <f>Table6[[#This Row],[discharge_date]]-Table6[[#This Row],[surgery_date]]</f>
        <v>0</v>
      </c>
      <c r="J2837" s="9" t="str">
        <f t="shared" si="63"/>
        <v/>
      </c>
    </row>
    <row r="2838" spans="1:10" ht="23.25" customHeight="1">
      <c r="A2838">
        <f>Table4[[#This Row],[Column1]]</f>
        <v>0</v>
      </c>
      <c r="B2838">
        <f>Table4[[#This Row],[Column2]]</f>
        <v>0</v>
      </c>
      <c r="I2838" s="13">
        <f>Table6[[#This Row],[discharge_date]]-Table6[[#This Row],[surgery_date]]</f>
        <v>0</v>
      </c>
      <c r="J2838" s="9" t="str">
        <f t="shared" si="63"/>
        <v/>
      </c>
    </row>
    <row r="2839" spans="1:10" ht="23.25" customHeight="1">
      <c r="A2839">
        <f>Table4[[#This Row],[Column1]]</f>
        <v>0</v>
      </c>
      <c r="B2839">
        <f>Table4[[#This Row],[Column2]]</f>
        <v>0</v>
      </c>
      <c r="I2839" s="13">
        <f>Table6[[#This Row],[discharge_date]]-Table6[[#This Row],[surgery_date]]</f>
        <v>0</v>
      </c>
      <c r="J2839" s="9" t="str">
        <f t="shared" si="63"/>
        <v/>
      </c>
    </row>
    <row r="2840" spans="1:10" ht="23.25" customHeight="1">
      <c r="A2840">
        <f>Table4[[#This Row],[Column1]]</f>
        <v>0</v>
      </c>
      <c r="B2840">
        <f>Table4[[#This Row],[Column2]]</f>
        <v>0</v>
      </c>
      <c r="I2840" s="13">
        <f>Table6[[#This Row],[discharge_date]]-Table6[[#This Row],[surgery_date]]</f>
        <v>0</v>
      </c>
      <c r="J2840" s="9" t="str">
        <f t="shared" si="63"/>
        <v/>
      </c>
    </row>
    <row r="2841" spans="1:10" ht="23.25" customHeight="1">
      <c r="A2841">
        <f>Table4[[#This Row],[Column1]]</f>
        <v>0</v>
      </c>
      <c r="B2841">
        <f>Table4[[#This Row],[Column2]]</f>
        <v>0</v>
      </c>
      <c r="I2841" s="13">
        <f>Table6[[#This Row],[discharge_date]]-Table6[[#This Row],[surgery_date]]</f>
        <v>0</v>
      </c>
      <c r="J2841" s="9" t="str">
        <f t="shared" si="63"/>
        <v/>
      </c>
    </row>
    <row r="2842" spans="1:10" ht="23.25" customHeight="1">
      <c r="A2842">
        <f>Table4[[#This Row],[Column1]]</f>
        <v>0</v>
      </c>
      <c r="B2842">
        <f>Table4[[#This Row],[Column2]]</f>
        <v>0</v>
      </c>
      <c r="I2842" s="13">
        <f>Table6[[#This Row],[discharge_date]]-Table6[[#This Row],[surgery_date]]</f>
        <v>0</v>
      </c>
      <c r="J2842" s="9" t="str">
        <f t="shared" si="63"/>
        <v/>
      </c>
    </row>
    <row r="2843" spans="1:10" ht="23.25" customHeight="1">
      <c r="A2843">
        <f>Table4[[#This Row],[Column1]]</f>
        <v>0</v>
      </c>
      <c r="B2843">
        <f>Table4[[#This Row],[Column2]]</f>
        <v>0</v>
      </c>
      <c r="I2843" s="13">
        <f>Table6[[#This Row],[discharge_date]]-Table6[[#This Row],[surgery_date]]</f>
        <v>0</v>
      </c>
      <c r="J2843" s="9" t="str">
        <f t="shared" si="63"/>
        <v/>
      </c>
    </row>
    <row r="2844" spans="1:10" ht="23.25" customHeight="1">
      <c r="A2844">
        <f>Table4[[#This Row],[Column1]]</f>
        <v>0</v>
      </c>
      <c r="B2844">
        <f>Table4[[#This Row],[Column2]]</f>
        <v>0</v>
      </c>
      <c r="I2844" s="13">
        <f>Table6[[#This Row],[discharge_date]]-Table6[[#This Row],[surgery_date]]</f>
        <v>0</v>
      </c>
      <c r="J2844" s="9" t="str">
        <f t="shared" si="63"/>
        <v/>
      </c>
    </row>
    <row r="2845" spans="1:10" ht="23.25" customHeight="1">
      <c r="A2845">
        <f>Table4[[#This Row],[Column1]]</f>
        <v>0</v>
      </c>
      <c r="B2845">
        <f>Table4[[#This Row],[Column2]]</f>
        <v>0</v>
      </c>
      <c r="I2845" s="13">
        <f>Table6[[#This Row],[discharge_date]]-Table6[[#This Row],[surgery_date]]</f>
        <v>0</v>
      </c>
      <c r="J2845" s="9" t="str">
        <f t="shared" si="63"/>
        <v/>
      </c>
    </row>
    <row r="2846" spans="1:10" ht="23.25" customHeight="1">
      <c r="A2846">
        <f>Table4[[#This Row],[Column1]]</f>
        <v>0</v>
      </c>
      <c r="B2846">
        <f>Table4[[#This Row],[Column2]]</f>
        <v>0</v>
      </c>
      <c r="I2846" s="13">
        <f>Table6[[#This Row],[discharge_date]]-Table6[[#This Row],[surgery_date]]</f>
        <v>0</v>
      </c>
      <c r="J2846" s="9" t="str">
        <f t="shared" si="63"/>
        <v/>
      </c>
    </row>
    <row r="2847" spans="1:10" ht="23.25" customHeight="1">
      <c r="A2847">
        <f>Table4[[#This Row],[Column1]]</f>
        <v>0</v>
      </c>
      <c r="B2847">
        <f>Table4[[#This Row],[Column2]]</f>
        <v>0</v>
      </c>
      <c r="I2847" s="13">
        <f>Table6[[#This Row],[discharge_date]]-Table6[[#This Row],[surgery_date]]</f>
        <v>0</v>
      </c>
      <c r="J2847" s="9" t="str">
        <f t="shared" si="63"/>
        <v/>
      </c>
    </row>
    <row r="2848" spans="1:10" ht="23.25" customHeight="1">
      <c r="A2848">
        <f>Table4[[#This Row],[Column1]]</f>
        <v>0</v>
      </c>
      <c r="B2848">
        <f>Table4[[#This Row],[Column2]]</f>
        <v>0</v>
      </c>
      <c r="I2848" s="13">
        <f>Table6[[#This Row],[discharge_date]]-Table6[[#This Row],[surgery_date]]</f>
        <v>0</v>
      </c>
      <c r="J2848" s="9" t="str">
        <f t="shared" si="63"/>
        <v/>
      </c>
    </row>
    <row r="2849" spans="1:10" ht="23.25" customHeight="1">
      <c r="A2849">
        <f>Table4[[#This Row],[Column1]]</f>
        <v>0</v>
      </c>
      <c r="B2849">
        <f>Table4[[#This Row],[Column2]]</f>
        <v>0</v>
      </c>
      <c r="I2849" s="13">
        <f>Table6[[#This Row],[discharge_date]]-Table6[[#This Row],[surgery_date]]</f>
        <v>0</v>
      </c>
      <c r="J2849" s="9" t="str">
        <f t="shared" si="63"/>
        <v/>
      </c>
    </row>
    <row r="2850" spans="1:10" ht="23.25" customHeight="1">
      <c r="A2850">
        <f>Table4[[#This Row],[Column1]]</f>
        <v>0</v>
      </c>
      <c r="B2850">
        <f>Table4[[#This Row],[Column2]]</f>
        <v>0</v>
      </c>
      <c r="I2850" s="13">
        <f>Table6[[#This Row],[discharge_date]]-Table6[[#This Row],[surgery_date]]</f>
        <v>0</v>
      </c>
      <c r="J2850" s="9" t="str">
        <f t="shared" si="63"/>
        <v/>
      </c>
    </row>
    <row r="2851" spans="1:10" ht="23.25" customHeight="1">
      <c r="A2851">
        <f>Table4[[#This Row],[Column1]]</f>
        <v>0</v>
      </c>
      <c r="B2851">
        <f>Table4[[#This Row],[Column2]]</f>
        <v>0</v>
      </c>
      <c r="I2851" s="13">
        <f>Table6[[#This Row],[discharge_date]]-Table6[[#This Row],[surgery_date]]</f>
        <v>0</v>
      </c>
      <c r="J2851" s="9" t="str">
        <f t="shared" si="63"/>
        <v/>
      </c>
    </row>
    <row r="2852" spans="1:10" ht="23.25" customHeight="1">
      <c r="A2852">
        <f>Table4[[#This Row],[Column1]]</f>
        <v>0</v>
      </c>
      <c r="B2852">
        <f>Table4[[#This Row],[Column2]]</f>
        <v>0</v>
      </c>
      <c r="I2852" s="13">
        <f>Table6[[#This Row],[discharge_date]]-Table6[[#This Row],[surgery_date]]</f>
        <v>0</v>
      </c>
      <c r="J2852" s="9" t="str">
        <f t="shared" si="63"/>
        <v/>
      </c>
    </row>
    <row r="2853" spans="1:10" ht="23.25" customHeight="1">
      <c r="A2853">
        <f>Table4[[#This Row],[Column1]]</f>
        <v>0</v>
      </c>
      <c r="B2853">
        <f>Table4[[#This Row],[Column2]]</f>
        <v>0</v>
      </c>
      <c r="I2853" s="13">
        <f>Table6[[#This Row],[discharge_date]]-Table6[[#This Row],[surgery_date]]</f>
        <v>0</v>
      </c>
      <c r="J2853" s="9" t="str">
        <f t="shared" si="63"/>
        <v/>
      </c>
    </row>
    <row r="2854" spans="1:10" ht="23.25" customHeight="1">
      <c r="A2854">
        <f>Table4[[#This Row],[Column1]]</f>
        <v>0</v>
      </c>
      <c r="B2854">
        <f>Table4[[#This Row],[Column2]]</f>
        <v>0</v>
      </c>
      <c r="I2854" s="13">
        <f>Table6[[#This Row],[discharge_date]]-Table6[[#This Row],[surgery_date]]</f>
        <v>0</v>
      </c>
      <c r="J2854" s="9" t="str">
        <f t="shared" si="63"/>
        <v/>
      </c>
    </row>
    <row r="2855" spans="1:10" ht="23.25" customHeight="1">
      <c r="A2855">
        <f>Table4[[#This Row],[Column1]]</f>
        <v>0</v>
      </c>
      <c r="B2855">
        <f>Table4[[#This Row],[Column2]]</f>
        <v>0</v>
      </c>
      <c r="I2855" s="13">
        <f>Table6[[#This Row],[discharge_date]]-Table6[[#This Row],[surgery_date]]</f>
        <v>0</v>
      </c>
      <c r="J2855" s="9" t="str">
        <f t="shared" si="63"/>
        <v/>
      </c>
    </row>
    <row r="2856" spans="1:10" ht="23.25" customHeight="1">
      <c r="A2856">
        <f>Table4[[#This Row],[Column1]]</f>
        <v>0</v>
      </c>
      <c r="B2856">
        <f>Table4[[#This Row],[Column2]]</f>
        <v>0</v>
      </c>
      <c r="I2856" s="13">
        <f>Table6[[#This Row],[discharge_date]]-Table6[[#This Row],[surgery_date]]</f>
        <v>0</v>
      </c>
      <c r="J2856" s="9" t="str">
        <f t="shared" si="63"/>
        <v/>
      </c>
    </row>
    <row r="2857" spans="1:10" ht="23.25" customHeight="1">
      <c r="A2857">
        <f>Table4[[#This Row],[Column1]]</f>
        <v>0</v>
      </c>
      <c r="B2857">
        <f>Table4[[#This Row],[Column2]]</f>
        <v>0</v>
      </c>
      <c r="I2857" s="13">
        <f>Table6[[#This Row],[discharge_date]]-Table6[[#This Row],[surgery_date]]</f>
        <v>0</v>
      </c>
      <c r="J2857" s="9" t="str">
        <f t="shared" si="63"/>
        <v/>
      </c>
    </row>
    <row r="2858" spans="1:10" ht="23.25" customHeight="1">
      <c r="A2858">
        <f>Table4[[#This Row],[Column1]]</f>
        <v>0</v>
      </c>
      <c r="B2858">
        <f>Table4[[#This Row],[Column2]]</f>
        <v>0</v>
      </c>
      <c r="I2858" s="13">
        <f>Table6[[#This Row],[discharge_date]]-Table6[[#This Row],[surgery_date]]</f>
        <v>0</v>
      </c>
      <c r="J2858" s="9" t="str">
        <f t="shared" si="63"/>
        <v/>
      </c>
    </row>
    <row r="2859" spans="1:10" ht="23.25" customHeight="1">
      <c r="A2859">
        <f>Table4[[#This Row],[Column1]]</f>
        <v>0</v>
      </c>
      <c r="B2859">
        <f>Table4[[#This Row],[Column2]]</f>
        <v>0</v>
      </c>
      <c r="I2859" s="13">
        <f>Table6[[#This Row],[discharge_date]]-Table6[[#This Row],[surgery_date]]</f>
        <v>0</v>
      </c>
      <c r="J2859" s="9" t="str">
        <f t="shared" si="63"/>
        <v/>
      </c>
    </row>
    <row r="2860" spans="1:10" ht="23.25" customHeight="1">
      <c r="A2860">
        <f>Table4[[#This Row],[Column1]]</f>
        <v>0</v>
      </c>
      <c r="B2860">
        <f>Table4[[#This Row],[Column2]]</f>
        <v>0</v>
      </c>
      <c r="I2860" s="13">
        <f>Table6[[#This Row],[discharge_date]]-Table6[[#This Row],[surgery_date]]</f>
        <v>0</v>
      </c>
      <c r="J2860" s="9" t="str">
        <f t="shared" si="63"/>
        <v/>
      </c>
    </row>
    <row r="2861" spans="1:10" ht="23.25" customHeight="1">
      <c r="A2861">
        <f>Table4[[#This Row],[Column1]]</f>
        <v>0</v>
      </c>
      <c r="B2861">
        <f>Table4[[#This Row],[Column2]]</f>
        <v>0</v>
      </c>
      <c r="I2861" s="13">
        <f>Table6[[#This Row],[discharge_date]]-Table6[[#This Row],[surgery_date]]</f>
        <v>0</v>
      </c>
      <c r="J2861" s="9" t="str">
        <f t="shared" si="63"/>
        <v/>
      </c>
    </row>
    <row r="2862" spans="1:10" ht="23.25" customHeight="1">
      <c r="A2862">
        <f>Table4[[#This Row],[Column1]]</f>
        <v>0</v>
      </c>
      <c r="B2862">
        <f>Table4[[#This Row],[Column2]]</f>
        <v>0</v>
      </c>
      <c r="I2862" s="13">
        <f>Table6[[#This Row],[discharge_date]]-Table6[[#This Row],[surgery_date]]</f>
        <v>0</v>
      </c>
      <c r="J2862" s="9" t="str">
        <f t="shared" si="63"/>
        <v/>
      </c>
    </row>
    <row r="2863" spans="1:10" ht="23.25" customHeight="1">
      <c r="A2863">
        <f>Table4[[#This Row],[Column1]]</f>
        <v>0</v>
      </c>
      <c r="B2863">
        <f>Table4[[#This Row],[Column2]]</f>
        <v>0</v>
      </c>
      <c r="I2863" s="13">
        <f>Table6[[#This Row],[discharge_date]]-Table6[[#This Row],[surgery_date]]</f>
        <v>0</v>
      </c>
      <c r="J2863" s="9" t="str">
        <f t="shared" si="63"/>
        <v/>
      </c>
    </row>
    <row r="2864" spans="1:10" ht="23.25" customHeight="1">
      <c r="A2864">
        <f>Table4[[#This Row],[Column1]]</f>
        <v>0</v>
      </c>
      <c r="B2864">
        <f>Table4[[#This Row],[Column2]]</f>
        <v>0</v>
      </c>
      <c r="I2864" s="13">
        <f>Table6[[#This Row],[discharge_date]]-Table6[[#This Row],[surgery_date]]</f>
        <v>0</v>
      </c>
      <c r="J2864" s="9" t="str">
        <f t="shared" si="63"/>
        <v/>
      </c>
    </row>
    <row r="2865" spans="1:10" ht="23.25" customHeight="1">
      <c r="A2865">
        <f>Table4[[#This Row],[Column1]]</f>
        <v>0</v>
      </c>
      <c r="B2865">
        <f>Table4[[#This Row],[Column2]]</f>
        <v>0</v>
      </c>
      <c r="I2865" s="13">
        <f>Table6[[#This Row],[discharge_date]]-Table6[[#This Row],[surgery_date]]</f>
        <v>0</v>
      </c>
      <c r="J2865" s="9" t="str">
        <f t="shared" si="63"/>
        <v/>
      </c>
    </row>
    <row r="2866" spans="1:10" ht="23.25" customHeight="1">
      <c r="A2866">
        <f>Table4[[#This Row],[Column1]]</f>
        <v>0</v>
      </c>
      <c r="B2866">
        <f>Table4[[#This Row],[Column2]]</f>
        <v>0</v>
      </c>
      <c r="I2866" s="13">
        <f>Table6[[#This Row],[discharge_date]]-Table6[[#This Row],[surgery_date]]</f>
        <v>0</v>
      </c>
      <c r="J2866" s="9" t="str">
        <f t="shared" si="63"/>
        <v/>
      </c>
    </row>
    <row r="2867" spans="1:10" ht="23.25" customHeight="1">
      <c r="A2867">
        <f>Table4[[#This Row],[Column1]]</f>
        <v>0</v>
      </c>
      <c r="B2867">
        <f>Table4[[#This Row],[Column2]]</f>
        <v>0</v>
      </c>
      <c r="I2867" s="13">
        <f>Table6[[#This Row],[discharge_date]]-Table6[[#This Row],[surgery_date]]</f>
        <v>0</v>
      </c>
      <c r="J2867" s="9" t="str">
        <f t="shared" si="63"/>
        <v/>
      </c>
    </row>
    <row r="2868" spans="1:10" ht="23.25" customHeight="1">
      <c r="A2868">
        <f>Table4[[#This Row],[Column1]]</f>
        <v>0</v>
      </c>
      <c r="B2868">
        <f>Table4[[#This Row],[Column2]]</f>
        <v>0</v>
      </c>
      <c r="I2868" s="13">
        <f>Table6[[#This Row],[discharge_date]]-Table6[[#This Row],[surgery_date]]</f>
        <v>0</v>
      </c>
      <c r="J2868" s="9" t="str">
        <f t="shared" si="63"/>
        <v/>
      </c>
    </row>
    <row r="2869" spans="1:10" ht="23.25" customHeight="1">
      <c r="A2869">
        <f>Table4[[#This Row],[Column1]]</f>
        <v>0</v>
      </c>
      <c r="B2869">
        <f>Table4[[#This Row],[Column2]]</f>
        <v>0</v>
      </c>
      <c r="I2869" s="13">
        <f>Table6[[#This Row],[discharge_date]]-Table6[[#This Row],[surgery_date]]</f>
        <v>0</v>
      </c>
      <c r="J2869" s="9" t="str">
        <f t="shared" si="63"/>
        <v/>
      </c>
    </row>
    <row r="2870" spans="1:10" ht="23.25" customHeight="1">
      <c r="A2870">
        <f>Table4[[#This Row],[Column1]]</f>
        <v>0</v>
      </c>
      <c r="B2870">
        <f>Table4[[#This Row],[Column2]]</f>
        <v>0</v>
      </c>
      <c r="I2870" s="13">
        <f>Table6[[#This Row],[discharge_date]]-Table6[[#This Row],[surgery_date]]</f>
        <v>0</v>
      </c>
      <c r="J2870" s="9" t="str">
        <f t="shared" si="63"/>
        <v/>
      </c>
    </row>
    <row r="2871" spans="1:10" ht="23.25" customHeight="1">
      <c r="A2871">
        <f>Table4[[#This Row],[Column1]]</f>
        <v>0</v>
      </c>
      <c r="B2871">
        <f>Table4[[#This Row],[Column2]]</f>
        <v>0</v>
      </c>
      <c r="I2871" s="13">
        <f>Table6[[#This Row],[discharge_date]]-Table6[[#This Row],[surgery_date]]</f>
        <v>0</v>
      </c>
      <c r="J2871" s="9" t="str">
        <f t="shared" si="63"/>
        <v/>
      </c>
    </row>
    <row r="2872" spans="1:10" ht="23.25" customHeight="1">
      <c r="A2872">
        <f>Table4[[#This Row],[Column1]]</f>
        <v>0</v>
      </c>
      <c r="B2872">
        <f>Table4[[#This Row],[Column2]]</f>
        <v>0</v>
      </c>
      <c r="I2872" s="13">
        <f>Table6[[#This Row],[discharge_date]]-Table6[[#This Row],[surgery_date]]</f>
        <v>0</v>
      </c>
      <c r="J2872" s="9" t="str">
        <f t="shared" si="63"/>
        <v/>
      </c>
    </row>
    <row r="2873" spans="1:10" ht="23.25" customHeight="1">
      <c r="A2873">
        <f>Table4[[#This Row],[Column1]]</f>
        <v>0</v>
      </c>
      <c r="B2873">
        <f>Table4[[#This Row],[Column2]]</f>
        <v>0</v>
      </c>
      <c r="I2873" s="13">
        <f>Table6[[#This Row],[discharge_date]]-Table6[[#This Row],[surgery_date]]</f>
        <v>0</v>
      </c>
      <c r="J2873" s="9" t="str">
        <f t="shared" si="63"/>
        <v/>
      </c>
    </row>
    <row r="2874" spans="1:10" ht="23.25" customHeight="1">
      <c r="A2874">
        <f>Table4[[#This Row],[Column1]]</f>
        <v>0</v>
      </c>
      <c r="B2874">
        <f>Table4[[#This Row],[Column2]]</f>
        <v>0</v>
      </c>
      <c r="I2874" s="13">
        <f>Table6[[#This Row],[discharge_date]]-Table6[[#This Row],[surgery_date]]</f>
        <v>0</v>
      </c>
      <c r="J2874" s="9" t="str">
        <f t="shared" si="63"/>
        <v/>
      </c>
    </row>
    <row r="2875" spans="1:10" ht="23.25" customHeight="1">
      <c r="A2875">
        <f>Table4[[#This Row],[Column1]]</f>
        <v>0</v>
      </c>
      <c r="B2875">
        <f>Table4[[#This Row],[Column2]]</f>
        <v>0</v>
      </c>
      <c r="I2875" s="13">
        <f>Table6[[#This Row],[discharge_date]]-Table6[[#This Row],[surgery_date]]</f>
        <v>0</v>
      </c>
      <c r="J2875" s="9" t="str">
        <f t="shared" si="63"/>
        <v/>
      </c>
    </row>
    <row r="2876" spans="1:10" ht="23.25" customHeight="1">
      <c r="A2876">
        <f>Table4[[#This Row],[Column1]]</f>
        <v>0</v>
      </c>
      <c r="B2876">
        <f>Table4[[#This Row],[Column2]]</f>
        <v>0</v>
      </c>
      <c r="I2876" s="13">
        <f>Table6[[#This Row],[discharge_date]]-Table6[[#This Row],[surgery_date]]</f>
        <v>0</v>
      </c>
      <c r="J2876" s="9" t="str">
        <f t="shared" si="63"/>
        <v/>
      </c>
    </row>
    <row r="2877" spans="1:10" ht="23.25" customHeight="1">
      <c r="A2877">
        <f>Table4[[#This Row],[Column1]]</f>
        <v>0</v>
      </c>
      <c r="B2877">
        <f>Table4[[#This Row],[Column2]]</f>
        <v>0</v>
      </c>
      <c r="I2877" s="13">
        <f>Table6[[#This Row],[discharge_date]]-Table6[[#This Row],[surgery_date]]</f>
        <v>0</v>
      </c>
      <c r="J2877" s="9" t="str">
        <f t="shared" si="63"/>
        <v/>
      </c>
    </row>
    <row r="2878" spans="1:10" ht="23.25" customHeight="1">
      <c r="A2878">
        <f>Table4[[#This Row],[Column1]]</f>
        <v>0</v>
      </c>
      <c r="B2878">
        <f>Table4[[#This Row],[Column2]]</f>
        <v>0</v>
      </c>
      <c r="I2878" s="13">
        <f>Table6[[#This Row],[discharge_date]]-Table6[[#This Row],[surgery_date]]</f>
        <v>0</v>
      </c>
      <c r="J2878" s="9" t="str">
        <f t="shared" si="63"/>
        <v/>
      </c>
    </row>
    <row r="2879" spans="1:10" ht="23.25" customHeight="1">
      <c r="A2879">
        <f>Table4[[#This Row],[Column1]]</f>
        <v>0</v>
      </c>
      <c r="B2879">
        <f>Table4[[#This Row],[Column2]]</f>
        <v>0</v>
      </c>
      <c r="I2879" s="13">
        <f>Table6[[#This Row],[discharge_date]]-Table6[[#This Row],[surgery_date]]</f>
        <v>0</v>
      </c>
      <c r="J2879" s="9" t="str">
        <f t="shared" si="63"/>
        <v/>
      </c>
    </row>
    <row r="2880" spans="1:10" ht="23.25" customHeight="1">
      <c r="A2880">
        <f>Table4[[#This Row],[Column1]]</f>
        <v>0</v>
      </c>
      <c r="B2880">
        <f>Table4[[#This Row],[Column2]]</f>
        <v>0</v>
      </c>
      <c r="I2880" s="13">
        <f>Table6[[#This Row],[discharge_date]]-Table6[[#This Row],[surgery_date]]</f>
        <v>0</v>
      </c>
      <c r="J2880" s="9" t="str">
        <f t="shared" si="63"/>
        <v/>
      </c>
    </row>
    <row r="2881" spans="1:10" ht="23.25" customHeight="1">
      <c r="A2881">
        <f>Table4[[#This Row],[Column1]]</f>
        <v>0</v>
      </c>
      <c r="B2881">
        <f>Table4[[#This Row],[Column2]]</f>
        <v>0</v>
      </c>
      <c r="I2881" s="13">
        <f>Table6[[#This Row],[discharge_date]]-Table6[[#This Row],[surgery_date]]</f>
        <v>0</v>
      </c>
      <c r="J2881" s="9" t="str">
        <f t="shared" si="63"/>
        <v/>
      </c>
    </row>
    <row r="2882" spans="1:10" ht="23.25" customHeight="1">
      <c r="A2882">
        <f>Table4[[#This Row],[Column1]]</f>
        <v>0</v>
      </c>
      <c r="B2882">
        <f>Table4[[#This Row],[Column2]]</f>
        <v>0</v>
      </c>
      <c r="I2882" s="13">
        <f>Table6[[#This Row],[discharge_date]]-Table6[[#This Row],[surgery_date]]</f>
        <v>0</v>
      </c>
      <c r="J2882" s="9" t="str">
        <f t="shared" ref="J2882:J2945" si="64">IF( H2882&lt;&gt;"", H2882+30,"")</f>
        <v/>
      </c>
    </row>
    <row r="2883" spans="1:10" ht="23.25" customHeight="1">
      <c r="A2883">
        <f>Table4[[#This Row],[Column1]]</f>
        <v>0</v>
      </c>
      <c r="B2883">
        <f>Table4[[#This Row],[Column2]]</f>
        <v>0</v>
      </c>
      <c r="I2883" s="13">
        <f>Table6[[#This Row],[discharge_date]]-Table6[[#This Row],[surgery_date]]</f>
        <v>0</v>
      </c>
      <c r="J2883" s="9" t="str">
        <f t="shared" si="64"/>
        <v/>
      </c>
    </row>
    <row r="2884" spans="1:10" ht="23.25" customHeight="1">
      <c r="A2884">
        <f>Table4[[#This Row],[Column1]]</f>
        <v>0</v>
      </c>
      <c r="B2884">
        <f>Table4[[#This Row],[Column2]]</f>
        <v>0</v>
      </c>
      <c r="I2884" s="13">
        <f>Table6[[#This Row],[discharge_date]]-Table6[[#This Row],[surgery_date]]</f>
        <v>0</v>
      </c>
      <c r="J2884" s="9" t="str">
        <f t="shared" si="64"/>
        <v/>
      </c>
    </row>
    <row r="2885" spans="1:10" ht="23.25" customHeight="1">
      <c r="A2885">
        <f>Table4[[#This Row],[Column1]]</f>
        <v>0</v>
      </c>
      <c r="B2885">
        <f>Table4[[#This Row],[Column2]]</f>
        <v>0</v>
      </c>
      <c r="I2885" s="13">
        <f>Table6[[#This Row],[discharge_date]]-Table6[[#This Row],[surgery_date]]</f>
        <v>0</v>
      </c>
      <c r="J2885" s="9" t="str">
        <f t="shared" si="64"/>
        <v/>
      </c>
    </row>
    <row r="2886" spans="1:10" ht="23.25" customHeight="1">
      <c r="A2886">
        <f>Table4[[#This Row],[Column1]]</f>
        <v>0</v>
      </c>
      <c r="B2886">
        <f>Table4[[#This Row],[Column2]]</f>
        <v>0</v>
      </c>
      <c r="I2886" s="13">
        <f>Table6[[#This Row],[discharge_date]]-Table6[[#This Row],[surgery_date]]</f>
        <v>0</v>
      </c>
      <c r="J2886" s="9" t="str">
        <f t="shared" si="64"/>
        <v/>
      </c>
    </row>
    <row r="2887" spans="1:10" ht="23.25" customHeight="1">
      <c r="A2887">
        <f>Table4[[#This Row],[Column1]]</f>
        <v>0</v>
      </c>
      <c r="B2887">
        <f>Table4[[#This Row],[Column2]]</f>
        <v>0</v>
      </c>
      <c r="I2887" s="13">
        <f>Table6[[#This Row],[discharge_date]]-Table6[[#This Row],[surgery_date]]</f>
        <v>0</v>
      </c>
      <c r="J2887" s="9" t="str">
        <f t="shared" si="64"/>
        <v/>
      </c>
    </row>
    <row r="2888" spans="1:10" ht="23.25" customHeight="1">
      <c r="A2888">
        <f>Table4[[#This Row],[Column1]]</f>
        <v>0</v>
      </c>
      <c r="B2888">
        <f>Table4[[#This Row],[Column2]]</f>
        <v>0</v>
      </c>
      <c r="I2888" s="13">
        <f>Table6[[#This Row],[discharge_date]]-Table6[[#This Row],[surgery_date]]</f>
        <v>0</v>
      </c>
      <c r="J2888" s="9" t="str">
        <f t="shared" si="64"/>
        <v/>
      </c>
    </row>
    <row r="2889" spans="1:10" ht="23.25" customHeight="1">
      <c r="A2889">
        <f>Table4[[#This Row],[Column1]]</f>
        <v>0</v>
      </c>
      <c r="B2889">
        <f>Table4[[#This Row],[Column2]]</f>
        <v>0</v>
      </c>
      <c r="I2889" s="13">
        <f>Table6[[#This Row],[discharge_date]]-Table6[[#This Row],[surgery_date]]</f>
        <v>0</v>
      </c>
      <c r="J2889" s="9" t="str">
        <f t="shared" si="64"/>
        <v/>
      </c>
    </row>
    <row r="2890" spans="1:10" ht="23.25" customHeight="1">
      <c r="A2890">
        <f>Table4[[#This Row],[Column1]]</f>
        <v>0</v>
      </c>
      <c r="B2890">
        <f>Table4[[#This Row],[Column2]]</f>
        <v>0</v>
      </c>
      <c r="I2890" s="13">
        <f>Table6[[#This Row],[discharge_date]]-Table6[[#This Row],[surgery_date]]</f>
        <v>0</v>
      </c>
      <c r="J2890" s="9" t="str">
        <f t="shared" si="64"/>
        <v/>
      </c>
    </row>
    <row r="2891" spans="1:10" ht="23.25" customHeight="1">
      <c r="A2891">
        <f>Table4[[#This Row],[Column1]]</f>
        <v>0</v>
      </c>
      <c r="B2891">
        <f>Table4[[#This Row],[Column2]]</f>
        <v>0</v>
      </c>
      <c r="I2891" s="13">
        <f>Table6[[#This Row],[discharge_date]]-Table6[[#This Row],[surgery_date]]</f>
        <v>0</v>
      </c>
      <c r="J2891" s="9" t="str">
        <f t="shared" si="64"/>
        <v/>
      </c>
    </row>
    <row r="2892" spans="1:10" ht="23.25" customHeight="1">
      <c r="A2892">
        <f>Table4[[#This Row],[Column1]]</f>
        <v>0</v>
      </c>
      <c r="B2892">
        <f>Table4[[#This Row],[Column2]]</f>
        <v>0</v>
      </c>
      <c r="I2892" s="13">
        <f>Table6[[#This Row],[discharge_date]]-Table6[[#This Row],[surgery_date]]</f>
        <v>0</v>
      </c>
      <c r="J2892" s="9" t="str">
        <f t="shared" si="64"/>
        <v/>
      </c>
    </row>
    <row r="2893" spans="1:10" ht="23.25" customHeight="1">
      <c r="A2893">
        <f>Table4[[#This Row],[Column1]]</f>
        <v>0</v>
      </c>
      <c r="B2893">
        <f>Table4[[#This Row],[Column2]]</f>
        <v>0</v>
      </c>
      <c r="I2893" s="13">
        <f>Table6[[#This Row],[discharge_date]]-Table6[[#This Row],[surgery_date]]</f>
        <v>0</v>
      </c>
      <c r="J2893" s="9" t="str">
        <f t="shared" si="64"/>
        <v/>
      </c>
    </row>
    <row r="2894" spans="1:10" ht="23.25" customHeight="1">
      <c r="A2894">
        <f>Table4[[#This Row],[Column1]]</f>
        <v>0</v>
      </c>
      <c r="B2894">
        <f>Table4[[#This Row],[Column2]]</f>
        <v>0</v>
      </c>
      <c r="I2894" s="13">
        <f>Table6[[#This Row],[discharge_date]]-Table6[[#This Row],[surgery_date]]</f>
        <v>0</v>
      </c>
      <c r="J2894" s="9" t="str">
        <f t="shared" si="64"/>
        <v/>
      </c>
    </row>
    <row r="2895" spans="1:10" ht="23.25" customHeight="1">
      <c r="A2895">
        <f>Table4[[#This Row],[Column1]]</f>
        <v>0</v>
      </c>
      <c r="B2895">
        <f>Table4[[#This Row],[Column2]]</f>
        <v>0</v>
      </c>
      <c r="I2895" s="13">
        <f>Table6[[#This Row],[discharge_date]]-Table6[[#This Row],[surgery_date]]</f>
        <v>0</v>
      </c>
      <c r="J2895" s="9" t="str">
        <f t="shared" si="64"/>
        <v/>
      </c>
    </row>
    <row r="2896" spans="1:10" ht="23.25" customHeight="1">
      <c r="A2896">
        <f>Table4[[#This Row],[Column1]]</f>
        <v>0</v>
      </c>
      <c r="B2896">
        <f>Table4[[#This Row],[Column2]]</f>
        <v>0</v>
      </c>
      <c r="I2896" s="13">
        <f>Table6[[#This Row],[discharge_date]]-Table6[[#This Row],[surgery_date]]</f>
        <v>0</v>
      </c>
      <c r="J2896" s="9" t="str">
        <f t="shared" si="64"/>
        <v/>
      </c>
    </row>
    <row r="2897" spans="1:10" ht="23.25" customHeight="1">
      <c r="A2897">
        <f>Table4[[#This Row],[Column1]]</f>
        <v>0</v>
      </c>
      <c r="B2897">
        <f>Table4[[#This Row],[Column2]]</f>
        <v>0</v>
      </c>
      <c r="I2897" s="13">
        <f>Table6[[#This Row],[discharge_date]]-Table6[[#This Row],[surgery_date]]</f>
        <v>0</v>
      </c>
      <c r="J2897" s="9" t="str">
        <f t="shared" si="64"/>
        <v/>
      </c>
    </row>
    <row r="2898" spans="1:10" ht="23.25" customHeight="1">
      <c r="A2898">
        <f>Table4[[#This Row],[Column1]]</f>
        <v>0</v>
      </c>
      <c r="B2898">
        <f>Table4[[#This Row],[Column2]]</f>
        <v>0</v>
      </c>
      <c r="I2898" s="13">
        <f>Table6[[#This Row],[discharge_date]]-Table6[[#This Row],[surgery_date]]</f>
        <v>0</v>
      </c>
      <c r="J2898" s="9" t="str">
        <f t="shared" si="64"/>
        <v/>
      </c>
    </row>
    <row r="2899" spans="1:10" ht="23.25" customHeight="1">
      <c r="A2899">
        <f>Table4[[#This Row],[Column1]]</f>
        <v>0</v>
      </c>
      <c r="B2899">
        <f>Table4[[#This Row],[Column2]]</f>
        <v>0</v>
      </c>
      <c r="I2899" s="13">
        <f>Table6[[#This Row],[discharge_date]]-Table6[[#This Row],[surgery_date]]</f>
        <v>0</v>
      </c>
      <c r="J2899" s="9" t="str">
        <f t="shared" si="64"/>
        <v/>
      </c>
    </row>
    <row r="2900" spans="1:10" ht="23.25" customHeight="1">
      <c r="A2900">
        <f>Table4[[#This Row],[Column1]]</f>
        <v>0</v>
      </c>
      <c r="B2900">
        <f>Table4[[#This Row],[Column2]]</f>
        <v>0</v>
      </c>
      <c r="I2900" s="13">
        <f>Table6[[#This Row],[discharge_date]]-Table6[[#This Row],[surgery_date]]</f>
        <v>0</v>
      </c>
      <c r="J2900" s="9" t="str">
        <f t="shared" si="64"/>
        <v/>
      </c>
    </row>
    <row r="2901" spans="1:10" ht="23.25" customHeight="1">
      <c r="A2901">
        <f>Table4[[#This Row],[Column1]]</f>
        <v>0</v>
      </c>
      <c r="B2901">
        <f>Table4[[#This Row],[Column2]]</f>
        <v>0</v>
      </c>
      <c r="I2901" s="13">
        <f>Table6[[#This Row],[discharge_date]]-Table6[[#This Row],[surgery_date]]</f>
        <v>0</v>
      </c>
      <c r="J2901" s="9" t="str">
        <f t="shared" si="64"/>
        <v/>
      </c>
    </row>
    <row r="2902" spans="1:10" ht="23.25" customHeight="1">
      <c r="A2902">
        <f>Table4[[#This Row],[Column1]]</f>
        <v>0</v>
      </c>
      <c r="B2902">
        <f>Table4[[#This Row],[Column2]]</f>
        <v>0</v>
      </c>
      <c r="I2902" s="13">
        <f>Table6[[#This Row],[discharge_date]]-Table6[[#This Row],[surgery_date]]</f>
        <v>0</v>
      </c>
      <c r="J2902" s="9" t="str">
        <f t="shared" si="64"/>
        <v/>
      </c>
    </row>
    <row r="2903" spans="1:10" ht="23.25" customHeight="1">
      <c r="A2903">
        <f>Table4[[#This Row],[Column1]]</f>
        <v>0</v>
      </c>
      <c r="B2903">
        <f>Table4[[#This Row],[Column2]]</f>
        <v>0</v>
      </c>
      <c r="I2903" s="13">
        <f>Table6[[#This Row],[discharge_date]]-Table6[[#This Row],[surgery_date]]</f>
        <v>0</v>
      </c>
      <c r="J2903" s="9" t="str">
        <f t="shared" si="64"/>
        <v/>
      </c>
    </row>
    <row r="2904" spans="1:10" ht="23.25" customHeight="1">
      <c r="A2904">
        <f>Table4[[#This Row],[Column1]]</f>
        <v>0</v>
      </c>
      <c r="B2904">
        <f>Table4[[#This Row],[Column2]]</f>
        <v>0</v>
      </c>
      <c r="I2904" s="13">
        <f>Table6[[#This Row],[discharge_date]]-Table6[[#This Row],[surgery_date]]</f>
        <v>0</v>
      </c>
      <c r="J2904" s="9" t="str">
        <f t="shared" si="64"/>
        <v/>
      </c>
    </row>
    <row r="2905" spans="1:10" ht="23.25" customHeight="1">
      <c r="A2905">
        <f>Table4[[#This Row],[Column1]]</f>
        <v>0</v>
      </c>
      <c r="B2905">
        <f>Table4[[#This Row],[Column2]]</f>
        <v>0</v>
      </c>
      <c r="I2905" s="13">
        <f>Table6[[#This Row],[discharge_date]]-Table6[[#This Row],[surgery_date]]</f>
        <v>0</v>
      </c>
      <c r="J2905" s="9" t="str">
        <f t="shared" si="64"/>
        <v/>
      </c>
    </row>
    <row r="2906" spans="1:10" ht="23.25" customHeight="1">
      <c r="A2906">
        <f>Table4[[#This Row],[Column1]]</f>
        <v>0</v>
      </c>
      <c r="B2906">
        <f>Table4[[#This Row],[Column2]]</f>
        <v>0</v>
      </c>
      <c r="I2906" s="13">
        <f>Table6[[#This Row],[discharge_date]]-Table6[[#This Row],[surgery_date]]</f>
        <v>0</v>
      </c>
      <c r="J2906" s="9" t="str">
        <f t="shared" si="64"/>
        <v/>
      </c>
    </row>
    <row r="2907" spans="1:10" ht="23.25" customHeight="1">
      <c r="A2907">
        <f>Table4[[#This Row],[Column1]]</f>
        <v>0</v>
      </c>
      <c r="B2907">
        <f>Table4[[#This Row],[Column2]]</f>
        <v>0</v>
      </c>
      <c r="I2907" s="13">
        <f>Table6[[#This Row],[discharge_date]]-Table6[[#This Row],[surgery_date]]</f>
        <v>0</v>
      </c>
      <c r="J2907" s="9" t="str">
        <f t="shared" si="64"/>
        <v/>
      </c>
    </row>
    <row r="2908" spans="1:10" ht="23.25" customHeight="1">
      <c r="A2908">
        <f>Table4[[#This Row],[Column1]]</f>
        <v>0</v>
      </c>
      <c r="B2908">
        <f>Table4[[#This Row],[Column2]]</f>
        <v>0</v>
      </c>
      <c r="I2908" s="13">
        <f>Table6[[#This Row],[discharge_date]]-Table6[[#This Row],[surgery_date]]</f>
        <v>0</v>
      </c>
      <c r="J2908" s="9" t="str">
        <f t="shared" si="64"/>
        <v/>
      </c>
    </row>
    <row r="2909" spans="1:10" ht="23.25" customHeight="1">
      <c r="A2909">
        <f>Table4[[#This Row],[Column1]]</f>
        <v>0</v>
      </c>
      <c r="B2909">
        <f>Table4[[#This Row],[Column2]]</f>
        <v>0</v>
      </c>
      <c r="I2909" s="13">
        <f>Table6[[#This Row],[discharge_date]]-Table6[[#This Row],[surgery_date]]</f>
        <v>0</v>
      </c>
      <c r="J2909" s="9" t="str">
        <f t="shared" si="64"/>
        <v/>
      </c>
    </row>
    <row r="2910" spans="1:10" ht="23.25" customHeight="1">
      <c r="A2910">
        <f>Table4[[#This Row],[Column1]]</f>
        <v>0</v>
      </c>
      <c r="B2910">
        <f>Table4[[#This Row],[Column2]]</f>
        <v>0</v>
      </c>
      <c r="I2910" s="13">
        <f>Table6[[#This Row],[discharge_date]]-Table6[[#This Row],[surgery_date]]</f>
        <v>0</v>
      </c>
      <c r="J2910" s="9" t="str">
        <f t="shared" si="64"/>
        <v/>
      </c>
    </row>
    <row r="2911" spans="1:10" ht="23.25" customHeight="1">
      <c r="A2911">
        <f>Table4[[#This Row],[Column1]]</f>
        <v>0</v>
      </c>
      <c r="B2911">
        <f>Table4[[#This Row],[Column2]]</f>
        <v>0</v>
      </c>
      <c r="I2911" s="13">
        <f>Table6[[#This Row],[discharge_date]]-Table6[[#This Row],[surgery_date]]</f>
        <v>0</v>
      </c>
      <c r="J2911" s="9" t="str">
        <f t="shared" si="64"/>
        <v/>
      </c>
    </row>
    <row r="2912" spans="1:10" ht="23.25" customHeight="1">
      <c r="A2912">
        <f>Table4[[#This Row],[Column1]]</f>
        <v>0</v>
      </c>
      <c r="B2912">
        <f>Table4[[#This Row],[Column2]]</f>
        <v>0</v>
      </c>
      <c r="I2912" s="13">
        <f>Table6[[#This Row],[discharge_date]]-Table6[[#This Row],[surgery_date]]</f>
        <v>0</v>
      </c>
      <c r="J2912" s="9" t="str">
        <f t="shared" si="64"/>
        <v/>
      </c>
    </row>
    <row r="2913" spans="1:10" ht="23.25" customHeight="1">
      <c r="A2913">
        <f>Table4[[#This Row],[Column1]]</f>
        <v>0</v>
      </c>
      <c r="B2913">
        <f>Table4[[#This Row],[Column2]]</f>
        <v>0</v>
      </c>
      <c r="I2913" s="13">
        <f>Table6[[#This Row],[discharge_date]]-Table6[[#This Row],[surgery_date]]</f>
        <v>0</v>
      </c>
      <c r="J2913" s="9" t="str">
        <f t="shared" si="64"/>
        <v/>
      </c>
    </row>
    <row r="2914" spans="1:10" ht="23.25" customHeight="1">
      <c r="A2914">
        <f>Table4[[#This Row],[Column1]]</f>
        <v>0</v>
      </c>
      <c r="B2914">
        <f>Table4[[#This Row],[Column2]]</f>
        <v>0</v>
      </c>
      <c r="I2914" s="13">
        <f>Table6[[#This Row],[discharge_date]]-Table6[[#This Row],[surgery_date]]</f>
        <v>0</v>
      </c>
      <c r="J2914" s="9" t="str">
        <f t="shared" si="64"/>
        <v/>
      </c>
    </row>
    <row r="2915" spans="1:10" ht="23.25" customHeight="1">
      <c r="A2915">
        <f>Table4[[#This Row],[Column1]]</f>
        <v>0</v>
      </c>
      <c r="B2915">
        <f>Table4[[#This Row],[Column2]]</f>
        <v>0</v>
      </c>
      <c r="I2915" s="13">
        <f>Table6[[#This Row],[discharge_date]]-Table6[[#This Row],[surgery_date]]</f>
        <v>0</v>
      </c>
      <c r="J2915" s="9" t="str">
        <f t="shared" si="64"/>
        <v/>
      </c>
    </row>
    <row r="2916" spans="1:10" ht="23.25" customHeight="1">
      <c r="A2916">
        <f>Table4[[#This Row],[Column1]]</f>
        <v>0</v>
      </c>
      <c r="B2916">
        <f>Table4[[#This Row],[Column2]]</f>
        <v>0</v>
      </c>
      <c r="I2916" s="13">
        <f>Table6[[#This Row],[discharge_date]]-Table6[[#This Row],[surgery_date]]</f>
        <v>0</v>
      </c>
      <c r="J2916" s="9" t="str">
        <f t="shared" si="64"/>
        <v/>
      </c>
    </row>
    <row r="2917" spans="1:10" ht="23.25" customHeight="1">
      <c r="A2917">
        <f>Table4[[#This Row],[Column1]]</f>
        <v>0</v>
      </c>
      <c r="B2917">
        <f>Table4[[#This Row],[Column2]]</f>
        <v>0</v>
      </c>
      <c r="I2917" s="13">
        <f>Table6[[#This Row],[discharge_date]]-Table6[[#This Row],[surgery_date]]</f>
        <v>0</v>
      </c>
      <c r="J2917" s="9" t="str">
        <f t="shared" si="64"/>
        <v/>
      </c>
    </row>
    <row r="2918" spans="1:10" ht="23.25" customHeight="1">
      <c r="A2918">
        <f>Table4[[#This Row],[Column1]]</f>
        <v>0</v>
      </c>
      <c r="B2918">
        <f>Table4[[#This Row],[Column2]]</f>
        <v>0</v>
      </c>
      <c r="I2918" s="13">
        <f>Table6[[#This Row],[discharge_date]]-Table6[[#This Row],[surgery_date]]</f>
        <v>0</v>
      </c>
      <c r="J2918" s="9" t="str">
        <f t="shared" si="64"/>
        <v/>
      </c>
    </row>
    <row r="2919" spans="1:10" ht="23.25" customHeight="1">
      <c r="A2919">
        <f>Table4[[#This Row],[Column1]]</f>
        <v>0</v>
      </c>
      <c r="B2919">
        <f>Table4[[#This Row],[Column2]]</f>
        <v>0</v>
      </c>
      <c r="I2919" s="13">
        <f>Table6[[#This Row],[discharge_date]]-Table6[[#This Row],[surgery_date]]</f>
        <v>0</v>
      </c>
      <c r="J2919" s="9" t="str">
        <f t="shared" si="64"/>
        <v/>
      </c>
    </row>
    <row r="2920" spans="1:10" ht="23.25" customHeight="1">
      <c r="A2920">
        <f>Table4[[#This Row],[Column1]]</f>
        <v>0</v>
      </c>
      <c r="B2920">
        <f>Table4[[#This Row],[Column2]]</f>
        <v>0</v>
      </c>
      <c r="I2920" s="13">
        <f>Table6[[#This Row],[discharge_date]]-Table6[[#This Row],[surgery_date]]</f>
        <v>0</v>
      </c>
      <c r="J2920" s="9" t="str">
        <f t="shared" si="64"/>
        <v/>
      </c>
    </row>
    <row r="2921" spans="1:10" ht="23.25" customHeight="1">
      <c r="A2921">
        <f>Table4[[#This Row],[Column1]]</f>
        <v>0</v>
      </c>
      <c r="B2921">
        <f>Table4[[#This Row],[Column2]]</f>
        <v>0</v>
      </c>
      <c r="I2921" s="13">
        <f>Table6[[#This Row],[discharge_date]]-Table6[[#This Row],[surgery_date]]</f>
        <v>0</v>
      </c>
      <c r="J2921" s="9" t="str">
        <f t="shared" si="64"/>
        <v/>
      </c>
    </row>
    <row r="2922" spans="1:10" ht="23.25" customHeight="1">
      <c r="A2922">
        <f>Table4[[#This Row],[Column1]]</f>
        <v>0</v>
      </c>
      <c r="B2922">
        <f>Table4[[#This Row],[Column2]]</f>
        <v>0</v>
      </c>
      <c r="I2922" s="13">
        <f>Table6[[#This Row],[discharge_date]]-Table6[[#This Row],[surgery_date]]</f>
        <v>0</v>
      </c>
      <c r="J2922" s="9" t="str">
        <f t="shared" si="64"/>
        <v/>
      </c>
    </row>
    <row r="2923" spans="1:10" ht="23.25" customHeight="1">
      <c r="A2923">
        <f>Table4[[#This Row],[Column1]]</f>
        <v>0</v>
      </c>
      <c r="B2923">
        <f>Table4[[#This Row],[Column2]]</f>
        <v>0</v>
      </c>
      <c r="I2923" s="13">
        <f>Table6[[#This Row],[discharge_date]]-Table6[[#This Row],[surgery_date]]</f>
        <v>0</v>
      </c>
      <c r="J2923" s="9" t="str">
        <f t="shared" si="64"/>
        <v/>
      </c>
    </row>
    <row r="2924" spans="1:10" ht="23.25" customHeight="1">
      <c r="A2924">
        <f>Table4[[#This Row],[Column1]]</f>
        <v>0</v>
      </c>
      <c r="B2924">
        <f>Table4[[#This Row],[Column2]]</f>
        <v>0</v>
      </c>
      <c r="I2924" s="13">
        <f>Table6[[#This Row],[discharge_date]]-Table6[[#This Row],[surgery_date]]</f>
        <v>0</v>
      </c>
      <c r="J2924" s="9" t="str">
        <f t="shared" si="64"/>
        <v/>
      </c>
    </row>
    <row r="2925" spans="1:10" ht="23.25" customHeight="1">
      <c r="A2925">
        <f>Table4[[#This Row],[Column1]]</f>
        <v>0</v>
      </c>
      <c r="B2925">
        <f>Table4[[#This Row],[Column2]]</f>
        <v>0</v>
      </c>
      <c r="I2925" s="13">
        <f>Table6[[#This Row],[discharge_date]]-Table6[[#This Row],[surgery_date]]</f>
        <v>0</v>
      </c>
      <c r="J2925" s="9" t="str">
        <f t="shared" si="64"/>
        <v/>
      </c>
    </row>
    <row r="2926" spans="1:10" ht="23.25" customHeight="1">
      <c r="A2926">
        <f>Table4[[#This Row],[Column1]]</f>
        <v>0</v>
      </c>
      <c r="B2926">
        <f>Table4[[#This Row],[Column2]]</f>
        <v>0</v>
      </c>
      <c r="I2926" s="13">
        <f>Table6[[#This Row],[discharge_date]]-Table6[[#This Row],[surgery_date]]</f>
        <v>0</v>
      </c>
      <c r="J2926" s="9" t="str">
        <f t="shared" si="64"/>
        <v/>
      </c>
    </row>
    <row r="2927" spans="1:10" ht="23.25" customHeight="1">
      <c r="A2927">
        <f>Table4[[#This Row],[Column1]]</f>
        <v>0</v>
      </c>
      <c r="B2927">
        <f>Table4[[#This Row],[Column2]]</f>
        <v>0</v>
      </c>
      <c r="I2927" s="13">
        <f>Table6[[#This Row],[discharge_date]]-Table6[[#This Row],[surgery_date]]</f>
        <v>0</v>
      </c>
      <c r="J2927" s="9" t="str">
        <f t="shared" si="64"/>
        <v/>
      </c>
    </row>
    <row r="2928" spans="1:10" ht="23.25" customHeight="1">
      <c r="A2928">
        <f>Table4[[#This Row],[Column1]]</f>
        <v>0</v>
      </c>
      <c r="B2928">
        <f>Table4[[#This Row],[Column2]]</f>
        <v>0</v>
      </c>
      <c r="I2928" s="13">
        <f>Table6[[#This Row],[discharge_date]]-Table6[[#This Row],[surgery_date]]</f>
        <v>0</v>
      </c>
      <c r="J2928" s="9" t="str">
        <f t="shared" si="64"/>
        <v/>
      </c>
    </row>
    <row r="2929" spans="1:10" ht="23.25" customHeight="1">
      <c r="A2929">
        <f>Table4[[#This Row],[Column1]]</f>
        <v>0</v>
      </c>
      <c r="B2929">
        <f>Table4[[#This Row],[Column2]]</f>
        <v>0</v>
      </c>
      <c r="I2929" s="13">
        <f>Table6[[#This Row],[discharge_date]]-Table6[[#This Row],[surgery_date]]</f>
        <v>0</v>
      </c>
      <c r="J2929" s="9" t="str">
        <f t="shared" si="64"/>
        <v/>
      </c>
    </row>
    <row r="2930" spans="1:10" ht="23.25" customHeight="1">
      <c r="A2930">
        <f>Table4[[#This Row],[Column1]]</f>
        <v>0</v>
      </c>
      <c r="B2930">
        <f>Table4[[#This Row],[Column2]]</f>
        <v>0</v>
      </c>
      <c r="I2930" s="13">
        <f>Table6[[#This Row],[discharge_date]]-Table6[[#This Row],[surgery_date]]</f>
        <v>0</v>
      </c>
      <c r="J2930" s="9" t="str">
        <f t="shared" si="64"/>
        <v/>
      </c>
    </row>
    <row r="2931" spans="1:10" ht="23.25" customHeight="1">
      <c r="A2931">
        <f>Table4[[#This Row],[Column1]]</f>
        <v>0</v>
      </c>
      <c r="B2931">
        <f>Table4[[#This Row],[Column2]]</f>
        <v>0</v>
      </c>
      <c r="I2931" s="13">
        <f>Table6[[#This Row],[discharge_date]]-Table6[[#This Row],[surgery_date]]</f>
        <v>0</v>
      </c>
      <c r="J2931" s="9" t="str">
        <f t="shared" si="64"/>
        <v/>
      </c>
    </row>
    <row r="2932" spans="1:10" ht="23.25" customHeight="1">
      <c r="A2932">
        <f>Table4[[#This Row],[Column1]]</f>
        <v>0</v>
      </c>
      <c r="B2932">
        <f>Table4[[#This Row],[Column2]]</f>
        <v>0</v>
      </c>
      <c r="I2932" s="13">
        <f>Table6[[#This Row],[discharge_date]]-Table6[[#This Row],[surgery_date]]</f>
        <v>0</v>
      </c>
      <c r="J2932" s="9" t="str">
        <f t="shared" si="64"/>
        <v/>
      </c>
    </row>
    <row r="2933" spans="1:10" ht="23.25" customHeight="1">
      <c r="A2933">
        <f>Table4[[#This Row],[Column1]]</f>
        <v>0</v>
      </c>
      <c r="B2933">
        <f>Table4[[#This Row],[Column2]]</f>
        <v>0</v>
      </c>
      <c r="I2933" s="13">
        <f>Table6[[#This Row],[discharge_date]]-Table6[[#This Row],[surgery_date]]</f>
        <v>0</v>
      </c>
      <c r="J2933" s="9" t="str">
        <f t="shared" si="64"/>
        <v/>
      </c>
    </row>
    <row r="2934" spans="1:10" ht="23.25" customHeight="1">
      <c r="A2934">
        <f>Table4[[#This Row],[Column1]]</f>
        <v>0</v>
      </c>
      <c r="B2934">
        <f>Table4[[#This Row],[Column2]]</f>
        <v>0</v>
      </c>
      <c r="I2934" s="13">
        <f>Table6[[#This Row],[discharge_date]]-Table6[[#This Row],[surgery_date]]</f>
        <v>0</v>
      </c>
      <c r="J2934" s="9" t="str">
        <f t="shared" si="64"/>
        <v/>
      </c>
    </row>
    <row r="2935" spans="1:10" ht="23.25" customHeight="1">
      <c r="A2935">
        <f>Table4[[#This Row],[Column1]]</f>
        <v>0</v>
      </c>
      <c r="B2935">
        <f>Table4[[#This Row],[Column2]]</f>
        <v>0</v>
      </c>
      <c r="I2935" s="13">
        <f>Table6[[#This Row],[discharge_date]]-Table6[[#This Row],[surgery_date]]</f>
        <v>0</v>
      </c>
      <c r="J2935" s="9" t="str">
        <f t="shared" si="64"/>
        <v/>
      </c>
    </row>
    <row r="2936" spans="1:10" ht="23.25" customHeight="1">
      <c r="A2936">
        <f>Table4[[#This Row],[Column1]]</f>
        <v>0</v>
      </c>
      <c r="B2936">
        <f>Table4[[#This Row],[Column2]]</f>
        <v>0</v>
      </c>
      <c r="I2936" s="13">
        <f>Table6[[#This Row],[discharge_date]]-Table6[[#This Row],[surgery_date]]</f>
        <v>0</v>
      </c>
      <c r="J2936" s="9" t="str">
        <f t="shared" si="64"/>
        <v/>
      </c>
    </row>
    <row r="2937" spans="1:10" ht="23.25" customHeight="1">
      <c r="A2937">
        <f>Table4[[#This Row],[Column1]]</f>
        <v>0</v>
      </c>
      <c r="B2937">
        <f>Table4[[#This Row],[Column2]]</f>
        <v>0</v>
      </c>
      <c r="I2937" s="13">
        <f>Table6[[#This Row],[discharge_date]]-Table6[[#This Row],[surgery_date]]</f>
        <v>0</v>
      </c>
      <c r="J2937" s="9" t="str">
        <f t="shared" si="64"/>
        <v/>
      </c>
    </row>
    <row r="2938" spans="1:10" ht="23.25" customHeight="1">
      <c r="A2938">
        <f>Table4[[#This Row],[Column1]]</f>
        <v>0</v>
      </c>
      <c r="B2938">
        <f>Table4[[#This Row],[Column2]]</f>
        <v>0</v>
      </c>
      <c r="I2938" s="13">
        <f>Table6[[#This Row],[discharge_date]]-Table6[[#This Row],[surgery_date]]</f>
        <v>0</v>
      </c>
      <c r="J2938" s="9" t="str">
        <f t="shared" si="64"/>
        <v/>
      </c>
    </row>
    <row r="2939" spans="1:10" ht="23.25" customHeight="1">
      <c r="A2939">
        <f>Table4[[#This Row],[Column1]]</f>
        <v>0</v>
      </c>
      <c r="B2939">
        <f>Table4[[#This Row],[Column2]]</f>
        <v>0</v>
      </c>
      <c r="I2939" s="13">
        <f>Table6[[#This Row],[discharge_date]]-Table6[[#This Row],[surgery_date]]</f>
        <v>0</v>
      </c>
      <c r="J2939" s="9" t="str">
        <f t="shared" si="64"/>
        <v/>
      </c>
    </row>
    <row r="2940" spans="1:10" ht="23.25" customHeight="1">
      <c r="A2940">
        <f>Table4[[#This Row],[Column1]]</f>
        <v>0</v>
      </c>
      <c r="B2940">
        <f>Table4[[#This Row],[Column2]]</f>
        <v>0</v>
      </c>
      <c r="I2940" s="13">
        <f>Table6[[#This Row],[discharge_date]]-Table6[[#This Row],[surgery_date]]</f>
        <v>0</v>
      </c>
      <c r="J2940" s="9" t="str">
        <f t="shared" si="64"/>
        <v/>
      </c>
    </row>
    <row r="2941" spans="1:10" ht="23.25" customHeight="1">
      <c r="A2941">
        <f>Table4[[#This Row],[Column1]]</f>
        <v>0</v>
      </c>
      <c r="B2941">
        <f>Table4[[#This Row],[Column2]]</f>
        <v>0</v>
      </c>
      <c r="I2941" s="13">
        <f>Table6[[#This Row],[discharge_date]]-Table6[[#This Row],[surgery_date]]</f>
        <v>0</v>
      </c>
      <c r="J2941" s="9" t="str">
        <f t="shared" si="64"/>
        <v/>
      </c>
    </row>
    <row r="2942" spans="1:10" ht="23.25" customHeight="1">
      <c r="A2942">
        <f>Table4[[#This Row],[Column1]]</f>
        <v>0</v>
      </c>
      <c r="B2942">
        <f>Table4[[#This Row],[Column2]]</f>
        <v>0</v>
      </c>
      <c r="I2942" s="13">
        <f>Table6[[#This Row],[discharge_date]]-Table6[[#This Row],[surgery_date]]</f>
        <v>0</v>
      </c>
      <c r="J2942" s="9" t="str">
        <f t="shared" si="64"/>
        <v/>
      </c>
    </row>
    <row r="2943" spans="1:10" ht="23.25" customHeight="1">
      <c r="A2943">
        <f>Table4[[#This Row],[Column1]]</f>
        <v>0</v>
      </c>
      <c r="B2943">
        <f>Table4[[#This Row],[Column2]]</f>
        <v>0</v>
      </c>
      <c r="I2943" s="13">
        <f>Table6[[#This Row],[discharge_date]]-Table6[[#This Row],[surgery_date]]</f>
        <v>0</v>
      </c>
      <c r="J2943" s="9" t="str">
        <f t="shared" si="64"/>
        <v/>
      </c>
    </row>
    <row r="2944" spans="1:10" ht="23.25" customHeight="1">
      <c r="A2944">
        <f>Table4[[#This Row],[Column1]]</f>
        <v>0</v>
      </c>
      <c r="B2944">
        <f>Table4[[#This Row],[Column2]]</f>
        <v>0</v>
      </c>
      <c r="I2944" s="13">
        <f>Table6[[#This Row],[discharge_date]]-Table6[[#This Row],[surgery_date]]</f>
        <v>0</v>
      </c>
      <c r="J2944" s="9" t="str">
        <f t="shared" si="64"/>
        <v/>
      </c>
    </row>
    <row r="2945" spans="1:10" ht="23.25" customHeight="1">
      <c r="A2945">
        <f>Table4[[#This Row],[Column1]]</f>
        <v>0</v>
      </c>
      <c r="B2945">
        <f>Table4[[#This Row],[Column2]]</f>
        <v>0</v>
      </c>
      <c r="I2945" s="13">
        <f>Table6[[#This Row],[discharge_date]]-Table6[[#This Row],[surgery_date]]</f>
        <v>0</v>
      </c>
      <c r="J2945" s="9" t="str">
        <f t="shared" si="64"/>
        <v/>
      </c>
    </row>
    <row r="2946" spans="1:10" ht="23.25" customHeight="1">
      <c r="A2946">
        <f>Table4[[#This Row],[Column1]]</f>
        <v>0</v>
      </c>
      <c r="B2946">
        <f>Table4[[#This Row],[Column2]]</f>
        <v>0</v>
      </c>
      <c r="I2946" s="13">
        <f>Table6[[#This Row],[discharge_date]]-Table6[[#This Row],[surgery_date]]</f>
        <v>0</v>
      </c>
      <c r="J2946" s="9" t="str">
        <f t="shared" ref="J2946:J3002" si="65">IF( H2946&lt;&gt;"", H2946+30,"")</f>
        <v/>
      </c>
    </row>
    <row r="2947" spans="1:10" ht="23.25" customHeight="1">
      <c r="A2947">
        <f>Table4[[#This Row],[Column1]]</f>
        <v>0</v>
      </c>
      <c r="B2947">
        <f>Table4[[#This Row],[Column2]]</f>
        <v>0</v>
      </c>
      <c r="I2947" s="13">
        <f>Table6[[#This Row],[discharge_date]]-Table6[[#This Row],[surgery_date]]</f>
        <v>0</v>
      </c>
      <c r="J2947" s="9" t="str">
        <f t="shared" si="65"/>
        <v/>
      </c>
    </row>
    <row r="2948" spans="1:10" ht="23.25" customHeight="1">
      <c r="A2948">
        <f>Table4[[#This Row],[Column1]]</f>
        <v>0</v>
      </c>
      <c r="B2948">
        <f>Table4[[#This Row],[Column2]]</f>
        <v>0</v>
      </c>
      <c r="I2948" s="13">
        <f>Table6[[#This Row],[discharge_date]]-Table6[[#This Row],[surgery_date]]</f>
        <v>0</v>
      </c>
      <c r="J2948" s="9" t="str">
        <f t="shared" si="65"/>
        <v/>
      </c>
    </row>
    <row r="2949" spans="1:10" ht="23.25" customHeight="1">
      <c r="A2949">
        <f>Table4[[#This Row],[Column1]]</f>
        <v>0</v>
      </c>
      <c r="B2949">
        <f>Table4[[#This Row],[Column2]]</f>
        <v>0</v>
      </c>
      <c r="I2949" s="13">
        <f>Table6[[#This Row],[discharge_date]]-Table6[[#This Row],[surgery_date]]</f>
        <v>0</v>
      </c>
      <c r="J2949" s="9" t="str">
        <f t="shared" si="65"/>
        <v/>
      </c>
    </row>
    <row r="2950" spans="1:10" ht="23.25" customHeight="1">
      <c r="A2950">
        <f>Table4[[#This Row],[Column1]]</f>
        <v>0</v>
      </c>
      <c r="B2950">
        <f>Table4[[#This Row],[Column2]]</f>
        <v>0</v>
      </c>
      <c r="I2950" s="13">
        <f>Table6[[#This Row],[discharge_date]]-Table6[[#This Row],[surgery_date]]</f>
        <v>0</v>
      </c>
      <c r="J2950" s="9" t="str">
        <f t="shared" si="65"/>
        <v/>
      </c>
    </row>
    <row r="2951" spans="1:10" ht="23.25" customHeight="1">
      <c r="A2951">
        <f>Table4[[#This Row],[Column1]]</f>
        <v>0</v>
      </c>
      <c r="B2951">
        <f>Table4[[#This Row],[Column2]]</f>
        <v>0</v>
      </c>
      <c r="I2951" s="13">
        <f>Table6[[#This Row],[discharge_date]]-Table6[[#This Row],[surgery_date]]</f>
        <v>0</v>
      </c>
      <c r="J2951" s="9" t="str">
        <f t="shared" si="65"/>
        <v/>
      </c>
    </row>
    <row r="2952" spans="1:10" ht="23.25" customHeight="1">
      <c r="A2952">
        <f>Table4[[#This Row],[Column1]]</f>
        <v>0</v>
      </c>
      <c r="B2952">
        <f>Table4[[#This Row],[Column2]]</f>
        <v>0</v>
      </c>
      <c r="I2952" s="13">
        <f>Table6[[#This Row],[discharge_date]]-Table6[[#This Row],[surgery_date]]</f>
        <v>0</v>
      </c>
      <c r="J2952" s="9" t="str">
        <f t="shared" si="65"/>
        <v/>
      </c>
    </row>
    <row r="2953" spans="1:10" ht="23.25" customHeight="1">
      <c r="A2953">
        <f>Table4[[#This Row],[Column1]]</f>
        <v>0</v>
      </c>
      <c r="B2953">
        <f>Table4[[#This Row],[Column2]]</f>
        <v>0</v>
      </c>
      <c r="I2953" s="13">
        <f>Table6[[#This Row],[discharge_date]]-Table6[[#This Row],[surgery_date]]</f>
        <v>0</v>
      </c>
      <c r="J2953" s="9" t="str">
        <f t="shared" si="65"/>
        <v/>
      </c>
    </row>
    <row r="2954" spans="1:10" ht="23.25" customHeight="1">
      <c r="A2954">
        <f>Table4[[#This Row],[Column1]]</f>
        <v>0</v>
      </c>
      <c r="B2954">
        <f>Table4[[#This Row],[Column2]]</f>
        <v>0</v>
      </c>
      <c r="I2954" s="13">
        <f>Table6[[#This Row],[discharge_date]]-Table6[[#This Row],[surgery_date]]</f>
        <v>0</v>
      </c>
      <c r="J2954" s="9" t="str">
        <f t="shared" si="65"/>
        <v/>
      </c>
    </row>
    <row r="2955" spans="1:10" ht="23.25" customHeight="1">
      <c r="A2955">
        <f>Table4[[#This Row],[Column1]]</f>
        <v>0</v>
      </c>
      <c r="B2955">
        <f>Table4[[#This Row],[Column2]]</f>
        <v>0</v>
      </c>
      <c r="I2955" s="13">
        <f>Table6[[#This Row],[discharge_date]]-Table6[[#This Row],[surgery_date]]</f>
        <v>0</v>
      </c>
      <c r="J2955" s="9" t="str">
        <f t="shared" si="65"/>
        <v/>
      </c>
    </row>
    <row r="2956" spans="1:10" ht="23.25" customHeight="1">
      <c r="A2956">
        <f>Table4[[#This Row],[Column1]]</f>
        <v>0</v>
      </c>
      <c r="B2956">
        <f>Table4[[#This Row],[Column2]]</f>
        <v>0</v>
      </c>
      <c r="I2956" s="13">
        <f>Table6[[#This Row],[discharge_date]]-Table6[[#This Row],[surgery_date]]</f>
        <v>0</v>
      </c>
      <c r="J2956" s="9" t="str">
        <f t="shared" si="65"/>
        <v/>
      </c>
    </row>
    <row r="2957" spans="1:10" ht="23.25" customHeight="1">
      <c r="A2957">
        <f>Table4[[#This Row],[Column1]]</f>
        <v>0</v>
      </c>
      <c r="B2957">
        <f>Table4[[#This Row],[Column2]]</f>
        <v>0</v>
      </c>
      <c r="I2957" s="13">
        <f>Table6[[#This Row],[discharge_date]]-Table6[[#This Row],[surgery_date]]</f>
        <v>0</v>
      </c>
      <c r="J2957" s="9" t="str">
        <f t="shared" si="65"/>
        <v/>
      </c>
    </row>
    <row r="2958" spans="1:10" ht="23.25" customHeight="1">
      <c r="A2958">
        <f>Table4[[#This Row],[Column1]]</f>
        <v>0</v>
      </c>
      <c r="B2958">
        <f>Table4[[#This Row],[Column2]]</f>
        <v>0</v>
      </c>
      <c r="I2958" s="13">
        <f>Table6[[#This Row],[discharge_date]]-Table6[[#This Row],[surgery_date]]</f>
        <v>0</v>
      </c>
      <c r="J2958" s="9" t="str">
        <f t="shared" si="65"/>
        <v/>
      </c>
    </row>
    <row r="2959" spans="1:10" ht="23.25" customHeight="1">
      <c r="A2959">
        <f>Table4[[#This Row],[Column1]]</f>
        <v>0</v>
      </c>
      <c r="B2959">
        <f>Table4[[#This Row],[Column2]]</f>
        <v>0</v>
      </c>
      <c r="I2959" s="13">
        <f>Table6[[#This Row],[discharge_date]]-Table6[[#This Row],[surgery_date]]</f>
        <v>0</v>
      </c>
      <c r="J2959" s="9" t="str">
        <f t="shared" si="65"/>
        <v/>
      </c>
    </row>
    <row r="2960" spans="1:10" ht="23.25" customHeight="1">
      <c r="A2960">
        <f>Table4[[#This Row],[Column1]]</f>
        <v>0</v>
      </c>
      <c r="B2960">
        <f>Table4[[#This Row],[Column2]]</f>
        <v>0</v>
      </c>
      <c r="I2960" s="13">
        <f>Table6[[#This Row],[discharge_date]]-Table6[[#This Row],[surgery_date]]</f>
        <v>0</v>
      </c>
      <c r="J2960" s="9" t="str">
        <f t="shared" si="65"/>
        <v/>
      </c>
    </row>
    <row r="2961" spans="1:10" ht="23.25" customHeight="1">
      <c r="A2961">
        <f>Table4[[#This Row],[Column1]]</f>
        <v>0</v>
      </c>
      <c r="B2961">
        <f>Table4[[#This Row],[Column2]]</f>
        <v>0</v>
      </c>
      <c r="I2961" s="13">
        <f>Table6[[#This Row],[discharge_date]]-Table6[[#This Row],[surgery_date]]</f>
        <v>0</v>
      </c>
      <c r="J2961" s="9" t="str">
        <f t="shared" si="65"/>
        <v/>
      </c>
    </row>
    <row r="2962" spans="1:10" ht="23.25" customHeight="1">
      <c r="A2962">
        <f>Table4[[#This Row],[Column1]]</f>
        <v>0</v>
      </c>
      <c r="B2962">
        <f>Table4[[#This Row],[Column2]]</f>
        <v>0</v>
      </c>
      <c r="I2962" s="13">
        <f>Table6[[#This Row],[discharge_date]]-Table6[[#This Row],[surgery_date]]</f>
        <v>0</v>
      </c>
      <c r="J2962" s="9" t="str">
        <f t="shared" si="65"/>
        <v/>
      </c>
    </row>
    <row r="2963" spans="1:10" ht="23.25" customHeight="1">
      <c r="A2963">
        <f>Table4[[#This Row],[Column1]]</f>
        <v>0</v>
      </c>
      <c r="B2963">
        <f>Table4[[#This Row],[Column2]]</f>
        <v>0</v>
      </c>
      <c r="I2963" s="13">
        <f>Table6[[#This Row],[discharge_date]]-Table6[[#This Row],[surgery_date]]</f>
        <v>0</v>
      </c>
      <c r="J2963" s="9" t="str">
        <f t="shared" si="65"/>
        <v/>
      </c>
    </row>
    <row r="2964" spans="1:10" ht="23.25" customHeight="1">
      <c r="A2964">
        <f>Table4[[#This Row],[Column1]]</f>
        <v>0</v>
      </c>
      <c r="B2964">
        <f>Table4[[#This Row],[Column2]]</f>
        <v>0</v>
      </c>
      <c r="I2964" s="13">
        <f>Table6[[#This Row],[discharge_date]]-Table6[[#This Row],[surgery_date]]</f>
        <v>0</v>
      </c>
      <c r="J2964" s="9" t="str">
        <f t="shared" si="65"/>
        <v/>
      </c>
    </row>
    <row r="2965" spans="1:10" ht="23.25" customHeight="1">
      <c r="A2965">
        <f>Table4[[#This Row],[Column1]]</f>
        <v>0</v>
      </c>
      <c r="B2965">
        <f>Table4[[#This Row],[Column2]]</f>
        <v>0</v>
      </c>
      <c r="I2965" s="13">
        <f>Table6[[#This Row],[discharge_date]]-Table6[[#This Row],[surgery_date]]</f>
        <v>0</v>
      </c>
      <c r="J2965" s="9" t="str">
        <f t="shared" si="65"/>
        <v/>
      </c>
    </row>
    <row r="2966" spans="1:10" ht="23.25" customHeight="1">
      <c r="A2966">
        <f>Table4[[#This Row],[Column1]]</f>
        <v>0</v>
      </c>
      <c r="B2966">
        <f>Table4[[#This Row],[Column2]]</f>
        <v>0</v>
      </c>
      <c r="I2966" s="13">
        <f>Table6[[#This Row],[discharge_date]]-Table6[[#This Row],[surgery_date]]</f>
        <v>0</v>
      </c>
      <c r="J2966" s="9" t="str">
        <f t="shared" si="65"/>
        <v/>
      </c>
    </row>
    <row r="2967" spans="1:10" ht="23.25" customHeight="1">
      <c r="A2967">
        <f>Table4[[#This Row],[Column1]]</f>
        <v>0</v>
      </c>
      <c r="B2967">
        <f>Table4[[#This Row],[Column2]]</f>
        <v>0</v>
      </c>
      <c r="I2967" s="13">
        <f>Table6[[#This Row],[discharge_date]]-Table6[[#This Row],[surgery_date]]</f>
        <v>0</v>
      </c>
      <c r="J2967" s="9" t="str">
        <f t="shared" si="65"/>
        <v/>
      </c>
    </row>
    <row r="2968" spans="1:10" ht="23.25" customHeight="1">
      <c r="A2968">
        <f>Table4[[#This Row],[Column1]]</f>
        <v>0</v>
      </c>
      <c r="B2968">
        <f>Table4[[#This Row],[Column2]]</f>
        <v>0</v>
      </c>
      <c r="I2968" s="13">
        <f>Table6[[#This Row],[discharge_date]]-Table6[[#This Row],[surgery_date]]</f>
        <v>0</v>
      </c>
      <c r="J2968" s="9" t="str">
        <f t="shared" si="65"/>
        <v/>
      </c>
    </row>
    <row r="2969" spans="1:10" ht="23.25" customHeight="1">
      <c r="A2969">
        <f>Table4[[#This Row],[Column1]]</f>
        <v>0</v>
      </c>
      <c r="B2969">
        <f>Table4[[#This Row],[Column2]]</f>
        <v>0</v>
      </c>
      <c r="I2969" s="13">
        <f>Table6[[#This Row],[discharge_date]]-Table6[[#This Row],[surgery_date]]</f>
        <v>0</v>
      </c>
      <c r="J2969" s="9" t="str">
        <f t="shared" si="65"/>
        <v/>
      </c>
    </row>
    <row r="2970" spans="1:10" ht="23.25" customHeight="1">
      <c r="A2970">
        <f>Table4[[#This Row],[Column1]]</f>
        <v>0</v>
      </c>
      <c r="B2970">
        <f>Table4[[#This Row],[Column2]]</f>
        <v>0</v>
      </c>
      <c r="I2970" s="13">
        <f>Table6[[#This Row],[discharge_date]]-Table6[[#This Row],[surgery_date]]</f>
        <v>0</v>
      </c>
      <c r="J2970" s="9" t="str">
        <f t="shared" si="65"/>
        <v/>
      </c>
    </row>
    <row r="2971" spans="1:10" ht="23.25" customHeight="1">
      <c r="A2971">
        <f>Table4[[#This Row],[Column1]]</f>
        <v>0</v>
      </c>
      <c r="B2971">
        <f>Table4[[#This Row],[Column2]]</f>
        <v>0</v>
      </c>
      <c r="I2971" s="13">
        <f>Table6[[#This Row],[discharge_date]]-Table6[[#This Row],[surgery_date]]</f>
        <v>0</v>
      </c>
      <c r="J2971" s="9" t="str">
        <f t="shared" si="65"/>
        <v/>
      </c>
    </row>
    <row r="2972" spans="1:10" ht="23.25" customHeight="1">
      <c r="A2972">
        <f>Table4[[#This Row],[Column1]]</f>
        <v>0</v>
      </c>
      <c r="B2972">
        <f>Table4[[#This Row],[Column2]]</f>
        <v>0</v>
      </c>
      <c r="I2972" s="13">
        <f>Table6[[#This Row],[discharge_date]]-Table6[[#This Row],[surgery_date]]</f>
        <v>0</v>
      </c>
      <c r="J2972" s="9" t="str">
        <f t="shared" si="65"/>
        <v/>
      </c>
    </row>
    <row r="2973" spans="1:10" ht="23.25" customHeight="1">
      <c r="A2973">
        <f>Table4[[#This Row],[Column1]]</f>
        <v>0</v>
      </c>
      <c r="B2973">
        <f>Table4[[#This Row],[Column2]]</f>
        <v>0</v>
      </c>
      <c r="I2973" s="13">
        <f>Table6[[#This Row],[discharge_date]]-Table6[[#This Row],[surgery_date]]</f>
        <v>0</v>
      </c>
      <c r="J2973" s="9" t="str">
        <f t="shared" si="65"/>
        <v/>
      </c>
    </row>
    <row r="2974" spans="1:10" ht="23.25" customHeight="1">
      <c r="A2974">
        <f>Table4[[#This Row],[Column1]]</f>
        <v>0</v>
      </c>
      <c r="B2974">
        <f>Table4[[#This Row],[Column2]]</f>
        <v>0</v>
      </c>
      <c r="I2974" s="13">
        <f>Table6[[#This Row],[discharge_date]]-Table6[[#This Row],[surgery_date]]</f>
        <v>0</v>
      </c>
      <c r="J2974" s="9" t="str">
        <f t="shared" si="65"/>
        <v/>
      </c>
    </row>
    <row r="2975" spans="1:10" ht="23.25" customHeight="1">
      <c r="A2975">
        <f>Table4[[#This Row],[Column1]]</f>
        <v>0</v>
      </c>
      <c r="B2975">
        <f>Table4[[#This Row],[Column2]]</f>
        <v>0</v>
      </c>
      <c r="I2975" s="13">
        <f>Table6[[#This Row],[discharge_date]]-Table6[[#This Row],[surgery_date]]</f>
        <v>0</v>
      </c>
      <c r="J2975" s="9" t="str">
        <f t="shared" si="65"/>
        <v/>
      </c>
    </row>
    <row r="2976" spans="1:10" ht="23.25" customHeight="1">
      <c r="A2976">
        <f>Table4[[#This Row],[Column1]]</f>
        <v>0</v>
      </c>
      <c r="B2976">
        <f>Table4[[#This Row],[Column2]]</f>
        <v>0</v>
      </c>
      <c r="I2976" s="13">
        <f>Table6[[#This Row],[discharge_date]]-Table6[[#This Row],[surgery_date]]</f>
        <v>0</v>
      </c>
      <c r="J2976" s="9" t="str">
        <f t="shared" si="65"/>
        <v/>
      </c>
    </row>
    <row r="2977" spans="1:10" ht="23.25" customHeight="1">
      <c r="A2977">
        <f>Table4[[#This Row],[Column1]]</f>
        <v>0</v>
      </c>
      <c r="B2977">
        <f>Table4[[#This Row],[Column2]]</f>
        <v>0</v>
      </c>
      <c r="I2977" s="13">
        <f>Table6[[#This Row],[discharge_date]]-Table6[[#This Row],[surgery_date]]</f>
        <v>0</v>
      </c>
      <c r="J2977" s="9" t="str">
        <f t="shared" si="65"/>
        <v/>
      </c>
    </row>
    <row r="2978" spans="1:10" ht="23.25" customHeight="1">
      <c r="A2978">
        <f>Table4[[#This Row],[Column1]]</f>
        <v>0</v>
      </c>
      <c r="B2978">
        <f>Table4[[#This Row],[Column2]]</f>
        <v>0</v>
      </c>
      <c r="I2978" s="13">
        <f>Table6[[#This Row],[discharge_date]]-Table6[[#This Row],[surgery_date]]</f>
        <v>0</v>
      </c>
      <c r="J2978" s="9" t="str">
        <f t="shared" si="65"/>
        <v/>
      </c>
    </row>
    <row r="2979" spans="1:10" ht="23.25" customHeight="1">
      <c r="A2979">
        <f>Table4[[#This Row],[Column1]]</f>
        <v>0</v>
      </c>
      <c r="B2979">
        <f>Table4[[#This Row],[Column2]]</f>
        <v>0</v>
      </c>
      <c r="I2979" s="13">
        <f>Table6[[#This Row],[discharge_date]]-Table6[[#This Row],[surgery_date]]</f>
        <v>0</v>
      </c>
      <c r="J2979" s="9" t="str">
        <f t="shared" si="65"/>
        <v/>
      </c>
    </row>
    <row r="2980" spans="1:10" ht="23.25" customHeight="1">
      <c r="A2980">
        <f>Table4[[#This Row],[Column1]]</f>
        <v>0</v>
      </c>
      <c r="B2980">
        <f>Table4[[#This Row],[Column2]]</f>
        <v>0</v>
      </c>
      <c r="I2980" s="13">
        <f>Table6[[#This Row],[discharge_date]]-Table6[[#This Row],[surgery_date]]</f>
        <v>0</v>
      </c>
      <c r="J2980" s="9" t="str">
        <f t="shared" si="65"/>
        <v/>
      </c>
    </row>
    <row r="2981" spans="1:10" ht="23.25" customHeight="1">
      <c r="A2981">
        <f>Table4[[#This Row],[Column1]]</f>
        <v>0</v>
      </c>
      <c r="B2981">
        <f>Table4[[#This Row],[Column2]]</f>
        <v>0</v>
      </c>
      <c r="I2981" s="13">
        <f>Table6[[#This Row],[discharge_date]]-Table6[[#This Row],[surgery_date]]</f>
        <v>0</v>
      </c>
      <c r="J2981" s="9" t="str">
        <f t="shared" si="65"/>
        <v/>
      </c>
    </row>
    <row r="2982" spans="1:10" ht="23.25" customHeight="1">
      <c r="A2982">
        <f>Table4[[#This Row],[Column1]]</f>
        <v>0</v>
      </c>
      <c r="B2982">
        <f>Table4[[#This Row],[Column2]]</f>
        <v>0</v>
      </c>
      <c r="I2982" s="13">
        <f>Table6[[#This Row],[discharge_date]]-Table6[[#This Row],[surgery_date]]</f>
        <v>0</v>
      </c>
      <c r="J2982" s="9" t="str">
        <f t="shared" si="65"/>
        <v/>
      </c>
    </row>
    <row r="2983" spans="1:10" ht="23.25" customHeight="1">
      <c r="A2983">
        <f>Table4[[#This Row],[Column1]]</f>
        <v>0</v>
      </c>
      <c r="B2983">
        <f>Table4[[#This Row],[Column2]]</f>
        <v>0</v>
      </c>
      <c r="I2983" s="13">
        <f>Table6[[#This Row],[discharge_date]]-Table6[[#This Row],[surgery_date]]</f>
        <v>0</v>
      </c>
      <c r="J2983" s="9" t="str">
        <f t="shared" si="65"/>
        <v/>
      </c>
    </row>
    <row r="2984" spans="1:10" ht="23.25" customHeight="1">
      <c r="A2984">
        <f>Table4[[#This Row],[Column1]]</f>
        <v>0</v>
      </c>
      <c r="B2984">
        <f>Table4[[#This Row],[Column2]]</f>
        <v>0</v>
      </c>
      <c r="I2984" s="13">
        <f>Table6[[#This Row],[discharge_date]]-Table6[[#This Row],[surgery_date]]</f>
        <v>0</v>
      </c>
      <c r="J2984" s="9" t="str">
        <f t="shared" si="65"/>
        <v/>
      </c>
    </row>
    <row r="2985" spans="1:10" ht="23.25" customHeight="1">
      <c r="A2985">
        <f>Table4[[#This Row],[Column1]]</f>
        <v>0</v>
      </c>
      <c r="B2985">
        <f>Table4[[#This Row],[Column2]]</f>
        <v>0</v>
      </c>
      <c r="I2985" s="13">
        <f>Table6[[#This Row],[discharge_date]]-Table6[[#This Row],[surgery_date]]</f>
        <v>0</v>
      </c>
      <c r="J2985" s="9" t="str">
        <f t="shared" si="65"/>
        <v/>
      </c>
    </row>
    <row r="2986" spans="1:10" ht="23.25" customHeight="1">
      <c r="A2986">
        <f>Table4[[#This Row],[Column1]]</f>
        <v>0</v>
      </c>
      <c r="B2986">
        <f>Table4[[#This Row],[Column2]]</f>
        <v>0</v>
      </c>
      <c r="I2986" s="13">
        <f>Table6[[#This Row],[discharge_date]]-Table6[[#This Row],[surgery_date]]</f>
        <v>0</v>
      </c>
      <c r="J2986" s="9" t="str">
        <f t="shared" si="65"/>
        <v/>
      </c>
    </row>
    <row r="2987" spans="1:10" ht="23.25" customHeight="1">
      <c r="A2987">
        <f>Table4[[#This Row],[Column1]]</f>
        <v>0</v>
      </c>
      <c r="B2987">
        <f>Table4[[#This Row],[Column2]]</f>
        <v>0</v>
      </c>
      <c r="I2987" s="13">
        <f>Table6[[#This Row],[discharge_date]]-Table6[[#This Row],[surgery_date]]</f>
        <v>0</v>
      </c>
      <c r="J2987" s="9" t="str">
        <f t="shared" si="65"/>
        <v/>
      </c>
    </row>
    <row r="2988" spans="1:10" ht="23.25" customHeight="1">
      <c r="A2988">
        <f>Table4[[#This Row],[Column1]]</f>
        <v>0</v>
      </c>
      <c r="B2988">
        <f>Table4[[#This Row],[Column2]]</f>
        <v>0</v>
      </c>
      <c r="I2988" s="13">
        <f>Table6[[#This Row],[discharge_date]]-Table6[[#This Row],[surgery_date]]</f>
        <v>0</v>
      </c>
      <c r="J2988" s="9" t="str">
        <f t="shared" si="65"/>
        <v/>
      </c>
    </row>
    <row r="2989" spans="1:10" ht="23.25" customHeight="1">
      <c r="A2989">
        <f>Table4[[#This Row],[Column1]]</f>
        <v>0</v>
      </c>
      <c r="B2989">
        <f>Table4[[#This Row],[Column2]]</f>
        <v>0</v>
      </c>
      <c r="I2989" s="13">
        <f>Table6[[#This Row],[discharge_date]]-Table6[[#This Row],[surgery_date]]</f>
        <v>0</v>
      </c>
      <c r="J2989" s="9" t="str">
        <f t="shared" si="65"/>
        <v/>
      </c>
    </row>
    <row r="2990" spans="1:10" ht="23.25" customHeight="1">
      <c r="A2990">
        <f>Table4[[#This Row],[Column1]]</f>
        <v>0</v>
      </c>
      <c r="B2990">
        <f>Table4[[#This Row],[Column2]]</f>
        <v>0</v>
      </c>
      <c r="I2990" s="13">
        <f>Table6[[#This Row],[discharge_date]]-Table6[[#This Row],[surgery_date]]</f>
        <v>0</v>
      </c>
      <c r="J2990" s="9" t="str">
        <f t="shared" si="65"/>
        <v/>
      </c>
    </row>
    <row r="2991" spans="1:10" ht="23.25" customHeight="1">
      <c r="A2991">
        <f>Table4[[#This Row],[Column1]]</f>
        <v>0</v>
      </c>
      <c r="B2991">
        <f>Table4[[#This Row],[Column2]]</f>
        <v>0</v>
      </c>
      <c r="I2991" s="13">
        <f>Table6[[#This Row],[discharge_date]]-Table6[[#This Row],[surgery_date]]</f>
        <v>0</v>
      </c>
      <c r="J2991" s="9" t="str">
        <f t="shared" si="65"/>
        <v/>
      </c>
    </row>
    <row r="2992" spans="1:10" ht="23.25" customHeight="1">
      <c r="A2992">
        <f>Table4[[#This Row],[Column1]]</f>
        <v>0</v>
      </c>
      <c r="B2992">
        <f>Table4[[#This Row],[Column2]]</f>
        <v>0</v>
      </c>
      <c r="I2992" s="13">
        <f>Table6[[#This Row],[discharge_date]]-Table6[[#This Row],[surgery_date]]</f>
        <v>0</v>
      </c>
      <c r="J2992" s="9" t="str">
        <f t="shared" si="65"/>
        <v/>
      </c>
    </row>
    <row r="2993" spans="1:10" ht="23.25" customHeight="1">
      <c r="A2993">
        <f>Table4[[#This Row],[Column1]]</f>
        <v>0</v>
      </c>
      <c r="B2993">
        <f>Table4[[#This Row],[Column2]]</f>
        <v>0</v>
      </c>
      <c r="I2993" s="13">
        <f>Table6[[#This Row],[discharge_date]]-Table6[[#This Row],[surgery_date]]</f>
        <v>0</v>
      </c>
      <c r="J2993" s="9" t="str">
        <f t="shared" si="65"/>
        <v/>
      </c>
    </row>
    <row r="2994" spans="1:10" ht="23.25" customHeight="1">
      <c r="A2994">
        <f>Table4[[#This Row],[Column1]]</f>
        <v>0</v>
      </c>
      <c r="B2994">
        <f>Table4[[#This Row],[Column2]]</f>
        <v>0</v>
      </c>
      <c r="I2994" s="13">
        <f>Table6[[#This Row],[discharge_date]]-Table6[[#This Row],[surgery_date]]</f>
        <v>0</v>
      </c>
      <c r="J2994" s="9" t="str">
        <f t="shared" si="65"/>
        <v/>
      </c>
    </row>
    <row r="2995" spans="1:10" ht="23.25" customHeight="1">
      <c r="A2995">
        <f>Table4[[#This Row],[Column1]]</f>
        <v>0</v>
      </c>
      <c r="B2995">
        <f>Table4[[#This Row],[Column2]]</f>
        <v>0</v>
      </c>
      <c r="I2995" s="13">
        <f>Table6[[#This Row],[discharge_date]]-Table6[[#This Row],[surgery_date]]</f>
        <v>0</v>
      </c>
      <c r="J2995" s="9" t="str">
        <f t="shared" si="65"/>
        <v/>
      </c>
    </row>
    <row r="2996" spans="1:10" ht="23.25" customHeight="1">
      <c r="A2996">
        <f>Table4[[#This Row],[Column1]]</f>
        <v>0</v>
      </c>
      <c r="B2996">
        <f>Table4[[#This Row],[Column2]]</f>
        <v>0</v>
      </c>
      <c r="I2996" s="13">
        <f>Table6[[#This Row],[discharge_date]]-Table6[[#This Row],[surgery_date]]</f>
        <v>0</v>
      </c>
      <c r="J2996" s="9" t="str">
        <f t="shared" si="65"/>
        <v/>
      </c>
    </row>
    <row r="2997" spans="1:10" ht="23.25" customHeight="1">
      <c r="A2997">
        <f>Table4[[#This Row],[Column1]]</f>
        <v>0</v>
      </c>
      <c r="B2997">
        <f>Table4[[#This Row],[Column2]]</f>
        <v>0</v>
      </c>
      <c r="I2997" s="13">
        <f>Table6[[#This Row],[discharge_date]]-Table6[[#This Row],[surgery_date]]</f>
        <v>0</v>
      </c>
      <c r="J2997" s="9" t="str">
        <f t="shared" si="65"/>
        <v/>
      </c>
    </row>
    <row r="2998" spans="1:10" ht="23.25" customHeight="1">
      <c r="A2998">
        <f>Table4[[#This Row],[Column1]]</f>
        <v>0</v>
      </c>
      <c r="B2998">
        <f>Table4[[#This Row],[Column2]]</f>
        <v>0</v>
      </c>
      <c r="I2998" s="13">
        <f>Table6[[#This Row],[discharge_date]]-Table6[[#This Row],[surgery_date]]</f>
        <v>0</v>
      </c>
      <c r="J2998" s="9" t="str">
        <f t="shared" si="65"/>
        <v/>
      </c>
    </row>
    <row r="2999" spans="1:10" ht="23.25" customHeight="1">
      <c r="A2999">
        <f>Table4[[#This Row],[Column1]]</f>
        <v>0</v>
      </c>
      <c r="B2999">
        <f>Table4[[#This Row],[Column2]]</f>
        <v>0</v>
      </c>
      <c r="I2999" s="13">
        <f>Table6[[#This Row],[discharge_date]]-Table6[[#This Row],[surgery_date]]</f>
        <v>0</v>
      </c>
      <c r="J2999" s="9" t="str">
        <f t="shared" si="65"/>
        <v/>
      </c>
    </row>
    <row r="3000" spans="1:10" ht="23.25" customHeight="1">
      <c r="A3000">
        <f>Table4[[#This Row],[Column1]]</f>
        <v>0</v>
      </c>
      <c r="B3000">
        <f>Table4[[#This Row],[Column2]]</f>
        <v>0</v>
      </c>
      <c r="I3000" s="13">
        <f>Table6[[#This Row],[discharge_date]]-Table6[[#This Row],[surgery_date]]</f>
        <v>0</v>
      </c>
      <c r="J3000" s="9" t="str">
        <f t="shared" si="65"/>
        <v/>
      </c>
    </row>
    <row r="3001" spans="1:10" ht="23.25" customHeight="1">
      <c r="A3001">
        <f>Table4[[#This Row],[Column1]]</f>
        <v>0</v>
      </c>
      <c r="B3001">
        <f>Table4[[#This Row],[Column2]]</f>
        <v>0</v>
      </c>
      <c r="I3001" s="13">
        <f>Table6[[#This Row],[discharge_date]]-Table6[[#This Row],[surgery_date]]</f>
        <v>0</v>
      </c>
      <c r="J3001" s="9" t="str">
        <f t="shared" si="65"/>
        <v/>
      </c>
    </row>
    <row r="3002" spans="1:10" ht="23.25" customHeight="1">
      <c r="A3002">
        <f>Table4[[#This Row],[Column1]]</f>
        <v>0</v>
      </c>
      <c r="B3002">
        <f>Table4[[#This Row],[Column2]]</f>
        <v>0</v>
      </c>
      <c r="G3002" s="65"/>
      <c r="I3002" s="13">
        <f>Table6[[#This Row],[discharge_date]]-Table6[[#This Row],[surgery_date]]</f>
        <v>0</v>
      </c>
      <c r="J3002" s="9" t="str">
        <f t="shared" si="65"/>
        <v/>
      </c>
    </row>
  </sheetData>
  <dataConsolidate/>
  <conditionalFormatting sqref="A2:B3002">
    <cfRule type="cellIs" dxfId="174" priority="6" operator="equal">
      <formula>0</formula>
    </cfRule>
  </conditionalFormatting>
  <conditionalFormatting sqref="A280:C281 A282:D282 F280:G282 B112:B750 A2:B688 F2:I4 A5:I43 A44:H64 A283:G1116 I44:I101 H65:H101 H102:I1116 A1117:I3002 J2:J3002 A65:G279">
    <cfRule type="containsBlanks" dxfId="173" priority="5">
      <formula>LEN(TRIM(A2))=0</formula>
    </cfRule>
  </conditionalFormatting>
  <conditionalFormatting sqref="E282">
    <cfRule type="containsBlanks" dxfId="172" priority="4">
      <formula>LEN(TRIM(E282))=0</formula>
    </cfRule>
  </conditionalFormatting>
  <conditionalFormatting sqref="C2:C3 C4:D4">
    <cfRule type="containsBlanks" dxfId="171" priority="3">
      <formula>LEN(TRIM(C2))=0</formula>
    </cfRule>
  </conditionalFormatting>
  <conditionalFormatting sqref="E4">
    <cfRule type="containsBlanks" dxfId="170" priority="2">
      <formula>LEN(TRIM(E4))=0</formula>
    </cfRule>
  </conditionalFormatting>
  <pageMargins left="0.7" right="0.7" top="0.75" bottom="0.75" header="0.3" footer="0.3"/>
  <pageSetup paperSize="9" orientation="portrait" r:id="rId1"/>
  <tableParts count="2">
    <tablePart r:id="rId2"/>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14:formula1>
            <xm:f>'Answers+SOP'!$J$3:$J$38</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W3002"/>
  <sheetViews>
    <sheetView topLeftCell="A154" zoomScale="70" zoomScaleNormal="70" workbookViewId="0">
      <pane xSplit="2" topLeftCell="G1" activePane="topRight" state="frozen"/>
      <selection activeCell="AA20" sqref="AA20"/>
      <selection pane="topRight" activeCell="O180" sqref="O180"/>
    </sheetView>
  </sheetViews>
  <sheetFormatPr defaultRowHeight="21" customHeight="1"/>
  <cols>
    <col min="1" max="1" width="14.140625" bestFit="1" customWidth="1"/>
    <col min="2" max="2" width="19.7109375" customWidth="1"/>
    <col min="3" max="3" width="11.42578125" customWidth="1"/>
    <col min="4" max="4" width="18.140625" customWidth="1"/>
    <col min="5" max="5" width="22.28515625" customWidth="1"/>
    <col min="6" max="6" width="15.5703125" customWidth="1"/>
    <col min="7" max="7" width="23.28515625" customWidth="1"/>
    <col min="8" max="9" width="24.42578125" customWidth="1"/>
    <col min="10" max="10" width="22.140625" customWidth="1"/>
    <col min="11" max="11" width="22.42578125" customWidth="1"/>
    <col min="12" max="12" width="21.42578125" customWidth="1"/>
    <col min="13" max="13" width="19.7109375" customWidth="1"/>
    <col min="14" max="14" width="23" customWidth="1"/>
    <col min="15" max="15" width="21.28515625" customWidth="1"/>
    <col min="16" max="16" width="22.42578125" customWidth="1"/>
    <col min="17" max="17" width="15.42578125" customWidth="1"/>
    <col min="18" max="18" width="12.5703125" customWidth="1"/>
    <col min="19" max="19" width="17.42578125" customWidth="1"/>
    <col min="20" max="20" width="14" customWidth="1"/>
    <col min="21" max="21" width="11.7109375" customWidth="1"/>
    <col min="22" max="22" width="15.5703125" customWidth="1"/>
    <col min="23" max="23" width="17.85546875" customWidth="1"/>
  </cols>
  <sheetData>
    <row r="1" spans="1:23" ht="21" customHeight="1">
      <c r="A1" t="s">
        <v>662</v>
      </c>
      <c r="B1" t="s">
        <v>663</v>
      </c>
      <c r="C1" s="6" t="s">
        <v>700</v>
      </c>
      <c r="D1" s="6" t="s">
        <v>701</v>
      </c>
      <c r="E1" s="6" t="s">
        <v>702</v>
      </c>
      <c r="F1" s="6" t="s">
        <v>705</v>
      </c>
      <c r="G1" s="6" t="s">
        <v>707</v>
      </c>
      <c r="H1" s="6" t="s">
        <v>708</v>
      </c>
      <c r="I1" s="6" t="s">
        <v>709</v>
      </c>
      <c r="J1" s="6" t="s">
        <v>711</v>
      </c>
      <c r="K1" s="6" t="s">
        <v>712</v>
      </c>
      <c r="L1" s="6" t="s">
        <v>714</v>
      </c>
      <c r="M1" s="6" t="s">
        <v>716</v>
      </c>
      <c r="N1" s="6" t="s">
        <v>718</v>
      </c>
      <c r="O1" s="6" t="s">
        <v>719</v>
      </c>
      <c r="P1" s="6" t="s">
        <v>720</v>
      </c>
      <c r="Q1" s="6" t="s">
        <v>722</v>
      </c>
      <c r="R1" s="6" t="s">
        <v>724</v>
      </c>
      <c r="S1" s="6" t="s">
        <v>725</v>
      </c>
      <c r="T1" s="6" t="s">
        <v>726</v>
      </c>
      <c r="U1" s="6" t="s">
        <v>727</v>
      </c>
      <c r="V1" s="6" t="s">
        <v>784</v>
      </c>
      <c r="W1" s="6" t="s">
        <v>785</v>
      </c>
    </row>
    <row r="2" spans="1:23" ht="21" customHeight="1">
      <c r="A2">
        <f>Table4[[#This Row],[Column1]]</f>
        <v>0</v>
      </c>
      <c r="B2">
        <f>Table4[[#This Row],[Column2]]</f>
        <v>0</v>
      </c>
      <c r="C2" s="81" t="s">
        <v>210</v>
      </c>
      <c r="D2" s="82">
        <v>13.3</v>
      </c>
      <c r="E2" s="82">
        <v>72</v>
      </c>
      <c r="F2" s="81" t="s">
        <v>210</v>
      </c>
      <c r="G2" s="81" t="s">
        <v>4</v>
      </c>
      <c r="H2" s="81" t="s">
        <v>116</v>
      </c>
      <c r="I2" s="81"/>
      <c r="J2" s="81"/>
      <c r="K2" s="81" t="s">
        <v>122</v>
      </c>
      <c r="L2" s="81" t="s">
        <v>4</v>
      </c>
      <c r="M2" s="81" t="s">
        <v>126</v>
      </c>
      <c r="N2" s="81" t="s">
        <v>126</v>
      </c>
      <c r="O2" s="81" t="s">
        <v>25</v>
      </c>
      <c r="P2" s="81" t="s">
        <v>41</v>
      </c>
      <c r="Q2" s="81" t="s">
        <v>44</v>
      </c>
      <c r="R2" s="81" t="s">
        <v>231</v>
      </c>
      <c r="S2" s="81" t="s">
        <v>233</v>
      </c>
      <c r="T2" s="81" t="s">
        <v>253</v>
      </c>
      <c r="U2" s="81" t="s">
        <v>69</v>
      </c>
      <c r="V2" s="94"/>
      <c r="W2" s="94"/>
    </row>
    <row r="3" spans="1:23" ht="21" customHeight="1">
      <c r="A3">
        <f>Table4[[#This Row],[Column1]]</f>
        <v>0</v>
      </c>
      <c r="B3">
        <f>Table4[[#This Row],[Column2]]</f>
        <v>0</v>
      </c>
      <c r="C3" s="81" t="s">
        <v>210</v>
      </c>
      <c r="D3" s="82">
        <v>13</v>
      </c>
      <c r="E3" s="82">
        <v>67</v>
      </c>
      <c r="F3" s="81">
        <v>40</v>
      </c>
      <c r="G3" s="81" t="s">
        <v>4</v>
      </c>
      <c r="H3" s="81" t="s">
        <v>116</v>
      </c>
      <c r="I3" s="81"/>
      <c r="J3" s="81"/>
      <c r="K3" s="81" t="s">
        <v>121</v>
      </c>
      <c r="L3" s="81" t="s">
        <v>4</v>
      </c>
      <c r="M3" s="81" t="s">
        <v>126</v>
      </c>
      <c r="N3" s="81" t="s">
        <v>126</v>
      </c>
      <c r="O3" s="81" t="s">
        <v>25</v>
      </c>
      <c r="P3" s="81" t="s">
        <v>25</v>
      </c>
      <c r="Q3" s="81" t="s">
        <v>44</v>
      </c>
      <c r="R3" s="81" t="s">
        <v>230</v>
      </c>
      <c r="S3" s="81" t="s">
        <v>232</v>
      </c>
      <c r="T3" s="81" t="s">
        <v>632</v>
      </c>
      <c r="U3" s="81" t="s">
        <v>69</v>
      </c>
      <c r="V3" s="94"/>
      <c r="W3" s="94"/>
    </row>
    <row r="4" spans="1:23" ht="21" customHeight="1">
      <c r="A4">
        <f>Table4[[#This Row],[Column1]]</f>
        <v>0</v>
      </c>
      <c r="B4">
        <f>Table4[[#This Row],[Column2]]</f>
        <v>0</v>
      </c>
      <c r="C4" s="81" t="s">
        <v>210</v>
      </c>
      <c r="D4" s="82">
        <v>14.1</v>
      </c>
      <c r="E4" s="82">
        <v>78</v>
      </c>
      <c r="F4" s="81">
        <v>43</v>
      </c>
      <c r="G4" s="81" t="s">
        <v>17</v>
      </c>
      <c r="H4" s="81" t="s">
        <v>116</v>
      </c>
      <c r="I4" s="81"/>
      <c r="J4" s="81"/>
      <c r="K4" s="81" t="s">
        <v>121</v>
      </c>
      <c r="L4" s="81" t="s">
        <v>4</v>
      </c>
      <c r="M4" s="81" t="s">
        <v>126</v>
      </c>
      <c r="N4" s="81" t="s">
        <v>126</v>
      </c>
      <c r="O4" s="81" t="s">
        <v>25</v>
      </c>
      <c r="P4" s="81" t="s">
        <v>39</v>
      </c>
      <c r="Q4" s="81" t="s">
        <v>44</v>
      </c>
      <c r="R4" s="81" t="s">
        <v>235</v>
      </c>
      <c r="S4" s="81" t="s">
        <v>234</v>
      </c>
      <c r="T4" s="81" t="s">
        <v>274</v>
      </c>
      <c r="U4" s="81" t="s">
        <v>69</v>
      </c>
      <c r="V4" s="94"/>
      <c r="W4" s="94"/>
    </row>
    <row r="5" spans="1:23" ht="21" customHeight="1">
      <c r="C5" s="82"/>
      <c r="D5" s="82"/>
      <c r="E5" s="82"/>
      <c r="F5" s="82"/>
      <c r="G5" s="82"/>
      <c r="H5" s="81"/>
      <c r="I5" s="81"/>
      <c r="J5" s="81"/>
      <c r="K5" s="81"/>
      <c r="L5" s="81"/>
      <c r="M5" s="81"/>
      <c r="N5" s="81"/>
      <c r="O5" s="81"/>
      <c r="P5" s="81"/>
      <c r="Q5" s="81"/>
      <c r="R5" s="81"/>
      <c r="S5" s="81"/>
      <c r="T5" s="81"/>
      <c r="U5" s="81"/>
      <c r="V5" s="94"/>
      <c r="W5" s="94"/>
    </row>
    <row r="6" spans="1:23" ht="21" customHeight="1">
      <c r="A6">
        <f>Table4[[#This Row],[Column1]]</f>
        <v>0</v>
      </c>
      <c r="B6">
        <f>Table4[[#This Row],[Column2]]</f>
        <v>0</v>
      </c>
      <c r="C6" s="81" t="s">
        <v>210</v>
      </c>
      <c r="D6" s="82">
        <v>13</v>
      </c>
      <c r="E6" s="82">
        <v>61</v>
      </c>
      <c r="F6" s="82">
        <v>44</v>
      </c>
      <c r="G6" s="82" t="s">
        <v>17</v>
      </c>
      <c r="H6" s="81" t="s">
        <v>116</v>
      </c>
      <c r="I6" s="81"/>
      <c r="J6" s="81"/>
      <c r="K6" s="81" t="s">
        <v>122</v>
      </c>
      <c r="L6" s="81" t="s">
        <v>4</v>
      </c>
      <c r="M6" s="81" t="s">
        <v>126</v>
      </c>
      <c r="N6" s="81" t="s">
        <v>126</v>
      </c>
      <c r="O6" s="81" t="s">
        <v>25</v>
      </c>
      <c r="P6" s="92" t="s">
        <v>777</v>
      </c>
      <c r="Q6" s="81" t="s">
        <v>44</v>
      </c>
      <c r="R6" s="81" t="s">
        <v>244</v>
      </c>
      <c r="S6" s="81" t="s">
        <v>243</v>
      </c>
      <c r="T6" s="81" t="s">
        <v>632</v>
      </c>
      <c r="U6" s="81" t="s">
        <v>69</v>
      </c>
      <c r="V6" s="94"/>
      <c r="W6" s="94"/>
    </row>
    <row r="7" spans="1:23" ht="21" customHeight="1">
      <c r="A7">
        <f>Table4[[#This Row],[Column1]]</f>
        <v>0</v>
      </c>
      <c r="B7">
        <f>Table4[[#This Row],[Column2]]</f>
        <v>0</v>
      </c>
      <c r="C7" s="81" t="s">
        <v>210</v>
      </c>
      <c r="D7" s="82">
        <v>13.5</v>
      </c>
      <c r="E7" s="82">
        <v>96</v>
      </c>
      <c r="F7" s="81" t="s">
        <v>210</v>
      </c>
      <c r="G7" s="82" t="s">
        <v>4</v>
      </c>
      <c r="H7" s="81" t="s">
        <v>116</v>
      </c>
      <c r="I7" s="81"/>
      <c r="J7" s="81"/>
      <c r="K7" s="81" t="s">
        <v>122</v>
      </c>
      <c r="L7" s="81" t="s">
        <v>4</v>
      </c>
      <c r="M7" s="81" t="s">
        <v>126</v>
      </c>
      <c r="N7" s="81" t="s">
        <v>126</v>
      </c>
      <c r="O7" s="81" t="s">
        <v>25</v>
      </c>
      <c r="P7" s="92" t="s">
        <v>777</v>
      </c>
      <c r="Q7" s="81" t="s">
        <v>45</v>
      </c>
      <c r="R7" s="81" t="s">
        <v>245</v>
      </c>
      <c r="S7" s="81" t="s">
        <v>246</v>
      </c>
      <c r="T7" s="81" t="s">
        <v>247</v>
      </c>
      <c r="U7" s="81" t="s">
        <v>69</v>
      </c>
      <c r="V7" s="94"/>
      <c r="W7" s="94"/>
    </row>
    <row r="8" spans="1:23" ht="21" customHeight="1">
      <c r="A8">
        <f>Table4[[#This Row],[Column1]]</f>
        <v>0</v>
      </c>
      <c r="B8">
        <f>Table4[[#This Row],[Column2]]</f>
        <v>0</v>
      </c>
      <c r="C8" s="81" t="s">
        <v>210</v>
      </c>
      <c r="D8" s="82">
        <v>14.7</v>
      </c>
      <c r="E8" s="82">
        <v>86</v>
      </c>
      <c r="F8" s="82">
        <v>41</v>
      </c>
      <c r="G8" s="82" t="s">
        <v>4</v>
      </c>
      <c r="H8" s="81" t="s">
        <v>116</v>
      </c>
      <c r="I8" s="81"/>
      <c r="J8" s="81"/>
      <c r="K8" s="81" t="s">
        <v>122</v>
      </c>
      <c r="L8" s="81" t="s">
        <v>4</v>
      </c>
      <c r="M8" s="81" t="s">
        <v>126</v>
      </c>
      <c r="N8" s="81" t="s">
        <v>126</v>
      </c>
      <c r="O8" s="81" t="s">
        <v>25</v>
      </c>
      <c r="P8" s="92" t="s">
        <v>777</v>
      </c>
      <c r="Q8" s="81" t="s">
        <v>261</v>
      </c>
      <c r="R8" s="81" t="s">
        <v>248</v>
      </c>
      <c r="S8" s="81" t="s">
        <v>249</v>
      </c>
      <c r="T8" s="81" t="s">
        <v>250</v>
      </c>
      <c r="U8" s="81" t="s">
        <v>69</v>
      </c>
      <c r="V8" s="94"/>
      <c r="W8" s="94"/>
    </row>
    <row r="9" spans="1:23" ht="21" customHeight="1">
      <c r="A9">
        <f>Table4[[#This Row],[Column1]]</f>
        <v>0</v>
      </c>
      <c r="B9">
        <f>Table4[[#This Row],[Column2]]</f>
        <v>0</v>
      </c>
      <c r="C9" s="81" t="s">
        <v>210</v>
      </c>
      <c r="D9" s="82">
        <v>12.2</v>
      </c>
      <c r="E9" s="82">
        <v>133</v>
      </c>
      <c r="F9" s="81" t="s">
        <v>210</v>
      </c>
      <c r="G9" s="82" t="s">
        <v>17</v>
      </c>
      <c r="H9" s="81" t="s">
        <v>116</v>
      </c>
      <c r="I9" s="83"/>
      <c r="J9" s="81"/>
      <c r="K9" s="81" t="s">
        <v>121</v>
      </c>
      <c r="L9" s="81" t="s">
        <v>4</v>
      </c>
      <c r="M9" s="81" t="s">
        <v>126</v>
      </c>
      <c r="N9" s="81" t="s">
        <v>126</v>
      </c>
      <c r="O9" s="81" t="s">
        <v>25</v>
      </c>
      <c r="P9" s="92" t="s">
        <v>777</v>
      </c>
      <c r="Q9" s="81" t="s">
        <v>44</v>
      </c>
      <c r="R9" s="81" t="s">
        <v>254</v>
      </c>
      <c r="S9" s="81" t="s">
        <v>255</v>
      </c>
      <c r="T9" s="81" t="s">
        <v>256</v>
      </c>
      <c r="U9" s="81" t="s">
        <v>69</v>
      </c>
      <c r="V9" s="94"/>
      <c r="W9" s="94"/>
    </row>
    <row r="10" spans="1:23" ht="21" customHeight="1">
      <c r="A10">
        <f>Table4[[#This Row],[Column1]]</f>
        <v>0</v>
      </c>
      <c r="B10">
        <f>Table4[[#This Row],[Column2]]</f>
        <v>0</v>
      </c>
      <c r="C10" s="81" t="s">
        <v>210</v>
      </c>
      <c r="D10" s="82">
        <v>11.7</v>
      </c>
      <c r="E10" s="82">
        <v>66</v>
      </c>
      <c r="F10" s="82">
        <v>40</v>
      </c>
      <c r="G10" s="82" t="s">
        <v>17</v>
      </c>
      <c r="H10" s="81" t="s">
        <v>116</v>
      </c>
      <c r="I10" s="83"/>
      <c r="J10" s="81"/>
      <c r="K10" s="81" t="s">
        <v>121</v>
      </c>
      <c r="L10" s="81" t="s">
        <v>4</v>
      </c>
      <c r="M10" s="81" t="s">
        <v>126</v>
      </c>
      <c r="N10" s="81" t="s">
        <v>21</v>
      </c>
      <c r="O10" s="81" t="s">
        <v>25</v>
      </c>
      <c r="P10" s="92" t="s">
        <v>777</v>
      </c>
      <c r="Q10" s="81" t="s">
        <v>44</v>
      </c>
      <c r="R10" s="81" t="s">
        <v>258</v>
      </c>
      <c r="S10" s="81" t="s">
        <v>246</v>
      </c>
      <c r="T10" s="81" t="s">
        <v>259</v>
      </c>
      <c r="U10" s="81" t="s">
        <v>69</v>
      </c>
      <c r="V10" s="94"/>
      <c r="W10" s="94"/>
    </row>
    <row r="11" spans="1:23" ht="21" customHeight="1">
      <c r="A11">
        <f>Table4[[#This Row],[Column1]]</f>
        <v>0</v>
      </c>
      <c r="B11">
        <f>Table4[[#This Row],[Column2]]</f>
        <v>0</v>
      </c>
      <c r="C11" s="81" t="s">
        <v>210</v>
      </c>
      <c r="D11" s="82">
        <v>11.4</v>
      </c>
      <c r="E11" s="82">
        <v>105</v>
      </c>
      <c r="F11" s="82">
        <v>40</v>
      </c>
      <c r="G11" s="82" t="s">
        <v>17</v>
      </c>
      <c r="H11" s="81" t="s">
        <v>116</v>
      </c>
      <c r="I11" s="83"/>
      <c r="J11" s="81"/>
      <c r="K11" s="81" t="s">
        <v>121</v>
      </c>
      <c r="L11" s="81" t="s">
        <v>4</v>
      </c>
      <c r="M11" s="81" t="s">
        <v>126</v>
      </c>
      <c r="N11" s="81" t="s">
        <v>126</v>
      </c>
      <c r="O11" s="81" t="s">
        <v>25</v>
      </c>
      <c r="P11" s="81" t="s">
        <v>41</v>
      </c>
      <c r="Q11" s="81" t="s">
        <v>44</v>
      </c>
      <c r="R11" s="81" t="s">
        <v>263</v>
      </c>
      <c r="S11" s="81" t="s">
        <v>265</v>
      </c>
      <c r="T11" s="81" t="s">
        <v>264</v>
      </c>
      <c r="U11" s="81" t="s">
        <v>69</v>
      </c>
      <c r="V11" s="94"/>
      <c r="W11" s="94"/>
    </row>
    <row r="12" spans="1:23" ht="21" customHeight="1">
      <c r="A12">
        <f>Table4[[#This Row],[Column1]]</f>
        <v>0</v>
      </c>
      <c r="B12">
        <f>Table4[[#This Row],[Column2]]</f>
        <v>0</v>
      </c>
      <c r="C12" s="81" t="s">
        <v>210</v>
      </c>
      <c r="D12" s="82">
        <v>15.7</v>
      </c>
      <c r="E12" s="82">
        <v>109</v>
      </c>
      <c r="F12" s="82">
        <v>40</v>
      </c>
      <c r="G12" s="82" t="s">
        <v>4</v>
      </c>
      <c r="H12" s="81" t="s">
        <v>116</v>
      </c>
      <c r="I12" s="81"/>
      <c r="J12" s="81"/>
      <c r="K12" s="81" t="s">
        <v>121</v>
      </c>
      <c r="L12" s="81" t="s">
        <v>4</v>
      </c>
      <c r="M12" s="81" t="s">
        <v>88</v>
      </c>
      <c r="N12" s="81" t="s">
        <v>88</v>
      </c>
      <c r="O12" s="81" t="s">
        <v>26</v>
      </c>
      <c r="P12" s="81" t="s">
        <v>25</v>
      </c>
      <c r="Q12" s="81" t="s">
        <v>44</v>
      </c>
      <c r="R12" s="81" t="s">
        <v>268</v>
      </c>
      <c r="S12" s="81" t="s">
        <v>266</v>
      </c>
      <c r="T12" s="81" t="s">
        <v>267</v>
      </c>
      <c r="U12" s="81" t="s">
        <v>69</v>
      </c>
      <c r="V12" s="94"/>
      <c r="W12" s="94"/>
    </row>
    <row r="13" spans="1:23" ht="21" customHeight="1">
      <c r="A13">
        <f>Table4[[#This Row],[Column1]]</f>
        <v>0</v>
      </c>
      <c r="B13">
        <f>Table4[[#This Row],[Column2]]</f>
        <v>0</v>
      </c>
      <c r="C13" s="81" t="s">
        <v>210</v>
      </c>
      <c r="D13" s="82">
        <v>13</v>
      </c>
      <c r="E13" s="82">
        <v>98</v>
      </c>
      <c r="F13" s="81" t="s">
        <v>210</v>
      </c>
      <c r="G13" s="81" t="s">
        <v>4</v>
      </c>
      <c r="H13" s="81" t="s">
        <v>116</v>
      </c>
      <c r="I13" s="81"/>
      <c r="J13" s="81"/>
      <c r="K13" s="81" t="s">
        <v>121</v>
      </c>
      <c r="L13" s="81" t="s">
        <v>4</v>
      </c>
      <c r="M13" s="81" t="s">
        <v>126</v>
      </c>
      <c r="N13" s="81" t="s">
        <v>126</v>
      </c>
      <c r="O13" s="81" t="s">
        <v>25</v>
      </c>
      <c r="P13" s="81" t="s">
        <v>25</v>
      </c>
      <c r="Q13" s="81" t="s">
        <v>45</v>
      </c>
      <c r="R13" s="81" t="s">
        <v>278</v>
      </c>
      <c r="S13" s="81" t="s">
        <v>279</v>
      </c>
      <c r="T13" s="81" t="s">
        <v>280</v>
      </c>
      <c r="U13" s="81" t="s">
        <v>69</v>
      </c>
      <c r="V13" s="94"/>
      <c r="W13" s="94"/>
    </row>
    <row r="14" spans="1:23" ht="21" customHeight="1">
      <c r="A14">
        <f>Table4[[#This Row],[Column1]]</f>
        <v>0</v>
      </c>
      <c r="B14">
        <f>Table4[[#This Row],[Column2]]</f>
        <v>0</v>
      </c>
      <c r="C14" s="81" t="s">
        <v>210</v>
      </c>
      <c r="D14" s="82">
        <v>13.8</v>
      </c>
      <c r="E14" s="82">
        <v>52</v>
      </c>
      <c r="F14" s="81" t="s">
        <v>210</v>
      </c>
      <c r="G14" s="82" t="s">
        <v>17</v>
      </c>
      <c r="H14" s="81" t="s">
        <v>116</v>
      </c>
      <c r="I14" s="83"/>
      <c r="J14" s="81"/>
      <c r="K14" s="81" t="s">
        <v>122</v>
      </c>
      <c r="L14" s="81" t="s">
        <v>4</v>
      </c>
      <c r="M14" s="81" t="s">
        <v>126</v>
      </c>
      <c r="N14" s="81" t="s">
        <v>284</v>
      </c>
      <c r="O14" s="81" t="s">
        <v>26</v>
      </c>
      <c r="P14" s="81" t="s">
        <v>25</v>
      </c>
      <c r="Q14" s="81" t="s">
        <v>44</v>
      </c>
      <c r="R14" s="81" t="s">
        <v>281</v>
      </c>
      <c r="S14" s="81" t="s">
        <v>282</v>
      </c>
      <c r="T14" s="81" t="s">
        <v>283</v>
      </c>
      <c r="U14" s="81" t="s">
        <v>69</v>
      </c>
      <c r="V14" s="94"/>
      <c r="W14" s="94"/>
    </row>
    <row r="15" spans="1:23" ht="21" customHeight="1">
      <c r="A15">
        <f>Table4[[#This Row],[Column1]]</f>
        <v>0</v>
      </c>
      <c r="B15">
        <f>Table4[[#This Row],[Column2]]</f>
        <v>0</v>
      </c>
      <c r="C15" s="81" t="s">
        <v>210</v>
      </c>
      <c r="D15" s="82">
        <v>13.2</v>
      </c>
      <c r="E15" s="82">
        <v>64</v>
      </c>
      <c r="F15" s="81" t="s">
        <v>210</v>
      </c>
      <c r="G15" s="81" t="s">
        <v>4</v>
      </c>
      <c r="H15" s="81" t="s">
        <v>116</v>
      </c>
      <c r="I15" s="81"/>
      <c r="J15" s="81"/>
      <c r="K15" s="81" t="s">
        <v>121</v>
      </c>
      <c r="L15" s="81" t="s">
        <v>4</v>
      </c>
      <c r="M15" s="81" t="s">
        <v>126</v>
      </c>
      <c r="N15" s="81" t="s">
        <v>126</v>
      </c>
      <c r="O15" s="81" t="s">
        <v>25</v>
      </c>
      <c r="P15" s="81" t="s">
        <v>25</v>
      </c>
      <c r="Q15" s="81" t="s">
        <v>44</v>
      </c>
      <c r="R15" s="81" t="s">
        <v>286</v>
      </c>
      <c r="S15" s="81" t="s">
        <v>287</v>
      </c>
      <c r="T15" s="81" t="s">
        <v>288</v>
      </c>
      <c r="U15" s="81" t="s">
        <v>69</v>
      </c>
      <c r="V15" s="94"/>
      <c r="W15" s="94"/>
    </row>
    <row r="16" spans="1:23" ht="21" customHeight="1">
      <c r="A16">
        <f>Table4[[#This Row],[Column1]]</f>
        <v>0</v>
      </c>
      <c r="B16">
        <f>Table4[[#This Row],[Column2]]</f>
        <v>0</v>
      </c>
      <c r="C16" s="81" t="s">
        <v>210</v>
      </c>
      <c r="D16" s="82">
        <v>13.7</v>
      </c>
      <c r="E16" s="82">
        <v>70</v>
      </c>
      <c r="F16" s="81" t="s">
        <v>210</v>
      </c>
      <c r="G16" s="82" t="s">
        <v>17</v>
      </c>
      <c r="H16" s="81" t="s">
        <v>116</v>
      </c>
      <c r="I16" s="83"/>
      <c r="J16" s="81"/>
      <c r="K16" s="81" t="s">
        <v>121</v>
      </c>
      <c r="L16" s="81" t="s">
        <v>4</v>
      </c>
      <c r="M16" s="81" t="s">
        <v>126</v>
      </c>
      <c r="N16" s="81" t="s">
        <v>126</v>
      </c>
      <c r="O16" s="81" t="s">
        <v>25</v>
      </c>
      <c r="P16" s="81" t="s">
        <v>25</v>
      </c>
      <c r="Q16" s="81" t="s">
        <v>45</v>
      </c>
      <c r="R16" s="81" t="s">
        <v>289</v>
      </c>
      <c r="S16" s="81" t="s">
        <v>290</v>
      </c>
      <c r="T16" s="81" t="s">
        <v>291</v>
      </c>
      <c r="U16" s="81" t="s">
        <v>69</v>
      </c>
      <c r="V16" s="94"/>
      <c r="W16" s="94"/>
    </row>
    <row r="17" spans="1:23" ht="21" customHeight="1">
      <c r="A17">
        <f>Table4[[#This Row],[Column1]]</f>
        <v>0</v>
      </c>
      <c r="B17">
        <f>Table4[[#This Row],[Column2]]</f>
        <v>0</v>
      </c>
      <c r="C17" s="81" t="s">
        <v>210</v>
      </c>
      <c r="D17" s="82">
        <v>11.8</v>
      </c>
      <c r="E17" s="82">
        <v>58</v>
      </c>
      <c r="F17" s="82">
        <v>43</v>
      </c>
      <c r="G17" s="81" t="s">
        <v>4</v>
      </c>
      <c r="H17" s="81" t="s">
        <v>116</v>
      </c>
      <c r="I17" s="81"/>
      <c r="J17" s="81"/>
      <c r="K17" s="81" t="s">
        <v>121</v>
      </c>
      <c r="L17" s="81" t="s">
        <v>4</v>
      </c>
      <c r="M17" s="81" t="s">
        <v>21</v>
      </c>
      <c r="N17" s="81" t="s">
        <v>21</v>
      </c>
      <c r="O17" s="81" t="s">
        <v>25</v>
      </c>
      <c r="P17" s="81" t="s">
        <v>41</v>
      </c>
      <c r="Q17" s="81" t="s">
        <v>45</v>
      </c>
      <c r="R17" s="81" t="s">
        <v>292</v>
      </c>
      <c r="S17" s="81" t="s">
        <v>294</v>
      </c>
      <c r="T17" s="81" t="s">
        <v>293</v>
      </c>
      <c r="U17" s="81" t="s">
        <v>69</v>
      </c>
      <c r="V17" s="94"/>
      <c r="W17" s="94"/>
    </row>
    <row r="18" spans="1:23" ht="21" customHeight="1">
      <c r="A18">
        <f>Table4[[#This Row],[Column1]]</f>
        <v>0</v>
      </c>
      <c r="B18">
        <f>Table4[[#This Row],[Column2]]</f>
        <v>0</v>
      </c>
      <c r="C18" s="81" t="s">
        <v>210</v>
      </c>
      <c r="D18" s="82">
        <v>14.5</v>
      </c>
      <c r="E18" s="82">
        <v>106</v>
      </c>
      <c r="F18" s="82">
        <v>44</v>
      </c>
      <c r="G18" s="82" t="s">
        <v>17</v>
      </c>
      <c r="H18" s="81" t="s">
        <v>116</v>
      </c>
      <c r="I18" s="83"/>
      <c r="J18" s="81"/>
      <c r="K18" s="81" t="s">
        <v>121</v>
      </c>
      <c r="L18" s="81" t="s">
        <v>4</v>
      </c>
      <c r="M18" s="81" t="s">
        <v>89</v>
      </c>
      <c r="N18" s="81" t="s">
        <v>89</v>
      </c>
      <c r="O18" s="81" t="s">
        <v>26</v>
      </c>
      <c r="P18" s="81" t="s">
        <v>39</v>
      </c>
      <c r="Q18" s="81" t="s">
        <v>44</v>
      </c>
      <c r="R18" s="81" t="s">
        <v>297</v>
      </c>
      <c r="S18" s="81" t="s">
        <v>298</v>
      </c>
      <c r="T18" s="81" t="s">
        <v>299</v>
      </c>
      <c r="U18" s="81" t="s">
        <v>69</v>
      </c>
      <c r="V18" s="94"/>
      <c r="W18" s="94"/>
    </row>
    <row r="19" spans="1:23" ht="21" customHeight="1">
      <c r="A19">
        <f>Table4[[#This Row],[Column1]]</f>
        <v>0</v>
      </c>
      <c r="B19">
        <f>Table4[[#This Row],[Column2]]</f>
        <v>0</v>
      </c>
      <c r="C19" s="81" t="s">
        <v>210</v>
      </c>
      <c r="D19" s="82">
        <v>14.4</v>
      </c>
      <c r="E19" s="82">
        <v>75</v>
      </c>
      <c r="F19" s="82">
        <v>45</v>
      </c>
      <c r="G19" s="82" t="s">
        <v>17</v>
      </c>
      <c r="H19" s="81" t="s">
        <v>116</v>
      </c>
      <c r="I19" s="83"/>
      <c r="J19" s="81"/>
      <c r="K19" s="81" t="s">
        <v>122</v>
      </c>
      <c r="L19" s="81" t="s">
        <v>4</v>
      </c>
      <c r="M19" s="81" t="s">
        <v>126</v>
      </c>
      <c r="N19" s="81" t="s">
        <v>126</v>
      </c>
      <c r="O19" s="81" t="s">
        <v>25</v>
      </c>
      <c r="P19" s="81" t="s">
        <v>25</v>
      </c>
      <c r="Q19" s="81" t="s">
        <v>45</v>
      </c>
      <c r="R19" s="81" t="s">
        <v>301</v>
      </c>
      <c r="S19" s="81" t="s">
        <v>246</v>
      </c>
      <c r="T19" s="81" t="s">
        <v>302</v>
      </c>
      <c r="U19" s="81" t="s">
        <v>69</v>
      </c>
      <c r="V19" s="94"/>
      <c r="W19" s="94"/>
    </row>
    <row r="20" spans="1:23" ht="21" customHeight="1">
      <c r="A20">
        <f>Table4[[#This Row],[Column1]]</f>
        <v>0</v>
      </c>
      <c r="B20">
        <f>Table4[[#This Row],[Column2]]</f>
        <v>0</v>
      </c>
      <c r="C20" s="81" t="s">
        <v>210</v>
      </c>
      <c r="D20" s="82">
        <v>13.5</v>
      </c>
      <c r="E20" s="82">
        <v>91</v>
      </c>
      <c r="F20" s="82">
        <v>38</v>
      </c>
      <c r="G20" s="82" t="s">
        <v>17</v>
      </c>
      <c r="H20" s="81" t="s">
        <v>116</v>
      </c>
      <c r="I20" s="83"/>
      <c r="J20" s="81"/>
      <c r="K20" s="81" t="s">
        <v>121</v>
      </c>
      <c r="L20" s="81" t="s">
        <v>4</v>
      </c>
      <c r="M20" s="81" t="s">
        <v>88</v>
      </c>
      <c r="N20" s="81" t="s">
        <v>88</v>
      </c>
      <c r="O20" s="81" t="s">
        <v>15</v>
      </c>
      <c r="P20" s="81" t="s">
        <v>38</v>
      </c>
      <c r="Q20" s="81" t="s">
        <v>45</v>
      </c>
      <c r="R20" s="81" t="s">
        <v>303</v>
      </c>
      <c r="S20" s="81" t="s">
        <v>304</v>
      </c>
      <c r="T20" s="81" t="s">
        <v>305</v>
      </c>
      <c r="U20" s="81" t="s">
        <v>69</v>
      </c>
      <c r="V20" s="94"/>
      <c r="W20" s="94"/>
    </row>
    <row r="21" spans="1:23" ht="21" customHeight="1">
      <c r="A21">
        <f>Table4[[#This Row],[Column1]]</f>
        <v>0</v>
      </c>
      <c r="B21">
        <f>Table4[[#This Row],[Column2]]</f>
        <v>0</v>
      </c>
      <c r="C21" s="81" t="s">
        <v>210</v>
      </c>
      <c r="D21" s="82">
        <v>12.1</v>
      </c>
      <c r="E21" s="82">
        <v>62</v>
      </c>
      <c r="F21" s="82">
        <v>43</v>
      </c>
      <c r="G21" s="82" t="s">
        <v>17</v>
      </c>
      <c r="H21" s="81" t="s">
        <v>116</v>
      </c>
      <c r="I21" s="83"/>
      <c r="J21" s="81"/>
      <c r="K21" s="81" t="s">
        <v>122</v>
      </c>
      <c r="L21" s="81" t="s">
        <v>4</v>
      </c>
      <c r="M21" s="81" t="s">
        <v>126</v>
      </c>
      <c r="N21" s="81" t="s">
        <v>126</v>
      </c>
      <c r="O21" s="81" t="s">
        <v>25</v>
      </c>
      <c r="P21" s="81" t="s">
        <v>25</v>
      </c>
      <c r="Q21" s="81" t="s">
        <v>45</v>
      </c>
      <c r="R21" s="81" t="s">
        <v>306</v>
      </c>
      <c r="S21" s="81" t="s">
        <v>243</v>
      </c>
      <c r="T21" s="81" t="s">
        <v>307</v>
      </c>
      <c r="U21" s="81" t="s">
        <v>69</v>
      </c>
      <c r="V21" s="94"/>
      <c r="W21" s="94"/>
    </row>
    <row r="22" spans="1:23" ht="21" customHeight="1">
      <c r="A22">
        <f>Table4[[#This Row],[Column1]]</f>
        <v>0</v>
      </c>
      <c r="B22">
        <f>Table4[[#This Row],[Column2]]</f>
        <v>0</v>
      </c>
      <c r="C22" s="81" t="s">
        <v>210</v>
      </c>
      <c r="D22" s="82">
        <v>13.7</v>
      </c>
      <c r="E22" s="82">
        <v>67</v>
      </c>
      <c r="F22" s="82">
        <v>41</v>
      </c>
      <c r="G22" s="81" t="s">
        <v>4</v>
      </c>
      <c r="H22" s="81" t="s">
        <v>116</v>
      </c>
      <c r="I22" s="81"/>
      <c r="J22" s="81"/>
      <c r="K22" s="81" t="s">
        <v>122</v>
      </c>
      <c r="L22" s="81" t="s">
        <v>4</v>
      </c>
      <c r="M22" s="81" t="s">
        <v>126</v>
      </c>
      <c r="N22" s="81" t="s">
        <v>126</v>
      </c>
      <c r="O22" s="81" t="s">
        <v>25</v>
      </c>
      <c r="P22" s="92" t="s">
        <v>777</v>
      </c>
      <c r="Q22" s="81" t="s">
        <v>45</v>
      </c>
      <c r="R22" s="81" t="s">
        <v>308</v>
      </c>
      <c r="S22" s="81" t="s">
        <v>309</v>
      </c>
      <c r="T22" s="81" t="s">
        <v>310</v>
      </c>
      <c r="U22" s="81" t="s">
        <v>69</v>
      </c>
      <c r="V22" s="94"/>
      <c r="W22" s="94"/>
    </row>
    <row r="23" spans="1:23" ht="21" customHeight="1">
      <c r="A23">
        <f>Table4[[#This Row],[Column1]]</f>
        <v>0</v>
      </c>
      <c r="B23">
        <f>Table4[[#This Row],[Column2]]</f>
        <v>0</v>
      </c>
      <c r="C23" s="81" t="s">
        <v>210</v>
      </c>
      <c r="D23" s="82">
        <v>13.4</v>
      </c>
      <c r="E23" s="82">
        <v>83</v>
      </c>
      <c r="F23" s="82">
        <v>44</v>
      </c>
      <c r="G23" s="81" t="s">
        <v>4</v>
      </c>
      <c r="H23" s="81" t="s">
        <v>116</v>
      </c>
      <c r="I23" s="81"/>
      <c r="J23" s="81"/>
      <c r="K23" s="81" t="s">
        <v>121</v>
      </c>
      <c r="L23" s="81" t="s">
        <v>4</v>
      </c>
      <c r="M23" s="81" t="s">
        <v>126</v>
      </c>
      <c r="N23" s="81" t="s">
        <v>126</v>
      </c>
      <c r="O23" s="81" t="s">
        <v>25</v>
      </c>
      <c r="P23" s="92" t="s">
        <v>777</v>
      </c>
      <c r="Q23" s="81" t="s">
        <v>44</v>
      </c>
      <c r="R23" s="81" t="s">
        <v>311</v>
      </c>
      <c r="S23" s="81" t="s">
        <v>312</v>
      </c>
      <c r="T23" s="81" t="s">
        <v>313</v>
      </c>
      <c r="U23" s="81" t="s">
        <v>69</v>
      </c>
      <c r="V23" s="94"/>
      <c r="W23" s="94"/>
    </row>
    <row r="24" spans="1:23" ht="21" customHeight="1">
      <c r="A24">
        <f>Table4[[#This Row],[Column1]]</f>
        <v>0</v>
      </c>
      <c r="B24">
        <f>Table4[[#This Row],[Column2]]</f>
        <v>0</v>
      </c>
      <c r="C24" s="81" t="s">
        <v>210</v>
      </c>
      <c r="D24" s="82">
        <v>9.9</v>
      </c>
      <c r="E24" s="82">
        <v>104</v>
      </c>
      <c r="F24" s="82">
        <v>45</v>
      </c>
      <c r="G24" s="81" t="s">
        <v>4</v>
      </c>
      <c r="H24" s="81" t="s">
        <v>116</v>
      </c>
      <c r="I24" s="81"/>
      <c r="J24" s="81"/>
      <c r="K24" s="81" t="s">
        <v>122</v>
      </c>
      <c r="L24" s="81" t="s">
        <v>4</v>
      </c>
      <c r="M24" s="81" t="s">
        <v>126</v>
      </c>
      <c r="N24" s="81" t="s">
        <v>126</v>
      </c>
      <c r="O24" s="81" t="s">
        <v>25</v>
      </c>
      <c r="P24" s="81" t="s">
        <v>38</v>
      </c>
      <c r="Q24" s="81" t="s">
        <v>45</v>
      </c>
      <c r="R24" s="81" t="s">
        <v>315</v>
      </c>
      <c r="S24" s="81" t="s">
        <v>314</v>
      </c>
      <c r="T24" s="81" t="s">
        <v>316</v>
      </c>
      <c r="U24" s="81" t="s">
        <v>69</v>
      </c>
      <c r="V24" s="94"/>
      <c r="W24" s="94"/>
    </row>
    <row r="25" spans="1:23" ht="21" customHeight="1">
      <c r="A25">
        <f>Table4[[#This Row],[Column1]]</f>
        <v>0</v>
      </c>
      <c r="B25">
        <f>Table4[[#This Row],[Column2]]</f>
        <v>0</v>
      </c>
      <c r="C25" s="81" t="s">
        <v>210</v>
      </c>
      <c r="D25" s="82">
        <v>12.8</v>
      </c>
      <c r="E25" s="82">
        <v>66</v>
      </c>
      <c r="F25" s="82">
        <v>40</v>
      </c>
      <c r="G25" s="82" t="s">
        <v>17</v>
      </c>
      <c r="H25" s="81" t="s">
        <v>116</v>
      </c>
      <c r="I25" s="83"/>
      <c r="J25" s="81"/>
      <c r="K25" s="81" t="s">
        <v>121</v>
      </c>
      <c r="L25" s="81" t="s">
        <v>4</v>
      </c>
      <c r="M25" s="81" t="s">
        <v>126</v>
      </c>
      <c r="N25" s="81" t="s">
        <v>126</v>
      </c>
      <c r="O25" s="81" t="s">
        <v>25</v>
      </c>
      <c r="P25" s="92" t="s">
        <v>777</v>
      </c>
      <c r="Q25" s="81" t="s">
        <v>44</v>
      </c>
      <c r="R25" s="81" t="s">
        <v>281</v>
      </c>
      <c r="S25" s="81" t="s">
        <v>330</v>
      </c>
      <c r="T25" s="81" t="s">
        <v>331</v>
      </c>
      <c r="U25" s="81" t="s">
        <v>69</v>
      </c>
      <c r="V25" s="94"/>
      <c r="W25" s="94"/>
    </row>
    <row r="26" spans="1:23" ht="21" customHeight="1">
      <c r="A26">
        <f>Table4[[#This Row],[Column1]]</f>
        <v>0</v>
      </c>
      <c r="B26">
        <f>Table4[[#This Row],[Column2]]</f>
        <v>0</v>
      </c>
      <c r="C26" s="81" t="s">
        <v>210</v>
      </c>
      <c r="D26" s="82">
        <v>15.3</v>
      </c>
      <c r="E26" s="82">
        <v>76</v>
      </c>
      <c r="F26" s="82">
        <v>43</v>
      </c>
      <c r="G26" s="82" t="s">
        <v>17</v>
      </c>
      <c r="H26" s="81" t="s">
        <v>116</v>
      </c>
      <c r="I26" s="83"/>
      <c r="J26" s="81"/>
      <c r="K26" s="81" t="s">
        <v>121</v>
      </c>
      <c r="L26" s="81" t="s">
        <v>4</v>
      </c>
      <c r="M26" s="81" t="s">
        <v>126</v>
      </c>
      <c r="N26" s="81" t="s">
        <v>126</v>
      </c>
      <c r="O26" s="81" t="s">
        <v>25</v>
      </c>
      <c r="P26" s="92" t="s">
        <v>777</v>
      </c>
      <c r="Q26" s="81" t="s">
        <v>44</v>
      </c>
      <c r="R26" s="81" t="s">
        <v>370</v>
      </c>
      <c r="S26" s="81" t="s">
        <v>243</v>
      </c>
      <c r="T26" s="81" t="s">
        <v>371</v>
      </c>
      <c r="U26" s="81" t="s">
        <v>69</v>
      </c>
      <c r="V26" s="94"/>
      <c r="W26" s="94"/>
    </row>
    <row r="27" spans="1:23" ht="21" customHeight="1">
      <c r="A27">
        <f>Table4[[#This Row],[Column1]]</f>
        <v>0</v>
      </c>
      <c r="B27">
        <f>Table4[[#This Row],[Column2]]</f>
        <v>0</v>
      </c>
      <c r="C27" s="81" t="s">
        <v>210</v>
      </c>
      <c r="D27" s="82">
        <v>14.7</v>
      </c>
      <c r="E27" s="82">
        <v>127</v>
      </c>
      <c r="F27" s="82">
        <v>44</v>
      </c>
      <c r="G27" s="82" t="s">
        <v>17</v>
      </c>
      <c r="H27" s="81" t="s">
        <v>116</v>
      </c>
      <c r="I27" s="83"/>
      <c r="J27" s="81"/>
      <c r="K27" s="81" t="s">
        <v>121</v>
      </c>
      <c r="L27" s="81" t="s">
        <v>4</v>
      </c>
      <c r="M27" s="81" t="s">
        <v>126</v>
      </c>
      <c r="N27" s="81" t="s">
        <v>126</v>
      </c>
      <c r="O27" s="81" t="s">
        <v>25</v>
      </c>
      <c r="P27" s="92" t="s">
        <v>777</v>
      </c>
      <c r="Q27" s="81" t="s">
        <v>45</v>
      </c>
      <c r="R27" s="81" t="s">
        <v>317</v>
      </c>
      <c r="S27" s="81" t="s">
        <v>318</v>
      </c>
      <c r="T27" s="81" t="s">
        <v>319</v>
      </c>
      <c r="U27" s="81" t="s">
        <v>69</v>
      </c>
      <c r="V27" s="94"/>
      <c r="W27" s="94"/>
    </row>
    <row r="28" spans="1:23" ht="21" customHeight="1">
      <c r="A28">
        <f>Table4[[#This Row],[Column1]]</f>
        <v>0</v>
      </c>
      <c r="B28">
        <f>Table4[[#This Row],[Column2]]</f>
        <v>0</v>
      </c>
      <c r="C28" s="81" t="s">
        <v>210</v>
      </c>
      <c r="D28" s="82">
        <v>13.8</v>
      </c>
      <c r="E28" s="82">
        <v>74</v>
      </c>
      <c r="F28" s="81" t="s">
        <v>210</v>
      </c>
      <c r="G28" s="81" t="s">
        <v>4</v>
      </c>
      <c r="H28" s="81" t="s">
        <v>116</v>
      </c>
      <c r="I28" s="81"/>
      <c r="J28" s="81"/>
      <c r="K28" s="81" t="s">
        <v>121</v>
      </c>
      <c r="L28" s="81" t="s">
        <v>4</v>
      </c>
      <c r="M28" s="81" t="s">
        <v>21</v>
      </c>
      <c r="N28" s="81" t="s">
        <v>21</v>
      </c>
      <c r="O28" s="81" t="s">
        <v>25</v>
      </c>
      <c r="P28" s="92" t="s">
        <v>777</v>
      </c>
      <c r="Q28" s="81" t="s">
        <v>45</v>
      </c>
      <c r="R28" s="81" t="s">
        <v>320</v>
      </c>
      <c r="S28" s="81" t="s">
        <v>287</v>
      </c>
      <c r="T28" s="81" t="s">
        <v>321</v>
      </c>
      <c r="U28" s="81" t="s">
        <v>69</v>
      </c>
      <c r="V28" s="94"/>
      <c r="W28" s="94"/>
    </row>
    <row r="29" spans="1:23" ht="21" customHeight="1">
      <c r="A29">
        <f>Table4[[#This Row],[Column1]]</f>
        <v>0</v>
      </c>
      <c r="B29">
        <f>Table4[[#This Row],[Column2]]</f>
        <v>0</v>
      </c>
      <c r="C29" s="81" t="s">
        <v>210</v>
      </c>
      <c r="D29" s="82">
        <v>11.3</v>
      </c>
      <c r="E29" s="82">
        <v>110</v>
      </c>
      <c r="F29" s="82">
        <v>44</v>
      </c>
      <c r="G29" s="82" t="s">
        <v>17</v>
      </c>
      <c r="H29" s="81" t="s">
        <v>116</v>
      </c>
      <c r="I29" s="83"/>
      <c r="J29" s="81"/>
      <c r="K29" s="81" t="s">
        <v>121</v>
      </c>
      <c r="L29" s="81" t="s">
        <v>4</v>
      </c>
      <c r="M29" s="81" t="s">
        <v>126</v>
      </c>
      <c r="N29" s="81" t="s">
        <v>126</v>
      </c>
      <c r="O29" s="81" t="s">
        <v>25</v>
      </c>
      <c r="P29" s="81" t="s">
        <v>25</v>
      </c>
      <c r="Q29" s="81" t="s">
        <v>45</v>
      </c>
      <c r="R29" s="81" t="s">
        <v>317</v>
      </c>
      <c r="S29" s="81" t="s">
        <v>322</v>
      </c>
      <c r="T29" s="81" t="s">
        <v>323</v>
      </c>
      <c r="U29" s="81" t="s">
        <v>69</v>
      </c>
      <c r="V29" s="94"/>
      <c r="W29" s="94"/>
    </row>
    <row r="30" spans="1:23" ht="21" customHeight="1">
      <c r="A30">
        <f>Table4[[#This Row],[Column1]]</f>
        <v>0</v>
      </c>
      <c r="B30">
        <f>Table4[[#This Row],[Column2]]</f>
        <v>0</v>
      </c>
      <c r="C30" s="81" t="s">
        <v>210</v>
      </c>
      <c r="D30" s="82">
        <v>12.8</v>
      </c>
      <c r="E30" s="82">
        <v>64</v>
      </c>
      <c r="F30" s="82">
        <v>46</v>
      </c>
      <c r="G30" s="82" t="s">
        <v>17</v>
      </c>
      <c r="H30" s="81" t="s">
        <v>116</v>
      </c>
      <c r="I30" s="83"/>
      <c r="J30" s="81"/>
      <c r="K30" s="81" t="s">
        <v>121</v>
      </c>
      <c r="L30" s="81" t="s">
        <v>4</v>
      </c>
      <c r="M30" s="81" t="s">
        <v>126</v>
      </c>
      <c r="N30" s="81" t="s">
        <v>126</v>
      </c>
      <c r="O30" s="81" t="s">
        <v>25</v>
      </c>
      <c r="P30" s="92" t="s">
        <v>777</v>
      </c>
      <c r="Q30" s="81" t="s">
        <v>44</v>
      </c>
      <c r="R30" s="81" t="s">
        <v>325</v>
      </c>
      <c r="S30" s="81" t="s">
        <v>362</v>
      </c>
      <c r="T30" s="81" t="s">
        <v>326</v>
      </c>
      <c r="U30" s="81" t="s">
        <v>69</v>
      </c>
      <c r="V30" s="94"/>
      <c r="W30" s="94"/>
    </row>
    <row r="31" spans="1:23" ht="21" customHeight="1">
      <c r="A31">
        <f>Table4[[#This Row],[Column1]]</f>
        <v>0</v>
      </c>
      <c r="B31">
        <f>Table4[[#This Row],[Column2]]</f>
        <v>0</v>
      </c>
      <c r="C31" s="81" t="s">
        <v>210</v>
      </c>
      <c r="D31" s="82">
        <v>13.1</v>
      </c>
      <c r="E31" s="82">
        <v>45</v>
      </c>
      <c r="F31" s="82">
        <v>47</v>
      </c>
      <c r="G31" s="81" t="s">
        <v>4</v>
      </c>
      <c r="H31" s="81" t="s">
        <v>116</v>
      </c>
      <c r="I31" s="81"/>
      <c r="J31" s="81"/>
      <c r="K31" s="81"/>
      <c r="L31" s="81"/>
      <c r="M31" s="81"/>
      <c r="N31" s="81"/>
      <c r="O31" s="81"/>
      <c r="P31" s="81" t="s">
        <v>39</v>
      </c>
      <c r="Q31" s="81"/>
      <c r="R31" s="81" t="s">
        <v>317</v>
      </c>
      <c r="S31" s="81" t="s">
        <v>327</v>
      </c>
      <c r="T31" s="81" t="s">
        <v>328</v>
      </c>
      <c r="U31" s="81" t="s">
        <v>69</v>
      </c>
      <c r="V31" s="94"/>
      <c r="W31" s="94"/>
    </row>
    <row r="32" spans="1:23" ht="21" customHeight="1">
      <c r="A32">
        <f>Table4[[#This Row],[Column1]]</f>
        <v>0</v>
      </c>
      <c r="B32">
        <f>Table4[[#This Row],[Column2]]</f>
        <v>0</v>
      </c>
      <c r="C32" s="81" t="s">
        <v>210</v>
      </c>
      <c r="D32" s="82">
        <v>12</v>
      </c>
      <c r="E32" s="82">
        <v>70</v>
      </c>
      <c r="F32" s="82">
        <v>45</v>
      </c>
      <c r="G32" s="82" t="s">
        <v>17</v>
      </c>
      <c r="H32" s="81" t="s">
        <v>116</v>
      </c>
      <c r="I32" s="83"/>
      <c r="J32" s="81"/>
      <c r="K32" s="81" t="s">
        <v>121</v>
      </c>
      <c r="L32" s="81" t="s">
        <v>4</v>
      </c>
      <c r="M32" s="81" t="s">
        <v>126</v>
      </c>
      <c r="N32" s="81" t="s">
        <v>126</v>
      </c>
      <c r="O32" s="81" t="s">
        <v>25</v>
      </c>
      <c r="P32" s="81" t="s">
        <v>38</v>
      </c>
      <c r="Q32" s="81" t="s">
        <v>45</v>
      </c>
      <c r="R32" s="81" t="s">
        <v>333</v>
      </c>
      <c r="S32" s="81" t="s">
        <v>304</v>
      </c>
      <c r="T32" s="81" t="s">
        <v>334</v>
      </c>
      <c r="U32" s="81" t="s">
        <v>69</v>
      </c>
      <c r="V32" s="94"/>
      <c r="W32" s="94"/>
    </row>
    <row r="33" spans="1:23" ht="21" customHeight="1">
      <c r="A33">
        <f>Table4[[#This Row],[Column1]]</f>
        <v>0</v>
      </c>
      <c r="B33">
        <f>Table4[[#This Row],[Column2]]</f>
        <v>0</v>
      </c>
      <c r="C33" s="81" t="s">
        <v>210</v>
      </c>
      <c r="D33" s="82">
        <v>14.7</v>
      </c>
      <c r="E33" s="82">
        <v>91</v>
      </c>
      <c r="F33" s="82">
        <v>44</v>
      </c>
      <c r="G33" s="81" t="s">
        <v>4</v>
      </c>
      <c r="H33" s="81" t="s">
        <v>116</v>
      </c>
      <c r="I33" s="81"/>
      <c r="J33" s="81"/>
      <c r="K33" s="81" t="s">
        <v>121</v>
      </c>
      <c r="L33" s="81" t="s">
        <v>4</v>
      </c>
      <c r="M33" s="81" t="s">
        <v>126</v>
      </c>
      <c r="N33" s="81" t="s">
        <v>126</v>
      </c>
      <c r="O33" s="81" t="s">
        <v>25</v>
      </c>
      <c r="P33" s="92" t="s">
        <v>777</v>
      </c>
      <c r="Q33" s="81" t="s">
        <v>45</v>
      </c>
      <c r="R33" s="81" t="s">
        <v>335</v>
      </c>
      <c r="S33" s="81" t="s">
        <v>336</v>
      </c>
      <c r="T33" s="81" t="s">
        <v>337</v>
      </c>
      <c r="U33" s="81" t="s">
        <v>69</v>
      </c>
      <c r="V33" s="94"/>
      <c r="W33" s="94"/>
    </row>
    <row r="34" spans="1:23" ht="21" customHeight="1">
      <c r="A34">
        <f>Table4[[#This Row],[Column1]]</f>
        <v>0</v>
      </c>
      <c r="B34">
        <f>Table4[[#This Row],[Column2]]</f>
        <v>0</v>
      </c>
      <c r="C34" s="81" t="s">
        <v>210</v>
      </c>
      <c r="D34" s="82">
        <v>15</v>
      </c>
      <c r="E34" s="82">
        <v>78</v>
      </c>
      <c r="F34" s="81" t="s">
        <v>210</v>
      </c>
      <c r="G34" s="82" t="s">
        <v>17</v>
      </c>
      <c r="H34" s="81" t="s">
        <v>116</v>
      </c>
      <c r="I34" s="83"/>
      <c r="J34" s="81"/>
      <c r="K34" s="81" t="s">
        <v>121</v>
      </c>
      <c r="L34" s="81" t="s">
        <v>4</v>
      </c>
      <c r="M34" s="81" t="s">
        <v>126</v>
      </c>
      <c r="N34" s="81" t="s">
        <v>88</v>
      </c>
      <c r="O34" s="81" t="s">
        <v>15</v>
      </c>
      <c r="P34" s="92" t="s">
        <v>777</v>
      </c>
      <c r="Q34" s="81" t="s">
        <v>44</v>
      </c>
      <c r="R34" s="81" t="s">
        <v>338</v>
      </c>
      <c r="S34" s="81" t="s">
        <v>339</v>
      </c>
      <c r="T34" s="81" t="s">
        <v>340</v>
      </c>
      <c r="U34" s="81" t="s">
        <v>69</v>
      </c>
      <c r="V34" s="94"/>
      <c r="W34" s="94"/>
    </row>
    <row r="35" spans="1:23" ht="21" customHeight="1">
      <c r="A35">
        <f>Table4[[#This Row],[Column1]]</f>
        <v>0</v>
      </c>
      <c r="B35">
        <f>Table4[[#This Row],[Column2]]</f>
        <v>0</v>
      </c>
      <c r="C35" s="81" t="s">
        <v>210</v>
      </c>
      <c r="D35" s="82">
        <v>15.6</v>
      </c>
      <c r="E35" s="82">
        <v>84</v>
      </c>
      <c r="F35" s="81" t="s">
        <v>210</v>
      </c>
      <c r="G35" s="82" t="s">
        <v>17</v>
      </c>
      <c r="H35" s="81" t="s">
        <v>116</v>
      </c>
      <c r="I35" s="83"/>
      <c r="J35" s="81"/>
      <c r="K35" s="81" t="s">
        <v>121</v>
      </c>
      <c r="L35" s="81" t="s">
        <v>4</v>
      </c>
      <c r="M35" s="81" t="s">
        <v>89</v>
      </c>
      <c r="N35" s="81" t="s">
        <v>89</v>
      </c>
      <c r="O35" s="81" t="s">
        <v>26</v>
      </c>
      <c r="P35" s="92" t="s">
        <v>777</v>
      </c>
      <c r="Q35" s="81" t="s">
        <v>44</v>
      </c>
      <c r="R35" s="81" t="s">
        <v>341</v>
      </c>
      <c r="S35" s="81" t="s">
        <v>342</v>
      </c>
      <c r="T35" s="81" t="s">
        <v>343</v>
      </c>
      <c r="U35" s="81" t="s">
        <v>69</v>
      </c>
      <c r="V35" s="94"/>
      <c r="W35" s="94"/>
    </row>
    <row r="36" spans="1:23" ht="21" customHeight="1">
      <c r="A36">
        <f>Table4[[#This Row],[Column1]]</f>
        <v>0</v>
      </c>
      <c r="B36">
        <f>Table4[[#This Row],[Column2]]</f>
        <v>0</v>
      </c>
      <c r="C36" s="81" t="s">
        <v>210</v>
      </c>
      <c r="D36" s="82">
        <v>11.1</v>
      </c>
      <c r="E36" s="82">
        <v>109</v>
      </c>
      <c r="F36" s="81" t="s">
        <v>210</v>
      </c>
      <c r="G36" s="81" t="s">
        <v>4</v>
      </c>
      <c r="H36" s="81" t="s">
        <v>116</v>
      </c>
      <c r="I36" s="81"/>
      <c r="J36" s="81"/>
      <c r="K36" s="81" t="s">
        <v>121</v>
      </c>
      <c r="L36" s="81" t="s">
        <v>4</v>
      </c>
      <c r="M36" s="81" t="s">
        <v>126</v>
      </c>
      <c r="N36" s="81" t="s">
        <v>126</v>
      </c>
      <c r="O36" s="81" t="s">
        <v>25</v>
      </c>
      <c r="P36" s="92" t="s">
        <v>777</v>
      </c>
      <c r="Q36" s="81" t="s">
        <v>45</v>
      </c>
      <c r="R36" s="81" t="s">
        <v>344</v>
      </c>
      <c r="S36" s="81" t="s">
        <v>255</v>
      </c>
      <c r="T36" s="81" t="s">
        <v>345</v>
      </c>
      <c r="U36" s="81" t="s">
        <v>69</v>
      </c>
      <c r="V36" s="94"/>
      <c r="W36" s="94"/>
    </row>
    <row r="37" spans="1:23" ht="21" customHeight="1">
      <c r="A37">
        <f>Table4[[#This Row],[Column1]]</f>
        <v>0</v>
      </c>
      <c r="B37">
        <f>Table4[[#This Row],[Column2]]</f>
        <v>0</v>
      </c>
      <c r="C37" s="81" t="s">
        <v>210</v>
      </c>
      <c r="D37" s="82">
        <v>10</v>
      </c>
      <c r="E37" s="82">
        <v>58</v>
      </c>
      <c r="F37" s="82">
        <v>37</v>
      </c>
      <c r="G37" s="82" t="s">
        <v>17</v>
      </c>
      <c r="H37" s="81" t="s">
        <v>116</v>
      </c>
      <c r="I37" s="83"/>
      <c r="J37" s="81"/>
      <c r="K37" s="81" t="s">
        <v>122</v>
      </c>
      <c r="L37" s="81" t="s">
        <v>4</v>
      </c>
      <c r="M37" s="81" t="s">
        <v>126</v>
      </c>
      <c r="N37" s="81" t="s">
        <v>126</v>
      </c>
      <c r="O37" s="81" t="s">
        <v>25</v>
      </c>
      <c r="P37" s="81" t="s">
        <v>38</v>
      </c>
      <c r="Q37" s="81" t="s">
        <v>45</v>
      </c>
      <c r="R37" s="81" t="s">
        <v>349</v>
      </c>
      <c r="S37" s="81" t="s">
        <v>309</v>
      </c>
      <c r="T37" s="81" t="s">
        <v>350</v>
      </c>
      <c r="U37" s="81" t="s">
        <v>69</v>
      </c>
      <c r="V37" s="94"/>
      <c r="W37" s="94"/>
    </row>
    <row r="38" spans="1:23" ht="21" customHeight="1">
      <c r="A38">
        <f>Table4[[#This Row],[Column1]]</f>
        <v>0</v>
      </c>
      <c r="B38">
        <f>Table4[[#This Row],[Column2]]</f>
        <v>0</v>
      </c>
      <c r="C38" s="81" t="s">
        <v>210</v>
      </c>
      <c r="D38" s="82">
        <v>9.9</v>
      </c>
      <c r="E38" s="82">
        <v>62</v>
      </c>
      <c r="F38" s="82">
        <v>40</v>
      </c>
      <c r="G38" s="82" t="s">
        <v>17</v>
      </c>
      <c r="H38" s="81" t="s">
        <v>116</v>
      </c>
      <c r="I38" s="83"/>
      <c r="J38" s="81"/>
      <c r="K38" s="81" t="s">
        <v>121</v>
      </c>
      <c r="L38" s="81" t="s">
        <v>4</v>
      </c>
      <c r="M38" s="81" t="s">
        <v>88</v>
      </c>
      <c r="N38" s="81" t="s">
        <v>88</v>
      </c>
      <c r="O38" s="81" t="s">
        <v>26</v>
      </c>
      <c r="P38" s="81" t="s">
        <v>38</v>
      </c>
      <c r="Q38" s="81" t="s">
        <v>45</v>
      </c>
      <c r="R38" s="81" t="s">
        <v>352</v>
      </c>
      <c r="S38" s="81" t="s">
        <v>353</v>
      </c>
      <c r="T38" s="81" t="s">
        <v>351</v>
      </c>
      <c r="U38" s="81" t="s">
        <v>69</v>
      </c>
      <c r="V38" s="94"/>
      <c r="W38" s="94"/>
    </row>
    <row r="39" spans="1:23" ht="21" customHeight="1">
      <c r="A39">
        <f>Table4[[#This Row],[Column1]]</f>
        <v>0</v>
      </c>
      <c r="B39">
        <f>Table4[[#This Row],[Column2]]</f>
        <v>0</v>
      </c>
      <c r="C39" s="81" t="s">
        <v>210</v>
      </c>
      <c r="D39" s="82">
        <v>12.2</v>
      </c>
      <c r="E39" s="82">
        <v>64</v>
      </c>
      <c r="F39" s="81" t="s">
        <v>210</v>
      </c>
      <c r="G39" s="82" t="s">
        <v>17</v>
      </c>
      <c r="H39" s="81" t="s">
        <v>116</v>
      </c>
      <c r="I39" s="83"/>
      <c r="J39" s="81"/>
      <c r="K39" s="81" t="s">
        <v>122</v>
      </c>
      <c r="L39" s="81" t="s">
        <v>4</v>
      </c>
      <c r="M39" s="81" t="s">
        <v>126</v>
      </c>
      <c r="N39" s="81" t="s">
        <v>126</v>
      </c>
      <c r="O39" s="81" t="s">
        <v>25</v>
      </c>
      <c r="P39" s="92" t="s">
        <v>777</v>
      </c>
      <c r="Q39" s="81" t="s">
        <v>45</v>
      </c>
      <c r="R39" s="81" t="s">
        <v>352</v>
      </c>
      <c r="S39" s="81" t="s">
        <v>355</v>
      </c>
      <c r="T39" s="81" t="s">
        <v>356</v>
      </c>
      <c r="U39" s="81" t="s">
        <v>69</v>
      </c>
      <c r="V39" s="94"/>
      <c r="W39" s="94"/>
    </row>
    <row r="40" spans="1:23" ht="21" customHeight="1">
      <c r="A40">
        <f>Table4[[#This Row],[Column1]]</f>
        <v>0</v>
      </c>
      <c r="B40">
        <f>Table4[[#This Row],[Column2]]</f>
        <v>0</v>
      </c>
      <c r="C40" s="81" t="s">
        <v>210</v>
      </c>
      <c r="D40" s="82">
        <v>12.1</v>
      </c>
      <c r="E40" s="82">
        <v>42</v>
      </c>
      <c r="F40" s="81" t="s">
        <v>210</v>
      </c>
      <c r="G40" s="82" t="s">
        <v>17</v>
      </c>
      <c r="H40" s="81" t="s">
        <v>116</v>
      </c>
      <c r="I40" s="83"/>
      <c r="J40" s="81"/>
      <c r="K40" s="81" t="s">
        <v>121</v>
      </c>
      <c r="L40" s="81" t="s">
        <v>4</v>
      </c>
      <c r="M40" s="81" t="s">
        <v>126</v>
      </c>
      <c r="N40" s="81" t="s">
        <v>126</v>
      </c>
      <c r="O40" s="81" t="s">
        <v>25</v>
      </c>
      <c r="P40" s="92" t="s">
        <v>777</v>
      </c>
      <c r="Q40" s="81" t="s">
        <v>45</v>
      </c>
      <c r="R40" s="81" t="s">
        <v>357</v>
      </c>
      <c r="S40" s="81" t="s">
        <v>358</v>
      </c>
      <c r="T40" s="81" t="s">
        <v>359</v>
      </c>
      <c r="U40" s="81" t="s">
        <v>69</v>
      </c>
      <c r="V40" s="94"/>
      <c r="W40" s="94"/>
    </row>
    <row r="41" spans="1:23" ht="21" customHeight="1">
      <c r="A41">
        <f>Table4[[#This Row],[Column1]]</f>
        <v>0</v>
      </c>
      <c r="B41">
        <f>Table4[[#This Row],[Column2]]</f>
        <v>0</v>
      </c>
      <c r="C41" s="81" t="s">
        <v>210</v>
      </c>
      <c r="D41" s="82">
        <v>11.3</v>
      </c>
      <c r="E41" s="82">
        <v>80</v>
      </c>
      <c r="F41" s="81" t="s">
        <v>210</v>
      </c>
      <c r="G41" s="82" t="s">
        <v>17</v>
      </c>
      <c r="H41" s="81" t="s">
        <v>116</v>
      </c>
      <c r="I41" s="83"/>
      <c r="J41" s="81"/>
      <c r="K41" s="81" t="s">
        <v>122</v>
      </c>
      <c r="L41" s="81" t="s">
        <v>4</v>
      </c>
      <c r="M41" s="81" t="s">
        <v>126</v>
      </c>
      <c r="N41" s="81" t="s">
        <v>126</v>
      </c>
      <c r="O41" s="81" t="s">
        <v>25</v>
      </c>
      <c r="P41" s="92" t="s">
        <v>777</v>
      </c>
      <c r="Q41" s="81" t="s">
        <v>45</v>
      </c>
      <c r="R41" s="81" t="s">
        <v>372</v>
      </c>
      <c r="S41" s="81" t="s">
        <v>246</v>
      </c>
      <c r="T41" s="81" t="s">
        <v>373</v>
      </c>
      <c r="U41" s="81" t="s">
        <v>69</v>
      </c>
      <c r="V41" s="94"/>
      <c r="W41" s="94"/>
    </row>
    <row r="42" spans="1:23" ht="21" customHeight="1">
      <c r="A42">
        <f>Table4[[#This Row],[Column1]]</f>
        <v>0</v>
      </c>
      <c r="B42">
        <f>Table4[[#This Row],[Column2]]</f>
        <v>0</v>
      </c>
      <c r="C42" s="81" t="s">
        <v>210</v>
      </c>
      <c r="D42" s="82">
        <v>12.2</v>
      </c>
      <c r="E42" s="82">
        <v>75</v>
      </c>
      <c r="F42" s="82">
        <v>40</v>
      </c>
      <c r="G42" s="82" t="s">
        <v>17</v>
      </c>
      <c r="H42" s="81" t="s">
        <v>116</v>
      </c>
      <c r="I42" s="83"/>
      <c r="J42" s="81"/>
      <c r="K42" s="81" t="s">
        <v>121</v>
      </c>
      <c r="L42" s="81" t="s">
        <v>4</v>
      </c>
      <c r="M42" s="81" t="s">
        <v>126</v>
      </c>
      <c r="N42" s="81" t="s">
        <v>126</v>
      </c>
      <c r="O42" s="81" t="s">
        <v>25</v>
      </c>
      <c r="P42" s="81" t="s">
        <v>38</v>
      </c>
      <c r="Q42" s="81" t="s">
        <v>45</v>
      </c>
      <c r="R42" s="81" t="s">
        <v>364</v>
      </c>
      <c r="S42" s="81" t="s">
        <v>365</v>
      </c>
      <c r="T42" s="81" t="s">
        <v>366</v>
      </c>
      <c r="U42" s="81" t="s">
        <v>69</v>
      </c>
      <c r="V42" s="94"/>
      <c r="W42" s="94"/>
    </row>
    <row r="43" spans="1:23" ht="21" customHeight="1">
      <c r="A43">
        <f>Table4[[#This Row],[Column1]]</f>
        <v>0</v>
      </c>
      <c r="B43">
        <f>Table4[[#This Row],[Column2]]</f>
        <v>0</v>
      </c>
      <c r="C43" s="81" t="s">
        <v>210</v>
      </c>
      <c r="D43" s="82">
        <v>14.1</v>
      </c>
      <c r="E43" s="82">
        <v>79</v>
      </c>
      <c r="F43" s="82">
        <v>44</v>
      </c>
      <c r="G43" s="81" t="s">
        <v>4</v>
      </c>
      <c r="H43" s="81" t="s">
        <v>116</v>
      </c>
      <c r="I43" s="81"/>
      <c r="J43" s="81"/>
      <c r="K43" s="81" t="s">
        <v>121</v>
      </c>
      <c r="L43" s="81" t="s">
        <v>4</v>
      </c>
      <c r="M43" s="81" t="s">
        <v>88</v>
      </c>
      <c r="N43" s="81" t="s">
        <v>88</v>
      </c>
      <c r="O43" s="81" t="s">
        <v>26</v>
      </c>
      <c r="P43" s="92" t="s">
        <v>777</v>
      </c>
      <c r="Q43" s="81" t="s">
        <v>45</v>
      </c>
      <c r="R43" s="81" t="s">
        <v>378</v>
      </c>
      <c r="S43" s="81" t="s">
        <v>367</v>
      </c>
      <c r="T43" s="81" t="s">
        <v>368</v>
      </c>
      <c r="U43" s="81" t="s">
        <v>69</v>
      </c>
      <c r="V43" s="94"/>
      <c r="W43" s="94"/>
    </row>
    <row r="44" spans="1:23" ht="21" customHeight="1">
      <c r="A44">
        <f>Table4[[#This Row],[Column1]]</f>
        <v>0</v>
      </c>
      <c r="B44">
        <f>Table4[[#This Row],[Column2]]</f>
        <v>0</v>
      </c>
      <c r="C44" s="81" t="s">
        <v>210</v>
      </c>
      <c r="D44" s="82">
        <v>14.9</v>
      </c>
      <c r="E44" s="82">
        <v>79</v>
      </c>
      <c r="F44" s="82">
        <v>42</v>
      </c>
      <c r="G44" s="82" t="s">
        <v>17</v>
      </c>
      <c r="H44" s="81" t="s">
        <v>116</v>
      </c>
      <c r="I44" s="83"/>
      <c r="J44" s="81"/>
      <c r="K44" s="81" t="s">
        <v>121</v>
      </c>
      <c r="L44" s="81" t="s">
        <v>4</v>
      </c>
      <c r="M44" s="81" t="s">
        <v>126</v>
      </c>
      <c r="N44" s="81" t="s">
        <v>126</v>
      </c>
      <c r="O44" s="81" t="s">
        <v>25</v>
      </c>
      <c r="P44" s="92" t="s">
        <v>777</v>
      </c>
      <c r="Q44" s="81" t="s">
        <v>44</v>
      </c>
      <c r="R44" s="81" t="s">
        <v>378</v>
      </c>
      <c r="S44" s="81" t="s">
        <v>318</v>
      </c>
      <c r="T44" s="81" t="s">
        <v>369</v>
      </c>
      <c r="U44" s="81" t="s">
        <v>69</v>
      </c>
      <c r="V44" s="94"/>
      <c r="W44" s="94"/>
    </row>
    <row r="45" spans="1:23" ht="21" customHeight="1">
      <c r="A45">
        <f>Table4[[#This Row],[Column1]]</f>
        <v>0</v>
      </c>
      <c r="B45">
        <f>Table4[[#This Row],[Column2]]</f>
        <v>0</v>
      </c>
      <c r="C45" s="81" t="s">
        <v>210</v>
      </c>
      <c r="D45" s="82">
        <v>15.2</v>
      </c>
      <c r="E45" s="82">
        <v>61</v>
      </c>
      <c r="F45" s="82">
        <v>40</v>
      </c>
      <c r="G45" s="82" t="s">
        <v>17</v>
      </c>
      <c r="H45" s="81" t="s">
        <v>116</v>
      </c>
      <c r="I45" s="83"/>
      <c r="J45" s="81"/>
      <c r="K45" s="81" t="s">
        <v>121</v>
      </c>
      <c r="L45" s="81" t="s">
        <v>4</v>
      </c>
      <c r="M45" s="81" t="s">
        <v>89</v>
      </c>
      <c r="N45" s="81" t="s">
        <v>89</v>
      </c>
      <c r="O45" s="81" t="s">
        <v>26</v>
      </c>
      <c r="P45" s="92" t="s">
        <v>777</v>
      </c>
      <c r="Q45" s="81" t="s">
        <v>44</v>
      </c>
      <c r="R45" s="81" t="s">
        <v>375</v>
      </c>
      <c r="S45" s="81" t="s">
        <v>377</v>
      </c>
      <c r="T45" s="81" t="s">
        <v>376</v>
      </c>
      <c r="U45" s="81" t="s">
        <v>69</v>
      </c>
      <c r="V45" s="94"/>
      <c r="W45" s="94"/>
    </row>
    <row r="46" spans="1:23" ht="21" customHeight="1">
      <c r="A46">
        <f>Table4[[#This Row],[Column1]]</f>
        <v>0</v>
      </c>
      <c r="B46">
        <f>Table4[[#This Row],[Column2]]</f>
        <v>0</v>
      </c>
      <c r="C46" s="81" t="s">
        <v>210</v>
      </c>
      <c r="D46" s="82">
        <v>13.4</v>
      </c>
      <c r="E46" s="82">
        <v>49</v>
      </c>
      <c r="F46" s="81" t="s">
        <v>210</v>
      </c>
      <c r="G46" s="81" t="s">
        <v>4</v>
      </c>
      <c r="H46" s="81" t="s">
        <v>116</v>
      </c>
      <c r="I46" s="81"/>
      <c r="J46" s="81"/>
      <c r="K46" s="81" t="s">
        <v>122</v>
      </c>
      <c r="L46" s="81" t="s">
        <v>4</v>
      </c>
      <c r="M46" s="81" t="s">
        <v>126</v>
      </c>
      <c r="N46" s="81" t="s">
        <v>126</v>
      </c>
      <c r="O46" s="81" t="s">
        <v>25</v>
      </c>
      <c r="P46" s="92" t="s">
        <v>777</v>
      </c>
      <c r="Q46" s="81" t="s">
        <v>778</v>
      </c>
      <c r="R46" s="81" t="s">
        <v>378</v>
      </c>
      <c r="S46" s="81" t="s">
        <v>379</v>
      </c>
      <c r="T46" s="81" t="s">
        <v>380</v>
      </c>
      <c r="U46" s="81" t="s">
        <v>69</v>
      </c>
      <c r="V46" s="94"/>
      <c r="W46" s="94"/>
    </row>
    <row r="47" spans="1:23" ht="21" customHeight="1">
      <c r="A47">
        <f>Table4[[#This Row],[Column1]]</f>
        <v>0</v>
      </c>
      <c r="B47">
        <f>Table4[[#This Row],[Column2]]</f>
        <v>0</v>
      </c>
      <c r="C47" s="81" t="s">
        <v>210</v>
      </c>
      <c r="D47" s="82">
        <v>14.7</v>
      </c>
      <c r="E47" s="82">
        <v>62</v>
      </c>
      <c r="F47" s="82">
        <v>40</v>
      </c>
      <c r="G47" s="82" t="s">
        <v>17</v>
      </c>
      <c r="H47" s="81" t="s">
        <v>116</v>
      </c>
      <c r="I47" s="83"/>
      <c r="J47" s="81"/>
      <c r="K47" s="81" t="s">
        <v>121</v>
      </c>
      <c r="L47" s="81" t="s">
        <v>4</v>
      </c>
      <c r="M47" s="81" t="s">
        <v>126</v>
      </c>
      <c r="N47" s="81" t="s">
        <v>126</v>
      </c>
      <c r="O47" s="81" t="s">
        <v>25</v>
      </c>
      <c r="P47" s="92" t="s">
        <v>777</v>
      </c>
      <c r="Q47" s="81" t="s">
        <v>45</v>
      </c>
      <c r="R47" s="81" t="s">
        <v>281</v>
      </c>
      <c r="S47" s="81" t="s">
        <v>402</v>
      </c>
      <c r="T47" s="81" t="s">
        <v>401</v>
      </c>
      <c r="U47" s="81" t="s">
        <v>69</v>
      </c>
      <c r="V47" s="94"/>
      <c r="W47" s="94"/>
    </row>
    <row r="48" spans="1:23" ht="21" customHeight="1">
      <c r="A48">
        <f>Table4[[#This Row],[Column1]]</f>
        <v>0</v>
      </c>
      <c r="B48">
        <f>Table4[[#This Row],[Column2]]</f>
        <v>0</v>
      </c>
      <c r="C48" s="81" t="s">
        <v>210</v>
      </c>
      <c r="D48" s="82">
        <v>13</v>
      </c>
      <c r="E48" s="82">
        <v>60</v>
      </c>
      <c r="F48" s="82">
        <v>47</v>
      </c>
      <c r="G48" s="81" t="s">
        <v>4</v>
      </c>
      <c r="H48" s="81" t="s">
        <v>116</v>
      </c>
      <c r="I48" s="81"/>
      <c r="J48" s="81"/>
      <c r="K48" s="81" t="s">
        <v>122</v>
      </c>
      <c r="L48" s="81" t="s">
        <v>4</v>
      </c>
      <c r="M48" s="81" t="s">
        <v>126</v>
      </c>
      <c r="N48" s="81" t="s">
        <v>126</v>
      </c>
      <c r="O48" s="81" t="s">
        <v>25</v>
      </c>
      <c r="P48" s="92" t="s">
        <v>777</v>
      </c>
      <c r="Q48" s="81" t="s">
        <v>45</v>
      </c>
      <c r="R48" s="81" t="s">
        <v>381</v>
      </c>
      <c r="S48" s="81" t="s">
        <v>399</v>
      </c>
      <c r="T48" s="81" t="s">
        <v>400</v>
      </c>
      <c r="U48" s="81" t="s">
        <v>69</v>
      </c>
      <c r="V48" s="94"/>
      <c r="W48" s="94"/>
    </row>
    <row r="49" spans="1:23" ht="21" customHeight="1">
      <c r="A49">
        <f>Table4[[#This Row],[Column1]]</f>
        <v>0</v>
      </c>
      <c r="B49">
        <f>Table4[[#This Row],[Column2]]</f>
        <v>0</v>
      </c>
      <c r="C49" s="81" t="s">
        <v>210</v>
      </c>
      <c r="D49" s="82">
        <v>10</v>
      </c>
      <c r="E49" s="82">
        <v>66</v>
      </c>
      <c r="F49" s="81">
        <v>46</v>
      </c>
      <c r="G49" s="82" t="s">
        <v>17</v>
      </c>
      <c r="H49" s="81" t="s">
        <v>116</v>
      </c>
      <c r="I49" s="83"/>
      <c r="J49" s="81"/>
      <c r="K49" s="81" t="s">
        <v>121</v>
      </c>
      <c r="L49" s="81" t="s">
        <v>4</v>
      </c>
      <c r="M49" s="81" t="s">
        <v>126</v>
      </c>
      <c r="N49" s="81" t="s">
        <v>126</v>
      </c>
      <c r="O49" s="81" t="s">
        <v>25</v>
      </c>
      <c r="P49" s="81" t="s">
        <v>38</v>
      </c>
      <c r="Q49" s="81" t="s">
        <v>44</v>
      </c>
      <c r="R49" s="81" t="s">
        <v>231</v>
      </c>
      <c r="S49" s="81" t="s">
        <v>233</v>
      </c>
      <c r="T49" s="81" t="s">
        <v>383</v>
      </c>
      <c r="U49" s="81" t="s">
        <v>69</v>
      </c>
      <c r="V49" s="94"/>
      <c r="W49" s="94"/>
    </row>
    <row r="50" spans="1:23" ht="22.5" customHeight="1">
      <c r="A50">
        <f>Table4[[#This Row],[Column1]]</f>
        <v>0</v>
      </c>
      <c r="B50">
        <f>Table4[[#This Row],[Column2]]</f>
        <v>0</v>
      </c>
      <c r="C50" s="81" t="s">
        <v>210</v>
      </c>
      <c r="D50" s="82">
        <v>12.8</v>
      </c>
      <c r="E50" s="82">
        <v>64</v>
      </c>
      <c r="F50" s="84">
        <v>42</v>
      </c>
      <c r="G50" s="82" t="s">
        <v>17</v>
      </c>
      <c r="H50" s="81" t="s">
        <v>116</v>
      </c>
      <c r="I50" s="83"/>
      <c r="J50" s="81"/>
      <c r="K50" s="81" t="s">
        <v>122</v>
      </c>
      <c r="L50" s="81" t="s">
        <v>4</v>
      </c>
      <c r="M50" s="81" t="s">
        <v>126</v>
      </c>
      <c r="N50" s="81" t="s">
        <v>126</v>
      </c>
      <c r="O50" s="81" t="s">
        <v>25</v>
      </c>
      <c r="P50" s="92" t="s">
        <v>777</v>
      </c>
      <c r="Q50" s="81" t="s">
        <v>44</v>
      </c>
      <c r="R50" s="81" t="s">
        <v>385</v>
      </c>
      <c r="S50" s="81" t="s">
        <v>287</v>
      </c>
      <c r="T50" s="81" t="s">
        <v>384</v>
      </c>
      <c r="U50" s="81" t="s">
        <v>69</v>
      </c>
      <c r="V50" s="94"/>
      <c r="W50" s="94"/>
    </row>
    <row r="51" spans="1:23" ht="21" customHeight="1">
      <c r="A51">
        <f>Table4[[#This Row],[Column1]]</f>
        <v>0</v>
      </c>
      <c r="B51">
        <f>Table4[[#This Row],[Column2]]</f>
        <v>0</v>
      </c>
      <c r="C51" s="81" t="s">
        <v>210</v>
      </c>
      <c r="D51" s="82">
        <v>14.3</v>
      </c>
      <c r="E51" s="82">
        <v>103</v>
      </c>
      <c r="F51" s="81" t="s">
        <v>210</v>
      </c>
      <c r="G51" s="81" t="s">
        <v>4</v>
      </c>
      <c r="H51" s="81" t="s">
        <v>116</v>
      </c>
      <c r="I51" s="81"/>
      <c r="J51" s="81"/>
      <c r="K51" s="81" t="s">
        <v>122</v>
      </c>
      <c r="L51" s="81" t="s">
        <v>4</v>
      </c>
      <c r="M51" s="81" t="s">
        <v>88</v>
      </c>
      <c r="N51" s="81" t="s">
        <v>88</v>
      </c>
      <c r="O51" s="81" t="s">
        <v>26</v>
      </c>
      <c r="P51" s="92" t="s">
        <v>777</v>
      </c>
      <c r="Q51" s="81" t="s">
        <v>44</v>
      </c>
      <c r="R51" s="81" t="s">
        <v>386</v>
      </c>
      <c r="S51" s="81" t="s">
        <v>358</v>
      </c>
      <c r="T51" s="81" t="s">
        <v>387</v>
      </c>
      <c r="U51" s="81" t="s">
        <v>69</v>
      </c>
      <c r="V51" s="94"/>
      <c r="W51" s="94"/>
    </row>
    <row r="52" spans="1:23" ht="21" customHeight="1">
      <c r="A52">
        <f>Table4[[#This Row],[Column1]]</f>
        <v>0</v>
      </c>
      <c r="B52">
        <f>Table4[[#This Row],[Column2]]</f>
        <v>0</v>
      </c>
      <c r="C52" s="81" t="s">
        <v>210</v>
      </c>
      <c r="D52" s="82">
        <v>14.4</v>
      </c>
      <c r="E52" s="82">
        <v>83</v>
      </c>
      <c r="F52" s="81" t="s">
        <v>210</v>
      </c>
      <c r="G52" s="81" t="s">
        <v>4</v>
      </c>
      <c r="H52" s="81" t="s">
        <v>116</v>
      </c>
      <c r="I52" s="81"/>
      <c r="J52" s="81"/>
      <c r="K52" s="81" t="s">
        <v>121</v>
      </c>
      <c r="L52" s="81" t="s">
        <v>4</v>
      </c>
      <c r="M52" s="81" t="s">
        <v>126</v>
      </c>
      <c r="N52" s="81" t="s">
        <v>126</v>
      </c>
      <c r="O52" s="81" t="s">
        <v>25</v>
      </c>
      <c r="P52" s="92" t="s">
        <v>777</v>
      </c>
      <c r="Q52" s="81" t="s">
        <v>45</v>
      </c>
      <c r="R52" s="81" t="s">
        <v>381</v>
      </c>
      <c r="S52" s="81" t="s">
        <v>392</v>
      </c>
      <c r="T52" s="81" t="s">
        <v>393</v>
      </c>
      <c r="U52" s="81" t="s">
        <v>69</v>
      </c>
      <c r="V52" s="94"/>
      <c r="W52" s="94"/>
    </row>
    <row r="53" spans="1:23" ht="21" customHeight="1">
      <c r="A53">
        <f>Table4[[#This Row],[Column1]]</f>
        <v>0</v>
      </c>
      <c r="B53">
        <f>Table4[[#This Row],[Column2]]</f>
        <v>0</v>
      </c>
      <c r="C53" s="81" t="s">
        <v>210</v>
      </c>
      <c r="D53" s="82">
        <v>12.3</v>
      </c>
      <c r="E53" s="82">
        <v>96</v>
      </c>
      <c r="F53" s="82">
        <v>43</v>
      </c>
      <c r="G53" s="81" t="s">
        <v>4</v>
      </c>
      <c r="H53" s="81" t="s">
        <v>116</v>
      </c>
      <c r="I53" s="81"/>
      <c r="J53" s="81"/>
      <c r="K53" s="81"/>
      <c r="L53" s="81"/>
      <c r="M53" s="81" t="s">
        <v>88</v>
      </c>
      <c r="N53" s="81" t="s">
        <v>88</v>
      </c>
      <c r="O53" s="81" t="s">
        <v>25</v>
      </c>
      <c r="P53" s="92" t="s">
        <v>777</v>
      </c>
      <c r="Q53" s="81" t="s">
        <v>778</v>
      </c>
      <c r="R53" s="81" t="s">
        <v>395</v>
      </c>
      <c r="S53" s="81" t="s">
        <v>294</v>
      </c>
      <c r="T53" s="81" t="s">
        <v>394</v>
      </c>
      <c r="U53" s="81" t="s">
        <v>69</v>
      </c>
      <c r="V53" s="94"/>
      <c r="W53" s="94"/>
    </row>
    <row r="54" spans="1:23" ht="21" customHeight="1">
      <c r="A54">
        <f>Table4[[#This Row],[Column1]]</f>
        <v>0</v>
      </c>
      <c r="B54">
        <f>Table4[[#This Row],[Column2]]</f>
        <v>0</v>
      </c>
      <c r="C54" s="81" t="s">
        <v>210</v>
      </c>
      <c r="D54" s="82">
        <v>14.8</v>
      </c>
      <c r="E54" s="82">
        <v>84</v>
      </c>
      <c r="F54" s="81" t="s">
        <v>210</v>
      </c>
      <c r="G54" s="81" t="s">
        <v>4</v>
      </c>
      <c r="H54" s="81" t="s">
        <v>116</v>
      </c>
      <c r="I54" s="81"/>
      <c r="J54" s="81"/>
      <c r="K54" s="81" t="s">
        <v>121</v>
      </c>
      <c r="L54" s="81" t="s">
        <v>4</v>
      </c>
      <c r="M54" s="81" t="s">
        <v>126</v>
      </c>
      <c r="N54" s="81" t="s">
        <v>126</v>
      </c>
      <c r="O54" s="81" t="s">
        <v>25</v>
      </c>
      <c r="P54" s="92" t="s">
        <v>777</v>
      </c>
      <c r="Q54" s="81" t="s">
        <v>778</v>
      </c>
      <c r="R54" s="81" t="s">
        <v>381</v>
      </c>
      <c r="S54" s="81" t="s">
        <v>396</v>
      </c>
      <c r="T54" s="81" t="s">
        <v>397</v>
      </c>
      <c r="U54" s="81" t="s">
        <v>69</v>
      </c>
      <c r="V54" s="94"/>
      <c r="W54" s="94"/>
    </row>
    <row r="55" spans="1:23" ht="21" customHeight="1">
      <c r="A55">
        <f>Table4[[#This Row],[Column1]]</f>
        <v>0</v>
      </c>
      <c r="B55">
        <f>Table4[[#This Row],[Column2]]</f>
        <v>0</v>
      </c>
      <c r="C55" s="81" t="s">
        <v>210</v>
      </c>
      <c r="D55" s="82">
        <v>15.3</v>
      </c>
      <c r="E55" s="82">
        <v>91</v>
      </c>
      <c r="F55" s="81" t="s">
        <v>210</v>
      </c>
      <c r="G55" s="81" t="s">
        <v>4</v>
      </c>
      <c r="H55" s="81" t="s">
        <v>116</v>
      </c>
      <c r="I55" s="81"/>
      <c r="J55" s="81"/>
      <c r="K55" s="81" t="s">
        <v>121</v>
      </c>
      <c r="L55" s="81" t="s">
        <v>4</v>
      </c>
      <c r="M55" s="81" t="s">
        <v>126</v>
      </c>
      <c r="N55" s="81" t="s">
        <v>126</v>
      </c>
      <c r="O55" s="81" t="s">
        <v>25</v>
      </c>
      <c r="P55" s="92" t="s">
        <v>777</v>
      </c>
      <c r="Q55" s="81" t="s">
        <v>778</v>
      </c>
      <c r="R55" s="81" t="s">
        <v>381</v>
      </c>
      <c r="S55" s="81" t="s">
        <v>403</v>
      </c>
      <c r="T55" s="81" t="s">
        <v>404</v>
      </c>
      <c r="U55" s="81" t="s">
        <v>69</v>
      </c>
      <c r="V55" s="94"/>
      <c r="W55" s="94"/>
    </row>
    <row r="56" spans="1:23" ht="21" customHeight="1">
      <c r="A56">
        <f>Table4[[#This Row],[Column1]]</f>
        <v>0</v>
      </c>
      <c r="B56">
        <f>Table4[[#This Row],[Column2]]</f>
        <v>0</v>
      </c>
      <c r="C56" s="81" t="s">
        <v>210</v>
      </c>
      <c r="D56" s="82">
        <v>13.9</v>
      </c>
      <c r="E56" s="82">
        <v>86</v>
      </c>
      <c r="F56" s="82">
        <v>44</v>
      </c>
      <c r="G56" s="81" t="s">
        <v>4</v>
      </c>
      <c r="H56" s="81" t="s">
        <v>116</v>
      </c>
      <c r="I56" s="81"/>
      <c r="J56" s="81"/>
      <c r="K56" s="81" t="s">
        <v>121</v>
      </c>
      <c r="L56" s="81" t="s">
        <v>4</v>
      </c>
      <c r="M56" s="81" t="s">
        <v>89</v>
      </c>
      <c r="N56" s="81" t="s">
        <v>89</v>
      </c>
      <c r="O56" s="81" t="s">
        <v>28</v>
      </c>
      <c r="P56" s="92" t="s">
        <v>777</v>
      </c>
      <c r="Q56" s="81" t="s">
        <v>44</v>
      </c>
      <c r="R56" s="81" t="s">
        <v>405</v>
      </c>
      <c r="S56" s="81" t="s">
        <v>318</v>
      </c>
      <c r="T56" s="81" t="s">
        <v>632</v>
      </c>
      <c r="U56" s="81" t="s">
        <v>69</v>
      </c>
      <c r="V56" s="94"/>
      <c r="W56" s="94"/>
    </row>
    <row r="57" spans="1:23" ht="21" customHeight="1">
      <c r="A57">
        <f>Table4[[#This Row],[Column1]]</f>
        <v>0</v>
      </c>
      <c r="B57">
        <f>Table4[[#This Row],[Column2]]</f>
        <v>0</v>
      </c>
      <c r="C57" s="81" t="s">
        <v>210</v>
      </c>
      <c r="D57" s="82">
        <v>13.2</v>
      </c>
      <c r="E57" s="82">
        <v>68</v>
      </c>
      <c r="F57" s="81" t="s">
        <v>210</v>
      </c>
      <c r="G57" s="81" t="s">
        <v>4</v>
      </c>
      <c r="H57" s="81" t="s">
        <v>116</v>
      </c>
      <c r="I57" s="81"/>
      <c r="J57" s="81"/>
      <c r="K57" s="81" t="s">
        <v>121</v>
      </c>
      <c r="L57" s="81" t="s">
        <v>4</v>
      </c>
      <c r="M57" s="81" t="s">
        <v>126</v>
      </c>
      <c r="N57" s="81" t="s">
        <v>126</v>
      </c>
      <c r="O57" s="81" t="s">
        <v>25</v>
      </c>
      <c r="P57" s="92" t="s">
        <v>777</v>
      </c>
      <c r="Q57" s="81" t="s">
        <v>45</v>
      </c>
      <c r="R57" s="85" t="s">
        <v>381</v>
      </c>
      <c r="S57" s="81" t="s">
        <v>406</v>
      </c>
      <c r="T57" s="81" t="s">
        <v>407</v>
      </c>
      <c r="U57" s="81" t="s">
        <v>69</v>
      </c>
      <c r="V57" s="94"/>
      <c r="W57" s="94"/>
    </row>
    <row r="58" spans="1:23" ht="21" customHeight="1">
      <c r="A58">
        <f>Table4[[#This Row],[Column1]]</f>
        <v>0</v>
      </c>
      <c r="B58">
        <f>Table4[[#This Row],[Column2]]</f>
        <v>0</v>
      </c>
      <c r="C58" s="81" t="s">
        <v>210</v>
      </c>
      <c r="D58" s="82">
        <v>12.4</v>
      </c>
      <c r="E58" s="82">
        <v>66</v>
      </c>
      <c r="F58" s="81" t="s">
        <v>210</v>
      </c>
      <c r="G58" s="81" t="s">
        <v>17</v>
      </c>
      <c r="H58" s="81" t="s">
        <v>116</v>
      </c>
      <c r="I58" s="81"/>
      <c r="J58" s="81"/>
      <c r="K58" s="81" t="s">
        <v>121</v>
      </c>
      <c r="L58" s="81" t="s">
        <v>4</v>
      </c>
      <c r="M58" s="81" t="s">
        <v>88</v>
      </c>
      <c r="N58" s="81" t="s">
        <v>88</v>
      </c>
      <c r="O58" s="81" t="s">
        <v>26</v>
      </c>
      <c r="P58" s="92" t="s">
        <v>777</v>
      </c>
      <c r="Q58" s="81" t="s">
        <v>44</v>
      </c>
      <c r="R58" s="85" t="s">
        <v>372</v>
      </c>
      <c r="S58" s="81" t="s">
        <v>246</v>
      </c>
      <c r="T58" s="81" t="s">
        <v>410</v>
      </c>
      <c r="U58" s="81" t="s">
        <v>69</v>
      </c>
      <c r="V58" s="94"/>
      <c r="W58" s="94"/>
    </row>
    <row r="59" spans="1:23" ht="21" customHeight="1">
      <c r="A59">
        <f>Table4[[#This Row],[Column1]]</f>
        <v>0</v>
      </c>
      <c r="B59">
        <f>Table4[[#This Row],[Column2]]</f>
        <v>0</v>
      </c>
      <c r="C59" s="81" t="s">
        <v>210</v>
      </c>
      <c r="D59" s="82">
        <v>13.4</v>
      </c>
      <c r="E59" s="82">
        <v>77</v>
      </c>
      <c r="F59" s="82">
        <v>47</v>
      </c>
      <c r="G59" s="81" t="s">
        <v>4</v>
      </c>
      <c r="H59" s="81" t="s">
        <v>116</v>
      </c>
      <c r="I59" s="81"/>
      <c r="J59" s="81"/>
      <c r="K59" s="81" t="s">
        <v>121</v>
      </c>
      <c r="L59" s="81" t="s">
        <v>4</v>
      </c>
      <c r="M59" s="81" t="s">
        <v>126</v>
      </c>
      <c r="N59" s="81" t="s">
        <v>126</v>
      </c>
      <c r="O59" s="81" t="s">
        <v>25</v>
      </c>
      <c r="P59" s="81" t="s">
        <v>25</v>
      </c>
      <c r="Q59" s="81" t="s">
        <v>45</v>
      </c>
      <c r="R59" s="81" t="s">
        <v>378</v>
      </c>
      <c r="S59" s="81" t="s">
        <v>327</v>
      </c>
      <c r="T59" s="81" t="s">
        <v>411</v>
      </c>
      <c r="U59" s="81" t="s">
        <v>69</v>
      </c>
      <c r="V59" s="94"/>
      <c r="W59" s="94"/>
    </row>
    <row r="60" spans="1:23" ht="21" customHeight="1">
      <c r="A60">
        <f>Table4[[#This Row],[Column1]]</f>
        <v>0</v>
      </c>
      <c r="B60">
        <f>Table4[[#This Row],[Column2]]</f>
        <v>0</v>
      </c>
      <c r="C60" s="81" t="s">
        <v>210</v>
      </c>
      <c r="D60" s="82">
        <v>15</v>
      </c>
      <c r="E60" s="82">
        <v>66</v>
      </c>
      <c r="F60" s="82">
        <v>50</v>
      </c>
      <c r="G60" s="81" t="s">
        <v>4</v>
      </c>
      <c r="H60" s="81" t="s">
        <v>116</v>
      </c>
      <c r="I60" s="81"/>
      <c r="J60" s="81"/>
      <c r="K60" s="81" t="s">
        <v>121</v>
      </c>
      <c r="L60" s="81" t="s">
        <v>4</v>
      </c>
      <c r="M60" s="81" t="s">
        <v>21</v>
      </c>
      <c r="N60" s="81" t="s">
        <v>21</v>
      </c>
      <c r="O60" s="81" t="s">
        <v>25</v>
      </c>
      <c r="P60" s="92" t="s">
        <v>777</v>
      </c>
      <c r="Q60" s="81" t="s">
        <v>45</v>
      </c>
      <c r="R60" s="81" t="s">
        <v>381</v>
      </c>
      <c r="S60" s="81" t="s">
        <v>412</v>
      </c>
      <c r="T60" s="81" t="s">
        <v>413</v>
      </c>
      <c r="U60" s="81" t="s">
        <v>69</v>
      </c>
      <c r="V60" s="94"/>
      <c r="W60" s="94"/>
    </row>
    <row r="61" spans="1:23" ht="21" customHeight="1">
      <c r="A61">
        <f>Table4[[#This Row],[Column1]]</f>
        <v>0</v>
      </c>
      <c r="B61">
        <f>Table4[[#This Row],[Column2]]</f>
        <v>0</v>
      </c>
      <c r="C61" s="81" t="s">
        <v>210</v>
      </c>
      <c r="D61" s="82">
        <v>11.6</v>
      </c>
      <c r="E61" s="82">
        <v>48</v>
      </c>
      <c r="F61" s="82">
        <v>50</v>
      </c>
      <c r="G61" s="82" t="s">
        <v>17</v>
      </c>
      <c r="H61" s="81" t="s">
        <v>116</v>
      </c>
      <c r="I61" s="83"/>
      <c r="J61" s="81"/>
      <c r="K61" s="81" t="s">
        <v>121</v>
      </c>
      <c r="L61" s="81" t="s">
        <v>4</v>
      </c>
      <c r="M61" s="81" t="s">
        <v>126</v>
      </c>
      <c r="N61" s="81" t="s">
        <v>126</v>
      </c>
      <c r="O61" s="81" t="s">
        <v>25</v>
      </c>
      <c r="P61" s="81" t="s">
        <v>39</v>
      </c>
      <c r="Q61" s="81" t="s">
        <v>44</v>
      </c>
      <c r="R61" s="81" t="s">
        <v>417</v>
      </c>
      <c r="S61" s="81" t="s">
        <v>298</v>
      </c>
      <c r="T61" s="81" t="s">
        <v>418</v>
      </c>
      <c r="U61" s="81" t="s">
        <v>69</v>
      </c>
      <c r="V61" s="94"/>
      <c r="W61" s="94"/>
    </row>
    <row r="62" spans="1:23" ht="21" customHeight="1">
      <c r="A62">
        <f>Table4[[#This Row],[Column1]]</f>
        <v>0</v>
      </c>
      <c r="B62">
        <f>Table4[[#This Row],[Column2]]</f>
        <v>0</v>
      </c>
      <c r="C62" s="81" t="s">
        <v>210</v>
      </c>
      <c r="D62" s="82">
        <v>12.3</v>
      </c>
      <c r="E62" s="82">
        <v>446</v>
      </c>
      <c r="F62" s="82">
        <v>46</v>
      </c>
      <c r="G62" s="81" t="s">
        <v>17</v>
      </c>
      <c r="H62" s="81" t="s">
        <v>116</v>
      </c>
      <c r="I62" s="81"/>
      <c r="J62" s="81"/>
      <c r="K62" s="81"/>
      <c r="L62" s="81"/>
      <c r="M62" s="81"/>
      <c r="N62" s="81"/>
      <c r="O62" s="81"/>
      <c r="P62" s="81"/>
      <c r="Q62" s="81"/>
      <c r="R62" s="81" t="s">
        <v>421</v>
      </c>
      <c r="S62" s="81" t="s">
        <v>358</v>
      </c>
      <c r="T62" s="81" t="s">
        <v>420</v>
      </c>
      <c r="U62" s="81" t="s">
        <v>69</v>
      </c>
      <c r="V62" s="94"/>
      <c r="W62" s="94"/>
    </row>
    <row r="63" spans="1:23" ht="21" customHeight="1">
      <c r="A63">
        <f>Table4[[#This Row],[Column1]]</f>
        <v>0</v>
      </c>
      <c r="B63">
        <f>Table4[[#This Row],[Column2]]</f>
        <v>0</v>
      </c>
      <c r="C63" s="81" t="s">
        <v>210</v>
      </c>
      <c r="D63" s="82">
        <v>14.7</v>
      </c>
      <c r="E63" s="82">
        <v>84</v>
      </c>
      <c r="F63" s="82">
        <v>42</v>
      </c>
      <c r="G63" s="81" t="s">
        <v>4</v>
      </c>
      <c r="H63" s="81" t="s">
        <v>116</v>
      </c>
      <c r="I63" s="81"/>
      <c r="J63" s="81"/>
      <c r="K63" s="81" t="s">
        <v>122</v>
      </c>
      <c r="L63" s="81" t="s">
        <v>4</v>
      </c>
      <c r="M63" s="81" t="s">
        <v>126</v>
      </c>
      <c r="N63" s="81" t="s">
        <v>126</v>
      </c>
      <c r="O63" s="81" t="s">
        <v>25</v>
      </c>
      <c r="P63" s="92" t="s">
        <v>777</v>
      </c>
      <c r="Q63" s="81" t="s">
        <v>44</v>
      </c>
      <c r="R63" s="81" t="s">
        <v>386</v>
      </c>
      <c r="S63" s="81" t="s">
        <v>246</v>
      </c>
      <c r="T63" s="81" t="s">
        <v>422</v>
      </c>
      <c r="U63" s="81" t="s">
        <v>69</v>
      </c>
      <c r="V63" s="94"/>
      <c r="W63" s="94"/>
    </row>
    <row r="64" spans="1:23" ht="21" customHeight="1">
      <c r="A64">
        <f>Table4[[#This Row],[Column1]]</f>
        <v>0</v>
      </c>
      <c r="B64">
        <f>Table4[[#This Row],[Column2]]</f>
        <v>0</v>
      </c>
      <c r="C64" s="81" t="s">
        <v>210</v>
      </c>
      <c r="D64" s="82">
        <v>14.7</v>
      </c>
      <c r="E64" s="82">
        <v>64</v>
      </c>
      <c r="F64" s="82">
        <v>42</v>
      </c>
      <c r="G64" s="81" t="s">
        <v>4</v>
      </c>
      <c r="H64" s="81" t="s">
        <v>116</v>
      </c>
      <c r="I64" s="81"/>
      <c r="J64" s="81"/>
      <c r="K64" s="81" t="s">
        <v>121</v>
      </c>
      <c r="L64" s="81" t="s">
        <v>4</v>
      </c>
      <c r="M64" s="81" t="s">
        <v>88</v>
      </c>
      <c r="N64" s="81" t="s">
        <v>88</v>
      </c>
      <c r="O64" s="81" t="s">
        <v>34</v>
      </c>
      <c r="P64" s="92" t="s">
        <v>777</v>
      </c>
      <c r="Q64" s="81" t="s">
        <v>45</v>
      </c>
      <c r="R64" s="81" t="s">
        <v>423</v>
      </c>
      <c r="S64" s="81" t="s">
        <v>312</v>
      </c>
      <c r="T64" s="81" t="s">
        <v>424</v>
      </c>
      <c r="U64" s="81" t="s">
        <v>69</v>
      </c>
      <c r="V64" s="94"/>
      <c r="W64" s="94"/>
    </row>
    <row r="65" spans="1:23" ht="21" customHeight="1">
      <c r="A65">
        <f>Table4[[#This Row],[Column1]]</f>
        <v>0</v>
      </c>
      <c r="B65">
        <f>Table4[[#This Row],[Column2]]</f>
        <v>0</v>
      </c>
      <c r="C65" s="81" t="s">
        <v>210</v>
      </c>
      <c r="D65" s="82">
        <v>14.1</v>
      </c>
      <c r="E65" s="82">
        <v>56</v>
      </c>
      <c r="F65" s="82">
        <v>44</v>
      </c>
      <c r="G65" s="81" t="s">
        <v>17</v>
      </c>
      <c r="H65" s="81" t="s">
        <v>116</v>
      </c>
      <c r="I65" s="81"/>
      <c r="J65" s="81"/>
      <c r="K65" s="81" t="s">
        <v>122</v>
      </c>
      <c r="L65" s="81" t="s">
        <v>4</v>
      </c>
      <c r="M65" s="81" t="s">
        <v>126</v>
      </c>
      <c r="N65" s="81" t="s">
        <v>126</v>
      </c>
      <c r="O65" s="81" t="s">
        <v>25</v>
      </c>
      <c r="P65" s="92" t="s">
        <v>777</v>
      </c>
      <c r="Q65" s="81" t="s">
        <v>45</v>
      </c>
      <c r="R65" s="81" t="s">
        <v>370</v>
      </c>
      <c r="S65" s="81" t="s">
        <v>233</v>
      </c>
      <c r="T65" s="81" t="s">
        <v>425</v>
      </c>
      <c r="U65" s="81" t="s">
        <v>69</v>
      </c>
      <c r="V65" s="94"/>
      <c r="W65" s="94"/>
    </row>
    <row r="66" spans="1:23" ht="21" customHeight="1">
      <c r="A66">
        <f>Table4[[#This Row],[Column1]]</f>
        <v>0</v>
      </c>
      <c r="B66">
        <f>Table4[[#This Row],[Column2]]</f>
        <v>0</v>
      </c>
      <c r="C66" s="81" t="s">
        <v>210</v>
      </c>
      <c r="D66" s="82">
        <v>9.9</v>
      </c>
      <c r="E66" s="82">
        <v>64</v>
      </c>
      <c r="F66" s="82">
        <v>43</v>
      </c>
      <c r="G66" s="81" t="s">
        <v>17</v>
      </c>
      <c r="H66" s="81" t="s">
        <v>116</v>
      </c>
      <c r="I66" s="81"/>
      <c r="J66" s="81"/>
      <c r="K66" s="81" t="s">
        <v>122</v>
      </c>
      <c r="L66" s="81" t="s">
        <v>4</v>
      </c>
      <c r="M66" s="81" t="s">
        <v>126</v>
      </c>
      <c r="N66" s="81" t="s">
        <v>126</v>
      </c>
      <c r="O66" s="81" t="s">
        <v>25</v>
      </c>
      <c r="P66" s="81" t="s">
        <v>39</v>
      </c>
      <c r="Q66" s="81" t="s">
        <v>45</v>
      </c>
      <c r="R66" s="81" t="s">
        <v>372</v>
      </c>
      <c r="S66" s="81" t="s">
        <v>358</v>
      </c>
      <c r="T66" s="81" t="s">
        <v>426</v>
      </c>
      <c r="U66" s="81" t="s">
        <v>69</v>
      </c>
      <c r="V66" s="94"/>
      <c r="W66" s="94"/>
    </row>
    <row r="67" spans="1:23" ht="21" customHeight="1">
      <c r="A67">
        <f>Table4[[#This Row],[Column1]]</f>
        <v>0</v>
      </c>
      <c r="B67">
        <f>Table4[[#This Row],[Column2]]</f>
        <v>0</v>
      </c>
      <c r="C67" s="81" t="s">
        <v>210</v>
      </c>
      <c r="D67" s="82">
        <v>11.4</v>
      </c>
      <c r="E67" s="82">
        <v>53</v>
      </c>
      <c r="F67" s="82">
        <v>39</v>
      </c>
      <c r="G67" s="81" t="s">
        <v>4</v>
      </c>
      <c r="H67" s="81" t="s">
        <v>116</v>
      </c>
      <c r="I67" s="81"/>
      <c r="J67" s="81"/>
      <c r="K67" s="81" t="s">
        <v>121</v>
      </c>
      <c r="L67" s="81" t="s">
        <v>4</v>
      </c>
      <c r="M67" s="81" t="s">
        <v>126</v>
      </c>
      <c r="N67" s="81" t="s">
        <v>89</v>
      </c>
      <c r="O67" s="81" t="s">
        <v>34</v>
      </c>
      <c r="P67" s="92" t="s">
        <v>777</v>
      </c>
      <c r="Q67" s="81" t="s">
        <v>778</v>
      </c>
      <c r="R67" s="81" t="s">
        <v>289</v>
      </c>
      <c r="S67" s="81" t="s">
        <v>290</v>
      </c>
      <c r="T67" s="81" t="s">
        <v>427</v>
      </c>
      <c r="U67" s="81" t="s">
        <v>69</v>
      </c>
      <c r="V67" s="94"/>
      <c r="W67" s="94"/>
    </row>
    <row r="68" spans="1:23" ht="21" customHeight="1">
      <c r="A68">
        <f>Table4[[#This Row],[Column1]]</f>
        <v>0</v>
      </c>
      <c r="B68">
        <f>Table4[[#This Row],[Column2]]</f>
        <v>0</v>
      </c>
      <c r="C68" s="81" t="s">
        <v>210</v>
      </c>
      <c r="D68" s="82">
        <v>14.1</v>
      </c>
      <c r="E68" s="82">
        <v>78</v>
      </c>
      <c r="F68" s="82">
        <v>46</v>
      </c>
      <c r="G68" s="81" t="s">
        <v>17</v>
      </c>
      <c r="H68" s="81" t="s">
        <v>116</v>
      </c>
      <c r="I68" s="81"/>
      <c r="J68" s="81"/>
      <c r="K68" s="81" t="s">
        <v>121</v>
      </c>
      <c r="L68" s="81" t="s">
        <v>4</v>
      </c>
      <c r="M68" s="81" t="s">
        <v>88</v>
      </c>
      <c r="N68" s="81" t="s">
        <v>88</v>
      </c>
      <c r="O68" s="81" t="s">
        <v>26</v>
      </c>
      <c r="P68" s="92" t="s">
        <v>777</v>
      </c>
      <c r="Q68" s="81" t="s">
        <v>45</v>
      </c>
      <c r="R68" s="81" t="s">
        <v>417</v>
      </c>
      <c r="S68" s="81" t="s">
        <v>233</v>
      </c>
      <c r="T68" s="81" t="s">
        <v>428</v>
      </c>
      <c r="U68" s="81" t="s">
        <v>69</v>
      </c>
      <c r="V68" s="94"/>
      <c r="W68" s="94"/>
    </row>
    <row r="69" spans="1:23" ht="21" customHeight="1">
      <c r="A69">
        <f>Table4[[#This Row],[Column1]]</f>
        <v>0</v>
      </c>
      <c r="B69">
        <f>Table4[[#This Row],[Column2]]</f>
        <v>0</v>
      </c>
      <c r="C69" s="81" t="s">
        <v>210</v>
      </c>
      <c r="D69" s="82">
        <v>14.5</v>
      </c>
      <c r="E69" s="82">
        <v>61</v>
      </c>
      <c r="F69" s="82">
        <v>43</v>
      </c>
      <c r="G69" s="81" t="s">
        <v>4</v>
      </c>
      <c r="H69" s="81" t="s">
        <v>116</v>
      </c>
      <c r="I69" s="81"/>
      <c r="J69" s="81"/>
      <c r="K69" s="81" t="s">
        <v>121</v>
      </c>
      <c r="L69" s="81" t="s">
        <v>4</v>
      </c>
      <c r="M69" s="81" t="s">
        <v>88</v>
      </c>
      <c r="N69" s="81" t="s">
        <v>88</v>
      </c>
      <c r="O69" s="81" t="s">
        <v>26</v>
      </c>
      <c r="P69" s="81" t="s">
        <v>39</v>
      </c>
      <c r="Q69" s="81" t="s">
        <v>45</v>
      </c>
      <c r="R69" s="81" t="s">
        <v>381</v>
      </c>
      <c r="S69" s="81" t="s">
        <v>434</v>
      </c>
      <c r="T69" s="81" t="s">
        <v>433</v>
      </c>
      <c r="U69" s="81" t="s">
        <v>69</v>
      </c>
      <c r="V69" s="94"/>
      <c r="W69" s="94"/>
    </row>
    <row r="70" spans="1:23" ht="21" customHeight="1">
      <c r="A70">
        <f>Table4[[#This Row],[Column1]]</f>
        <v>0</v>
      </c>
      <c r="B70">
        <f>Table4[[#This Row],[Column2]]</f>
        <v>0</v>
      </c>
      <c r="C70" s="81" t="s">
        <v>210</v>
      </c>
      <c r="D70" s="82">
        <v>14.4</v>
      </c>
      <c r="E70" s="82">
        <v>68</v>
      </c>
      <c r="F70" s="82">
        <v>46</v>
      </c>
      <c r="G70" s="81" t="s">
        <v>17</v>
      </c>
      <c r="H70" s="81" t="s">
        <v>116</v>
      </c>
      <c r="I70" s="81"/>
      <c r="J70" s="81"/>
      <c r="K70" s="81"/>
      <c r="L70" s="81"/>
      <c r="M70" s="81"/>
      <c r="N70" s="81"/>
      <c r="O70" s="81"/>
      <c r="P70" s="92" t="s">
        <v>777</v>
      </c>
      <c r="Q70" s="81" t="s">
        <v>778</v>
      </c>
      <c r="R70" s="81" t="s">
        <v>378</v>
      </c>
      <c r="S70" s="81" t="s">
        <v>318</v>
      </c>
      <c r="T70" s="81" t="s">
        <v>435</v>
      </c>
      <c r="U70" s="81" t="s">
        <v>69</v>
      </c>
      <c r="V70" s="94"/>
      <c r="W70" s="94"/>
    </row>
    <row r="71" spans="1:23" ht="21" customHeight="1">
      <c r="A71">
        <f>Table4[[#This Row],[Column1]]</f>
        <v>0</v>
      </c>
      <c r="B71">
        <f>Table4[[#This Row],[Column2]]</f>
        <v>0</v>
      </c>
      <c r="C71" s="81" t="s">
        <v>210</v>
      </c>
      <c r="D71" s="82">
        <v>12.5</v>
      </c>
      <c r="E71" s="82">
        <v>60</v>
      </c>
      <c r="F71" s="81" t="s">
        <v>210</v>
      </c>
      <c r="G71" s="81" t="s">
        <v>4</v>
      </c>
      <c r="H71" s="81" t="s">
        <v>116</v>
      </c>
      <c r="I71" s="81"/>
      <c r="J71" s="81"/>
      <c r="K71" s="81" t="s">
        <v>121</v>
      </c>
      <c r="L71" s="81" t="s">
        <v>4</v>
      </c>
      <c r="M71" s="81" t="s">
        <v>126</v>
      </c>
      <c r="N71" s="81" t="s">
        <v>126</v>
      </c>
      <c r="O71" s="81" t="s">
        <v>25</v>
      </c>
      <c r="P71" s="92" t="s">
        <v>777</v>
      </c>
      <c r="Q71" s="81" t="s">
        <v>44</v>
      </c>
      <c r="R71" s="81" t="s">
        <v>436</v>
      </c>
      <c r="S71" s="81" t="s">
        <v>367</v>
      </c>
      <c r="T71" s="81" t="s">
        <v>437</v>
      </c>
      <c r="U71" s="81" t="s">
        <v>69</v>
      </c>
      <c r="V71" s="94"/>
      <c r="W71" s="94"/>
    </row>
    <row r="72" spans="1:23" ht="21" customHeight="1">
      <c r="A72">
        <f>Table4[[#This Row],[Column1]]</f>
        <v>0</v>
      </c>
      <c r="B72">
        <f>Table4[[#This Row],[Column2]]</f>
        <v>0</v>
      </c>
      <c r="C72" s="81" t="s">
        <v>210</v>
      </c>
      <c r="D72" s="82">
        <v>14</v>
      </c>
      <c r="E72" s="82">
        <v>57</v>
      </c>
      <c r="F72" s="81" t="s">
        <v>210</v>
      </c>
      <c r="G72" s="81" t="s">
        <v>17</v>
      </c>
      <c r="H72" s="81" t="s">
        <v>116</v>
      </c>
      <c r="I72" s="81"/>
      <c r="J72" s="81"/>
      <c r="K72" s="81"/>
      <c r="L72" s="81"/>
      <c r="M72" s="81"/>
      <c r="N72" s="81"/>
      <c r="O72" s="81"/>
      <c r="P72" s="92" t="s">
        <v>777</v>
      </c>
      <c r="Q72" s="81" t="s">
        <v>778</v>
      </c>
      <c r="R72" s="81" t="s">
        <v>378</v>
      </c>
      <c r="S72" s="81" t="s">
        <v>399</v>
      </c>
      <c r="T72" s="81" t="s">
        <v>438</v>
      </c>
      <c r="U72" s="81" t="s">
        <v>69</v>
      </c>
      <c r="V72" s="94"/>
      <c r="W72" s="94"/>
    </row>
    <row r="73" spans="1:23" ht="21" customHeight="1">
      <c r="A73">
        <f>Table4[[#This Row],[Column1]]</f>
        <v>0</v>
      </c>
      <c r="B73">
        <f>Table4[[#This Row],[Column2]]</f>
        <v>0</v>
      </c>
      <c r="C73" s="81" t="s">
        <v>210</v>
      </c>
      <c r="D73" s="82">
        <v>15.7</v>
      </c>
      <c r="E73" s="82">
        <v>78</v>
      </c>
      <c r="F73" s="81" t="s">
        <v>210</v>
      </c>
      <c r="G73" s="81" t="s">
        <v>4</v>
      </c>
      <c r="H73" s="81" t="s">
        <v>116</v>
      </c>
      <c r="I73" s="81"/>
      <c r="J73" s="81"/>
      <c r="K73" s="81"/>
      <c r="L73" s="81"/>
      <c r="M73" s="81" t="s">
        <v>89</v>
      </c>
      <c r="N73" s="81" t="s">
        <v>89</v>
      </c>
      <c r="O73" s="81" t="s">
        <v>27</v>
      </c>
      <c r="P73" s="92" t="s">
        <v>777</v>
      </c>
      <c r="Q73" s="81" t="s">
        <v>45</v>
      </c>
      <c r="R73" s="81" t="s">
        <v>254</v>
      </c>
      <c r="S73" s="81" t="s">
        <v>246</v>
      </c>
      <c r="T73" s="81" t="s">
        <v>439</v>
      </c>
      <c r="U73" s="81" t="s">
        <v>69</v>
      </c>
      <c r="V73" s="94"/>
      <c r="W73" s="94"/>
    </row>
    <row r="74" spans="1:23" ht="21" customHeight="1">
      <c r="A74">
        <f>Table4[[#This Row],[Column1]]</f>
        <v>0</v>
      </c>
      <c r="B74">
        <f>Table4[[#This Row],[Column2]]</f>
        <v>0</v>
      </c>
      <c r="C74" s="81" t="s">
        <v>210</v>
      </c>
      <c r="D74" s="82">
        <v>14.6</v>
      </c>
      <c r="E74" s="82">
        <v>85</v>
      </c>
      <c r="F74" s="82">
        <v>44</v>
      </c>
      <c r="G74" s="81" t="s">
        <v>17</v>
      </c>
      <c r="H74" s="81" t="s">
        <v>116</v>
      </c>
      <c r="I74" s="81"/>
      <c r="J74" s="81"/>
      <c r="K74" s="81" t="s">
        <v>121</v>
      </c>
      <c r="L74" s="81" t="s">
        <v>4</v>
      </c>
      <c r="M74" s="81" t="s">
        <v>89</v>
      </c>
      <c r="N74" s="81" t="s">
        <v>89</v>
      </c>
      <c r="O74" s="81" t="s">
        <v>26</v>
      </c>
      <c r="P74" s="92" t="s">
        <v>777</v>
      </c>
      <c r="Q74" s="81" t="s">
        <v>44</v>
      </c>
      <c r="R74" s="81" t="s">
        <v>440</v>
      </c>
      <c r="S74" s="81" t="s">
        <v>234</v>
      </c>
      <c r="T74" s="81" t="s">
        <v>441</v>
      </c>
      <c r="U74" s="81" t="s">
        <v>69</v>
      </c>
      <c r="V74" s="94"/>
      <c r="W74" s="94"/>
    </row>
    <row r="75" spans="1:23" ht="21" customHeight="1">
      <c r="A75">
        <f>Table4[[#This Row],[Column1]]</f>
        <v>0</v>
      </c>
      <c r="B75">
        <f>Table4[[#This Row],[Column2]]</f>
        <v>0</v>
      </c>
      <c r="C75" s="81" t="s">
        <v>210</v>
      </c>
      <c r="D75" s="82">
        <v>10.9</v>
      </c>
      <c r="E75" s="82">
        <v>69</v>
      </c>
      <c r="F75" s="82">
        <v>42</v>
      </c>
      <c r="G75" s="81" t="s">
        <v>17</v>
      </c>
      <c r="H75" s="81" t="s">
        <v>116</v>
      </c>
      <c r="I75" s="81"/>
      <c r="J75" s="81"/>
      <c r="K75" s="81" t="s">
        <v>122</v>
      </c>
      <c r="L75" s="81" t="s">
        <v>4</v>
      </c>
      <c r="M75" s="81" t="s">
        <v>89</v>
      </c>
      <c r="N75" s="81" t="s">
        <v>89</v>
      </c>
      <c r="O75" s="81" t="s">
        <v>26</v>
      </c>
      <c r="P75" s="92" t="s">
        <v>777</v>
      </c>
      <c r="Q75" s="81" t="s">
        <v>44</v>
      </c>
      <c r="R75" s="81" t="s">
        <v>281</v>
      </c>
      <c r="S75" s="81" t="s">
        <v>353</v>
      </c>
      <c r="T75" s="81" t="s">
        <v>446</v>
      </c>
      <c r="U75" s="81" t="s">
        <v>69</v>
      </c>
      <c r="V75" s="94"/>
      <c r="W75" s="94"/>
    </row>
    <row r="76" spans="1:23" ht="21" customHeight="1">
      <c r="A76">
        <f>Table4[[#This Row],[Column1]]</f>
        <v>0</v>
      </c>
      <c r="B76">
        <f>Table4[[#This Row],[Column2]]</f>
        <v>0</v>
      </c>
      <c r="C76" s="81" t="s">
        <v>210</v>
      </c>
      <c r="D76" s="82">
        <v>12</v>
      </c>
      <c r="E76" s="82">
        <v>92</v>
      </c>
      <c r="F76" s="82">
        <v>39</v>
      </c>
      <c r="G76" s="81" t="s">
        <v>4</v>
      </c>
      <c r="H76" s="81" t="s">
        <v>116</v>
      </c>
      <c r="I76" s="81"/>
      <c r="J76" s="81"/>
      <c r="K76" s="81" t="s">
        <v>122</v>
      </c>
      <c r="L76" s="81" t="s">
        <v>4</v>
      </c>
      <c r="M76" s="81" t="s">
        <v>90</v>
      </c>
      <c r="N76" s="81" t="s">
        <v>90</v>
      </c>
      <c r="O76" s="81" t="s">
        <v>26</v>
      </c>
      <c r="P76" s="92" t="s">
        <v>777</v>
      </c>
      <c r="Q76" s="81" t="s">
        <v>45</v>
      </c>
      <c r="R76" s="81" t="s">
        <v>447</v>
      </c>
      <c r="S76" s="81" t="s">
        <v>309</v>
      </c>
      <c r="T76" s="81" t="s">
        <v>448</v>
      </c>
      <c r="U76" s="81" t="s">
        <v>69</v>
      </c>
      <c r="V76" s="94"/>
      <c r="W76" s="94"/>
    </row>
    <row r="77" spans="1:23" ht="21" customHeight="1">
      <c r="A77">
        <f>Table4[[#This Row],[Column1]]</f>
        <v>0</v>
      </c>
      <c r="B77">
        <f>Table4[[#This Row],[Column2]]</f>
        <v>0</v>
      </c>
      <c r="C77" s="81" t="s">
        <v>210</v>
      </c>
      <c r="D77" s="82">
        <v>16.5</v>
      </c>
      <c r="E77" s="82">
        <v>88</v>
      </c>
      <c r="F77" s="82">
        <v>50</v>
      </c>
      <c r="G77" s="81" t="s">
        <v>4</v>
      </c>
      <c r="H77" s="81" t="s">
        <v>116</v>
      </c>
      <c r="I77" s="81"/>
      <c r="J77" s="81"/>
      <c r="K77" s="81" t="s">
        <v>122</v>
      </c>
      <c r="L77" s="81" t="s">
        <v>4</v>
      </c>
      <c r="M77" s="81" t="s">
        <v>126</v>
      </c>
      <c r="N77" s="81" t="s">
        <v>126</v>
      </c>
      <c r="O77" s="81" t="s">
        <v>25</v>
      </c>
      <c r="P77" s="92" t="s">
        <v>777</v>
      </c>
      <c r="Q77" s="81" t="s">
        <v>45</v>
      </c>
      <c r="R77" s="81" t="s">
        <v>386</v>
      </c>
      <c r="S77" s="81" t="s">
        <v>449</v>
      </c>
      <c r="T77" s="81" t="s">
        <v>450</v>
      </c>
      <c r="U77" s="81" t="s">
        <v>69</v>
      </c>
      <c r="V77" s="94"/>
      <c r="W77" s="94"/>
    </row>
    <row r="78" spans="1:23" ht="21" customHeight="1">
      <c r="A78">
        <f>Table4[[#This Row],[Column1]]</f>
        <v>0</v>
      </c>
      <c r="B78">
        <f>Table4[[#This Row],[Column2]]</f>
        <v>0</v>
      </c>
      <c r="C78" s="81" t="s">
        <v>210</v>
      </c>
      <c r="D78" s="82">
        <v>14.6</v>
      </c>
      <c r="E78" s="82">
        <v>76</v>
      </c>
      <c r="F78" s="82" t="s">
        <v>586</v>
      </c>
      <c r="G78" s="81" t="s">
        <v>4</v>
      </c>
      <c r="H78" s="81" t="s">
        <v>116</v>
      </c>
      <c r="I78" s="81"/>
      <c r="J78" s="81"/>
      <c r="K78" s="81"/>
      <c r="L78" s="81"/>
      <c r="M78" s="81"/>
      <c r="N78" s="81"/>
      <c r="O78" s="81"/>
      <c r="P78" s="92" t="s">
        <v>777</v>
      </c>
      <c r="Q78" s="81"/>
      <c r="R78" s="81" t="s">
        <v>453</v>
      </c>
      <c r="S78" s="81" t="s">
        <v>287</v>
      </c>
      <c r="T78" s="81" t="s">
        <v>452</v>
      </c>
      <c r="U78" s="81" t="s">
        <v>69</v>
      </c>
      <c r="V78" s="94"/>
      <c r="W78" s="94"/>
    </row>
    <row r="79" spans="1:23" ht="21" customHeight="1">
      <c r="A79">
        <f>Table4[[#This Row],[Column1]]</f>
        <v>0</v>
      </c>
      <c r="B79">
        <f>Table4[[#This Row],[Column2]]</f>
        <v>0</v>
      </c>
      <c r="C79" s="81" t="s">
        <v>210</v>
      </c>
      <c r="D79" s="82">
        <v>12.4</v>
      </c>
      <c r="E79" s="82">
        <v>57</v>
      </c>
      <c r="F79" s="82">
        <v>41</v>
      </c>
      <c r="G79" s="81" t="s">
        <v>17</v>
      </c>
      <c r="H79" s="81" t="s">
        <v>116</v>
      </c>
      <c r="I79" s="81"/>
      <c r="J79" s="81"/>
      <c r="K79" s="81" t="s">
        <v>121</v>
      </c>
      <c r="L79" s="81" t="s">
        <v>4</v>
      </c>
      <c r="M79" s="81" t="s">
        <v>126</v>
      </c>
      <c r="N79" s="81" t="s">
        <v>126</v>
      </c>
      <c r="O79" s="81" t="s">
        <v>25</v>
      </c>
      <c r="P79" s="92" t="s">
        <v>777</v>
      </c>
      <c r="Q79" s="81" t="s">
        <v>45</v>
      </c>
      <c r="R79" s="81" t="s">
        <v>386</v>
      </c>
      <c r="S79" s="81" t="s">
        <v>255</v>
      </c>
      <c r="T79" s="81" t="s">
        <v>454</v>
      </c>
      <c r="U79" s="81" t="s">
        <v>69</v>
      </c>
      <c r="V79" s="94"/>
      <c r="W79" s="94"/>
    </row>
    <row r="80" spans="1:23" ht="21" customHeight="1">
      <c r="A80">
        <f>Table4[[#This Row],[Column1]]</f>
        <v>0</v>
      </c>
      <c r="B80">
        <f>Table4[[#This Row],[Column2]]</f>
        <v>0</v>
      </c>
      <c r="C80" s="81" t="s">
        <v>210</v>
      </c>
      <c r="D80" s="82">
        <v>13.3</v>
      </c>
      <c r="E80" s="82">
        <v>85</v>
      </c>
      <c r="F80" s="82">
        <v>46</v>
      </c>
      <c r="G80" s="81" t="s">
        <v>4</v>
      </c>
      <c r="H80" s="81" t="s">
        <v>116</v>
      </c>
      <c r="I80" s="81"/>
      <c r="J80" s="81"/>
      <c r="K80" s="81" t="s">
        <v>121</v>
      </c>
      <c r="L80" s="81" t="s">
        <v>4</v>
      </c>
      <c r="M80" s="81" t="s">
        <v>21</v>
      </c>
      <c r="N80" s="81" t="s">
        <v>21</v>
      </c>
      <c r="O80" s="81" t="s">
        <v>25</v>
      </c>
      <c r="P80" s="92" t="s">
        <v>777</v>
      </c>
      <c r="Q80" s="81" t="s">
        <v>44</v>
      </c>
      <c r="R80" s="81" t="s">
        <v>385</v>
      </c>
      <c r="S80" s="81" t="s">
        <v>287</v>
      </c>
      <c r="T80" s="81" t="s">
        <v>455</v>
      </c>
      <c r="U80" s="81" t="s">
        <v>69</v>
      </c>
      <c r="V80" s="94"/>
      <c r="W80" s="94"/>
    </row>
    <row r="81" spans="1:23" ht="21" customHeight="1">
      <c r="A81">
        <f>Table4[[#This Row],[Column1]]</f>
        <v>0</v>
      </c>
      <c r="B81">
        <f>Table4[[#This Row],[Column2]]</f>
        <v>0</v>
      </c>
      <c r="C81" s="81" t="s">
        <v>210</v>
      </c>
      <c r="D81" s="82">
        <v>13.1</v>
      </c>
      <c r="E81" s="82">
        <v>114</v>
      </c>
      <c r="F81" s="81" t="s">
        <v>210</v>
      </c>
      <c r="G81" s="81" t="s">
        <v>4</v>
      </c>
      <c r="H81" s="81" t="s">
        <v>116</v>
      </c>
      <c r="I81" s="81"/>
      <c r="J81" s="81"/>
      <c r="K81" s="81" t="s">
        <v>121</v>
      </c>
      <c r="L81" s="81" t="s">
        <v>4</v>
      </c>
      <c r="M81" s="81" t="s">
        <v>90</v>
      </c>
      <c r="N81" s="81" t="s">
        <v>90</v>
      </c>
      <c r="O81" s="81" t="s">
        <v>26</v>
      </c>
      <c r="P81" s="92" t="s">
        <v>777</v>
      </c>
      <c r="Q81" s="81" t="s">
        <v>778</v>
      </c>
      <c r="R81" s="81" t="s">
        <v>447</v>
      </c>
      <c r="S81" s="81" t="s">
        <v>336</v>
      </c>
      <c r="T81" s="81" t="s">
        <v>456</v>
      </c>
      <c r="U81" s="81" t="s">
        <v>69</v>
      </c>
      <c r="V81" s="94"/>
      <c r="W81" s="94"/>
    </row>
    <row r="82" spans="1:23" ht="21" customHeight="1">
      <c r="A82">
        <f>Table4[[#This Row],[Column1]]</f>
        <v>0</v>
      </c>
      <c r="B82">
        <f>Table4[[#This Row],[Column2]]</f>
        <v>0</v>
      </c>
      <c r="C82" s="81" t="s">
        <v>210</v>
      </c>
      <c r="D82" s="82">
        <v>13</v>
      </c>
      <c r="E82" s="82">
        <v>81</v>
      </c>
      <c r="F82" s="81" t="s">
        <v>210</v>
      </c>
      <c r="G82" s="81" t="s">
        <v>17</v>
      </c>
      <c r="H82" s="81" t="s">
        <v>116</v>
      </c>
      <c r="I82" s="81"/>
      <c r="J82" s="81"/>
      <c r="K82" s="81" t="s">
        <v>122</v>
      </c>
      <c r="L82" s="81" t="s">
        <v>4</v>
      </c>
      <c r="M82" s="81" t="s">
        <v>126</v>
      </c>
      <c r="N82" s="81" t="s">
        <v>126</v>
      </c>
      <c r="O82" s="81" t="s">
        <v>25</v>
      </c>
      <c r="P82" s="92" t="s">
        <v>777</v>
      </c>
      <c r="Q82" s="81" t="s">
        <v>44</v>
      </c>
      <c r="R82" s="81" t="s">
        <v>263</v>
      </c>
      <c r="S82" s="81" t="s">
        <v>290</v>
      </c>
      <c r="T82" s="81" t="s">
        <v>457</v>
      </c>
      <c r="U82" s="81" t="s">
        <v>69</v>
      </c>
      <c r="V82" s="94"/>
      <c r="W82" s="94"/>
    </row>
    <row r="83" spans="1:23" ht="21" customHeight="1">
      <c r="A83">
        <f>Table4[[#This Row],[Column1]]</f>
        <v>0</v>
      </c>
      <c r="B83">
        <f>Table4[[#This Row],[Column2]]</f>
        <v>0</v>
      </c>
      <c r="C83" s="81" t="s">
        <v>210</v>
      </c>
      <c r="D83" s="82">
        <v>14.3</v>
      </c>
      <c r="E83" s="82">
        <v>54</v>
      </c>
      <c r="F83" s="81" t="s">
        <v>210</v>
      </c>
      <c r="G83" s="81" t="s">
        <v>4</v>
      </c>
      <c r="H83" s="81" t="s">
        <v>116</v>
      </c>
      <c r="I83" s="81"/>
      <c r="J83" s="81"/>
      <c r="K83" s="81" t="s">
        <v>122</v>
      </c>
      <c r="L83" s="81" t="s">
        <v>4</v>
      </c>
      <c r="M83" s="81" t="s">
        <v>89</v>
      </c>
      <c r="N83" s="81" t="s">
        <v>89</v>
      </c>
      <c r="O83" s="81" t="s">
        <v>26</v>
      </c>
      <c r="P83" s="92" t="s">
        <v>777</v>
      </c>
      <c r="Q83" s="81" t="s">
        <v>44</v>
      </c>
      <c r="R83" s="81" t="s">
        <v>378</v>
      </c>
      <c r="S83" s="81" t="s">
        <v>460</v>
      </c>
      <c r="T83" s="81" t="s">
        <v>461</v>
      </c>
      <c r="U83" s="81" t="s">
        <v>69</v>
      </c>
      <c r="V83" s="94"/>
      <c r="W83" s="94"/>
    </row>
    <row r="84" spans="1:23" ht="21" customHeight="1">
      <c r="A84">
        <f>Table4[[#This Row],[Column1]]</f>
        <v>0</v>
      </c>
      <c r="B84">
        <f>Table4[[#This Row],[Column2]]</f>
        <v>0</v>
      </c>
      <c r="C84" s="81" t="s">
        <v>210</v>
      </c>
      <c r="D84" s="82">
        <v>13.9</v>
      </c>
      <c r="E84" s="82">
        <v>56</v>
      </c>
      <c r="F84" s="82">
        <v>45</v>
      </c>
      <c r="G84" s="81" t="s">
        <v>17</v>
      </c>
      <c r="H84" s="81" t="s">
        <v>116</v>
      </c>
      <c r="I84" s="81"/>
      <c r="J84" s="81"/>
      <c r="K84" s="81" t="s">
        <v>121</v>
      </c>
      <c r="L84" s="81" t="s">
        <v>4</v>
      </c>
      <c r="M84" s="81" t="s">
        <v>90</v>
      </c>
      <c r="N84" s="81" t="s">
        <v>90</v>
      </c>
      <c r="O84" s="81" t="s">
        <v>34</v>
      </c>
      <c r="P84" s="92" t="s">
        <v>777</v>
      </c>
      <c r="Q84" s="81" t="s">
        <v>44</v>
      </c>
      <c r="R84" s="81" t="s">
        <v>462</v>
      </c>
      <c r="S84" s="81" t="s">
        <v>322</v>
      </c>
      <c r="T84" s="81" t="s">
        <v>463</v>
      </c>
      <c r="U84" s="81" t="s">
        <v>69</v>
      </c>
      <c r="V84" s="94"/>
      <c r="W84" s="94"/>
    </row>
    <row r="85" spans="1:23" ht="21" customHeight="1">
      <c r="A85">
        <f>Table4[[#This Row],[Column1]]</f>
        <v>0</v>
      </c>
      <c r="B85">
        <f>Table4[[#This Row],[Column2]]</f>
        <v>0</v>
      </c>
      <c r="C85" s="81" t="s">
        <v>210</v>
      </c>
      <c r="D85" s="82">
        <v>14.9</v>
      </c>
      <c r="E85" s="82">
        <v>72</v>
      </c>
      <c r="F85" s="82">
        <v>48</v>
      </c>
      <c r="G85" s="81" t="s">
        <v>4</v>
      </c>
      <c r="H85" s="81" t="s">
        <v>116</v>
      </c>
      <c r="I85" s="81"/>
      <c r="J85" s="81"/>
      <c r="K85" s="81"/>
      <c r="L85" s="81"/>
      <c r="M85" s="81"/>
      <c r="N85" s="81"/>
      <c r="O85" s="81"/>
      <c r="P85" s="92" t="s">
        <v>777</v>
      </c>
      <c r="Q85" s="81" t="s">
        <v>778</v>
      </c>
      <c r="R85" s="81" t="s">
        <v>381</v>
      </c>
      <c r="S85" s="81" t="s">
        <v>464</v>
      </c>
      <c r="T85" s="81" t="s">
        <v>480</v>
      </c>
      <c r="U85" s="81" t="s">
        <v>69</v>
      </c>
      <c r="V85" s="94"/>
      <c r="W85" s="94"/>
    </row>
    <row r="86" spans="1:23" ht="21" customHeight="1">
      <c r="A86">
        <f>Table4[[#This Row],[Column1]]</f>
        <v>0</v>
      </c>
      <c r="B86">
        <f>Table4[[#This Row],[Column2]]</f>
        <v>0</v>
      </c>
      <c r="C86" s="81" t="s">
        <v>210</v>
      </c>
      <c r="D86" s="82">
        <v>10.4</v>
      </c>
      <c r="E86" s="82">
        <v>58</v>
      </c>
      <c r="F86" s="82">
        <v>38</v>
      </c>
      <c r="G86" s="81" t="s">
        <v>4</v>
      </c>
      <c r="H86" s="81" t="s">
        <v>116</v>
      </c>
      <c r="I86" s="81"/>
      <c r="J86" s="81"/>
      <c r="K86" s="81" t="s">
        <v>121</v>
      </c>
      <c r="L86" s="81" t="s">
        <v>4</v>
      </c>
      <c r="M86" s="81" t="s">
        <v>21</v>
      </c>
      <c r="N86" s="81" t="s">
        <v>21</v>
      </c>
      <c r="O86" s="81" t="s">
        <v>25</v>
      </c>
      <c r="P86" s="81" t="s">
        <v>38</v>
      </c>
      <c r="Q86" s="81" t="s">
        <v>44</v>
      </c>
      <c r="R86" s="81" t="s">
        <v>462</v>
      </c>
      <c r="S86" s="81" t="s">
        <v>339</v>
      </c>
      <c r="T86" s="81" t="s">
        <v>465</v>
      </c>
      <c r="U86" s="81" t="s">
        <v>69</v>
      </c>
      <c r="V86" s="94"/>
      <c r="W86" s="94"/>
    </row>
    <row r="87" spans="1:23" ht="21" customHeight="1">
      <c r="A87">
        <f>Table4[[#This Row],[Column1]]</f>
        <v>0</v>
      </c>
      <c r="B87">
        <f>Table4[[#This Row],[Column2]]</f>
        <v>0</v>
      </c>
      <c r="C87" s="81" t="s">
        <v>210</v>
      </c>
      <c r="D87" s="82">
        <v>13</v>
      </c>
      <c r="E87" s="82">
        <v>59</v>
      </c>
      <c r="F87" s="82">
        <v>43</v>
      </c>
      <c r="G87" s="81" t="s">
        <v>17</v>
      </c>
      <c r="H87" s="81" t="s">
        <v>116</v>
      </c>
      <c r="I87" s="81"/>
      <c r="J87" s="81"/>
      <c r="K87" s="81" t="s">
        <v>121</v>
      </c>
      <c r="L87" s="81" t="s">
        <v>4</v>
      </c>
      <c r="M87" s="81" t="s">
        <v>87</v>
      </c>
      <c r="N87" s="81" t="s">
        <v>87</v>
      </c>
      <c r="O87" s="81" t="s">
        <v>27</v>
      </c>
      <c r="P87" s="92" t="s">
        <v>777</v>
      </c>
      <c r="Q87" s="81" t="s">
        <v>45</v>
      </c>
      <c r="R87" s="81" t="s">
        <v>341</v>
      </c>
      <c r="S87" s="81" t="s">
        <v>342</v>
      </c>
      <c r="T87" s="81" t="s">
        <v>466</v>
      </c>
      <c r="U87" s="81" t="s">
        <v>69</v>
      </c>
      <c r="V87" s="94"/>
      <c r="W87" s="94"/>
    </row>
    <row r="88" spans="1:23" ht="21" customHeight="1">
      <c r="A88">
        <f>Table4[[#This Row],[Column1]]</f>
        <v>0</v>
      </c>
      <c r="B88">
        <f>Table4[[#This Row],[Column2]]</f>
        <v>0</v>
      </c>
      <c r="C88" s="81" t="s">
        <v>210</v>
      </c>
      <c r="D88" s="82">
        <v>14.2</v>
      </c>
      <c r="E88" s="82">
        <v>86</v>
      </c>
      <c r="F88" s="82">
        <v>47</v>
      </c>
      <c r="G88" s="81" t="s">
        <v>17</v>
      </c>
      <c r="H88" s="81" t="s">
        <v>116</v>
      </c>
      <c r="I88" s="81"/>
      <c r="J88" s="81"/>
      <c r="K88" s="81" t="s">
        <v>121</v>
      </c>
      <c r="L88" s="81" t="s">
        <v>4</v>
      </c>
      <c r="M88" s="81" t="s">
        <v>126</v>
      </c>
      <c r="N88" s="81" t="s">
        <v>126</v>
      </c>
      <c r="O88" s="81" t="s">
        <v>25</v>
      </c>
      <c r="P88" s="92" t="s">
        <v>777</v>
      </c>
      <c r="Q88" s="81" t="s">
        <v>44</v>
      </c>
      <c r="R88" s="81" t="s">
        <v>386</v>
      </c>
      <c r="S88" s="81" t="s">
        <v>255</v>
      </c>
      <c r="T88" s="81" t="s">
        <v>467</v>
      </c>
      <c r="U88" s="81" t="s">
        <v>69</v>
      </c>
      <c r="V88" s="94"/>
      <c r="W88" s="94"/>
    </row>
    <row r="89" spans="1:23" ht="21" customHeight="1">
      <c r="A89">
        <f>Table4[[#This Row],[Column1]]</f>
        <v>0</v>
      </c>
      <c r="B89">
        <f>Table4[[#This Row],[Column2]]</f>
        <v>0</v>
      </c>
      <c r="C89" s="81" t="s">
        <v>210</v>
      </c>
      <c r="D89" s="82">
        <v>12.6</v>
      </c>
      <c r="E89" s="82">
        <v>51</v>
      </c>
      <c r="F89" s="82">
        <v>44</v>
      </c>
      <c r="G89" s="81" t="s">
        <v>4</v>
      </c>
      <c r="H89" s="81" t="s">
        <v>116</v>
      </c>
      <c r="I89" s="81"/>
      <c r="J89" s="81"/>
      <c r="K89" s="81" t="s">
        <v>121</v>
      </c>
      <c r="L89" s="81" t="s">
        <v>4</v>
      </c>
      <c r="M89" s="81" t="s">
        <v>21</v>
      </c>
      <c r="N89" s="81" t="s">
        <v>21</v>
      </c>
      <c r="O89" s="81" t="s">
        <v>25</v>
      </c>
      <c r="P89" s="92" t="s">
        <v>777</v>
      </c>
      <c r="Q89" s="81" t="s">
        <v>44</v>
      </c>
      <c r="R89" s="81" t="s">
        <v>381</v>
      </c>
      <c r="S89" s="81" t="s">
        <v>318</v>
      </c>
      <c r="T89" s="81" t="s">
        <v>472</v>
      </c>
      <c r="U89" s="81" t="s">
        <v>69</v>
      </c>
      <c r="V89" s="94"/>
      <c r="W89" s="94"/>
    </row>
    <row r="90" spans="1:23" ht="21" customHeight="1">
      <c r="A90">
        <f>Table4[[#This Row],[Column1]]</f>
        <v>0</v>
      </c>
      <c r="B90">
        <f>Table4[[#This Row],[Column2]]</f>
        <v>0</v>
      </c>
      <c r="C90" s="81" t="s">
        <v>210</v>
      </c>
      <c r="D90" s="82">
        <v>9.1999999999999993</v>
      </c>
      <c r="E90" s="82">
        <v>75</v>
      </c>
      <c r="F90" s="82">
        <v>39</v>
      </c>
      <c r="G90" s="81" t="s">
        <v>17</v>
      </c>
      <c r="H90" s="81" t="s">
        <v>116</v>
      </c>
      <c r="I90" s="81"/>
      <c r="J90" s="81"/>
      <c r="K90" s="81" t="s">
        <v>122</v>
      </c>
      <c r="L90" s="81" t="s">
        <v>4</v>
      </c>
      <c r="M90" s="81" t="s">
        <v>88</v>
      </c>
      <c r="N90" s="81" t="s">
        <v>88</v>
      </c>
      <c r="O90" s="81" t="s">
        <v>26</v>
      </c>
      <c r="P90" s="81" t="s">
        <v>38</v>
      </c>
      <c r="Q90" s="81" t="s">
        <v>45</v>
      </c>
      <c r="R90" s="81" t="s">
        <v>281</v>
      </c>
      <c r="S90" s="81" t="s">
        <v>309</v>
      </c>
      <c r="T90" s="81" t="s">
        <v>474</v>
      </c>
      <c r="U90" s="81" t="s">
        <v>69</v>
      </c>
      <c r="V90" s="94"/>
      <c r="W90" s="94"/>
    </row>
    <row r="91" spans="1:23" ht="21" customHeight="1">
      <c r="A91">
        <f>Table4[[#This Row],[Column1]]</f>
        <v>0</v>
      </c>
      <c r="B91">
        <f>Table4[[#This Row],[Column2]]</f>
        <v>0</v>
      </c>
      <c r="C91" s="81" t="s">
        <v>210</v>
      </c>
      <c r="D91" s="82">
        <v>10.9</v>
      </c>
      <c r="E91" s="82">
        <v>60</v>
      </c>
      <c r="F91" s="82">
        <v>41</v>
      </c>
      <c r="G91" s="81" t="s">
        <v>4</v>
      </c>
      <c r="H91" s="81" t="s">
        <v>116</v>
      </c>
      <c r="I91" s="81"/>
      <c r="J91" s="81"/>
      <c r="K91" s="81" t="s">
        <v>122</v>
      </c>
      <c r="L91" s="81" t="s">
        <v>4</v>
      </c>
      <c r="M91" s="81" t="s">
        <v>126</v>
      </c>
      <c r="N91" s="81" t="s">
        <v>126</v>
      </c>
      <c r="O91" s="81" t="s">
        <v>25</v>
      </c>
      <c r="P91" s="92" t="s">
        <v>777</v>
      </c>
      <c r="Q91" s="81" t="s">
        <v>778</v>
      </c>
      <c r="R91" s="81" t="s">
        <v>476</v>
      </c>
      <c r="S91" s="81" t="s">
        <v>249</v>
      </c>
      <c r="T91" s="81" t="s">
        <v>477</v>
      </c>
      <c r="U91" s="81" t="s">
        <v>69</v>
      </c>
      <c r="V91" s="94"/>
      <c r="W91" s="94"/>
    </row>
    <row r="92" spans="1:23" ht="21" customHeight="1">
      <c r="A92">
        <f>Table4[[#This Row],[Column1]]</f>
        <v>0</v>
      </c>
      <c r="B92">
        <f>Table4[[#This Row],[Column2]]</f>
        <v>0</v>
      </c>
      <c r="C92" s="81" t="s">
        <v>210</v>
      </c>
      <c r="D92" s="82">
        <v>13.1</v>
      </c>
      <c r="E92" s="82">
        <v>93</v>
      </c>
      <c r="F92" s="81" t="s">
        <v>210</v>
      </c>
      <c r="G92" s="81" t="s">
        <v>17</v>
      </c>
      <c r="H92" s="81" t="s">
        <v>116</v>
      </c>
      <c r="I92" s="81"/>
      <c r="J92" s="81"/>
      <c r="K92" s="81" t="s">
        <v>121</v>
      </c>
      <c r="L92" s="81" t="s">
        <v>4</v>
      </c>
      <c r="M92" s="81" t="s">
        <v>88</v>
      </c>
      <c r="N92" s="81" t="s">
        <v>88</v>
      </c>
      <c r="O92" s="81" t="s">
        <v>26</v>
      </c>
      <c r="P92" s="92" t="s">
        <v>777</v>
      </c>
      <c r="Q92" s="81" t="s">
        <v>45</v>
      </c>
      <c r="R92" s="81" t="s">
        <v>447</v>
      </c>
      <c r="S92" s="81" t="s">
        <v>484</v>
      </c>
      <c r="T92" s="81" t="s">
        <v>483</v>
      </c>
      <c r="U92" s="81" t="s">
        <v>69</v>
      </c>
      <c r="V92" s="94"/>
      <c r="W92" s="94"/>
    </row>
    <row r="93" spans="1:23" ht="21" customHeight="1">
      <c r="A93">
        <f>Table4[[#This Row],[Column1]]</f>
        <v>0</v>
      </c>
      <c r="B93">
        <f>Table4[[#This Row],[Column2]]</f>
        <v>0</v>
      </c>
      <c r="C93" s="81" t="s">
        <v>210</v>
      </c>
      <c r="D93" s="82">
        <v>9.9</v>
      </c>
      <c r="E93" s="82">
        <v>87</v>
      </c>
      <c r="F93" s="82">
        <v>38</v>
      </c>
      <c r="G93" s="81" t="s">
        <v>4</v>
      </c>
      <c r="H93" s="81" t="s">
        <v>116</v>
      </c>
      <c r="I93" s="81"/>
      <c r="J93" s="81"/>
      <c r="K93" s="81" t="s">
        <v>121</v>
      </c>
      <c r="L93" s="81" t="s">
        <v>4</v>
      </c>
      <c r="M93" s="81" t="s">
        <v>89</v>
      </c>
      <c r="N93" s="81" t="s">
        <v>89</v>
      </c>
      <c r="O93" s="81" t="s">
        <v>29</v>
      </c>
      <c r="P93" s="81" t="s">
        <v>39</v>
      </c>
      <c r="Q93" s="81" t="s">
        <v>45</v>
      </c>
      <c r="R93" s="81" t="s">
        <v>386</v>
      </c>
      <c r="S93" s="81" t="s">
        <v>358</v>
      </c>
      <c r="T93" s="81" t="s">
        <v>485</v>
      </c>
      <c r="U93" s="81" t="s">
        <v>69</v>
      </c>
      <c r="V93" s="94"/>
      <c r="W93" s="94"/>
    </row>
    <row r="94" spans="1:23" ht="21" customHeight="1">
      <c r="A94">
        <f>Table4[[#This Row],[Column1]]</f>
        <v>0</v>
      </c>
      <c r="B94">
        <f>Table4[[#This Row],[Column2]]</f>
        <v>0</v>
      </c>
      <c r="C94" s="81" t="s">
        <v>210</v>
      </c>
      <c r="D94" s="82">
        <v>13.9</v>
      </c>
      <c r="E94" s="82">
        <v>67</v>
      </c>
      <c r="F94" s="82">
        <v>42</v>
      </c>
      <c r="G94" s="81" t="s">
        <v>4</v>
      </c>
      <c r="H94" s="81" t="s">
        <v>116</v>
      </c>
      <c r="I94" s="81"/>
      <c r="J94" s="81"/>
      <c r="K94" s="81" t="s">
        <v>121</v>
      </c>
      <c r="L94" s="81" t="s">
        <v>4</v>
      </c>
      <c r="M94" s="81" t="s">
        <v>126</v>
      </c>
      <c r="N94" s="81" t="s">
        <v>126</v>
      </c>
      <c r="O94" s="81" t="s">
        <v>25</v>
      </c>
      <c r="P94" s="92" t="s">
        <v>777</v>
      </c>
      <c r="Q94" s="81" t="s">
        <v>45</v>
      </c>
      <c r="R94" s="81" t="s">
        <v>486</v>
      </c>
      <c r="S94" s="81" t="s">
        <v>304</v>
      </c>
      <c r="T94" s="81" t="s">
        <v>487</v>
      </c>
      <c r="U94" s="81" t="s">
        <v>69</v>
      </c>
      <c r="V94" s="94"/>
      <c r="W94" s="94"/>
    </row>
    <row r="95" spans="1:23" ht="21" customHeight="1">
      <c r="A95">
        <f>Table4[[#This Row],[Column1]]</f>
        <v>0</v>
      </c>
      <c r="B95">
        <f>Table4[[#This Row],[Column2]]</f>
        <v>0</v>
      </c>
      <c r="C95" s="81" t="s">
        <v>210</v>
      </c>
      <c r="D95" s="82">
        <v>14.2</v>
      </c>
      <c r="E95" s="82">
        <v>56</v>
      </c>
      <c r="F95" s="82">
        <v>46</v>
      </c>
      <c r="G95" s="81" t="s">
        <v>4</v>
      </c>
      <c r="H95" s="81" t="s">
        <v>116</v>
      </c>
      <c r="I95" s="81"/>
      <c r="J95" s="81"/>
      <c r="K95" s="81"/>
      <c r="L95" s="81"/>
      <c r="M95" s="81"/>
      <c r="N95" s="81"/>
      <c r="O95" s="81"/>
      <c r="P95" s="92" t="s">
        <v>777</v>
      </c>
      <c r="Q95" s="81" t="s">
        <v>44</v>
      </c>
      <c r="R95" s="81" t="s">
        <v>385</v>
      </c>
      <c r="S95" s="81" t="s">
        <v>489</v>
      </c>
      <c r="T95" s="81" t="s">
        <v>488</v>
      </c>
      <c r="U95" s="81" t="s">
        <v>69</v>
      </c>
      <c r="V95" s="94"/>
      <c r="W95" s="94"/>
    </row>
    <row r="96" spans="1:23" ht="21" customHeight="1">
      <c r="A96">
        <f>Table4[[#This Row],[Column1]]</f>
        <v>0</v>
      </c>
      <c r="B96">
        <f>Table4[[#This Row],[Column2]]</f>
        <v>0</v>
      </c>
      <c r="C96" s="81" t="s">
        <v>210</v>
      </c>
      <c r="D96" s="82">
        <v>10.8</v>
      </c>
      <c r="E96" s="82">
        <v>63</v>
      </c>
      <c r="F96" s="82">
        <v>40</v>
      </c>
      <c r="G96" s="81" t="s">
        <v>4</v>
      </c>
      <c r="H96" s="81" t="s">
        <v>116</v>
      </c>
      <c r="I96" s="81"/>
      <c r="J96" s="81"/>
      <c r="K96" s="81" t="s">
        <v>121</v>
      </c>
      <c r="L96" s="81" t="s">
        <v>4</v>
      </c>
      <c r="M96" s="81" t="s">
        <v>126</v>
      </c>
      <c r="N96" s="81" t="s">
        <v>126</v>
      </c>
      <c r="O96" s="81" t="s">
        <v>25</v>
      </c>
      <c r="P96" s="92" t="s">
        <v>777</v>
      </c>
      <c r="Q96" s="81" t="s">
        <v>44</v>
      </c>
      <c r="R96" s="81" t="s">
        <v>491</v>
      </c>
      <c r="S96" s="81" t="s">
        <v>367</v>
      </c>
      <c r="T96" s="81" t="s">
        <v>490</v>
      </c>
      <c r="U96" s="81" t="s">
        <v>69</v>
      </c>
      <c r="V96" s="94"/>
      <c r="W96" s="94"/>
    </row>
    <row r="97" spans="1:23" ht="21" customHeight="1">
      <c r="A97">
        <f>Table4[[#This Row],[Column1]]</f>
        <v>0</v>
      </c>
      <c r="B97">
        <f>Table4[[#This Row],[Column2]]</f>
        <v>0</v>
      </c>
      <c r="C97" s="81" t="s">
        <v>210</v>
      </c>
      <c r="D97" s="82">
        <v>10.9</v>
      </c>
      <c r="E97" s="82">
        <v>82</v>
      </c>
      <c r="F97" s="82">
        <v>36</v>
      </c>
      <c r="G97" s="81" t="s">
        <v>17</v>
      </c>
      <c r="H97" s="81" t="s">
        <v>116</v>
      </c>
      <c r="I97" s="81"/>
      <c r="J97" s="81"/>
      <c r="K97" s="81" t="s">
        <v>122</v>
      </c>
      <c r="L97" s="81" t="s">
        <v>4</v>
      </c>
      <c r="M97" s="81" t="s">
        <v>126</v>
      </c>
      <c r="N97" s="81" t="s">
        <v>126</v>
      </c>
      <c r="O97" s="81" t="s">
        <v>25</v>
      </c>
      <c r="P97" s="92" t="s">
        <v>777</v>
      </c>
      <c r="Q97" s="81" t="s">
        <v>45</v>
      </c>
      <c r="R97" s="81" t="s">
        <v>417</v>
      </c>
      <c r="S97" s="81" t="s">
        <v>365</v>
      </c>
      <c r="T97" s="81" t="s">
        <v>492</v>
      </c>
      <c r="U97" s="81" t="s">
        <v>69</v>
      </c>
      <c r="V97" s="94"/>
      <c r="W97" s="94"/>
    </row>
    <row r="98" spans="1:23" ht="21" customHeight="1">
      <c r="A98">
        <f>Table4[[#This Row],[Column1]]</f>
        <v>0</v>
      </c>
      <c r="B98">
        <f>Table4[[#This Row],[Column2]]</f>
        <v>0</v>
      </c>
      <c r="C98" s="81" t="s">
        <v>210</v>
      </c>
      <c r="D98" s="82">
        <v>13.6</v>
      </c>
      <c r="E98" s="82">
        <v>54</v>
      </c>
      <c r="F98" s="82">
        <v>48</v>
      </c>
      <c r="G98" s="81" t="s">
        <v>17</v>
      </c>
      <c r="H98" s="81" t="s">
        <v>116</v>
      </c>
      <c r="I98" s="81"/>
      <c r="J98" s="81"/>
      <c r="K98" s="81"/>
      <c r="L98" s="81"/>
      <c r="M98" s="81"/>
      <c r="N98" s="81"/>
      <c r="O98" s="81"/>
      <c r="P98" s="92" t="s">
        <v>777</v>
      </c>
      <c r="Q98" s="81"/>
      <c r="R98" s="81" t="s">
        <v>494</v>
      </c>
      <c r="S98" s="85" t="s">
        <v>339</v>
      </c>
      <c r="T98" s="81" t="s">
        <v>495</v>
      </c>
      <c r="U98" s="81" t="s">
        <v>69</v>
      </c>
      <c r="V98" s="94"/>
      <c r="W98" s="94"/>
    </row>
    <row r="99" spans="1:23" ht="21" customHeight="1">
      <c r="A99">
        <f>Table4[[#This Row],[Column1]]</f>
        <v>0</v>
      </c>
      <c r="B99">
        <f>Table4[[#This Row],[Column2]]</f>
        <v>0</v>
      </c>
      <c r="C99" s="81" t="s">
        <v>210</v>
      </c>
      <c r="D99" s="82">
        <v>13.4</v>
      </c>
      <c r="E99" s="82">
        <v>52</v>
      </c>
      <c r="F99" s="82">
        <v>45</v>
      </c>
      <c r="G99" s="81" t="s">
        <v>17</v>
      </c>
      <c r="H99" s="81" t="s">
        <v>116</v>
      </c>
      <c r="I99" s="81"/>
      <c r="J99" s="81"/>
      <c r="K99" s="81" t="s">
        <v>122</v>
      </c>
      <c r="L99" s="81" t="s">
        <v>4</v>
      </c>
      <c r="M99" s="81" t="s">
        <v>89</v>
      </c>
      <c r="N99" s="81" t="s">
        <v>89</v>
      </c>
      <c r="O99" s="81" t="s">
        <v>26</v>
      </c>
      <c r="P99" s="92" t="s">
        <v>777</v>
      </c>
      <c r="Q99" s="81" t="s">
        <v>45</v>
      </c>
      <c r="R99" s="81" t="s">
        <v>496</v>
      </c>
      <c r="S99" s="81" t="s">
        <v>353</v>
      </c>
      <c r="T99" s="81" t="s">
        <v>497</v>
      </c>
      <c r="U99" s="81" t="s">
        <v>69</v>
      </c>
      <c r="V99" s="94"/>
      <c r="W99" s="94"/>
    </row>
    <row r="100" spans="1:23" ht="21" customHeight="1">
      <c r="A100">
        <f>Table4[[#This Row],[Column1]]</f>
        <v>0</v>
      </c>
      <c r="B100">
        <f>Table4[[#This Row],[Column2]]</f>
        <v>0</v>
      </c>
      <c r="C100" s="81" t="s">
        <v>210</v>
      </c>
      <c r="D100" s="82">
        <v>14.3</v>
      </c>
      <c r="E100" s="82">
        <v>136</v>
      </c>
      <c r="F100" s="82">
        <v>42</v>
      </c>
      <c r="G100" s="81" t="s">
        <v>17</v>
      </c>
      <c r="H100" s="81" t="s">
        <v>116</v>
      </c>
      <c r="I100" s="81"/>
      <c r="J100" s="81"/>
      <c r="K100" s="81" t="s">
        <v>122</v>
      </c>
      <c r="L100" s="81" t="s">
        <v>4</v>
      </c>
      <c r="M100" s="81" t="s">
        <v>89</v>
      </c>
      <c r="N100" s="81" t="s">
        <v>89</v>
      </c>
      <c r="O100" s="81" t="s">
        <v>31</v>
      </c>
      <c r="P100" s="92" t="s">
        <v>777</v>
      </c>
      <c r="Q100" s="81" t="s">
        <v>44</v>
      </c>
      <c r="R100" s="81" t="s">
        <v>447</v>
      </c>
      <c r="S100" s="81" t="s">
        <v>336</v>
      </c>
      <c r="T100" s="81" t="s">
        <v>498</v>
      </c>
      <c r="U100" s="81" t="s">
        <v>69</v>
      </c>
      <c r="V100" s="94"/>
      <c r="W100" s="94"/>
    </row>
    <row r="101" spans="1:23" ht="21" customHeight="1">
      <c r="A101">
        <f>Table4[[#This Row],[Column1]]</f>
        <v>0</v>
      </c>
      <c r="B101">
        <f>Table4[[#This Row],[Column2]]</f>
        <v>0</v>
      </c>
      <c r="C101" s="81" t="s">
        <v>210</v>
      </c>
      <c r="D101" s="82">
        <v>13.9</v>
      </c>
      <c r="E101" s="82">
        <v>77</v>
      </c>
      <c r="F101" s="81" t="s">
        <v>210</v>
      </c>
      <c r="G101" s="81" t="s">
        <v>4</v>
      </c>
      <c r="H101" s="81" t="s">
        <v>116</v>
      </c>
      <c r="I101" s="81"/>
      <c r="J101" s="81"/>
      <c r="K101" s="81" t="s">
        <v>122</v>
      </c>
      <c r="L101" s="81" t="s">
        <v>4</v>
      </c>
      <c r="M101" s="81" t="s">
        <v>89</v>
      </c>
      <c r="N101" s="81" t="s">
        <v>89</v>
      </c>
      <c r="O101" s="81" t="s">
        <v>26</v>
      </c>
      <c r="P101" s="92" t="s">
        <v>777</v>
      </c>
      <c r="Q101" s="81" t="s">
        <v>44</v>
      </c>
      <c r="R101" s="81" t="s">
        <v>501</v>
      </c>
      <c r="S101" s="81" t="s">
        <v>500</v>
      </c>
      <c r="T101" s="81" t="s">
        <v>499</v>
      </c>
      <c r="U101" s="81" t="s">
        <v>69</v>
      </c>
      <c r="V101" s="94"/>
      <c r="W101" s="94"/>
    </row>
    <row r="102" spans="1:23" ht="21" customHeight="1">
      <c r="A102">
        <f>Table4[[#This Row],[Column1]]</f>
        <v>0</v>
      </c>
      <c r="B102">
        <f>Table4[[#This Row],[Column2]]</f>
        <v>0</v>
      </c>
      <c r="C102" s="81" t="s">
        <v>210</v>
      </c>
      <c r="D102" s="82">
        <v>14.3</v>
      </c>
      <c r="E102" s="82">
        <v>77</v>
      </c>
      <c r="F102" s="82">
        <v>43</v>
      </c>
      <c r="G102" s="81" t="s">
        <v>4</v>
      </c>
      <c r="H102" s="81" t="s">
        <v>116</v>
      </c>
      <c r="I102" s="81"/>
      <c r="J102" s="81"/>
      <c r="K102" s="81" t="s">
        <v>121</v>
      </c>
      <c r="L102" s="81" t="s">
        <v>4</v>
      </c>
      <c r="M102" s="81" t="s">
        <v>126</v>
      </c>
      <c r="N102" s="81" t="s">
        <v>126</v>
      </c>
      <c r="O102" s="81" t="s">
        <v>25</v>
      </c>
      <c r="P102" s="92" t="s">
        <v>777</v>
      </c>
      <c r="Q102" s="81" t="s">
        <v>45</v>
      </c>
      <c r="R102" s="81" t="s">
        <v>491</v>
      </c>
      <c r="S102" s="81" t="s">
        <v>502</v>
      </c>
      <c r="T102" s="81" t="s">
        <v>503</v>
      </c>
      <c r="U102" s="81" t="s">
        <v>69</v>
      </c>
      <c r="V102" s="94"/>
      <c r="W102" s="94"/>
    </row>
    <row r="103" spans="1:23" ht="21" customHeight="1">
      <c r="A103">
        <f>Table4[[#This Row],[Column1]]</f>
        <v>0</v>
      </c>
      <c r="B103">
        <f>Table4[[#This Row],[Column2]]</f>
        <v>0</v>
      </c>
      <c r="C103" s="81" t="s">
        <v>210</v>
      </c>
      <c r="D103" s="82">
        <v>12.9</v>
      </c>
      <c r="E103" s="82">
        <v>46</v>
      </c>
      <c r="F103" s="82">
        <v>41</v>
      </c>
      <c r="G103" s="81" t="s">
        <v>17</v>
      </c>
      <c r="H103" s="81" t="s">
        <v>116</v>
      </c>
      <c r="I103" s="81"/>
      <c r="J103" s="81"/>
      <c r="K103" s="81" t="s">
        <v>122</v>
      </c>
      <c r="L103" s="81" t="s">
        <v>4</v>
      </c>
      <c r="M103" s="81" t="s">
        <v>89</v>
      </c>
      <c r="N103" s="81" t="s">
        <v>89</v>
      </c>
      <c r="O103" s="81" t="s">
        <v>32</v>
      </c>
      <c r="P103" s="92" t="s">
        <v>777</v>
      </c>
      <c r="Q103" s="81" t="s">
        <v>44</v>
      </c>
      <c r="R103" s="81" t="s">
        <v>417</v>
      </c>
      <c r="S103" s="81" t="s">
        <v>342</v>
      </c>
      <c r="T103" s="81" t="s">
        <v>504</v>
      </c>
      <c r="U103" s="81" t="s">
        <v>69</v>
      </c>
      <c r="V103" s="94"/>
      <c r="W103" s="94"/>
    </row>
    <row r="104" spans="1:23" ht="21" customHeight="1">
      <c r="A104">
        <f>Table4[[#This Row],[Column1]]</f>
        <v>0</v>
      </c>
      <c r="B104">
        <f>Table4[[#This Row],[Column2]]</f>
        <v>0</v>
      </c>
      <c r="C104" s="81" t="s">
        <v>210</v>
      </c>
      <c r="D104" s="82">
        <v>13</v>
      </c>
      <c r="E104" s="82">
        <v>67</v>
      </c>
      <c r="F104" s="82">
        <v>46</v>
      </c>
      <c r="G104" s="81" t="s">
        <v>17</v>
      </c>
      <c r="H104" s="81" t="s">
        <v>116</v>
      </c>
      <c r="I104" s="81"/>
      <c r="J104" s="81"/>
      <c r="K104" s="81" t="s">
        <v>122</v>
      </c>
      <c r="L104" s="81" t="s">
        <v>4</v>
      </c>
      <c r="M104" s="81" t="s">
        <v>126</v>
      </c>
      <c r="N104" s="81" t="s">
        <v>126</v>
      </c>
      <c r="O104" s="81" t="s">
        <v>25</v>
      </c>
      <c r="P104" s="92" t="s">
        <v>777</v>
      </c>
      <c r="Q104" s="81" t="s">
        <v>44</v>
      </c>
      <c r="R104" s="81" t="s">
        <v>440</v>
      </c>
      <c r="S104" s="81" t="s">
        <v>234</v>
      </c>
      <c r="T104" s="81" t="s">
        <v>505</v>
      </c>
      <c r="U104" s="81" t="s">
        <v>69</v>
      </c>
      <c r="V104" s="94"/>
      <c r="W104" s="94"/>
    </row>
    <row r="105" spans="1:23" ht="21" customHeight="1">
      <c r="A105">
        <f>Table4[[#This Row],[Column1]]</f>
        <v>0</v>
      </c>
      <c r="B105">
        <f>Table4[[#This Row],[Column2]]</f>
        <v>0</v>
      </c>
      <c r="C105" s="81" t="s">
        <v>210</v>
      </c>
      <c r="D105" s="82">
        <v>13.7</v>
      </c>
      <c r="E105" s="82">
        <v>52</v>
      </c>
      <c r="F105" s="82">
        <v>46</v>
      </c>
      <c r="G105" s="81" t="s">
        <v>17</v>
      </c>
      <c r="H105" s="81" t="s">
        <v>116</v>
      </c>
      <c r="I105" s="81"/>
      <c r="J105" s="81"/>
      <c r="K105" s="81" t="s">
        <v>121</v>
      </c>
      <c r="L105" s="81" t="s">
        <v>4</v>
      </c>
      <c r="M105" s="81" t="s">
        <v>88</v>
      </c>
      <c r="N105" s="81" t="s">
        <v>88</v>
      </c>
      <c r="O105" s="81" t="s">
        <v>26</v>
      </c>
      <c r="P105" s="92" t="s">
        <v>777</v>
      </c>
      <c r="Q105" s="81" t="s">
        <v>778</v>
      </c>
      <c r="R105" s="81" t="s">
        <v>496</v>
      </c>
      <c r="S105" s="81" t="s">
        <v>507</v>
      </c>
      <c r="T105" s="81" t="s">
        <v>508</v>
      </c>
      <c r="U105" s="81" t="s">
        <v>69</v>
      </c>
      <c r="V105" s="94"/>
      <c r="W105" s="94"/>
    </row>
    <row r="106" spans="1:23" ht="21" customHeight="1">
      <c r="A106">
        <f>Table4[[#This Row],[Column1]]</f>
        <v>0</v>
      </c>
      <c r="B106">
        <f>Table4[[#This Row],[Column2]]</f>
        <v>0</v>
      </c>
      <c r="C106" s="81" t="s">
        <v>210</v>
      </c>
      <c r="D106" s="82">
        <v>15.2</v>
      </c>
      <c r="E106" s="82">
        <v>76</v>
      </c>
      <c r="F106" s="82">
        <v>46</v>
      </c>
      <c r="G106" s="81" t="s">
        <v>4</v>
      </c>
      <c r="H106" s="81" t="s">
        <v>116</v>
      </c>
      <c r="I106" s="81"/>
      <c r="J106" s="81"/>
      <c r="K106" s="81" t="s">
        <v>122</v>
      </c>
      <c r="L106" s="81" t="s">
        <v>4</v>
      </c>
      <c r="M106" s="81" t="s">
        <v>89</v>
      </c>
      <c r="N106" s="81" t="s">
        <v>89</v>
      </c>
      <c r="O106" s="81" t="s">
        <v>26</v>
      </c>
      <c r="P106" s="92" t="s">
        <v>777</v>
      </c>
      <c r="Q106" s="81" t="s">
        <v>778</v>
      </c>
      <c r="R106" t="s">
        <v>476</v>
      </c>
      <c r="S106" s="81" t="s">
        <v>249</v>
      </c>
      <c r="T106" s="81" t="s">
        <v>510</v>
      </c>
      <c r="U106" s="81" t="s">
        <v>69</v>
      </c>
      <c r="V106" s="94"/>
      <c r="W106" s="94"/>
    </row>
    <row r="107" spans="1:23" ht="21" customHeight="1">
      <c r="A107">
        <f>Table4[[#This Row],[Column1]]</f>
        <v>0</v>
      </c>
      <c r="B107">
        <f>Table4[[#This Row],[Column2]]</f>
        <v>0</v>
      </c>
      <c r="C107" s="81" t="s">
        <v>210</v>
      </c>
      <c r="D107" s="82">
        <v>13.1</v>
      </c>
      <c r="E107" s="82">
        <v>65</v>
      </c>
      <c r="F107" s="81" t="s">
        <v>210</v>
      </c>
      <c r="G107" s="81" t="s">
        <v>17</v>
      </c>
      <c r="H107" s="81" t="s">
        <v>116</v>
      </c>
      <c r="I107" s="81"/>
      <c r="J107" s="81"/>
      <c r="K107" s="81" t="s">
        <v>121</v>
      </c>
      <c r="L107" s="81" t="s">
        <v>4</v>
      </c>
      <c r="M107" s="81" t="s">
        <v>126</v>
      </c>
      <c r="N107" s="81" t="s">
        <v>126</v>
      </c>
      <c r="O107" s="81" t="s">
        <v>25</v>
      </c>
      <c r="P107" s="92" t="s">
        <v>777</v>
      </c>
      <c r="Q107" s="81" t="s">
        <v>45</v>
      </c>
      <c r="R107" s="81" t="s">
        <v>513</v>
      </c>
      <c r="S107" s="81" t="s">
        <v>290</v>
      </c>
      <c r="T107" s="81" t="s">
        <v>514</v>
      </c>
      <c r="U107" s="81" t="s">
        <v>69</v>
      </c>
      <c r="V107" s="94"/>
      <c r="W107" s="94"/>
    </row>
    <row r="108" spans="1:23" ht="21" customHeight="1">
      <c r="A108">
        <f>Table4[[#This Row],[Column1]]</f>
        <v>0</v>
      </c>
      <c r="B108">
        <f>Table4[[#This Row],[Column2]]</f>
        <v>0</v>
      </c>
      <c r="C108" s="81" t="s">
        <v>210</v>
      </c>
      <c r="D108" s="82">
        <v>13.7</v>
      </c>
      <c r="E108" s="82">
        <v>84</v>
      </c>
      <c r="F108" s="82">
        <v>47</v>
      </c>
      <c r="G108" s="81" t="s">
        <v>17</v>
      </c>
      <c r="H108" s="81" t="s">
        <v>116</v>
      </c>
      <c r="I108" s="81"/>
      <c r="J108" s="81"/>
      <c r="K108" s="81" t="s">
        <v>121</v>
      </c>
      <c r="L108" s="81" t="s">
        <v>4</v>
      </c>
      <c r="M108" s="81" t="s">
        <v>89</v>
      </c>
      <c r="N108" s="81" t="s">
        <v>89</v>
      </c>
      <c r="O108" s="81" t="s">
        <v>34</v>
      </c>
      <c r="P108" s="92" t="s">
        <v>777</v>
      </c>
      <c r="Q108" s="81" t="s">
        <v>45</v>
      </c>
      <c r="R108" s="81" t="s">
        <v>386</v>
      </c>
      <c r="S108" s="81" t="s">
        <v>358</v>
      </c>
      <c r="T108" s="81" t="s">
        <v>515</v>
      </c>
      <c r="U108" s="81" t="s">
        <v>69</v>
      </c>
      <c r="V108" s="94"/>
      <c r="W108" s="94"/>
    </row>
    <row r="109" spans="1:23" ht="21" customHeight="1">
      <c r="A109">
        <f>Table4[[#This Row],[Column1]]</f>
        <v>0</v>
      </c>
      <c r="B109">
        <f>Table4[[#This Row],[Column2]]</f>
        <v>0</v>
      </c>
      <c r="C109" s="81" t="s">
        <v>210</v>
      </c>
      <c r="D109" s="82">
        <v>13.7</v>
      </c>
      <c r="E109" s="82">
        <v>91</v>
      </c>
      <c r="F109" s="82">
        <v>49</v>
      </c>
      <c r="G109" s="81" t="s">
        <v>4</v>
      </c>
      <c r="H109" s="81" t="s">
        <v>116</v>
      </c>
      <c r="I109" s="81"/>
      <c r="J109" s="81"/>
      <c r="K109" s="81" t="s">
        <v>121</v>
      </c>
      <c r="L109" s="81" t="s">
        <v>4</v>
      </c>
      <c r="M109" s="81" t="s">
        <v>126</v>
      </c>
      <c r="N109" s="81" t="s">
        <v>126</v>
      </c>
      <c r="O109" s="81" t="s">
        <v>25</v>
      </c>
      <c r="P109" s="92" t="s">
        <v>777</v>
      </c>
      <c r="Q109" s="81" t="s">
        <v>45</v>
      </c>
      <c r="R109" t="s">
        <v>230</v>
      </c>
      <c r="S109" s="81" t="s">
        <v>336</v>
      </c>
      <c r="T109" s="81" t="s">
        <v>516</v>
      </c>
      <c r="U109" s="81" t="s">
        <v>69</v>
      </c>
      <c r="V109" s="94"/>
      <c r="W109" s="94"/>
    </row>
    <row r="110" spans="1:23" ht="21" customHeight="1">
      <c r="A110">
        <f>Table4[[#This Row],[Column1]]</f>
        <v>0</v>
      </c>
      <c r="B110">
        <f>Table4[[#This Row],[Column2]]</f>
        <v>0</v>
      </c>
      <c r="C110" s="81" t="s">
        <v>210</v>
      </c>
      <c r="D110" s="82">
        <v>14.5</v>
      </c>
      <c r="E110" s="82">
        <v>124</v>
      </c>
      <c r="F110" s="82">
        <v>42</v>
      </c>
      <c r="G110" s="81" t="s">
        <v>4</v>
      </c>
      <c r="H110" s="81" t="s">
        <v>116</v>
      </c>
      <c r="I110" s="81"/>
      <c r="J110" s="81"/>
      <c r="K110" s="81"/>
      <c r="L110" s="81"/>
      <c r="M110" s="81" t="s">
        <v>126</v>
      </c>
      <c r="N110" s="81" t="s">
        <v>126</v>
      </c>
      <c r="O110" s="81" t="s">
        <v>25</v>
      </c>
      <c r="P110" s="81" t="s">
        <v>39</v>
      </c>
      <c r="Q110" s="81" t="s">
        <v>45</v>
      </c>
      <c r="R110" s="81" t="s">
        <v>386</v>
      </c>
      <c r="S110" s="81" t="s">
        <v>246</v>
      </c>
      <c r="T110" s="81" t="s">
        <v>517</v>
      </c>
      <c r="U110" s="81" t="s">
        <v>69</v>
      </c>
      <c r="V110" s="94"/>
      <c r="W110" s="94"/>
    </row>
    <row r="111" spans="1:23" ht="21" customHeight="1">
      <c r="A111">
        <f>Table4[[#This Row],[Column1]]</f>
        <v>0</v>
      </c>
      <c r="B111">
        <f>Table4[[#This Row],[Column2]]</f>
        <v>0</v>
      </c>
      <c r="C111" s="81" t="s">
        <v>210</v>
      </c>
      <c r="D111" s="82">
        <v>15.9</v>
      </c>
      <c r="E111" s="82">
        <v>67</v>
      </c>
      <c r="F111" s="81">
        <v>46</v>
      </c>
      <c r="G111" s="81" t="s">
        <v>17</v>
      </c>
      <c r="H111" s="81" t="s">
        <v>116</v>
      </c>
      <c r="I111" s="81"/>
      <c r="J111" s="81"/>
      <c r="K111" s="81" t="s">
        <v>121</v>
      </c>
      <c r="L111" s="81" t="s">
        <v>4</v>
      </c>
      <c r="M111" s="81" t="s">
        <v>88</v>
      </c>
      <c r="N111" s="81" t="s">
        <v>88</v>
      </c>
      <c r="O111" s="81" t="s">
        <v>26</v>
      </c>
      <c r="P111" s="92" t="s">
        <v>777</v>
      </c>
      <c r="Q111" s="81" t="s">
        <v>778</v>
      </c>
      <c r="R111" s="81" t="s">
        <v>386</v>
      </c>
      <c r="S111" s="81" t="s">
        <v>255</v>
      </c>
      <c r="T111" s="81" t="s">
        <v>518</v>
      </c>
      <c r="U111" s="81" t="s">
        <v>69</v>
      </c>
      <c r="V111" s="94"/>
      <c r="W111" s="94"/>
    </row>
    <row r="112" spans="1:23" ht="21" customHeight="1">
      <c r="A112">
        <f>Table4[[#This Row],[Column1]]</f>
        <v>0</v>
      </c>
      <c r="B112">
        <f>Table4[[#This Row],[Column2]]</f>
        <v>0</v>
      </c>
      <c r="C112" s="81" t="s">
        <v>210</v>
      </c>
      <c r="D112" s="82">
        <v>16</v>
      </c>
      <c r="E112" s="82">
        <v>81</v>
      </c>
      <c r="F112" s="81">
        <v>46</v>
      </c>
      <c r="G112" s="81" t="s">
        <v>17</v>
      </c>
      <c r="H112" s="81" t="s">
        <v>116</v>
      </c>
      <c r="I112" s="81"/>
      <c r="J112" s="81"/>
      <c r="K112" s="81" t="s">
        <v>121</v>
      </c>
      <c r="L112" s="81" t="s">
        <v>4</v>
      </c>
      <c r="M112" s="81" t="s">
        <v>89</v>
      </c>
      <c r="N112" s="81" t="s">
        <v>89</v>
      </c>
      <c r="O112" s="81" t="s">
        <v>26</v>
      </c>
      <c r="P112" s="92" t="s">
        <v>777</v>
      </c>
      <c r="Q112" s="81" t="s">
        <v>45</v>
      </c>
      <c r="R112" s="81" t="s">
        <v>386</v>
      </c>
      <c r="S112" s="81" t="s">
        <v>246</v>
      </c>
      <c r="T112" s="81" t="s">
        <v>519</v>
      </c>
      <c r="U112" s="81" t="s">
        <v>69</v>
      </c>
      <c r="V112" s="94"/>
      <c r="W112" s="94"/>
    </row>
    <row r="113" spans="1:23" ht="21" customHeight="1">
      <c r="A113">
        <f>Table4[[#This Row],[Column1]]</f>
        <v>0</v>
      </c>
      <c r="B113">
        <f>Table4[[#This Row],[Column2]]</f>
        <v>0</v>
      </c>
      <c r="C113" s="81" t="s">
        <v>210</v>
      </c>
      <c r="D113" s="82">
        <v>12.7</v>
      </c>
      <c r="E113" s="82">
        <v>64</v>
      </c>
      <c r="F113" s="81">
        <v>45</v>
      </c>
      <c r="G113" s="81" t="s">
        <v>17</v>
      </c>
      <c r="H113" s="81" t="s">
        <v>116</v>
      </c>
      <c r="I113" s="81"/>
      <c r="J113" s="81"/>
      <c r="K113" s="81" t="s">
        <v>122</v>
      </c>
      <c r="L113" s="81" t="s">
        <v>4</v>
      </c>
      <c r="M113" s="81" t="s">
        <v>89</v>
      </c>
      <c r="N113" s="81" t="s">
        <v>89</v>
      </c>
      <c r="O113" s="81" t="s">
        <v>26</v>
      </c>
      <c r="P113" s="92" t="s">
        <v>777</v>
      </c>
      <c r="Q113" s="81" t="s">
        <v>45</v>
      </c>
      <c r="R113" t="s">
        <v>370</v>
      </c>
      <c r="S113" s="81" t="s">
        <v>526</v>
      </c>
      <c r="T113" s="81" t="s">
        <v>527</v>
      </c>
      <c r="U113" s="81" t="s">
        <v>69</v>
      </c>
      <c r="V113" s="94"/>
      <c r="W113" s="94"/>
    </row>
    <row r="114" spans="1:23" ht="21" customHeight="1">
      <c r="A114">
        <f>Table4[[#This Row],[Column1]]</f>
        <v>0</v>
      </c>
      <c r="B114">
        <f>Table4[[#This Row],[Column2]]</f>
        <v>0</v>
      </c>
      <c r="C114" s="81" t="s">
        <v>210</v>
      </c>
      <c r="D114" s="82">
        <v>12.2</v>
      </c>
      <c r="E114" s="82">
        <v>52</v>
      </c>
      <c r="F114" s="81">
        <v>42</v>
      </c>
      <c r="G114" s="81" t="s">
        <v>17</v>
      </c>
      <c r="H114" s="81" t="s">
        <v>116</v>
      </c>
      <c r="I114" s="81"/>
      <c r="J114" s="81"/>
      <c r="K114" s="81" t="s">
        <v>122</v>
      </c>
      <c r="L114" s="81" t="s">
        <v>4</v>
      </c>
      <c r="M114" s="81" t="s">
        <v>89</v>
      </c>
      <c r="N114" s="81" t="s">
        <v>89</v>
      </c>
      <c r="O114" s="81" t="s">
        <v>29</v>
      </c>
      <c r="P114" s="92" t="s">
        <v>777</v>
      </c>
      <c r="Q114" s="81" t="s">
        <v>44</v>
      </c>
      <c r="R114" t="s">
        <v>496</v>
      </c>
      <c r="S114" s="81" t="s">
        <v>336</v>
      </c>
      <c r="T114" s="81" t="s">
        <v>528</v>
      </c>
      <c r="U114" s="81" t="s">
        <v>69</v>
      </c>
      <c r="V114" s="94"/>
      <c r="W114" s="94"/>
    </row>
    <row r="115" spans="1:23" ht="21" customHeight="1">
      <c r="A115">
        <f>Table4[[#This Row],[Column1]]</f>
        <v>0</v>
      </c>
      <c r="B115">
        <f>Table4[[#This Row],[Column2]]</f>
        <v>0</v>
      </c>
      <c r="C115" s="81" t="s">
        <v>210</v>
      </c>
      <c r="D115" s="82">
        <v>13.2</v>
      </c>
      <c r="E115" s="82">
        <v>96</v>
      </c>
      <c r="F115" s="81">
        <v>42</v>
      </c>
      <c r="G115" s="81" t="s">
        <v>17</v>
      </c>
      <c r="H115" s="81" t="s">
        <v>116</v>
      </c>
      <c r="I115" s="81"/>
      <c r="J115" s="81"/>
      <c r="K115" s="81" t="s">
        <v>122</v>
      </c>
      <c r="L115" s="81" t="s">
        <v>4</v>
      </c>
      <c r="M115" s="81" t="s">
        <v>90</v>
      </c>
      <c r="N115" s="81" t="s">
        <v>90</v>
      </c>
      <c r="O115" s="81" t="s">
        <v>26</v>
      </c>
      <c r="P115" s="92" t="s">
        <v>777</v>
      </c>
      <c r="Q115" s="81" t="s">
        <v>45</v>
      </c>
      <c r="R115" s="81" t="s">
        <v>231</v>
      </c>
      <c r="S115" s="81" t="s">
        <v>342</v>
      </c>
      <c r="T115" s="81" t="s">
        <v>532</v>
      </c>
      <c r="U115" s="81" t="s">
        <v>69</v>
      </c>
      <c r="V115" s="94"/>
      <c r="W115" s="94"/>
    </row>
    <row r="116" spans="1:23" ht="21" customHeight="1">
      <c r="A116">
        <f>Table4[[#This Row],[Column1]]</f>
        <v>0</v>
      </c>
      <c r="B116">
        <f>Table4[[#This Row],[Column2]]</f>
        <v>0</v>
      </c>
      <c r="C116" s="81" t="s">
        <v>210</v>
      </c>
      <c r="D116" s="82">
        <v>11.5</v>
      </c>
      <c r="E116" s="82">
        <v>65</v>
      </c>
      <c r="F116" s="81">
        <v>35</v>
      </c>
      <c r="G116" s="81" t="s">
        <v>17</v>
      </c>
      <c r="H116" s="81" t="s">
        <v>116</v>
      </c>
      <c r="I116" s="81"/>
      <c r="J116" s="81"/>
      <c r="K116" s="81" t="s">
        <v>122</v>
      </c>
      <c r="L116" s="81" t="s">
        <v>4</v>
      </c>
      <c r="M116" s="81" t="s">
        <v>89</v>
      </c>
      <c r="N116" s="81" t="s">
        <v>89</v>
      </c>
      <c r="O116" s="81" t="s">
        <v>34</v>
      </c>
      <c r="P116" s="81" t="s">
        <v>38</v>
      </c>
      <c r="Q116" s="81" t="s">
        <v>45</v>
      </c>
      <c r="R116" s="81" t="s">
        <v>372</v>
      </c>
      <c r="S116" s="81" t="s">
        <v>255</v>
      </c>
      <c r="T116" s="81" t="s">
        <v>533</v>
      </c>
      <c r="U116" s="81" t="s">
        <v>69</v>
      </c>
      <c r="V116" s="94"/>
      <c r="W116" s="94"/>
    </row>
    <row r="117" spans="1:23" ht="21" customHeight="1">
      <c r="A117">
        <f>Table4[[#This Row],[Column1]]</f>
        <v>0</v>
      </c>
      <c r="B117">
        <f>Table4[[#This Row],[Column2]]</f>
        <v>0</v>
      </c>
      <c r="C117" s="81" t="s">
        <v>210</v>
      </c>
      <c r="D117" s="82">
        <v>11</v>
      </c>
      <c r="E117" s="82">
        <v>53</v>
      </c>
      <c r="F117" s="81">
        <v>44</v>
      </c>
      <c r="G117" s="81" t="s">
        <v>17</v>
      </c>
      <c r="H117" s="81" t="s">
        <v>116</v>
      </c>
      <c r="I117" s="81"/>
      <c r="J117" s="81"/>
      <c r="K117" s="81" t="s">
        <v>121</v>
      </c>
      <c r="L117" s="81" t="s">
        <v>4</v>
      </c>
      <c r="M117" s="81"/>
      <c r="N117" s="81"/>
      <c r="O117" s="81"/>
      <c r="P117" s="92" t="s">
        <v>777</v>
      </c>
      <c r="Q117" s="81" t="s">
        <v>45</v>
      </c>
      <c r="R117" s="81" t="s">
        <v>281</v>
      </c>
      <c r="S117" s="81" t="s">
        <v>536</v>
      </c>
      <c r="T117" s="81" t="s">
        <v>537</v>
      </c>
      <c r="U117" s="81" t="s">
        <v>69</v>
      </c>
      <c r="V117" s="94"/>
      <c r="W117" s="94"/>
    </row>
    <row r="118" spans="1:23" ht="21" customHeight="1">
      <c r="A118">
        <f>Table4[[#This Row],[Column1]]</f>
        <v>0</v>
      </c>
      <c r="B118">
        <f>Table4[[#This Row],[Column2]]</f>
        <v>0</v>
      </c>
      <c r="C118" s="81" t="s">
        <v>210</v>
      </c>
      <c r="D118" s="82">
        <v>12.7</v>
      </c>
      <c r="E118" s="82">
        <v>64</v>
      </c>
      <c r="F118" s="81">
        <v>44</v>
      </c>
      <c r="G118" s="81" t="s">
        <v>4</v>
      </c>
      <c r="H118" s="81" t="s">
        <v>116</v>
      </c>
      <c r="I118" s="81"/>
      <c r="J118" s="81"/>
      <c r="K118" s="81"/>
      <c r="L118" s="81"/>
      <c r="M118" s="81"/>
      <c r="N118" s="81"/>
      <c r="O118" s="81"/>
      <c r="P118" s="92" t="s">
        <v>777</v>
      </c>
      <c r="Q118" s="81" t="s">
        <v>778</v>
      </c>
      <c r="R118" s="81" t="s">
        <v>476</v>
      </c>
      <c r="S118" s="81" t="s">
        <v>249</v>
      </c>
      <c r="T118" s="81" t="s">
        <v>538</v>
      </c>
      <c r="U118" s="81" t="s">
        <v>69</v>
      </c>
      <c r="V118" s="94"/>
      <c r="W118" s="94"/>
    </row>
    <row r="119" spans="1:23" ht="21" customHeight="1">
      <c r="A119">
        <f>Table4[[#This Row],[Column1]]</f>
        <v>0</v>
      </c>
      <c r="B119">
        <f>Table4[[#This Row],[Column2]]</f>
        <v>0</v>
      </c>
      <c r="C119" s="81" t="s">
        <v>210</v>
      </c>
      <c r="D119" s="82">
        <v>13.7</v>
      </c>
      <c r="E119" s="82">
        <v>71</v>
      </c>
      <c r="F119" s="81">
        <v>41</v>
      </c>
      <c r="G119" s="81" t="s">
        <v>4</v>
      </c>
      <c r="H119" s="81" t="s">
        <v>116</v>
      </c>
      <c r="I119" s="81"/>
      <c r="J119" s="81"/>
      <c r="K119" s="81" t="s">
        <v>121</v>
      </c>
      <c r="L119" s="81" t="s">
        <v>4</v>
      </c>
      <c r="M119" s="81" t="s">
        <v>89</v>
      </c>
      <c r="N119" s="81" t="s">
        <v>89</v>
      </c>
      <c r="O119" s="81" t="s">
        <v>34</v>
      </c>
      <c r="P119" s="92" t="s">
        <v>777</v>
      </c>
      <c r="Q119" s="81" t="s">
        <v>45</v>
      </c>
      <c r="R119" s="81" t="s">
        <v>289</v>
      </c>
      <c r="S119" s="81" t="s">
        <v>290</v>
      </c>
      <c r="T119" s="81" t="s">
        <v>541</v>
      </c>
      <c r="U119" s="81" t="s">
        <v>69</v>
      </c>
      <c r="V119" s="94"/>
      <c r="W119" s="94"/>
    </row>
    <row r="120" spans="1:23" ht="21" customHeight="1">
      <c r="A120">
        <f>Table4[[#This Row],[Column1]]</f>
        <v>0</v>
      </c>
      <c r="B120">
        <f>Table4[[#This Row],[Column2]]</f>
        <v>0</v>
      </c>
      <c r="C120" s="81" t="s">
        <v>210</v>
      </c>
      <c r="D120" s="82">
        <v>13.4</v>
      </c>
      <c r="E120" s="82">
        <v>88</v>
      </c>
      <c r="F120" s="81" t="s">
        <v>210</v>
      </c>
      <c r="G120" s="81" t="s">
        <v>4</v>
      </c>
      <c r="H120" s="81" t="s">
        <v>116</v>
      </c>
      <c r="I120" s="81"/>
      <c r="J120" s="81"/>
      <c r="K120" s="81" t="s">
        <v>122</v>
      </c>
      <c r="L120" s="81" t="s">
        <v>4</v>
      </c>
      <c r="M120" s="81" t="s">
        <v>88</v>
      </c>
      <c r="N120" s="81" t="s">
        <v>88</v>
      </c>
      <c r="O120" s="81" t="s">
        <v>26</v>
      </c>
      <c r="P120" s="92" t="s">
        <v>777</v>
      </c>
      <c r="Q120" s="81" t="s">
        <v>45</v>
      </c>
      <c r="R120" s="81" t="s">
        <v>370</v>
      </c>
      <c r="S120" s="81" t="s">
        <v>545</v>
      </c>
      <c r="T120" s="81" t="s">
        <v>546</v>
      </c>
      <c r="U120" s="81" t="s">
        <v>69</v>
      </c>
      <c r="V120" s="94"/>
      <c r="W120" s="94"/>
    </row>
    <row r="121" spans="1:23" ht="21" customHeight="1">
      <c r="A121">
        <f>Table4[[#This Row],[Column1]]</f>
        <v>0</v>
      </c>
      <c r="B121">
        <f>Table4[[#This Row],[Column2]]</f>
        <v>0</v>
      </c>
      <c r="C121" s="81" t="s">
        <v>210</v>
      </c>
      <c r="D121" s="82">
        <v>14.6</v>
      </c>
      <c r="E121" s="82">
        <v>73</v>
      </c>
      <c r="F121" s="81">
        <v>47</v>
      </c>
      <c r="G121" s="81" t="s">
        <v>17</v>
      </c>
      <c r="H121" s="81" t="s">
        <v>116</v>
      </c>
      <c r="I121" s="81"/>
      <c r="J121" s="81"/>
      <c r="K121" s="81" t="s">
        <v>122</v>
      </c>
      <c r="L121" s="81" t="s">
        <v>4</v>
      </c>
      <c r="M121" s="81" t="s">
        <v>87</v>
      </c>
      <c r="N121" s="81" t="s">
        <v>87</v>
      </c>
      <c r="O121" s="81" t="s">
        <v>27</v>
      </c>
      <c r="P121" s="92" t="s">
        <v>777</v>
      </c>
      <c r="Q121" s="81" t="s">
        <v>45</v>
      </c>
      <c r="R121" s="81" t="s">
        <v>281</v>
      </c>
      <c r="S121" s="81" t="s">
        <v>336</v>
      </c>
      <c r="T121" s="81" t="s">
        <v>547</v>
      </c>
      <c r="U121" s="81" t="s">
        <v>69</v>
      </c>
      <c r="V121" s="94"/>
      <c r="W121" s="94"/>
    </row>
    <row r="122" spans="1:23" ht="21" customHeight="1">
      <c r="A122">
        <f>Table4[[#This Row],[Column1]]</f>
        <v>0</v>
      </c>
      <c r="B122">
        <f>Table4[[#This Row],[Column2]]</f>
        <v>0</v>
      </c>
      <c r="C122" s="81" t="s">
        <v>210</v>
      </c>
      <c r="D122" s="82">
        <v>10.8</v>
      </c>
      <c r="E122" s="82">
        <v>92</v>
      </c>
      <c r="F122" s="81">
        <v>30</v>
      </c>
      <c r="G122" s="81" t="s">
        <v>4</v>
      </c>
      <c r="H122" s="81" t="s">
        <v>116</v>
      </c>
      <c r="I122" s="81"/>
      <c r="J122" s="81"/>
      <c r="K122" s="81"/>
      <c r="L122" s="81"/>
      <c r="M122" s="81"/>
      <c r="N122" s="81"/>
      <c r="O122" s="81"/>
      <c r="P122" s="81" t="s">
        <v>38</v>
      </c>
      <c r="Q122" s="81" t="s">
        <v>45</v>
      </c>
      <c r="R122" s="81" t="s">
        <v>548</v>
      </c>
      <c r="S122" s="81" t="s">
        <v>290</v>
      </c>
      <c r="T122" s="81" t="s">
        <v>551</v>
      </c>
      <c r="U122" s="81" t="s">
        <v>69</v>
      </c>
      <c r="V122" s="94"/>
      <c r="W122" s="94"/>
    </row>
    <row r="123" spans="1:23" ht="21" customHeight="1">
      <c r="A123">
        <f>Table4[[#This Row],[Column1]]</f>
        <v>0</v>
      </c>
      <c r="B123">
        <f>Table4[[#This Row],[Column2]]</f>
        <v>0</v>
      </c>
      <c r="C123" s="81" t="s">
        <v>210</v>
      </c>
      <c r="D123" s="82">
        <v>16.3</v>
      </c>
      <c r="E123" s="82">
        <v>33</v>
      </c>
      <c r="F123" s="81">
        <v>43</v>
      </c>
      <c r="G123" s="81" t="s">
        <v>4</v>
      </c>
      <c r="H123" s="81" t="s">
        <v>116</v>
      </c>
      <c r="I123" s="81"/>
      <c r="J123" s="81"/>
      <c r="K123" s="81" t="s">
        <v>121</v>
      </c>
      <c r="L123" s="81" t="s">
        <v>4</v>
      </c>
      <c r="M123" s="81" t="s">
        <v>21</v>
      </c>
      <c r="N123" s="81" t="s">
        <v>21</v>
      </c>
      <c r="O123" s="81" t="s">
        <v>25</v>
      </c>
      <c r="P123" s="81" t="s">
        <v>223</v>
      </c>
      <c r="Q123" s="81" t="s">
        <v>45</v>
      </c>
      <c r="R123" s="81" t="s">
        <v>549</v>
      </c>
      <c r="S123" s="81" t="s">
        <v>266</v>
      </c>
      <c r="T123" s="81" t="s">
        <v>550</v>
      </c>
      <c r="U123" s="81" t="s">
        <v>69</v>
      </c>
      <c r="V123" s="94"/>
      <c r="W123" s="94"/>
    </row>
    <row r="124" spans="1:23" ht="21" customHeight="1">
      <c r="A124">
        <f>Table4[[#This Row],[Column1]]</f>
        <v>0</v>
      </c>
      <c r="B124">
        <f>Table4[[#This Row],[Column2]]</f>
        <v>0</v>
      </c>
      <c r="C124" s="81" t="s">
        <v>210</v>
      </c>
      <c r="D124" s="82">
        <v>12.6</v>
      </c>
      <c r="E124" s="82">
        <v>77</v>
      </c>
      <c r="F124" s="81">
        <v>47</v>
      </c>
      <c r="G124" s="81" t="s">
        <v>12</v>
      </c>
      <c r="H124" s="81" t="s">
        <v>113</v>
      </c>
      <c r="I124" s="83">
        <v>43354</v>
      </c>
      <c r="J124" s="81">
        <v>10</v>
      </c>
      <c r="K124" s="81" t="s">
        <v>122</v>
      </c>
      <c r="L124" s="81" t="s">
        <v>4</v>
      </c>
      <c r="M124" s="81" t="s">
        <v>126</v>
      </c>
      <c r="N124" s="81" t="s">
        <v>126</v>
      </c>
      <c r="O124" s="81" t="s">
        <v>25</v>
      </c>
      <c r="P124" s="81" t="s">
        <v>39</v>
      </c>
      <c r="Q124" s="81" t="s">
        <v>45</v>
      </c>
      <c r="R124" s="81" t="s">
        <v>560</v>
      </c>
      <c r="S124" s="81" t="s">
        <v>336</v>
      </c>
      <c r="T124" s="81" t="s">
        <v>561</v>
      </c>
      <c r="U124" s="81" t="s">
        <v>69</v>
      </c>
      <c r="V124" s="94"/>
      <c r="W124" s="94"/>
    </row>
    <row r="125" spans="1:23" ht="21" customHeight="1">
      <c r="A125">
        <f>Table4[[#This Row],[Column1]]</f>
        <v>0</v>
      </c>
      <c r="B125">
        <f>Table4[[#This Row],[Column2]]</f>
        <v>0</v>
      </c>
      <c r="C125" s="81" t="s">
        <v>210</v>
      </c>
      <c r="D125" s="82">
        <v>14</v>
      </c>
      <c r="E125" s="82">
        <v>68</v>
      </c>
      <c r="F125" s="81">
        <v>43</v>
      </c>
      <c r="G125" s="81" t="s">
        <v>4</v>
      </c>
      <c r="H125" s="81" t="s">
        <v>116</v>
      </c>
      <c r="I125" s="81"/>
      <c r="J125" s="81"/>
      <c r="K125" s="81" t="s">
        <v>121</v>
      </c>
      <c r="L125" s="81" t="s">
        <v>4</v>
      </c>
      <c r="M125" s="81" t="s">
        <v>126</v>
      </c>
      <c r="N125" s="81" t="s">
        <v>126</v>
      </c>
      <c r="O125" s="81" t="s">
        <v>25</v>
      </c>
      <c r="P125" s="92" t="s">
        <v>777</v>
      </c>
      <c r="Q125" s="81" t="s">
        <v>45</v>
      </c>
      <c r="R125" s="81" t="s">
        <v>560</v>
      </c>
      <c r="S125" s="81" t="s">
        <v>507</v>
      </c>
      <c r="T125" s="81" t="s">
        <v>562</v>
      </c>
      <c r="U125" s="81" t="s">
        <v>69</v>
      </c>
      <c r="V125" s="94"/>
      <c r="W125" s="94"/>
    </row>
    <row r="126" spans="1:23" ht="21" customHeight="1">
      <c r="A126">
        <f>Table4[[#This Row],[Column1]]</f>
        <v>0</v>
      </c>
      <c r="B126">
        <f>Table4[[#This Row],[Column2]]</f>
        <v>0</v>
      </c>
      <c r="C126" s="81" t="s">
        <v>210</v>
      </c>
      <c r="D126" s="82">
        <v>11.3</v>
      </c>
      <c r="E126" s="82">
        <v>85</v>
      </c>
      <c r="F126" s="81">
        <v>44</v>
      </c>
      <c r="G126" s="81" t="s">
        <v>12</v>
      </c>
      <c r="H126" s="81" t="s">
        <v>113</v>
      </c>
      <c r="I126" s="83">
        <v>43362</v>
      </c>
      <c r="J126" s="81">
        <v>8</v>
      </c>
      <c r="K126" s="81" t="s">
        <v>121</v>
      </c>
      <c r="L126" s="81" t="s">
        <v>4</v>
      </c>
      <c r="M126" s="81" t="s">
        <v>126</v>
      </c>
      <c r="N126" s="81" t="s">
        <v>126</v>
      </c>
      <c r="O126" s="81" t="s">
        <v>25</v>
      </c>
      <c r="P126" s="81" t="s">
        <v>38</v>
      </c>
      <c r="Q126" s="81" t="s">
        <v>45</v>
      </c>
      <c r="R126" s="81" t="s">
        <v>386</v>
      </c>
      <c r="S126" s="81" t="s">
        <v>255</v>
      </c>
      <c r="T126" s="81" t="s">
        <v>563</v>
      </c>
      <c r="U126" s="81" t="s">
        <v>69</v>
      </c>
      <c r="V126" s="94"/>
      <c r="W126" s="94"/>
    </row>
    <row r="127" spans="1:23" ht="21" customHeight="1">
      <c r="A127">
        <f>Table4[[#This Row],[Column1]]</f>
        <v>0</v>
      </c>
      <c r="B127">
        <f>Table4[[#This Row],[Column2]]</f>
        <v>0</v>
      </c>
      <c r="C127" s="81" t="s">
        <v>210</v>
      </c>
      <c r="D127" s="82">
        <v>8.4</v>
      </c>
      <c r="E127" s="82">
        <v>78</v>
      </c>
      <c r="F127" s="81">
        <v>47</v>
      </c>
      <c r="G127" s="81" t="s">
        <v>12</v>
      </c>
      <c r="H127" s="81" t="s">
        <v>113</v>
      </c>
      <c r="I127" s="83">
        <v>43348</v>
      </c>
      <c r="J127" s="81">
        <v>10</v>
      </c>
      <c r="K127" s="81" t="s">
        <v>122</v>
      </c>
      <c r="L127" s="81" t="s">
        <v>4</v>
      </c>
      <c r="M127" s="81" t="s">
        <v>90</v>
      </c>
      <c r="N127" s="81" t="s">
        <v>90</v>
      </c>
      <c r="O127" s="81" t="s">
        <v>26</v>
      </c>
      <c r="P127" s="81" t="s">
        <v>38</v>
      </c>
      <c r="Q127" s="81" t="s">
        <v>45</v>
      </c>
      <c r="R127" s="81" t="s">
        <v>386</v>
      </c>
      <c r="S127" s="81" t="s">
        <v>255</v>
      </c>
      <c r="T127" s="81" t="s">
        <v>566</v>
      </c>
      <c r="U127" s="81" t="s">
        <v>69</v>
      </c>
      <c r="V127" s="94"/>
      <c r="W127" s="94"/>
    </row>
    <row r="128" spans="1:23" ht="21" customHeight="1">
      <c r="A128">
        <f>Table4[[#This Row],[Column1]]</f>
        <v>0</v>
      </c>
      <c r="B128">
        <f>Table4[[#This Row],[Column2]]</f>
        <v>0</v>
      </c>
      <c r="C128" s="81" t="s">
        <v>210</v>
      </c>
      <c r="D128" s="82">
        <v>12.6</v>
      </c>
      <c r="E128" s="82">
        <v>88</v>
      </c>
      <c r="F128" s="81">
        <v>46</v>
      </c>
      <c r="G128" s="81" t="s">
        <v>12</v>
      </c>
      <c r="H128" s="81" t="s">
        <v>113</v>
      </c>
      <c r="I128" s="83">
        <v>43361</v>
      </c>
      <c r="J128" s="81">
        <v>10</v>
      </c>
      <c r="K128" s="81" t="s">
        <v>121</v>
      </c>
      <c r="L128" s="81" t="s">
        <v>4</v>
      </c>
      <c r="M128" s="81" t="s">
        <v>89</v>
      </c>
      <c r="N128" s="81" t="s">
        <v>89</v>
      </c>
      <c r="O128" s="81" t="s">
        <v>26</v>
      </c>
      <c r="P128" s="92" t="s">
        <v>777</v>
      </c>
      <c r="Q128" s="81" t="s">
        <v>44</v>
      </c>
      <c r="R128" s="81" t="s">
        <v>560</v>
      </c>
      <c r="S128" s="81" t="s">
        <v>353</v>
      </c>
      <c r="T128" s="81" t="s">
        <v>567</v>
      </c>
      <c r="U128" s="81" t="s">
        <v>69</v>
      </c>
      <c r="V128" s="94"/>
      <c r="W128" s="94"/>
    </row>
    <row r="129" spans="1:23" ht="21" customHeight="1">
      <c r="A129">
        <f>Table4[[#This Row],[Column1]]</f>
        <v>0</v>
      </c>
      <c r="B129">
        <f>Table4[[#This Row],[Column2]]</f>
        <v>0</v>
      </c>
      <c r="C129" s="81" t="s">
        <v>210</v>
      </c>
      <c r="D129" s="82">
        <v>12.9</v>
      </c>
      <c r="E129" s="82">
        <v>65</v>
      </c>
      <c r="F129" s="81">
        <v>47</v>
      </c>
      <c r="G129" s="81" t="s">
        <v>12</v>
      </c>
      <c r="H129" s="81" t="s">
        <v>113</v>
      </c>
      <c r="I129" s="83">
        <v>43348</v>
      </c>
      <c r="J129" s="81">
        <v>10</v>
      </c>
      <c r="K129" s="81" t="s">
        <v>121</v>
      </c>
      <c r="L129" s="81" t="s">
        <v>4</v>
      </c>
      <c r="M129" s="81" t="s">
        <v>126</v>
      </c>
      <c r="N129" s="81" t="s">
        <v>126</v>
      </c>
      <c r="O129" s="81" t="s">
        <v>25</v>
      </c>
      <c r="P129" s="92" t="s">
        <v>777</v>
      </c>
      <c r="Q129" s="81" t="s">
        <v>45</v>
      </c>
      <c r="R129" t="s">
        <v>569</v>
      </c>
      <c r="S129" s="81" t="s">
        <v>298</v>
      </c>
      <c r="T129" s="81" t="s">
        <v>570</v>
      </c>
      <c r="U129" s="81" t="s">
        <v>69</v>
      </c>
      <c r="V129" s="94"/>
      <c r="W129" s="94"/>
    </row>
    <row r="130" spans="1:23" ht="21" customHeight="1">
      <c r="A130">
        <f>Table4[[#This Row],[Column1]]</f>
        <v>0</v>
      </c>
      <c r="B130">
        <f>Table4[[#This Row],[Column2]]</f>
        <v>0</v>
      </c>
      <c r="C130" s="81" t="s">
        <v>210</v>
      </c>
      <c r="D130" s="82">
        <v>10.3</v>
      </c>
      <c r="E130" s="82">
        <v>49</v>
      </c>
      <c r="F130" s="81">
        <v>38</v>
      </c>
      <c r="G130" s="81" t="s">
        <v>12</v>
      </c>
      <c r="H130" s="81" t="s">
        <v>113</v>
      </c>
      <c r="I130" s="83">
        <v>43354</v>
      </c>
      <c r="J130" s="81">
        <v>10</v>
      </c>
      <c r="K130" s="81" t="s">
        <v>121</v>
      </c>
      <c r="L130" s="81" t="s">
        <v>4</v>
      </c>
      <c r="M130" s="81" t="s">
        <v>126</v>
      </c>
      <c r="N130" s="81" t="s">
        <v>126</v>
      </c>
      <c r="O130" s="81" t="s">
        <v>25</v>
      </c>
      <c r="P130" s="81" t="s">
        <v>576</v>
      </c>
      <c r="Q130" s="81" t="s">
        <v>44</v>
      </c>
      <c r="R130" s="81" t="s">
        <v>231</v>
      </c>
      <c r="S130" s="81" t="s">
        <v>592</v>
      </c>
      <c r="T130" s="81" t="s">
        <v>577</v>
      </c>
      <c r="U130" s="81" t="s">
        <v>69</v>
      </c>
      <c r="V130" s="94"/>
      <c r="W130" s="94"/>
    </row>
    <row r="131" spans="1:23" ht="21" customHeight="1">
      <c r="A131">
        <f>Table4[[#This Row],[Column1]]</f>
        <v>0</v>
      </c>
      <c r="B131">
        <f>Table4[[#This Row],[Column2]]</f>
        <v>0</v>
      </c>
      <c r="C131" s="81" t="s">
        <v>210</v>
      </c>
      <c r="D131" s="82">
        <v>12.6</v>
      </c>
      <c r="E131" s="82">
        <v>86</v>
      </c>
      <c r="F131" s="81">
        <v>47</v>
      </c>
      <c r="G131" s="81" t="s">
        <v>12</v>
      </c>
      <c r="H131" s="81" t="s">
        <v>113</v>
      </c>
      <c r="I131" s="83">
        <v>43354</v>
      </c>
      <c r="J131" s="81">
        <v>10</v>
      </c>
      <c r="K131" s="81" t="s">
        <v>121</v>
      </c>
      <c r="L131" s="81" t="s">
        <v>4</v>
      </c>
      <c r="M131" s="81" t="s">
        <v>126</v>
      </c>
      <c r="N131" s="81" t="s">
        <v>126</v>
      </c>
      <c r="O131" s="81" t="s">
        <v>25</v>
      </c>
      <c r="P131" s="92" t="s">
        <v>777</v>
      </c>
      <c r="Q131" s="81" t="s">
        <v>45</v>
      </c>
      <c r="R131" s="81" t="s">
        <v>578</v>
      </c>
      <c r="S131" s="81" t="s">
        <v>246</v>
      </c>
      <c r="T131" s="81" t="s">
        <v>579</v>
      </c>
      <c r="U131" s="81" t="s">
        <v>69</v>
      </c>
      <c r="V131" s="94"/>
      <c r="W131" s="94"/>
    </row>
    <row r="132" spans="1:23" ht="21" customHeight="1">
      <c r="A132">
        <f>Table4[[#This Row],[Column1]]</f>
        <v>0</v>
      </c>
      <c r="B132">
        <f>Table4[[#This Row],[Column2]]</f>
        <v>0</v>
      </c>
      <c r="C132" s="81" t="s">
        <v>210</v>
      </c>
      <c r="D132" s="82">
        <v>12.3</v>
      </c>
      <c r="E132" s="82">
        <v>57</v>
      </c>
      <c r="F132" s="81" t="s">
        <v>210</v>
      </c>
      <c r="G132" s="81" t="s">
        <v>4</v>
      </c>
      <c r="H132" s="81" t="s">
        <v>116</v>
      </c>
      <c r="I132" s="81"/>
      <c r="J132" s="81"/>
      <c r="K132" s="81" t="s">
        <v>121</v>
      </c>
      <c r="L132" s="81" t="s">
        <v>4</v>
      </c>
      <c r="M132" s="81" t="s">
        <v>126</v>
      </c>
      <c r="N132" s="81" t="s">
        <v>126</v>
      </c>
      <c r="O132" s="81" t="s">
        <v>25</v>
      </c>
      <c r="P132" s="92" t="s">
        <v>777</v>
      </c>
      <c r="Q132" s="81" t="s">
        <v>45</v>
      </c>
      <c r="R132" s="81" t="s">
        <v>549</v>
      </c>
      <c r="S132" s="81" t="s">
        <v>266</v>
      </c>
      <c r="T132" s="81" t="s">
        <v>582</v>
      </c>
      <c r="U132" s="81" t="s">
        <v>69</v>
      </c>
      <c r="V132" s="94"/>
      <c r="W132" s="94"/>
    </row>
    <row r="133" spans="1:23" ht="21" customHeight="1">
      <c r="A133">
        <f>Table4[[#This Row],[Column1]]</f>
        <v>0</v>
      </c>
      <c r="B133">
        <f>Table4[[#This Row],[Column2]]</f>
        <v>0</v>
      </c>
      <c r="C133" s="81" t="s">
        <v>210</v>
      </c>
      <c r="D133" s="82">
        <v>13.8</v>
      </c>
      <c r="E133" s="82">
        <v>93</v>
      </c>
      <c r="F133" s="81">
        <v>46</v>
      </c>
      <c r="G133" s="81" t="s">
        <v>12</v>
      </c>
      <c r="H133" s="81" t="s">
        <v>113</v>
      </c>
      <c r="I133" s="83">
        <v>43363</v>
      </c>
      <c r="J133" s="81">
        <v>10</v>
      </c>
      <c r="K133" s="81" t="s">
        <v>121</v>
      </c>
      <c r="L133" s="81" t="s">
        <v>4</v>
      </c>
      <c r="M133" s="81" t="s">
        <v>126</v>
      </c>
      <c r="N133" s="81" t="s">
        <v>126</v>
      </c>
      <c r="O133" s="81" t="s">
        <v>25</v>
      </c>
      <c r="P133" s="92" t="s">
        <v>777</v>
      </c>
      <c r="Q133" s="81" t="s">
        <v>44</v>
      </c>
      <c r="R133" s="81" t="s">
        <v>560</v>
      </c>
      <c r="S133" s="81" t="s">
        <v>484</v>
      </c>
      <c r="T133" s="81" t="s">
        <v>583</v>
      </c>
      <c r="U133" s="81" t="s">
        <v>69</v>
      </c>
      <c r="V133" s="94"/>
      <c r="W133" s="94"/>
    </row>
    <row r="134" spans="1:23" ht="21" customHeight="1">
      <c r="A134">
        <f>Table4[[#This Row],[Column1]]</f>
        <v>0</v>
      </c>
      <c r="B134">
        <f>Table4[[#This Row],[Column2]]</f>
        <v>0</v>
      </c>
      <c r="C134" s="81" t="s">
        <v>210</v>
      </c>
      <c r="D134" s="82">
        <v>12.5</v>
      </c>
      <c r="E134" s="82">
        <v>86</v>
      </c>
      <c r="F134" s="81">
        <v>45</v>
      </c>
      <c r="G134" s="81" t="s">
        <v>12</v>
      </c>
      <c r="H134" s="81" t="s">
        <v>113</v>
      </c>
      <c r="I134" s="83">
        <v>43375</v>
      </c>
      <c r="J134" s="81">
        <v>10</v>
      </c>
      <c r="K134" s="81" t="s">
        <v>121</v>
      </c>
      <c r="L134" s="81" t="s">
        <v>4</v>
      </c>
      <c r="M134" s="81" t="s">
        <v>126</v>
      </c>
      <c r="N134" s="81" t="s">
        <v>126</v>
      </c>
      <c r="O134" s="81" t="s">
        <v>25</v>
      </c>
      <c r="P134" s="92" t="s">
        <v>777</v>
      </c>
      <c r="Q134" s="81" t="s">
        <v>45</v>
      </c>
      <c r="R134" s="81" t="s">
        <v>372</v>
      </c>
      <c r="S134" s="81" t="s">
        <v>255</v>
      </c>
      <c r="T134" s="81" t="s">
        <v>584</v>
      </c>
      <c r="U134" s="81" t="s">
        <v>69</v>
      </c>
      <c r="V134" s="94"/>
      <c r="W134" s="94"/>
    </row>
    <row r="135" spans="1:23" ht="21" customHeight="1">
      <c r="A135">
        <f>Table4[[#This Row],[Column1]]</f>
        <v>0</v>
      </c>
      <c r="B135">
        <f>Table4[[#This Row],[Column2]]</f>
        <v>0</v>
      </c>
      <c r="C135" s="81" t="s">
        <v>210</v>
      </c>
      <c r="D135" s="82">
        <v>12.2</v>
      </c>
      <c r="E135" s="82">
        <v>77</v>
      </c>
      <c r="F135" s="81">
        <v>42</v>
      </c>
      <c r="G135" s="81" t="s">
        <v>16</v>
      </c>
      <c r="H135" s="81" t="s">
        <v>113</v>
      </c>
      <c r="I135" s="83">
        <v>43370</v>
      </c>
      <c r="J135" s="81">
        <v>10</v>
      </c>
      <c r="K135" s="81" t="s">
        <v>121</v>
      </c>
      <c r="L135" s="81" t="s">
        <v>4</v>
      </c>
      <c r="M135" s="81" t="s">
        <v>89</v>
      </c>
      <c r="N135" s="81" t="s">
        <v>89</v>
      </c>
      <c r="O135" s="81" t="s">
        <v>26</v>
      </c>
      <c r="P135" s="81" t="s">
        <v>39</v>
      </c>
      <c r="Q135" s="81" t="s">
        <v>45</v>
      </c>
      <c r="R135" s="81" t="s">
        <v>281</v>
      </c>
      <c r="S135" s="81" t="s">
        <v>536</v>
      </c>
      <c r="T135" s="81" t="s">
        <v>587</v>
      </c>
      <c r="U135" s="81" t="s">
        <v>69</v>
      </c>
      <c r="V135" s="94"/>
      <c r="W135" s="94"/>
    </row>
    <row r="136" spans="1:23" ht="21" customHeight="1">
      <c r="A136">
        <f>Table4[[#This Row],[Column1]]</f>
        <v>0</v>
      </c>
      <c r="B136">
        <f>Table4[[#This Row],[Column2]]</f>
        <v>0</v>
      </c>
      <c r="C136" s="81" t="s">
        <v>210</v>
      </c>
      <c r="D136" s="82">
        <v>12.6</v>
      </c>
      <c r="E136" s="82">
        <v>63</v>
      </c>
      <c r="F136" s="81">
        <v>53</v>
      </c>
      <c r="G136" s="81" t="s">
        <v>12</v>
      </c>
      <c r="H136" s="81" t="s">
        <v>113</v>
      </c>
      <c r="I136" s="83">
        <v>43367</v>
      </c>
      <c r="J136" s="81">
        <v>10</v>
      </c>
      <c r="K136" s="81" t="s">
        <v>121</v>
      </c>
      <c r="L136" s="81" t="s">
        <v>4</v>
      </c>
      <c r="M136" s="81" t="s">
        <v>126</v>
      </c>
      <c r="N136" s="81" t="s">
        <v>126</v>
      </c>
      <c r="O136" s="81" t="s">
        <v>25</v>
      </c>
      <c r="P136" s="92" t="s">
        <v>777</v>
      </c>
      <c r="Q136" s="81" t="s">
        <v>44</v>
      </c>
      <c r="R136" s="81" t="s">
        <v>254</v>
      </c>
      <c r="S136" s="81" t="s">
        <v>246</v>
      </c>
      <c r="T136" s="81" t="s">
        <v>588</v>
      </c>
      <c r="U136" s="81" t="s">
        <v>69</v>
      </c>
      <c r="V136" s="94"/>
      <c r="W136" s="94"/>
    </row>
    <row r="137" spans="1:23" ht="21" customHeight="1">
      <c r="A137">
        <f>Table4[[#This Row],[Column1]]</f>
        <v>0</v>
      </c>
      <c r="B137">
        <f>Table4[[#This Row],[Column2]]</f>
        <v>0</v>
      </c>
      <c r="C137" s="81" t="s">
        <v>210</v>
      </c>
      <c r="D137" s="82">
        <v>11.7</v>
      </c>
      <c r="E137" s="82">
        <v>118</v>
      </c>
      <c r="F137" s="81" t="s">
        <v>210</v>
      </c>
      <c r="G137" s="81" t="s">
        <v>12</v>
      </c>
      <c r="H137" s="81" t="s">
        <v>113</v>
      </c>
      <c r="I137" s="83">
        <v>43355</v>
      </c>
      <c r="J137" s="81">
        <v>10</v>
      </c>
      <c r="K137" s="81" t="s">
        <v>121</v>
      </c>
      <c r="L137" s="81" t="s">
        <v>4</v>
      </c>
      <c r="M137" s="81" t="s">
        <v>87</v>
      </c>
      <c r="N137" s="81" t="s">
        <v>87</v>
      </c>
      <c r="O137" s="81" t="s">
        <v>29</v>
      </c>
      <c r="P137" s="92" t="s">
        <v>777</v>
      </c>
      <c r="Q137" s="81" t="s">
        <v>45</v>
      </c>
      <c r="R137" s="85" t="s">
        <v>372</v>
      </c>
      <c r="S137" s="81" t="s">
        <v>449</v>
      </c>
      <c r="T137" s="81" t="s">
        <v>589</v>
      </c>
      <c r="U137" s="81" t="s">
        <v>69</v>
      </c>
      <c r="V137" s="94"/>
      <c r="W137" s="94"/>
    </row>
    <row r="138" spans="1:23" ht="21" customHeight="1">
      <c r="A138">
        <f>Table4[[#This Row],[Column1]]</f>
        <v>0</v>
      </c>
      <c r="B138">
        <f>Table4[[#This Row],[Column2]]</f>
        <v>0</v>
      </c>
      <c r="C138" s="81" t="s">
        <v>210</v>
      </c>
      <c r="D138" s="82">
        <v>10.7</v>
      </c>
      <c r="E138" s="82">
        <v>36</v>
      </c>
      <c r="F138" s="81">
        <v>41</v>
      </c>
      <c r="G138" s="81" t="s">
        <v>12</v>
      </c>
      <c r="H138" s="81" t="s">
        <v>113</v>
      </c>
      <c r="I138" s="83">
        <v>43356</v>
      </c>
      <c r="J138" s="81">
        <v>10</v>
      </c>
      <c r="K138" s="81" t="s">
        <v>121</v>
      </c>
      <c r="L138" s="81" t="s">
        <v>4</v>
      </c>
      <c r="M138" s="81" t="s">
        <v>126</v>
      </c>
      <c r="N138" s="81" t="s">
        <v>126</v>
      </c>
      <c r="O138" s="81" t="s">
        <v>25</v>
      </c>
      <c r="P138" s="81" t="s">
        <v>38</v>
      </c>
      <c r="Q138" s="81" t="s">
        <v>44</v>
      </c>
      <c r="R138" s="81" t="s">
        <v>447</v>
      </c>
      <c r="S138" s="81" t="s">
        <v>600</v>
      </c>
      <c r="T138" s="81" t="s">
        <v>593</v>
      </c>
      <c r="U138" s="81" t="s">
        <v>69</v>
      </c>
      <c r="V138" s="94"/>
      <c r="W138" s="94"/>
    </row>
    <row r="139" spans="1:23" ht="21" customHeight="1">
      <c r="A139">
        <f>Table4[[#This Row],[Column1]]</f>
        <v>0</v>
      </c>
      <c r="B139">
        <f>Table4[[#This Row],[Column2]]</f>
        <v>0</v>
      </c>
      <c r="C139" s="81" t="s">
        <v>210</v>
      </c>
      <c r="D139" s="82">
        <v>12.9</v>
      </c>
      <c r="E139" s="82">
        <v>57</v>
      </c>
      <c r="F139" s="81">
        <v>41</v>
      </c>
      <c r="G139" s="81" t="s">
        <v>12</v>
      </c>
      <c r="H139" s="81" t="s">
        <v>113</v>
      </c>
      <c r="I139" s="83">
        <v>43326</v>
      </c>
      <c r="J139" s="81">
        <v>10</v>
      </c>
      <c r="K139" s="81" t="s">
        <v>121</v>
      </c>
      <c r="L139" s="81" t="s">
        <v>4</v>
      </c>
      <c r="M139" s="81" t="s">
        <v>89</v>
      </c>
      <c r="N139" s="81" t="s">
        <v>90</v>
      </c>
      <c r="O139" s="81" t="s">
        <v>26</v>
      </c>
      <c r="P139" s="92" t="s">
        <v>777</v>
      </c>
      <c r="Q139" s="81" t="s">
        <v>45</v>
      </c>
      <c r="R139" s="81" t="s">
        <v>370</v>
      </c>
      <c r="S139" s="81" t="s">
        <v>298</v>
      </c>
      <c r="T139" s="81" t="s">
        <v>594</v>
      </c>
      <c r="U139" s="81" t="s">
        <v>69</v>
      </c>
      <c r="V139" s="94"/>
      <c r="W139" s="94"/>
    </row>
    <row r="140" spans="1:23" ht="21" customHeight="1">
      <c r="A140">
        <f>Table4[[#This Row],[Column1]]</f>
        <v>0</v>
      </c>
      <c r="B140">
        <f>Table4[[#This Row],[Column2]]</f>
        <v>0</v>
      </c>
      <c r="C140" s="81" t="s">
        <v>210</v>
      </c>
      <c r="D140" s="82">
        <v>11.9</v>
      </c>
      <c r="E140" s="82">
        <v>83</v>
      </c>
      <c r="F140" s="81">
        <v>43</v>
      </c>
      <c r="G140" s="81" t="s">
        <v>12</v>
      </c>
      <c r="H140" s="81" t="s">
        <v>113</v>
      </c>
      <c r="I140" s="83">
        <v>43355</v>
      </c>
      <c r="J140" s="81">
        <v>10</v>
      </c>
      <c r="K140" s="81" t="s">
        <v>121</v>
      </c>
      <c r="L140" s="81" t="s">
        <v>4</v>
      </c>
      <c r="M140" s="81" t="s">
        <v>126</v>
      </c>
      <c r="N140" s="81" t="s">
        <v>126</v>
      </c>
      <c r="O140" s="81" t="s">
        <v>25</v>
      </c>
      <c r="P140" s="92" t="s">
        <v>777</v>
      </c>
      <c r="Q140" s="81" t="s">
        <v>778</v>
      </c>
      <c r="R140" s="81" t="s">
        <v>254</v>
      </c>
      <c r="S140" s="81" t="s">
        <v>255</v>
      </c>
      <c r="T140" s="81" t="s">
        <v>595</v>
      </c>
      <c r="U140" s="81" t="s">
        <v>69</v>
      </c>
      <c r="V140" s="94"/>
      <c r="W140" s="94"/>
    </row>
    <row r="141" spans="1:23" ht="21" customHeight="1">
      <c r="A141">
        <f>Table4[[#This Row],[Column1]]</f>
        <v>0</v>
      </c>
      <c r="B141">
        <f>Table4[[#This Row],[Column2]]</f>
        <v>0</v>
      </c>
      <c r="C141" s="81" t="s">
        <v>210</v>
      </c>
      <c r="D141" s="82">
        <v>10.3</v>
      </c>
      <c r="E141" s="82">
        <v>107</v>
      </c>
      <c r="F141" s="81">
        <v>39</v>
      </c>
      <c r="G141" s="81" t="s">
        <v>12</v>
      </c>
      <c r="H141" s="81" t="s">
        <v>113</v>
      </c>
      <c r="I141" s="83">
        <v>43375</v>
      </c>
      <c r="J141" s="81">
        <v>10</v>
      </c>
      <c r="K141" s="81" t="s">
        <v>121</v>
      </c>
      <c r="L141" s="81" t="s">
        <v>4</v>
      </c>
      <c r="M141" s="81" t="s">
        <v>126</v>
      </c>
      <c r="N141" s="81" t="s">
        <v>126</v>
      </c>
      <c r="O141" s="81" t="s">
        <v>25</v>
      </c>
      <c r="P141" s="81" t="s">
        <v>25</v>
      </c>
      <c r="Q141" s="81" t="s">
        <v>45</v>
      </c>
      <c r="R141" s="85" t="s">
        <v>372</v>
      </c>
      <c r="S141" s="81" t="s">
        <v>358</v>
      </c>
      <c r="T141" s="81" t="s">
        <v>596</v>
      </c>
      <c r="U141" s="81" t="s">
        <v>69</v>
      </c>
      <c r="V141" s="94"/>
      <c r="W141" s="94"/>
    </row>
    <row r="142" spans="1:23" ht="21" customHeight="1">
      <c r="A142">
        <f>Table4[[#This Row],[Column1]]</f>
        <v>0</v>
      </c>
      <c r="B142">
        <f>Table4[[#This Row],[Column2]]</f>
        <v>0</v>
      </c>
      <c r="C142" s="81" t="s">
        <v>210</v>
      </c>
      <c r="D142" s="82">
        <v>13.8</v>
      </c>
      <c r="E142" s="82">
        <v>84</v>
      </c>
      <c r="F142" s="81">
        <v>46</v>
      </c>
      <c r="G142" s="81" t="s">
        <v>4</v>
      </c>
      <c r="H142" s="81" t="s">
        <v>116</v>
      </c>
      <c r="I142" s="81"/>
      <c r="J142" s="81"/>
      <c r="K142" s="81" t="s">
        <v>121</v>
      </c>
      <c r="L142" s="81" t="s">
        <v>4</v>
      </c>
      <c r="M142" s="81" t="s">
        <v>89</v>
      </c>
      <c r="N142" s="81" t="s">
        <v>89</v>
      </c>
      <c r="O142" s="81" t="s">
        <v>26</v>
      </c>
      <c r="P142" s="92" t="s">
        <v>777</v>
      </c>
      <c r="Q142" s="81" t="s">
        <v>44</v>
      </c>
      <c r="R142" s="81" t="s">
        <v>289</v>
      </c>
      <c r="S142" s="81" t="s">
        <v>605</v>
      </c>
      <c r="T142" s="81" t="s">
        <v>604</v>
      </c>
      <c r="U142" s="81" t="s">
        <v>69</v>
      </c>
      <c r="V142" s="94"/>
      <c r="W142" s="94"/>
    </row>
    <row r="143" spans="1:23" ht="21" customHeight="1">
      <c r="A143">
        <f>Table4[[#This Row],[Column1]]</f>
        <v>0</v>
      </c>
      <c r="B143">
        <f>Table4[[#This Row],[Column2]]</f>
        <v>0</v>
      </c>
      <c r="C143" s="81" t="s">
        <v>210</v>
      </c>
      <c r="D143" s="82">
        <v>15.6</v>
      </c>
      <c r="E143" s="82">
        <v>70</v>
      </c>
      <c r="F143" s="81">
        <v>47</v>
      </c>
      <c r="G143" s="81" t="s">
        <v>12</v>
      </c>
      <c r="H143" s="81" t="s">
        <v>113</v>
      </c>
      <c r="I143" s="83">
        <v>43363</v>
      </c>
      <c r="J143" s="81">
        <v>10</v>
      </c>
      <c r="K143" s="81" t="s">
        <v>122</v>
      </c>
      <c r="L143" s="81" t="s">
        <v>4</v>
      </c>
      <c r="M143" s="81" t="s">
        <v>126</v>
      </c>
      <c r="N143" s="81" t="s">
        <v>126</v>
      </c>
      <c r="O143" s="81" t="s">
        <v>25</v>
      </c>
      <c r="P143" s="92" t="s">
        <v>777</v>
      </c>
      <c r="Q143" s="81" t="s">
        <v>45</v>
      </c>
      <c r="R143" s="81" t="s">
        <v>281</v>
      </c>
      <c r="S143" s="81" t="s">
        <v>623</v>
      </c>
      <c r="T143" s="81" t="s">
        <v>606</v>
      </c>
      <c r="U143" s="81" t="s">
        <v>69</v>
      </c>
      <c r="V143" s="94"/>
      <c r="W143" s="94"/>
    </row>
    <row r="144" spans="1:23" ht="21" customHeight="1">
      <c r="A144">
        <f>Table4[[#This Row],[Column1]]</f>
        <v>0</v>
      </c>
      <c r="B144">
        <f>Table4[[#This Row],[Column2]]</f>
        <v>0</v>
      </c>
      <c r="C144" s="81" t="s">
        <v>210</v>
      </c>
      <c r="D144" s="82">
        <v>12.9</v>
      </c>
      <c r="E144" s="82">
        <v>75</v>
      </c>
      <c r="F144" s="81">
        <v>48</v>
      </c>
      <c r="G144" s="81" t="s">
        <v>12</v>
      </c>
      <c r="H144" s="81" t="s">
        <v>113</v>
      </c>
      <c r="I144" s="83">
        <v>43378</v>
      </c>
      <c r="J144" s="81">
        <v>10</v>
      </c>
      <c r="K144" s="81" t="s">
        <v>121</v>
      </c>
      <c r="L144" s="81" t="s">
        <v>4</v>
      </c>
      <c r="M144" s="81" t="s">
        <v>89</v>
      </c>
      <c r="N144" s="81" t="s">
        <v>89</v>
      </c>
      <c r="O144" s="81" t="s">
        <v>26</v>
      </c>
      <c r="P144" s="92" t="s">
        <v>777</v>
      </c>
      <c r="Q144" s="81" t="s">
        <v>45</v>
      </c>
      <c r="R144" s="81" t="s">
        <v>607</v>
      </c>
      <c r="S144" s="81" t="s">
        <v>526</v>
      </c>
      <c r="T144" s="81" t="s">
        <v>608</v>
      </c>
      <c r="U144" s="81" t="s">
        <v>69</v>
      </c>
      <c r="V144" s="94"/>
      <c r="W144" s="94"/>
    </row>
    <row r="145" spans="1:23" ht="21" customHeight="1">
      <c r="A145">
        <f>Table4[[#This Row],[Column1]]</f>
        <v>0</v>
      </c>
      <c r="B145">
        <f>Table4[[#This Row],[Column2]]</f>
        <v>0</v>
      </c>
      <c r="C145" s="81" t="s">
        <v>210</v>
      </c>
      <c r="D145" s="82">
        <v>11.8</v>
      </c>
      <c r="E145" s="82">
        <v>87</v>
      </c>
      <c r="F145" s="81">
        <v>45</v>
      </c>
      <c r="G145" s="81" t="s">
        <v>12</v>
      </c>
      <c r="H145" s="81" t="s">
        <v>113</v>
      </c>
      <c r="I145" s="83">
        <v>43363</v>
      </c>
      <c r="J145" s="81">
        <v>10</v>
      </c>
      <c r="K145" s="81" t="s">
        <v>121</v>
      </c>
      <c r="L145" s="81" t="s">
        <v>4</v>
      </c>
      <c r="M145" s="81" t="s">
        <v>88</v>
      </c>
      <c r="N145" s="81" t="s">
        <v>126</v>
      </c>
      <c r="O145" s="81" t="s">
        <v>25</v>
      </c>
      <c r="P145" s="92" t="s">
        <v>777</v>
      </c>
      <c r="Q145" s="81" t="s">
        <v>45</v>
      </c>
      <c r="R145" s="81" t="s">
        <v>610</v>
      </c>
      <c r="S145" s="81" t="s">
        <v>234</v>
      </c>
      <c r="T145" s="81" t="s">
        <v>611</v>
      </c>
      <c r="U145" s="81" t="s">
        <v>69</v>
      </c>
      <c r="V145" s="94"/>
      <c r="W145" s="94"/>
    </row>
    <row r="146" spans="1:23" ht="21" customHeight="1">
      <c r="A146">
        <f>Table4[[#This Row],[Column1]]</f>
        <v>0</v>
      </c>
      <c r="B146">
        <f>Table4[[#This Row],[Column2]]</f>
        <v>0</v>
      </c>
      <c r="C146" s="81" t="s">
        <v>210</v>
      </c>
      <c r="D146" s="82">
        <v>12.4</v>
      </c>
      <c r="E146" s="82">
        <v>63</v>
      </c>
      <c r="F146" s="81">
        <v>48</v>
      </c>
      <c r="G146" s="81" t="s">
        <v>4</v>
      </c>
      <c r="H146" s="81" t="s">
        <v>116</v>
      </c>
      <c r="I146" s="81"/>
      <c r="J146" s="81"/>
      <c r="K146" s="81" t="s">
        <v>122</v>
      </c>
      <c r="L146" s="81" t="s">
        <v>4</v>
      </c>
      <c r="M146" s="81" t="s">
        <v>89</v>
      </c>
      <c r="N146" s="81" t="s">
        <v>89</v>
      </c>
      <c r="O146" s="81" t="s">
        <v>31</v>
      </c>
      <c r="P146" s="92" t="s">
        <v>777</v>
      </c>
      <c r="Q146" s="81" t="s">
        <v>45</v>
      </c>
      <c r="R146" s="81" t="s">
        <v>341</v>
      </c>
      <c r="S146" s="81" t="s">
        <v>243</v>
      </c>
      <c r="T146" s="81" t="s">
        <v>612</v>
      </c>
      <c r="U146" s="81" t="s">
        <v>69</v>
      </c>
      <c r="V146" s="94"/>
      <c r="W146" s="94"/>
    </row>
    <row r="147" spans="1:23" ht="21" customHeight="1">
      <c r="A147">
        <f>Table4[[#This Row],[Column1]]</f>
        <v>0</v>
      </c>
      <c r="B147">
        <f>Table4[[#This Row],[Column2]]</f>
        <v>0</v>
      </c>
      <c r="C147" s="81" t="s">
        <v>210</v>
      </c>
      <c r="D147" s="82">
        <v>15</v>
      </c>
      <c r="E147" s="82">
        <v>62</v>
      </c>
      <c r="F147" s="81">
        <v>43</v>
      </c>
      <c r="G147" s="81" t="s">
        <v>12</v>
      </c>
      <c r="H147" s="81" t="s">
        <v>113</v>
      </c>
      <c r="I147" s="83">
        <v>43347</v>
      </c>
      <c r="J147" s="81"/>
      <c r="K147" s="81"/>
      <c r="L147" s="81"/>
      <c r="M147" s="81"/>
      <c r="N147" s="81"/>
      <c r="O147" s="81"/>
      <c r="P147" s="92" t="s">
        <v>777</v>
      </c>
      <c r="Q147" s="81" t="s">
        <v>778</v>
      </c>
      <c r="R147" t="s">
        <v>613</v>
      </c>
      <c r="S147" s="81" t="s">
        <v>233</v>
      </c>
      <c r="T147" s="81" t="s">
        <v>614</v>
      </c>
      <c r="U147" s="81" t="s">
        <v>69</v>
      </c>
      <c r="V147" s="94"/>
      <c r="W147" s="94"/>
    </row>
    <row r="148" spans="1:23" ht="21" customHeight="1">
      <c r="A148">
        <f>Table4[[#This Row],[Column1]]</f>
        <v>0</v>
      </c>
      <c r="B148">
        <f>Table4[[#This Row],[Column2]]</f>
        <v>0</v>
      </c>
      <c r="C148" s="81" t="s">
        <v>210</v>
      </c>
      <c r="D148" s="82">
        <v>14.8</v>
      </c>
      <c r="E148" s="82">
        <v>86</v>
      </c>
      <c r="F148" s="81" t="s">
        <v>210</v>
      </c>
      <c r="G148" s="81" t="s">
        <v>12</v>
      </c>
      <c r="H148" s="81" t="s">
        <v>113</v>
      </c>
      <c r="I148" s="83">
        <v>43370</v>
      </c>
      <c r="J148" s="81">
        <v>10</v>
      </c>
      <c r="K148" s="81" t="s">
        <v>121</v>
      </c>
      <c r="L148" s="81" t="s">
        <v>4</v>
      </c>
      <c r="M148" s="81" t="s">
        <v>90</v>
      </c>
      <c r="N148" s="81" t="s">
        <v>90</v>
      </c>
      <c r="O148" s="81" t="s">
        <v>26</v>
      </c>
      <c r="P148" s="92" t="s">
        <v>777</v>
      </c>
      <c r="Q148" s="81" t="s">
        <v>45</v>
      </c>
      <c r="R148" s="81" t="s">
        <v>281</v>
      </c>
      <c r="S148" s="81" t="s">
        <v>507</v>
      </c>
      <c r="T148" s="81" t="s">
        <v>619</v>
      </c>
      <c r="U148" s="81" t="s">
        <v>69</v>
      </c>
      <c r="V148" s="94"/>
      <c r="W148" s="94"/>
    </row>
    <row r="149" spans="1:23" ht="21" customHeight="1">
      <c r="A149">
        <f>Table4[[#This Row],[Column1]]</f>
        <v>0</v>
      </c>
      <c r="B149">
        <f>Table4[[#This Row],[Column2]]</f>
        <v>0</v>
      </c>
      <c r="C149" s="81" t="s">
        <v>210</v>
      </c>
      <c r="D149" s="82">
        <v>14.2</v>
      </c>
      <c r="E149" s="82">
        <v>59</v>
      </c>
      <c r="F149" s="81" t="s">
        <v>210</v>
      </c>
      <c r="G149" s="81" t="s">
        <v>4</v>
      </c>
      <c r="H149" s="81" t="s">
        <v>116</v>
      </c>
      <c r="I149" s="81"/>
      <c r="J149" s="81"/>
      <c r="K149" s="81" t="s">
        <v>121</v>
      </c>
      <c r="L149" s="81" t="s">
        <v>4</v>
      </c>
      <c r="M149" s="81" t="s">
        <v>89</v>
      </c>
      <c r="N149" s="81" t="s">
        <v>89</v>
      </c>
      <c r="O149" s="81" t="s">
        <v>34</v>
      </c>
      <c r="P149" s="92" t="s">
        <v>777</v>
      </c>
      <c r="Q149" s="81" t="s">
        <v>45</v>
      </c>
      <c r="R149" t="s">
        <v>620</v>
      </c>
      <c r="S149" s="81" t="s">
        <v>304</v>
      </c>
      <c r="T149" s="81" t="s">
        <v>621</v>
      </c>
      <c r="U149" s="81" t="s">
        <v>69</v>
      </c>
      <c r="V149" s="94"/>
      <c r="W149" s="94"/>
    </row>
    <row r="150" spans="1:23" ht="21" customHeight="1">
      <c r="A150">
        <f>Table4[[#This Row],[Column1]]</f>
        <v>0</v>
      </c>
      <c r="B150">
        <f>Table4[[#This Row],[Column2]]</f>
        <v>0</v>
      </c>
      <c r="C150" s="81" t="s">
        <v>210</v>
      </c>
      <c r="D150" s="82">
        <v>13.5</v>
      </c>
      <c r="E150" s="82">
        <v>51</v>
      </c>
      <c r="F150" s="81">
        <v>44</v>
      </c>
      <c r="G150" s="81" t="s">
        <v>12</v>
      </c>
      <c r="H150" s="81" t="s">
        <v>113</v>
      </c>
      <c r="I150" s="83">
        <v>43371</v>
      </c>
      <c r="J150" s="81">
        <v>8</v>
      </c>
      <c r="K150" s="81" t="s">
        <v>122</v>
      </c>
      <c r="L150" s="81" t="s">
        <v>4</v>
      </c>
      <c r="M150" s="81" t="s">
        <v>88</v>
      </c>
      <c r="N150" s="81" t="s">
        <v>90</v>
      </c>
      <c r="O150" s="81" t="s">
        <v>26</v>
      </c>
      <c r="P150" s="92" t="s">
        <v>777</v>
      </c>
      <c r="Q150" s="81" t="s">
        <v>778</v>
      </c>
      <c r="R150" s="81" t="s">
        <v>281</v>
      </c>
      <c r="S150" s="81" t="s">
        <v>309</v>
      </c>
      <c r="T150" s="81" t="s">
        <v>627</v>
      </c>
      <c r="U150" s="81" t="s">
        <v>69</v>
      </c>
      <c r="V150" s="94"/>
      <c r="W150" s="94"/>
    </row>
    <row r="151" spans="1:23" ht="21" customHeight="1">
      <c r="A151">
        <f>Table4[[#This Row],[Column1]]</f>
        <v>0</v>
      </c>
      <c r="B151">
        <f>Table4[[#This Row],[Column2]]</f>
        <v>0</v>
      </c>
      <c r="C151" s="81" t="s">
        <v>210</v>
      </c>
      <c r="D151" s="82">
        <v>14</v>
      </c>
      <c r="E151" s="82">
        <v>79</v>
      </c>
      <c r="F151" s="81">
        <v>43</v>
      </c>
      <c r="G151" s="81" t="s">
        <v>12</v>
      </c>
      <c r="H151" s="81" t="s">
        <v>113</v>
      </c>
      <c r="I151" s="83">
        <v>43355</v>
      </c>
      <c r="J151" s="81"/>
      <c r="K151" s="81"/>
      <c r="L151" s="81"/>
      <c r="M151" s="81"/>
      <c r="N151" s="81"/>
      <c r="O151" s="81"/>
      <c r="P151" s="92" t="s">
        <v>777</v>
      </c>
      <c r="Q151" s="81"/>
      <c r="R151" t="s">
        <v>628</v>
      </c>
      <c r="S151" s="81" t="s">
        <v>255</v>
      </c>
      <c r="T151" s="81" t="s">
        <v>629</v>
      </c>
      <c r="U151" s="81" t="s">
        <v>69</v>
      </c>
      <c r="V151" s="94"/>
      <c r="W151" s="94"/>
    </row>
    <row r="152" spans="1:23" ht="21" customHeight="1">
      <c r="A152">
        <f>Table4[[#This Row],[Column1]]</f>
        <v>0</v>
      </c>
      <c r="B152">
        <f>Table4[[#This Row],[Column2]]</f>
        <v>0</v>
      </c>
      <c r="C152" s="81" t="s">
        <v>210</v>
      </c>
      <c r="D152" s="82">
        <v>12.5</v>
      </c>
      <c r="E152" s="82">
        <v>76</v>
      </c>
      <c r="F152" s="81">
        <v>47</v>
      </c>
      <c r="G152" s="81" t="s">
        <v>12</v>
      </c>
      <c r="H152" s="81" t="s">
        <v>113</v>
      </c>
      <c r="I152" s="83">
        <v>43377</v>
      </c>
      <c r="J152" s="81">
        <v>10</v>
      </c>
      <c r="K152" s="81" t="s">
        <v>121</v>
      </c>
      <c r="L152" s="81" t="s">
        <v>4</v>
      </c>
      <c r="M152" s="81" t="s">
        <v>126</v>
      </c>
      <c r="N152" s="81" t="s">
        <v>126</v>
      </c>
      <c r="O152" s="81" t="s">
        <v>25</v>
      </c>
      <c r="P152" s="81" t="s">
        <v>25</v>
      </c>
      <c r="Q152" s="81" t="s">
        <v>45</v>
      </c>
      <c r="R152" t="s">
        <v>370</v>
      </c>
      <c r="S152" s="81" t="s">
        <v>365</v>
      </c>
      <c r="T152" s="81" t="s">
        <v>633</v>
      </c>
      <c r="U152" s="81" t="s">
        <v>69</v>
      </c>
      <c r="V152" s="94"/>
      <c r="W152" s="94"/>
    </row>
    <row r="153" spans="1:23" ht="21" customHeight="1">
      <c r="A153">
        <f>Table4[[#This Row],[Column1]]</f>
        <v>0</v>
      </c>
      <c r="B153">
        <f>Table4[[#This Row],[Column2]]</f>
        <v>0</v>
      </c>
      <c r="C153" s="81" t="s">
        <v>210</v>
      </c>
      <c r="D153" s="82">
        <v>14.5</v>
      </c>
      <c r="E153" s="82">
        <v>71</v>
      </c>
      <c r="F153" s="81">
        <v>48</v>
      </c>
      <c r="G153" s="81" t="s">
        <v>12</v>
      </c>
      <c r="H153" s="81" t="s">
        <v>113</v>
      </c>
      <c r="I153" s="83">
        <v>43377</v>
      </c>
      <c r="J153" s="81">
        <v>10</v>
      </c>
      <c r="K153" s="81" t="s">
        <v>121</v>
      </c>
      <c r="L153" s="81" t="s">
        <v>4</v>
      </c>
      <c r="M153" s="81" t="s">
        <v>126</v>
      </c>
      <c r="N153" s="81" t="s">
        <v>126</v>
      </c>
      <c r="O153" s="81" t="s">
        <v>25</v>
      </c>
      <c r="P153" s="92" t="s">
        <v>777</v>
      </c>
      <c r="Q153" s="81" t="s">
        <v>44</v>
      </c>
      <c r="R153" s="81" t="s">
        <v>281</v>
      </c>
      <c r="S153" s="81" t="s">
        <v>507</v>
      </c>
      <c r="T153" s="81" t="s">
        <v>635</v>
      </c>
      <c r="U153" s="81" t="s">
        <v>69</v>
      </c>
      <c r="V153" s="94"/>
      <c r="W153" s="94"/>
    </row>
    <row r="154" spans="1:23" ht="21" customHeight="1">
      <c r="A154">
        <f>Table4[[#This Row],[Column1]]</f>
        <v>0</v>
      </c>
      <c r="B154">
        <f>Table4[[#This Row],[Column2]]</f>
        <v>0</v>
      </c>
      <c r="C154" s="81" t="s">
        <v>210</v>
      </c>
      <c r="D154" s="82">
        <v>12.8</v>
      </c>
      <c r="E154" s="82">
        <v>90</v>
      </c>
      <c r="F154" s="81">
        <v>43</v>
      </c>
      <c r="G154" s="81" t="s">
        <v>12</v>
      </c>
      <c r="H154" s="81" t="s">
        <v>113</v>
      </c>
      <c r="I154" s="83">
        <v>43370</v>
      </c>
      <c r="J154" s="81">
        <v>10</v>
      </c>
      <c r="K154" s="81" t="s">
        <v>121</v>
      </c>
      <c r="L154" s="81" t="s">
        <v>4</v>
      </c>
      <c r="M154" s="81" t="s">
        <v>21</v>
      </c>
      <c r="N154" s="81" t="s">
        <v>21</v>
      </c>
      <c r="O154" s="81" t="s">
        <v>25</v>
      </c>
      <c r="P154" s="81" t="s">
        <v>39</v>
      </c>
      <c r="Q154" s="81" t="s">
        <v>45</v>
      </c>
      <c r="R154" t="s">
        <v>644</v>
      </c>
      <c r="S154" s="81" t="s">
        <v>243</v>
      </c>
      <c r="T154" s="81" t="s">
        <v>645</v>
      </c>
      <c r="U154" s="81" t="s">
        <v>69</v>
      </c>
      <c r="V154" s="94"/>
      <c r="W154" s="94"/>
    </row>
    <row r="155" spans="1:23" ht="21" customHeight="1">
      <c r="A155">
        <f>Table4[[#This Row],[Column1]]</f>
        <v>0</v>
      </c>
      <c r="B155">
        <f>Table4[[#This Row],[Column2]]</f>
        <v>0</v>
      </c>
      <c r="C155" s="81" t="s">
        <v>210</v>
      </c>
      <c r="D155" s="82">
        <v>9</v>
      </c>
      <c r="E155" s="82">
        <v>112</v>
      </c>
      <c r="F155" s="81">
        <v>42</v>
      </c>
      <c r="G155" s="81" t="s">
        <v>4</v>
      </c>
      <c r="H155" s="81" t="s">
        <v>116</v>
      </c>
      <c r="I155" s="81"/>
      <c r="J155" s="81"/>
      <c r="K155" s="81"/>
      <c r="L155" s="81"/>
      <c r="M155" s="81" t="s">
        <v>126</v>
      </c>
      <c r="N155" s="81" t="s">
        <v>126</v>
      </c>
      <c r="O155" s="81" t="s">
        <v>25</v>
      </c>
      <c r="P155" s="81" t="s">
        <v>39</v>
      </c>
      <c r="Q155" s="81" t="s">
        <v>45</v>
      </c>
      <c r="R155" t="s">
        <v>628</v>
      </c>
      <c r="S155" s="81" t="s">
        <v>246</v>
      </c>
      <c r="T155" s="81" t="s">
        <v>646</v>
      </c>
      <c r="U155" s="81" t="s">
        <v>69</v>
      </c>
      <c r="V155" s="94"/>
      <c r="W155" s="94"/>
    </row>
    <row r="156" spans="1:23" ht="21" customHeight="1">
      <c r="A156">
        <f>Table4[[#This Row],[Column1]]</f>
        <v>0</v>
      </c>
      <c r="B156">
        <f>Table4[[#This Row],[Column2]]</f>
        <v>0</v>
      </c>
      <c r="C156" s="81" t="s">
        <v>210</v>
      </c>
      <c r="D156" s="82">
        <v>13.4</v>
      </c>
      <c r="E156" s="82">
        <v>121</v>
      </c>
      <c r="F156" s="81">
        <v>47</v>
      </c>
      <c r="G156" s="81" t="s">
        <v>12</v>
      </c>
      <c r="H156" s="81" t="s">
        <v>113</v>
      </c>
      <c r="I156" s="83">
        <v>43377</v>
      </c>
      <c r="J156" s="81">
        <v>10</v>
      </c>
      <c r="K156" s="81" t="s">
        <v>121</v>
      </c>
      <c r="L156" s="81" t="s">
        <v>4</v>
      </c>
      <c r="M156" s="81" t="s">
        <v>88</v>
      </c>
      <c r="N156" s="81" t="s">
        <v>88</v>
      </c>
      <c r="O156" s="81" t="s">
        <v>26</v>
      </c>
      <c r="P156" s="92" t="s">
        <v>777</v>
      </c>
      <c r="Q156" s="81" t="s">
        <v>45</v>
      </c>
      <c r="R156" t="s">
        <v>628</v>
      </c>
      <c r="S156" s="81" t="s">
        <v>255</v>
      </c>
      <c r="T156" s="81" t="s">
        <v>647</v>
      </c>
      <c r="U156" s="81" t="s">
        <v>69</v>
      </c>
      <c r="V156" s="94"/>
      <c r="W156" s="94"/>
    </row>
    <row r="157" spans="1:23" ht="20.25" customHeight="1">
      <c r="A157">
        <f>Table4[[#This Row],[Column1]]</f>
        <v>0</v>
      </c>
      <c r="B157">
        <f>Table4[[#This Row],[Column2]]</f>
        <v>0</v>
      </c>
      <c r="C157" s="81" t="s">
        <v>210</v>
      </c>
      <c r="D157" s="82">
        <v>9.9</v>
      </c>
      <c r="E157" s="82">
        <v>43</v>
      </c>
      <c r="F157" s="81">
        <v>42</v>
      </c>
      <c r="G157" s="81" t="s">
        <v>4</v>
      </c>
      <c r="H157" s="81" t="s">
        <v>116</v>
      </c>
      <c r="I157" s="81"/>
      <c r="J157" s="81"/>
      <c r="K157" s="81"/>
      <c r="L157" s="81"/>
      <c r="M157" s="81"/>
      <c r="N157" s="81"/>
      <c r="O157" s="81"/>
      <c r="P157" s="92" t="s">
        <v>777</v>
      </c>
      <c r="Q157" s="81" t="s">
        <v>44</v>
      </c>
      <c r="R157" t="s">
        <v>648</v>
      </c>
      <c r="S157" s="81" t="s">
        <v>342</v>
      </c>
      <c r="T157" s="81" t="s">
        <v>649</v>
      </c>
      <c r="U157" s="81" t="s">
        <v>69</v>
      </c>
      <c r="V157" s="94"/>
      <c r="W157" s="94"/>
    </row>
    <row r="158" spans="1:23" ht="21" customHeight="1">
      <c r="A158">
        <f>Table4[[#This Row],[Column1]]</f>
        <v>0</v>
      </c>
      <c r="B158">
        <f>Table4[[#This Row],[Column2]]</f>
        <v>0</v>
      </c>
      <c r="C158" s="81" t="s">
        <v>210</v>
      </c>
      <c r="D158" s="82">
        <v>11.9</v>
      </c>
      <c r="E158" s="82">
        <v>79</v>
      </c>
      <c r="F158" s="81">
        <v>38</v>
      </c>
      <c r="G158" s="81" t="s">
        <v>12</v>
      </c>
      <c r="H158" s="81" t="s">
        <v>113</v>
      </c>
      <c r="I158" s="83">
        <v>43376</v>
      </c>
      <c r="J158" s="81">
        <v>10</v>
      </c>
      <c r="K158" s="81" t="s">
        <v>122</v>
      </c>
      <c r="L158" s="81" t="s">
        <v>4</v>
      </c>
      <c r="M158" s="81" t="s">
        <v>126</v>
      </c>
      <c r="N158" s="81" t="s">
        <v>126</v>
      </c>
      <c r="O158" s="81" t="s">
        <v>25</v>
      </c>
      <c r="P158" s="81" t="s">
        <v>38</v>
      </c>
      <c r="Q158" s="81" t="s">
        <v>44</v>
      </c>
      <c r="R158" s="81" t="s">
        <v>370</v>
      </c>
      <c r="S158" s="81" t="s">
        <v>526</v>
      </c>
      <c r="T158" s="81" t="s">
        <v>817</v>
      </c>
      <c r="U158" s="81" t="s">
        <v>69</v>
      </c>
      <c r="V158" s="94"/>
      <c r="W158" s="94"/>
    </row>
    <row r="159" spans="1:23" ht="21" customHeight="1">
      <c r="A159">
        <f>Table4[[#This Row],[Column1]]</f>
        <v>0</v>
      </c>
      <c r="B159">
        <f>Table4[[#This Row],[Column2]]</f>
        <v>0</v>
      </c>
      <c r="C159" s="81" t="s">
        <v>210</v>
      </c>
      <c r="D159" s="82">
        <v>10.4</v>
      </c>
      <c r="E159" s="82">
        <v>75</v>
      </c>
      <c r="F159" s="81">
        <v>43</v>
      </c>
      <c r="G159" s="81" t="s">
        <v>12</v>
      </c>
      <c r="H159" s="81" t="s">
        <v>113</v>
      </c>
      <c r="I159" s="83">
        <v>43392</v>
      </c>
      <c r="J159" s="81">
        <v>10</v>
      </c>
      <c r="K159" s="81" t="s">
        <v>121</v>
      </c>
      <c r="L159" s="81" t="s">
        <v>4</v>
      </c>
      <c r="M159" s="81" t="s">
        <v>126</v>
      </c>
      <c r="N159" s="81" t="s">
        <v>126</v>
      </c>
      <c r="O159" s="81" t="s">
        <v>25</v>
      </c>
      <c r="P159" s="81" t="s">
        <v>25</v>
      </c>
      <c r="Q159" s="81" t="s">
        <v>45</v>
      </c>
      <c r="R159" s="81" t="s">
        <v>560</v>
      </c>
      <c r="S159" s="81" t="s">
        <v>507</v>
      </c>
      <c r="T159" s="81" t="s">
        <v>654</v>
      </c>
      <c r="U159" s="81" t="s">
        <v>69</v>
      </c>
      <c r="V159" s="94"/>
      <c r="W159" s="94"/>
    </row>
    <row r="160" spans="1:23" ht="21" customHeight="1">
      <c r="A160">
        <f>Table4[[#This Row],[Column1]]</f>
        <v>0</v>
      </c>
      <c r="B160">
        <f>Table4[[#This Row],[Column2]]</f>
        <v>0</v>
      </c>
      <c r="C160" s="81" t="s">
        <v>210</v>
      </c>
      <c r="D160" s="82">
        <v>13.5</v>
      </c>
      <c r="E160" s="82">
        <v>73</v>
      </c>
      <c r="F160" s="81" t="s">
        <v>210</v>
      </c>
      <c r="G160" s="81" t="s">
        <v>12</v>
      </c>
      <c r="H160" s="81" t="s">
        <v>113</v>
      </c>
      <c r="I160" s="83">
        <v>43383</v>
      </c>
      <c r="J160" s="81">
        <v>9</v>
      </c>
      <c r="K160" s="81" t="s">
        <v>121</v>
      </c>
      <c r="L160" s="81" t="s">
        <v>3</v>
      </c>
      <c r="M160" s="81"/>
      <c r="N160" s="81"/>
      <c r="O160" s="81"/>
      <c r="P160" s="92" t="s">
        <v>777</v>
      </c>
      <c r="Q160" s="81"/>
      <c r="R160" t="s">
        <v>628</v>
      </c>
      <c r="S160" s="81" t="s">
        <v>255</v>
      </c>
      <c r="T160" s="81" t="s">
        <v>655</v>
      </c>
      <c r="U160" s="81" t="s">
        <v>69</v>
      </c>
      <c r="V160" s="94"/>
      <c r="W160" s="94"/>
    </row>
    <row r="161" spans="1:23" ht="21" customHeight="1">
      <c r="A161">
        <f>Table4[[#This Row],[Column1]]</f>
        <v>0</v>
      </c>
      <c r="B161">
        <f>Table4[[#This Row],[Column2]]</f>
        <v>0</v>
      </c>
      <c r="C161" s="81" t="s">
        <v>210</v>
      </c>
      <c r="D161" s="82">
        <v>13</v>
      </c>
      <c r="E161" s="82">
        <v>65</v>
      </c>
      <c r="F161" s="81">
        <v>47</v>
      </c>
      <c r="G161" s="81" t="s">
        <v>4</v>
      </c>
      <c r="H161" s="81" t="s">
        <v>116</v>
      </c>
      <c r="I161" s="81"/>
      <c r="J161" s="81"/>
      <c r="K161" s="81"/>
      <c r="L161" s="81"/>
      <c r="M161" s="81" t="s">
        <v>126</v>
      </c>
      <c r="N161" s="81" t="s">
        <v>126</v>
      </c>
      <c r="O161" s="81" t="s">
        <v>25</v>
      </c>
      <c r="P161" s="92" t="s">
        <v>777</v>
      </c>
      <c r="Q161" s="81"/>
      <c r="R161" t="s">
        <v>628</v>
      </c>
      <c r="S161" s="81" t="s">
        <v>246</v>
      </c>
      <c r="T161" s="81" t="s">
        <v>656</v>
      </c>
      <c r="U161" s="81" t="s">
        <v>69</v>
      </c>
      <c r="V161" s="94"/>
      <c r="W161" s="94"/>
    </row>
    <row r="162" spans="1:23" ht="21" customHeight="1">
      <c r="A162">
        <f>Table4[[#This Row],[Column1]]</f>
        <v>0</v>
      </c>
      <c r="B162">
        <f>Table4[[#This Row],[Column2]]</f>
        <v>0</v>
      </c>
      <c r="C162" s="81" t="s">
        <v>210</v>
      </c>
      <c r="D162" s="82">
        <v>14.1</v>
      </c>
      <c r="E162" s="82">
        <v>56</v>
      </c>
      <c r="F162" s="81" t="s">
        <v>210</v>
      </c>
      <c r="G162" s="81" t="s">
        <v>12</v>
      </c>
      <c r="H162" s="81" t="s">
        <v>113</v>
      </c>
      <c r="I162" s="83">
        <v>43396</v>
      </c>
      <c r="J162" s="81">
        <v>10</v>
      </c>
      <c r="K162" s="81" t="s">
        <v>121</v>
      </c>
      <c r="L162" s="81" t="s">
        <v>3</v>
      </c>
      <c r="M162" s="81" t="s">
        <v>126</v>
      </c>
      <c r="N162" s="81" t="s">
        <v>90</v>
      </c>
      <c r="O162" s="81" t="s">
        <v>26</v>
      </c>
      <c r="P162" s="92" t="s">
        <v>777</v>
      </c>
      <c r="Q162" s="81"/>
      <c r="R162" s="81" t="s">
        <v>281</v>
      </c>
      <c r="S162" s="81" t="s">
        <v>309</v>
      </c>
      <c r="T162" s="81" t="s">
        <v>658</v>
      </c>
      <c r="U162" s="81" t="s">
        <v>69</v>
      </c>
      <c r="V162" s="94"/>
      <c r="W162" s="94"/>
    </row>
    <row r="163" spans="1:23" ht="21" customHeight="1">
      <c r="A163">
        <f>Table4[[#This Row],[Column1]]</f>
        <v>0</v>
      </c>
      <c r="B163">
        <f>Table4[[#This Row],[Column2]]</f>
        <v>0</v>
      </c>
      <c r="C163" s="81" t="s">
        <v>210</v>
      </c>
      <c r="D163" s="82">
        <v>15.4</v>
      </c>
      <c r="E163" s="82">
        <v>108</v>
      </c>
      <c r="F163" s="81">
        <v>45</v>
      </c>
      <c r="G163" s="81" t="s">
        <v>12</v>
      </c>
      <c r="H163" s="81" t="s">
        <v>113</v>
      </c>
      <c r="I163" s="83">
        <v>43350</v>
      </c>
      <c r="J163" s="81">
        <v>10</v>
      </c>
      <c r="K163" s="81" t="s">
        <v>121</v>
      </c>
      <c r="L163" s="81" t="s">
        <v>4</v>
      </c>
      <c r="M163" s="81" t="s">
        <v>89</v>
      </c>
      <c r="N163" s="81" t="s">
        <v>89</v>
      </c>
      <c r="O163" s="81" t="s">
        <v>26</v>
      </c>
      <c r="P163" s="92" t="s">
        <v>777</v>
      </c>
      <c r="Q163" s="81" t="s">
        <v>45</v>
      </c>
      <c r="R163" t="s">
        <v>628</v>
      </c>
      <c r="S163" s="81" t="s">
        <v>358</v>
      </c>
      <c r="T163" s="81" t="s">
        <v>659</v>
      </c>
      <c r="U163" s="81" t="s">
        <v>69</v>
      </c>
      <c r="V163" s="94"/>
      <c r="W163" s="94"/>
    </row>
    <row r="164" spans="1:23" ht="21" customHeight="1">
      <c r="A164">
        <f>Table4[[#This Row],[Column1]]</f>
        <v>0</v>
      </c>
      <c r="B164">
        <f>Table4[[#This Row],[Column2]]</f>
        <v>0</v>
      </c>
      <c r="C164" s="81" t="s">
        <v>210</v>
      </c>
      <c r="D164" s="82">
        <v>15.1</v>
      </c>
      <c r="E164" s="82">
        <v>82</v>
      </c>
      <c r="F164" s="81">
        <v>42</v>
      </c>
      <c r="G164" s="81" t="s">
        <v>12</v>
      </c>
      <c r="H164" s="81" t="s">
        <v>113</v>
      </c>
      <c r="I164" s="83">
        <v>43377</v>
      </c>
      <c r="J164" s="81">
        <v>10</v>
      </c>
      <c r="K164" s="81" t="s">
        <v>121</v>
      </c>
      <c r="L164" s="81" t="s">
        <v>4</v>
      </c>
      <c r="M164" s="81" t="s">
        <v>126</v>
      </c>
      <c r="N164" s="81" t="s">
        <v>126</v>
      </c>
      <c r="O164" s="81" t="s">
        <v>25</v>
      </c>
      <c r="P164" s="81" t="s">
        <v>777</v>
      </c>
      <c r="Q164" s="81" t="s">
        <v>45</v>
      </c>
      <c r="R164" s="81" t="s">
        <v>783</v>
      </c>
      <c r="S164" s="81" t="s">
        <v>484</v>
      </c>
      <c r="T164" s="81" t="s">
        <v>788</v>
      </c>
      <c r="U164" s="81">
        <v>0.69</v>
      </c>
      <c r="V164" s="95" t="s">
        <v>787</v>
      </c>
      <c r="W164" s="81" t="s">
        <v>777</v>
      </c>
    </row>
    <row r="165" spans="1:23" ht="21" customHeight="1">
      <c r="A165">
        <f>Table4[[#This Row],[Column1]]</f>
        <v>0</v>
      </c>
      <c r="B165">
        <f>Table4[[#This Row],[Column2]]</f>
        <v>0</v>
      </c>
      <c r="C165" s="81" t="s">
        <v>210</v>
      </c>
      <c r="D165" s="82">
        <v>13.3</v>
      </c>
      <c r="E165" s="82">
        <v>53</v>
      </c>
      <c r="F165" s="81">
        <v>40</v>
      </c>
      <c r="G165" s="81" t="s">
        <v>4</v>
      </c>
      <c r="H165" s="81" t="s">
        <v>116</v>
      </c>
      <c r="I165" s="81"/>
      <c r="J165" s="81"/>
      <c r="K165" s="81" t="s">
        <v>121</v>
      </c>
      <c r="L165" s="81" t="s">
        <v>4</v>
      </c>
      <c r="M165" s="81" t="s">
        <v>89</v>
      </c>
      <c r="N165" s="81" t="s">
        <v>89</v>
      </c>
      <c r="O165" s="81" t="s">
        <v>26</v>
      </c>
      <c r="P165" s="81" t="s">
        <v>777</v>
      </c>
      <c r="Q165" s="81" t="s">
        <v>45</v>
      </c>
      <c r="R165" s="81" t="s">
        <v>560</v>
      </c>
      <c r="S165" s="81" t="s">
        <v>789</v>
      </c>
      <c r="T165" s="81" t="s">
        <v>790</v>
      </c>
      <c r="U165" s="81" t="s">
        <v>69</v>
      </c>
      <c r="V165" s="95" t="s">
        <v>787</v>
      </c>
      <c r="W165" s="81" t="s">
        <v>777</v>
      </c>
    </row>
    <row r="166" spans="1:23" ht="21" customHeight="1">
      <c r="A166">
        <f>Table4[[#This Row],[Column1]]</f>
        <v>0</v>
      </c>
      <c r="B166">
        <f>Table4[[#This Row],[Column2]]</f>
        <v>0</v>
      </c>
      <c r="C166" s="81" t="s">
        <v>210</v>
      </c>
      <c r="D166" s="82">
        <v>15</v>
      </c>
      <c r="E166" s="82">
        <v>51</v>
      </c>
      <c r="F166" s="81">
        <v>46</v>
      </c>
      <c r="G166" s="81" t="s">
        <v>4</v>
      </c>
      <c r="H166" s="81" t="s">
        <v>116</v>
      </c>
      <c r="I166" s="81"/>
      <c r="J166" s="81"/>
      <c r="K166" s="81" t="s">
        <v>121</v>
      </c>
      <c r="L166" s="81" t="s">
        <v>4</v>
      </c>
      <c r="M166" s="81" t="s">
        <v>126</v>
      </c>
      <c r="N166" s="81" t="s">
        <v>126</v>
      </c>
      <c r="O166" s="81" t="s">
        <v>25</v>
      </c>
      <c r="P166" s="81" t="s">
        <v>777</v>
      </c>
      <c r="Q166" s="81"/>
      <c r="R166" t="s">
        <v>549</v>
      </c>
      <c r="S166" s="81" t="s">
        <v>266</v>
      </c>
      <c r="T166" s="81" t="s">
        <v>791</v>
      </c>
      <c r="U166" s="81" t="s">
        <v>69</v>
      </c>
      <c r="V166" s="95" t="s">
        <v>792</v>
      </c>
      <c r="W166" s="81" t="s">
        <v>777</v>
      </c>
    </row>
    <row r="167" spans="1:23" ht="21" customHeight="1">
      <c r="A167">
        <f>Table4[[#This Row],[Column1]]</f>
        <v>0</v>
      </c>
      <c r="B167">
        <f>Table4[[#This Row],[Column2]]</f>
        <v>0</v>
      </c>
      <c r="C167" s="81" t="s">
        <v>210</v>
      </c>
      <c r="D167" s="82">
        <v>9.6999999999999993</v>
      </c>
      <c r="E167" s="82">
        <v>336</v>
      </c>
      <c r="F167" s="81">
        <v>38</v>
      </c>
      <c r="G167" s="81" t="s">
        <v>12</v>
      </c>
      <c r="H167" s="81" t="s">
        <v>113</v>
      </c>
      <c r="I167" s="83">
        <v>43397</v>
      </c>
      <c r="J167" s="81">
        <v>10</v>
      </c>
      <c r="K167" s="81" t="s">
        <v>122</v>
      </c>
      <c r="L167" s="81" t="s">
        <v>4</v>
      </c>
      <c r="M167" s="81" t="s">
        <v>126</v>
      </c>
      <c r="N167" s="81" t="s">
        <v>90</v>
      </c>
      <c r="O167" s="81" t="s">
        <v>26</v>
      </c>
      <c r="P167" s="81" t="s">
        <v>38</v>
      </c>
      <c r="Q167" s="81" t="s">
        <v>45</v>
      </c>
      <c r="R167" s="81" t="s">
        <v>805</v>
      </c>
      <c r="S167" s="81" t="s">
        <v>243</v>
      </c>
      <c r="T167" s="81" t="s">
        <v>806</v>
      </c>
      <c r="U167" s="81" t="s">
        <v>69</v>
      </c>
      <c r="V167" s="94" t="s">
        <v>792</v>
      </c>
      <c r="W167" s="94" t="s">
        <v>777</v>
      </c>
    </row>
    <row r="168" spans="1:23" ht="21" customHeight="1">
      <c r="A168">
        <f>Table4[[#This Row],[Column1]]</f>
        <v>0</v>
      </c>
      <c r="B168">
        <f>Table4[[#This Row],[Column2]]</f>
        <v>0</v>
      </c>
      <c r="C168" s="81" t="s">
        <v>210</v>
      </c>
      <c r="D168" s="82">
        <v>12.7</v>
      </c>
      <c r="E168" s="82">
        <v>92</v>
      </c>
      <c r="F168" s="81">
        <v>45</v>
      </c>
      <c r="G168" s="81" t="s">
        <v>12</v>
      </c>
      <c r="H168" s="81" t="s">
        <v>113</v>
      </c>
      <c r="I168" s="83">
        <v>43348</v>
      </c>
      <c r="J168" s="81">
        <v>10</v>
      </c>
      <c r="K168" s="81" t="s">
        <v>122</v>
      </c>
      <c r="L168" s="81" t="s">
        <v>4</v>
      </c>
      <c r="M168" s="81" t="s">
        <v>126</v>
      </c>
      <c r="N168" s="81" t="s">
        <v>126</v>
      </c>
      <c r="O168" s="81" t="s">
        <v>25</v>
      </c>
      <c r="P168" s="81" t="s">
        <v>777</v>
      </c>
      <c r="Q168" s="81" t="s">
        <v>45</v>
      </c>
      <c r="R168" t="s">
        <v>808</v>
      </c>
      <c r="S168" s="81" t="s">
        <v>255</v>
      </c>
      <c r="T168" s="81" t="s">
        <v>807</v>
      </c>
      <c r="U168" s="81" t="s">
        <v>69</v>
      </c>
      <c r="V168" s="94" t="s">
        <v>792</v>
      </c>
      <c r="W168" s="94" t="s">
        <v>777</v>
      </c>
    </row>
    <row r="169" spans="1:23" ht="21" customHeight="1">
      <c r="A169">
        <f>Table4[[#This Row],[Column1]]</f>
        <v>0</v>
      </c>
      <c r="B169">
        <f>Table4[[#This Row],[Column2]]</f>
        <v>0</v>
      </c>
      <c r="C169" s="81" t="s">
        <v>210</v>
      </c>
      <c r="D169" s="82">
        <v>14.4</v>
      </c>
      <c r="E169" s="82">
        <v>67</v>
      </c>
      <c r="F169" s="81">
        <v>44</v>
      </c>
      <c r="G169" s="81" t="s">
        <v>12</v>
      </c>
      <c r="H169" s="81" t="s">
        <v>113</v>
      </c>
      <c r="I169" s="83">
        <v>43382</v>
      </c>
      <c r="J169" s="81">
        <v>10</v>
      </c>
      <c r="K169" s="81" t="s">
        <v>121</v>
      </c>
      <c r="L169" s="81" t="s">
        <v>4</v>
      </c>
      <c r="M169" s="81" t="s">
        <v>89</v>
      </c>
      <c r="N169" s="81" t="s">
        <v>89</v>
      </c>
      <c r="O169" s="81" t="s">
        <v>26</v>
      </c>
      <c r="P169" s="81" t="s">
        <v>777</v>
      </c>
      <c r="Q169" s="81" t="s">
        <v>44</v>
      </c>
      <c r="R169" s="81" t="s">
        <v>281</v>
      </c>
      <c r="S169" s="81" t="s">
        <v>309</v>
      </c>
      <c r="T169" s="81" t="s">
        <v>811</v>
      </c>
      <c r="U169" s="81" t="s">
        <v>69</v>
      </c>
      <c r="V169" s="94" t="s">
        <v>787</v>
      </c>
      <c r="W169" s="94" t="s">
        <v>777</v>
      </c>
    </row>
    <row r="170" spans="1:23" ht="21" customHeight="1">
      <c r="A170">
        <f>Table4[[#This Row],[Column1]]</f>
        <v>0</v>
      </c>
      <c r="B170">
        <f>Table4[[#This Row],[Column2]]</f>
        <v>0</v>
      </c>
      <c r="C170" s="81" t="s">
        <v>210</v>
      </c>
      <c r="D170" s="82">
        <v>12.4</v>
      </c>
      <c r="E170" s="82">
        <v>53</v>
      </c>
      <c r="F170" s="81">
        <v>45</v>
      </c>
      <c r="G170" s="81" t="s">
        <v>4</v>
      </c>
      <c r="H170" s="81" t="s">
        <v>116</v>
      </c>
      <c r="I170" s="81"/>
      <c r="J170" s="81"/>
      <c r="K170" s="81" t="s">
        <v>121</v>
      </c>
      <c r="L170" s="81" t="s">
        <v>4</v>
      </c>
      <c r="M170" s="81" t="s">
        <v>126</v>
      </c>
      <c r="N170" s="81" t="s">
        <v>126</v>
      </c>
      <c r="O170" s="81" t="s">
        <v>25</v>
      </c>
      <c r="P170" s="81" t="s">
        <v>39</v>
      </c>
      <c r="Q170" s="81"/>
      <c r="R170" s="81" t="s">
        <v>812</v>
      </c>
      <c r="S170" s="81" t="s">
        <v>249</v>
      </c>
      <c r="T170" s="81" t="s">
        <v>813</v>
      </c>
      <c r="U170" s="81" t="s">
        <v>69</v>
      </c>
      <c r="V170" s="94" t="s">
        <v>792</v>
      </c>
      <c r="W170" s="94" t="s">
        <v>777</v>
      </c>
    </row>
    <row r="171" spans="1:23" ht="21" customHeight="1">
      <c r="A171">
        <f>Table4[[#This Row],[Column1]]</f>
        <v>0</v>
      </c>
      <c r="B171">
        <f>Table4[[#This Row],[Column2]]</f>
        <v>0</v>
      </c>
      <c r="C171" s="81" t="s">
        <v>210</v>
      </c>
      <c r="D171" s="82">
        <v>12.6</v>
      </c>
      <c r="E171" s="82">
        <v>54</v>
      </c>
      <c r="F171" s="81" t="s">
        <v>814</v>
      </c>
      <c r="G171" s="81" t="s">
        <v>4</v>
      </c>
      <c r="H171" s="81" t="s">
        <v>116</v>
      </c>
      <c r="I171" s="81"/>
      <c r="J171" s="81"/>
      <c r="K171" s="81"/>
      <c r="L171" s="81"/>
      <c r="M171" s="81"/>
      <c r="N171" s="81"/>
      <c r="O171" s="81"/>
      <c r="P171" s="81" t="s">
        <v>777</v>
      </c>
      <c r="Q171" s="81"/>
      <c r="R171" t="s">
        <v>230</v>
      </c>
      <c r="S171" s="81" t="s">
        <v>536</v>
      </c>
      <c r="T171" s="81" t="s">
        <v>815</v>
      </c>
      <c r="U171" s="81" t="s">
        <v>69</v>
      </c>
      <c r="V171" s="94" t="s">
        <v>792</v>
      </c>
      <c r="W171" s="94" t="s">
        <v>777</v>
      </c>
    </row>
    <row r="172" spans="1:23" ht="21" customHeight="1">
      <c r="A172">
        <f>Table4[[#This Row],[Column1]]</f>
        <v>0</v>
      </c>
      <c r="B172">
        <f>Table4[[#This Row],[Column2]]</f>
        <v>0</v>
      </c>
      <c r="C172" s="81" t="s">
        <v>210</v>
      </c>
      <c r="D172" s="82">
        <v>13.7</v>
      </c>
      <c r="E172" s="82">
        <v>81</v>
      </c>
      <c r="F172" s="81">
        <v>46</v>
      </c>
      <c r="G172" s="81" t="s">
        <v>12</v>
      </c>
      <c r="H172" s="81" t="s">
        <v>113</v>
      </c>
      <c r="I172" s="83">
        <v>43391</v>
      </c>
      <c r="J172" s="81">
        <v>7</v>
      </c>
      <c r="K172" s="81" t="s">
        <v>122</v>
      </c>
      <c r="L172" s="81" t="s">
        <v>4</v>
      </c>
      <c r="M172" s="81" t="s">
        <v>126</v>
      </c>
      <c r="N172" s="81" t="s">
        <v>126</v>
      </c>
      <c r="O172" s="81" t="s">
        <v>25</v>
      </c>
      <c r="P172" s="81" t="s">
        <v>41</v>
      </c>
      <c r="Q172" s="81" t="s">
        <v>45</v>
      </c>
      <c r="R172" t="s">
        <v>370</v>
      </c>
      <c r="S172" s="81" t="s">
        <v>243</v>
      </c>
      <c r="T172" s="81" t="s">
        <v>816</v>
      </c>
      <c r="U172" s="81" t="s">
        <v>69</v>
      </c>
      <c r="V172" s="94" t="s">
        <v>792</v>
      </c>
      <c r="W172" s="94" t="s">
        <v>777</v>
      </c>
    </row>
    <row r="173" spans="1:23" ht="21" customHeight="1">
      <c r="A173">
        <f>Table4[[#This Row],[Column1]]</f>
        <v>0</v>
      </c>
      <c r="B173">
        <f>Table4[[#This Row],[Column2]]</f>
        <v>0</v>
      </c>
      <c r="C173" s="81" t="s">
        <v>210</v>
      </c>
      <c r="D173" s="82">
        <v>9.6999999999999993</v>
      </c>
      <c r="E173" s="82">
        <v>66</v>
      </c>
      <c r="F173" s="81">
        <v>41</v>
      </c>
      <c r="G173" s="81" t="s">
        <v>4</v>
      </c>
      <c r="H173" s="81" t="s">
        <v>116</v>
      </c>
      <c r="I173" s="81"/>
      <c r="J173" s="81"/>
      <c r="K173" s="81" t="s">
        <v>121</v>
      </c>
      <c r="L173" s="81" t="s">
        <v>4</v>
      </c>
      <c r="M173" s="81" t="s">
        <v>89</v>
      </c>
      <c r="N173" s="81" t="s">
        <v>89</v>
      </c>
      <c r="O173" s="81" t="s">
        <v>26</v>
      </c>
      <c r="P173" s="81" t="s">
        <v>38</v>
      </c>
      <c r="Q173" s="81"/>
      <c r="R173" s="81" t="s">
        <v>805</v>
      </c>
      <c r="S173" s="81" t="s">
        <v>233</v>
      </c>
      <c r="T173" s="81" t="s">
        <v>819</v>
      </c>
      <c r="U173" s="81" t="s">
        <v>69</v>
      </c>
      <c r="V173" s="94" t="s">
        <v>796</v>
      </c>
      <c r="W173" s="94" t="s">
        <v>777</v>
      </c>
    </row>
    <row r="174" spans="1:23" ht="21" customHeight="1">
      <c r="A174">
        <f>Table4[[#This Row],[Column1]]</f>
        <v>0</v>
      </c>
      <c r="B174">
        <f>Table4[[#This Row],[Column2]]</f>
        <v>0</v>
      </c>
      <c r="C174" s="81" t="s">
        <v>210</v>
      </c>
      <c r="D174" s="82">
        <v>13.8</v>
      </c>
      <c r="E174" s="82">
        <v>85</v>
      </c>
      <c r="F174" s="81">
        <v>45</v>
      </c>
      <c r="G174" s="81" t="s">
        <v>4</v>
      </c>
      <c r="H174" s="81" t="s">
        <v>116</v>
      </c>
      <c r="I174" s="81"/>
      <c r="J174" s="81"/>
      <c r="K174" s="81"/>
      <c r="L174" s="81"/>
      <c r="M174" s="81"/>
      <c r="N174" s="81"/>
      <c r="O174" s="81"/>
      <c r="P174" s="81" t="s">
        <v>777</v>
      </c>
      <c r="Q174" s="81"/>
      <c r="R174" s="81" t="s">
        <v>341</v>
      </c>
      <c r="S174" s="81" t="s">
        <v>309</v>
      </c>
      <c r="T174" s="81" t="s">
        <v>820</v>
      </c>
      <c r="U174" s="81" t="s">
        <v>69</v>
      </c>
      <c r="V174" s="94" t="s">
        <v>797</v>
      </c>
      <c r="W174" s="94" t="s">
        <v>798</v>
      </c>
    </row>
    <row r="175" spans="1:23" ht="21" customHeight="1">
      <c r="A175">
        <f>Table4[[#This Row],[Column1]]</f>
        <v>0</v>
      </c>
      <c r="B175">
        <f>Table4[[#This Row],[Column2]]</f>
        <v>0</v>
      </c>
      <c r="C175" s="81" t="s">
        <v>210</v>
      </c>
      <c r="D175" s="82">
        <v>13.5</v>
      </c>
      <c r="E175" s="82">
        <v>101</v>
      </c>
      <c r="F175" s="81">
        <v>46</v>
      </c>
      <c r="G175" s="81" t="s">
        <v>12</v>
      </c>
      <c r="H175" s="81" t="s">
        <v>113</v>
      </c>
      <c r="I175" s="83">
        <v>43269</v>
      </c>
      <c r="J175" s="81"/>
      <c r="K175" s="81"/>
      <c r="L175" s="81"/>
      <c r="M175" s="81"/>
      <c r="N175" s="81"/>
      <c r="O175" s="81"/>
      <c r="P175" s="81" t="s">
        <v>777</v>
      </c>
      <c r="Q175" s="81"/>
      <c r="R175" t="s">
        <v>386</v>
      </c>
      <c r="S175" s="81" t="s">
        <v>255</v>
      </c>
      <c r="T175" s="81" t="s">
        <v>821</v>
      </c>
      <c r="U175" s="81" t="s">
        <v>69</v>
      </c>
      <c r="V175" s="94" t="s">
        <v>792</v>
      </c>
      <c r="W175" s="94" t="s">
        <v>777</v>
      </c>
    </row>
    <row r="176" spans="1:23" ht="21" customHeight="1">
      <c r="A176">
        <f>Table4[[#This Row],[Column1]]</f>
        <v>0</v>
      </c>
      <c r="B176">
        <f>Table4[[#This Row],[Column2]]</f>
        <v>0</v>
      </c>
      <c r="C176" s="81" t="s">
        <v>210</v>
      </c>
      <c r="D176" s="82">
        <v>15.1</v>
      </c>
      <c r="E176" s="82">
        <v>85</v>
      </c>
      <c r="F176" s="81">
        <v>48</v>
      </c>
      <c r="G176" s="81" t="s">
        <v>4</v>
      </c>
      <c r="H176" s="81" t="s">
        <v>115</v>
      </c>
      <c r="I176" s="81"/>
      <c r="J176" s="81"/>
      <c r="K176" s="81" t="s">
        <v>121</v>
      </c>
      <c r="L176" s="81" t="s">
        <v>4</v>
      </c>
      <c r="M176" s="81" t="s">
        <v>126</v>
      </c>
      <c r="N176" s="81" t="s">
        <v>126</v>
      </c>
      <c r="O176" s="81" t="s">
        <v>25</v>
      </c>
      <c r="P176" s="81" t="s">
        <v>777</v>
      </c>
      <c r="Q176" s="81"/>
      <c r="R176" s="81" t="s">
        <v>375</v>
      </c>
      <c r="S176" s="81" t="s">
        <v>836</v>
      </c>
      <c r="T176" s="81" t="s">
        <v>823</v>
      </c>
      <c r="U176" s="81" t="s">
        <v>69</v>
      </c>
      <c r="V176" s="94" t="s">
        <v>796</v>
      </c>
      <c r="W176" s="94" t="s">
        <v>777</v>
      </c>
    </row>
    <row r="177" spans="1:23" ht="21" customHeight="1">
      <c r="A177">
        <f>Table4[[#This Row],[Column1]]</f>
        <v>0</v>
      </c>
      <c r="B177">
        <f>Table4[[#This Row],[Column2]]</f>
        <v>0</v>
      </c>
      <c r="C177" s="81" t="s">
        <v>210</v>
      </c>
      <c r="D177" s="82">
        <v>13.2</v>
      </c>
      <c r="E177" s="82">
        <v>70</v>
      </c>
      <c r="F177" s="81">
        <v>43</v>
      </c>
      <c r="G177" s="81" t="s">
        <v>12</v>
      </c>
      <c r="H177" s="81" t="s">
        <v>113</v>
      </c>
      <c r="I177" s="83">
        <v>43362</v>
      </c>
      <c r="J177" s="81">
        <v>10</v>
      </c>
      <c r="K177" s="81" t="s">
        <v>122</v>
      </c>
      <c r="L177" s="81" t="s">
        <v>4</v>
      </c>
      <c r="M177" s="81" t="s">
        <v>126</v>
      </c>
      <c r="N177" s="81" t="s">
        <v>126</v>
      </c>
      <c r="O177" s="81" t="s">
        <v>25</v>
      </c>
      <c r="P177" s="81" t="s">
        <v>777</v>
      </c>
      <c r="Q177" s="81" t="s">
        <v>45</v>
      </c>
      <c r="R177" s="81" t="s">
        <v>610</v>
      </c>
      <c r="S177" s="81" t="s">
        <v>234</v>
      </c>
      <c r="T177" s="81" t="s">
        <v>831</v>
      </c>
      <c r="U177" s="81" t="s">
        <v>69</v>
      </c>
      <c r="V177" s="94" t="s">
        <v>796</v>
      </c>
      <c r="W177" s="94" t="s">
        <v>777</v>
      </c>
    </row>
    <row r="178" spans="1:23" ht="21" customHeight="1">
      <c r="A178">
        <f>Table4[[#This Row],[Column1]]</f>
        <v>0</v>
      </c>
      <c r="B178">
        <f>Table4[[#This Row],[Column2]]</f>
        <v>0</v>
      </c>
      <c r="C178" s="81" t="s">
        <v>210</v>
      </c>
      <c r="D178" s="82">
        <v>10.8</v>
      </c>
      <c r="E178" s="82">
        <v>80</v>
      </c>
      <c r="F178" s="81">
        <v>40</v>
      </c>
      <c r="G178" s="81" t="s">
        <v>4</v>
      </c>
      <c r="H178" s="81" t="s">
        <v>116</v>
      </c>
      <c r="I178" s="81"/>
      <c r="J178" s="81"/>
      <c r="K178" s="81" t="s">
        <v>122</v>
      </c>
      <c r="L178" s="81" t="s">
        <v>4</v>
      </c>
      <c r="M178" s="81" t="s">
        <v>126</v>
      </c>
      <c r="N178" s="81" t="s">
        <v>126</v>
      </c>
      <c r="O178" s="81" t="s">
        <v>25</v>
      </c>
      <c r="P178" s="81" t="s">
        <v>777</v>
      </c>
      <c r="Q178" s="81" t="s">
        <v>45</v>
      </c>
      <c r="R178" s="81" t="s">
        <v>548</v>
      </c>
      <c r="S178" s="81" t="s">
        <v>377</v>
      </c>
      <c r="T178" s="81" t="s">
        <v>832</v>
      </c>
      <c r="U178" s="81" t="s">
        <v>69</v>
      </c>
      <c r="V178" s="94" t="s">
        <v>792</v>
      </c>
      <c r="W178" s="94" t="s">
        <v>777</v>
      </c>
    </row>
    <row r="179" spans="1:23" ht="21" customHeight="1">
      <c r="A179">
        <f>Table4[[#This Row],[Column1]]</f>
        <v>0</v>
      </c>
      <c r="B179">
        <f>Table4[[#This Row],[Column2]]</f>
        <v>0</v>
      </c>
      <c r="C179" s="81" t="s">
        <v>210</v>
      </c>
      <c r="D179" s="82">
        <v>14.3</v>
      </c>
      <c r="E179" s="82">
        <v>74</v>
      </c>
      <c r="F179" s="81">
        <v>45</v>
      </c>
      <c r="G179" s="81" t="s">
        <v>12</v>
      </c>
      <c r="H179" s="81" t="s">
        <v>113</v>
      </c>
      <c r="I179" s="83">
        <v>43405</v>
      </c>
      <c r="J179" s="81">
        <v>10</v>
      </c>
      <c r="K179" s="81" t="s">
        <v>121</v>
      </c>
      <c r="L179" s="81" t="s">
        <v>4</v>
      </c>
      <c r="M179" s="81" t="s">
        <v>89</v>
      </c>
      <c r="N179" s="81" t="s">
        <v>126</v>
      </c>
      <c r="O179" s="81" t="s">
        <v>25</v>
      </c>
      <c r="P179" s="81" t="s">
        <v>777</v>
      </c>
      <c r="Q179" s="81" t="s">
        <v>45</v>
      </c>
      <c r="R179" t="s">
        <v>370</v>
      </c>
      <c r="S179" s="81" t="s">
        <v>526</v>
      </c>
      <c r="T179" s="81" t="s">
        <v>837</v>
      </c>
      <c r="U179" s="81" t="s">
        <v>69</v>
      </c>
      <c r="V179" s="94" t="s">
        <v>796</v>
      </c>
      <c r="W179" s="94" t="s">
        <v>777</v>
      </c>
    </row>
    <row r="180" spans="1:23" ht="21" customHeight="1">
      <c r="A180">
        <f>Table4[[#This Row],[Column1]]</f>
        <v>0</v>
      </c>
      <c r="B180">
        <f>Table4[[#This Row],[Column2]]</f>
        <v>0</v>
      </c>
      <c r="C180" s="81" t="s">
        <v>210</v>
      </c>
      <c r="D180" s="82">
        <v>15.3</v>
      </c>
      <c r="E180" s="82">
        <v>59</v>
      </c>
      <c r="F180" s="81" t="s">
        <v>210</v>
      </c>
      <c r="G180" s="81" t="s">
        <v>12</v>
      </c>
      <c r="H180" s="81" t="s">
        <v>113</v>
      </c>
      <c r="I180" s="83">
        <v>43405</v>
      </c>
      <c r="J180" s="81">
        <v>10</v>
      </c>
      <c r="K180" s="81" t="s">
        <v>121</v>
      </c>
      <c r="L180" s="81" t="s">
        <v>4</v>
      </c>
      <c r="M180" s="81" t="s">
        <v>90</v>
      </c>
      <c r="N180" s="81" t="s">
        <v>90</v>
      </c>
      <c r="O180" s="81" t="s">
        <v>26</v>
      </c>
      <c r="P180" s="81" t="s">
        <v>777</v>
      </c>
      <c r="Q180" s="81" t="s">
        <v>45</v>
      </c>
      <c r="R180" s="81" t="s">
        <v>812</v>
      </c>
      <c r="S180" s="81" t="s">
        <v>255</v>
      </c>
      <c r="T180" s="81" t="s">
        <v>838</v>
      </c>
      <c r="U180" s="81" t="s">
        <v>69</v>
      </c>
      <c r="V180" s="94" t="s">
        <v>792</v>
      </c>
      <c r="W180" s="94" t="s">
        <v>777</v>
      </c>
    </row>
    <row r="181" spans="1:23" ht="21" customHeight="1">
      <c r="A181">
        <f>Table4[[#This Row],[Column1]]</f>
        <v>0</v>
      </c>
      <c r="B181">
        <f>Table4[[#This Row],[Column2]]</f>
        <v>0</v>
      </c>
      <c r="C181" s="81" t="s">
        <v>210</v>
      </c>
      <c r="D181" s="82">
        <v>16.399999999999999</v>
      </c>
      <c r="E181" s="82">
        <v>85</v>
      </c>
      <c r="F181" s="81">
        <v>44</v>
      </c>
      <c r="G181" s="81" t="s">
        <v>12</v>
      </c>
      <c r="H181" s="81" t="s">
        <v>113</v>
      </c>
      <c r="I181" s="83">
        <v>43397</v>
      </c>
      <c r="J181" s="81">
        <v>10</v>
      </c>
      <c r="K181" s="81" t="s">
        <v>122</v>
      </c>
      <c r="L181" s="81" t="s">
        <v>4</v>
      </c>
      <c r="M181" s="81" t="s">
        <v>126</v>
      </c>
      <c r="N181" s="81" t="s">
        <v>126</v>
      </c>
      <c r="O181" s="81" t="s">
        <v>25</v>
      </c>
      <c r="P181" s="81" t="s">
        <v>777</v>
      </c>
      <c r="Q181" s="81" t="s">
        <v>45</v>
      </c>
      <c r="R181" t="s">
        <v>370</v>
      </c>
      <c r="S181" s="81" t="s">
        <v>342</v>
      </c>
      <c r="T181" s="81" t="s">
        <v>839</v>
      </c>
      <c r="U181" s="81" t="s">
        <v>69</v>
      </c>
      <c r="V181" s="94" t="s">
        <v>796</v>
      </c>
      <c r="W181" s="94" t="s">
        <v>777</v>
      </c>
    </row>
    <row r="182" spans="1:23" ht="21" customHeight="1">
      <c r="A182">
        <f>Table4[[#This Row],[Column1]]</f>
        <v>0</v>
      </c>
      <c r="B182">
        <f>Table4[[#This Row],[Column2]]</f>
        <v>0</v>
      </c>
      <c r="C182" s="81" t="s">
        <v>210</v>
      </c>
      <c r="D182" s="82">
        <v>13.1</v>
      </c>
      <c r="E182" s="82">
        <v>58</v>
      </c>
      <c r="F182" s="81" t="s">
        <v>210</v>
      </c>
      <c r="G182" s="81" t="s">
        <v>4</v>
      </c>
      <c r="H182" s="81" t="s">
        <v>116</v>
      </c>
      <c r="I182" s="81"/>
      <c r="J182" s="81"/>
      <c r="K182" s="81"/>
      <c r="L182" s="81"/>
      <c r="M182" s="81"/>
      <c r="N182" s="81"/>
      <c r="O182" s="81"/>
      <c r="P182" s="81" t="s">
        <v>777</v>
      </c>
      <c r="Q182" s="81"/>
      <c r="R182" s="81" t="s">
        <v>230</v>
      </c>
      <c r="S182" s="81" t="s">
        <v>336</v>
      </c>
      <c r="T182" s="81" t="s">
        <v>843</v>
      </c>
      <c r="U182" s="81" t="s">
        <v>69</v>
      </c>
      <c r="V182" s="94" t="s">
        <v>797</v>
      </c>
      <c r="W182" s="94" t="s">
        <v>4</v>
      </c>
    </row>
    <row r="183" spans="1:23" ht="21" customHeight="1">
      <c r="A183">
        <f>Table4[[#This Row],[Column1]]</f>
        <v>0</v>
      </c>
      <c r="B183">
        <f>Table4[[#This Row],[Column2]]</f>
        <v>0</v>
      </c>
      <c r="C183" s="81" t="s">
        <v>210</v>
      </c>
      <c r="D183" s="82">
        <v>12.7</v>
      </c>
      <c r="E183" s="82">
        <v>76</v>
      </c>
      <c r="F183" s="81">
        <v>45</v>
      </c>
      <c r="G183" s="81" t="s">
        <v>12</v>
      </c>
      <c r="H183" s="81" t="s">
        <v>113</v>
      </c>
      <c r="I183" s="83">
        <v>43405</v>
      </c>
      <c r="J183" s="81">
        <v>10</v>
      </c>
      <c r="K183" s="81" t="s">
        <v>121</v>
      </c>
      <c r="L183" s="81" t="s">
        <v>4</v>
      </c>
      <c r="M183" s="81" t="s">
        <v>90</v>
      </c>
      <c r="N183" s="81" t="s">
        <v>90</v>
      </c>
      <c r="O183" s="81" t="s">
        <v>26</v>
      </c>
      <c r="P183" s="81" t="s">
        <v>777</v>
      </c>
      <c r="Q183" s="81" t="s">
        <v>45</v>
      </c>
      <c r="R183" s="81" t="s">
        <v>370</v>
      </c>
      <c r="S183" s="81" t="s">
        <v>233</v>
      </c>
      <c r="T183" s="81" t="s">
        <v>844</v>
      </c>
      <c r="U183" s="81" t="s">
        <v>69</v>
      </c>
      <c r="V183" s="94" t="s">
        <v>796</v>
      </c>
      <c r="W183" s="94" t="s">
        <v>777</v>
      </c>
    </row>
    <row r="184" spans="1:23" ht="21" customHeight="1">
      <c r="A184">
        <f>Table4[[#This Row],[Column1]]</f>
        <v>0</v>
      </c>
      <c r="B184">
        <f>Table4[[#This Row],[Column2]]</f>
        <v>0</v>
      </c>
      <c r="C184" s="81" t="s">
        <v>210</v>
      </c>
      <c r="D184" s="82">
        <v>13.9</v>
      </c>
      <c r="E184" s="82">
        <v>58</v>
      </c>
      <c r="F184" s="81">
        <v>41</v>
      </c>
      <c r="G184" s="81" t="s">
        <v>12</v>
      </c>
      <c r="H184" s="81" t="s">
        <v>113</v>
      </c>
      <c r="I184" s="83">
        <v>43347</v>
      </c>
      <c r="J184" s="81">
        <v>10</v>
      </c>
      <c r="K184" s="81" t="s">
        <v>121</v>
      </c>
      <c r="L184" s="81" t="s">
        <v>4</v>
      </c>
      <c r="M184" s="81" t="s">
        <v>126</v>
      </c>
      <c r="N184" s="81" t="s">
        <v>90</v>
      </c>
      <c r="O184" s="81" t="s">
        <v>31</v>
      </c>
      <c r="P184" s="81" t="s">
        <v>777</v>
      </c>
      <c r="Q184" s="81" t="s">
        <v>45</v>
      </c>
      <c r="R184" s="81" t="s">
        <v>341</v>
      </c>
      <c r="S184" s="81" t="s">
        <v>290</v>
      </c>
      <c r="T184" s="81" t="s">
        <v>845</v>
      </c>
      <c r="U184" s="81" t="s">
        <v>69</v>
      </c>
      <c r="V184" s="94" t="s">
        <v>787</v>
      </c>
      <c r="W184" s="94" t="s">
        <v>777</v>
      </c>
    </row>
    <row r="185" spans="1:23" ht="21" customHeight="1">
      <c r="A185">
        <f>Table4[[#This Row],[Column1]]</f>
        <v>0</v>
      </c>
      <c r="B185">
        <f>Table4[[#This Row],[Column2]]</f>
        <v>0</v>
      </c>
      <c r="C185" s="81" t="s">
        <v>210</v>
      </c>
      <c r="D185" s="82">
        <v>14.6</v>
      </c>
      <c r="E185" s="82">
        <v>108</v>
      </c>
      <c r="F185" s="81" t="s">
        <v>210</v>
      </c>
      <c r="G185" s="81" t="s">
        <v>12</v>
      </c>
      <c r="H185" s="81" t="s">
        <v>113</v>
      </c>
      <c r="I185" s="83">
        <v>43398</v>
      </c>
      <c r="J185" s="81">
        <v>10</v>
      </c>
      <c r="K185" s="81" t="s">
        <v>122</v>
      </c>
      <c r="L185" s="81" t="s">
        <v>4</v>
      </c>
      <c r="M185" s="81" t="s">
        <v>88</v>
      </c>
      <c r="N185" s="81" t="s">
        <v>88</v>
      </c>
      <c r="O185" s="81" t="s">
        <v>26</v>
      </c>
      <c r="P185" s="81" t="s">
        <v>777</v>
      </c>
      <c r="Q185" s="81" t="s">
        <v>45</v>
      </c>
      <c r="R185" s="81" t="s">
        <v>846</v>
      </c>
      <c r="S185" s="81" t="s">
        <v>255</v>
      </c>
      <c r="T185" s="81" t="s">
        <v>847</v>
      </c>
      <c r="U185" s="81" t="s">
        <v>69</v>
      </c>
      <c r="V185" s="94" t="s">
        <v>792</v>
      </c>
      <c r="W185" s="94" t="s">
        <v>777</v>
      </c>
    </row>
    <row r="186" spans="1:23" ht="21" customHeight="1">
      <c r="A186">
        <f>Table4[[#This Row],[Column1]]</f>
        <v>0</v>
      </c>
      <c r="B186">
        <f>Table4[[#This Row],[Column2]]</f>
        <v>0</v>
      </c>
      <c r="C186" s="81"/>
      <c r="D186" s="82"/>
      <c r="E186" s="82"/>
      <c r="F186" s="81"/>
      <c r="G186" s="81"/>
      <c r="H186" s="81"/>
      <c r="I186" s="81"/>
      <c r="J186" s="81"/>
      <c r="K186" s="81"/>
      <c r="L186" s="81"/>
      <c r="M186" s="81"/>
      <c r="N186" s="81"/>
      <c r="O186" s="81"/>
      <c r="P186" s="81"/>
      <c r="Q186" s="81"/>
      <c r="R186" s="81"/>
      <c r="S186" s="81"/>
      <c r="T186" s="81"/>
      <c r="U186" s="81"/>
      <c r="V186" s="94"/>
      <c r="W186" s="94"/>
    </row>
    <row r="187" spans="1:23" ht="21" customHeight="1">
      <c r="A187">
        <f>Table4[[#This Row],[Column1]]</f>
        <v>0</v>
      </c>
      <c r="B187">
        <f>Table4[[#This Row],[Column2]]</f>
        <v>0</v>
      </c>
      <c r="C187" s="81"/>
      <c r="D187" s="82"/>
      <c r="E187" s="82"/>
      <c r="F187" s="81"/>
      <c r="G187" s="81"/>
      <c r="H187" s="81"/>
      <c r="I187" s="81"/>
      <c r="J187" s="81"/>
      <c r="K187" s="81"/>
      <c r="L187" s="81"/>
      <c r="M187" s="81"/>
      <c r="N187" s="81"/>
      <c r="O187" s="81"/>
      <c r="P187" s="81"/>
      <c r="Q187" s="81"/>
      <c r="R187" s="81"/>
      <c r="S187" s="81"/>
      <c r="T187" s="81"/>
      <c r="U187" s="81"/>
      <c r="V187" s="94"/>
      <c r="W187" s="94"/>
    </row>
    <row r="188" spans="1:23" ht="21" customHeight="1">
      <c r="A188">
        <f>Table4[[#This Row],[Column1]]</f>
        <v>0</v>
      </c>
      <c r="B188">
        <f>Table4[[#This Row],[Column2]]</f>
        <v>0</v>
      </c>
      <c r="C188" s="81"/>
      <c r="D188" s="82"/>
      <c r="E188" s="82"/>
      <c r="F188" s="81"/>
      <c r="G188" s="81"/>
      <c r="H188" s="81"/>
      <c r="I188" s="81"/>
      <c r="J188" s="81"/>
      <c r="K188" s="81"/>
      <c r="L188" s="81"/>
      <c r="M188" s="81"/>
      <c r="N188" s="81"/>
      <c r="O188" s="81"/>
      <c r="P188" s="81"/>
      <c r="Q188" s="81"/>
      <c r="R188" s="81"/>
      <c r="S188" s="81"/>
      <c r="T188" s="81"/>
      <c r="U188" s="81"/>
      <c r="V188" s="94"/>
      <c r="W188" s="94"/>
    </row>
    <row r="189" spans="1:23" ht="21" customHeight="1">
      <c r="A189">
        <f>Table4[[#This Row],[Column1]]</f>
        <v>0</v>
      </c>
      <c r="B189">
        <f>Table4[[#This Row],[Column2]]</f>
        <v>0</v>
      </c>
      <c r="C189" s="81"/>
      <c r="D189" s="82"/>
      <c r="E189" s="82"/>
      <c r="F189" s="81"/>
      <c r="G189" s="81"/>
      <c r="H189" s="81"/>
      <c r="I189" s="81"/>
      <c r="J189" s="81"/>
      <c r="K189" s="81"/>
      <c r="L189" s="81"/>
      <c r="M189" s="81"/>
      <c r="N189" s="81"/>
      <c r="O189" s="81"/>
      <c r="P189" s="81"/>
      <c r="Q189" s="81"/>
      <c r="R189" s="81"/>
      <c r="S189" s="81"/>
      <c r="T189" s="81"/>
      <c r="U189" s="81"/>
      <c r="V189" s="94"/>
      <c r="W189" s="94"/>
    </row>
    <row r="190" spans="1:23" ht="21" customHeight="1">
      <c r="A190">
        <f>Table4[[#This Row],[Column1]]</f>
        <v>0</v>
      </c>
      <c r="B190">
        <f>Table4[[#This Row],[Column2]]</f>
        <v>0</v>
      </c>
      <c r="C190" s="81"/>
      <c r="D190" s="82"/>
      <c r="E190" s="82"/>
      <c r="F190" s="81"/>
      <c r="G190" s="81"/>
      <c r="H190" s="81"/>
      <c r="I190" s="81"/>
      <c r="J190" s="81"/>
      <c r="K190" s="81"/>
      <c r="L190" s="81"/>
      <c r="M190" s="81"/>
      <c r="N190" s="81"/>
      <c r="O190" s="81"/>
      <c r="P190" s="81"/>
      <c r="Q190" s="81"/>
      <c r="R190" s="81"/>
      <c r="S190" s="81"/>
      <c r="T190" s="81"/>
      <c r="U190" s="81"/>
      <c r="V190" s="94"/>
      <c r="W190" s="94"/>
    </row>
    <row r="191" spans="1:23" ht="21" customHeight="1">
      <c r="A191">
        <f>Table4[[#This Row],[Column1]]</f>
        <v>0</v>
      </c>
      <c r="B191">
        <f>Table4[[#This Row],[Column2]]</f>
        <v>0</v>
      </c>
      <c r="C191" s="81"/>
      <c r="D191" s="82"/>
      <c r="E191" s="82"/>
      <c r="F191" s="81"/>
      <c r="G191" s="81"/>
      <c r="H191" s="81"/>
      <c r="I191" s="81"/>
      <c r="J191" s="81"/>
      <c r="K191" s="81"/>
      <c r="L191" s="81"/>
      <c r="M191" s="81"/>
      <c r="N191" s="81"/>
      <c r="O191" s="81"/>
      <c r="P191" s="81"/>
      <c r="Q191" s="81"/>
      <c r="R191" s="81"/>
      <c r="S191" s="81"/>
      <c r="T191" s="81"/>
      <c r="U191" s="81"/>
      <c r="V191" s="94"/>
      <c r="W191" s="94"/>
    </row>
    <row r="192" spans="1:23" ht="21" customHeight="1">
      <c r="A192">
        <f>Table4[[#This Row],[Column1]]</f>
        <v>0</v>
      </c>
      <c r="B192">
        <f>Table4[[#This Row],[Column2]]</f>
        <v>0</v>
      </c>
      <c r="C192" s="81"/>
      <c r="D192" s="82"/>
      <c r="E192" s="82"/>
      <c r="F192" s="81"/>
      <c r="G192" s="81"/>
      <c r="H192" s="81"/>
      <c r="I192" s="81"/>
      <c r="J192" s="81"/>
      <c r="K192" s="81"/>
      <c r="L192" s="81"/>
      <c r="M192" s="81"/>
      <c r="N192" s="81"/>
      <c r="O192" s="81"/>
      <c r="P192" s="81"/>
      <c r="Q192" s="81"/>
      <c r="R192" s="81"/>
      <c r="S192" s="81"/>
      <c r="T192" s="81"/>
      <c r="U192" s="81"/>
      <c r="V192" s="94"/>
      <c r="W192" s="94"/>
    </row>
    <row r="193" spans="1:23" ht="21" customHeight="1">
      <c r="A193">
        <f>Table4[[#This Row],[Column1]]</f>
        <v>0</v>
      </c>
      <c r="B193">
        <f>Table4[[#This Row],[Column2]]</f>
        <v>0</v>
      </c>
      <c r="C193" s="81"/>
      <c r="D193" s="82"/>
      <c r="E193" s="82"/>
      <c r="F193" s="81"/>
      <c r="G193" s="81"/>
      <c r="H193" s="81"/>
      <c r="I193" s="81"/>
      <c r="J193" s="81"/>
      <c r="K193" s="81"/>
      <c r="L193" s="81"/>
      <c r="M193" s="81"/>
      <c r="N193" s="81"/>
      <c r="O193" s="81"/>
      <c r="P193" s="81"/>
      <c r="Q193" s="81"/>
      <c r="R193" s="81"/>
      <c r="S193" s="81"/>
      <c r="T193" s="81"/>
      <c r="U193" s="81"/>
      <c r="V193" s="94"/>
      <c r="W193" s="94"/>
    </row>
    <row r="194" spans="1:23" ht="21" customHeight="1">
      <c r="A194">
        <f>Table4[[#This Row],[Column1]]</f>
        <v>0</v>
      </c>
      <c r="B194">
        <f>Table4[[#This Row],[Column2]]</f>
        <v>0</v>
      </c>
      <c r="C194" s="81"/>
      <c r="D194" s="82"/>
      <c r="E194" s="82"/>
      <c r="F194" s="81"/>
      <c r="G194" s="81"/>
      <c r="H194" s="81"/>
      <c r="I194" s="81"/>
      <c r="J194" s="81"/>
      <c r="K194" s="81"/>
      <c r="L194" s="81"/>
      <c r="M194" s="81"/>
      <c r="N194" s="81"/>
      <c r="O194" s="81"/>
      <c r="P194" s="81"/>
      <c r="Q194" s="81"/>
      <c r="R194" s="81"/>
      <c r="S194" s="81"/>
      <c r="T194" s="81"/>
      <c r="U194" s="81"/>
      <c r="V194" s="94"/>
      <c r="W194" s="94"/>
    </row>
    <row r="195" spans="1:23" ht="21" customHeight="1">
      <c r="A195">
        <f>Table4[[#This Row],[Column1]]</f>
        <v>0</v>
      </c>
      <c r="B195">
        <f>Table4[[#This Row],[Column2]]</f>
        <v>0</v>
      </c>
      <c r="C195" s="81"/>
      <c r="D195" s="82"/>
      <c r="E195" s="82"/>
      <c r="F195" s="81"/>
      <c r="G195" s="81"/>
      <c r="H195" s="81"/>
      <c r="I195" s="81"/>
      <c r="J195" s="81"/>
      <c r="K195" s="81"/>
      <c r="L195" s="81"/>
      <c r="M195" s="81"/>
      <c r="N195" s="81"/>
      <c r="O195" s="81"/>
      <c r="P195" s="81"/>
      <c r="Q195" s="81"/>
      <c r="R195" s="81"/>
      <c r="S195" s="81"/>
      <c r="T195" s="81"/>
      <c r="U195" s="81"/>
      <c r="V195" s="94"/>
      <c r="W195" s="94"/>
    </row>
    <row r="196" spans="1:23" ht="21" customHeight="1">
      <c r="A196">
        <f>Table4[[#This Row],[Column1]]</f>
        <v>0</v>
      </c>
      <c r="B196">
        <f>Table4[[#This Row],[Column2]]</f>
        <v>0</v>
      </c>
      <c r="C196" s="81"/>
      <c r="D196" s="82"/>
      <c r="E196" s="82"/>
      <c r="F196" s="81"/>
      <c r="G196" s="81"/>
      <c r="H196" s="81"/>
      <c r="I196" s="81"/>
      <c r="J196" s="81"/>
      <c r="K196" s="81"/>
      <c r="L196" s="81"/>
      <c r="M196" s="81"/>
      <c r="N196" s="81"/>
      <c r="O196" s="81"/>
      <c r="P196" s="81"/>
      <c r="Q196" s="81"/>
      <c r="R196" s="81"/>
      <c r="S196" s="81"/>
      <c r="T196" s="81"/>
      <c r="U196" s="81"/>
      <c r="V196" s="94"/>
      <c r="W196" s="94"/>
    </row>
    <row r="197" spans="1:23" ht="21" customHeight="1">
      <c r="A197">
        <f>Table4[[#This Row],[Column1]]</f>
        <v>0</v>
      </c>
      <c r="B197">
        <f>Table4[[#This Row],[Column2]]</f>
        <v>0</v>
      </c>
      <c r="C197" s="81"/>
      <c r="D197" s="82"/>
      <c r="E197" s="82"/>
      <c r="F197" s="81"/>
      <c r="G197" s="81"/>
      <c r="H197" s="81"/>
      <c r="I197" s="81"/>
      <c r="J197" s="81"/>
      <c r="K197" s="81"/>
      <c r="L197" s="81"/>
      <c r="M197" s="81"/>
      <c r="N197" s="81"/>
      <c r="O197" s="81"/>
      <c r="P197" s="81"/>
      <c r="Q197" s="81"/>
      <c r="R197" s="81"/>
      <c r="S197" s="81"/>
      <c r="T197" s="81"/>
      <c r="U197" s="81"/>
      <c r="V197" s="94"/>
      <c r="W197" s="94"/>
    </row>
    <row r="198" spans="1:23" ht="21" customHeight="1">
      <c r="A198">
        <f>Table4[[#This Row],[Column1]]</f>
        <v>0</v>
      </c>
      <c r="B198">
        <f>Table4[[#This Row],[Column2]]</f>
        <v>0</v>
      </c>
      <c r="C198" s="81"/>
      <c r="D198" s="82"/>
      <c r="E198" s="82"/>
      <c r="F198" s="81"/>
      <c r="G198" s="81"/>
      <c r="H198" s="81"/>
      <c r="I198" s="81"/>
      <c r="J198" s="81"/>
      <c r="K198" s="81"/>
      <c r="L198" s="81"/>
      <c r="M198" s="81"/>
      <c r="N198" s="81"/>
      <c r="O198" s="81"/>
      <c r="P198" s="81"/>
      <c r="Q198" s="81"/>
      <c r="R198" s="81"/>
      <c r="S198" s="81"/>
      <c r="T198" s="81"/>
      <c r="U198" s="81"/>
      <c r="V198" s="94"/>
      <c r="W198" s="94"/>
    </row>
    <row r="199" spans="1:23" ht="21" customHeight="1">
      <c r="A199">
        <f>Table4[[#This Row],[Column1]]</f>
        <v>0</v>
      </c>
      <c r="B199">
        <f>Table4[[#This Row],[Column2]]</f>
        <v>0</v>
      </c>
      <c r="C199" s="81"/>
      <c r="D199" s="82"/>
      <c r="E199" s="82"/>
      <c r="F199" s="81"/>
      <c r="G199" s="81"/>
      <c r="H199" s="81"/>
      <c r="I199" s="81"/>
      <c r="J199" s="81"/>
      <c r="K199" s="81"/>
      <c r="L199" s="81"/>
      <c r="M199" s="81"/>
      <c r="N199" s="81"/>
      <c r="O199" s="81"/>
      <c r="P199" s="81"/>
      <c r="Q199" s="81"/>
      <c r="R199" s="81"/>
      <c r="S199" s="81"/>
      <c r="T199" s="81"/>
      <c r="U199" s="81"/>
      <c r="V199" s="94"/>
      <c r="W199" s="94"/>
    </row>
    <row r="200" spans="1:23" ht="21" customHeight="1">
      <c r="A200">
        <f>Table4[[#This Row],[Column1]]</f>
        <v>0</v>
      </c>
      <c r="B200">
        <f>Table4[[#This Row],[Column2]]</f>
        <v>0</v>
      </c>
      <c r="C200" s="81"/>
      <c r="D200" s="82"/>
      <c r="E200" s="82"/>
      <c r="F200" s="81"/>
      <c r="G200" s="81"/>
      <c r="H200" s="81"/>
      <c r="I200" s="81"/>
      <c r="J200" s="81"/>
      <c r="K200" s="81"/>
      <c r="L200" s="81"/>
      <c r="M200" s="81"/>
      <c r="N200" s="81"/>
      <c r="O200" s="81"/>
      <c r="P200" s="81"/>
      <c r="Q200" s="81"/>
      <c r="R200" s="81"/>
      <c r="S200" s="81"/>
      <c r="T200" s="81"/>
      <c r="U200" s="81"/>
      <c r="V200" s="94"/>
      <c r="W200" s="94"/>
    </row>
    <row r="201" spans="1:23" ht="21" customHeight="1">
      <c r="A201">
        <f>Table4[[#This Row],[Column1]]</f>
        <v>0</v>
      </c>
      <c r="B201">
        <f>Table4[[#This Row],[Column2]]</f>
        <v>0</v>
      </c>
      <c r="C201" s="81"/>
      <c r="D201" s="82"/>
      <c r="E201" s="82"/>
      <c r="F201" s="81"/>
      <c r="G201" s="81"/>
      <c r="H201" s="81"/>
      <c r="I201" s="81"/>
      <c r="J201" s="81"/>
      <c r="K201" s="81"/>
      <c r="L201" s="81"/>
      <c r="M201" s="81"/>
      <c r="N201" s="81"/>
      <c r="O201" s="81"/>
      <c r="P201" s="81"/>
      <c r="Q201" s="81"/>
      <c r="R201" s="81"/>
      <c r="S201" s="81"/>
      <c r="T201" s="81"/>
      <c r="U201" s="81"/>
      <c r="V201" s="94"/>
      <c r="W201" s="94"/>
    </row>
    <row r="202" spans="1:23" ht="21" customHeight="1">
      <c r="A202">
        <f>Table4[[#This Row],[Column1]]</f>
        <v>0</v>
      </c>
      <c r="B202">
        <f>Table4[[#This Row],[Column2]]</f>
        <v>0</v>
      </c>
      <c r="C202" s="81"/>
      <c r="D202" s="82"/>
      <c r="E202" s="82"/>
      <c r="F202" s="81"/>
      <c r="G202" s="81"/>
      <c r="H202" s="81"/>
      <c r="I202" s="81"/>
      <c r="J202" s="81"/>
      <c r="K202" s="81"/>
      <c r="L202" s="81"/>
      <c r="M202" s="81"/>
      <c r="N202" s="81"/>
      <c r="O202" s="81"/>
      <c r="P202" s="81"/>
      <c r="Q202" s="81"/>
      <c r="R202" s="81"/>
      <c r="S202" s="81"/>
      <c r="T202" s="81"/>
      <c r="U202" s="81"/>
      <c r="V202" s="94"/>
      <c r="W202" s="94"/>
    </row>
    <row r="203" spans="1:23" ht="21" customHeight="1">
      <c r="A203">
        <f>Table4[[#This Row],[Column1]]</f>
        <v>0</v>
      </c>
      <c r="B203">
        <f>Table4[[#This Row],[Column2]]</f>
        <v>0</v>
      </c>
      <c r="C203" s="81"/>
      <c r="D203" s="82"/>
      <c r="E203" s="82"/>
      <c r="F203" s="81"/>
      <c r="G203" s="81"/>
      <c r="H203" s="81"/>
      <c r="I203" s="81"/>
      <c r="J203" s="81"/>
      <c r="K203" s="81"/>
      <c r="L203" s="81"/>
      <c r="M203" s="81"/>
      <c r="N203" s="81"/>
      <c r="O203" s="81"/>
      <c r="P203" s="81"/>
      <c r="Q203" s="81"/>
      <c r="R203" s="81"/>
      <c r="S203" s="81"/>
      <c r="T203" s="81"/>
      <c r="U203" s="81"/>
      <c r="V203" s="94"/>
      <c r="W203" s="94"/>
    </row>
    <row r="204" spans="1:23" ht="21" customHeight="1">
      <c r="A204">
        <f>Table4[[#This Row],[Column1]]</f>
        <v>0</v>
      </c>
      <c r="B204">
        <f>Table4[[#This Row],[Column2]]</f>
        <v>0</v>
      </c>
      <c r="C204" s="81"/>
      <c r="D204" s="82"/>
      <c r="E204" s="82"/>
      <c r="F204" s="81"/>
      <c r="G204" s="81"/>
      <c r="H204" s="81"/>
      <c r="I204" s="81"/>
      <c r="J204" s="81"/>
      <c r="K204" s="81"/>
      <c r="L204" s="81"/>
      <c r="M204" s="81"/>
      <c r="N204" s="81"/>
      <c r="O204" s="81"/>
      <c r="P204" s="81"/>
      <c r="Q204" s="81"/>
      <c r="R204" s="81"/>
      <c r="S204" s="81"/>
      <c r="T204" s="81"/>
      <c r="U204" s="81"/>
      <c r="V204" s="94"/>
      <c r="W204" s="94"/>
    </row>
    <row r="205" spans="1:23" ht="21" customHeight="1">
      <c r="A205">
        <f>Table4[[#This Row],[Column1]]</f>
        <v>0</v>
      </c>
      <c r="B205">
        <f>Table4[[#This Row],[Column2]]</f>
        <v>0</v>
      </c>
      <c r="C205" s="81"/>
      <c r="D205" s="82"/>
      <c r="E205" s="82"/>
      <c r="F205" s="81"/>
      <c r="G205" s="81"/>
      <c r="H205" s="81"/>
      <c r="I205" s="81"/>
      <c r="J205" s="81"/>
      <c r="K205" s="81"/>
      <c r="L205" s="81"/>
      <c r="M205" s="81"/>
      <c r="N205" s="81"/>
      <c r="O205" s="81"/>
      <c r="P205" s="81"/>
      <c r="Q205" s="81"/>
      <c r="R205" s="81"/>
      <c r="S205" s="81"/>
      <c r="T205" s="81"/>
      <c r="U205" s="81"/>
      <c r="V205" s="94"/>
      <c r="W205" s="94"/>
    </row>
    <row r="206" spans="1:23" ht="21" customHeight="1">
      <c r="A206">
        <f>Table4[[#This Row],[Column1]]</f>
        <v>0</v>
      </c>
      <c r="B206">
        <f>Table4[[#This Row],[Column2]]</f>
        <v>0</v>
      </c>
      <c r="C206" s="81"/>
      <c r="D206" s="82"/>
      <c r="E206" s="82"/>
      <c r="F206" s="81"/>
      <c r="G206" s="81"/>
      <c r="H206" s="81"/>
      <c r="I206" s="81"/>
      <c r="J206" s="81"/>
      <c r="K206" s="81"/>
      <c r="L206" s="81"/>
      <c r="M206" s="81"/>
      <c r="N206" s="81"/>
      <c r="O206" s="81"/>
      <c r="P206" s="81"/>
      <c r="Q206" s="81"/>
      <c r="R206" s="81"/>
      <c r="S206" s="81"/>
      <c r="T206" s="81"/>
      <c r="U206" s="81"/>
      <c r="V206" s="94"/>
      <c r="W206" s="94"/>
    </row>
    <row r="207" spans="1:23" ht="21" customHeight="1">
      <c r="A207">
        <f>Table4[[#This Row],[Column1]]</f>
        <v>0</v>
      </c>
      <c r="B207">
        <f>Table4[[#This Row],[Column2]]</f>
        <v>0</v>
      </c>
      <c r="C207" s="81"/>
      <c r="D207" s="82"/>
      <c r="E207" s="82"/>
      <c r="F207" s="81"/>
      <c r="G207" s="81"/>
      <c r="H207" s="81"/>
      <c r="I207" s="81"/>
      <c r="J207" s="81"/>
      <c r="K207" s="81"/>
      <c r="L207" s="81"/>
      <c r="M207" s="81"/>
      <c r="N207" s="81"/>
      <c r="O207" s="81"/>
      <c r="P207" s="81"/>
      <c r="Q207" s="81"/>
      <c r="R207" s="81"/>
      <c r="S207" s="81"/>
      <c r="T207" s="81"/>
      <c r="U207" s="81"/>
      <c r="V207" s="94"/>
      <c r="W207" s="94"/>
    </row>
    <row r="208" spans="1:23" ht="21" customHeight="1">
      <c r="A208">
        <f>Table4[[#This Row],[Column1]]</f>
        <v>0</v>
      </c>
      <c r="B208">
        <f>Table4[[#This Row],[Column2]]</f>
        <v>0</v>
      </c>
      <c r="C208" s="81"/>
      <c r="D208" s="82"/>
      <c r="E208" s="82"/>
      <c r="F208" s="81"/>
      <c r="G208" s="81"/>
      <c r="H208" s="81"/>
      <c r="I208" s="81"/>
      <c r="J208" s="81"/>
      <c r="K208" s="81"/>
      <c r="L208" s="81"/>
      <c r="M208" s="81"/>
      <c r="N208" s="81"/>
      <c r="O208" s="81"/>
      <c r="P208" s="81"/>
      <c r="Q208" s="81"/>
      <c r="R208" s="81"/>
      <c r="S208" s="81"/>
      <c r="T208" s="81"/>
      <c r="U208" s="81"/>
      <c r="V208" s="94"/>
      <c r="W208" s="94"/>
    </row>
    <row r="209" spans="1:23" ht="21" customHeight="1">
      <c r="A209">
        <f>Table4[[#This Row],[Column1]]</f>
        <v>0</v>
      </c>
      <c r="B209">
        <f>Table4[[#This Row],[Column2]]</f>
        <v>0</v>
      </c>
      <c r="C209" s="81"/>
      <c r="D209" s="82"/>
      <c r="E209" s="82"/>
      <c r="F209" s="81"/>
      <c r="G209" s="81"/>
      <c r="H209" s="81"/>
      <c r="I209" s="81"/>
      <c r="J209" s="81"/>
      <c r="K209" s="81"/>
      <c r="L209" s="81"/>
      <c r="M209" s="81"/>
      <c r="N209" s="81"/>
      <c r="O209" s="81"/>
      <c r="P209" s="81"/>
      <c r="Q209" s="81"/>
      <c r="R209" s="81"/>
      <c r="S209" s="81"/>
      <c r="T209" s="81"/>
      <c r="U209" s="81"/>
      <c r="V209" s="94"/>
      <c r="W209" s="94"/>
    </row>
    <row r="210" spans="1:23" ht="21" customHeight="1">
      <c r="A210">
        <f>Table4[[#This Row],[Column1]]</f>
        <v>0</v>
      </c>
      <c r="B210">
        <f>Table4[[#This Row],[Column2]]</f>
        <v>0</v>
      </c>
      <c r="C210" s="81"/>
      <c r="D210" s="82"/>
      <c r="E210" s="82"/>
      <c r="F210" s="81"/>
      <c r="G210" s="81"/>
      <c r="H210" s="81"/>
      <c r="I210" s="81"/>
      <c r="J210" s="81"/>
      <c r="K210" s="81"/>
      <c r="L210" s="81"/>
      <c r="M210" s="81"/>
      <c r="N210" s="81"/>
      <c r="O210" s="81"/>
      <c r="P210" s="81"/>
      <c r="Q210" s="81"/>
      <c r="R210" s="81"/>
      <c r="S210" s="81"/>
      <c r="T210" s="81"/>
      <c r="U210" s="81"/>
      <c r="V210" s="94"/>
      <c r="W210" s="94"/>
    </row>
    <row r="211" spans="1:23" ht="21" customHeight="1">
      <c r="A211">
        <f>Table4[[#This Row],[Column1]]</f>
        <v>0</v>
      </c>
      <c r="B211">
        <f>Table4[[#This Row],[Column2]]</f>
        <v>0</v>
      </c>
      <c r="C211" s="81"/>
      <c r="D211" s="82"/>
      <c r="E211" s="82"/>
      <c r="F211" s="81"/>
      <c r="G211" s="81"/>
      <c r="H211" s="81"/>
      <c r="I211" s="81"/>
      <c r="J211" s="81"/>
      <c r="K211" s="81"/>
      <c r="L211" s="81"/>
      <c r="M211" s="81"/>
      <c r="N211" s="81"/>
      <c r="O211" s="81"/>
      <c r="P211" s="81"/>
      <c r="Q211" s="81"/>
      <c r="R211" s="81"/>
      <c r="S211" s="81"/>
      <c r="T211" s="81"/>
      <c r="U211" s="81"/>
      <c r="V211" s="94"/>
      <c r="W211" s="94"/>
    </row>
    <row r="212" spans="1:23" ht="21" customHeight="1">
      <c r="A212">
        <f>Table4[[#This Row],[Column1]]</f>
        <v>0</v>
      </c>
      <c r="B212">
        <f>Table4[[#This Row],[Column2]]</f>
        <v>0</v>
      </c>
      <c r="C212" s="81"/>
      <c r="D212" s="82"/>
      <c r="E212" s="82"/>
      <c r="F212" s="81"/>
      <c r="G212" s="81"/>
      <c r="H212" s="81"/>
      <c r="I212" s="81"/>
      <c r="J212" s="81"/>
      <c r="K212" s="81"/>
      <c r="L212" s="81"/>
      <c r="M212" s="81"/>
      <c r="N212" s="81"/>
      <c r="O212" s="81"/>
      <c r="P212" s="81"/>
      <c r="Q212" s="81"/>
      <c r="R212" s="81"/>
      <c r="S212" s="81"/>
      <c r="T212" s="81"/>
      <c r="U212" s="81"/>
      <c r="V212" s="94"/>
      <c r="W212" s="94"/>
    </row>
    <row r="213" spans="1:23" ht="21" customHeight="1">
      <c r="A213">
        <f>Table4[[#This Row],[Column1]]</f>
        <v>0</v>
      </c>
      <c r="B213">
        <f>Table4[[#This Row],[Column2]]</f>
        <v>0</v>
      </c>
      <c r="C213" s="81"/>
      <c r="D213" s="82"/>
      <c r="E213" s="82"/>
      <c r="F213" s="81"/>
      <c r="G213" s="81"/>
      <c r="H213" s="81"/>
      <c r="I213" s="81"/>
      <c r="J213" s="81"/>
      <c r="K213" s="81"/>
      <c r="L213" s="81"/>
      <c r="M213" s="81"/>
      <c r="N213" s="81"/>
      <c r="O213" s="81"/>
      <c r="P213" s="81"/>
      <c r="Q213" s="81"/>
      <c r="R213" s="81"/>
      <c r="S213" s="81"/>
      <c r="T213" s="81"/>
      <c r="U213" s="81"/>
      <c r="V213" s="94"/>
      <c r="W213" s="94"/>
    </row>
    <row r="214" spans="1:23" ht="21" customHeight="1">
      <c r="A214">
        <f>Table4[[#This Row],[Column1]]</f>
        <v>0</v>
      </c>
      <c r="B214">
        <f>Table4[[#This Row],[Column2]]</f>
        <v>0</v>
      </c>
      <c r="C214" s="81"/>
      <c r="D214" s="82"/>
      <c r="E214" s="82"/>
      <c r="F214" s="81"/>
      <c r="G214" s="81"/>
      <c r="H214" s="81"/>
      <c r="I214" s="81"/>
      <c r="J214" s="81"/>
      <c r="K214" s="81"/>
      <c r="L214" s="81"/>
      <c r="M214" s="81"/>
      <c r="N214" s="81"/>
      <c r="O214" s="81"/>
      <c r="P214" s="81"/>
      <c r="Q214" s="81"/>
      <c r="R214" s="81"/>
      <c r="S214" s="81"/>
      <c r="T214" s="81"/>
      <c r="U214" s="81"/>
      <c r="V214" s="94"/>
      <c r="W214" s="94"/>
    </row>
    <row r="215" spans="1:23" ht="21" customHeight="1">
      <c r="A215">
        <f>Table4[[#This Row],[Column1]]</f>
        <v>0</v>
      </c>
      <c r="B215">
        <f>Table4[[#This Row],[Column2]]</f>
        <v>0</v>
      </c>
      <c r="C215" s="81"/>
      <c r="D215" s="82"/>
      <c r="E215" s="82"/>
      <c r="F215" s="81"/>
      <c r="G215" s="81"/>
      <c r="H215" s="81"/>
      <c r="I215" s="81"/>
      <c r="J215" s="81"/>
      <c r="K215" s="81"/>
      <c r="L215" s="81"/>
      <c r="M215" s="81"/>
      <c r="N215" s="81"/>
      <c r="O215" s="81"/>
      <c r="P215" s="81"/>
      <c r="Q215" s="81"/>
      <c r="R215" s="81"/>
      <c r="S215" s="81"/>
      <c r="T215" s="81"/>
      <c r="U215" s="81"/>
      <c r="V215" s="94"/>
      <c r="W215" s="94"/>
    </row>
    <row r="216" spans="1:23" ht="21" customHeight="1">
      <c r="A216">
        <f>Table4[[#This Row],[Column1]]</f>
        <v>0</v>
      </c>
      <c r="B216">
        <f>Table4[[#This Row],[Column2]]</f>
        <v>0</v>
      </c>
      <c r="C216" s="81"/>
      <c r="D216" s="82"/>
      <c r="E216" s="82"/>
      <c r="F216" s="81"/>
      <c r="G216" s="81"/>
      <c r="H216" s="81"/>
      <c r="I216" s="81"/>
      <c r="J216" s="81"/>
      <c r="K216" s="81"/>
      <c r="L216" s="81"/>
      <c r="M216" s="81"/>
      <c r="N216" s="81"/>
      <c r="O216" s="81"/>
      <c r="P216" s="81"/>
      <c r="Q216" s="81"/>
      <c r="R216" s="81"/>
      <c r="S216" s="81"/>
      <c r="T216" s="81"/>
      <c r="U216" s="81"/>
      <c r="V216" s="94"/>
      <c r="W216" s="94"/>
    </row>
    <row r="217" spans="1:23" ht="21" customHeight="1">
      <c r="A217">
        <f>Table4[[#This Row],[Column1]]</f>
        <v>0</v>
      </c>
      <c r="B217">
        <f>Table4[[#This Row],[Column2]]</f>
        <v>0</v>
      </c>
      <c r="C217" s="81"/>
      <c r="D217" s="82"/>
      <c r="E217" s="82"/>
      <c r="F217" s="81"/>
      <c r="G217" s="81"/>
      <c r="H217" s="81"/>
      <c r="I217" s="81"/>
      <c r="J217" s="81"/>
      <c r="K217" s="81"/>
      <c r="L217" s="81"/>
      <c r="M217" s="81"/>
      <c r="N217" s="81"/>
      <c r="O217" s="81"/>
      <c r="P217" s="81"/>
      <c r="Q217" s="81"/>
      <c r="R217" s="81"/>
      <c r="S217" s="81"/>
      <c r="T217" s="81"/>
      <c r="U217" s="81"/>
      <c r="V217" s="94"/>
      <c r="W217" s="94"/>
    </row>
    <row r="218" spans="1:23" ht="21" customHeight="1">
      <c r="A218">
        <f>Table4[[#This Row],[Column1]]</f>
        <v>0</v>
      </c>
      <c r="B218">
        <f>Table4[[#This Row],[Column2]]</f>
        <v>0</v>
      </c>
      <c r="C218" s="81"/>
      <c r="D218" s="82"/>
      <c r="E218" s="82"/>
      <c r="F218" s="81"/>
      <c r="G218" s="81"/>
      <c r="H218" s="81"/>
      <c r="I218" s="81"/>
      <c r="J218" s="81"/>
      <c r="K218" s="81"/>
      <c r="L218" s="81"/>
      <c r="M218" s="81"/>
      <c r="N218" s="81"/>
      <c r="O218" s="81"/>
      <c r="P218" s="81"/>
      <c r="Q218" s="81"/>
      <c r="R218" s="81"/>
      <c r="S218" s="81"/>
      <c r="T218" s="81"/>
      <c r="U218" s="81"/>
      <c r="V218" s="94"/>
      <c r="W218" s="94"/>
    </row>
    <row r="219" spans="1:23" ht="21" customHeight="1">
      <c r="A219">
        <f>Table4[[#This Row],[Column1]]</f>
        <v>0</v>
      </c>
      <c r="B219">
        <f>Table4[[#This Row],[Column2]]</f>
        <v>0</v>
      </c>
      <c r="C219" s="81"/>
      <c r="D219" s="82"/>
      <c r="E219" s="82"/>
      <c r="F219" s="81"/>
      <c r="G219" s="81"/>
      <c r="H219" s="81"/>
      <c r="I219" s="81"/>
      <c r="J219" s="81"/>
      <c r="K219" s="81"/>
      <c r="L219" s="81"/>
      <c r="M219" s="81"/>
      <c r="N219" s="81"/>
      <c r="O219" s="81"/>
      <c r="P219" s="81"/>
      <c r="Q219" s="81"/>
      <c r="R219" s="81"/>
      <c r="S219" s="81"/>
      <c r="T219" s="81"/>
      <c r="U219" s="81"/>
      <c r="V219" s="94"/>
      <c r="W219" s="94"/>
    </row>
    <row r="220" spans="1:23" ht="21" customHeight="1">
      <c r="A220">
        <f>Table4[[#This Row],[Column1]]</f>
        <v>0</v>
      </c>
      <c r="B220">
        <f>Table4[[#This Row],[Column2]]</f>
        <v>0</v>
      </c>
      <c r="C220" s="81"/>
      <c r="D220" s="82"/>
      <c r="E220" s="82"/>
      <c r="F220" s="81"/>
      <c r="G220" s="81"/>
      <c r="H220" s="81"/>
      <c r="I220" s="81"/>
      <c r="J220" s="81"/>
      <c r="K220" s="81"/>
      <c r="L220" s="81"/>
      <c r="M220" s="81"/>
      <c r="N220" s="81"/>
      <c r="O220" s="81"/>
      <c r="P220" s="81"/>
      <c r="Q220" s="81"/>
      <c r="R220" s="81"/>
      <c r="S220" s="81"/>
      <c r="T220" s="81"/>
      <c r="U220" s="81"/>
      <c r="V220" s="94"/>
      <c r="W220" s="94"/>
    </row>
    <row r="221" spans="1:23" ht="21" customHeight="1">
      <c r="A221">
        <f>Table4[[#This Row],[Column1]]</f>
        <v>0</v>
      </c>
      <c r="B221">
        <f>Table4[[#This Row],[Column2]]</f>
        <v>0</v>
      </c>
      <c r="C221" s="81"/>
      <c r="D221" s="82"/>
      <c r="E221" s="82"/>
      <c r="F221" s="81"/>
      <c r="G221" s="81"/>
      <c r="H221" s="81"/>
      <c r="I221" s="81"/>
      <c r="J221" s="81"/>
      <c r="K221" s="81"/>
      <c r="L221" s="81"/>
      <c r="M221" s="81"/>
      <c r="N221" s="81"/>
      <c r="O221" s="81"/>
      <c r="P221" s="81"/>
      <c r="Q221" s="81"/>
      <c r="R221" s="81"/>
      <c r="S221" s="81"/>
      <c r="T221" s="81"/>
      <c r="U221" s="81"/>
      <c r="V221" s="94"/>
      <c r="W221" s="94"/>
    </row>
    <row r="222" spans="1:23" ht="21" customHeight="1">
      <c r="A222">
        <f>Table4[[#This Row],[Column1]]</f>
        <v>0</v>
      </c>
      <c r="B222">
        <f>Table4[[#This Row],[Column2]]</f>
        <v>0</v>
      </c>
      <c r="C222" s="81"/>
      <c r="D222" s="82"/>
      <c r="E222" s="82"/>
      <c r="F222" s="81"/>
      <c r="G222" s="81"/>
      <c r="H222" s="81"/>
      <c r="I222" s="81"/>
      <c r="J222" s="81"/>
      <c r="K222" s="81"/>
      <c r="L222" s="81"/>
      <c r="M222" s="81"/>
      <c r="N222" s="81"/>
      <c r="O222" s="81"/>
      <c r="P222" s="81"/>
      <c r="Q222" s="81"/>
      <c r="R222" s="81"/>
      <c r="S222" s="81"/>
      <c r="T222" s="81"/>
      <c r="U222" s="81"/>
      <c r="V222" s="94"/>
      <c r="W222" s="94"/>
    </row>
    <row r="223" spans="1:23" ht="21" customHeight="1">
      <c r="A223">
        <f>Table4[[#This Row],[Column1]]</f>
        <v>0</v>
      </c>
      <c r="B223">
        <f>Table4[[#This Row],[Column2]]</f>
        <v>0</v>
      </c>
      <c r="C223" s="81"/>
      <c r="D223" s="82"/>
      <c r="E223" s="82"/>
      <c r="F223" s="81"/>
      <c r="G223" s="81"/>
      <c r="H223" s="81"/>
      <c r="I223" s="81"/>
      <c r="J223" s="81"/>
      <c r="K223" s="81"/>
      <c r="L223" s="81"/>
      <c r="M223" s="81"/>
      <c r="N223" s="81"/>
      <c r="O223" s="81"/>
      <c r="P223" s="81"/>
      <c r="Q223" s="81"/>
      <c r="R223" s="81"/>
      <c r="S223" s="81"/>
      <c r="T223" s="81"/>
      <c r="U223" s="81"/>
      <c r="V223" s="94"/>
      <c r="W223" s="94"/>
    </row>
    <row r="224" spans="1:23" ht="21" customHeight="1">
      <c r="A224">
        <f>Table4[[#This Row],[Column1]]</f>
        <v>0</v>
      </c>
      <c r="B224">
        <f>Table4[[#This Row],[Column2]]</f>
        <v>0</v>
      </c>
      <c r="C224" s="81"/>
      <c r="D224" s="82"/>
      <c r="E224" s="82"/>
      <c r="F224" s="81"/>
      <c r="G224" s="81"/>
      <c r="H224" s="81"/>
      <c r="I224" s="81"/>
      <c r="J224" s="81"/>
      <c r="K224" s="81"/>
      <c r="L224" s="81"/>
      <c r="M224" s="81"/>
      <c r="N224" s="81"/>
      <c r="O224" s="81"/>
      <c r="P224" s="81"/>
      <c r="Q224" s="81"/>
      <c r="R224" s="81"/>
      <c r="S224" s="81"/>
      <c r="T224" s="81"/>
      <c r="U224" s="81"/>
      <c r="V224" s="94"/>
      <c r="W224" s="94"/>
    </row>
    <row r="225" spans="1:23" ht="21" customHeight="1">
      <c r="A225">
        <f>Table4[[#This Row],[Column1]]</f>
        <v>0</v>
      </c>
      <c r="B225">
        <f>Table4[[#This Row],[Column2]]</f>
        <v>0</v>
      </c>
      <c r="C225" s="81"/>
      <c r="D225" s="82"/>
      <c r="E225" s="82"/>
      <c r="F225" s="81"/>
      <c r="G225" s="81"/>
      <c r="H225" s="81"/>
      <c r="I225" s="81"/>
      <c r="J225" s="81"/>
      <c r="K225" s="81"/>
      <c r="L225" s="81"/>
      <c r="M225" s="81"/>
      <c r="N225" s="81"/>
      <c r="O225" s="81"/>
      <c r="P225" s="81"/>
      <c r="Q225" s="81"/>
      <c r="R225" s="81"/>
      <c r="S225" s="81"/>
      <c r="T225" s="81"/>
      <c r="U225" s="81"/>
      <c r="V225" s="94"/>
      <c r="W225" s="94"/>
    </row>
    <row r="226" spans="1:23" ht="21" customHeight="1">
      <c r="A226">
        <f>Table4[[#This Row],[Column1]]</f>
        <v>0</v>
      </c>
      <c r="B226">
        <f>Table4[[#This Row],[Column2]]</f>
        <v>0</v>
      </c>
      <c r="C226" s="81"/>
      <c r="D226" s="82"/>
      <c r="E226" s="82"/>
      <c r="F226" s="81"/>
      <c r="G226" s="81"/>
      <c r="H226" s="81"/>
      <c r="I226" s="81"/>
      <c r="J226" s="81"/>
      <c r="K226" s="81"/>
      <c r="L226" s="81"/>
      <c r="M226" s="81"/>
      <c r="N226" s="81"/>
      <c r="O226" s="81"/>
      <c r="P226" s="81"/>
      <c r="Q226" s="81"/>
      <c r="R226" s="81"/>
      <c r="S226" s="81"/>
      <c r="T226" s="81"/>
      <c r="U226" s="81"/>
      <c r="V226" s="94"/>
      <c r="W226" s="94"/>
    </row>
    <row r="227" spans="1:23" ht="21" customHeight="1">
      <c r="A227">
        <f>Table4[[#This Row],[Column1]]</f>
        <v>0</v>
      </c>
      <c r="B227">
        <f>Table4[[#This Row],[Column2]]</f>
        <v>0</v>
      </c>
      <c r="C227" s="81"/>
      <c r="D227" s="82"/>
      <c r="E227" s="82"/>
      <c r="F227" s="81"/>
      <c r="G227" s="81"/>
      <c r="H227" s="81"/>
      <c r="I227" s="81"/>
      <c r="J227" s="81"/>
      <c r="K227" s="81"/>
      <c r="L227" s="81"/>
      <c r="M227" s="81"/>
      <c r="N227" s="81"/>
      <c r="O227" s="81"/>
      <c r="P227" s="81"/>
      <c r="Q227" s="81"/>
      <c r="R227" s="81"/>
      <c r="S227" s="81"/>
      <c r="T227" s="81"/>
      <c r="U227" s="81"/>
      <c r="V227" s="94"/>
      <c r="W227" s="94"/>
    </row>
    <row r="228" spans="1:23" ht="21" customHeight="1">
      <c r="A228">
        <f>Table4[[#This Row],[Column1]]</f>
        <v>0</v>
      </c>
      <c r="B228">
        <f>Table4[[#This Row],[Column2]]</f>
        <v>0</v>
      </c>
      <c r="C228" s="81"/>
      <c r="D228" s="82"/>
      <c r="E228" s="82"/>
      <c r="F228" s="81"/>
      <c r="G228" s="81"/>
      <c r="H228" s="81"/>
      <c r="I228" s="81"/>
      <c r="J228" s="81"/>
      <c r="K228" s="81"/>
      <c r="L228" s="81"/>
      <c r="M228" s="81"/>
      <c r="N228" s="81"/>
      <c r="O228" s="81"/>
      <c r="P228" s="81"/>
      <c r="Q228" s="81"/>
      <c r="R228" s="81"/>
      <c r="S228" s="81"/>
      <c r="T228" s="81"/>
      <c r="U228" s="81"/>
      <c r="V228" s="94"/>
      <c r="W228" s="94"/>
    </row>
    <row r="229" spans="1:23" ht="21" customHeight="1">
      <c r="A229">
        <f>Table4[[#This Row],[Column1]]</f>
        <v>0</v>
      </c>
      <c r="B229">
        <f>Table4[[#This Row],[Column2]]</f>
        <v>0</v>
      </c>
      <c r="C229" s="81"/>
      <c r="D229" s="82"/>
      <c r="E229" s="82"/>
      <c r="F229" s="81"/>
      <c r="G229" s="81"/>
      <c r="H229" s="81"/>
      <c r="I229" s="81"/>
      <c r="J229" s="81"/>
      <c r="K229" s="81"/>
      <c r="L229" s="81"/>
      <c r="M229" s="81"/>
      <c r="N229" s="81"/>
      <c r="O229" s="81"/>
      <c r="P229" s="81"/>
      <c r="Q229" s="81"/>
      <c r="R229" s="81"/>
      <c r="S229" s="81"/>
      <c r="T229" s="81"/>
      <c r="U229" s="81"/>
      <c r="V229" s="94"/>
      <c r="W229" s="94"/>
    </row>
    <row r="230" spans="1:23" ht="21" customHeight="1">
      <c r="A230">
        <f>Table4[[#This Row],[Column1]]</f>
        <v>0</v>
      </c>
      <c r="B230">
        <f>Table4[[#This Row],[Column2]]</f>
        <v>0</v>
      </c>
      <c r="C230" s="81"/>
      <c r="D230" s="82"/>
      <c r="E230" s="82"/>
      <c r="F230" s="81"/>
      <c r="G230" s="81"/>
      <c r="H230" s="81"/>
      <c r="I230" s="81"/>
      <c r="J230" s="81"/>
      <c r="K230" s="81"/>
      <c r="L230" s="81"/>
      <c r="M230" s="81"/>
      <c r="N230" s="81"/>
      <c r="O230" s="81"/>
      <c r="P230" s="81"/>
      <c r="Q230" s="81"/>
      <c r="R230" s="81"/>
      <c r="S230" s="81"/>
      <c r="T230" s="81"/>
      <c r="U230" s="81"/>
      <c r="V230" s="94"/>
      <c r="W230" s="94"/>
    </row>
    <row r="231" spans="1:23" ht="21" customHeight="1">
      <c r="A231">
        <f>Table4[[#This Row],[Column1]]</f>
        <v>0</v>
      </c>
      <c r="B231">
        <f>Table4[[#This Row],[Column2]]</f>
        <v>0</v>
      </c>
      <c r="C231" s="81"/>
      <c r="D231" s="82"/>
      <c r="E231" s="82"/>
      <c r="F231" s="81"/>
      <c r="G231" s="81"/>
      <c r="H231" s="81"/>
      <c r="I231" s="81"/>
      <c r="J231" s="81"/>
      <c r="K231" s="81"/>
      <c r="L231" s="81"/>
      <c r="M231" s="81"/>
      <c r="N231" s="81"/>
      <c r="O231" s="81"/>
      <c r="P231" s="81"/>
      <c r="Q231" s="81"/>
      <c r="R231" s="81"/>
      <c r="S231" s="81"/>
      <c r="T231" s="81"/>
      <c r="U231" s="81"/>
      <c r="V231" s="94"/>
      <c r="W231" s="94"/>
    </row>
    <row r="232" spans="1:23" ht="21" customHeight="1">
      <c r="A232">
        <f>Table4[[#This Row],[Column1]]</f>
        <v>0</v>
      </c>
      <c r="B232">
        <f>Table4[[#This Row],[Column2]]</f>
        <v>0</v>
      </c>
      <c r="C232" s="81"/>
      <c r="D232" s="82"/>
      <c r="E232" s="82"/>
      <c r="F232" s="81"/>
      <c r="G232" s="81"/>
      <c r="H232" s="81"/>
      <c r="I232" s="81"/>
      <c r="J232" s="81"/>
      <c r="K232" s="81"/>
      <c r="L232" s="81"/>
      <c r="M232" s="81"/>
      <c r="N232" s="81"/>
      <c r="O232" s="81"/>
      <c r="P232" s="81"/>
      <c r="Q232" s="81"/>
      <c r="R232" s="81"/>
      <c r="S232" s="81"/>
      <c r="T232" s="81"/>
      <c r="U232" s="81"/>
      <c r="V232" s="94"/>
      <c r="W232" s="94"/>
    </row>
    <row r="233" spans="1:23" ht="21" customHeight="1">
      <c r="A233">
        <f>Table4[[#This Row],[Column1]]</f>
        <v>0</v>
      </c>
      <c r="B233">
        <f>Table4[[#This Row],[Column2]]</f>
        <v>0</v>
      </c>
      <c r="C233" s="81"/>
      <c r="D233" s="82"/>
      <c r="E233" s="82"/>
      <c r="F233" s="81"/>
      <c r="G233" s="81"/>
      <c r="H233" s="81"/>
      <c r="I233" s="81"/>
      <c r="J233" s="81"/>
      <c r="K233" s="81"/>
      <c r="L233" s="81"/>
      <c r="M233" s="81"/>
      <c r="N233" s="81"/>
      <c r="O233" s="81"/>
      <c r="P233" s="81"/>
      <c r="Q233" s="81"/>
      <c r="R233" s="81"/>
      <c r="S233" s="81"/>
      <c r="T233" s="81"/>
      <c r="U233" s="81"/>
      <c r="V233" s="94"/>
      <c r="W233" s="94"/>
    </row>
    <row r="234" spans="1:23" ht="21" customHeight="1">
      <c r="A234">
        <f>Table4[[#This Row],[Column1]]</f>
        <v>0</v>
      </c>
      <c r="B234">
        <f>Table4[[#This Row],[Column2]]</f>
        <v>0</v>
      </c>
      <c r="C234" s="81"/>
      <c r="D234" s="82"/>
      <c r="E234" s="82"/>
      <c r="F234" s="81"/>
      <c r="G234" s="81"/>
      <c r="H234" s="81"/>
      <c r="I234" s="81"/>
      <c r="J234" s="81"/>
      <c r="K234" s="81"/>
      <c r="L234" s="81"/>
      <c r="M234" s="81"/>
      <c r="N234" s="81"/>
      <c r="O234" s="81"/>
      <c r="P234" s="81"/>
      <c r="Q234" s="81"/>
      <c r="R234" s="81"/>
      <c r="S234" s="81"/>
      <c r="T234" s="81"/>
      <c r="U234" s="81"/>
      <c r="V234" s="94"/>
      <c r="W234" s="94"/>
    </row>
    <row r="235" spans="1:23" ht="21" customHeight="1">
      <c r="A235">
        <f>Table4[[#This Row],[Column1]]</f>
        <v>0</v>
      </c>
      <c r="B235">
        <f>Table4[[#This Row],[Column2]]</f>
        <v>0</v>
      </c>
      <c r="C235" s="81"/>
      <c r="D235" s="82"/>
      <c r="E235" s="82"/>
      <c r="F235" s="81"/>
      <c r="G235" s="81"/>
      <c r="H235" s="81"/>
      <c r="I235" s="81"/>
      <c r="J235" s="81"/>
      <c r="K235" s="81"/>
      <c r="L235" s="81"/>
      <c r="M235" s="81"/>
      <c r="N235" s="81"/>
      <c r="O235" s="81"/>
      <c r="P235" s="81"/>
      <c r="Q235" s="81"/>
      <c r="R235" s="81"/>
      <c r="S235" s="81"/>
      <c r="T235" s="81"/>
      <c r="U235" s="81"/>
      <c r="V235" s="94"/>
      <c r="W235" s="94"/>
    </row>
    <row r="236" spans="1:23" ht="21" customHeight="1">
      <c r="A236">
        <f>Table4[[#This Row],[Column1]]</f>
        <v>0</v>
      </c>
      <c r="B236">
        <f>Table4[[#This Row],[Column2]]</f>
        <v>0</v>
      </c>
      <c r="C236" s="81"/>
      <c r="D236" s="82"/>
      <c r="E236" s="82"/>
      <c r="F236" s="81"/>
      <c r="G236" s="81"/>
      <c r="H236" s="81"/>
      <c r="I236" s="81"/>
      <c r="J236" s="81"/>
      <c r="K236" s="81"/>
      <c r="L236" s="81"/>
      <c r="M236" s="81"/>
      <c r="N236" s="81"/>
      <c r="O236" s="81"/>
      <c r="P236" s="81"/>
      <c r="Q236" s="81"/>
      <c r="R236" s="81"/>
      <c r="S236" s="81"/>
      <c r="T236" s="81"/>
      <c r="U236" s="81"/>
      <c r="V236" s="94"/>
      <c r="W236" s="94"/>
    </row>
    <row r="237" spans="1:23" ht="21" customHeight="1">
      <c r="A237">
        <f>Table4[[#This Row],[Column1]]</f>
        <v>0</v>
      </c>
      <c r="B237">
        <f>Table4[[#This Row],[Column2]]</f>
        <v>0</v>
      </c>
      <c r="C237" s="81"/>
      <c r="D237" s="82"/>
      <c r="E237" s="82"/>
      <c r="F237" s="81"/>
      <c r="G237" s="81"/>
      <c r="H237" s="81"/>
      <c r="I237" s="81"/>
      <c r="J237" s="81"/>
      <c r="K237" s="81"/>
      <c r="L237" s="81"/>
      <c r="M237" s="81"/>
      <c r="N237" s="81"/>
      <c r="O237" s="81"/>
      <c r="P237" s="81"/>
      <c r="Q237" s="81"/>
      <c r="R237" s="81"/>
      <c r="S237" s="81"/>
      <c r="T237" s="81"/>
      <c r="U237" s="81"/>
      <c r="V237" s="94"/>
      <c r="W237" s="94"/>
    </row>
    <row r="238" spans="1:23" ht="21" customHeight="1">
      <c r="A238">
        <f>Table4[[#This Row],[Column1]]</f>
        <v>0</v>
      </c>
      <c r="B238">
        <f>Table4[[#This Row],[Column2]]</f>
        <v>0</v>
      </c>
      <c r="C238" s="81"/>
      <c r="D238" s="82"/>
      <c r="E238" s="82"/>
      <c r="F238" s="81"/>
      <c r="G238" s="81"/>
      <c r="H238" s="81"/>
      <c r="I238" s="81"/>
      <c r="J238" s="81"/>
      <c r="K238" s="81"/>
      <c r="L238" s="81"/>
      <c r="M238" s="81"/>
      <c r="N238" s="81"/>
      <c r="O238" s="81"/>
      <c r="P238" s="81"/>
      <c r="Q238" s="81"/>
      <c r="R238" s="81"/>
      <c r="S238" s="81"/>
      <c r="T238" s="81"/>
      <c r="U238" s="81"/>
      <c r="V238" s="94"/>
      <c r="W238" s="94"/>
    </row>
    <row r="239" spans="1:23" ht="21" customHeight="1">
      <c r="A239">
        <f>Table4[[#This Row],[Column1]]</f>
        <v>0</v>
      </c>
      <c r="B239">
        <f>Table4[[#This Row],[Column2]]</f>
        <v>0</v>
      </c>
      <c r="C239" s="81"/>
      <c r="D239" s="82"/>
      <c r="E239" s="82"/>
      <c r="F239" s="81"/>
      <c r="G239" s="81"/>
      <c r="H239" s="81"/>
      <c r="I239" s="81"/>
      <c r="J239" s="81"/>
      <c r="K239" s="81"/>
      <c r="L239" s="81"/>
      <c r="M239" s="81"/>
      <c r="N239" s="81"/>
      <c r="O239" s="81"/>
      <c r="P239" s="81"/>
      <c r="Q239" s="81"/>
      <c r="R239" s="81"/>
      <c r="S239" s="81"/>
      <c r="T239" s="81"/>
      <c r="U239" s="81"/>
      <c r="V239" s="94"/>
      <c r="W239" s="94"/>
    </row>
    <row r="240" spans="1:23" ht="21" customHeight="1">
      <c r="A240">
        <f>Table4[[#This Row],[Column1]]</f>
        <v>0</v>
      </c>
      <c r="B240">
        <f>Table4[[#This Row],[Column2]]</f>
        <v>0</v>
      </c>
      <c r="C240" s="81"/>
      <c r="D240" s="82"/>
      <c r="E240" s="82"/>
      <c r="F240" s="81"/>
      <c r="G240" s="81"/>
      <c r="H240" s="81"/>
      <c r="I240" s="81"/>
      <c r="J240" s="81"/>
      <c r="K240" s="81"/>
      <c r="L240" s="81"/>
      <c r="M240" s="81"/>
      <c r="N240" s="81"/>
      <c r="O240" s="81"/>
      <c r="P240" s="81"/>
      <c r="Q240" s="81"/>
      <c r="R240" s="81"/>
      <c r="S240" s="81"/>
      <c r="T240" s="81"/>
      <c r="U240" s="81"/>
      <c r="V240" s="94"/>
      <c r="W240" s="94"/>
    </row>
    <row r="241" spans="1:23" ht="21" customHeight="1">
      <c r="A241">
        <f>Table4[[#This Row],[Column1]]</f>
        <v>0</v>
      </c>
      <c r="B241">
        <f>Table4[[#This Row],[Column2]]</f>
        <v>0</v>
      </c>
      <c r="C241" s="81"/>
      <c r="D241" s="82"/>
      <c r="E241" s="82"/>
      <c r="F241" s="81"/>
      <c r="G241" s="81"/>
      <c r="H241" s="81"/>
      <c r="I241" s="81"/>
      <c r="J241" s="81"/>
      <c r="K241" s="81"/>
      <c r="L241" s="81"/>
      <c r="M241" s="81"/>
      <c r="N241" s="81"/>
      <c r="O241" s="81"/>
      <c r="P241" s="81"/>
      <c r="Q241" s="81"/>
      <c r="R241" s="81"/>
      <c r="S241" s="81"/>
      <c r="T241" s="81"/>
      <c r="U241" s="81"/>
      <c r="V241" s="94"/>
      <c r="W241" s="94"/>
    </row>
    <row r="242" spans="1:23" ht="21" customHeight="1">
      <c r="A242">
        <f>Table4[[#This Row],[Column1]]</f>
        <v>0</v>
      </c>
      <c r="B242">
        <f>Table4[[#This Row],[Column2]]</f>
        <v>0</v>
      </c>
      <c r="C242" s="81"/>
      <c r="D242" s="82"/>
      <c r="E242" s="82"/>
      <c r="F242" s="81"/>
      <c r="G242" s="81"/>
      <c r="H242" s="81"/>
      <c r="I242" s="81"/>
      <c r="J242" s="81"/>
      <c r="K242" s="81"/>
      <c r="L242" s="81"/>
      <c r="M242" s="81"/>
      <c r="N242" s="81"/>
      <c r="O242" s="81"/>
      <c r="P242" s="81"/>
      <c r="Q242" s="81"/>
      <c r="R242" s="81"/>
      <c r="S242" s="81"/>
      <c r="T242" s="81"/>
      <c r="U242" s="81"/>
      <c r="V242" s="94"/>
      <c r="W242" s="94"/>
    </row>
    <row r="243" spans="1:23" ht="21" customHeight="1">
      <c r="A243">
        <f>Table4[[#This Row],[Column1]]</f>
        <v>0</v>
      </c>
      <c r="B243">
        <f>Table4[[#This Row],[Column2]]</f>
        <v>0</v>
      </c>
      <c r="C243" s="81"/>
      <c r="D243" s="82"/>
      <c r="E243" s="82"/>
      <c r="F243" s="81"/>
      <c r="G243" s="81"/>
      <c r="H243" s="81"/>
      <c r="I243" s="81"/>
      <c r="J243" s="81"/>
      <c r="K243" s="81"/>
      <c r="L243" s="81"/>
      <c r="M243" s="81"/>
      <c r="N243" s="81"/>
      <c r="O243" s="81"/>
      <c r="P243" s="81"/>
      <c r="Q243" s="81"/>
      <c r="R243" s="81"/>
      <c r="S243" s="81"/>
      <c r="T243" s="81"/>
      <c r="U243" s="81"/>
      <c r="V243" s="94"/>
      <c r="W243" s="94"/>
    </row>
    <row r="244" spans="1:23" ht="21" customHeight="1">
      <c r="A244">
        <f>Table4[[#This Row],[Column1]]</f>
        <v>0</v>
      </c>
      <c r="B244">
        <f>Table4[[#This Row],[Column2]]</f>
        <v>0</v>
      </c>
      <c r="C244" s="81"/>
      <c r="D244" s="82"/>
      <c r="E244" s="82"/>
      <c r="F244" s="81"/>
      <c r="G244" s="81"/>
      <c r="H244" s="81"/>
      <c r="I244" s="81"/>
      <c r="J244" s="81"/>
      <c r="K244" s="81"/>
      <c r="L244" s="81"/>
      <c r="M244" s="81"/>
      <c r="N244" s="81"/>
      <c r="O244" s="81"/>
      <c r="P244" s="81"/>
      <c r="Q244" s="81"/>
      <c r="R244" s="81"/>
      <c r="S244" s="81"/>
      <c r="T244" s="81"/>
      <c r="U244" s="81"/>
      <c r="V244" s="94"/>
      <c r="W244" s="94"/>
    </row>
    <row r="245" spans="1:23" ht="21" customHeight="1">
      <c r="A245">
        <f>Table4[[#This Row],[Column1]]</f>
        <v>0</v>
      </c>
      <c r="B245">
        <f>Table4[[#This Row],[Column2]]</f>
        <v>0</v>
      </c>
      <c r="C245" s="81"/>
      <c r="D245" s="82"/>
      <c r="E245" s="82"/>
      <c r="F245" s="81"/>
      <c r="G245" s="81"/>
      <c r="H245" s="81"/>
      <c r="I245" s="81"/>
      <c r="J245" s="81"/>
      <c r="K245" s="81"/>
      <c r="L245" s="81"/>
      <c r="M245" s="81"/>
      <c r="N245" s="81"/>
      <c r="O245" s="81"/>
      <c r="P245" s="81"/>
      <c r="Q245" s="81"/>
      <c r="R245" s="81"/>
      <c r="S245" s="81"/>
      <c r="T245" s="81"/>
      <c r="U245" s="81"/>
      <c r="V245" s="94"/>
      <c r="W245" s="94"/>
    </row>
    <row r="246" spans="1:23" ht="21" customHeight="1">
      <c r="A246">
        <f>Table4[[#This Row],[Column1]]</f>
        <v>0</v>
      </c>
      <c r="B246">
        <f>Table4[[#This Row],[Column2]]</f>
        <v>0</v>
      </c>
      <c r="C246" s="81"/>
      <c r="D246" s="82"/>
      <c r="E246" s="82"/>
      <c r="F246" s="81"/>
      <c r="G246" s="81"/>
      <c r="H246" s="81"/>
      <c r="I246" s="81"/>
      <c r="J246" s="81"/>
      <c r="K246" s="81"/>
      <c r="L246" s="81"/>
      <c r="M246" s="81"/>
      <c r="N246" s="81"/>
      <c r="O246" s="81"/>
      <c r="P246" s="81"/>
      <c r="Q246" s="81"/>
      <c r="R246" s="81"/>
      <c r="S246" s="81"/>
      <c r="T246" s="81"/>
      <c r="U246" s="81"/>
      <c r="V246" s="94"/>
      <c r="W246" s="94"/>
    </row>
    <row r="247" spans="1:23" ht="21" customHeight="1">
      <c r="A247">
        <f>Table4[[#This Row],[Column1]]</f>
        <v>0</v>
      </c>
      <c r="B247">
        <f>Table4[[#This Row],[Column2]]</f>
        <v>0</v>
      </c>
      <c r="C247" s="81"/>
      <c r="D247" s="82"/>
      <c r="E247" s="82"/>
      <c r="F247" s="81"/>
      <c r="G247" s="81"/>
      <c r="H247" s="81"/>
      <c r="I247" s="81"/>
      <c r="J247" s="81"/>
      <c r="K247" s="81"/>
      <c r="L247" s="81"/>
      <c r="M247" s="81"/>
      <c r="N247" s="81"/>
      <c r="O247" s="81"/>
      <c r="P247" s="81"/>
      <c r="Q247" s="81"/>
      <c r="R247" s="81"/>
      <c r="S247" s="81"/>
      <c r="T247" s="81"/>
      <c r="U247" s="81"/>
      <c r="V247" s="94"/>
      <c r="W247" s="94"/>
    </row>
    <row r="248" spans="1:23" ht="21" customHeight="1">
      <c r="A248">
        <f>Table4[[#This Row],[Column1]]</f>
        <v>0</v>
      </c>
      <c r="B248">
        <f>Table4[[#This Row],[Column2]]</f>
        <v>0</v>
      </c>
      <c r="C248" s="81"/>
      <c r="D248" s="82"/>
      <c r="E248" s="82"/>
      <c r="F248" s="81"/>
      <c r="G248" s="81"/>
      <c r="H248" s="81"/>
      <c r="I248" s="81"/>
      <c r="J248" s="81"/>
      <c r="K248" s="81"/>
      <c r="L248" s="81"/>
      <c r="M248" s="81"/>
      <c r="N248" s="81"/>
      <c r="O248" s="81"/>
      <c r="P248" s="81"/>
      <c r="Q248" s="81"/>
      <c r="R248" s="81"/>
      <c r="S248" s="81"/>
      <c r="T248" s="81"/>
      <c r="U248" s="81"/>
      <c r="V248" s="94"/>
      <c r="W248" s="94"/>
    </row>
    <row r="249" spans="1:23" ht="21" customHeight="1">
      <c r="A249">
        <f>Table4[[#This Row],[Column1]]</f>
        <v>0</v>
      </c>
      <c r="B249">
        <f>Table4[[#This Row],[Column2]]</f>
        <v>0</v>
      </c>
      <c r="C249" s="81"/>
      <c r="D249" s="82"/>
      <c r="E249" s="82"/>
      <c r="F249" s="81"/>
      <c r="G249" s="81"/>
      <c r="H249" s="81"/>
      <c r="I249" s="81"/>
      <c r="J249" s="81"/>
      <c r="K249" s="81"/>
      <c r="L249" s="81"/>
      <c r="M249" s="81"/>
      <c r="N249" s="81"/>
      <c r="O249" s="81"/>
      <c r="P249" s="81"/>
      <c r="Q249" s="81"/>
      <c r="R249" s="81"/>
      <c r="S249" s="81"/>
      <c r="T249" s="81"/>
      <c r="U249" s="81"/>
      <c r="V249" s="94"/>
      <c r="W249" s="94"/>
    </row>
    <row r="250" spans="1:23" ht="21" customHeight="1">
      <c r="A250">
        <f>Table4[[#This Row],[Column1]]</f>
        <v>0</v>
      </c>
      <c r="B250">
        <f>Table4[[#This Row],[Column2]]</f>
        <v>0</v>
      </c>
      <c r="C250" s="81"/>
      <c r="D250" s="82"/>
      <c r="E250" s="82"/>
      <c r="F250" s="81"/>
      <c r="G250" s="81"/>
      <c r="H250" s="81"/>
      <c r="I250" s="81"/>
      <c r="J250" s="81"/>
      <c r="K250" s="81"/>
      <c r="L250" s="81"/>
      <c r="M250" s="81"/>
      <c r="N250" s="81"/>
      <c r="O250" s="81"/>
      <c r="P250" s="81"/>
      <c r="Q250" s="81"/>
      <c r="R250" s="81"/>
      <c r="S250" s="81"/>
      <c r="T250" s="81"/>
      <c r="U250" s="81"/>
      <c r="V250" s="94"/>
      <c r="W250" s="94"/>
    </row>
    <row r="251" spans="1:23" ht="21" customHeight="1">
      <c r="A251">
        <f>Table4[[#This Row],[Column1]]</f>
        <v>0</v>
      </c>
      <c r="B251">
        <f>Table4[[#This Row],[Column2]]</f>
        <v>0</v>
      </c>
      <c r="C251" s="81"/>
      <c r="D251" s="82"/>
      <c r="E251" s="82"/>
      <c r="F251" s="81"/>
      <c r="G251" s="81"/>
      <c r="H251" s="81"/>
      <c r="I251" s="81"/>
      <c r="J251" s="81"/>
      <c r="K251" s="81"/>
      <c r="L251" s="81"/>
      <c r="M251" s="81"/>
      <c r="N251" s="81"/>
      <c r="O251" s="81"/>
      <c r="P251" s="81"/>
      <c r="Q251" s="81"/>
      <c r="R251" s="81"/>
      <c r="S251" s="81"/>
      <c r="T251" s="81"/>
      <c r="U251" s="81"/>
      <c r="V251" s="94"/>
      <c r="W251" s="94"/>
    </row>
    <row r="252" spans="1:23" ht="21" customHeight="1">
      <c r="A252">
        <f>Table4[[#This Row],[Column1]]</f>
        <v>0</v>
      </c>
      <c r="B252">
        <f>Table4[[#This Row],[Column2]]</f>
        <v>0</v>
      </c>
      <c r="C252" s="81"/>
      <c r="D252" s="82"/>
      <c r="E252" s="82"/>
      <c r="F252" s="81"/>
      <c r="G252" s="81"/>
      <c r="H252" s="81"/>
      <c r="I252" s="81"/>
      <c r="J252" s="81"/>
      <c r="K252" s="81"/>
      <c r="L252" s="81"/>
      <c r="M252" s="81"/>
      <c r="N252" s="81"/>
      <c r="O252" s="81"/>
      <c r="P252" s="81"/>
      <c r="Q252" s="81"/>
      <c r="R252" s="81"/>
      <c r="S252" s="81"/>
      <c r="T252" s="81"/>
      <c r="U252" s="81"/>
      <c r="V252" s="94"/>
      <c r="W252" s="94"/>
    </row>
    <row r="253" spans="1:23" ht="21" customHeight="1">
      <c r="A253">
        <f>Table4[[#This Row],[Column1]]</f>
        <v>0</v>
      </c>
      <c r="B253">
        <f>Table4[[#This Row],[Column2]]</f>
        <v>0</v>
      </c>
      <c r="C253" s="81"/>
      <c r="D253" s="82"/>
      <c r="E253" s="82"/>
      <c r="F253" s="81"/>
      <c r="G253" s="81"/>
      <c r="H253" s="81"/>
      <c r="I253" s="81"/>
      <c r="J253" s="81"/>
      <c r="K253" s="81"/>
      <c r="L253" s="81"/>
      <c r="M253" s="81"/>
      <c r="N253" s="81"/>
      <c r="O253" s="81"/>
      <c r="P253" s="81"/>
      <c r="Q253" s="81"/>
      <c r="R253" s="81"/>
      <c r="S253" s="81"/>
      <c r="T253" s="81"/>
      <c r="U253" s="81"/>
      <c r="V253" s="94"/>
      <c r="W253" s="94"/>
    </row>
    <row r="254" spans="1:23" ht="21" customHeight="1">
      <c r="A254">
        <f>Table4[[#This Row],[Column1]]</f>
        <v>0</v>
      </c>
      <c r="B254">
        <f>Table4[[#This Row],[Column2]]</f>
        <v>0</v>
      </c>
      <c r="C254" s="81"/>
      <c r="D254" s="82"/>
      <c r="E254" s="82"/>
      <c r="F254" s="81"/>
      <c r="G254" s="81"/>
      <c r="H254" s="81"/>
      <c r="I254" s="81"/>
      <c r="J254" s="81"/>
      <c r="K254" s="81"/>
      <c r="L254" s="81"/>
      <c r="M254" s="81"/>
      <c r="N254" s="81"/>
      <c r="O254" s="81"/>
      <c r="P254" s="81"/>
      <c r="Q254" s="81"/>
      <c r="R254" s="81"/>
      <c r="S254" s="81"/>
      <c r="T254" s="81"/>
      <c r="U254" s="81"/>
      <c r="V254" s="94"/>
      <c r="W254" s="94"/>
    </row>
    <row r="255" spans="1:23" ht="21" customHeight="1">
      <c r="A255">
        <f>Table4[[#This Row],[Column1]]</f>
        <v>0</v>
      </c>
      <c r="B255">
        <f>Table4[[#This Row],[Column2]]</f>
        <v>0</v>
      </c>
      <c r="C255" s="81"/>
      <c r="D255" s="82"/>
      <c r="E255" s="82"/>
      <c r="F255" s="81"/>
      <c r="G255" s="81"/>
      <c r="H255" s="81"/>
      <c r="I255" s="81"/>
      <c r="J255" s="81"/>
      <c r="K255" s="81"/>
      <c r="L255" s="81"/>
      <c r="M255" s="81"/>
      <c r="N255" s="81"/>
      <c r="O255" s="81"/>
      <c r="P255" s="81"/>
      <c r="Q255" s="81"/>
      <c r="R255" s="81"/>
      <c r="S255" s="81"/>
      <c r="T255" s="81"/>
      <c r="U255" s="81"/>
      <c r="V255" s="94"/>
      <c r="W255" s="94"/>
    </row>
    <row r="256" spans="1:23" ht="21" customHeight="1">
      <c r="A256">
        <f>Table4[[#This Row],[Column1]]</f>
        <v>0</v>
      </c>
      <c r="B256">
        <f>Table4[[#This Row],[Column2]]</f>
        <v>0</v>
      </c>
      <c r="C256" s="81"/>
      <c r="D256" s="82"/>
      <c r="E256" s="82"/>
      <c r="F256" s="81"/>
      <c r="G256" s="81"/>
      <c r="H256" s="81"/>
      <c r="I256" s="81"/>
      <c r="J256" s="81"/>
      <c r="K256" s="81"/>
      <c r="L256" s="81"/>
      <c r="M256" s="81"/>
      <c r="N256" s="81"/>
      <c r="O256" s="81"/>
      <c r="P256" s="81"/>
      <c r="Q256" s="81"/>
      <c r="R256" s="81"/>
      <c r="S256" s="81"/>
      <c r="T256" s="81"/>
      <c r="U256" s="81"/>
      <c r="V256" s="94"/>
      <c r="W256" s="94"/>
    </row>
    <row r="257" spans="1:23" ht="21" customHeight="1">
      <c r="A257">
        <f>Table4[[#This Row],[Column1]]</f>
        <v>0</v>
      </c>
      <c r="B257">
        <f>Table4[[#This Row],[Column2]]</f>
        <v>0</v>
      </c>
      <c r="C257" s="81"/>
      <c r="D257" s="82"/>
      <c r="E257" s="82"/>
      <c r="F257" s="81"/>
      <c r="G257" s="81"/>
      <c r="H257" s="81"/>
      <c r="I257" s="81"/>
      <c r="J257" s="81"/>
      <c r="K257" s="81"/>
      <c r="L257" s="81"/>
      <c r="M257" s="81"/>
      <c r="N257" s="81"/>
      <c r="O257" s="81"/>
      <c r="P257" s="81"/>
      <c r="Q257" s="81"/>
      <c r="R257" s="81"/>
      <c r="S257" s="81"/>
      <c r="T257" s="81"/>
      <c r="U257" s="81"/>
      <c r="V257" s="94"/>
      <c r="W257" s="94"/>
    </row>
    <row r="258" spans="1:23" ht="21" customHeight="1">
      <c r="A258">
        <f>Table4[[#This Row],[Column1]]</f>
        <v>0</v>
      </c>
      <c r="B258">
        <f>Table4[[#This Row],[Column2]]</f>
        <v>0</v>
      </c>
      <c r="C258" s="81"/>
      <c r="D258" s="82"/>
      <c r="E258" s="82"/>
      <c r="F258" s="81"/>
      <c r="G258" s="81"/>
      <c r="H258" s="81"/>
      <c r="I258" s="81"/>
      <c r="J258" s="81"/>
      <c r="K258" s="81"/>
      <c r="L258" s="81"/>
      <c r="M258" s="81"/>
      <c r="N258" s="81"/>
      <c r="O258" s="81"/>
      <c r="P258" s="81"/>
      <c r="Q258" s="81"/>
      <c r="R258" s="81"/>
      <c r="S258" s="81"/>
      <c r="T258" s="81"/>
      <c r="U258" s="81"/>
      <c r="V258" s="94"/>
      <c r="W258" s="94"/>
    </row>
    <row r="259" spans="1:23" ht="21" customHeight="1">
      <c r="A259">
        <f>Table4[[#This Row],[Column1]]</f>
        <v>0</v>
      </c>
      <c r="B259">
        <f>Table4[[#This Row],[Column2]]</f>
        <v>0</v>
      </c>
      <c r="C259" s="81"/>
      <c r="D259" s="82"/>
      <c r="E259" s="82"/>
      <c r="F259" s="81"/>
      <c r="G259" s="81"/>
      <c r="H259" s="81"/>
      <c r="I259" s="81"/>
      <c r="J259" s="81"/>
      <c r="K259" s="81"/>
      <c r="L259" s="81"/>
      <c r="M259" s="81"/>
      <c r="N259" s="81"/>
      <c r="O259" s="81"/>
      <c r="P259" s="81"/>
      <c r="Q259" s="81"/>
      <c r="R259" s="81"/>
      <c r="S259" s="81"/>
      <c r="T259" s="81"/>
      <c r="U259" s="81"/>
      <c r="V259" s="94"/>
      <c r="W259" s="94"/>
    </row>
    <row r="260" spans="1:23" ht="21" customHeight="1">
      <c r="A260">
        <f>Table4[[#This Row],[Column1]]</f>
        <v>0</v>
      </c>
      <c r="B260">
        <f>Table4[[#This Row],[Column2]]</f>
        <v>0</v>
      </c>
      <c r="C260" s="81"/>
      <c r="D260" s="82"/>
      <c r="E260" s="82"/>
      <c r="F260" s="81"/>
      <c r="G260" s="81"/>
      <c r="H260" s="81"/>
      <c r="I260" s="81"/>
      <c r="J260" s="81"/>
      <c r="K260" s="81"/>
      <c r="L260" s="81"/>
      <c r="M260" s="81"/>
      <c r="N260" s="81"/>
      <c r="O260" s="81"/>
      <c r="P260" s="81"/>
      <c r="Q260" s="81"/>
      <c r="R260" s="81"/>
      <c r="S260" s="81"/>
      <c r="T260" s="81"/>
      <c r="U260" s="81"/>
      <c r="V260" s="94"/>
      <c r="W260" s="94"/>
    </row>
    <row r="261" spans="1:23" ht="21" customHeight="1">
      <c r="A261">
        <f>Table4[[#This Row],[Column1]]</f>
        <v>0</v>
      </c>
      <c r="B261">
        <f>Table4[[#This Row],[Column2]]</f>
        <v>0</v>
      </c>
      <c r="C261" s="81"/>
      <c r="D261" s="82"/>
      <c r="E261" s="82"/>
      <c r="F261" s="81"/>
      <c r="G261" s="81"/>
      <c r="H261" s="81"/>
      <c r="I261" s="81"/>
      <c r="J261" s="81"/>
      <c r="K261" s="81"/>
      <c r="L261" s="81"/>
      <c r="M261" s="81"/>
      <c r="N261" s="81"/>
      <c r="O261" s="81"/>
      <c r="P261" s="81"/>
      <c r="Q261" s="81"/>
      <c r="R261" s="81"/>
      <c r="S261" s="81"/>
      <c r="T261" s="81"/>
      <c r="U261" s="81"/>
      <c r="V261" s="94"/>
      <c r="W261" s="94"/>
    </row>
    <row r="262" spans="1:23" ht="21" customHeight="1">
      <c r="A262">
        <f>Table4[[#This Row],[Column1]]</f>
        <v>0</v>
      </c>
      <c r="B262">
        <f>Table4[[#This Row],[Column2]]</f>
        <v>0</v>
      </c>
      <c r="C262" s="81"/>
      <c r="D262" s="82"/>
      <c r="E262" s="82"/>
      <c r="F262" s="81"/>
      <c r="G262" s="81"/>
      <c r="H262" s="81"/>
      <c r="I262" s="81"/>
      <c r="J262" s="81"/>
      <c r="K262" s="81"/>
      <c r="L262" s="81"/>
      <c r="M262" s="81"/>
      <c r="N262" s="81"/>
      <c r="O262" s="81"/>
      <c r="P262" s="81"/>
      <c r="Q262" s="81"/>
      <c r="R262" s="81"/>
      <c r="S262" s="81"/>
      <c r="T262" s="81"/>
      <c r="U262" s="81"/>
      <c r="V262" s="94"/>
      <c r="W262" s="94"/>
    </row>
    <row r="263" spans="1:23" ht="21" customHeight="1">
      <c r="A263">
        <f>Table4[[#This Row],[Column1]]</f>
        <v>0</v>
      </c>
      <c r="B263">
        <f>Table4[[#This Row],[Column2]]</f>
        <v>0</v>
      </c>
      <c r="C263" s="81"/>
      <c r="D263" s="82"/>
      <c r="E263" s="82"/>
      <c r="F263" s="81"/>
      <c r="G263" s="81"/>
      <c r="H263" s="81"/>
      <c r="I263" s="81"/>
      <c r="J263" s="81"/>
      <c r="K263" s="81"/>
      <c r="L263" s="81"/>
      <c r="M263" s="81"/>
      <c r="N263" s="81"/>
      <c r="O263" s="81"/>
      <c r="P263" s="81"/>
      <c r="Q263" s="81"/>
      <c r="R263" s="81"/>
      <c r="S263" s="81"/>
      <c r="T263" s="81"/>
      <c r="U263" s="81"/>
      <c r="V263" s="94"/>
      <c r="W263" s="94"/>
    </row>
    <row r="264" spans="1:23" ht="21" customHeight="1">
      <c r="A264">
        <f>Table4[[#This Row],[Column1]]</f>
        <v>0</v>
      </c>
      <c r="B264">
        <f>Table4[[#This Row],[Column2]]</f>
        <v>0</v>
      </c>
      <c r="C264" s="81"/>
      <c r="D264" s="82"/>
      <c r="E264" s="82"/>
      <c r="F264" s="81"/>
      <c r="G264" s="81"/>
      <c r="H264" s="81"/>
      <c r="I264" s="81"/>
      <c r="J264" s="81"/>
      <c r="K264" s="81"/>
      <c r="L264" s="81"/>
      <c r="M264" s="81"/>
      <c r="N264" s="81"/>
      <c r="O264" s="81"/>
      <c r="P264" s="81"/>
      <c r="Q264" s="81"/>
      <c r="R264" s="81"/>
      <c r="S264" s="81"/>
      <c r="T264" s="81"/>
      <c r="U264" s="81"/>
      <c r="V264" s="94"/>
      <c r="W264" s="94"/>
    </row>
    <row r="265" spans="1:23" ht="21" customHeight="1">
      <c r="A265">
        <f>Table4[[#This Row],[Column1]]</f>
        <v>0</v>
      </c>
      <c r="B265">
        <f>Table4[[#This Row],[Column2]]</f>
        <v>0</v>
      </c>
      <c r="C265" s="81"/>
      <c r="D265" s="82"/>
      <c r="E265" s="82"/>
      <c r="F265" s="81"/>
      <c r="G265" s="81"/>
      <c r="H265" s="81"/>
      <c r="I265" s="81"/>
      <c r="J265" s="81"/>
      <c r="K265" s="81"/>
      <c r="L265" s="81"/>
      <c r="M265" s="81"/>
      <c r="N265" s="81"/>
      <c r="O265" s="81"/>
      <c r="P265" s="81"/>
      <c r="Q265" s="81"/>
      <c r="R265" s="81"/>
      <c r="S265" s="81"/>
      <c r="T265" s="81"/>
      <c r="U265" s="81"/>
      <c r="V265" s="94"/>
      <c r="W265" s="94"/>
    </row>
    <row r="266" spans="1:23" ht="21" customHeight="1">
      <c r="A266">
        <f>Table4[[#This Row],[Column1]]</f>
        <v>0</v>
      </c>
      <c r="B266">
        <f>Table4[[#This Row],[Column2]]</f>
        <v>0</v>
      </c>
      <c r="C266" s="81"/>
      <c r="D266" s="82"/>
      <c r="E266" s="82"/>
      <c r="F266" s="81"/>
      <c r="G266" s="81"/>
      <c r="H266" s="81"/>
      <c r="I266" s="81"/>
      <c r="J266" s="81"/>
      <c r="K266" s="81"/>
      <c r="L266" s="81"/>
      <c r="M266" s="81"/>
      <c r="N266" s="81"/>
      <c r="O266" s="81"/>
      <c r="P266" s="81"/>
      <c r="Q266" s="81"/>
      <c r="R266" s="81"/>
      <c r="S266" s="81"/>
      <c r="T266" s="81"/>
      <c r="U266" s="81"/>
      <c r="V266" s="94"/>
      <c r="W266" s="94"/>
    </row>
    <row r="267" spans="1:23" ht="21" customHeight="1">
      <c r="A267">
        <f>Table4[[#This Row],[Column1]]</f>
        <v>0</v>
      </c>
      <c r="B267">
        <f>Table4[[#This Row],[Column2]]</f>
        <v>0</v>
      </c>
      <c r="C267" s="81"/>
      <c r="D267" s="82"/>
      <c r="E267" s="82"/>
      <c r="F267" s="81"/>
      <c r="G267" s="81"/>
      <c r="H267" s="81"/>
      <c r="I267" s="81"/>
      <c r="J267" s="81"/>
      <c r="K267" s="81"/>
      <c r="L267" s="81"/>
      <c r="M267" s="81"/>
      <c r="N267" s="81"/>
      <c r="O267" s="81"/>
      <c r="P267" s="81"/>
      <c r="Q267" s="81"/>
      <c r="R267" s="81"/>
      <c r="S267" s="81"/>
      <c r="T267" s="81"/>
      <c r="U267" s="81"/>
      <c r="V267" s="94"/>
      <c r="W267" s="94"/>
    </row>
    <row r="268" spans="1:23" ht="21" customHeight="1">
      <c r="A268">
        <f>Table4[[#This Row],[Column1]]</f>
        <v>0</v>
      </c>
      <c r="B268">
        <f>Table4[[#This Row],[Column2]]</f>
        <v>0</v>
      </c>
      <c r="C268" s="81"/>
      <c r="D268" s="82"/>
      <c r="E268" s="82"/>
      <c r="F268" s="81"/>
      <c r="G268" s="81"/>
      <c r="H268" s="81"/>
      <c r="I268" s="81"/>
      <c r="J268" s="81"/>
      <c r="K268" s="81"/>
      <c r="L268" s="81"/>
      <c r="M268" s="81"/>
      <c r="N268" s="81"/>
      <c r="O268" s="81"/>
      <c r="P268" s="81"/>
      <c r="Q268" s="81"/>
      <c r="R268" s="81"/>
      <c r="S268" s="81"/>
      <c r="T268" s="81"/>
      <c r="U268" s="81"/>
      <c r="V268" s="94"/>
      <c r="W268" s="94"/>
    </row>
    <row r="269" spans="1:23" ht="21" customHeight="1">
      <c r="A269">
        <f>Table4[[#This Row],[Column1]]</f>
        <v>0</v>
      </c>
      <c r="B269">
        <f>Table4[[#This Row],[Column2]]</f>
        <v>0</v>
      </c>
      <c r="C269" s="81"/>
      <c r="D269" s="82"/>
      <c r="E269" s="82"/>
      <c r="F269" s="81"/>
      <c r="G269" s="81"/>
      <c r="H269" s="81"/>
      <c r="I269" s="81"/>
      <c r="J269" s="81"/>
      <c r="K269" s="81"/>
      <c r="L269" s="81"/>
      <c r="M269" s="81"/>
      <c r="N269" s="81"/>
      <c r="O269" s="81"/>
      <c r="P269" s="81"/>
      <c r="Q269" s="81"/>
      <c r="R269" s="81"/>
      <c r="S269" s="81"/>
      <c r="T269" s="81"/>
      <c r="U269" s="81"/>
      <c r="V269" s="94"/>
      <c r="W269" s="94"/>
    </row>
    <row r="270" spans="1:23" ht="21" customHeight="1">
      <c r="A270">
        <f>Table4[[#This Row],[Column1]]</f>
        <v>0</v>
      </c>
      <c r="B270">
        <f>Table4[[#This Row],[Column2]]</f>
        <v>0</v>
      </c>
      <c r="C270" s="81"/>
      <c r="D270" s="82"/>
      <c r="E270" s="82"/>
      <c r="F270" s="81"/>
      <c r="G270" s="81"/>
      <c r="H270" s="81"/>
      <c r="I270" s="81"/>
      <c r="J270" s="81"/>
      <c r="K270" s="81"/>
      <c r="L270" s="81"/>
      <c r="M270" s="81"/>
      <c r="N270" s="81"/>
      <c r="O270" s="81"/>
      <c r="P270" s="81"/>
      <c r="Q270" s="81"/>
      <c r="R270" s="81"/>
      <c r="S270" s="81"/>
      <c r="T270" s="81"/>
      <c r="U270" s="81"/>
      <c r="V270" s="94"/>
      <c r="W270" s="94"/>
    </row>
    <row r="271" spans="1:23" ht="21" customHeight="1">
      <c r="A271">
        <f>Table4[[#This Row],[Column1]]</f>
        <v>0</v>
      </c>
      <c r="B271">
        <f>Table4[[#This Row],[Column2]]</f>
        <v>0</v>
      </c>
      <c r="C271" s="81"/>
      <c r="D271" s="82"/>
      <c r="E271" s="82"/>
      <c r="F271" s="81"/>
      <c r="G271" s="81"/>
      <c r="H271" s="81"/>
      <c r="I271" s="81"/>
      <c r="J271" s="81"/>
      <c r="K271" s="81"/>
      <c r="L271" s="81"/>
      <c r="M271" s="81"/>
      <c r="N271" s="81"/>
      <c r="O271" s="81"/>
      <c r="P271" s="81"/>
      <c r="Q271" s="81"/>
      <c r="R271" s="81"/>
      <c r="S271" s="81"/>
      <c r="T271" s="81"/>
      <c r="U271" s="81"/>
      <c r="V271" s="94"/>
      <c r="W271" s="94"/>
    </row>
    <row r="272" spans="1:23" ht="21" customHeight="1">
      <c r="A272">
        <f>Table4[[#This Row],[Column1]]</f>
        <v>0</v>
      </c>
      <c r="B272">
        <f>Table4[[#This Row],[Column2]]</f>
        <v>0</v>
      </c>
      <c r="C272" s="81"/>
      <c r="D272" s="82"/>
      <c r="E272" s="82"/>
      <c r="F272" s="81"/>
      <c r="G272" s="81"/>
      <c r="H272" s="81"/>
      <c r="I272" s="81"/>
      <c r="J272" s="81"/>
      <c r="K272" s="81"/>
      <c r="L272" s="81"/>
      <c r="M272" s="81"/>
      <c r="N272" s="81"/>
      <c r="O272" s="81"/>
      <c r="P272" s="81"/>
      <c r="Q272" s="81"/>
      <c r="R272" s="81"/>
      <c r="S272" s="81"/>
      <c r="T272" s="81"/>
      <c r="U272" s="81"/>
      <c r="V272" s="94"/>
      <c r="W272" s="94"/>
    </row>
    <row r="273" spans="1:23" ht="21" customHeight="1">
      <c r="A273">
        <f>Table4[[#This Row],[Column1]]</f>
        <v>0</v>
      </c>
      <c r="B273">
        <f>Table4[[#This Row],[Column2]]</f>
        <v>0</v>
      </c>
      <c r="C273" s="81"/>
      <c r="D273" s="82"/>
      <c r="E273" s="82"/>
      <c r="F273" s="81"/>
      <c r="G273" s="81"/>
      <c r="H273" s="81"/>
      <c r="I273" s="81"/>
      <c r="J273" s="81"/>
      <c r="K273" s="81"/>
      <c r="L273" s="81"/>
      <c r="M273" s="81"/>
      <c r="N273" s="81"/>
      <c r="O273" s="81"/>
      <c r="P273" s="81"/>
      <c r="Q273" s="81"/>
      <c r="R273" s="81"/>
      <c r="S273" s="81"/>
      <c r="T273" s="81"/>
      <c r="U273" s="81"/>
      <c r="V273" s="94"/>
      <c r="W273" s="94"/>
    </row>
    <row r="274" spans="1:23" ht="21" customHeight="1">
      <c r="A274">
        <f>Table4[[#This Row],[Column1]]</f>
        <v>0</v>
      </c>
      <c r="B274">
        <f>Table4[[#This Row],[Column2]]</f>
        <v>0</v>
      </c>
      <c r="C274" s="81"/>
      <c r="D274" s="82"/>
      <c r="E274" s="82"/>
      <c r="F274" s="81"/>
      <c r="G274" s="81"/>
      <c r="H274" s="81"/>
      <c r="I274" s="81"/>
      <c r="J274" s="81"/>
      <c r="K274" s="81"/>
      <c r="L274" s="81"/>
      <c r="M274" s="81"/>
      <c r="N274" s="81"/>
      <c r="O274" s="81"/>
      <c r="P274" s="81"/>
      <c r="Q274" s="81"/>
      <c r="R274" s="81"/>
      <c r="S274" s="81"/>
      <c r="T274" s="81"/>
      <c r="U274" s="81"/>
      <c r="V274" s="94"/>
      <c r="W274" s="94"/>
    </row>
    <row r="275" spans="1:23" ht="21" customHeight="1">
      <c r="A275">
        <f>Table4[[#This Row],[Column1]]</f>
        <v>0</v>
      </c>
      <c r="B275">
        <f>Table4[[#This Row],[Column2]]</f>
        <v>0</v>
      </c>
      <c r="C275" s="81"/>
      <c r="D275" s="82"/>
      <c r="E275" s="82"/>
      <c r="F275" s="81"/>
      <c r="G275" s="81"/>
      <c r="H275" s="81"/>
      <c r="I275" s="81"/>
      <c r="J275" s="81"/>
      <c r="K275" s="81"/>
      <c r="L275" s="81"/>
      <c r="M275" s="81"/>
      <c r="N275" s="81"/>
      <c r="O275" s="81"/>
      <c r="P275" s="81"/>
      <c r="Q275" s="81"/>
      <c r="R275" s="81"/>
      <c r="S275" s="81"/>
      <c r="T275" s="81"/>
      <c r="U275" s="81"/>
      <c r="V275" s="94"/>
      <c r="W275" s="94"/>
    </row>
    <row r="276" spans="1:23" ht="21" customHeight="1">
      <c r="A276">
        <f>Table4[[#This Row],[Column1]]</f>
        <v>0</v>
      </c>
      <c r="B276">
        <f>Table4[[#This Row],[Column2]]</f>
        <v>0</v>
      </c>
      <c r="C276" s="81"/>
      <c r="D276" s="82"/>
      <c r="E276" s="82"/>
      <c r="F276" s="81"/>
      <c r="G276" s="81"/>
      <c r="H276" s="81"/>
      <c r="I276" s="81"/>
      <c r="J276" s="81"/>
      <c r="K276" s="81"/>
      <c r="L276" s="81"/>
      <c r="M276" s="81"/>
      <c r="N276" s="81"/>
      <c r="O276" s="81"/>
      <c r="P276" s="81"/>
      <c r="Q276" s="81"/>
      <c r="R276" s="81"/>
      <c r="S276" s="81"/>
      <c r="T276" s="81"/>
      <c r="U276" s="81"/>
      <c r="V276" s="94"/>
      <c r="W276" s="94"/>
    </row>
    <row r="277" spans="1:23" ht="21" customHeight="1">
      <c r="A277">
        <f>Table4[[#This Row],[Column1]]</f>
        <v>0</v>
      </c>
      <c r="B277">
        <f>Table4[[#This Row],[Column2]]</f>
        <v>0</v>
      </c>
      <c r="C277" s="81"/>
      <c r="D277" s="82"/>
      <c r="E277" s="82"/>
      <c r="F277" s="81"/>
      <c r="G277" s="81"/>
      <c r="H277" s="81"/>
      <c r="I277" s="81"/>
      <c r="J277" s="81"/>
      <c r="K277" s="81"/>
      <c r="L277" s="81"/>
      <c r="M277" s="81"/>
      <c r="N277" s="81"/>
      <c r="O277" s="81"/>
      <c r="P277" s="81"/>
      <c r="Q277" s="81"/>
      <c r="R277" s="81"/>
      <c r="S277" s="81"/>
      <c r="T277" s="81"/>
      <c r="U277" s="81"/>
      <c r="V277" s="94"/>
      <c r="W277" s="94"/>
    </row>
    <row r="278" spans="1:23" ht="21" customHeight="1">
      <c r="A278">
        <f>Table4[[#This Row],[Column1]]</f>
        <v>0</v>
      </c>
      <c r="B278">
        <f>Table4[[#This Row],[Column2]]</f>
        <v>0</v>
      </c>
      <c r="C278" s="81"/>
      <c r="D278" s="82"/>
      <c r="E278" s="82"/>
      <c r="F278" s="81"/>
      <c r="G278" s="81"/>
      <c r="H278" s="81"/>
      <c r="I278" s="81"/>
      <c r="J278" s="81"/>
      <c r="K278" s="81"/>
      <c r="L278" s="81"/>
      <c r="M278" s="81"/>
      <c r="N278" s="81"/>
      <c r="O278" s="81"/>
      <c r="P278" s="81"/>
      <c r="Q278" s="81"/>
      <c r="R278" s="81"/>
      <c r="S278" s="81"/>
      <c r="T278" s="81"/>
      <c r="U278" s="81"/>
      <c r="V278" s="94"/>
      <c r="W278" s="94"/>
    </row>
    <row r="279" spans="1:23" ht="21" customHeight="1">
      <c r="A279">
        <f>Table4[[#This Row],[Column1]]</f>
        <v>0</v>
      </c>
      <c r="B279">
        <f>Table4[[#This Row],[Column2]]</f>
        <v>0</v>
      </c>
      <c r="C279" s="81"/>
      <c r="D279" s="82"/>
      <c r="E279" s="82"/>
      <c r="F279" s="81"/>
      <c r="G279" s="81"/>
      <c r="H279" s="81"/>
      <c r="I279" s="81"/>
      <c r="J279" s="81"/>
      <c r="K279" s="81"/>
      <c r="L279" s="81"/>
      <c r="M279" s="81"/>
      <c r="N279" s="81"/>
      <c r="O279" s="81"/>
      <c r="P279" s="81"/>
      <c r="Q279" s="81"/>
      <c r="R279" s="81"/>
      <c r="S279" s="81"/>
      <c r="T279" s="81"/>
      <c r="U279" s="81"/>
      <c r="V279" s="94"/>
      <c r="W279" s="94"/>
    </row>
    <row r="280" spans="1:23" ht="21" customHeight="1">
      <c r="A280">
        <f>Table4[[#This Row],[Column1]]</f>
        <v>0</v>
      </c>
      <c r="B280">
        <f>Table4[[#This Row],[Column2]]</f>
        <v>0</v>
      </c>
      <c r="C280" s="81"/>
      <c r="D280" s="82"/>
      <c r="E280" s="82"/>
      <c r="F280" s="81"/>
      <c r="G280" s="81"/>
      <c r="H280" s="81"/>
      <c r="I280" s="81"/>
      <c r="J280" s="81"/>
      <c r="K280" s="81"/>
      <c r="L280" s="81"/>
      <c r="M280" s="81"/>
      <c r="N280" s="81"/>
      <c r="O280" s="81"/>
      <c r="P280" s="81"/>
      <c r="Q280" s="81"/>
      <c r="R280" s="81"/>
      <c r="S280" s="81"/>
      <c r="T280" s="81"/>
      <c r="U280" s="81"/>
      <c r="V280" s="94"/>
      <c r="W280" s="94"/>
    </row>
    <row r="281" spans="1:23" ht="21" customHeight="1">
      <c r="A281">
        <f>Table4[[#This Row],[Column1]]</f>
        <v>0</v>
      </c>
      <c r="B281">
        <f>Table4[[#This Row],[Column2]]</f>
        <v>0</v>
      </c>
      <c r="C281" s="81"/>
      <c r="D281" s="82"/>
      <c r="E281" s="82"/>
      <c r="F281" s="81"/>
      <c r="G281" s="81"/>
      <c r="H281" s="81"/>
      <c r="I281" s="81"/>
      <c r="J281" s="81"/>
      <c r="K281" s="81"/>
      <c r="L281" s="81"/>
      <c r="M281" s="81"/>
      <c r="N281" s="81"/>
      <c r="O281" s="81"/>
      <c r="P281" s="81"/>
      <c r="Q281" s="81"/>
      <c r="R281" s="81"/>
      <c r="S281" s="81"/>
      <c r="T281" s="81"/>
      <c r="U281" s="81"/>
      <c r="V281" s="94"/>
      <c r="W281" s="94"/>
    </row>
    <row r="282" spans="1:23" ht="21" customHeight="1">
      <c r="A282">
        <f>Table4[[#This Row],[Column1]]</f>
        <v>0</v>
      </c>
      <c r="B282">
        <f>Table4[[#This Row],[Column2]]</f>
        <v>0</v>
      </c>
      <c r="C282" s="81"/>
      <c r="D282" s="82"/>
      <c r="E282" s="82"/>
      <c r="F282" s="81"/>
      <c r="G282" s="81"/>
      <c r="H282" s="81"/>
      <c r="I282" s="81"/>
      <c r="J282" s="81"/>
      <c r="K282" s="81"/>
      <c r="L282" s="81"/>
      <c r="M282" s="81"/>
      <c r="N282" s="81"/>
      <c r="O282" s="81"/>
      <c r="P282" s="81"/>
      <c r="Q282" s="81"/>
      <c r="R282" s="81"/>
      <c r="S282" s="81"/>
      <c r="T282" s="81"/>
      <c r="U282" s="81"/>
      <c r="V282" s="94"/>
      <c r="W282" s="94"/>
    </row>
    <row r="283" spans="1:23" ht="21" customHeight="1">
      <c r="A283">
        <f>Table4[[#This Row],[Column1]]</f>
        <v>0</v>
      </c>
      <c r="B283">
        <f>Table4[[#This Row],[Column2]]</f>
        <v>0</v>
      </c>
      <c r="C283" s="81"/>
      <c r="D283" s="82"/>
      <c r="E283" s="82"/>
      <c r="F283" s="81"/>
      <c r="G283" s="81"/>
      <c r="H283" s="81"/>
      <c r="I283" s="81"/>
      <c r="J283" s="81"/>
      <c r="K283" s="81"/>
      <c r="L283" s="81"/>
      <c r="M283" s="81"/>
      <c r="N283" s="81"/>
      <c r="O283" s="81"/>
      <c r="P283" s="81"/>
      <c r="Q283" s="81"/>
      <c r="R283" s="81"/>
      <c r="S283" s="81"/>
      <c r="T283" s="81"/>
      <c r="U283" s="81"/>
      <c r="V283" s="94"/>
      <c r="W283" s="94"/>
    </row>
    <row r="284" spans="1:23" ht="21" customHeight="1">
      <c r="A284">
        <f>Table4[[#This Row],[Column1]]</f>
        <v>0</v>
      </c>
      <c r="B284">
        <f>Table4[[#This Row],[Column2]]</f>
        <v>0</v>
      </c>
      <c r="C284" s="81"/>
      <c r="D284" s="82"/>
      <c r="E284" s="82"/>
      <c r="F284" s="81"/>
      <c r="G284" s="81"/>
      <c r="H284" s="81"/>
      <c r="I284" s="81"/>
      <c r="J284" s="81"/>
      <c r="K284" s="81"/>
      <c r="L284" s="81"/>
      <c r="M284" s="81"/>
      <c r="N284" s="81"/>
      <c r="O284" s="81"/>
      <c r="P284" s="81"/>
      <c r="Q284" s="81"/>
      <c r="R284" s="81"/>
      <c r="S284" s="81"/>
      <c r="T284" s="81"/>
      <c r="U284" s="81"/>
      <c r="V284" s="94"/>
      <c r="W284" s="94"/>
    </row>
    <row r="285" spans="1:23" ht="21" customHeight="1">
      <c r="A285">
        <f>Table4[[#This Row],[Column1]]</f>
        <v>0</v>
      </c>
      <c r="B285">
        <f>Table4[[#This Row],[Column2]]</f>
        <v>0</v>
      </c>
      <c r="C285" s="81"/>
      <c r="D285" s="82"/>
      <c r="E285" s="82"/>
      <c r="F285" s="81"/>
      <c r="G285" s="81"/>
      <c r="H285" s="81"/>
      <c r="I285" s="81"/>
      <c r="J285" s="81"/>
      <c r="K285" s="81"/>
      <c r="L285" s="81"/>
      <c r="M285" s="81"/>
      <c r="N285" s="81"/>
      <c r="O285" s="81"/>
      <c r="P285" s="81"/>
      <c r="Q285" s="81"/>
      <c r="R285" s="81"/>
      <c r="S285" s="81"/>
      <c r="T285" s="81"/>
      <c r="U285" s="81"/>
      <c r="V285" s="94"/>
      <c r="W285" s="94"/>
    </row>
    <row r="286" spans="1:23" ht="21" customHeight="1">
      <c r="A286">
        <f>Table4[[#This Row],[Column1]]</f>
        <v>0</v>
      </c>
      <c r="B286">
        <f>Table4[[#This Row],[Column2]]</f>
        <v>0</v>
      </c>
      <c r="C286" s="81"/>
      <c r="D286" s="82"/>
      <c r="E286" s="82"/>
      <c r="F286" s="81"/>
      <c r="G286" s="81"/>
      <c r="H286" s="81"/>
      <c r="I286" s="81"/>
      <c r="J286" s="81"/>
      <c r="K286" s="81"/>
      <c r="L286" s="81"/>
      <c r="M286" s="81"/>
      <c r="N286" s="81"/>
      <c r="O286" s="81"/>
      <c r="P286" s="81"/>
      <c r="Q286" s="81"/>
      <c r="R286" s="81"/>
      <c r="S286" s="81"/>
      <c r="T286" s="81"/>
      <c r="U286" s="81"/>
      <c r="V286" s="94"/>
      <c r="W286" s="94"/>
    </row>
    <row r="287" spans="1:23" ht="21" customHeight="1">
      <c r="A287">
        <f>Table4[[#This Row],[Column1]]</f>
        <v>0</v>
      </c>
      <c r="B287">
        <f>Table4[[#This Row],[Column2]]</f>
        <v>0</v>
      </c>
      <c r="C287" s="81"/>
      <c r="D287" s="82"/>
      <c r="E287" s="82"/>
      <c r="F287" s="81"/>
      <c r="G287" s="81"/>
      <c r="H287" s="81"/>
      <c r="I287" s="81"/>
      <c r="J287" s="81"/>
      <c r="K287" s="81"/>
      <c r="L287" s="81"/>
      <c r="M287" s="81"/>
      <c r="N287" s="81"/>
      <c r="O287" s="81"/>
      <c r="P287" s="81"/>
      <c r="Q287" s="81"/>
      <c r="R287" s="81"/>
      <c r="S287" s="81"/>
      <c r="T287" s="81"/>
      <c r="U287" s="81"/>
      <c r="V287" s="94"/>
      <c r="W287" s="94"/>
    </row>
    <row r="288" spans="1:23" ht="21" customHeight="1">
      <c r="A288">
        <f>Table4[[#This Row],[Column1]]</f>
        <v>0</v>
      </c>
      <c r="B288">
        <f>Table4[[#This Row],[Column2]]</f>
        <v>0</v>
      </c>
      <c r="C288" s="81"/>
      <c r="D288" s="82"/>
      <c r="E288" s="82"/>
      <c r="F288" s="81"/>
      <c r="G288" s="81"/>
      <c r="H288" s="81"/>
      <c r="I288" s="81"/>
      <c r="J288" s="81"/>
      <c r="K288" s="81"/>
      <c r="L288" s="81"/>
      <c r="M288" s="81"/>
      <c r="N288" s="81"/>
      <c r="O288" s="81"/>
      <c r="P288" s="81"/>
      <c r="Q288" s="81"/>
      <c r="R288" s="81"/>
      <c r="S288" s="81"/>
      <c r="T288" s="81"/>
      <c r="U288" s="81"/>
      <c r="V288" s="94"/>
      <c r="W288" s="94"/>
    </row>
    <row r="289" spans="1:23" ht="21" customHeight="1">
      <c r="A289">
        <f>Table4[[#This Row],[Column1]]</f>
        <v>0</v>
      </c>
      <c r="B289">
        <f>Table4[[#This Row],[Column2]]</f>
        <v>0</v>
      </c>
      <c r="C289" s="81"/>
      <c r="D289" s="82"/>
      <c r="E289" s="82"/>
      <c r="F289" s="81"/>
      <c r="G289" s="81"/>
      <c r="H289" s="81"/>
      <c r="I289" s="81"/>
      <c r="J289" s="81"/>
      <c r="K289" s="81"/>
      <c r="L289" s="81"/>
      <c r="M289" s="81"/>
      <c r="N289" s="81"/>
      <c r="O289" s="81"/>
      <c r="P289" s="81"/>
      <c r="Q289" s="81"/>
      <c r="R289" s="81"/>
      <c r="S289" s="81"/>
      <c r="T289" s="81"/>
      <c r="U289" s="81"/>
      <c r="V289" s="94"/>
      <c r="W289" s="94"/>
    </row>
    <row r="290" spans="1:23" ht="21" customHeight="1">
      <c r="A290">
        <f>Table4[[#This Row],[Column1]]</f>
        <v>0</v>
      </c>
      <c r="B290">
        <f>Table4[[#This Row],[Column2]]</f>
        <v>0</v>
      </c>
      <c r="C290" s="81"/>
      <c r="D290" s="82"/>
      <c r="E290" s="82"/>
      <c r="F290" s="81"/>
      <c r="G290" s="81"/>
      <c r="H290" s="81"/>
      <c r="I290" s="81"/>
      <c r="J290" s="81"/>
      <c r="K290" s="81"/>
      <c r="L290" s="81"/>
      <c r="M290" s="81"/>
      <c r="N290" s="81"/>
      <c r="O290" s="81"/>
      <c r="P290" s="81"/>
      <c r="Q290" s="81"/>
      <c r="R290" s="81"/>
      <c r="S290" s="81"/>
      <c r="T290" s="81"/>
      <c r="U290" s="81"/>
      <c r="V290" s="94"/>
      <c r="W290" s="94"/>
    </row>
    <row r="291" spans="1:23" ht="21" customHeight="1">
      <c r="A291">
        <f>Table4[[#This Row],[Column1]]</f>
        <v>0</v>
      </c>
      <c r="B291">
        <f>Table4[[#This Row],[Column2]]</f>
        <v>0</v>
      </c>
      <c r="C291" s="81"/>
      <c r="D291" s="82"/>
      <c r="E291" s="82"/>
      <c r="F291" s="81"/>
      <c r="G291" s="81"/>
      <c r="H291" s="81"/>
      <c r="I291" s="81"/>
      <c r="J291" s="81"/>
      <c r="K291" s="81"/>
      <c r="L291" s="81"/>
      <c r="M291" s="81"/>
      <c r="N291" s="81"/>
      <c r="O291" s="81"/>
      <c r="P291" s="81"/>
      <c r="Q291" s="81"/>
      <c r="R291" s="81"/>
      <c r="S291" s="81"/>
      <c r="T291" s="81"/>
      <c r="U291" s="81"/>
      <c r="V291" s="94"/>
      <c r="W291" s="94"/>
    </row>
    <row r="292" spans="1:23" ht="21" customHeight="1">
      <c r="A292">
        <f>Table4[[#This Row],[Column1]]</f>
        <v>0</v>
      </c>
      <c r="B292">
        <f>Table4[[#This Row],[Column2]]</f>
        <v>0</v>
      </c>
      <c r="C292" s="81"/>
      <c r="D292" s="82"/>
      <c r="E292" s="82"/>
      <c r="F292" s="81"/>
      <c r="G292" s="81"/>
      <c r="H292" s="81"/>
      <c r="I292" s="81"/>
      <c r="J292" s="81"/>
      <c r="K292" s="81"/>
      <c r="L292" s="81"/>
      <c r="M292" s="81"/>
      <c r="N292" s="81"/>
      <c r="O292" s="81"/>
      <c r="P292" s="81"/>
      <c r="Q292" s="81"/>
      <c r="R292" s="81"/>
      <c r="S292" s="81"/>
      <c r="T292" s="81"/>
      <c r="U292" s="81"/>
      <c r="V292" s="94"/>
      <c r="W292" s="94"/>
    </row>
    <row r="293" spans="1:23" ht="21" customHeight="1">
      <c r="A293">
        <f>Table4[[#This Row],[Column1]]</f>
        <v>0</v>
      </c>
      <c r="B293">
        <f>Table4[[#This Row],[Column2]]</f>
        <v>0</v>
      </c>
      <c r="C293" s="81"/>
      <c r="D293" s="82"/>
      <c r="E293" s="82"/>
      <c r="F293" s="81"/>
      <c r="G293" s="81"/>
      <c r="H293" s="81"/>
      <c r="I293" s="81"/>
      <c r="J293" s="81"/>
      <c r="K293" s="81"/>
      <c r="L293" s="81"/>
      <c r="M293" s="81"/>
      <c r="N293" s="81"/>
      <c r="O293" s="81"/>
      <c r="P293" s="81"/>
      <c r="Q293" s="81"/>
      <c r="R293" s="81"/>
      <c r="S293" s="81"/>
      <c r="T293" s="81"/>
      <c r="U293" s="81"/>
      <c r="V293" s="94"/>
      <c r="W293" s="94"/>
    </row>
    <row r="294" spans="1:23" ht="21" customHeight="1">
      <c r="A294">
        <f>Table4[[#This Row],[Column1]]</f>
        <v>0</v>
      </c>
      <c r="B294">
        <f>Table4[[#This Row],[Column2]]</f>
        <v>0</v>
      </c>
      <c r="C294" s="81"/>
      <c r="D294" s="82"/>
      <c r="E294" s="82"/>
      <c r="F294" s="81"/>
      <c r="G294" s="81"/>
      <c r="H294" s="81"/>
      <c r="I294" s="81"/>
      <c r="J294" s="81"/>
      <c r="K294" s="81"/>
      <c r="L294" s="81"/>
      <c r="M294" s="81"/>
      <c r="N294" s="81"/>
      <c r="O294" s="81"/>
      <c r="P294" s="81"/>
      <c r="Q294" s="81"/>
      <c r="R294" s="81"/>
      <c r="S294" s="81"/>
      <c r="T294" s="81"/>
      <c r="U294" s="81"/>
      <c r="V294" s="94"/>
      <c r="W294" s="94"/>
    </row>
    <row r="295" spans="1:23" ht="21" customHeight="1">
      <c r="A295">
        <f>Table4[[#This Row],[Column1]]</f>
        <v>0</v>
      </c>
      <c r="B295">
        <f>Table4[[#This Row],[Column2]]</f>
        <v>0</v>
      </c>
      <c r="C295" s="81"/>
      <c r="D295" s="82"/>
      <c r="E295" s="82"/>
      <c r="F295" s="81"/>
      <c r="G295" s="81"/>
      <c r="H295" s="81"/>
      <c r="I295" s="81"/>
      <c r="J295" s="81"/>
      <c r="K295" s="81"/>
      <c r="L295" s="81"/>
      <c r="M295" s="81"/>
      <c r="N295" s="81"/>
      <c r="O295" s="81"/>
      <c r="P295" s="81"/>
      <c r="Q295" s="81"/>
      <c r="R295" s="81"/>
      <c r="S295" s="81"/>
      <c r="T295" s="81"/>
      <c r="U295" s="81"/>
      <c r="V295" s="94"/>
      <c r="W295" s="94"/>
    </row>
    <row r="296" spans="1:23" ht="21" customHeight="1">
      <c r="A296">
        <f>Table4[[#This Row],[Column1]]</f>
        <v>0</v>
      </c>
      <c r="B296">
        <f>Table4[[#This Row],[Column2]]</f>
        <v>0</v>
      </c>
      <c r="C296" s="81"/>
      <c r="D296" s="82"/>
      <c r="E296" s="82"/>
      <c r="F296" s="81"/>
      <c r="G296" s="81"/>
      <c r="H296" s="81"/>
      <c r="I296" s="81"/>
      <c r="J296" s="81"/>
      <c r="K296" s="81"/>
      <c r="L296" s="81"/>
      <c r="M296" s="81"/>
      <c r="N296" s="81"/>
      <c r="O296" s="81"/>
      <c r="P296" s="81"/>
      <c r="Q296" s="81"/>
      <c r="R296" s="81"/>
      <c r="S296" s="81"/>
      <c r="T296" s="81"/>
      <c r="U296" s="81"/>
      <c r="V296" s="94"/>
      <c r="W296" s="94"/>
    </row>
    <row r="297" spans="1:23" ht="21" customHeight="1">
      <c r="A297">
        <f>Table4[[#This Row],[Column1]]</f>
        <v>0</v>
      </c>
      <c r="B297">
        <f>Table4[[#This Row],[Column2]]</f>
        <v>0</v>
      </c>
      <c r="C297" s="81"/>
      <c r="D297" s="82"/>
      <c r="E297" s="82"/>
      <c r="F297" s="81"/>
      <c r="G297" s="81"/>
      <c r="H297" s="81"/>
      <c r="I297" s="81"/>
      <c r="J297" s="81"/>
      <c r="K297" s="81"/>
      <c r="L297" s="81"/>
      <c r="M297" s="81"/>
      <c r="N297" s="81"/>
      <c r="O297" s="81"/>
      <c r="P297" s="81"/>
      <c r="Q297" s="81"/>
      <c r="R297" s="81"/>
      <c r="S297" s="81"/>
      <c r="T297" s="81"/>
      <c r="U297" s="81"/>
      <c r="V297" s="94"/>
      <c r="W297" s="94"/>
    </row>
    <row r="298" spans="1:23" ht="21" customHeight="1">
      <c r="A298">
        <f>Table4[[#This Row],[Column1]]</f>
        <v>0</v>
      </c>
      <c r="B298">
        <f>Table4[[#This Row],[Column2]]</f>
        <v>0</v>
      </c>
      <c r="C298" s="81"/>
      <c r="D298" s="82"/>
      <c r="E298" s="82"/>
      <c r="F298" s="81"/>
      <c r="G298" s="81"/>
      <c r="H298" s="81"/>
      <c r="I298" s="81"/>
      <c r="J298" s="81"/>
      <c r="K298" s="81"/>
      <c r="L298" s="81"/>
      <c r="M298" s="81"/>
      <c r="N298" s="81"/>
      <c r="O298" s="81"/>
      <c r="P298" s="81"/>
      <c r="Q298" s="81"/>
      <c r="R298" s="81"/>
      <c r="S298" s="81"/>
      <c r="T298" s="81"/>
      <c r="U298" s="81"/>
      <c r="V298" s="94"/>
      <c r="W298" s="94"/>
    </row>
    <row r="299" spans="1:23" ht="21" customHeight="1">
      <c r="A299">
        <f>Table4[[#This Row],[Column1]]</f>
        <v>0</v>
      </c>
      <c r="B299">
        <f>Table4[[#This Row],[Column2]]</f>
        <v>0</v>
      </c>
      <c r="C299" s="81"/>
      <c r="D299" s="82"/>
      <c r="E299" s="82"/>
      <c r="F299" s="81"/>
      <c r="G299" s="81"/>
      <c r="H299" s="81"/>
      <c r="I299" s="81"/>
      <c r="J299" s="81"/>
      <c r="K299" s="81"/>
      <c r="L299" s="81"/>
      <c r="M299" s="81"/>
      <c r="N299" s="81"/>
      <c r="O299" s="81"/>
      <c r="P299" s="81"/>
      <c r="Q299" s="81"/>
      <c r="R299" s="81"/>
      <c r="S299" s="81"/>
      <c r="T299" s="81"/>
      <c r="U299" s="81"/>
      <c r="V299" s="94"/>
      <c r="W299" s="94"/>
    </row>
    <row r="300" spans="1:23" ht="21" customHeight="1">
      <c r="A300">
        <f>Table4[[#This Row],[Column1]]</f>
        <v>0</v>
      </c>
      <c r="B300">
        <f>Table4[[#This Row],[Column2]]</f>
        <v>0</v>
      </c>
      <c r="C300" s="81"/>
      <c r="D300" s="82"/>
      <c r="E300" s="82"/>
      <c r="F300" s="81"/>
      <c r="G300" s="81"/>
      <c r="H300" s="81"/>
      <c r="I300" s="81"/>
      <c r="J300" s="81"/>
      <c r="K300" s="81"/>
      <c r="L300" s="81"/>
      <c r="M300" s="81"/>
      <c r="N300" s="81"/>
      <c r="O300" s="81"/>
      <c r="P300" s="81"/>
      <c r="Q300" s="81"/>
      <c r="R300" s="81"/>
      <c r="S300" s="81"/>
      <c r="T300" s="81"/>
      <c r="U300" s="81"/>
      <c r="V300" s="94"/>
      <c r="W300" s="94"/>
    </row>
    <row r="301" spans="1:23" ht="21" customHeight="1">
      <c r="A301">
        <f>Table4[[#This Row],[Column1]]</f>
        <v>0</v>
      </c>
      <c r="B301">
        <f>Table4[[#This Row],[Column2]]</f>
        <v>0</v>
      </c>
      <c r="C301" s="81"/>
      <c r="D301" s="82"/>
      <c r="E301" s="82"/>
      <c r="F301" s="81"/>
      <c r="G301" s="81"/>
      <c r="H301" s="81"/>
      <c r="I301" s="81"/>
      <c r="J301" s="81"/>
      <c r="K301" s="81"/>
      <c r="L301" s="81"/>
      <c r="M301" s="81"/>
      <c r="N301" s="81"/>
      <c r="O301" s="81"/>
      <c r="P301" s="81"/>
      <c r="Q301" s="81"/>
      <c r="R301" s="81"/>
      <c r="S301" s="81"/>
      <c r="T301" s="81"/>
      <c r="U301" s="81"/>
      <c r="V301" s="94"/>
      <c r="W301" s="94"/>
    </row>
    <row r="302" spans="1:23" ht="21" customHeight="1">
      <c r="A302">
        <f>Table4[[#This Row],[Column1]]</f>
        <v>0</v>
      </c>
      <c r="B302">
        <f>Table4[[#This Row],[Column2]]</f>
        <v>0</v>
      </c>
      <c r="C302" s="81"/>
      <c r="D302" s="82"/>
      <c r="E302" s="82"/>
      <c r="F302" s="81"/>
      <c r="G302" s="81"/>
      <c r="H302" s="81"/>
      <c r="I302" s="81"/>
      <c r="J302" s="81"/>
      <c r="K302" s="81"/>
      <c r="L302" s="81"/>
      <c r="M302" s="81"/>
      <c r="N302" s="81"/>
      <c r="O302" s="81"/>
      <c r="P302" s="81"/>
      <c r="Q302" s="81"/>
      <c r="R302" s="81"/>
      <c r="S302" s="81"/>
      <c r="T302" s="81"/>
      <c r="U302" s="81"/>
      <c r="V302" s="94"/>
      <c r="W302" s="94"/>
    </row>
    <row r="303" spans="1:23" ht="21" customHeight="1">
      <c r="A303">
        <f>Table4[[#This Row],[Column1]]</f>
        <v>0</v>
      </c>
      <c r="B303">
        <f>Table4[[#This Row],[Column2]]</f>
        <v>0</v>
      </c>
      <c r="C303" s="81"/>
      <c r="D303" s="82"/>
      <c r="E303" s="82"/>
      <c r="F303" s="81"/>
      <c r="G303" s="81"/>
      <c r="H303" s="81"/>
      <c r="I303" s="81"/>
      <c r="J303" s="81"/>
      <c r="K303" s="81"/>
      <c r="L303" s="81"/>
      <c r="M303" s="81"/>
      <c r="N303" s="81"/>
      <c r="O303" s="81"/>
      <c r="P303" s="81"/>
      <c r="Q303" s="81"/>
      <c r="R303" s="81"/>
      <c r="S303" s="81"/>
      <c r="T303" s="81"/>
      <c r="U303" s="81"/>
      <c r="V303" s="94"/>
      <c r="W303" s="94"/>
    </row>
    <row r="304" spans="1:23" ht="21" customHeight="1">
      <c r="A304">
        <f>Table4[[#This Row],[Column1]]</f>
        <v>0</v>
      </c>
      <c r="B304">
        <f>Table4[[#This Row],[Column2]]</f>
        <v>0</v>
      </c>
      <c r="C304" s="81"/>
      <c r="D304" s="82"/>
      <c r="E304" s="82"/>
      <c r="F304" s="81"/>
      <c r="G304" s="81"/>
      <c r="H304" s="81"/>
      <c r="I304" s="81"/>
      <c r="J304" s="81"/>
      <c r="K304" s="81"/>
      <c r="L304" s="81"/>
      <c r="M304" s="81"/>
      <c r="N304" s="81"/>
      <c r="O304" s="81"/>
      <c r="P304" s="81"/>
      <c r="Q304" s="81"/>
      <c r="R304" s="81"/>
      <c r="S304" s="81"/>
      <c r="T304" s="81"/>
      <c r="U304" s="81"/>
      <c r="V304" s="94"/>
      <c r="W304" s="94"/>
    </row>
    <row r="305" spans="1:23" ht="21" customHeight="1">
      <c r="A305">
        <f>Table4[[#This Row],[Column1]]</f>
        <v>0</v>
      </c>
      <c r="B305">
        <f>Table4[[#This Row],[Column2]]</f>
        <v>0</v>
      </c>
      <c r="C305" s="81"/>
      <c r="D305" s="82"/>
      <c r="E305" s="82"/>
      <c r="F305" s="81"/>
      <c r="G305" s="81"/>
      <c r="H305" s="81"/>
      <c r="I305" s="81"/>
      <c r="J305" s="81"/>
      <c r="K305" s="81"/>
      <c r="L305" s="81"/>
      <c r="M305" s="81"/>
      <c r="N305" s="81"/>
      <c r="O305" s="81"/>
      <c r="P305" s="81"/>
      <c r="Q305" s="81"/>
      <c r="R305" s="81"/>
      <c r="S305" s="81"/>
      <c r="T305" s="81"/>
      <c r="U305" s="81"/>
      <c r="V305" s="94"/>
      <c r="W305" s="94"/>
    </row>
    <row r="306" spans="1:23" ht="21" customHeight="1">
      <c r="A306">
        <f>Table4[[#This Row],[Column1]]</f>
        <v>0</v>
      </c>
      <c r="B306">
        <f>Table4[[#This Row],[Column2]]</f>
        <v>0</v>
      </c>
      <c r="C306" s="81"/>
      <c r="D306" s="82"/>
      <c r="E306" s="82"/>
      <c r="F306" s="81"/>
      <c r="G306" s="81"/>
      <c r="H306" s="81"/>
      <c r="I306" s="81"/>
      <c r="J306" s="81"/>
      <c r="K306" s="81"/>
      <c r="L306" s="81"/>
      <c r="M306" s="81"/>
      <c r="N306" s="81"/>
      <c r="O306" s="81"/>
      <c r="P306" s="81"/>
      <c r="Q306" s="81"/>
      <c r="R306" s="81"/>
      <c r="S306" s="81"/>
      <c r="T306" s="81"/>
      <c r="U306" s="81"/>
      <c r="V306" s="94"/>
      <c r="W306" s="94"/>
    </row>
    <row r="307" spans="1:23" ht="21" customHeight="1">
      <c r="A307">
        <f>Table4[[#This Row],[Column1]]</f>
        <v>0</v>
      </c>
      <c r="B307">
        <f>Table4[[#This Row],[Column2]]</f>
        <v>0</v>
      </c>
      <c r="C307" s="81"/>
      <c r="D307" s="82"/>
      <c r="E307" s="82"/>
      <c r="F307" s="81"/>
      <c r="G307" s="81"/>
      <c r="H307" s="81"/>
      <c r="I307" s="81"/>
      <c r="J307" s="81"/>
      <c r="K307" s="81"/>
      <c r="L307" s="81"/>
      <c r="M307" s="81"/>
      <c r="N307" s="81"/>
      <c r="O307" s="81"/>
      <c r="P307" s="81"/>
      <c r="Q307" s="81"/>
      <c r="R307" s="81"/>
      <c r="S307" s="81"/>
      <c r="T307" s="81"/>
      <c r="U307" s="81"/>
      <c r="V307" s="94"/>
      <c r="W307" s="94"/>
    </row>
    <row r="308" spans="1:23" ht="21" customHeight="1">
      <c r="A308">
        <f>Table4[[#This Row],[Column1]]</f>
        <v>0</v>
      </c>
      <c r="B308">
        <f>Table4[[#This Row],[Column2]]</f>
        <v>0</v>
      </c>
      <c r="C308" s="81"/>
      <c r="D308" s="82"/>
      <c r="E308" s="82"/>
      <c r="F308" s="81"/>
      <c r="G308" s="81"/>
      <c r="H308" s="81"/>
      <c r="I308" s="81"/>
      <c r="J308" s="81"/>
      <c r="K308" s="81"/>
      <c r="L308" s="81"/>
      <c r="M308" s="81"/>
      <c r="N308" s="81"/>
      <c r="O308" s="81"/>
      <c r="P308" s="81"/>
      <c r="Q308" s="81"/>
      <c r="R308" s="81"/>
      <c r="S308" s="81"/>
      <c r="T308" s="81"/>
      <c r="U308" s="81"/>
      <c r="V308" s="94"/>
      <c r="W308" s="94"/>
    </row>
    <row r="309" spans="1:23" ht="21" customHeight="1">
      <c r="A309">
        <f>Table4[[#This Row],[Column1]]</f>
        <v>0</v>
      </c>
      <c r="B309">
        <f>Table4[[#This Row],[Column2]]</f>
        <v>0</v>
      </c>
      <c r="C309" s="81"/>
      <c r="D309" s="82"/>
      <c r="E309" s="82"/>
      <c r="F309" s="81"/>
      <c r="G309" s="81"/>
      <c r="H309" s="81"/>
      <c r="I309" s="81"/>
      <c r="J309" s="81"/>
      <c r="K309" s="81"/>
      <c r="L309" s="81"/>
      <c r="M309" s="81"/>
      <c r="N309" s="81"/>
      <c r="O309" s="81"/>
      <c r="P309" s="81"/>
      <c r="Q309" s="81"/>
      <c r="R309" s="81"/>
      <c r="S309" s="81"/>
      <c r="T309" s="81"/>
      <c r="U309" s="81"/>
      <c r="V309" s="94"/>
      <c r="W309" s="94"/>
    </row>
    <row r="310" spans="1:23" ht="21" customHeight="1">
      <c r="A310">
        <f>Table4[[#This Row],[Column1]]</f>
        <v>0</v>
      </c>
      <c r="B310">
        <f>Table4[[#This Row],[Column2]]</f>
        <v>0</v>
      </c>
      <c r="C310" s="81"/>
      <c r="D310" s="82"/>
      <c r="E310" s="82"/>
      <c r="F310" s="81"/>
      <c r="G310" s="81"/>
      <c r="H310" s="81"/>
      <c r="I310" s="81"/>
      <c r="J310" s="81"/>
      <c r="K310" s="81"/>
      <c r="L310" s="81"/>
      <c r="M310" s="81"/>
      <c r="N310" s="81"/>
      <c r="O310" s="81"/>
      <c r="P310" s="81"/>
      <c r="Q310" s="81"/>
      <c r="R310" s="81"/>
      <c r="S310" s="81"/>
      <c r="T310" s="81"/>
      <c r="U310" s="81"/>
      <c r="V310" s="94"/>
      <c r="W310" s="94"/>
    </row>
    <row r="311" spans="1:23" ht="21" customHeight="1">
      <c r="A311">
        <f>Table4[[#This Row],[Column1]]</f>
        <v>0</v>
      </c>
      <c r="B311">
        <f>Table4[[#This Row],[Column2]]</f>
        <v>0</v>
      </c>
      <c r="C311" s="81"/>
      <c r="D311" s="82"/>
      <c r="E311" s="82"/>
      <c r="F311" s="81"/>
      <c r="G311" s="81"/>
      <c r="H311" s="81"/>
      <c r="I311" s="81"/>
      <c r="J311" s="81"/>
      <c r="K311" s="81"/>
      <c r="L311" s="81"/>
      <c r="M311" s="81"/>
      <c r="N311" s="81"/>
      <c r="O311" s="81"/>
      <c r="P311" s="81"/>
      <c r="Q311" s="81"/>
      <c r="R311" s="81"/>
      <c r="S311" s="81"/>
      <c r="T311" s="81"/>
      <c r="U311" s="81"/>
      <c r="V311" s="94"/>
      <c r="W311" s="94"/>
    </row>
    <row r="312" spans="1:23" ht="21" customHeight="1">
      <c r="A312">
        <f>Table4[[#This Row],[Column1]]</f>
        <v>0</v>
      </c>
      <c r="B312">
        <f>Table4[[#This Row],[Column2]]</f>
        <v>0</v>
      </c>
      <c r="C312" s="81"/>
      <c r="D312" s="82"/>
      <c r="E312" s="82"/>
      <c r="F312" s="81"/>
      <c r="G312" s="81"/>
      <c r="H312" s="81"/>
      <c r="I312" s="81"/>
      <c r="J312" s="81"/>
      <c r="K312" s="81"/>
      <c r="L312" s="81"/>
      <c r="M312" s="81"/>
      <c r="N312" s="81"/>
      <c r="O312" s="81"/>
      <c r="P312" s="81"/>
      <c r="Q312" s="81"/>
      <c r="R312" s="81"/>
      <c r="S312" s="81"/>
      <c r="T312" s="81"/>
      <c r="U312" s="81"/>
      <c r="V312" s="94"/>
      <c r="W312" s="94"/>
    </row>
    <row r="313" spans="1:23" ht="21" customHeight="1">
      <c r="A313">
        <f>Table4[[#This Row],[Column1]]</f>
        <v>0</v>
      </c>
      <c r="B313">
        <f>Table4[[#This Row],[Column2]]</f>
        <v>0</v>
      </c>
      <c r="C313" s="81"/>
      <c r="D313" s="82"/>
      <c r="E313" s="82"/>
      <c r="F313" s="81"/>
      <c r="G313" s="81"/>
      <c r="H313" s="81"/>
      <c r="I313" s="81"/>
      <c r="J313" s="81"/>
      <c r="K313" s="81"/>
      <c r="L313" s="81"/>
      <c r="M313" s="81"/>
      <c r="N313" s="81"/>
      <c r="O313" s="81"/>
      <c r="P313" s="81"/>
      <c r="Q313" s="81"/>
      <c r="R313" s="81"/>
      <c r="S313" s="81"/>
      <c r="T313" s="81"/>
      <c r="U313" s="81"/>
      <c r="V313" s="94"/>
      <c r="W313" s="94"/>
    </row>
    <row r="314" spans="1:23" ht="21" customHeight="1">
      <c r="A314">
        <f>Table4[[#This Row],[Column1]]</f>
        <v>0</v>
      </c>
      <c r="B314">
        <f>Table4[[#This Row],[Column2]]</f>
        <v>0</v>
      </c>
      <c r="C314" s="81"/>
      <c r="D314" s="82"/>
      <c r="E314" s="82"/>
      <c r="F314" s="81"/>
      <c r="G314" s="81"/>
      <c r="H314" s="81"/>
      <c r="I314" s="81"/>
      <c r="J314" s="81"/>
      <c r="K314" s="81"/>
      <c r="L314" s="81"/>
      <c r="M314" s="81"/>
      <c r="N314" s="81"/>
      <c r="O314" s="81"/>
      <c r="P314" s="81"/>
      <c r="Q314" s="81"/>
      <c r="R314" s="81"/>
      <c r="S314" s="81"/>
      <c r="T314" s="81"/>
      <c r="U314" s="81"/>
      <c r="V314" s="94"/>
      <c r="W314" s="94"/>
    </row>
    <row r="315" spans="1:23" ht="21" customHeight="1">
      <c r="A315">
        <f>Table4[[#This Row],[Column1]]</f>
        <v>0</v>
      </c>
      <c r="B315">
        <f>Table4[[#This Row],[Column2]]</f>
        <v>0</v>
      </c>
      <c r="C315" s="81"/>
      <c r="D315" s="82"/>
      <c r="E315" s="82"/>
      <c r="F315" s="81"/>
      <c r="G315" s="81"/>
      <c r="H315" s="81"/>
      <c r="I315" s="81"/>
      <c r="J315" s="81"/>
      <c r="K315" s="81"/>
      <c r="L315" s="81"/>
      <c r="M315" s="81"/>
      <c r="N315" s="81"/>
      <c r="O315" s="81"/>
      <c r="P315" s="81"/>
      <c r="Q315" s="81"/>
      <c r="R315" s="81"/>
      <c r="S315" s="81"/>
      <c r="T315" s="81"/>
      <c r="U315" s="81"/>
      <c r="V315" s="94"/>
      <c r="W315" s="94"/>
    </row>
    <row r="316" spans="1:23" ht="21" customHeight="1">
      <c r="A316">
        <f>Table4[[#This Row],[Column1]]</f>
        <v>0</v>
      </c>
      <c r="B316">
        <f>Table4[[#This Row],[Column2]]</f>
        <v>0</v>
      </c>
      <c r="C316" s="81"/>
      <c r="D316" s="82"/>
      <c r="E316" s="82"/>
      <c r="F316" s="81"/>
      <c r="G316" s="81"/>
      <c r="H316" s="81"/>
      <c r="I316" s="81"/>
      <c r="J316" s="81"/>
      <c r="K316" s="81"/>
      <c r="L316" s="81"/>
      <c r="M316" s="81"/>
      <c r="N316" s="81"/>
      <c r="O316" s="81"/>
      <c r="P316" s="81"/>
      <c r="Q316" s="81"/>
      <c r="R316" s="81"/>
      <c r="S316" s="81"/>
      <c r="T316" s="81"/>
      <c r="U316" s="81"/>
      <c r="V316" s="94"/>
      <c r="W316" s="94"/>
    </row>
    <row r="317" spans="1:23" ht="21" customHeight="1">
      <c r="A317">
        <f>Table4[[#This Row],[Column1]]</f>
        <v>0</v>
      </c>
      <c r="B317">
        <f>Table4[[#This Row],[Column2]]</f>
        <v>0</v>
      </c>
      <c r="C317" s="81"/>
      <c r="D317" s="82"/>
      <c r="E317" s="82"/>
      <c r="F317" s="81"/>
      <c r="G317" s="81"/>
      <c r="H317" s="81"/>
      <c r="I317" s="81"/>
      <c r="J317" s="81"/>
      <c r="K317" s="81"/>
      <c r="L317" s="81"/>
      <c r="M317" s="81"/>
      <c r="N317" s="81"/>
      <c r="O317" s="81"/>
      <c r="P317" s="81"/>
      <c r="Q317" s="81"/>
      <c r="R317" s="81"/>
      <c r="S317" s="81"/>
      <c r="T317" s="81"/>
      <c r="U317" s="81"/>
      <c r="V317" s="94"/>
      <c r="W317" s="94"/>
    </row>
    <row r="318" spans="1:23" ht="21" customHeight="1">
      <c r="A318">
        <f>Table4[[#This Row],[Column1]]</f>
        <v>0</v>
      </c>
      <c r="B318">
        <f>Table4[[#This Row],[Column2]]</f>
        <v>0</v>
      </c>
      <c r="C318" s="81"/>
      <c r="D318" s="82"/>
      <c r="E318" s="82"/>
      <c r="F318" s="81"/>
      <c r="G318" s="81"/>
      <c r="H318" s="81"/>
      <c r="I318" s="81"/>
      <c r="J318" s="81"/>
      <c r="K318" s="81"/>
      <c r="L318" s="81"/>
      <c r="M318" s="81"/>
      <c r="N318" s="81"/>
      <c r="O318" s="81"/>
      <c r="P318" s="81"/>
      <c r="Q318" s="81"/>
      <c r="R318" s="81"/>
      <c r="S318" s="81"/>
      <c r="T318" s="81"/>
      <c r="U318" s="81"/>
      <c r="V318" s="94"/>
      <c r="W318" s="94"/>
    </row>
    <row r="319" spans="1:23" ht="21" customHeight="1">
      <c r="A319">
        <f>Table4[[#This Row],[Column1]]</f>
        <v>0</v>
      </c>
      <c r="B319">
        <f>Table4[[#This Row],[Column2]]</f>
        <v>0</v>
      </c>
      <c r="C319" s="81"/>
      <c r="D319" s="82"/>
      <c r="E319" s="82"/>
      <c r="F319" s="81"/>
      <c r="G319" s="81"/>
      <c r="H319" s="81"/>
      <c r="I319" s="81"/>
      <c r="J319" s="81"/>
      <c r="K319" s="81"/>
      <c r="L319" s="81"/>
      <c r="M319" s="81"/>
      <c r="N319" s="81"/>
      <c r="O319" s="81"/>
      <c r="P319" s="81"/>
      <c r="Q319" s="81"/>
      <c r="R319" s="81"/>
      <c r="S319" s="81"/>
      <c r="T319" s="81"/>
      <c r="U319" s="81"/>
      <c r="V319" s="94"/>
      <c r="W319" s="94"/>
    </row>
    <row r="320" spans="1:23" ht="21" customHeight="1">
      <c r="A320">
        <f>Table4[[#This Row],[Column1]]</f>
        <v>0</v>
      </c>
      <c r="B320">
        <f>Table4[[#This Row],[Column2]]</f>
        <v>0</v>
      </c>
      <c r="C320" s="81"/>
      <c r="D320" s="82"/>
      <c r="E320" s="82"/>
      <c r="F320" s="81"/>
      <c r="G320" s="81"/>
      <c r="H320" s="81"/>
      <c r="I320" s="81"/>
      <c r="J320" s="81"/>
      <c r="K320" s="81"/>
      <c r="L320" s="81"/>
      <c r="M320" s="81"/>
      <c r="N320" s="81"/>
      <c r="O320" s="81"/>
      <c r="P320" s="81"/>
      <c r="Q320" s="81"/>
      <c r="R320" s="81"/>
      <c r="S320" s="81"/>
      <c r="T320" s="81"/>
      <c r="U320" s="81"/>
      <c r="V320" s="94"/>
      <c r="W320" s="94"/>
    </row>
    <row r="321" spans="1:23" ht="21" customHeight="1">
      <c r="A321">
        <f>Table4[[#This Row],[Column1]]</f>
        <v>0</v>
      </c>
      <c r="B321">
        <f>Table4[[#This Row],[Column2]]</f>
        <v>0</v>
      </c>
      <c r="C321" s="81"/>
      <c r="D321" s="82"/>
      <c r="E321" s="82"/>
      <c r="F321" s="81"/>
      <c r="G321" s="81"/>
      <c r="H321" s="81"/>
      <c r="I321" s="81"/>
      <c r="J321" s="81"/>
      <c r="K321" s="81"/>
      <c r="L321" s="81"/>
      <c r="M321" s="81"/>
      <c r="N321" s="81"/>
      <c r="O321" s="81"/>
      <c r="P321" s="81"/>
      <c r="Q321" s="81"/>
      <c r="R321" s="81"/>
      <c r="S321" s="81"/>
      <c r="T321" s="81"/>
      <c r="U321" s="81"/>
      <c r="V321" s="94"/>
      <c r="W321" s="94"/>
    </row>
    <row r="322" spans="1:23" ht="21" customHeight="1">
      <c r="A322">
        <f>Table4[[#This Row],[Column1]]</f>
        <v>0</v>
      </c>
      <c r="B322">
        <f>Table4[[#This Row],[Column2]]</f>
        <v>0</v>
      </c>
      <c r="C322" s="81"/>
      <c r="D322" s="82"/>
      <c r="E322" s="82"/>
      <c r="F322" s="81"/>
      <c r="G322" s="81"/>
      <c r="H322" s="81"/>
      <c r="I322" s="81"/>
      <c r="J322" s="81"/>
      <c r="K322" s="81"/>
      <c r="L322" s="81"/>
      <c r="M322" s="81"/>
      <c r="N322" s="81"/>
      <c r="O322" s="81"/>
      <c r="P322" s="81"/>
      <c r="Q322" s="81"/>
      <c r="R322" s="81"/>
      <c r="S322" s="81"/>
      <c r="T322" s="81"/>
      <c r="U322" s="81"/>
      <c r="V322" s="94"/>
      <c r="W322" s="94"/>
    </row>
    <row r="323" spans="1:23" ht="21" customHeight="1">
      <c r="A323">
        <f>Table4[[#This Row],[Column1]]</f>
        <v>0</v>
      </c>
      <c r="B323">
        <f>Table4[[#This Row],[Column2]]</f>
        <v>0</v>
      </c>
      <c r="C323" s="81"/>
      <c r="D323" s="82"/>
      <c r="E323" s="82"/>
      <c r="F323" s="81"/>
      <c r="G323" s="81"/>
      <c r="H323" s="81"/>
      <c r="I323" s="81"/>
      <c r="J323" s="81"/>
      <c r="K323" s="81"/>
      <c r="L323" s="81"/>
      <c r="M323" s="81"/>
      <c r="N323" s="81"/>
      <c r="O323" s="81"/>
      <c r="P323" s="81"/>
      <c r="Q323" s="81"/>
      <c r="R323" s="81"/>
      <c r="S323" s="81"/>
      <c r="T323" s="81"/>
      <c r="U323" s="81"/>
      <c r="V323" s="94"/>
      <c r="W323" s="94"/>
    </row>
    <row r="324" spans="1:23" ht="21" customHeight="1">
      <c r="A324">
        <f>Table4[[#This Row],[Column1]]</f>
        <v>0</v>
      </c>
      <c r="B324">
        <f>Table4[[#This Row],[Column2]]</f>
        <v>0</v>
      </c>
      <c r="C324" s="81"/>
      <c r="D324" s="82"/>
      <c r="E324" s="82"/>
      <c r="F324" s="81"/>
      <c r="G324" s="81"/>
      <c r="H324" s="81"/>
      <c r="I324" s="81"/>
      <c r="J324" s="81"/>
      <c r="K324" s="81"/>
      <c r="L324" s="81"/>
      <c r="M324" s="81"/>
      <c r="N324" s="81"/>
      <c r="O324" s="81"/>
      <c r="P324" s="81"/>
      <c r="Q324" s="81"/>
      <c r="R324" s="81"/>
      <c r="S324" s="81"/>
      <c r="T324" s="81"/>
      <c r="U324" s="81"/>
      <c r="V324" s="94"/>
      <c r="W324" s="94"/>
    </row>
    <row r="325" spans="1:23" ht="21" customHeight="1">
      <c r="A325">
        <f>Table4[[#This Row],[Column1]]</f>
        <v>0</v>
      </c>
      <c r="B325">
        <f>Table4[[#This Row],[Column2]]</f>
        <v>0</v>
      </c>
      <c r="C325" s="81"/>
      <c r="D325" s="82"/>
      <c r="E325" s="82"/>
      <c r="F325" s="81"/>
      <c r="G325" s="81"/>
      <c r="H325" s="81"/>
      <c r="I325" s="81"/>
      <c r="J325" s="81"/>
      <c r="K325" s="81"/>
      <c r="L325" s="81"/>
      <c r="M325" s="81"/>
      <c r="N325" s="81"/>
      <c r="O325" s="81"/>
      <c r="P325" s="81"/>
      <c r="Q325" s="81"/>
      <c r="R325" s="81"/>
      <c r="S325" s="81"/>
      <c r="T325" s="81"/>
      <c r="U325" s="81"/>
      <c r="V325" s="94"/>
      <c r="W325" s="94"/>
    </row>
    <row r="326" spans="1:23" ht="21" customHeight="1">
      <c r="A326">
        <f>Table4[[#This Row],[Column1]]</f>
        <v>0</v>
      </c>
      <c r="B326">
        <f>Table4[[#This Row],[Column2]]</f>
        <v>0</v>
      </c>
      <c r="C326" s="81"/>
      <c r="D326" s="82"/>
      <c r="E326" s="82"/>
      <c r="F326" s="81"/>
      <c r="G326" s="81"/>
      <c r="H326" s="81"/>
      <c r="I326" s="81"/>
      <c r="J326" s="81"/>
      <c r="K326" s="81"/>
      <c r="L326" s="81"/>
      <c r="M326" s="81"/>
      <c r="N326" s="81"/>
      <c r="O326" s="81"/>
      <c r="P326" s="81"/>
      <c r="Q326" s="81"/>
      <c r="R326" s="81"/>
      <c r="S326" s="81"/>
      <c r="T326" s="81"/>
      <c r="U326" s="81"/>
      <c r="V326" s="94"/>
      <c r="W326" s="94"/>
    </row>
    <row r="327" spans="1:23" ht="21" customHeight="1">
      <c r="A327">
        <f>Table4[[#This Row],[Column1]]</f>
        <v>0</v>
      </c>
      <c r="B327">
        <f>Table4[[#This Row],[Column2]]</f>
        <v>0</v>
      </c>
      <c r="C327" s="81"/>
      <c r="D327" s="82"/>
      <c r="E327" s="82"/>
      <c r="F327" s="81"/>
      <c r="G327" s="81"/>
      <c r="H327" s="81"/>
      <c r="I327" s="81"/>
      <c r="J327" s="81"/>
      <c r="K327" s="81"/>
      <c r="L327" s="81"/>
      <c r="M327" s="81"/>
      <c r="N327" s="81"/>
      <c r="O327" s="81"/>
      <c r="P327" s="81"/>
      <c r="Q327" s="81"/>
      <c r="R327" s="81"/>
      <c r="S327" s="81"/>
      <c r="T327" s="81"/>
      <c r="U327" s="81"/>
      <c r="V327" s="94"/>
      <c r="W327" s="94"/>
    </row>
    <row r="328" spans="1:23" ht="21" customHeight="1">
      <c r="A328">
        <f>Table4[[#This Row],[Column1]]</f>
        <v>0</v>
      </c>
      <c r="B328">
        <f>Table4[[#This Row],[Column2]]</f>
        <v>0</v>
      </c>
      <c r="C328" s="81"/>
      <c r="D328" s="82"/>
      <c r="E328" s="82"/>
      <c r="F328" s="81"/>
      <c r="G328" s="81"/>
      <c r="H328" s="81"/>
      <c r="I328" s="81"/>
      <c r="J328" s="81"/>
      <c r="K328" s="81"/>
      <c r="L328" s="81"/>
      <c r="M328" s="81"/>
      <c r="N328" s="81"/>
      <c r="O328" s="81"/>
      <c r="P328" s="81"/>
      <c r="Q328" s="81"/>
      <c r="R328" s="81"/>
      <c r="S328" s="81"/>
      <c r="T328" s="81"/>
      <c r="U328" s="81"/>
      <c r="V328" s="94"/>
      <c r="W328" s="94"/>
    </row>
    <row r="329" spans="1:23" ht="21" customHeight="1">
      <c r="A329">
        <f>Table4[[#This Row],[Column1]]</f>
        <v>0</v>
      </c>
      <c r="B329">
        <f>Table4[[#This Row],[Column2]]</f>
        <v>0</v>
      </c>
      <c r="C329" s="81"/>
      <c r="D329" s="82"/>
      <c r="E329" s="82"/>
      <c r="F329" s="81"/>
      <c r="G329" s="81"/>
      <c r="H329" s="81"/>
      <c r="I329" s="81"/>
      <c r="J329" s="81"/>
      <c r="K329" s="81"/>
      <c r="L329" s="81"/>
      <c r="M329" s="81"/>
      <c r="N329" s="81"/>
      <c r="O329" s="81"/>
      <c r="P329" s="81"/>
      <c r="Q329" s="81"/>
      <c r="R329" s="81"/>
      <c r="S329" s="81"/>
      <c r="T329" s="81"/>
      <c r="U329" s="81"/>
      <c r="V329" s="94"/>
      <c r="W329" s="94"/>
    </row>
    <row r="330" spans="1:23" ht="21" customHeight="1">
      <c r="A330">
        <f>Table4[[#This Row],[Column1]]</f>
        <v>0</v>
      </c>
      <c r="B330">
        <f>Table4[[#This Row],[Column2]]</f>
        <v>0</v>
      </c>
      <c r="C330" s="81"/>
      <c r="D330" s="82"/>
      <c r="E330" s="82"/>
      <c r="F330" s="81"/>
      <c r="G330" s="81"/>
      <c r="H330" s="81"/>
      <c r="I330" s="81"/>
      <c r="J330" s="81"/>
      <c r="K330" s="81"/>
      <c r="L330" s="81"/>
      <c r="M330" s="81"/>
      <c r="N330" s="81"/>
      <c r="O330" s="81"/>
      <c r="P330" s="81"/>
      <c r="Q330" s="81"/>
      <c r="R330" s="81"/>
      <c r="S330" s="81"/>
      <c r="T330" s="81"/>
      <c r="U330" s="81"/>
      <c r="V330" s="94"/>
      <c r="W330" s="94"/>
    </row>
    <row r="331" spans="1:23" ht="21" customHeight="1">
      <c r="A331">
        <f>Table4[[#This Row],[Column1]]</f>
        <v>0</v>
      </c>
      <c r="B331">
        <f>Table4[[#This Row],[Column2]]</f>
        <v>0</v>
      </c>
      <c r="C331" s="81"/>
      <c r="D331" s="82"/>
      <c r="E331" s="82"/>
      <c r="F331" s="81"/>
      <c r="G331" s="81"/>
      <c r="H331" s="81"/>
      <c r="I331" s="81"/>
      <c r="J331" s="81"/>
      <c r="K331" s="81"/>
      <c r="L331" s="81"/>
      <c r="M331" s="81"/>
      <c r="N331" s="81"/>
      <c r="O331" s="81"/>
      <c r="P331" s="81"/>
      <c r="Q331" s="81"/>
      <c r="R331" s="81"/>
      <c r="S331" s="81"/>
      <c r="T331" s="81"/>
      <c r="U331" s="81"/>
      <c r="V331" s="94"/>
      <c r="W331" s="94"/>
    </row>
    <row r="332" spans="1:23" ht="21" customHeight="1">
      <c r="A332">
        <f>Table4[[#This Row],[Column1]]</f>
        <v>0</v>
      </c>
      <c r="B332">
        <f>Table4[[#This Row],[Column2]]</f>
        <v>0</v>
      </c>
      <c r="C332" s="81"/>
      <c r="D332" s="82"/>
      <c r="E332" s="82"/>
      <c r="F332" s="81"/>
      <c r="G332" s="81"/>
      <c r="H332" s="81"/>
      <c r="I332" s="81"/>
      <c r="J332" s="81"/>
      <c r="K332" s="81"/>
      <c r="L332" s="81"/>
      <c r="M332" s="81"/>
      <c r="N332" s="81"/>
      <c r="O332" s="81"/>
      <c r="P332" s="81"/>
      <c r="Q332" s="81"/>
      <c r="R332" s="81"/>
      <c r="S332" s="81"/>
      <c r="T332" s="81"/>
      <c r="U332" s="81"/>
      <c r="V332" s="94"/>
      <c r="W332" s="94"/>
    </row>
    <row r="333" spans="1:23" ht="21" customHeight="1">
      <c r="A333">
        <f>Table4[[#This Row],[Column1]]</f>
        <v>0</v>
      </c>
      <c r="B333">
        <f>Table4[[#This Row],[Column2]]</f>
        <v>0</v>
      </c>
      <c r="C333" s="81"/>
      <c r="D333" s="82"/>
      <c r="E333" s="82"/>
      <c r="F333" s="81"/>
      <c r="G333" s="81"/>
      <c r="H333" s="81"/>
      <c r="I333" s="81"/>
      <c r="J333" s="81"/>
      <c r="K333" s="81"/>
      <c r="L333" s="81"/>
      <c r="M333" s="81"/>
      <c r="N333" s="81"/>
      <c r="O333" s="81"/>
      <c r="P333" s="81"/>
      <c r="Q333" s="81"/>
      <c r="R333" s="81"/>
      <c r="S333" s="81"/>
      <c r="T333" s="81"/>
      <c r="U333" s="81"/>
      <c r="V333" s="94"/>
      <c r="W333" s="94"/>
    </row>
    <row r="334" spans="1:23" ht="21" customHeight="1">
      <c r="A334">
        <f>Table4[[#This Row],[Column1]]</f>
        <v>0</v>
      </c>
      <c r="B334">
        <f>Table4[[#This Row],[Column2]]</f>
        <v>0</v>
      </c>
      <c r="C334" s="81"/>
      <c r="D334" s="82"/>
      <c r="E334" s="82"/>
      <c r="F334" s="81"/>
      <c r="G334" s="81"/>
      <c r="H334" s="81"/>
      <c r="I334" s="81"/>
      <c r="J334" s="81"/>
      <c r="K334" s="81"/>
      <c r="L334" s="81"/>
      <c r="M334" s="81"/>
      <c r="N334" s="81"/>
      <c r="O334" s="81"/>
      <c r="P334" s="81"/>
      <c r="Q334" s="81"/>
      <c r="R334" s="81"/>
      <c r="S334" s="81"/>
      <c r="T334" s="81"/>
      <c r="U334" s="81"/>
      <c r="V334" s="94"/>
      <c r="W334" s="94"/>
    </row>
    <row r="335" spans="1:23" ht="21" customHeight="1">
      <c r="A335">
        <f>Table4[[#This Row],[Column1]]</f>
        <v>0</v>
      </c>
      <c r="B335">
        <f>Table4[[#This Row],[Column2]]</f>
        <v>0</v>
      </c>
      <c r="C335" s="81"/>
      <c r="D335" s="82"/>
      <c r="E335" s="82"/>
      <c r="F335" s="81"/>
      <c r="G335" s="81"/>
      <c r="H335" s="81"/>
      <c r="I335" s="81"/>
      <c r="J335" s="81"/>
      <c r="K335" s="81"/>
      <c r="L335" s="81"/>
      <c r="M335" s="81"/>
      <c r="N335" s="81"/>
      <c r="O335" s="81"/>
      <c r="P335" s="81"/>
      <c r="Q335" s="81"/>
      <c r="R335" s="81"/>
      <c r="S335" s="81"/>
      <c r="T335" s="81"/>
      <c r="U335" s="81"/>
      <c r="V335" s="94"/>
      <c r="W335" s="94"/>
    </row>
    <row r="336" spans="1:23" ht="21" customHeight="1">
      <c r="A336">
        <f>Table4[[#This Row],[Column1]]</f>
        <v>0</v>
      </c>
      <c r="B336">
        <f>Table4[[#This Row],[Column2]]</f>
        <v>0</v>
      </c>
      <c r="C336" s="81"/>
      <c r="D336" s="82"/>
      <c r="E336" s="82"/>
      <c r="F336" s="81"/>
      <c r="G336" s="81"/>
      <c r="H336" s="81"/>
      <c r="I336" s="81"/>
      <c r="J336" s="81"/>
      <c r="K336" s="81"/>
      <c r="L336" s="81"/>
      <c r="M336" s="81"/>
      <c r="N336" s="81"/>
      <c r="O336" s="81"/>
      <c r="P336" s="81"/>
      <c r="Q336" s="81"/>
      <c r="R336" s="81"/>
      <c r="S336" s="81"/>
      <c r="T336" s="81"/>
      <c r="U336" s="81"/>
      <c r="V336" s="94"/>
      <c r="W336" s="94"/>
    </row>
    <row r="337" spans="1:23" ht="21" customHeight="1">
      <c r="A337">
        <f>Table4[[#This Row],[Column1]]</f>
        <v>0</v>
      </c>
      <c r="B337">
        <f>Table4[[#This Row],[Column2]]</f>
        <v>0</v>
      </c>
      <c r="C337" s="81"/>
      <c r="D337" s="82"/>
      <c r="E337" s="82"/>
      <c r="F337" s="81"/>
      <c r="G337" s="81"/>
      <c r="H337" s="81"/>
      <c r="I337" s="81"/>
      <c r="J337" s="81"/>
      <c r="K337" s="81"/>
      <c r="L337" s="81"/>
      <c r="M337" s="81"/>
      <c r="N337" s="81"/>
      <c r="O337" s="81"/>
      <c r="P337" s="81"/>
      <c r="Q337" s="81"/>
      <c r="R337" s="81"/>
      <c r="S337" s="81"/>
      <c r="T337" s="81"/>
      <c r="U337" s="81"/>
      <c r="V337" s="94"/>
      <c r="W337" s="94"/>
    </row>
    <row r="338" spans="1:23" ht="21" customHeight="1">
      <c r="A338">
        <f>Table4[[#This Row],[Column1]]</f>
        <v>0</v>
      </c>
      <c r="B338">
        <f>Table4[[#This Row],[Column2]]</f>
        <v>0</v>
      </c>
      <c r="C338" s="81"/>
      <c r="D338" s="82"/>
      <c r="E338" s="82"/>
      <c r="F338" s="81"/>
      <c r="G338" s="81"/>
      <c r="H338" s="81"/>
      <c r="I338" s="81"/>
      <c r="J338" s="81"/>
      <c r="K338" s="81"/>
      <c r="L338" s="81"/>
      <c r="M338" s="81"/>
      <c r="N338" s="81"/>
      <c r="O338" s="81"/>
      <c r="P338" s="81"/>
      <c r="Q338" s="81"/>
      <c r="R338" s="81"/>
      <c r="S338" s="81"/>
      <c r="T338" s="81"/>
      <c r="U338" s="81"/>
      <c r="V338" s="94"/>
      <c r="W338" s="94"/>
    </row>
    <row r="339" spans="1:23" ht="21" customHeight="1">
      <c r="A339">
        <f>Table4[[#This Row],[Column1]]</f>
        <v>0</v>
      </c>
      <c r="B339">
        <f>Table4[[#This Row],[Column2]]</f>
        <v>0</v>
      </c>
      <c r="C339" s="81"/>
      <c r="D339" s="82"/>
      <c r="E339" s="82"/>
      <c r="F339" s="81"/>
      <c r="G339" s="81"/>
      <c r="H339" s="81"/>
      <c r="I339" s="81"/>
      <c r="J339" s="81"/>
      <c r="K339" s="81"/>
      <c r="L339" s="81"/>
      <c r="M339" s="81"/>
      <c r="N339" s="81"/>
      <c r="O339" s="81"/>
      <c r="P339" s="81"/>
      <c r="Q339" s="81"/>
      <c r="R339" s="81"/>
      <c r="S339" s="81"/>
      <c r="T339" s="81"/>
      <c r="U339" s="81"/>
      <c r="V339" s="94"/>
      <c r="W339" s="94"/>
    </row>
    <row r="340" spans="1:23" ht="21" customHeight="1">
      <c r="A340">
        <f>Table4[[#This Row],[Column1]]</f>
        <v>0</v>
      </c>
      <c r="B340">
        <f>Table4[[#This Row],[Column2]]</f>
        <v>0</v>
      </c>
      <c r="C340" s="81"/>
      <c r="D340" s="82"/>
      <c r="E340" s="82"/>
      <c r="F340" s="81"/>
      <c r="G340" s="81"/>
      <c r="H340" s="81"/>
      <c r="I340" s="81"/>
      <c r="J340" s="81"/>
      <c r="K340" s="81"/>
      <c r="L340" s="81"/>
      <c r="M340" s="81"/>
      <c r="N340" s="81"/>
      <c r="O340" s="81"/>
      <c r="P340" s="81"/>
      <c r="Q340" s="81"/>
      <c r="R340" s="81"/>
      <c r="S340" s="81"/>
      <c r="T340" s="81"/>
      <c r="U340" s="81"/>
      <c r="V340" s="94"/>
      <c r="W340" s="94"/>
    </row>
    <row r="341" spans="1:23" ht="21" customHeight="1">
      <c r="A341">
        <f>Table4[[#This Row],[Column1]]</f>
        <v>0</v>
      </c>
      <c r="B341">
        <f>Table4[[#This Row],[Column2]]</f>
        <v>0</v>
      </c>
      <c r="C341" s="81"/>
      <c r="D341" s="82"/>
      <c r="E341" s="82"/>
      <c r="F341" s="81"/>
      <c r="G341" s="81"/>
      <c r="H341" s="81"/>
      <c r="I341" s="81"/>
      <c r="J341" s="81"/>
      <c r="K341" s="81"/>
      <c r="L341" s="81"/>
      <c r="M341" s="81"/>
      <c r="N341" s="81"/>
      <c r="O341" s="81"/>
      <c r="P341" s="81"/>
      <c r="Q341" s="81"/>
      <c r="R341" s="81"/>
      <c r="S341" s="81"/>
      <c r="T341" s="81"/>
      <c r="U341" s="81"/>
      <c r="V341" s="94"/>
      <c r="W341" s="94"/>
    </row>
    <row r="342" spans="1:23" ht="21" customHeight="1">
      <c r="A342">
        <f>Table4[[#This Row],[Column1]]</f>
        <v>0</v>
      </c>
      <c r="B342">
        <f>Table4[[#This Row],[Column2]]</f>
        <v>0</v>
      </c>
      <c r="C342" s="81"/>
      <c r="D342" s="82"/>
      <c r="E342" s="82"/>
      <c r="F342" s="81"/>
      <c r="G342" s="81"/>
      <c r="H342" s="81"/>
      <c r="I342" s="81"/>
      <c r="J342" s="81"/>
      <c r="K342" s="81"/>
      <c r="L342" s="81"/>
      <c r="M342" s="81"/>
      <c r="N342" s="81"/>
      <c r="O342" s="81"/>
      <c r="P342" s="81"/>
      <c r="Q342" s="81"/>
      <c r="R342" s="81"/>
      <c r="S342" s="81"/>
      <c r="T342" s="81"/>
      <c r="U342" s="81"/>
      <c r="V342" s="94"/>
      <c r="W342" s="94"/>
    </row>
    <row r="343" spans="1:23" ht="21" customHeight="1">
      <c r="A343">
        <f>Table4[[#This Row],[Column1]]</f>
        <v>0</v>
      </c>
      <c r="B343">
        <f>Table4[[#This Row],[Column2]]</f>
        <v>0</v>
      </c>
      <c r="C343" s="81"/>
      <c r="D343" s="82"/>
      <c r="E343" s="82"/>
      <c r="F343" s="81"/>
      <c r="G343" s="81"/>
      <c r="H343" s="81"/>
      <c r="I343" s="81"/>
      <c r="J343" s="81"/>
      <c r="K343" s="81"/>
      <c r="L343" s="81"/>
      <c r="M343" s="81"/>
      <c r="N343" s="81"/>
      <c r="O343" s="81"/>
      <c r="P343" s="81"/>
      <c r="Q343" s="81"/>
      <c r="R343" s="81"/>
      <c r="S343" s="81"/>
      <c r="T343" s="81"/>
      <c r="U343" s="81"/>
      <c r="V343" s="94"/>
      <c r="W343" s="94"/>
    </row>
    <row r="344" spans="1:23" ht="21" customHeight="1">
      <c r="A344">
        <f>Table4[[#This Row],[Column1]]</f>
        <v>0</v>
      </c>
      <c r="B344">
        <f>Table4[[#This Row],[Column2]]</f>
        <v>0</v>
      </c>
      <c r="C344" s="81"/>
      <c r="D344" s="82"/>
      <c r="E344" s="82"/>
      <c r="F344" s="81"/>
      <c r="G344" s="81"/>
      <c r="H344" s="81"/>
      <c r="I344" s="81"/>
      <c r="J344" s="81"/>
      <c r="K344" s="81"/>
      <c r="L344" s="81"/>
      <c r="M344" s="81"/>
      <c r="N344" s="81"/>
      <c r="O344" s="81"/>
      <c r="P344" s="81"/>
      <c r="Q344" s="81"/>
      <c r="R344" s="81"/>
      <c r="S344" s="81"/>
      <c r="T344" s="81"/>
      <c r="U344" s="81"/>
      <c r="V344" s="94"/>
      <c r="W344" s="94"/>
    </row>
    <row r="345" spans="1:23" ht="21" customHeight="1">
      <c r="A345">
        <f>Table4[[#This Row],[Column1]]</f>
        <v>0</v>
      </c>
      <c r="B345">
        <f>Table4[[#This Row],[Column2]]</f>
        <v>0</v>
      </c>
      <c r="C345" s="81"/>
      <c r="D345" s="82"/>
      <c r="E345" s="82"/>
      <c r="F345" s="81"/>
      <c r="G345" s="81"/>
      <c r="H345" s="81"/>
      <c r="I345" s="81"/>
      <c r="J345" s="81"/>
      <c r="K345" s="81"/>
      <c r="L345" s="81"/>
      <c r="M345" s="81"/>
      <c r="N345" s="81"/>
      <c r="O345" s="81"/>
      <c r="P345" s="81"/>
      <c r="Q345" s="81"/>
      <c r="R345" s="81"/>
      <c r="S345" s="81"/>
      <c r="T345" s="81"/>
      <c r="U345" s="81"/>
      <c r="V345" s="94"/>
      <c r="W345" s="94"/>
    </row>
    <row r="346" spans="1:23" ht="21" customHeight="1">
      <c r="A346">
        <f>Table4[[#This Row],[Column1]]</f>
        <v>0</v>
      </c>
      <c r="B346">
        <f>Table4[[#This Row],[Column2]]</f>
        <v>0</v>
      </c>
      <c r="C346" s="81"/>
      <c r="D346" s="82"/>
      <c r="E346" s="82"/>
      <c r="F346" s="81"/>
      <c r="G346" s="81"/>
      <c r="H346" s="81"/>
      <c r="I346" s="81"/>
      <c r="J346" s="81"/>
      <c r="K346" s="81"/>
      <c r="L346" s="81"/>
      <c r="M346" s="81"/>
      <c r="N346" s="81"/>
      <c r="O346" s="81"/>
      <c r="P346" s="81"/>
      <c r="Q346" s="81"/>
      <c r="R346" s="81"/>
      <c r="S346" s="81"/>
      <c r="T346" s="81"/>
      <c r="U346" s="81"/>
      <c r="V346" s="94"/>
      <c r="W346" s="94"/>
    </row>
    <row r="347" spans="1:23" ht="21" customHeight="1">
      <c r="A347">
        <f>Table4[[#This Row],[Column1]]</f>
        <v>0</v>
      </c>
      <c r="B347">
        <f>Table4[[#This Row],[Column2]]</f>
        <v>0</v>
      </c>
      <c r="C347" s="81"/>
      <c r="D347" s="82"/>
      <c r="E347" s="82"/>
      <c r="F347" s="81"/>
      <c r="G347" s="81"/>
      <c r="H347" s="81"/>
      <c r="I347" s="81"/>
      <c r="J347" s="81"/>
      <c r="K347" s="81"/>
      <c r="L347" s="81"/>
      <c r="M347" s="81"/>
      <c r="N347" s="81"/>
      <c r="O347" s="81"/>
      <c r="P347" s="81"/>
      <c r="Q347" s="81"/>
      <c r="R347" s="81"/>
      <c r="S347" s="81"/>
      <c r="T347" s="81"/>
      <c r="U347" s="81"/>
      <c r="V347" s="94"/>
      <c r="W347" s="94"/>
    </row>
    <row r="348" spans="1:23" ht="21" customHeight="1">
      <c r="A348">
        <f>Table4[[#This Row],[Column1]]</f>
        <v>0</v>
      </c>
      <c r="B348">
        <f>Table4[[#This Row],[Column2]]</f>
        <v>0</v>
      </c>
      <c r="C348" s="81"/>
      <c r="D348" s="82"/>
      <c r="E348" s="82"/>
      <c r="F348" s="81"/>
      <c r="G348" s="81"/>
      <c r="H348" s="81"/>
      <c r="I348" s="81"/>
      <c r="J348" s="81"/>
      <c r="K348" s="81"/>
      <c r="L348" s="81"/>
      <c r="M348" s="81"/>
      <c r="N348" s="81"/>
      <c r="O348" s="81"/>
      <c r="P348" s="81"/>
      <c r="Q348" s="81"/>
      <c r="R348" s="81"/>
      <c r="S348" s="81"/>
      <c r="T348" s="81"/>
      <c r="U348" s="81"/>
      <c r="V348" s="94"/>
      <c r="W348" s="94"/>
    </row>
    <row r="349" spans="1:23" ht="21" customHeight="1">
      <c r="A349">
        <f>Table4[[#This Row],[Column1]]</f>
        <v>0</v>
      </c>
      <c r="B349">
        <f>Table4[[#This Row],[Column2]]</f>
        <v>0</v>
      </c>
      <c r="C349" s="81"/>
      <c r="D349" s="82"/>
      <c r="E349" s="82"/>
      <c r="F349" s="81"/>
      <c r="G349" s="81"/>
      <c r="H349" s="81"/>
      <c r="I349" s="81"/>
      <c r="J349" s="81"/>
      <c r="K349" s="81"/>
      <c r="L349" s="81"/>
      <c r="M349" s="81"/>
      <c r="N349" s="81"/>
      <c r="O349" s="81"/>
      <c r="P349" s="81"/>
      <c r="Q349" s="81"/>
      <c r="R349" s="81"/>
      <c r="S349" s="81"/>
      <c r="T349" s="81"/>
      <c r="U349" s="81"/>
      <c r="V349" s="94"/>
      <c r="W349" s="94"/>
    </row>
    <row r="350" spans="1:23" ht="21" customHeight="1">
      <c r="A350">
        <f>Table4[[#This Row],[Column1]]</f>
        <v>0</v>
      </c>
      <c r="B350">
        <f>Table4[[#This Row],[Column2]]</f>
        <v>0</v>
      </c>
      <c r="C350" s="81"/>
      <c r="D350" s="82"/>
      <c r="E350" s="82"/>
      <c r="F350" s="81"/>
      <c r="G350" s="81"/>
      <c r="H350" s="81"/>
      <c r="I350" s="81"/>
      <c r="J350" s="81"/>
      <c r="K350" s="81"/>
      <c r="L350" s="81"/>
      <c r="M350" s="81"/>
      <c r="N350" s="81"/>
      <c r="O350" s="81"/>
      <c r="P350" s="81"/>
      <c r="Q350" s="81"/>
      <c r="R350" s="81"/>
      <c r="S350" s="81"/>
      <c r="T350" s="81"/>
      <c r="U350" s="81"/>
      <c r="V350" s="94"/>
      <c r="W350" s="94"/>
    </row>
    <row r="351" spans="1:23" ht="21" customHeight="1">
      <c r="A351">
        <f>Table4[[#This Row],[Column1]]</f>
        <v>0</v>
      </c>
      <c r="B351">
        <f>Table4[[#This Row],[Column2]]</f>
        <v>0</v>
      </c>
      <c r="C351" s="81"/>
      <c r="D351" s="82"/>
      <c r="E351" s="82"/>
      <c r="F351" s="81"/>
      <c r="G351" s="81"/>
      <c r="H351" s="81"/>
      <c r="I351" s="81"/>
      <c r="J351" s="81"/>
      <c r="K351" s="81"/>
      <c r="L351" s="81"/>
      <c r="M351" s="81"/>
      <c r="N351" s="81"/>
      <c r="O351" s="81"/>
      <c r="P351" s="81"/>
      <c r="Q351" s="81"/>
      <c r="R351" s="81"/>
      <c r="S351" s="81"/>
      <c r="T351" s="81"/>
      <c r="U351" s="81"/>
      <c r="V351" s="94"/>
      <c r="W351" s="94"/>
    </row>
    <row r="352" spans="1:23" ht="21" customHeight="1">
      <c r="A352">
        <f>Table4[[#This Row],[Column1]]</f>
        <v>0</v>
      </c>
      <c r="B352">
        <f>Table4[[#This Row],[Column2]]</f>
        <v>0</v>
      </c>
      <c r="C352" s="81"/>
      <c r="D352" s="82"/>
      <c r="E352" s="82"/>
      <c r="F352" s="81"/>
      <c r="G352" s="81"/>
      <c r="H352" s="81"/>
      <c r="I352" s="81"/>
      <c r="J352" s="81"/>
      <c r="K352" s="81"/>
      <c r="L352" s="81"/>
      <c r="M352" s="81"/>
      <c r="N352" s="81"/>
      <c r="O352" s="81"/>
      <c r="P352" s="81"/>
      <c r="Q352" s="81"/>
      <c r="R352" s="81"/>
      <c r="S352" s="81"/>
      <c r="T352" s="81"/>
      <c r="U352" s="81"/>
      <c r="V352" s="94"/>
      <c r="W352" s="94"/>
    </row>
    <row r="353" spans="1:23" ht="21" customHeight="1">
      <c r="A353">
        <f>Table4[[#This Row],[Column1]]</f>
        <v>0</v>
      </c>
      <c r="B353">
        <f>Table4[[#This Row],[Column2]]</f>
        <v>0</v>
      </c>
      <c r="C353" s="81"/>
      <c r="D353" s="82"/>
      <c r="E353" s="82"/>
      <c r="F353" s="81"/>
      <c r="G353" s="81"/>
      <c r="H353" s="81"/>
      <c r="I353" s="81"/>
      <c r="J353" s="81"/>
      <c r="K353" s="81"/>
      <c r="L353" s="81"/>
      <c r="M353" s="81"/>
      <c r="N353" s="81"/>
      <c r="O353" s="81"/>
      <c r="P353" s="81"/>
      <c r="Q353" s="81"/>
      <c r="R353" s="81"/>
      <c r="S353" s="81"/>
      <c r="T353" s="81"/>
      <c r="U353" s="81"/>
      <c r="V353" s="94"/>
      <c r="W353" s="94"/>
    </row>
    <row r="354" spans="1:23" ht="21" customHeight="1">
      <c r="A354">
        <f>Table4[[#This Row],[Column1]]</f>
        <v>0</v>
      </c>
      <c r="B354">
        <f>Table4[[#This Row],[Column2]]</f>
        <v>0</v>
      </c>
      <c r="C354" s="81"/>
      <c r="D354" s="82"/>
      <c r="E354" s="82"/>
      <c r="F354" s="81"/>
      <c r="G354" s="81"/>
      <c r="H354" s="81"/>
      <c r="I354" s="81"/>
      <c r="J354" s="81"/>
      <c r="K354" s="81"/>
      <c r="L354" s="81"/>
      <c r="M354" s="81"/>
      <c r="N354" s="81"/>
      <c r="O354" s="81"/>
      <c r="P354" s="81"/>
      <c r="Q354" s="81"/>
      <c r="R354" s="81"/>
      <c r="S354" s="81"/>
      <c r="T354" s="81"/>
      <c r="U354" s="81"/>
      <c r="V354" s="94"/>
      <c r="W354" s="94"/>
    </row>
    <row r="355" spans="1:23" ht="21" customHeight="1">
      <c r="A355">
        <f>Table4[[#This Row],[Column1]]</f>
        <v>0</v>
      </c>
      <c r="B355">
        <f>Table4[[#This Row],[Column2]]</f>
        <v>0</v>
      </c>
      <c r="C355" s="81"/>
      <c r="D355" s="82"/>
      <c r="E355" s="82"/>
      <c r="F355" s="81"/>
      <c r="G355" s="81"/>
      <c r="H355" s="81"/>
      <c r="I355" s="81"/>
      <c r="J355" s="81"/>
      <c r="K355" s="81"/>
      <c r="L355" s="81"/>
      <c r="M355" s="81"/>
      <c r="N355" s="81"/>
      <c r="O355" s="81"/>
      <c r="P355" s="81"/>
      <c r="Q355" s="81"/>
      <c r="R355" s="81"/>
      <c r="S355" s="81"/>
      <c r="T355" s="81"/>
      <c r="U355" s="81"/>
      <c r="V355" s="94"/>
      <c r="W355" s="94"/>
    </row>
    <row r="356" spans="1:23" ht="21" customHeight="1">
      <c r="A356">
        <f>Table4[[#This Row],[Column1]]</f>
        <v>0</v>
      </c>
      <c r="B356">
        <f>Table4[[#This Row],[Column2]]</f>
        <v>0</v>
      </c>
      <c r="C356" s="81"/>
      <c r="D356" s="82"/>
      <c r="E356" s="82"/>
      <c r="F356" s="81"/>
      <c r="G356" s="81"/>
      <c r="H356" s="81"/>
      <c r="I356" s="81"/>
      <c r="J356" s="81"/>
      <c r="K356" s="81"/>
      <c r="L356" s="81"/>
      <c r="M356" s="81"/>
      <c r="N356" s="81"/>
      <c r="O356" s="81"/>
      <c r="P356" s="81"/>
      <c r="Q356" s="81"/>
      <c r="R356" s="81"/>
      <c r="S356" s="81"/>
      <c r="T356" s="81"/>
      <c r="U356" s="81"/>
      <c r="V356" s="94"/>
      <c r="W356" s="94"/>
    </row>
    <row r="357" spans="1:23" ht="21" customHeight="1">
      <c r="A357">
        <f>Table4[[#This Row],[Column1]]</f>
        <v>0</v>
      </c>
      <c r="B357">
        <f>Table4[[#This Row],[Column2]]</f>
        <v>0</v>
      </c>
      <c r="C357" s="81"/>
      <c r="D357" s="82"/>
      <c r="E357" s="82"/>
      <c r="F357" s="81"/>
      <c r="G357" s="81"/>
      <c r="H357" s="81"/>
      <c r="I357" s="81"/>
      <c r="J357" s="81"/>
      <c r="K357" s="81"/>
      <c r="L357" s="81"/>
      <c r="M357" s="81"/>
      <c r="N357" s="81"/>
      <c r="O357" s="81"/>
      <c r="P357" s="81"/>
      <c r="Q357" s="81"/>
      <c r="R357" s="81"/>
      <c r="S357" s="81"/>
      <c r="T357" s="81"/>
      <c r="U357" s="81"/>
      <c r="V357" s="94"/>
      <c r="W357" s="94"/>
    </row>
    <row r="358" spans="1:23" ht="21" customHeight="1">
      <c r="A358">
        <f>Table4[[#This Row],[Column1]]</f>
        <v>0</v>
      </c>
      <c r="B358">
        <f>Table4[[#This Row],[Column2]]</f>
        <v>0</v>
      </c>
      <c r="C358" s="81"/>
      <c r="D358" s="82"/>
      <c r="E358" s="82"/>
      <c r="F358" s="81"/>
      <c r="G358" s="81"/>
      <c r="H358" s="81"/>
      <c r="I358" s="81"/>
      <c r="J358" s="81"/>
      <c r="K358" s="81"/>
      <c r="L358" s="81"/>
      <c r="M358" s="81"/>
      <c r="N358" s="81"/>
      <c r="O358" s="81"/>
      <c r="P358" s="81"/>
      <c r="Q358" s="81"/>
      <c r="R358" s="81"/>
      <c r="S358" s="81"/>
      <c r="T358" s="81"/>
      <c r="U358" s="81"/>
      <c r="V358" s="94"/>
      <c r="W358" s="94"/>
    </row>
    <row r="359" spans="1:23" ht="21" customHeight="1">
      <c r="A359">
        <f>Table4[[#This Row],[Column1]]</f>
        <v>0</v>
      </c>
      <c r="B359">
        <f>Table4[[#This Row],[Column2]]</f>
        <v>0</v>
      </c>
      <c r="C359" s="81"/>
      <c r="D359" s="82"/>
      <c r="E359" s="82"/>
      <c r="F359" s="81"/>
      <c r="G359" s="81"/>
      <c r="H359" s="81"/>
      <c r="I359" s="81"/>
      <c r="J359" s="81"/>
      <c r="K359" s="81"/>
      <c r="L359" s="81"/>
      <c r="M359" s="81"/>
      <c r="N359" s="81"/>
      <c r="O359" s="81"/>
      <c r="P359" s="81"/>
      <c r="Q359" s="81"/>
      <c r="R359" s="81"/>
      <c r="S359" s="81"/>
      <c r="T359" s="81"/>
      <c r="U359" s="81"/>
      <c r="V359" s="94"/>
      <c r="W359" s="94"/>
    </row>
    <row r="360" spans="1:23" ht="21" customHeight="1">
      <c r="A360">
        <f>Table4[[#This Row],[Column1]]</f>
        <v>0</v>
      </c>
      <c r="B360">
        <f>Table4[[#This Row],[Column2]]</f>
        <v>0</v>
      </c>
      <c r="C360" s="81"/>
      <c r="D360" s="82"/>
      <c r="E360" s="82"/>
      <c r="F360" s="81"/>
      <c r="G360" s="81"/>
      <c r="H360" s="81"/>
      <c r="I360" s="81"/>
      <c r="J360" s="81"/>
      <c r="K360" s="81"/>
      <c r="L360" s="81"/>
      <c r="M360" s="81"/>
      <c r="N360" s="81"/>
      <c r="O360" s="81"/>
      <c r="P360" s="81"/>
      <c r="Q360" s="81"/>
      <c r="R360" s="81"/>
      <c r="S360" s="81"/>
      <c r="T360" s="81"/>
      <c r="U360" s="81"/>
      <c r="V360" s="94"/>
      <c r="W360" s="94"/>
    </row>
    <row r="361" spans="1:23" ht="21" customHeight="1">
      <c r="A361">
        <f>Table4[[#This Row],[Column1]]</f>
        <v>0</v>
      </c>
      <c r="B361">
        <f>Table4[[#This Row],[Column2]]</f>
        <v>0</v>
      </c>
      <c r="C361" s="81"/>
      <c r="D361" s="82"/>
      <c r="E361" s="82"/>
      <c r="F361" s="81"/>
      <c r="G361" s="81"/>
      <c r="H361" s="81"/>
      <c r="I361" s="81"/>
      <c r="J361" s="81"/>
      <c r="K361" s="81"/>
      <c r="L361" s="81"/>
      <c r="M361" s="81"/>
      <c r="N361" s="81"/>
      <c r="O361" s="81"/>
      <c r="P361" s="81"/>
      <c r="Q361" s="81"/>
      <c r="R361" s="81"/>
      <c r="S361" s="81"/>
      <c r="T361" s="81"/>
      <c r="U361" s="81"/>
      <c r="V361" s="94"/>
      <c r="W361" s="94"/>
    </row>
    <row r="362" spans="1:23" ht="21" customHeight="1">
      <c r="A362">
        <f>Table4[[#This Row],[Column1]]</f>
        <v>0</v>
      </c>
      <c r="B362">
        <f>Table4[[#This Row],[Column2]]</f>
        <v>0</v>
      </c>
      <c r="C362" s="81"/>
      <c r="D362" s="82"/>
      <c r="E362" s="82"/>
      <c r="F362" s="81"/>
      <c r="G362" s="81"/>
      <c r="H362" s="81"/>
      <c r="I362" s="81"/>
      <c r="J362" s="81"/>
      <c r="K362" s="81"/>
      <c r="L362" s="81"/>
      <c r="M362" s="81"/>
      <c r="N362" s="81"/>
      <c r="O362" s="81"/>
      <c r="P362" s="81"/>
      <c r="Q362" s="81"/>
      <c r="R362" s="81"/>
      <c r="S362" s="81"/>
      <c r="T362" s="81"/>
      <c r="U362" s="81"/>
      <c r="V362" s="94"/>
      <c r="W362" s="94"/>
    </row>
    <row r="363" spans="1:23" ht="21" customHeight="1">
      <c r="A363">
        <f>Table4[[#This Row],[Column1]]</f>
        <v>0</v>
      </c>
      <c r="B363">
        <f>Table4[[#This Row],[Column2]]</f>
        <v>0</v>
      </c>
      <c r="C363" s="81"/>
      <c r="D363" s="82"/>
      <c r="E363" s="82"/>
      <c r="F363" s="81"/>
      <c r="G363" s="81"/>
      <c r="H363" s="81"/>
      <c r="I363" s="81"/>
      <c r="J363" s="81"/>
      <c r="K363" s="81"/>
      <c r="L363" s="81"/>
      <c r="M363" s="81"/>
      <c r="N363" s="81"/>
      <c r="O363" s="81"/>
      <c r="P363" s="81"/>
      <c r="Q363" s="81"/>
      <c r="R363" s="81"/>
      <c r="S363" s="81"/>
      <c r="T363" s="81"/>
      <c r="U363" s="81"/>
      <c r="V363" s="94"/>
      <c r="W363" s="94"/>
    </row>
    <row r="364" spans="1:23" ht="21" customHeight="1">
      <c r="A364">
        <f>Table4[[#This Row],[Column1]]</f>
        <v>0</v>
      </c>
      <c r="B364">
        <f>Table4[[#This Row],[Column2]]</f>
        <v>0</v>
      </c>
      <c r="C364" s="81"/>
      <c r="D364" s="82"/>
      <c r="E364" s="82"/>
      <c r="F364" s="81"/>
      <c r="G364" s="81"/>
      <c r="H364" s="81"/>
      <c r="I364" s="81"/>
      <c r="J364" s="81"/>
      <c r="K364" s="81"/>
      <c r="L364" s="81"/>
      <c r="M364" s="81"/>
      <c r="N364" s="81"/>
      <c r="O364" s="81"/>
      <c r="P364" s="81"/>
      <c r="Q364" s="81"/>
      <c r="R364" s="81"/>
      <c r="S364" s="81"/>
      <c r="T364" s="81"/>
      <c r="U364" s="81"/>
      <c r="V364" s="94"/>
      <c r="W364" s="94"/>
    </row>
    <row r="365" spans="1:23" ht="21" customHeight="1">
      <c r="A365">
        <f>Table4[[#This Row],[Column1]]</f>
        <v>0</v>
      </c>
      <c r="B365">
        <f>Table4[[#This Row],[Column2]]</f>
        <v>0</v>
      </c>
      <c r="C365" s="81"/>
      <c r="D365" s="82"/>
      <c r="E365" s="82"/>
      <c r="F365" s="81"/>
      <c r="G365" s="81"/>
      <c r="H365" s="81"/>
      <c r="I365" s="81"/>
      <c r="J365" s="81"/>
      <c r="K365" s="81"/>
      <c r="L365" s="81"/>
      <c r="M365" s="81"/>
      <c r="N365" s="81"/>
      <c r="O365" s="81"/>
      <c r="P365" s="81"/>
      <c r="Q365" s="81"/>
      <c r="R365" s="81"/>
      <c r="S365" s="81"/>
      <c r="T365" s="81"/>
      <c r="U365" s="81"/>
      <c r="V365" s="94"/>
      <c r="W365" s="94"/>
    </row>
    <row r="366" spans="1:23" ht="21" customHeight="1">
      <c r="A366">
        <f>Table4[[#This Row],[Column1]]</f>
        <v>0</v>
      </c>
      <c r="B366">
        <f>Table4[[#This Row],[Column2]]</f>
        <v>0</v>
      </c>
      <c r="C366" s="81"/>
      <c r="D366" s="82"/>
      <c r="E366" s="82"/>
      <c r="F366" s="81"/>
      <c r="G366" s="81"/>
      <c r="H366" s="81"/>
      <c r="I366" s="81"/>
      <c r="J366" s="81"/>
      <c r="K366" s="81"/>
      <c r="L366" s="81"/>
      <c r="M366" s="81"/>
      <c r="N366" s="81"/>
      <c r="O366" s="81"/>
      <c r="P366" s="81"/>
      <c r="Q366" s="81"/>
      <c r="R366" s="81"/>
      <c r="S366" s="81"/>
      <c r="T366" s="81"/>
      <c r="U366" s="81"/>
      <c r="V366" s="94"/>
      <c r="W366" s="94"/>
    </row>
    <row r="367" spans="1:23" ht="21" customHeight="1">
      <c r="A367">
        <f>Table4[[#This Row],[Column1]]</f>
        <v>0</v>
      </c>
      <c r="B367">
        <f>Table4[[#This Row],[Column2]]</f>
        <v>0</v>
      </c>
      <c r="C367" s="81"/>
      <c r="D367" s="82"/>
      <c r="E367" s="82"/>
      <c r="F367" s="81"/>
      <c r="G367" s="81"/>
      <c r="H367" s="81"/>
      <c r="I367" s="81"/>
      <c r="J367" s="81"/>
      <c r="K367" s="81"/>
      <c r="L367" s="81"/>
      <c r="M367" s="81"/>
      <c r="N367" s="81"/>
      <c r="O367" s="81"/>
      <c r="P367" s="81"/>
      <c r="Q367" s="81"/>
      <c r="R367" s="81"/>
      <c r="S367" s="81"/>
      <c r="T367" s="81"/>
      <c r="U367" s="81"/>
      <c r="V367" s="94"/>
      <c r="W367" s="94"/>
    </row>
    <row r="368" spans="1:23" ht="21" customHeight="1">
      <c r="A368">
        <f>Table4[[#This Row],[Column1]]</f>
        <v>0</v>
      </c>
      <c r="B368">
        <f>Table4[[#This Row],[Column2]]</f>
        <v>0</v>
      </c>
      <c r="C368" s="81"/>
      <c r="D368" s="82"/>
      <c r="E368" s="82"/>
      <c r="F368" s="81"/>
      <c r="G368" s="81"/>
      <c r="H368" s="81"/>
      <c r="I368" s="81"/>
      <c r="J368" s="81"/>
      <c r="K368" s="81"/>
      <c r="L368" s="81"/>
      <c r="M368" s="81"/>
      <c r="N368" s="81"/>
      <c r="O368" s="81"/>
      <c r="P368" s="81"/>
      <c r="Q368" s="81"/>
      <c r="R368" s="81"/>
      <c r="S368" s="81"/>
      <c r="T368" s="81"/>
      <c r="U368" s="81"/>
      <c r="V368" s="94"/>
      <c r="W368" s="94"/>
    </row>
    <row r="369" spans="1:23" ht="21" customHeight="1">
      <c r="A369">
        <f>Table4[[#This Row],[Column1]]</f>
        <v>0</v>
      </c>
      <c r="B369">
        <f>Table4[[#This Row],[Column2]]</f>
        <v>0</v>
      </c>
      <c r="C369" s="81"/>
      <c r="D369" s="82"/>
      <c r="E369" s="82"/>
      <c r="F369" s="81"/>
      <c r="G369" s="81"/>
      <c r="H369" s="81"/>
      <c r="I369" s="81"/>
      <c r="J369" s="81"/>
      <c r="K369" s="81"/>
      <c r="L369" s="81"/>
      <c r="M369" s="81"/>
      <c r="N369" s="81"/>
      <c r="O369" s="81"/>
      <c r="P369" s="81"/>
      <c r="Q369" s="81"/>
      <c r="R369" s="81"/>
      <c r="S369" s="81"/>
      <c r="T369" s="81"/>
      <c r="U369" s="81"/>
      <c r="V369" s="94"/>
      <c r="W369" s="94"/>
    </row>
    <row r="370" spans="1:23" ht="21" customHeight="1">
      <c r="A370">
        <f>Table4[[#This Row],[Column1]]</f>
        <v>0</v>
      </c>
      <c r="B370">
        <f>Table4[[#This Row],[Column2]]</f>
        <v>0</v>
      </c>
      <c r="C370" s="81"/>
      <c r="D370" s="82"/>
      <c r="E370" s="82"/>
      <c r="F370" s="81"/>
      <c r="G370" s="81"/>
      <c r="H370" s="81"/>
      <c r="I370" s="81"/>
      <c r="J370" s="81"/>
      <c r="K370" s="81"/>
      <c r="L370" s="81"/>
      <c r="M370" s="81"/>
      <c r="N370" s="81"/>
      <c r="O370" s="81"/>
      <c r="P370" s="81"/>
      <c r="Q370" s="81"/>
      <c r="R370" s="81"/>
      <c r="S370" s="81"/>
      <c r="T370" s="81"/>
      <c r="U370" s="81"/>
      <c r="V370" s="94"/>
      <c r="W370" s="94"/>
    </row>
    <row r="371" spans="1:23" ht="21" customHeight="1">
      <c r="A371">
        <f>Table4[[#This Row],[Column1]]</f>
        <v>0</v>
      </c>
      <c r="B371">
        <f>Table4[[#This Row],[Column2]]</f>
        <v>0</v>
      </c>
      <c r="C371" s="81"/>
      <c r="D371" s="82"/>
      <c r="E371" s="82"/>
      <c r="F371" s="81"/>
      <c r="G371" s="81"/>
      <c r="H371" s="81"/>
      <c r="I371" s="81"/>
      <c r="J371" s="81"/>
      <c r="K371" s="81"/>
      <c r="L371" s="81"/>
      <c r="M371" s="81"/>
      <c r="N371" s="81"/>
      <c r="O371" s="81"/>
      <c r="P371" s="81"/>
      <c r="Q371" s="81"/>
      <c r="R371" s="81"/>
      <c r="S371" s="81"/>
      <c r="T371" s="81"/>
      <c r="U371" s="81"/>
      <c r="V371" s="94"/>
      <c r="W371" s="94"/>
    </row>
    <row r="372" spans="1:23" ht="21" customHeight="1">
      <c r="A372">
        <f>Table4[[#This Row],[Column1]]</f>
        <v>0</v>
      </c>
      <c r="B372">
        <f>Table4[[#This Row],[Column2]]</f>
        <v>0</v>
      </c>
      <c r="C372" s="81"/>
      <c r="D372" s="82"/>
      <c r="E372" s="82"/>
      <c r="F372" s="81"/>
      <c r="G372" s="81"/>
      <c r="H372" s="81"/>
      <c r="I372" s="81"/>
      <c r="J372" s="81"/>
      <c r="K372" s="81"/>
      <c r="L372" s="81"/>
      <c r="M372" s="81"/>
      <c r="N372" s="81"/>
      <c r="O372" s="81"/>
      <c r="P372" s="81"/>
      <c r="Q372" s="81"/>
      <c r="R372" s="81"/>
      <c r="S372" s="81"/>
      <c r="T372" s="81"/>
      <c r="U372" s="81"/>
      <c r="V372" s="94"/>
      <c r="W372" s="94"/>
    </row>
    <row r="373" spans="1:23" ht="21" customHeight="1">
      <c r="A373">
        <f>Table4[[#This Row],[Column1]]</f>
        <v>0</v>
      </c>
      <c r="B373">
        <f>Table4[[#This Row],[Column2]]</f>
        <v>0</v>
      </c>
      <c r="C373" s="81"/>
      <c r="D373" s="82"/>
      <c r="E373" s="82"/>
      <c r="F373" s="81"/>
      <c r="G373" s="81"/>
      <c r="H373" s="81"/>
      <c r="I373" s="81"/>
      <c r="J373" s="81"/>
      <c r="K373" s="81"/>
      <c r="L373" s="81"/>
      <c r="M373" s="81"/>
      <c r="N373" s="81"/>
      <c r="O373" s="81"/>
      <c r="P373" s="81"/>
      <c r="Q373" s="81"/>
      <c r="R373" s="81"/>
      <c r="S373" s="81"/>
      <c r="T373" s="81"/>
      <c r="U373" s="81"/>
      <c r="V373" s="94"/>
      <c r="W373" s="94"/>
    </row>
    <row r="374" spans="1:23" ht="21" customHeight="1">
      <c r="A374">
        <f>Table4[[#This Row],[Column1]]</f>
        <v>0</v>
      </c>
      <c r="B374">
        <f>Table4[[#This Row],[Column2]]</f>
        <v>0</v>
      </c>
      <c r="C374" s="81"/>
      <c r="D374" s="82"/>
      <c r="E374" s="82"/>
      <c r="F374" s="81"/>
      <c r="G374" s="81"/>
      <c r="H374" s="81"/>
      <c r="I374" s="81"/>
      <c r="J374" s="81"/>
      <c r="K374" s="81"/>
      <c r="L374" s="81"/>
      <c r="M374" s="81"/>
      <c r="N374" s="81"/>
      <c r="O374" s="81"/>
      <c r="P374" s="81"/>
      <c r="Q374" s="81"/>
      <c r="R374" s="81"/>
      <c r="S374" s="81"/>
      <c r="T374" s="81"/>
      <c r="U374" s="81"/>
      <c r="V374" s="94"/>
      <c r="W374" s="94"/>
    </row>
    <row r="375" spans="1:23" ht="21" customHeight="1">
      <c r="A375">
        <f>Table4[[#This Row],[Column1]]</f>
        <v>0</v>
      </c>
      <c r="B375">
        <f>Table4[[#This Row],[Column2]]</f>
        <v>0</v>
      </c>
      <c r="C375" s="81"/>
      <c r="D375" s="82"/>
      <c r="E375" s="82"/>
      <c r="F375" s="81"/>
      <c r="G375" s="81"/>
      <c r="H375" s="81"/>
      <c r="I375" s="81"/>
      <c r="J375" s="81"/>
      <c r="K375" s="81"/>
      <c r="L375" s="81"/>
      <c r="M375" s="81"/>
      <c r="N375" s="81"/>
      <c r="O375" s="81"/>
      <c r="P375" s="81"/>
      <c r="Q375" s="81"/>
      <c r="R375" s="81"/>
      <c r="S375" s="81"/>
      <c r="T375" s="81"/>
      <c r="U375" s="81"/>
      <c r="V375" s="94"/>
      <c r="W375" s="94"/>
    </row>
    <row r="376" spans="1:23" ht="21" customHeight="1">
      <c r="A376">
        <f>Table4[[#This Row],[Column1]]</f>
        <v>0</v>
      </c>
      <c r="B376">
        <f>Table4[[#This Row],[Column2]]</f>
        <v>0</v>
      </c>
      <c r="C376" s="81"/>
      <c r="D376" s="82"/>
      <c r="E376" s="82"/>
      <c r="F376" s="81"/>
      <c r="G376" s="81"/>
      <c r="H376" s="81"/>
      <c r="I376" s="81"/>
      <c r="J376" s="81"/>
      <c r="K376" s="81"/>
      <c r="L376" s="81"/>
      <c r="M376" s="81"/>
      <c r="N376" s="81"/>
      <c r="O376" s="81"/>
      <c r="P376" s="81"/>
      <c r="Q376" s="81"/>
      <c r="R376" s="81"/>
      <c r="S376" s="81"/>
      <c r="T376" s="81"/>
      <c r="U376" s="81"/>
      <c r="V376" s="94"/>
      <c r="W376" s="94"/>
    </row>
    <row r="377" spans="1:23" ht="21" customHeight="1">
      <c r="A377">
        <f>Table4[[#This Row],[Column1]]</f>
        <v>0</v>
      </c>
      <c r="B377">
        <f>Table4[[#This Row],[Column2]]</f>
        <v>0</v>
      </c>
      <c r="C377" s="81"/>
      <c r="D377" s="82"/>
      <c r="E377" s="82"/>
      <c r="F377" s="81"/>
      <c r="G377" s="81"/>
      <c r="H377" s="81"/>
      <c r="I377" s="81"/>
      <c r="J377" s="81"/>
      <c r="K377" s="81"/>
      <c r="L377" s="81"/>
      <c r="M377" s="81"/>
      <c r="N377" s="81"/>
      <c r="O377" s="81"/>
      <c r="P377" s="81"/>
      <c r="Q377" s="81"/>
      <c r="R377" s="81"/>
      <c r="S377" s="81"/>
      <c r="T377" s="81"/>
      <c r="U377" s="81"/>
      <c r="V377" s="94"/>
      <c r="W377" s="94"/>
    </row>
    <row r="378" spans="1:23" ht="21" customHeight="1">
      <c r="A378">
        <f>Table4[[#This Row],[Column1]]</f>
        <v>0</v>
      </c>
      <c r="B378">
        <f>Table4[[#This Row],[Column2]]</f>
        <v>0</v>
      </c>
      <c r="C378" s="81"/>
      <c r="D378" s="82"/>
      <c r="E378" s="82"/>
      <c r="F378" s="81"/>
      <c r="G378" s="81"/>
      <c r="H378" s="81"/>
      <c r="I378" s="81"/>
      <c r="J378" s="81"/>
      <c r="K378" s="81"/>
      <c r="L378" s="81"/>
      <c r="M378" s="81"/>
      <c r="N378" s="81"/>
      <c r="O378" s="81"/>
      <c r="P378" s="81"/>
      <c r="Q378" s="81"/>
      <c r="R378" s="81"/>
      <c r="S378" s="81"/>
      <c r="T378" s="81"/>
      <c r="U378" s="81"/>
      <c r="V378" s="94"/>
      <c r="W378" s="94"/>
    </row>
    <row r="379" spans="1:23" ht="21" customHeight="1">
      <c r="A379">
        <f>Table4[[#This Row],[Column1]]</f>
        <v>0</v>
      </c>
      <c r="B379">
        <f>Table4[[#This Row],[Column2]]</f>
        <v>0</v>
      </c>
      <c r="C379" s="81"/>
      <c r="D379" s="82"/>
      <c r="E379" s="82"/>
      <c r="F379" s="81"/>
      <c r="G379" s="81"/>
      <c r="H379" s="81"/>
      <c r="I379" s="81"/>
      <c r="J379" s="81"/>
      <c r="K379" s="81"/>
      <c r="L379" s="81"/>
      <c r="M379" s="81"/>
      <c r="N379" s="81"/>
      <c r="O379" s="81"/>
      <c r="P379" s="81"/>
      <c r="Q379" s="81"/>
      <c r="R379" s="81"/>
      <c r="S379" s="81"/>
      <c r="T379" s="81"/>
      <c r="U379" s="81"/>
      <c r="V379" s="94"/>
      <c r="W379" s="94"/>
    </row>
    <row r="380" spans="1:23" ht="21" customHeight="1">
      <c r="A380">
        <f>Table4[[#This Row],[Column1]]</f>
        <v>0</v>
      </c>
      <c r="B380">
        <f>Table4[[#This Row],[Column2]]</f>
        <v>0</v>
      </c>
      <c r="C380" s="81"/>
      <c r="D380" s="82"/>
      <c r="E380" s="82"/>
      <c r="F380" s="81"/>
      <c r="G380" s="81"/>
      <c r="H380" s="81"/>
      <c r="I380" s="81"/>
      <c r="J380" s="81"/>
      <c r="K380" s="81"/>
      <c r="L380" s="81"/>
      <c r="M380" s="81"/>
      <c r="N380" s="81"/>
      <c r="O380" s="81"/>
      <c r="P380" s="81"/>
      <c r="Q380" s="81"/>
      <c r="R380" s="81"/>
      <c r="S380" s="81"/>
      <c r="T380" s="81"/>
      <c r="U380" s="81"/>
      <c r="V380" s="94"/>
      <c r="W380" s="94"/>
    </row>
    <row r="381" spans="1:23" ht="21" customHeight="1">
      <c r="A381">
        <f>Table4[[#This Row],[Column1]]</f>
        <v>0</v>
      </c>
      <c r="B381">
        <f>Table4[[#This Row],[Column2]]</f>
        <v>0</v>
      </c>
      <c r="C381" s="81"/>
      <c r="D381" s="82"/>
      <c r="E381" s="82"/>
      <c r="F381" s="81"/>
      <c r="G381" s="81"/>
      <c r="H381" s="81"/>
      <c r="I381" s="81"/>
      <c r="J381" s="81"/>
      <c r="K381" s="81"/>
      <c r="L381" s="81"/>
      <c r="M381" s="81"/>
      <c r="N381" s="81"/>
      <c r="O381" s="81"/>
      <c r="P381" s="81"/>
      <c r="Q381" s="81"/>
      <c r="R381" s="81"/>
      <c r="S381" s="81"/>
      <c r="T381" s="81"/>
      <c r="U381" s="81"/>
      <c r="V381" s="94"/>
      <c r="W381" s="94"/>
    </row>
    <row r="382" spans="1:23" ht="21" customHeight="1">
      <c r="A382">
        <f>Table4[[#This Row],[Column1]]</f>
        <v>0</v>
      </c>
      <c r="B382">
        <f>Table4[[#This Row],[Column2]]</f>
        <v>0</v>
      </c>
      <c r="C382" s="81"/>
      <c r="D382" s="82"/>
      <c r="E382" s="82"/>
      <c r="F382" s="81"/>
      <c r="G382" s="81"/>
      <c r="H382" s="81"/>
      <c r="I382" s="81"/>
      <c r="J382" s="81"/>
      <c r="K382" s="81"/>
      <c r="L382" s="81"/>
      <c r="M382" s="81"/>
      <c r="N382" s="81"/>
      <c r="O382" s="81"/>
      <c r="P382" s="81"/>
      <c r="Q382" s="81"/>
      <c r="R382" s="81"/>
      <c r="S382" s="81"/>
      <c r="T382" s="81"/>
      <c r="U382" s="81"/>
      <c r="V382" s="94"/>
      <c r="W382" s="94"/>
    </row>
    <row r="383" spans="1:23" ht="21" customHeight="1">
      <c r="A383">
        <f>Table4[[#This Row],[Column1]]</f>
        <v>0</v>
      </c>
      <c r="B383">
        <f>Table4[[#This Row],[Column2]]</f>
        <v>0</v>
      </c>
      <c r="C383" s="81"/>
      <c r="D383" s="82"/>
      <c r="E383" s="82"/>
      <c r="F383" s="81"/>
      <c r="G383" s="81"/>
      <c r="H383" s="81"/>
      <c r="I383" s="81"/>
      <c r="J383" s="81"/>
      <c r="K383" s="81"/>
      <c r="L383" s="81"/>
      <c r="M383" s="81"/>
      <c r="N383" s="81"/>
      <c r="O383" s="81"/>
      <c r="P383" s="81"/>
      <c r="Q383" s="81"/>
      <c r="R383" s="81"/>
      <c r="S383" s="81"/>
      <c r="T383" s="81"/>
      <c r="U383" s="81"/>
      <c r="V383" s="94"/>
      <c r="W383" s="94"/>
    </row>
    <row r="384" spans="1:23" ht="21" customHeight="1">
      <c r="A384">
        <f>Table4[[#This Row],[Column1]]</f>
        <v>0</v>
      </c>
      <c r="B384">
        <f>Table4[[#This Row],[Column2]]</f>
        <v>0</v>
      </c>
      <c r="C384" s="81"/>
      <c r="D384" s="82"/>
      <c r="E384" s="82"/>
      <c r="F384" s="81"/>
      <c r="G384" s="81"/>
      <c r="H384" s="81"/>
      <c r="I384" s="81"/>
      <c r="J384" s="81"/>
      <c r="K384" s="81"/>
      <c r="L384" s="81"/>
      <c r="M384" s="81"/>
      <c r="N384" s="81"/>
      <c r="O384" s="81"/>
      <c r="P384" s="81"/>
      <c r="Q384" s="81"/>
      <c r="R384" s="81"/>
      <c r="S384" s="81"/>
      <c r="T384" s="81"/>
      <c r="U384" s="81"/>
      <c r="V384" s="94"/>
      <c r="W384" s="94"/>
    </row>
    <row r="385" spans="1:23" ht="21" customHeight="1">
      <c r="A385">
        <f>Table4[[#This Row],[Column1]]</f>
        <v>0</v>
      </c>
      <c r="B385">
        <f>Table4[[#This Row],[Column2]]</f>
        <v>0</v>
      </c>
      <c r="C385" s="81"/>
      <c r="D385" s="82"/>
      <c r="E385" s="82"/>
      <c r="F385" s="81"/>
      <c r="G385" s="81"/>
      <c r="H385" s="81"/>
      <c r="I385" s="81"/>
      <c r="J385" s="81"/>
      <c r="K385" s="81"/>
      <c r="L385" s="81"/>
      <c r="M385" s="81"/>
      <c r="N385" s="81"/>
      <c r="O385" s="81"/>
      <c r="P385" s="81"/>
      <c r="Q385" s="81"/>
      <c r="R385" s="81"/>
      <c r="S385" s="81"/>
      <c r="T385" s="81"/>
      <c r="U385" s="81"/>
      <c r="V385" s="94"/>
      <c r="W385" s="94"/>
    </row>
    <row r="386" spans="1:23" ht="21" customHeight="1">
      <c r="A386">
        <f>Table4[[#This Row],[Column1]]</f>
        <v>0</v>
      </c>
      <c r="B386">
        <f>Table4[[#This Row],[Column2]]</f>
        <v>0</v>
      </c>
      <c r="C386" s="81"/>
      <c r="D386" s="82"/>
      <c r="E386" s="82"/>
      <c r="F386" s="81"/>
      <c r="G386" s="81"/>
      <c r="H386" s="81"/>
      <c r="I386" s="81"/>
      <c r="J386" s="81"/>
      <c r="K386" s="81"/>
      <c r="L386" s="81"/>
      <c r="M386" s="81"/>
      <c r="N386" s="81"/>
      <c r="O386" s="81"/>
      <c r="P386" s="81"/>
      <c r="Q386" s="81"/>
      <c r="R386" s="81"/>
      <c r="S386" s="81"/>
      <c r="T386" s="81"/>
      <c r="U386" s="81"/>
      <c r="V386" s="94"/>
      <c r="W386" s="94"/>
    </row>
    <row r="387" spans="1:23" ht="21" customHeight="1">
      <c r="A387">
        <f>Table4[[#This Row],[Column1]]</f>
        <v>0</v>
      </c>
      <c r="B387">
        <f>Table4[[#This Row],[Column2]]</f>
        <v>0</v>
      </c>
      <c r="C387" s="81"/>
      <c r="D387" s="82"/>
      <c r="E387" s="82"/>
      <c r="F387" s="81"/>
      <c r="G387" s="81"/>
      <c r="H387" s="81"/>
      <c r="I387" s="81"/>
      <c r="J387" s="81"/>
      <c r="K387" s="81"/>
      <c r="L387" s="81"/>
      <c r="M387" s="81"/>
      <c r="N387" s="81"/>
      <c r="O387" s="81"/>
      <c r="P387" s="81"/>
      <c r="Q387" s="81"/>
      <c r="R387" s="81"/>
      <c r="S387" s="81"/>
      <c r="T387" s="81"/>
      <c r="U387" s="81"/>
      <c r="V387" s="94"/>
      <c r="W387" s="94"/>
    </row>
    <row r="388" spans="1:23" ht="21" customHeight="1">
      <c r="A388">
        <f>Table4[[#This Row],[Column1]]</f>
        <v>0</v>
      </c>
      <c r="B388">
        <f>Table4[[#This Row],[Column2]]</f>
        <v>0</v>
      </c>
      <c r="C388" s="81"/>
      <c r="D388" s="82"/>
      <c r="E388" s="82"/>
      <c r="F388" s="81"/>
      <c r="G388" s="81"/>
      <c r="H388" s="81"/>
      <c r="I388" s="81"/>
      <c r="J388" s="81"/>
      <c r="K388" s="81"/>
      <c r="L388" s="81"/>
      <c r="M388" s="81"/>
      <c r="N388" s="81"/>
      <c r="O388" s="81"/>
      <c r="P388" s="81"/>
      <c r="Q388" s="81"/>
      <c r="R388" s="81"/>
      <c r="S388" s="81"/>
      <c r="T388" s="81"/>
      <c r="U388" s="81"/>
      <c r="V388" s="94"/>
      <c r="W388" s="94"/>
    </row>
    <row r="389" spans="1:23" ht="21" customHeight="1">
      <c r="A389">
        <f>Table4[[#This Row],[Column1]]</f>
        <v>0</v>
      </c>
      <c r="B389">
        <f>Table4[[#This Row],[Column2]]</f>
        <v>0</v>
      </c>
      <c r="C389" s="81"/>
      <c r="D389" s="82"/>
      <c r="E389" s="82"/>
      <c r="F389" s="81"/>
      <c r="G389" s="81"/>
      <c r="H389" s="81"/>
      <c r="I389" s="81"/>
      <c r="J389" s="81"/>
      <c r="K389" s="81"/>
      <c r="L389" s="81"/>
      <c r="M389" s="81"/>
      <c r="N389" s="81"/>
      <c r="O389" s="81"/>
      <c r="P389" s="81"/>
      <c r="Q389" s="81"/>
      <c r="R389" s="81"/>
      <c r="S389" s="81"/>
      <c r="T389" s="81"/>
      <c r="U389" s="81"/>
      <c r="V389" s="94"/>
      <c r="W389" s="94"/>
    </row>
    <row r="390" spans="1:23" ht="21" customHeight="1">
      <c r="A390">
        <f>Table4[[#This Row],[Column1]]</f>
        <v>0</v>
      </c>
      <c r="B390">
        <f>Table4[[#This Row],[Column2]]</f>
        <v>0</v>
      </c>
      <c r="C390" s="81"/>
      <c r="D390" s="82"/>
      <c r="E390" s="82"/>
      <c r="F390" s="81"/>
      <c r="G390" s="81"/>
      <c r="H390" s="81"/>
      <c r="I390" s="81"/>
      <c r="J390" s="81"/>
      <c r="K390" s="81"/>
      <c r="L390" s="81"/>
      <c r="M390" s="81"/>
      <c r="N390" s="81"/>
      <c r="O390" s="81"/>
      <c r="P390" s="81"/>
      <c r="Q390" s="81"/>
      <c r="R390" s="81"/>
      <c r="S390" s="81"/>
      <c r="T390" s="81"/>
      <c r="U390" s="81"/>
      <c r="V390" s="94"/>
      <c r="W390" s="94"/>
    </row>
    <row r="391" spans="1:23" ht="21" customHeight="1">
      <c r="A391">
        <f>Table4[[#This Row],[Column1]]</f>
        <v>0</v>
      </c>
      <c r="B391">
        <f>Table4[[#This Row],[Column2]]</f>
        <v>0</v>
      </c>
      <c r="C391" s="81"/>
      <c r="D391" s="82"/>
      <c r="E391" s="82"/>
      <c r="F391" s="81"/>
      <c r="G391" s="81"/>
      <c r="H391" s="81"/>
      <c r="I391" s="81"/>
      <c r="J391" s="81"/>
      <c r="K391" s="81"/>
      <c r="L391" s="81"/>
      <c r="M391" s="81"/>
      <c r="N391" s="81"/>
      <c r="O391" s="81"/>
      <c r="P391" s="81"/>
      <c r="Q391" s="81"/>
      <c r="R391" s="81"/>
      <c r="S391" s="81"/>
      <c r="T391" s="81"/>
      <c r="U391" s="81"/>
      <c r="V391" s="94"/>
      <c r="W391" s="94"/>
    </row>
    <row r="392" spans="1:23" ht="21" customHeight="1">
      <c r="A392">
        <f>Table4[[#This Row],[Column1]]</f>
        <v>0</v>
      </c>
      <c r="B392">
        <f>Table4[[#This Row],[Column2]]</f>
        <v>0</v>
      </c>
      <c r="C392" s="81"/>
      <c r="D392" s="82"/>
      <c r="E392" s="82"/>
      <c r="F392" s="81"/>
      <c r="G392" s="81"/>
      <c r="H392" s="81"/>
      <c r="I392" s="81"/>
      <c r="J392" s="81"/>
      <c r="K392" s="81"/>
      <c r="L392" s="81"/>
      <c r="M392" s="81"/>
      <c r="N392" s="81"/>
      <c r="O392" s="81"/>
      <c r="P392" s="81"/>
      <c r="Q392" s="81"/>
      <c r="R392" s="81"/>
      <c r="S392" s="81"/>
      <c r="T392" s="81"/>
      <c r="U392" s="81"/>
      <c r="V392" s="94"/>
      <c r="W392" s="94"/>
    </row>
    <row r="393" spans="1:23" ht="21" customHeight="1">
      <c r="A393">
        <f>Table4[[#This Row],[Column1]]</f>
        <v>0</v>
      </c>
      <c r="B393">
        <f>Table4[[#This Row],[Column2]]</f>
        <v>0</v>
      </c>
      <c r="C393" s="81"/>
      <c r="D393" s="82"/>
      <c r="E393" s="82"/>
      <c r="F393" s="81"/>
      <c r="G393" s="81"/>
      <c r="H393" s="81"/>
      <c r="I393" s="81"/>
      <c r="J393" s="81"/>
      <c r="K393" s="81"/>
      <c r="L393" s="81"/>
      <c r="M393" s="81"/>
      <c r="N393" s="81"/>
      <c r="O393" s="81"/>
      <c r="P393" s="81"/>
      <c r="Q393" s="81"/>
      <c r="R393" s="81"/>
      <c r="S393" s="81"/>
      <c r="T393" s="81"/>
      <c r="U393" s="81"/>
      <c r="V393" s="94"/>
      <c r="W393" s="94"/>
    </row>
    <row r="394" spans="1:23" ht="21" customHeight="1">
      <c r="A394">
        <f>Table4[[#This Row],[Column1]]</f>
        <v>0</v>
      </c>
      <c r="B394">
        <f>Table4[[#This Row],[Column2]]</f>
        <v>0</v>
      </c>
      <c r="C394" s="81"/>
      <c r="D394" s="82"/>
      <c r="E394" s="82"/>
      <c r="F394" s="81"/>
      <c r="G394" s="81"/>
      <c r="H394" s="81"/>
      <c r="I394" s="81"/>
      <c r="J394" s="81"/>
      <c r="K394" s="81"/>
      <c r="L394" s="81"/>
      <c r="M394" s="81"/>
      <c r="N394" s="81"/>
      <c r="O394" s="81"/>
      <c r="P394" s="81"/>
      <c r="Q394" s="81"/>
      <c r="R394" s="81"/>
      <c r="S394" s="81"/>
      <c r="T394" s="81"/>
      <c r="U394" s="81"/>
      <c r="V394" s="94"/>
      <c r="W394" s="94"/>
    </row>
    <row r="395" spans="1:23" ht="21" customHeight="1">
      <c r="A395">
        <f>Table4[[#This Row],[Column1]]</f>
        <v>0</v>
      </c>
      <c r="B395">
        <f>Table4[[#This Row],[Column2]]</f>
        <v>0</v>
      </c>
      <c r="C395" s="81"/>
      <c r="D395" s="82"/>
      <c r="E395" s="82"/>
      <c r="F395" s="81"/>
      <c r="G395" s="81"/>
      <c r="H395" s="81"/>
      <c r="I395" s="81"/>
      <c r="J395" s="81"/>
      <c r="K395" s="81"/>
      <c r="L395" s="81"/>
      <c r="M395" s="81"/>
      <c r="N395" s="81"/>
      <c r="O395" s="81"/>
      <c r="P395" s="81"/>
      <c r="Q395" s="81"/>
      <c r="R395" s="81"/>
      <c r="S395" s="81"/>
      <c r="T395" s="81"/>
      <c r="U395" s="81"/>
      <c r="V395" s="94"/>
      <c r="W395" s="94"/>
    </row>
    <row r="396" spans="1:23" ht="21" customHeight="1">
      <c r="A396">
        <f>Table4[[#This Row],[Column1]]</f>
        <v>0</v>
      </c>
      <c r="B396">
        <f>Table4[[#This Row],[Column2]]</f>
        <v>0</v>
      </c>
      <c r="C396" s="81"/>
      <c r="D396" s="82"/>
      <c r="E396" s="82"/>
      <c r="F396" s="81"/>
      <c r="G396" s="81"/>
      <c r="H396" s="81"/>
      <c r="I396" s="81"/>
      <c r="J396" s="81"/>
      <c r="K396" s="81"/>
      <c r="L396" s="81"/>
      <c r="M396" s="81"/>
      <c r="N396" s="81"/>
      <c r="O396" s="81"/>
      <c r="P396" s="81"/>
      <c r="Q396" s="81"/>
      <c r="R396" s="81"/>
      <c r="S396" s="81"/>
      <c r="T396" s="81"/>
      <c r="U396" s="81"/>
      <c r="V396" s="94"/>
      <c r="W396" s="94"/>
    </row>
    <row r="397" spans="1:23" ht="21" customHeight="1">
      <c r="A397">
        <f>Table4[[#This Row],[Column1]]</f>
        <v>0</v>
      </c>
      <c r="B397">
        <f>Table4[[#This Row],[Column2]]</f>
        <v>0</v>
      </c>
      <c r="C397" s="81"/>
      <c r="D397" s="82"/>
      <c r="E397" s="82"/>
      <c r="F397" s="81"/>
      <c r="G397" s="81"/>
      <c r="H397" s="81"/>
      <c r="I397" s="81"/>
      <c r="J397" s="81"/>
      <c r="K397" s="81"/>
      <c r="L397" s="81"/>
      <c r="M397" s="81"/>
      <c r="N397" s="81"/>
      <c r="O397" s="81"/>
      <c r="P397" s="81"/>
      <c r="Q397" s="81"/>
      <c r="R397" s="81"/>
      <c r="S397" s="81"/>
      <c r="T397" s="81"/>
      <c r="U397" s="81"/>
      <c r="V397" s="94"/>
      <c r="W397" s="94"/>
    </row>
    <row r="398" spans="1:23" ht="21" customHeight="1">
      <c r="A398">
        <f>Table4[[#This Row],[Column1]]</f>
        <v>0</v>
      </c>
      <c r="B398">
        <f>Table4[[#This Row],[Column2]]</f>
        <v>0</v>
      </c>
      <c r="C398" s="81"/>
      <c r="D398" s="82"/>
      <c r="E398" s="82"/>
      <c r="F398" s="81"/>
      <c r="G398" s="81"/>
      <c r="H398" s="81"/>
      <c r="I398" s="81"/>
      <c r="J398" s="81"/>
      <c r="K398" s="81"/>
      <c r="L398" s="81"/>
      <c r="M398" s="81"/>
      <c r="N398" s="81"/>
      <c r="O398" s="81"/>
      <c r="P398" s="81"/>
      <c r="Q398" s="81"/>
      <c r="R398" s="81"/>
      <c r="S398" s="81"/>
      <c r="T398" s="81"/>
      <c r="U398" s="81"/>
      <c r="V398" s="94"/>
      <c r="W398" s="94"/>
    </row>
    <row r="399" spans="1:23" ht="21" customHeight="1">
      <c r="A399">
        <f>Table4[[#This Row],[Column1]]</f>
        <v>0</v>
      </c>
      <c r="B399">
        <f>Table4[[#This Row],[Column2]]</f>
        <v>0</v>
      </c>
      <c r="C399" s="81"/>
      <c r="D399" s="82"/>
      <c r="E399" s="82"/>
      <c r="F399" s="81"/>
      <c r="G399" s="81"/>
      <c r="H399" s="81"/>
      <c r="I399" s="81"/>
      <c r="J399" s="81"/>
      <c r="K399" s="81"/>
      <c r="L399" s="81"/>
      <c r="M399" s="81"/>
      <c r="N399" s="81"/>
      <c r="O399" s="81"/>
      <c r="P399" s="81"/>
      <c r="Q399" s="81"/>
      <c r="R399" s="81"/>
      <c r="S399" s="81"/>
      <c r="T399" s="81"/>
      <c r="U399" s="81"/>
      <c r="V399" s="94"/>
      <c r="W399" s="94"/>
    </row>
    <row r="400" spans="1:23" ht="21" customHeight="1">
      <c r="A400">
        <f>Table4[[#This Row],[Column1]]</f>
        <v>0</v>
      </c>
      <c r="B400">
        <f>Table4[[#This Row],[Column2]]</f>
        <v>0</v>
      </c>
      <c r="C400" s="81"/>
      <c r="D400" s="82"/>
      <c r="E400" s="82"/>
      <c r="F400" s="81"/>
      <c r="G400" s="81"/>
      <c r="H400" s="81"/>
      <c r="I400" s="81"/>
      <c r="J400" s="81"/>
      <c r="K400" s="81"/>
      <c r="L400" s="81"/>
      <c r="M400" s="81"/>
      <c r="N400" s="81"/>
      <c r="O400" s="81"/>
      <c r="P400" s="81"/>
      <c r="Q400" s="81"/>
      <c r="R400" s="81"/>
      <c r="S400" s="81"/>
      <c r="T400" s="81"/>
      <c r="U400" s="81"/>
      <c r="V400" s="94"/>
      <c r="W400" s="94"/>
    </row>
    <row r="401" spans="1:23" ht="21" customHeight="1">
      <c r="A401">
        <f>Table4[[#This Row],[Column1]]</f>
        <v>0</v>
      </c>
      <c r="B401">
        <f>Table4[[#This Row],[Column2]]</f>
        <v>0</v>
      </c>
      <c r="C401" s="81"/>
      <c r="D401" s="82"/>
      <c r="E401" s="82"/>
      <c r="F401" s="81"/>
      <c r="G401" s="81"/>
      <c r="H401" s="81"/>
      <c r="I401" s="81"/>
      <c r="J401" s="81"/>
      <c r="K401" s="81"/>
      <c r="L401" s="81"/>
      <c r="M401" s="81"/>
      <c r="N401" s="81"/>
      <c r="O401" s="81"/>
      <c r="P401" s="81"/>
      <c r="Q401" s="81"/>
      <c r="R401" s="81"/>
      <c r="S401" s="81"/>
      <c r="T401" s="81"/>
      <c r="U401" s="81"/>
      <c r="V401" s="94"/>
      <c r="W401" s="94"/>
    </row>
    <row r="402" spans="1:23" ht="21" customHeight="1">
      <c r="A402">
        <f>Table4[[#This Row],[Column1]]</f>
        <v>0</v>
      </c>
      <c r="B402">
        <f>Table4[[#This Row],[Column2]]</f>
        <v>0</v>
      </c>
      <c r="C402" s="81"/>
      <c r="D402" s="82"/>
      <c r="E402" s="82"/>
      <c r="F402" s="81"/>
      <c r="G402" s="81"/>
      <c r="H402" s="81"/>
      <c r="I402" s="81"/>
      <c r="J402" s="81"/>
      <c r="K402" s="81"/>
      <c r="L402" s="81"/>
      <c r="M402" s="81"/>
      <c r="N402" s="81"/>
      <c r="O402" s="81"/>
      <c r="P402" s="81"/>
      <c r="Q402" s="81"/>
      <c r="R402" s="81"/>
      <c r="S402" s="81"/>
      <c r="T402" s="81"/>
      <c r="U402" s="81"/>
      <c r="V402" s="94"/>
      <c r="W402" s="94"/>
    </row>
    <row r="403" spans="1:23" ht="21" customHeight="1">
      <c r="A403">
        <f>Table4[[#This Row],[Column1]]</f>
        <v>0</v>
      </c>
      <c r="B403">
        <f>Table4[[#This Row],[Column2]]</f>
        <v>0</v>
      </c>
      <c r="C403" s="81"/>
      <c r="D403" s="82"/>
      <c r="E403" s="82"/>
      <c r="F403" s="81"/>
      <c r="G403" s="81"/>
      <c r="H403" s="81"/>
      <c r="I403" s="81"/>
      <c r="J403" s="81"/>
      <c r="K403" s="81"/>
      <c r="L403" s="81"/>
      <c r="M403" s="81"/>
      <c r="N403" s="81"/>
      <c r="O403" s="81"/>
      <c r="P403" s="81"/>
      <c r="Q403" s="81"/>
      <c r="R403" s="81"/>
      <c r="S403" s="81"/>
      <c r="T403" s="81"/>
      <c r="U403" s="81"/>
      <c r="V403" s="94"/>
      <c r="W403" s="94"/>
    </row>
    <row r="404" spans="1:23" ht="21" customHeight="1">
      <c r="A404">
        <f>Table4[[#This Row],[Column1]]</f>
        <v>0</v>
      </c>
      <c r="B404">
        <f>Table4[[#This Row],[Column2]]</f>
        <v>0</v>
      </c>
      <c r="C404" s="81"/>
      <c r="D404" s="82"/>
      <c r="E404" s="82"/>
      <c r="F404" s="81"/>
      <c r="G404" s="81"/>
      <c r="H404" s="81"/>
      <c r="I404" s="81"/>
      <c r="J404" s="81"/>
      <c r="K404" s="81"/>
      <c r="L404" s="81"/>
      <c r="M404" s="81"/>
      <c r="N404" s="81"/>
      <c r="O404" s="81"/>
      <c r="P404" s="81"/>
      <c r="Q404" s="81"/>
      <c r="R404" s="81"/>
      <c r="S404" s="81"/>
      <c r="T404" s="81"/>
      <c r="U404" s="81"/>
      <c r="V404" s="94"/>
      <c r="W404" s="94"/>
    </row>
    <row r="405" spans="1:23" ht="21" customHeight="1">
      <c r="A405">
        <f>Table4[[#This Row],[Column1]]</f>
        <v>0</v>
      </c>
      <c r="B405">
        <f>Table4[[#This Row],[Column2]]</f>
        <v>0</v>
      </c>
      <c r="C405" s="81"/>
      <c r="D405" s="82"/>
      <c r="E405" s="82"/>
      <c r="F405" s="81"/>
      <c r="G405" s="81"/>
      <c r="H405" s="81"/>
      <c r="I405" s="81"/>
      <c r="J405" s="81"/>
      <c r="K405" s="81"/>
      <c r="L405" s="81"/>
      <c r="M405" s="81"/>
      <c r="N405" s="81"/>
      <c r="O405" s="81"/>
      <c r="P405" s="81"/>
      <c r="Q405" s="81"/>
      <c r="R405" s="81"/>
      <c r="S405" s="81"/>
      <c r="T405" s="81"/>
      <c r="U405" s="81"/>
      <c r="V405" s="94"/>
      <c r="W405" s="94"/>
    </row>
    <row r="406" spans="1:23" ht="21" customHeight="1">
      <c r="A406">
        <f>Table4[[#This Row],[Column1]]</f>
        <v>0</v>
      </c>
      <c r="B406">
        <f>Table4[[#This Row],[Column2]]</f>
        <v>0</v>
      </c>
      <c r="C406" s="81"/>
      <c r="D406" s="82"/>
      <c r="E406" s="82"/>
      <c r="F406" s="81"/>
      <c r="G406" s="81"/>
      <c r="H406" s="81"/>
      <c r="I406" s="81"/>
      <c r="J406" s="81"/>
      <c r="K406" s="81"/>
      <c r="L406" s="81"/>
      <c r="M406" s="81"/>
      <c r="N406" s="81"/>
      <c r="O406" s="81"/>
      <c r="P406" s="81"/>
      <c r="Q406" s="81"/>
      <c r="R406" s="81"/>
      <c r="S406" s="81"/>
      <c r="T406" s="81"/>
      <c r="U406" s="81"/>
      <c r="V406" s="94"/>
      <c r="W406" s="94"/>
    </row>
    <row r="407" spans="1:23" ht="21" customHeight="1">
      <c r="A407">
        <f>Table4[[#This Row],[Column1]]</f>
        <v>0</v>
      </c>
      <c r="B407">
        <f>Table4[[#This Row],[Column2]]</f>
        <v>0</v>
      </c>
      <c r="C407" s="81"/>
      <c r="D407" s="82"/>
      <c r="E407" s="82"/>
      <c r="F407" s="81"/>
      <c r="G407" s="81"/>
      <c r="H407" s="81"/>
      <c r="I407" s="81"/>
      <c r="J407" s="81"/>
      <c r="K407" s="81"/>
      <c r="L407" s="81"/>
      <c r="M407" s="81"/>
      <c r="N407" s="81"/>
      <c r="O407" s="81"/>
      <c r="P407" s="81"/>
      <c r="Q407" s="81"/>
      <c r="R407" s="81"/>
      <c r="S407" s="81"/>
      <c r="T407" s="81"/>
      <c r="U407" s="81"/>
      <c r="V407" s="94"/>
      <c r="W407" s="94"/>
    </row>
    <row r="408" spans="1:23" ht="21" customHeight="1">
      <c r="A408">
        <f>Table4[[#This Row],[Column1]]</f>
        <v>0</v>
      </c>
      <c r="B408">
        <f>Table4[[#This Row],[Column2]]</f>
        <v>0</v>
      </c>
      <c r="C408" s="81"/>
      <c r="D408" s="82"/>
      <c r="E408" s="82"/>
      <c r="F408" s="81"/>
      <c r="G408" s="81"/>
      <c r="H408" s="81"/>
      <c r="I408" s="81"/>
      <c r="J408" s="81"/>
      <c r="K408" s="81"/>
      <c r="L408" s="81"/>
      <c r="M408" s="81"/>
      <c r="N408" s="81"/>
      <c r="O408" s="81"/>
      <c r="P408" s="81"/>
      <c r="Q408" s="81"/>
      <c r="R408" s="81"/>
      <c r="S408" s="81"/>
      <c r="T408" s="81"/>
      <c r="U408" s="81"/>
      <c r="V408" s="94"/>
      <c r="W408" s="94"/>
    </row>
    <row r="409" spans="1:23" ht="21" customHeight="1">
      <c r="A409">
        <f>Table4[[#This Row],[Column1]]</f>
        <v>0</v>
      </c>
      <c r="B409">
        <f>Table4[[#This Row],[Column2]]</f>
        <v>0</v>
      </c>
      <c r="C409" s="81"/>
      <c r="D409" s="82"/>
      <c r="E409" s="82"/>
      <c r="F409" s="81"/>
      <c r="G409" s="81"/>
      <c r="H409" s="81"/>
      <c r="I409" s="81"/>
      <c r="J409" s="81"/>
      <c r="K409" s="81"/>
      <c r="L409" s="81"/>
      <c r="M409" s="81"/>
      <c r="N409" s="81"/>
      <c r="O409" s="81"/>
      <c r="P409" s="81"/>
      <c r="Q409" s="81"/>
      <c r="R409" s="81"/>
      <c r="S409" s="81"/>
      <c r="T409" s="81"/>
      <c r="U409" s="81"/>
      <c r="V409" s="94"/>
      <c r="W409" s="94"/>
    </row>
    <row r="410" spans="1:23" ht="21" customHeight="1">
      <c r="A410">
        <f>Table4[[#This Row],[Column1]]</f>
        <v>0</v>
      </c>
      <c r="B410">
        <f>Table4[[#This Row],[Column2]]</f>
        <v>0</v>
      </c>
      <c r="C410" s="81"/>
      <c r="D410" s="82"/>
      <c r="E410" s="82"/>
      <c r="F410" s="81"/>
      <c r="G410" s="81"/>
      <c r="H410" s="81"/>
      <c r="I410" s="81"/>
      <c r="J410" s="81"/>
      <c r="K410" s="81"/>
      <c r="L410" s="81"/>
      <c r="M410" s="81"/>
      <c r="N410" s="81"/>
      <c r="O410" s="81"/>
      <c r="P410" s="81"/>
      <c r="Q410" s="81"/>
      <c r="R410" s="81"/>
      <c r="S410" s="81"/>
      <c r="T410" s="81"/>
      <c r="U410" s="81"/>
      <c r="V410" s="94"/>
      <c r="W410" s="94"/>
    </row>
    <row r="411" spans="1:23" ht="21" customHeight="1">
      <c r="A411">
        <f>Table4[[#This Row],[Column1]]</f>
        <v>0</v>
      </c>
      <c r="B411">
        <f>Table4[[#This Row],[Column2]]</f>
        <v>0</v>
      </c>
      <c r="C411" s="81"/>
      <c r="D411" s="82"/>
      <c r="E411" s="82"/>
      <c r="F411" s="81"/>
      <c r="G411" s="81"/>
      <c r="H411" s="81"/>
      <c r="I411" s="81"/>
      <c r="J411" s="81"/>
      <c r="K411" s="81"/>
      <c r="L411" s="81"/>
      <c r="M411" s="81"/>
      <c r="N411" s="81"/>
      <c r="O411" s="81"/>
      <c r="P411" s="81"/>
      <c r="Q411" s="81"/>
      <c r="R411" s="81"/>
      <c r="S411" s="81"/>
      <c r="T411" s="81"/>
      <c r="U411" s="81"/>
      <c r="V411" s="94"/>
      <c r="W411" s="94"/>
    </row>
    <row r="412" spans="1:23" ht="21" customHeight="1">
      <c r="A412">
        <f>Table4[[#This Row],[Column1]]</f>
        <v>0</v>
      </c>
      <c r="B412">
        <f>Table4[[#This Row],[Column2]]</f>
        <v>0</v>
      </c>
      <c r="C412" s="81"/>
      <c r="D412" s="82"/>
      <c r="E412" s="82"/>
      <c r="F412" s="81"/>
      <c r="G412" s="81"/>
      <c r="H412" s="81"/>
      <c r="I412" s="81"/>
      <c r="J412" s="81"/>
      <c r="K412" s="81"/>
      <c r="L412" s="81"/>
      <c r="M412" s="81"/>
      <c r="N412" s="81"/>
      <c r="O412" s="81"/>
      <c r="P412" s="81"/>
      <c r="Q412" s="81"/>
      <c r="R412" s="81"/>
      <c r="S412" s="81"/>
      <c r="T412" s="81"/>
      <c r="U412" s="81"/>
      <c r="V412" s="94"/>
      <c r="W412" s="94"/>
    </row>
    <row r="413" spans="1:23" ht="21" customHeight="1">
      <c r="A413">
        <f>Table4[[#This Row],[Column1]]</f>
        <v>0</v>
      </c>
      <c r="B413">
        <f>Table4[[#This Row],[Column2]]</f>
        <v>0</v>
      </c>
      <c r="C413" s="81"/>
      <c r="D413" s="82"/>
      <c r="E413" s="82"/>
      <c r="F413" s="81"/>
      <c r="G413" s="81"/>
      <c r="H413" s="81"/>
      <c r="I413" s="81"/>
      <c r="J413" s="81"/>
      <c r="K413" s="81"/>
      <c r="L413" s="81"/>
      <c r="M413" s="81"/>
      <c r="N413" s="81"/>
      <c r="O413" s="81"/>
      <c r="P413" s="81"/>
      <c r="Q413" s="81"/>
      <c r="R413" s="81"/>
      <c r="S413" s="81"/>
      <c r="T413" s="81"/>
      <c r="U413" s="81"/>
      <c r="V413" s="94"/>
      <c r="W413" s="94"/>
    </row>
    <row r="414" spans="1:23" ht="21" customHeight="1">
      <c r="A414">
        <f>Table4[[#This Row],[Column1]]</f>
        <v>0</v>
      </c>
      <c r="B414">
        <f>Table4[[#This Row],[Column2]]</f>
        <v>0</v>
      </c>
      <c r="C414" s="81"/>
      <c r="D414" s="82"/>
      <c r="E414" s="82"/>
      <c r="F414" s="81"/>
      <c r="G414" s="81"/>
      <c r="H414" s="81"/>
      <c r="I414" s="81"/>
      <c r="J414" s="81"/>
      <c r="K414" s="81"/>
      <c r="L414" s="81"/>
      <c r="M414" s="81"/>
      <c r="N414" s="81"/>
      <c r="O414" s="81"/>
      <c r="P414" s="81"/>
      <c r="Q414" s="81"/>
      <c r="R414" s="81"/>
      <c r="S414" s="81"/>
      <c r="T414" s="81"/>
      <c r="U414" s="81"/>
      <c r="V414" s="94"/>
      <c r="W414" s="94"/>
    </row>
    <row r="415" spans="1:23" ht="21" customHeight="1">
      <c r="A415">
        <f>Table4[[#This Row],[Column1]]</f>
        <v>0</v>
      </c>
      <c r="B415">
        <f>Table4[[#This Row],[Column2]]</f>
        <v>0</v>
      </c>
      <c r="C415" s="81"/>
      <c r="D415" s="82"/>
      <c r="E415" s="82"/>
      <c r="F415" s="81"/>
      <c r="G415" s="81"/>
      <c r="H415" s="81"/>
      <c r="I415" s="81"/>
      <c r="J415" s="81"/>
      <c r="K415" s="81"/>
      <c r="L415" s="81"/>
      <c r="M415" s="81"/>
      <c r="N415" s="81"/>
      <c r="O415" s="81"/>
      <c r="P415" s="81"/>
      <c r="Q415" s="81"/>
      <c r="R415" s="81"/>
      <c r="S415" s="81"/>
      <c r="T415" s="81"/>
      <c r="U415" s="81"/>
      <c r="V415" s="94"/>
      <c r="W415" s="94"/>
    </row>
    <row r="416" spans="1:23" ht="21" customHeight="1">
      <c r="A416">
        <f>Table4[[#This Row],[Column1]]</f>
        <v>0</v>
      </c>
      <c r="B416">
        <f>Table4[[#This Row],[Column2]]</f>
        <v>0</v>
      </c>
      <c r="C416" s="81"/>
      <c r="D416" s="82"/>
      <c r="E416" s="82"/>
      <c r="F416" s="81"/>
      <c r="G416" s="81"/>
      <c r="H416" s="81"/>
      <c r="I416" s="81"/>
      <c r="J416" s="81"/>
      <c r="K416" s="81"/>
      <c r="L416" s="81"/>
      <c r="M416" s="81"/>
      <c r="N416" s="81"/>
      <c r="O416" s="81"/>
      <c r="P416" s="81"/>
      <c r="Q416" s="81"/>
      <c r="R416" s="81"/>
      <c r="S416" s="81"/>
      <c r="T416" s="81"/>
      <c r="U416" s="81"/>
      <c r="V416" s="94"/>
      <c r="W416" s="94"/>
    </row>
    <row r="417" spans="1:23" ht="21" customHeight="1">
      <c r="A417">
        <f>Table4[[#This Row],[Column1]]</f>
        <v>0</v>
      </c>
      <c r="B417">
        <f>Table4[[#This Row],[Column2]]</f>
        <v>0</v>
      </c>
      <c r="C417" s="81"/>
      <c r="D417" s="82"/>
      <c r="E417" s="82"/>
      <c r="F417" s="81"/>
      <c r="G417" s="81"/>
      <c r="H417" s="81"/>
      <c r="I417" s="81"/>
      <c r="J417" s="81"/>
      <c r="K417" s="81"/>
      <c r="L417" s="81"/>
      <c r="M417" s="81"/>
      <c r="N417" s="81"/>
      <c r="O417" s="81"/>
      <c r="P417" s="81"/>
      <c r="Q417" s="81"/>
      <c r="R417" s="81"/>
      <c r="S417" s="81"/>
      <c r="T417" s="81"/>
      <c r="U417" s="81"/>
      <c r="V417" s="94"/>
      <c r="W417" s="94"/>
    </row>
    <row r="418" spans="1:23" ht="21" customHeight="1">
      <c r="A418">
        <f>Table4[[#This Row],[Column1]]</f>
        <v>0</v>
      </c>
      <c r="B418">
        <f>Table4[[#This Row],[Column2]]</f>
        <v>0</v>
      </c>
      <c r="C418" s="81"/>
      <c r="D418" s="82"/>
      <c r="E418" s="82"/>
      <c r="F418" s="81"/>
      <c r="G418" s="81"/>
      <c r="H418" s="81"/>
      <c r="I418" s="81"/>
      <c r="J418" s="81"/>
      <c r="K418" s="81"/>
      <c r="L418" s="81"/>
      <c r="M418" s="81"/>
      <c r="N418" s="81"/>
      <c r="O418" s="81"/>
      <c r="P418" s="81"/>
      <c r="Q418" s="81"/>
      <c r="R418" s="81"/>
      <c r="S418" s="81"/>
      <c r="T418" s="81"/>
      <c r="U418" s="81"/>
      <c r="V418" s="94"/>
      <c r="W418" s="94"/>
    </row>
    <row r="419" spans="1:23" ht="21" customHeight="1">
      <c r="A419">
        <f>Table4[[#This Row],[Column1]]</f>
        <v>0</v>
      </c>
      <c r="B419">
        <f>Table4[[#This Row],[Column2]]</f>
        <v>0</v>
      </c>
      <c r="C419" s="81"/>
      <c r="D419" s="82"/>
      <c r="E419" s="82"/>
      <c r="F419" s="81"/>
      <c r="G419" s="81"/>
      <c r="H419" s="81"/>
      <c r="I419" s="81"/>
      <c r="J419" s="81"/>
      <c r="K419" s="81"/>
      <c r="L419" s="81"/>
      <c r="M419" s="81"/>
      <c r="N419" s="81"/>
      <c r="O419" s="81"/>
      <c r="P419" s="81"/>
      <c r="Q419" s="81"/>
      <c r="R419" s="81"/>
      <c r="S419" s="81"/>
      <c r="T419" s="81"/>
      <c r="U419" s="81"/>
      <c r="V419" s="94"/>
      <c r="W419" s="94"/>
    </row>
    <row r="420" spans="1:23" ht="21" customHeight="1">
      <c r="A420">
        <f>Table4[[#This Row],[Column1]]</f>
        <v>0</v>
      </c>
      <c r="B420">
        <f>Table4[[#This Row],[Column2]]</f>
        <v>0</v>
      </c>
      <c r="C420" s="81"/>
      <c r="D420" s="82"/>
      <c r="E420" s="82"/>
      <c r="F420" s="81"/>
      <c r="G420" s="81"/>
      <c r="H420" s="81"/>
      <c r="I420" s="81"/>
      <c r="J420" s="81"/>
      <c r="K420" s="81"/>
      <c r="L420" s="81"/>
      <c r="M420" s="81"/>
      <c r="N420" s="81"/>
      <c r="O420" s="81"/>
      <c r="P420" s="81"/>
      <c r="Q420" s="81"/>
      <c r="R420" s="81"/>
      <c r="S420" s="81"/>
      <c r="T420" s="81"/>
      <c r="U420" s="81"/>
      <c r="V420" s="94"/>
      <c r="W420" s="94"/>
    </row>
    <row r="421" spans="1:23" ht="21" customHeight="1">
      <c r="A421">
        <f>Table4[[#This Row],[Column1]]</f>
        <v>0</v>
      </c>
      <c r="B421">
        <f>Table4[[#This Row],[Column2]]</f>
        <v>0</v>
      </c>
      <c r="C421" s="81"/>
      <c r="D421" s="82"/>
      <c r="E421" s="82"/>
      <c r="F421" s="81"/>
      <c r="G421" s="81"/>
      <c r="H421" s="81"/>
      <c r="I421" s="81"/>
      <c r="J421" s="81"/>
      <c r="K421" s="81"/>
      <c r="L421" s="81"/>
      <c r="M421" s="81"/>
      <c r="N421" s="81"/>
      <c r="O421" s="81"/>
      <c r="P421" s="81"/>
      <c r="Q421" s="81"/>
      <c r="R421" s="81"/>
      <c r="S421" s="81"/>
      <c r="T421" s="81"/>
      <c r="U421" s="81"/>
      <c r="V421" s="94"/>
      <c r="W421" s="94"/>
    </row>
    <row r="422" spans="1:23" ht="21" customHeight="1">
      <c r="A422">
        <f>Table4[[#This Row],[Column1]]</f>
        <v>0</v>
      </c>
      <c r="B422">
        <f>Table4[[#This Row],[Column2]]</f>
        <v>0</v>
      </c>
      <c r="C422" s="81"/>
      <c r="D422" s="82"/>
      <c r="E422" s="82"/>
      <c r="F422" s="81"/>
      <c r="G422" s="81"/>
      <c r="H422" s="81"/>
      <c r="I422" s="81"/>
      <c r="J422" s="81"/>
      <c r="K422" s="81"/>
      <c r="L422" s="81"/>
      <c r="M422" s="81"/>
      <c r="N422" s="81"/>
      <c r="O422" s="81"/>
      <c r="P422" s="81"/>
      <c r="Q422" s="81"/>
      <c r="R422" s="81"/>
      <c r="S422" s="81"/>
      <c r="T422" s="81"/>
      <c r="U422" s="81"/>
      <c r="V422" s="94"/>
      <c r="W422" s="94"/>
    </row>
    <row r="423" spans="1:23" ht="21" customHeight="1">
      <c r="A423">
        <f>Table4[[#This Row],[Column1]]</f>
        <v>0</v>
      </c>
      <c r="B423">
        <f>Table4[[#This Row],[Column2]]</f>
        <v>0</v>
      </c>
      <c r="C423" s="81"/>
      <c r="D423" s="82"/>
      <c r="E423" s="82"/>
      <c r="F423" s="81"/>
      <c r="G423" s="81"/>
      <c r="H423" s="81"/>
      <c r="I423" s="81"/>
      <c r="J423" s="81"/>
      <c r="K423" s="81"/>
      <c r="L423" s="81"/>
      <c r="M423" s="81"/>
      <c r="N423" s="81"/>
      <c r="O423" s="81"/>
      <c r="P423" s="81"/>
      <c r="Q423" s="81"/>
      <c r="R423" s="81"/>
      <c r="S423" s="81"/>
      <c r="T423" s="81"/>
      <c r="U423" s="81"/>
      <c r="V423" s="94"/>
      <c r="W423" s="94"/>
    </row>
    <row r="424" spans="1:23" ht="21" customHeight="1">
      <c r="A424">
        <f>Table4[[#This Row],[Column1]]</f>
        <v>0</v>
      </c>
      <c r="B424">
        <f>Table4[[#This Row],[Column2]]</f>
        <v>0</v>
      </c>
      <c r="C424" s="81"/>
      <c r="D424" s="82"/>
      <c r="E424" s="82"/>
      <c r="F424" s="81"/>
      <c r="G424" s="81"/>
      <c r="H424" s="81"/>
      <c r="I424" s="81"/>
      <c r="J424" s="81"/>
      <c r="K424" s="81"/>
      <c r="L424" s="81"/>
      <c r="M424" s="81"/>
      <c r="N424" s="81"/>
      <c r="O424" s="81"/>
      <c r="P424" s="81"/>
      <c r="Q424" s="81"/>
      <c r="R424" s="81"/>
      <c r="S424" s="81"/>
      <c r="T424" s="81"/>
      <c r="U424" s="81"/>
      <c r="V424" s="94"/>
      <c r="W424" s="94"/>
    </row>
    <row r="425" spans="1:23" ht="21" customHeight="1">
      <c r="A425">
        <f>Table4[[#This Row],[Column1]]</f>
        <v>0</v>
      </c>
      <c r="B425">
        <f>Table4[[#This Row],[Column2]]</f>
        <v>0</v>
      </c>
      <c r="C425" s="81"/>
      <c r="D425" s="82"/>
      <c r="E425" s="82"/>
      <c r="F425" s="81"/>
      <c r="G425" s="81"/>
      <c r="H425" s="81"/>
      <c r="I425" s="81"/>
      <c r="J425" s="81"/>
      <c r="K425" s="81"/>
      <c r="L425" s="81"/>
      <c r="M425" s="81"/>
      <c r="N425" s="81"/>
      <c r="O425" s="81"/>
      <c r="P425" s="81"/>
      <c r="Q425" s="81"/>
      <c r="R425" s="81"/>
      <c r="S425" s="81"/>
      <c r="T425" s="81"/>
      <c r="U425" s="81"/>
      <c r="V425" s="94"/>
      <c r="W425" s="94"/>
    </row>
    <row r="426" spans="1:23" ht="21" customHeight="1">
      <c r="A426">
        <f>Table4[[#This Row],[Column1]]</f>
        <v>0</v>
      </c>
      <c r="B426">
        <f>Table4[[#This Row],[Column2]]</f>
        <v>0</v>
      </c>
      <c r="C426" s="81"/>
      <c r="D426" s="82"/>
      <c r="E426" s="82"/>
      <c r="F426" s="81"/>
      <c r="G426" s="81"/>
      <c r="H426" s="81"/>
      <c r="I426" s="81"/>
      <c r="J426" s="81"/>
      <c r="K426" s="81"/>
      <c r="L426" s="81"/>
      <c r="M426" s="81"/>
      <c r="N426" s="81"/>
      <c r="O426" s="81"/>
      <c r="P426" s="81"/>
      <c r="Q426" s="81"/>
      <c r="R426" s="81"/>
      <c r="S426" s="81"/>
      <c r="T426" s="81"/>
      <c r="U426" s="81"/>
      <c r="V426" s="94"/>
      <c r="W426" s="94"/>
    </row>
    <row r="427" spans="1:23" ht="21" customHeight="1">
      <c r="A427">
        <f>Table4[[#This Row],[Column1]]</f>
        <v>0</v>
      </c>
      <c r="B427">
        <f>Table4[[#This Row],[Column2]]</f>
        <v>0</v>
      </c>
      <c r="C427" s="81"/>
      <c r="D427" s="82"/>
      <c r="E427" s="82"/>
      <c r="F427" s="81"/>
      <c r="G427" s="81"/>
      <c r="H427" s="81"/>
      <c r="I427" s="81"/>
      <c r="J427" s="81"/>
      <c r="K427" s="81"/>
      <c r="L427" s="81"/>
      <c r="M427" s="81"/>
      <c r="N427" s="81"/>
      <c r="O427" s="81"/>
      <c r="P427" s="81"/>
      <c r="Q427" s="81"/>
      <c r="R427" s="81"/>
      <c r="S427" s="81"/>
      <c r="T427" s="81"/>
      <c r="U427" s="81"/>
      <c r="V427" s="94"/>
      <c r="W427" s="94"/>
    </row>
    <row r="428" spans="1:23" ht="21" customHeight="1">
      <c r="A428">
        <f>Table4[[#This Row],[Column1]]</f>
        <v>0</v>
      </c>
      <c r="B428">
        <f>Table4[[#This Row],[Column2]]</f>
        <v>0</v>
      </c>
      <c r="C428" s="81"/>
      <c r="D428" s="82"/>
      <c r="E428" s="82"/>
      <c r="F428" s="81"/>
      <c r="G428" s="81"/>
      <c r="H428" s="81"/>
      <c r="I428" s="81"/>
      <c r="J428" s="81"/>
      <c r="K428" s="81"/>
      <c r="L428" s="81"/>
      <c r="M428" s="81"/>
      <c r="N428" s="81"/>
      <c r="O428" s="81"/>
      <c r="P428" s="81"/>
      <c r="Q428" s="81"/>
      <c r="R428" s="81"/>
      <c r="S428" s="81"/>
      <c r="T428" s="81"/>
      <c r="U428" s="81"/>
      <c r="V428" s="94"/>
      <c r="W428" s="94"/>
    </row>
    <row r="429" spans="1:23" ht="21" customHeight="1">
      <c r="A429">
        <f>Table4[[#This Row],[Column1]]</f>
        <v>0</v>
      </c>
      <c r="B429">
        <f>Table4[[#This Row],[Column2]]</f>
        <v>0</v>
      </c>
      <c r="C429" s="81"/>
      <c r="D429" s="82"/>
      <c r="E429" s="82"/>
      <c r="F429" s="81"/>
      <c r="G429" s="81"/>
      <c r="H429" s="81"/>
      <c r="I429" s="81"/>
      <c r="J429" s="81"/>
      <c r="K429" s="81"/>
      <c r="L429" s="81"/>
      <c r="M429" s="81"/>
      <c r="N429" s="81"/>
      <c r="O429" s="81"/>
      <c r="P429" s="81"/>
      <c r="Q429" s="81"/>
      <c r="R429" s="81"/>
      <c r="S429" s="81"/>
      <c r="T429" s="81"/>
      <c r="U429" s="81"/>
      <c r="V429" s="94"/>
      <c r="W429" s="94"/>
    </row>
    <row r="430" spans="1:23" ht="21" customHeight="1">
      <c r="A430">
        <f>Table4[[#This Row],[Column1]]</f>
        <v>0</v>
      </c>
      <c r="B430">
        <f>Table4[[#This Row],[Column2]]</f>
        <v>0</v>
      </c>
      <c r="C430" s="81"/>
      <c r="D430" s="82"/>
      <c r="E430" s="82"/>
      <c r="F430" s="81"/>
      <c r="G430" s="81"/>
      <c r="H430" s="81"/>
      <c r="I430" s="81"/>
      <c r="J430" s="81"/>
      <c r="K430" s="81"/>
      <c r="L430" s="81"/>
      <c r="M430" s="81"/>
      <c r="N430" s="81"/>
      <c r="O430" s="81"/>
      <c r="P430" s="81"/>
      <c r="Q430" s="81"/>
      <c r="R430" s="81"/>
      <c r="S430" s="81"/>
      <c r="T430" s="81"/>
      <c r="U430" s="81"/>
      <c r="V430" s="94"/>
      <c r="W430" s="94"/>
    </row>
    <row r="431" spans="1:23" ht="21" customHeight="1">
      <c r="A431">
        <f>Table4[[#This Row],[Column1]]</f>
        <v>0</v>
      </c>
      <c r="B431">
        <f>Table4[[#This Row],[Column2]]</f>
        <v>0</v>
      </c>
      <c r="C431" s="81"/>
      <c r="D431" s="82"/>
      <c r="E431" s="82"/>
      <c r="F431" s="81"/>
      <c r="G431" s="81"/>
      <c r="H431" s="81"/>
      <c r="I431" s="81"/>
      <c r="J431" s="81"/>
      <c r="K431" s="81"/>
      <c r="L431" s="81"/>
      <c r="M431" s="81"/>
      <c r="N431" s="81"/>
      <c r="O431" s="81"/>
      <c r="P431" s="81"/>
      <c r="Q431" s="81"/>
      <c r="R431" s="81"/>
      <c r="S431" s="81"/>
      <c r="T431" s="81"/>
      <c r="U431" s="81"/>
      <c r="V431" s="94"/>
      <c r="W431" s="94"/>
    </row>
    <row r="432" spans="1:23" ht="21" customHeight="1">
      <c r="A432">
        <f>Table4[[#This Row],[Column1]]</f>
        <v>0</v>
      </c>
      <c r="B432">
        <f>Table4[[#This Row],[Column2]]</f>
        <v>0</v>
      </c>
      <c r="C432" s="81"/>
      <c r="D432" s="82"/>
      <c r="E432" s="82"/>
      <c r="F432" s="81"/>
      <c r="G432" s="81"/>
      <c r="H432" s="81"/>
      <c r="I432" s="81"/>
      <c r="J432" s="81"/>
      <c r="K432" s="81"/>
      <c r="L432" s="81"/>
      <c r="M432" s="81"/>
      <c r="N432" s="81"/>
      <c r="O432" s="81"/>
      <c r="P432" s="81"/>
      <c r="Q432" s="81"/>
      <c r="R432" s="81"/>
      <c r="S432" s="81"/>
      <c r="T432" s="81"/>
      <c r="U432" s="81"/>
      <c r="V432" s="94"/>
      <c r="W432" s="94"/>
    </row>
    <row r="433" spans="1:23" ht="21" customHeight="1">
      <c r="A433">
        <f>Table4[[#This Row],[Column1]]</f>
        <v>0</v>
      </c>
      <c r="B433">
        <f>Table4[[#This Row],[Column2]]</f>
        <v>0</v>
      </c>
      <c r="C433" s="81"/>
      <c r="D433" s="82"/>
      <c r="E433" s="82"/>
      <c r="F433" s="81"/>
      <c r="G433" s="81"/>
      <c r="H433" s="81"/>
      <c r="I433" s="81"/>
      <c r="J433" s="81"/>
      <c r="K433" s="81"/>
      <c r="L433" s="81"/>
      <c r="M433" s="81"/>
      <c r="N433" s="81"/>
      <c r="O433" s="81"/>
      <c r="P433" s="81"/>
      <c r="Q433" s="81"/>
      <c r="R433" s="81"/>
      <c r="S433" s="81"/>
      <c r="T433" s="81"/>
      <c r="U433" s="81"/>
      <c r="V433" s="94"/>
      <c r="W433" s="94"/>
    </row>
    <row r="434" spans="1:23" ht="21" customHeight="1">
      <c r="A434">
        <f>Table4[[#This Row],[Column1]]</f>
        <v>0</v>
      </c>
      <c r="B434">
        <f>Table4[[#This Row],[Column2]]</f>
        <v>0</v>
      </c>
      <c r="C434" s="81"/>
      <c r="D434" s="82"/>
      <c r="E434" s="82"/>
      <c r="F434" s="81"/>
      <c r="G434" s="81"/>
      <c r="H434" s="81"/>
      <c r="I434" s="81"/>
      <c r="J434" s="81"/>
      <c r="K434" s="81"/>
      <c r="L434" s="81"/>
      <c r="M434" s="81"/>
      <c r="N434" s="81"/>
      <c r="O434" s="81"/>
      <c r="P434" s="81"/>
      <c r="Q434" s="81"/>
      <c r="R434" s="81"/>
      <c r="S434" s="81"/>
      <c r="T434" s="81"/>
      <c r="U434" s="81"/>
      <c r="V434" s="94"/>
      <c r="W434" s="94"/>
    </row>
    <row r="435" spans="1:23" ht="21" customHeight="1">
      <c r="A435">
        <f>Table4[[#This Row],[Column1]]</f>
        <v>0</v>
      </c>
      <c r="B435">
        <f>Table4[[#This Row],[Column2]]</f>
        <v>0</v>
      </c>
      <c r="C435" s="81"/>
      <c r="D435" s="82"/>
      <c r="E435" s="82"/>
      <c r="F435" s="81"/>
      <c r="G435" s="81"/>
      <c r="H435" s="81"/>
      <c r="I435" s="81"/>
      <c r="J435" s="81"/>
      <c r="K435" s="81"/>
      <c r="L435" s="81"/>
      <c r="M435" s="81"/>
      <c r="N435" s="81"/>
      <c r="O435" s="81"/>
      <c r="P435" s="81"/>
      <c r="Q435" s="81"/>
      <c r="R435" s="81"/>
      <c r="S435" s="81"/>
      <c r="T435" s="81"/>
      <c r="U435" s="81"/>
      <c r="V435" s="94"/>
      <c r="W435" s="94"/>
    </row>
    <row r="436" spans="1:23" ht="21" customHeight="1">
      <c r="A436">
        <f>Table4[[#This Row],[Column1]]</f>
        <v>0</v>
      </c>
      <c r="B436">
        <f>Table4[[#This Row],[Column2]]</f>
        <v>0</v>
      </c>
      <c r="C436" s="81"/>
      <c r="D436" s="82"/>
      <c r="E436" s="82"/>
      <c r="F436" s="81"/>
      <c r="G436" s="81"/>
      <c r="H436" s="81"/>
      <c r="I436" s="81"/>
      <c r="J436" s="81"/>
      <c r="K436" s="81"/>
      <c r="L436" s="81"/>
      <c r="M436" s="81"/>
      <c r="N436" s="81"/>
      <c r="O436" s="81"/>
      <c r="P436" s="81"/>
      <c r="Q436" s="81"/>
      <c r="R436" s="81"/>
      <c r="S436" s="81"/>
      <c r="T436" s="81"/>
      <c r="U436" s="81"/>
      <c r="V436" s="94"/>
      <c r="W436" s="94"/>
    </row>
    <row r="437" spans="1:23" ht="21" customHeight="1">
      <c r="A437">
        <f>Table4[[#This Row],[Column1]]</f>
        <v>0</v>
      </c>
      <c r="B437">
        <f>Table4[[#This Row],[Column2]]</f>
        <v>0</v>
      </c>
      <c r="C437" s="81"/>
      <c r="D437" s="82"/>
      <c r="E437" s="82"/>
      <c r="F437" s="81"/>
      <c r="G437" s="81"/>
      <c r="H437" s="81"/>
      <c r="I437" s="81"/>
      <c r="J437" s="81"/>
      <c r="K437" s="81"/>
      <c r="L437" s="81"/>
      <c r="M437" s="81"/>
      <c r="N437" s="81"/>
      <c r="O437" s="81"/>
      <c r="P437" s="81"/>
      <c r="Q437" s="81"/>
      <c r="R437" s="81"/>
      <c r="S437" s="81"/>
      <c r="T437" s="81"/>
      <c r="U437" s="81"/>
      <c r="V437" s="94"/>
      <c r="W437" s="94"/>
    </row>
    <row r="438" spans="1:23" ht="21" customHeight="1">
      <c r="A438">
        <f>Table4[[#This Row],[Column1]]</f>
        <v>0</v>
      </c>
      <c r="B438">
        <f>Table4[[#This Row],[Column2]]</f>
        <v>0</v>
      </c>
      <c r="C438" s="81"/>
      <c r="D438" s="82"/>
      <c r="E438" s="82"/>
      <c r="F438" s="81"/>
      <c r="G438" s="81"/>
      <c r="H438" s="81"/>
      <c r="I438" s="81"/>
      <c r="J438" s="81"/>
      <c r="K438" s="81"/>
      <c r="L438" s="81"/>
      <c r="M438" s="81"/>
      <c r="N438" s="81"/>
      <c r="O438" s="81"/>
      <c r="P438" s="81"/>
      <c r="Q438" s="81"/>
      <c r="R438" s="81"/>
      <c r="S438" s="81"/>
      <c r="T438" s="81"/>
      <c r="U438" s="81"/>
      <c r="V438" s="94"/>
      <c r="W438" s="94"/>
    </row>
    <row r="439" spans="1:23" ht="21" customHeight="1">
      <c r="A439">
        <f>Table4[[#This Row],[Column1]]</f>
        <v>0</v>
      </c>
      <c r="B439">
        <f>Table4[[#This Row],[Column2]]</f>
        <v>0</v>
      </c>
      <c r="C439" s="81"/>
      <c r="D439" s="82"/>
      <c r="E439" s="82"/>
      <c r="F439" s="81"/>
      <c r="G439" s="81"/>
      <c r="H439" s="81"/>
      <c r="I439" s="81"/>
      <c r="J439" s="81"/>
      <c r="K439" s="81"/>
      <c r="L439" s="81"/>
      <c r="M439" s="81"/>
      <c r="N439" s="81"/>
      <c r="O439" s="81"/>
      <c r="P439" s="81"/>
      <c r="Q439" s="81"/>
      <c r="R439" s="81"/>
      <c r="S439" s="81"/>
      <c r="T439" s="81"/>
      <c r="U439" s="81"/>
      <c r="V439" s="94"/>
      <c r="W439" s="94"/>
    </row>
    <row r="440" spans="1:23" ht="21" customHeight="1">
      <c r="A440">
        <f>Table4[[#This Row],[Column1]]</f>
        <v>0</v>
      </c>
      <c r="B440">
        <f>Table4[[#This Row],[Column2]]</f>
        <v>0</v>
      </c>
      <c r="C440" s="81"/>
      <c r="D440" s="82"/>
      <c r="E440" s="82"/>
      <c r="F440" s="81"/>
      <c r="G440" s="81"/>
      <c r="H440" s="81"/>
      <c r="I440" s="81"/>
      <c r="J440" s="81"/>
      <c r="K440" s="81"/>
      <c r="L440" s="81"/>
      <c r="M440" s="81"/>
      <c r="N440" s="81"/>
      <c r="O440" s="81"/>
      <c r="P440" s="81"/>
      <c r="Q440" s="81"/>
      <c r="R440" s="81"/>
      <c r="S440" s="81"/>
      <c r="T440" s="81"/>
      <c r="U440" s="81"/>
      <c r="V440" s="94"/>
      <c r="W440" s="94"/>
    </row>
    <row r="441" spans="1:23" ht="21" customHeight="1">
      <c r="A441">
        <f>Table4[[#This Row],[Column1]]</f>
        <v>0</v>
      </c>
      <c r="B441">
        <f>Table4[[#This Row],[Column2]]</f>
        <v>0</v>
      </c>
      <c r="C441" s="81"/>
      <c r="D441" s="82"/>
      <c r="E441" s="82"/>
      <c r="F441" s="81"/>
      <c r="G441" s="81"/>
      <c r="H441" s="81"/>
      <c r="I441" s="81"/>
      <c r="J441" s="81"/>
      <c r="K441" s="81"/>
      <c r="L441" s="81"/>
      <c r="M441" s="81"/>
      <c r="N441" s="81"/>
      <c r="O441" s="81"/>
      <c r="P441" s="81"/>
      <c r="Q441" s="81"/>
      <c r="R441" s="81"/>
      <c r="S441" s="81"/>
      <c r="T441" s="81"/>
      <c r="U441" s="81"/>
      <c r="V441" s="94"/>
      <c r="W441" s="94"/>
    </row>
    <row r="442" spans="1:23" ht="21" customHeight="1">
      <c r="A442">
        <f>Table4[[#This Row],[Column1]]</f>
        <v>0</v>
      </c>
      <c r="B442">
        <f>Table4[[#This Row],[Column2]]</f>
        <v>0</v>
      </c>
      <c r="C442" s="81"/>
      <c r="D442" s="82"/>
      <c r="E442" s="82"/>
      <c r="F442" s="81"/>
      <c r="G442" s="81"/>
      <c r="H442" s="81"/>
      <c r="I442" s="81"/>
      <c r="J442" s="81"/>
      <c r="K442" s="81"/>
      <c r="L442" s="81"/>
      <c r="M442" s="81"/>
      <c r="N442" s="81"/>
      <c r="O442" s="81"/>
      <c r="P442" s="81"/>
      <c r="Q442" s="81"/>
      <c r="R442" s="81"/>
      <c r="S442" s="81"/>
      <c r="T442" s="81"/>
      <c r="U442" s="81"/>
      <c r="V442" s="94"/>
      <c r="W442" s="94"/>
    </row>
    <row r="443" spans="1:23" ht="21" customHeight="1">
      <c r="A443">
        <f>Table4[[#This Row],[Column1]]</f>
        <v>0</v>
      </c>
      <c r="B443">
        <f>Table4[[#This Row],[Column2]]</f>
        <v>0</v>
      </c>
      <c r="C443" s="81"/>
      <c r="D443" s="82"/>
      <c r="E443" s="82"/>
      <c r="F443" s="81"/>
      <c r="G443" s="81"/>
      <c r="H443" s="81"/>
      <c r="I443" s="81"/>
      <c r="J443" s="81"/>
      <c r="K443" s="81"/>
      <c r="L443" s="81"/>
      <c r="M443" s="81"/>
      <c r="N443" s="81"/>
      <c r="O443" s="81"/>
      <c r="P443" s="81"/>
      <c r="Q443" s="81"/>
      <c r="R443" s="81"/>
      <c r="S443" s="81"/>
      <c r="T443" s="81"/>
      <c r="U443" s="81"/>
      <c r="V443" s="94"/>
      <c r="W443" s="94"/>
    </row>
    <row r="444" spans="1:23" ht="21" customHeight="1">
      <c r="A444">
        <f>Table4[[#This Row],[Column1]]</f>
        <v>0</v>
      </c>
      <c r="B444">
        <f>Table4[[#This Row],[Column2]]</f>
        <v>0</v>
      </c>
      <c r="C444" s="81"/>
      <c r="D444" s="82"/>
      <c r="E444" s="82"/>
      <c r="F444" s="81"/>
      <c r="G444" s="81"/>
      <c r="H444" s="81"/>
      <c r="I444" s="81"/>
      <c r="J444" s="81"/>
      <c r="K444" s="81"/>
      <c r="L444" s="81"/>
      <c r="M444" s="81"/>
      <c r="N444" s="81"/>
      <c r="O444" s="81"/>
      <c r="P444" s="81"/>
      <c r="Q444" s="81"/>
      <c r="R444" s="81"/>
      <c r="S444" s="81"/>
      <c r="T444" s="81"/>
      <c r="U444" s="81"/>
      <c r="V444" s="94"/>
      <c r="W444" s="94"/>
    </row>
    <row r="445" spans="1:23" ht="21" customHeight="1">
      <c r="A445">
        <f>Table4[[#This Row],[Column1]]</f>
        <v>0</v>
      </c>
      <c r="B445">
        <f>Table4[[#This Row],[Column2]]</f>
        <v>0</v>
      </c>
      <c r="C445" s="81"/>
      <c r="D445" s="82"/>
      <c r="E445" s="82"/>
      <c r="F445" s="81"/>
      <c r="G445" s="81"/>
      <c r="H445" s="81"/>
      <c r="I445" s="81"/>
      <c r="J445" s="81"/>
      <c r="K445" s="81"/>
      <c r="L445" s="81"/>
      <c r="M445" s="81"/>
      <c r="N445" s="81"/>
      <c r="O445" s="81"/>
      <c r="P445" s="81"/>
      <c r="Q445" s="81"/>
      <c r="R445" s="81"/>
      <c r="S445" s="81"/>
      <c r="T445" s="81"/>
      <c r="U445" s="81"/>
      <c r="V445" s="94"/>
      <c r="W445" s="94"/>
    </row>
    <row r="446" spans="1:23" ht="21" customHeight="1">
      <c r="A446">
        <f>Table4[[#This Row],[Column1]]</f>
        <v>0</v>
      </c>
      <c r="B446">
        <f>Table4[[#This Row],[Column2]]</f>
        <v>0</v>
      </c>
      <c r="C446" s="81"/>
      <c r="D446" s="82"/>
      <c r="E446" s="82"/>
      <c r="F446" s="81"/>
      <c r="G446" s="81"/>
      <c r="H446" s="81"/>
      <c r="I446" s="81"/>
      <c r="J446" s="81"/>
      <c r="K446" s="81"/>
      <c r="L446" s="81"/>
      <c r="M446" s="81"/>
      <c r="N446" s="81"/>
      <c r="O446" s="81"/>
      <c r="P446" s="81"/>
      <c r="Q446" s="81"/>
      <c r="R446" s="81"/>
      <c r="S446" s="81"/>
      <c r="T446" s="81"/>
      <c r="U446" s="81"/>
      <c r="V446" s="94"/>
      <c r="W446" s="94"/>
    </row>
    <row r="447" spans="1:23" ht="21" customHeight="1">
      <c r="A447">
        <f>Table4[[#This Row],[Column1]]</f>
        <v>0</v>
      </c>
      <c r="B447">
        <f>Table4[[#This Row],[Column2]]</f>
        <v>0</v>
      </c>
      <c r="C447" s="81"/>
      <c r="D447" s="82"/>
      <c r="E447" s="82"/>
      <c r="F447" s="81"/>
      <c r="G447" s="81"/>
      <c r="H447" s="81"/>
      <c r="I447" s="81"/>
      <c r="J447" s="81"/>
      <c r="K447" s="81"/>
      <c r="L447" s="81"/>
      <c r="M447" s="81"/>
      <c r="N447" s="81"/>
      <c r="O447" s="81"/>
      <c r="P447" s="81"/>
      <c r="Q447" s="81"/>
      <c r="R447" s="81"/>
      <c r="S447" s="81"/>
      <c r="T447" s="81"/>
      <c r="U447" s="81"/>
      <c r="V447" s="94"/>
      <c r="W447" s="94"/>
    </row>
    <row r="448" spans="1:23" ht="21" customHeight="1">
      <c r="A448">
        <f>Table4[[#This Row],[Column1]]</f>
        <v>0</v>
      </c>
      <c r="B448">
        <f>Table4[[#This Row],[Column2]]</f>
        <v>0</v>
      </c>
      <c r="C448" s="81"/>
      <c r="D448" s="82"/>
      <c r="E448" s="82"/>
      <c r="F448" s="81"/>
      <c r="G448" s="81"/>
      <c r="H448" s="81"/>
      <c r="I448" s="81"/>
      <c r="J448" s="81"/>
      <c r="K448" s="81"/>
      <c r="L448" s="81"/>
      <c r="M448" s="81"/>
      <c r="N448" s="81"/>
      <c r="O448" s="81"/>
      <c r="P448" s="81"/>
      <c r="Q448" s="81"/>
      <c r="R448" s="81"/>
      <c r="S448" s="81"/>
      <c r="T448" s="81"/>
      <c r="U448" s="81"/>
      <c r="V448" s="94"/>
      <c r="W448" s="94"/>
    </row>
    <row r="449" spans="1:23" ht="21" customHeight="1">
      <c r="A449">
        <f>Table4[[#This Row],[Column1]]</f>
        <v>0</v>
      </c>
      <c r="B449">
        <f>Table4[[#This Row],[Column2]]</f>
        <v>0</v>
      </c>
      <c r="C449" s="81"/>
      <c r="D449" s="82"/>
      <c r="E449" s="82"/>
      <c r="F449" s="81"/>
      <c r="G449" s="81"/>
      <c r="H449" s="81"/>
      <c r="I449" s="81"/>
      <c r="J449" s="81"/>
      <c r="K449" s="81"/>
      <c r="L449" s="81"/>
      <c r="M449" s="81"/>
      <c r="N449" s="81"/>
      <c r="O449" s="81"/>
      <c r="P449" s="81"/>
      <c r="Q449" s="81"/>
      <c r="R449" s="81"/>
      <c r="S449" s="81"/>
      <c r="T449" s="81"/>
      <c r="U449" s="81"/>
      <c r="V449" s="94"/>
      <c r="W449" s="94"/>
    </row>
    <row r="450" spans="1:23" ht="21" customHeight="1">
      <c r="A450">
        <f>Table4[[#This Row],[Column1]]</f>
        <v>0</v>
      </c>
      <c r="B450">
        <f>Table4[[#This Row],[Column2]]</f>
        <v>0</v>
      </c>
      <c r="C450" s="81"/>
      <c r="D450" s="82"/>
      <c r="E450" s="82"/>
      <c r="F450" s="81"/>
      <c r="G450" s="81"/>
      <c r="H450" s="81"/>
      <c r="I450" s="81"/>
      <c r="J450" s="81"/>
      <c r="K450" s="81"/>
      <c r="L450" s="81"/>
      <c r="M450" s="81"/>
      <c r="N450" s="81"/>
      <c r="O450" s="81"/>
      <c r="P450" s="81"/>
      <c r="Q450" s="81"/>
      <c r="R450" s="81"/>
      <c r="S450" s="81"/>
      <c r="T450" s="81"/>
      <c r="U450" s="81"/>
      <c r="V450" s="94"/>
      <c r="W450" s="94"/>
    </row>
    <row r="451" spans="1:23" ht="21" customHeight="1">
      <c r="A451">
        <f>Table4[[#This Row],[Column1]]</f>
        <v>0</v>
      </c>
      <c r="B451">
        <f>Table4[[#This Row],[Column2]]</f>
        <v>0</v>
      </c>
      <c r="C451" s="81"/>
      <c r="D451" s="82"/>
      <c r="E451" s="82"/>
      <c r="F451" s="81"/>
      <c r="G451" s="81"/>
      <c r="H451" s="81"/>
      <c r="I451" s="81"/>
      <c r="J451" s="81"/>
      <c r="K451" s="81"/>
      <c r="L451" s="81"/>
      <c r="M451" s="81"/>
      <c r="N451" s="81"/>
      <c r="O451" s="81"/>
      <c r="P451" s="81"/>
      <c r="Q451" s="81"/>
      <c r="R451" s="81"/>
      <c r="S451" s="81"/>
      <c r="T451" s="81"/>
      <c r="U451" s="81"/>
      <c r="V451" s="94"/>
      <c r="W451" s="94"/>
    </row>
    <row r="452" spans="1:23" ht="21" customHeight="1">
      <c r="A452">
        <f>Table4[[#This Row],[Column1]]</f>
        <v>0</v>
      </c>
      <c r="B452">
        <f>Table4[[#This Row],[Column2]]</f>
        <v>0</v>
      </c>
      <c r="C452" s="81"/>
      <c r="D452" s="82"/>
      <c r="E452" s="82"/>
      <c r="F452" s="81"/>
      <c r="G452" s="81"/>
      <c r="H452" s="81"/>
      <c r="I452" s="81"/>
      <c r="J452" s="81"/>
      <c r="K452" s="81"/>
      <c r="L452" s="81"/>
      <c r="M452" s="81"/>
      <c r="N452" s="81"/>
      <c r="O452" s="81"/>
      <c r="P452" s="81"/>
      <c r="Q452" s="81"/>
      <c r="R452" s="81"/>
      <c r="S452" s="81"/>
      <c r="T452" s="81"/>
      <c r="U452" s="81"/>
      <c r="V452" s="94"/>
      <c r="W452" s="94"/>
    </row>
    <row r="453" spans="1:23" ht="21" customHeight="1">
      <c r="A453">
        <f>Table4[[#This Row],[Column1]]</f>
        <v>0</v>
      </c>
      <c r="B453">
        <f>Table4[[#This Row],[Column2]]</f>
        <v>0</v>
      </c>
      <c r="C453" s="81"/>
      <c r="D453" s="82"/>
      <c r="E453" s="82"/>
      <c r="F453" s="81"/>
      <c r="G453" s="81"/>
      <c r="H453" s="81"/>
      <c r="I453" s="81"/>
      <c r="J453" s="81"/>
      <c r="K453" s="81"/>
      <c r="L453" s="81"/>
      <c r="M453" s="81"/>
      <c r="N453" s="81"/>
      <c r="O453" s="81"/>
      <c r="P453" s="81"/>
      <c r="Q453" s="81"/>
      <c r="R453" s="81"/>
      <c r="S453" s="81"/>
      <c r="T453" s="81"/>
      <c r="U453" s="81"/>
      <c r="V453" s="94"/>
      <c r="W453" s="94"/>
    </row>
    <row r="454" spans="1:23" ht="21" customHeight="1">
      <c r="A454">
        <f>Table4[[#This Row],[Column1]]</f>
        <v>0</v>
      </c>
      <c r="B454">
        <f>Table4[[#This Row],[Column2]]</f>
        <v>0</v>
      </c>
      <c r="C454" s="81"/>
      <c r="D454" s="82"/>
      <c r="E454" s="82"/>
      <c r="F454" s="81"/>
      <c r="G454" s="81"/>
      <c r="H454" s="81"/>
      <c r="I454" s="81"/>
      <c r="J454" s="81"/>
      <c r="K454" s="81"/>
      <c r="L454" s="81"/>
      <c r="M454" s="81"/>
      <c r="N454" s="81"/>
      <c r="O454" s="81"/>
      <c r="P454" s="81"/>
      <c r="Q454" s="81"/>
      <c r="R454" s="81"/>
      <c r="S454" s="81"/>
      <c r="T454" s="81"/>
      <c r="U454" s="81"/>
      <c r="V454" s="94"/>
      <c r="W454" s="94"/>
    </row>
    <row r="455" spans="1:23" ht="21" customHeight="1">
      <c r="A455">
        <f>Table4[[#This Row],[Column1]]</f>
        <v>0</v>
      </c>
      <c r="B455">
        <f>Table4[[#This Row],[Column2]]</f>
        <v>0</v>
      </c>
      <c r="C455" s="81"/>
      <c r="D455" s="82"/>
      <c r="E455" s="82"/>
      <c r="F455" s="81"/>
      <c r="G455" s="81"/>
      <c r="H455" s="81"/>
      <c r="I455" s="81"/>
      <c r="J455" s="81"/>
      <c r="K455" s="81"/>
      <c r="L455" s="81"/>
      <c r="M455" s="81"/>
      <c r="N455" s="81"/>
      <c r="O455" s="81"/>
      <c r="P455" s="81"/>
      <c r="Q455" s="81"/>
      <c r="R455" s="81"/>
      <c r="S455" s="81"/>
      <c r="T455" s="81"/>
      <c r="U455" s="81"/>
      <c r="V455" s="94"/>
      <c r="W455" s="94"/>
    </row>
    <row r="456" spans="1:23" ht="21" customHeight="1">
      <c r="A456">
        <f>Table4[[#This Row],[Column1]]</f>
        <v>0</v>
      </c>
      <c r="B456">
        <f>Table4[[#This Row],[Column2]]</f>
        <v>0</v>
      </c>
      <c r="C456" s="81"/>
      <c r="D456" s="82"/>
      <c r="E456" s="82"/>
      <c r="F456" s="81"/>
      <c r="G456" s="81"/>
      <c r="H456" s="81"/>
      <c r="I456" s="81"/>
      <c r="J456" s="81"/>
      <c r="K456" s="81"/>
      <c r="L456" s="81"/>
      <c r="M456" s="81"/>
      <c r="N456" s="81"/>
      <c r="O456" s="81"/>
      <c r="P456" s="81"/>
      <c r="Q456" s="81"/>
      <c r="R456" s="81"/>
      <c r="S456" s="81"/>
      <c r="T456" s="81"/>
      <c r="U456" s="81"/>
      <c r="V456" s="94"/>
      <c r="W456" s="94"/>
    </row>
    <row r="457" spans="1:23" ht="21" customHeight="1">
      <c r="A457">
        <f>Table4[[#This Row],[Column1]]</f>
        <v>0</v>
      </c>
      <c r="B457">
        <f>Table4[[#This Row],[Column2]]</f>
        <v>0</v>
      </c>
      <c r="C457" s="81"/>
      <c r="D457" s="82"/>
      <c r="E457" s="82"/>
      <c r="F457" s="81"/>
      <c r="G457" s="81"/>
      <c r="H457" s="81"/>
      <c r="I457" s="81"/>
      <c r="J457" s="81"/>
      <c r="K457" s="81"/>
      <c r="L457" s="81"/>
      <c r="M457" s="81"/>
      <c r="N457" s="81"/>
      <c r="O457" s="81"/>
      <c r="P457" s="81"/>
      <c r="Q457" s="81"/>
      <c r="R457" s="81"/>
      <c r="S457" s="81"/>
      <c r="T457" s="81"/>
      <c r="U457" s="81"/>
      <c r="V457" s="94"/>
      <c r="W457" s="94"/>
    </row>
    <row r="458" spans="1:23" ht="21" customHeight="1">
      <c r="A458">
        <f>Table4[[#This Row],[Column1]]</f>
        <v>0</v>
      </c>
      <c r="B458">
        <f>Table4[[#This Row],[Column2]]</f>
        <v>0</v>
      </c>
      <c r="C458" s="81"/>
      <c r="D458" s="82"/>
      <c r="E458" s="82"/>
      <c r="F458" s="81"/>
      <c r="G458" s="81"/>
      <c r="H458" s="81"/>
      <c r="I458" s="81"/>
      <c r="J458" s="81"/>
      <c r="K458" s="81"/>
      <c r="L458" s="81"/>
      <c r="M458" s="81"/>
      <c r="N458" s="81"/>
      <c r="O458" s="81"/>
      <c r="P458" s="81"/>
      <c r="Q458" s="81"/>
      <c r="R458" s="81"/>
      <c r="S458" s="81"/>
      <c r="T458" s="81"/>
      <c r="U458" s="81"/>
      <c r="V458" s="94"/>
      <c r="W458" s="94"/>
    </row>
    <row r="459" spans="1:23" ht="21" customHeight="1">
      <c r="A459">
        <f>Table4[[#This Row],[Column1]]</f>
        <v>0</v>
      </c>
      <c r="B459">
        <f>Table4[[#This Row],[Column2]]</f>
        <v>0</v>
      </c>
      <c r="C459" s="81"/>
      <c r="D459" s="82"/>
      <c r="E459" s="82"/>
      <c r="F459" s="81"/>
      <c r="G459" s="81"/>
      <c r="H459" s="81"/>
      <c r="I459" s="81"/>
      <c r="J459" s="81"/>
      <c r="K459" s="81"/>
      <c r="L459" s="81"/>
      <c r="M459" s="81"/>
      <c r="N459" s="81"/>
      <c r="O459" s="81"/>
      <c r="P459" s="81"/>
      <c r="Q459" s="81"/>
      <c r="R459" s="81"/>
      <c r="S459" s="81"/>
      <c r="T459" s="81"/>
      <c r="U459" s="81"/>
      <c r="V459" s="94"/>
      <c r="W459" s="94"/>
    </row>
    <row r="460" spans="1:23" ht="21" customHeight="1">
      <c r="A460">
        <f>Table4[[#This Row],[Column1]]</f>
        <v>0</v>
      </c>
      <c r="B460">
        <f>Table4[[#This Row],[Column2]]</f>
        <v>0</v>
      </c>
      <c r="C460" s="81"/>
      <c r="D460" s="82"/>
      <c r="E460" s="82"/>
      <c r="F460" s="81"/>
      <c r="G460" s="81"/>
      <c r="H460" s="81"/>
      <c r="I460" s="81"/>
      <c r="J460" s="81"/>
      <c r="K460" s="81"/>
      <c r="L460" s="81"/>
      <c r="M460" s="81"/>
      <c r="N460" s="81"/>
      <c r="O460" s="81"/>
      <c r="P460" s="81"/>
      <c r="Q460" s="81"/>
      <c r="R460" s="81"/>
      <c r="S460" s="81"/>
      <c r="T460" s="81"/>
      <c r="U460" s="81"/>
      <c r="V460" s="94"/>
      <c r="W460" s="94"/>
    </row>
    <row r="461" spans="1:23" ht="21" customHeight="1">
      <c r="A461">
        <f>Table4[[#This Row],[Column1]]</f>
        <v>0</v>
      </c>
      <c r="B461">
        <f>Table4[[#This Row],[Column2]]</f>
        <v>0</v>
      </c>
      <c r="C461" s="81"/>
      <c r="D461" s="82"/>
      <c r="E461" s="82"/>
      <c r="F461" s="81"/>
      <c r="G461" s="81"/>
      <c r="H461" s="81"/>
      <c r="I461" s="81"/>
      <c r="J461" s="81"/>
      <c r="K461" s="81"/>
      <c r="L461" s="81"/>
      <c r="M461" s="81"/>
      <c r="N461" s="81"/>
      <c r="O461" s="81"/>
      <c r="P461" s="81"/>
      <c r="Q461" s="81"/>
      <c r="R461" s="81"/>
      <c r="S461" s="81"/>
      <c r="T461" s="81"/>
      <c r="U461" s="81"/>
      <c r="V461" s="94"/>
      <c r="W461" s="94"/>
    </row>
    <row r="462" spans="1:23" ht="21" customHeight="1">
      <c r="A462">
        <f>Table4[[#This Row],[Column1]]</f>
        <v>0</v>
      </c>
      <c r="B462">
        <f>Table4[[#This Row],[Column2]]</f>
        <v>0</v>
      </c>
      <c r="C462" s="81"/>
      <c r="D462" s="82"/>
      <c r="E462" s="82"/>
      <c r="F462" s="81"/>
      <c r="G462" s="81"/>
      <c r="H462" s="81"/>
      <c r="I462" s="81"/>
      <c r="J462" s="81"/>
      <c r="K462" s="81"/>
      <c r="L462" s="81"/>
      <c r="M462" s="81"/>
      <c r="N462" s="81"/>
      <c r="O462" s="81"/>
      <c r="P462" s="81"/>
      <c r="Q462" s="81"/>
      <c r="R462" s="81"/>
      <c r="S462" s="81"/>
      <c r="T462" s="81"/>
      <c r="U462" s="81"/>
      <c r="V462" s="94"/>
      <c r="W462" s="94"/>
    </row>
    <row r="463" spans="1:23" ht="21" customHeight="1">
      <c r="A463">
        <f>Table4[[#This Row],[Column1]]</f>
        <v>0</v>
      </c>
      <c r="B463">
        <f>Table4[[#This Row],[Column2]]</f>
        <v>0</v>
      </c>
      <c r="C463" s="81"/>
      <c r="D463" s="82"/>
      <c r="E463" s="82"/>
      <c r="F463" s="81"/>
      <c r="G463" s="81"/>
      <c r="H463" s="81"/>
      <c r="I463" s="81"/>
      <c r="J463" s="81"/>
      <c r="K463" s="81"/>
      <c r="L463" s="81"/>
      <c r="M463" s="81"/>
      <c r="N463" s="81"/>
      <c r="O463" s="81"/>
      <c r="P463" s="81"/>
      <c r="Q463" s="81"/>
      <c r="R463" s="81"/>
      <c r="S463" s="81"/>
      <c r="T463" s="81"/>
      <c r="U463" s="81"/>
      <c r="V463" s="94"/>
      <c r="W463" s="94"/>
    </row>
    <row r="464" spans="1:23" ht="21" customHeight="1">
      <c r="A464">
        <f>Table4[[#This Row],[Column1]]</f>
        <v>0</v>
      </c>
      <c r="B464">
        <f>Table4[[#This Row],[Column2]]</f>
        <v>0</v>
      </c>
      <c r="C464" s="81"/>
      <c r="D464" s="82"/>
      <c r="E464" s="82"/>
      <c r="F464" s="81"/>
      <c r="G464" s="81"/>
      <c r="H464" s="81"/>
      <c r="I464" s="81"/>
      <c r="J464" s="81"/>
      <c r="K464" s="81"/>
      <c r="L464" s="81"/>
      <c r="M464" s="81"/>
      <c r="N464" s="81"/>
      <c r="O464" s="81"/>
      <c r="P464" s="81"/>
      <c r="Q464" s="81"/>
      <c r="R464" s="81"/>
      <c r="S464" s="81"/>
      <c r="T464" s="81"/>
      <c r="U464" s="81"/>
      <c r="V464" s="94"/>
      <c r="W464" s="94"/>
    </row>
    <row r="465" spans="1:23" ht="21" customHeight="1">
      <c r="A465">
        <f>Table4[[#This Row],[Column1]]</f>
        <v>0</v>
      </c>
      <c r="B465">
        <f>Table4[[#This Row],[Column2]]</f>
        <v>0</v>
      </c>
      <c r="C465" s="81"/>
      <c r="D465" s="82"/>
      <c r="E465" s="82"/>
      <c r="F465" s="81"/>
      <c r="G465" s="81"/>
      <c r="H465" s="81"/>
      <c r="I465" s="81"/>
      <c r="J465" s="81"/>
      <c r="K465" s="81"/>
      <c r="L465" s="81"/>
      <c r="M465" s="81"/>
      <c r="N465" s="81"/>
      <c r="O465" s="81"/>
      <c r="P465" s="81"/>
      <c r="Q465" s="81"/>
      <c r="R465" s="81"/>
      <c r="S465" s="81"/>
      <c r="T465" s="81"/>
      <c r="U465" s="81"/>
      <c r="V465" s="94"/>
      <c r="W465" s="94"/>
    </row>
    <row r="466" spans="1:23" ht="21" customHeight="1">
      <c r="A466">
        <f>Table4[[#This Row],[Column1]]</f>
        <v>0</v>
      </c>
      <c r="B466">
        <f>Table4[[#This Row],[Column2]]</f>
        <v>0</v>
      </c>
      <c r="C466" s="81"/>
      <c r="D466" s="82"/>
      <c r="E466" s="82"/>
      <c r="F466" s="81"/>
      <c r="G466" s="81"/>
      <c r="H466" s="81"/>
      <c r="I466" s="81"/>
      <c r="J466" s="81"/>
      <c r="K466" s="81"/>
      <c r="L466" s="81"/>
      <c r="M466" s="81"/>
      <c r="N466" s="81"/>
      <c r="O466" s="81"/>
      <c r="P466" s="81"/>
      <c r="Q466" s="81"/>
      <c r="R466" s="81"/>
      <c r="S466" s="81"/>
      <c r="T466" s="81"/>
      <c r="U466" s="81"/>
      <c r="V466" s="94"/>
      <c r="W466" s="94"/>
    </row>
    <row r="467" spans="1:23" ht="21" customHeight="1">
      <c r="A467">
        <f>Table4[[#This Row],[Column1]]</f>
        <v>0</v>
      </c>
      <c r="B467">
        <f>Table4[[#This Row],[Column2]]</f>
        <v>0</v>
      </c>
      <c r="C467" s="81"/>
      <c r="D467" s="82"/>
      <c r="E467" s="82"/>
      <c r="F467" s="81"/>
      <c r="G467" s="81"/>
      <c r="H467" s="81"/>
      <c r="I467" s="81"/>
      <c r="J467" s="81"/>
      <c r="K467" s="81"/>
      <c r="L467" s="81"/>
      <c r="M467" s="81"/>
      <c r="N467" s="81"/>
      <c r="O467" s="81"/>
      <c r="P467" s="81"/>
      <c r="Q467" s="81"/>
      <c r="R467" s="81"/>
      <c r="S467" s="81"/>
      <c r="T467" s="81"/>
      <c r="U467" s="81"/>
      <c r="V467" s="94"/>
      <c r="W467" s="94"/>
    </row>
    <row r="468" spans="1:23" ht="21" customHeight="1">
      <c r="A468">
        <f>Table4[[#This Row],[Column1]]</f>
        <v>0</v>
      </c>
      <c r="B468">
        <f>Table4[[#This Row],[Column2]]</f>
        <v>0</v>
      </c>
      <c r="C468" s="81"/>
      <c r="D468" s="82"/>
      <c r="E468" s="82"/>
      <c r="F468" s="81"/>
      <c r="G468" s="81"/>
      <c r="H468" s="81"/>
      <c r="I468" s="81"/>
      <c r="J468" s="81"/>
      <c r="K468" s="81"/>
      <c r="L468" s="81"/>
      <c r="M468" s="81"/>
      <c r="N468" s="81"/>
      <c r="O468" s="81"/>
      <c r="P468" s="81"/>
      <c r="Q468" s="81"/>
      <c r="R468" s="81"/>
      <c r="S468" s="81"/>
      <c r="T468" s="81"/>
      <c r="U468" s="81"/>
      <c r="V468" s="94"/>
      <c r="W468" s="94"/>
    </row>
    <row r="469" spans="1:23" ht="21" customHeight="1">
      <c r="A469">
        <f>Table4[[#This Row],[Column1]]</f>
        <v>0</v>
      </c>
      <c r="B469">
        <f>Table4[[#This Row],[Column2]]</f>
        <v>0</v>
      </c>
      <c r="C469" s="81"/>
      <c r="D469" s="82"/>
      <c r="E469" s="82"/>
      <c r="F469" s="81"/>
      <c r="G469" s="81"/>
      <c r="H469" s="81"/>
      <c r="I469" s="81"/>
      <c r="J469" s="81"/>
      <c r="K469" s="81"/>
      <c r="L469" s="81"/>
      <c r="M469" s="81"/>
      <c r="N469" s="81"/>
      <c r="O469" s="81"/>
      <c r="P469" s="81"/>
      <c r="Q469" s="81"/>
      <c r="R469" s="81"/>
      <c r="S469" s="81"/>
      <c r="T469" s="81"/>
      <c r="U469" s="81"/>
      <c r="V469" s="94"/>
      <c r="W469" s="94"/>
    </row>
    <row r="470" spans="1:23" ht="21" customHeight="1">
      <c r="A470">
        <f>Table4[[#This Row],[Column1]]</f>
        <v>0</v>
      </c>
      <c r="B470">
        <f>Table4[[#This Row],[Column2]]</f>
        <v>0</v>
      </c>
      <c r="C470" s="81"/>
      <c r="D470" s="82"/>
      <c r="E470" s="82"/>
      <c r="F470" s="81"/>
      <c r="G470" s="81"/>
      <c r="H470" s="81"/>
      <c r="I470" s="81"/>
      <c r="J470" s="81"/>
      <c r="K470" s="81"/>
      <c r="L470" s="81"/>
      <c r="M470" s="81"/>
      <c r="N470" s="81"/>
      <c r="O470" s="81"/>
      <c r="P470" s="81"/>
      <c r="Q470" s="81"/>
      <c r="R470" s="81"/>
      <c r="S470" s="81"/>
      <c r="T470" s="81"/>
      <c r="U470" s="81"/>
      <c r="V470" s="94"/>
      <c r="W470" s="94"/>
    </row>
    <row r="471" spans="1:23" ht="21" customHeight="1">
      <c r="A471">
        <f>Table4[[#This Row],[Column1]]</f>
        <v>0</v>
      </c>
      <c r="B471">
        <f>Table4[[#This Row],[Column2]]</f>
        <v>0</v>
      </c>
      <c r="C471" s="81"/>
      <c r="D471" s="82"/>
      <c r="E471" s="82"/>
      <c r="F471" s="81"/>
      <c r="G471" s="81"/>
      <c r="H471" s="81"/>
      <c r="I471" s="81"/>
      <c r="J471" s="81"/>
      <c r="K471" s="81"/>
      <c r="L471" s="81"/>
      <c r="M471" s="81"/>
      <c r="N471" s="81"/>
      <c r="O471" s="81"/>
      <c r="P471" s="81"/>
      <c r="Q471" s="81"/>
      <c r="R471" s="81"/>
      <c r="S471" s="81"/>
      <c r="T471" s="81"/>
      <c r="U471" s="81"/>
      <c r="V471" s="94"/>
      <c r="W471" s="94"/>
    </row>
    <row r="472" spans="1:23" ht="21" customHeight="1">
      <c r="A472">
        <f>Table4[[#This Row],[Column1]]</f>
        <v>0</v>
      </c>
      <c r="B472">
        <f>Table4[[#This Row],[Column2]]</f>
        <v>0</v>
      </c>
      <c r="C472" s="81"/>
      <c r="D472" s="82"/>
      <c r="E472" s="82"/>
      <c r="F472" s="81"/>
      <c r="G472" s="81"/>
      <c r="H472" s="81"/>
      <c r="I472" s="81"/>
      <c r="J472" s="81"/>
      <c r="K472" s="81"/>
      <c r="L472" s="81"/>
      <c r="M472" s="81"/>
      <c r="N472" s="81"/>
      <c r="O472" s="81"/>
      <c r="P472" s="81"/>
      <c r="Q472" s="81"/>
      <c r="R472" s="81"/>
      <c r="S472" s="81"/>
      <c r="T472" s="81"/>
      <c r="U472" s="81"/>
      <c r="V472" s="94"/>
      <c r="W472" s="94"/>
    </row>
    <row r="473" spans="1:23" ht="21" customHeight="1">
      <c r="A473">
        <f>Table4[[#This Row],[Column1]]</f>
        <v>0</v>
      </c>
      <c r="B473">
        <f>Table4[[#This Row],[Column2]]</f>
        <v>0</v>
      </c>
      <c r="C473" s="81"/>
      <c r="D473" s="82"/>
      <c r="E473" s="82"/>
      <c r="F473" s="81"/>
      <c r="G473" s="81"/>
      <c r="H473" s="81"/>
      <c r="I473" s="81"/>
      <c r="J473" s="81"/>
      <c r="K473" s="81"/>
      <c r="L473" s="81"/>
      <c r="M473" s="81"/>
      <c r="N473" s="81"/>
      <c r="O473" s="81"/>
      <c r="P473" s="81"/>
      <c r="Q473" s="81"/>
      <c r="R473" s="81"/>
      <c r="S473" s="81"/>
      <c r="T473" s="81"/>
      <c r="U473" s="81"/>
      <c r="V473" s="94"/>
      <c r="W473" s="94"/>
    </row>
    <row r="474" spans="1:23" ht="21" customHeight="1">
      <c r="A474">
        <f>Table4[[#This Row],[Column1]]</f>
        <v>0</v>
      </c>
      <c r="B474">
        <f>Table4[[#This Row],[Column2]]</f>
        <v>0</v>
      </c>
      <c r="C474" s="81"/>
      <c r="D474" s="82"/>
      <c r="E474" s="82"/>
      <c r="F474" s="81"/>
      <c r="G474" s="81"/>
      <c r="H474" s="81"/>
      <c r="I474" s="81"/>
      <c r="J474" s="81"/>
      <c r="K474" s="81"/>
      <c r="L474" s="81"/>
      <c r="M474" s="81"/>
      <c r="N474" s="81"/>
      <c r="O474" s="81"/>
      <c r="P474" s="81"/>
      <c r="Q474" s="81"/>
      <c r="R474" s="81"/>
      <c r="S474" s="81"/>
      <c r="T474" s="81"/>
      <c r="U474" s="81"/>
      <c r="V474" s="94"/>
      <c r="W474" s="94"/>
    </row>
    <row r="475" spans="1:23" ht="21" customHeight="1">
      <c r="A475">
        <f>Table4[[#This Row],[Column1]]</f>
        <v>0</v>
      </c>
      <c r="B475">
        <f>Table4[[#This Row],[Column2]]</f>
        <v>0</v>
      </c>
      <c r="C475" s="81"/>
      <c r="D475" s="82"/>
      <c r="E475" s="82"/>
      <c r="F475" s="81"/>
      <c r="G475" s="81"/>
      <c r="H475" s="81"/>
      <c r="I475" s="81"/>
      <c r="J475" s="81"/>
      <c r="K475" s="81"/>
      <c r="L475" s="81"/>
      <c r="M475" s="81"/>
      <c r="N475" s="81"/>
      <c r="O475" s="81"/>
      <c r="P475" s="81"/>
      <c r="Q475" s="81"/>
      <c r="R475" s="81"/>
      <c r="S475" s="81"/>
      <c r="T475" s="81"/>
      <c r="U475" s="81"/>
      <c r="V475" s="94"/>
      <c r="W475" s="94"/>
    </row>
    <row r="476" spans="1:23" ht="21" customHeight="1">
      <c r="A476">
        <f>Table4[[#This Row],[Column1]]</f>
        <v>0</v>
      </c>
      <c r="B476">
        <f>Table4[[#This Row],[Column2]]</f>
        <v>0</v>
      </c>
      <c r="C476" s="81"/>
      <c r="D476" s="82"/>
      <c r="E476" s="82"/>
      <c r="F476" s="81"/>
      <c r="G476" s="81"/>
      <c r="H476" s="81"/>
      <c r="I476" s="81"/>
      <c r="J476" s="81"/>
      <c r="K476" s="81"/>
      <c r="L476" s="81"/>
      <c r="M476" s="81"/>
      <c r="N476" s="81"/>
      <c r="O476" s="81"/>
      <c r="P476" s="81"/>
      <c r="Q476" s="81"/>
      <c r="R476" s="81"/>
      <c r="S476" s="81"/>
      <c r="T476" s="81"/>
      <c r="U476" s="81"/>
      <c r="V476" s="94"/>
      <c r="W476" s="94"/>
    </row>
    <row r="477" spans="1:23" ht="21" customHeight="1">
      <c r="A477">
        <f>Table4[[#This Row],[Column1]]</f>
        <v>0</v>
      </c>
      <c r="B477">
        <f>Table4[[#This Row],[Column2]]</f>
        <v>0</v>
      </c>
      <c r="C477" s="81"/>
      <c r="D477" s="82"/>
      <c r="E477" s="82"/>
      <c r="F477" s="81"/>
      <c r="G477" s="81"/>
      <c r="H477" s="81"/>
      <c r="I477" s="81"/>
      <c r="J477" s="81"/>
      <c r="K477" s="81"/>
      <c r="L477" s="81"/>
      <c r="M477" s="81"/>
      <c r="N477" s="81"/>
      <c r="O477" s="81"/>
      <c r="P477" s="81"/>
      <c r="Q477" s="81"/>
      <c r="R477" s="81"/>
      <c r="S477" s="81"/>
      <c r="T477" s="81"/>
      <c r="U477" s="81"/>
      <c r="V477" s="94"/>
      <c r="W477" s="94"/>
    </row>
    <row r="478" spans="1:23" ht="21" customHeight="1">
      <c r="A478">
        <f>Table4[[#This Row],[Column1]]</f>
        <v>0</v>
      </c>
      <c r="B478">
        <f>Table4[[#This Row],[Column2]]</f>
        <v>0</v>
      </c>
      <c r="C478" s="81"/>
      <c r="D478" s="82"/>
      <c r="E478" s="82"/>
      <c r="F478" s="81"/>
      <c r="G478" s="81"/>
      <c r="H478" s="81"/>
      <c r="I478" s="81"/>
      <c r="J478" s="81"/>
      <c r="K478" s="81"/>
      <c r="L478" s="81"/>
      <c r="M478" s="81"/>
      <c r="N478" s="81"/>
      <c r="O478" s="81"/>
      <c r="P478" s="81"/>
      <c r="Q478" s="81"/>
      <c r="R478" s="81"/>
      <c r="S478" s="81"/>
      <c r="T478" s="81"/>
      <c r="U478" s="81"/>
      <c r="V478" s="94"/>
      <c r="W478" s="94"/>
    </row>
    <row r="479" spans="1:23" ht="21" customHeight="1">
      <c r="A479">
        <f>Table4[[#This Row],[Column1]]</f>
        <v>0</v>
      </c>
      <c r="B479">
        <f>Table4[[#This Row],[Column2]]</f>
        <v>0</v>
      </c>
      <c r="C479" s="81"/>
      <c r="D479" s="82"/>
      <c r="E479" s="82"/>
      <c r="F479" s="81"/>
      <c r="G479" s="81"/>
      <c r="H479" s="81"/>
      <c r="I479" s="81"/>
      <c r="J479" s="81"/>
      <c r="K479" s="81"/>
      <c r="L479" s="81"/>
      <c r="M479" s="81"/>
      <c r="N479" s="81"/>
      <c r="O479" s="81"/>
      <c r="P479" s="81"/>
      <c r="Q479" s="81"/>
      <c r="R479" s="81"/>
      <c r="S479" s="81"/>
      <c r="T479" s="81"/>
      <c r="U479" s="81"/>
      <c r="V479" s="94"/>
      <c r="W479" s="94"/>
    </row>
    <row r="480" spans="1:23" ht="21" customHeight="1">
      <c r="A480">
        <f>Table4[[#This Row],[Column1]]</f>
        <v>0</v>
      </c>
      <c r="B480">
        <f>Table4[[#This Row],[Column2]]</f>
        <v>0</v>
      </c>
      <c r="C480" s="81"/>
      <c r="D480" s="82"/>
      <c r="E480" s="82"/>
      <c r="F480" s="81"/>
      <c r="G480" s="81"/>
      <c r="H480" s="81"/>
      <c r="I480" s="81"/>
      <c r="J480" s="81"/>
      <c r="K480" s="81"/>
      <c r="L480" s="81"/>
      <c r="M480" s="81"/>
      <c r="N480" s="81"/>
      <c r="O480" s="81"/>
      <c r="P480" s="81"/>
      <c r="Q480" s="81"/>
      <c r="R480" s="81"/>
      <c r="S480" s="81"/>
      <c r="T480" s="81"/>
      <c r="U480" s="81"/>
      <c r="V480" s="94"/>
      <c r="W480" s="94"/>
    </row>
    <row r="481" spans="1:23" ht="21" customHeight="1">
      <c r="A481">
        <f>Table4[[#This Row],[Column1]]</f>
        <v>0</v>
      </c>
      <c r="B481">
        <f>Table4[[#This Row],[Column2]]</f>
        <v>0</v>
      </c>
      <c r="C481" s="81"/>
      <c r="D481" s="82"/>
      <c r="E481" s="82"/>
      <c r="F481" s="81"/>
      <c r="G481" s="81"/>
      <c r="H481" s="81"/>
      <c r="I481" s="81"/>
      <c r="J481" s="81"/>
      <c r="K481" s="81"/>
      <c r="L481" s="81"/>
      <c r="M481" s="81"/>
      <c r="N481" s="81"/>
      <c r="O481" s="81"/>
      <c r="P481" s="81"/>
      <c r="Q481" s="81"/>
      <c r="R481" s="81"/>
      <c r="S481" s="81"/>
      <c r="T481" s="81"/>
      <c r="U481" s="81"/>
      <c r="V481" s="94"/>
      <c r="W481" s="94"/>
    </row>
    <row r="482" spans="1:23" ht="21" customHeight="1">
      <c r="A482">
        <f>Table4[[#This Row],[Column1]]</f>
        <v>0</v>
      </c>
      <c r="B482">
        <f>Table4[[#This Row],[Column2]]</f>
        <v>0</v>
      </c>
      <c r="C482" s="81"/>
      <c r="D482" s="82"/>
      <c r="E482" s="82"/>
      <c r="F482" s="81"/>
      <c r="G482" s="81"/>
      <c r="H482" s="81"/>
      <c r="I482" s="81"/>
      <c r="J482" s="81"/>
      <c r="K482" s="81"/>
      <c r="L482" s="81"/>
      <c r="M482" s="81"/>
      <c r="N482" s="81"/>
      <c r="O482" s="81"/>
      <c r="P482" s="81"/>
      <c r="Q482" s="81"/>
      <c r="R482" s="81"/>
      <c r="S482" s="81"/>
      <c r="T482" s="81"/>
      <c r="U482" s="81"/>
      <c r="V482" s="94"/>
      <c r="W482" s="94"/>
    </row>
    <row r="483" spans="1:23" ht="21" customHeight="1">
      <c r="A483">
        <f>Table4[[#This Row],[Column1]]</f>
        <v>0</v>
      </c>
      <c r="B483">
        <f>Table4[[#This Row],[Column2]]</f>
        <v>0</v>
      </c>
      <c r="C483" s="81"/>
      <c r="D483" s="82"/>
      <c r="E483" s="82"/>
      <c r="F483" s="81"/>
      <c r="G483" s="81"/>
      <c r="H483" s="81"/>
      <c r="I483" s="81"/>
      <c r="J483" s="81"/>
      <c r="K483" s="81"/>
      <c r="L483" s="81"/>
      <c r="M483" s="81"/>
      <c r="N483" s="81"/>
      <c r="O483" s="81"/>
      <c r="P483" s="81"/>
      <c r="Q483" s="81"/>
      <c r="R483" s="81"/>
      <c r="S483" s="81"/>
      <c r="T483" s="81"/>
      <c r="U483" s="81"/>
      <c r="V483" s="94"/>
      <c r="W483" s="94"/>
    </row>
    <row r="484" spans="1:23" ht="21" customHeight="1">
      <c r="A484">
        <f>Table4[[#This Row],[Column1]]</f>
        <v>0</v>
      </c>
      <c r="B484">
        <f>Table4[[#This Row],[Column2]]</f>
        <v>0</v>
      </c>
      <c r="C484" s="81"/>
      <c r="D484" s="82"/>
      <c r="E484" s="82"/>
      <c r="F484" s="81"/>
      <c r="G484" s="81"/>
      <c r="H484" s="81"/>
      <c r="I484" s="81"/>
      <c r="J484" s="81"/>
      <c r="K484" s="81"/>
      <c r="L484" s="81"/>
      <c r="M484" s="81"/>
      <c r="N484" s="81"/>
      <c r="O484" s="81"/>
      <c r="P484" s="81"/>
      <c r="Q484" s="81"/>
      <c r="R484" s="81"/>
      <c r="S484" s="81"/>
      <c r="T484" s="81"/>
      <c r="U484" s="81"/>
      <c r="V484" s="94"/>
      <c r="W484" s="94"/>
    </row>
    <row r="485" spans="1:23" ht="21" customHeight="1">
      <c r="A485">
        <f>Table4[[#This Row],[Column1]]</f>
        <v>0</v>
      </c>
      <c r="B485">
        <f>Table4[[#This Row],[Column2]]</f>
        <v>0</v>
      </c>
      <c r="C485" s="81"/>
      <c r="D485" s="82"/>
      <c r="E485" s="82"/>
      <c r="F485" s="81"/>
      <c r="G485" s="81"/>
      <c r="H485" s="81"/>
      <c r="I485" s="81"/>
      <c r="J485" s="81"/>
      <c r="K485" s="81"/>
      <c r="L485" s="81"/>
      <c r="M485" s="81"/>
      <c r="N485" s="81"/>
      <c r="O485" s="81"/>
      <c r="P485" s="81"/>
      <c r="Q485" s="81"/>
      <c r="R485" s="81"/>
      <c r="S485" s="81"/>
      <c r="T485" s="81"/>
      <c r="U485" s="81"/>
      <c r="V485" s="94"/>
      <c r="W485" s="94"/>
    </row>
    <row r="486" spans="1:23" ht="21" customHeight="1">
      <c r="A486">
        <f>Table4[[#This Row],[Column1]]</f>
        <v>0</v>
      </c>
      <c r="B486">
        <f>Table4[[#This Row],[Column2]]</f>
        <v>0</v>
      </c>
      <c r="C486" s="81"/>
      <c r="D486" s="82"/>
      <c r="E486" s="82"/>
      <c r="F486" s="81"/>
      <c r="G486" s="81"/>
      <c r="H486" s="81"/>
      <c r="I486" s="81"/>
      <c r="J486" s="81"/>
      <c r="K486" s="81"/>
      <c r="L486" s="81"/>
      <c r="M486" s="81"/>
      <c r="N486" s="81"/>
      <c r="O486" s="81"/>
      <c r="P486" s="81"/>
      <c r="Q486" s="81"/>
      <c r="R486" s="81"/>
      <c r="S486" s="81"/>
      <c r="T486" s="81"/>
      <c r="U486" s="81"/>
      <c r="V486" s="94"/>
      <c r="W486" s="94"/>
    </row>
    <row r="487" spans="1:23" ht="21" customHeight="1">
      <c r="A487">
        <f>Table4[[#This Row],[Column1]]</f>
        <v>0</v>
      </c>
      <c r="B487">
        <f>Table4[[#This Row],[Column2]]</f>
        <v>0</v>
      </c>
      <c r="C487" s="81"/>
      <c r="D487" s="82"/>
      <c r="E487" s="82"/>
      <c r="F487" s="81"/>
      <c r="G487" s="81"/>
      <c r="H487" s="81"/>
      <c r="I487" s="81"/>
      <c r="J487" s="81"/>
      <c r="K487" s="81"/>
      <c r="L487" s="81"/>
      <c r="M487" s="81"/>
      <c r="N487" s="81"/>
      <c r="O487" s="81"/>
      <c r="P487" s="81"/>
      <c r="Q487" s="81"/>
      <c r="R487" s="81"/>
      <c r="S487" s="81"/>
      <c r="T487" s="81"/>
      <c r="U487" s="81"/>
      <c r="V487" s="94"/>
      <c r="W487" s="94"/>
    </row>
    <row r="488" spans="1:23" ht="21" customHeight="1">
      <c r="A488">
        <f>Table4[[#This Row],[Column1]]</f>
        <v>0</v>
      </c>
      <c r="B488">
        <f>Table4[[#This Row],[Column2]]</f>
        <v>0</v>
      </c>
      <c r="C488" s="81"/>
      <c r="D488" s="82"/>
      <c r="E488" s="82"/>
      <c r="F488" s="81"/>
      <c r="G488" s="81"/>
      <c r="H488" s="81"/>
      <c r="I488" s="81"/>
      <c r="J488" s="81"/>
      <c r="K488" s="81"/>
      <c r="L488" s="81"/>
      <c r="M488" s="81"/>
      <c r="N488" s="81"/>
      <c r="O488" s="81"/>
      <c r="P488" s="81"/>
      <c r="Q488" s="81"/>
      <c r="R488" s="81"/>
      <c r="S488" s="81"/>
      <c r="T488" s="81"/>
      <c r="U488" s="81"/>
      <c r="V488" s="94"/>
      <c r="W488" s="94"/>
    </row>
    <row r="489" spans="1:23" ht="21" customHeight="1">
      <c r="A489">
        <f>Table4[[#This Row],[Column1]]</f>
        <v>0</v>
      </c>
      <c r="B489">
        <f>Table4[[#This Row],[Column2]]</f>
        <v>0</v>
      </c>
      <c r="C489" s="81"/>
      <c r="D489" s="82"/>
      <c r="E489" s="82"/>
      <c r="F489" s="81"/>
      <c r="G489" s="81"/>
      <c r="H489" s="81"/>
      <c r="I489" s="81"/>
      <c r="J489" s="81"/>
      <c r="K489" s="81"/>
      <c r="L489" s="81"/>
      <c r="M489" s="81"/>
      <c r="N489" s="81"/>
      <c r="O489" s="81"/>
      <c r="P489" s="81"/>
      <c r="Q489" s="81"/>
      <c r="R489" s="81"/>
      <c r="S489" s="81"/>
      <c r="T489" s="81"/>
      <c r="U489" s="81"/>
      <c r="V489" s="94"/>
      <c r="W489" s="94"/>
    </row>
    <row r="490" spans="1:23" ht="21" customHeight="1">
      <c r="A490">
        <f>Table4[[#This Row],[Column1]]</f>
        <v>0</v>
      </c>
      <c r="B490">
        <f>Table4[[#This Row],[Column2]]</f>
        <v>0</v>
      </c>
      <c r="C490" s="81"/>
      <c r="D490" s="82"/>
      <c r="E490" s="82"/>
      <c r="F490" s="81"/>
      <c r="G490" s="81"/>
      <c r="H490" s="81"/>
      <c r="I490" s="81"/>
      <c r="J490" s="81"/>
      <c r="K490" s="81"/>
      <c r="L490" s="81"/>
      <c r="M490" s="81"/>
      <c r="N490" s="81"/>
      <c r="O490" s="81"/>
      <c r="P490" s="81"/>
      <c r="Q490" s="81"/>
      <c r="R490" s="81"/>
      <c r="S490" s="81"/>
      <c r="T490" s="81"/>
      <c r="U490" s="81"/>
      <c r="V490" s="94"/>
      <c r="W490" s="94"/>
    </row>
    <row r="491" spans="1:23" ht="21" customHeight="1">
      <c r="A491">
        <f>Table4[[#This Row],[Column1]]</f>
        <v>0</v>
      </c>
      <c r="B491">
        <f>Table4[[#This Row],[Column2]]</f>
        <v>0</v>
      </c>
      <c r="C491" s="81"/>
      <c r="D491" s="82"/>
      <c r="E491" s="82"/>
      <c r="F491" s="81"/>
      <c r="G491" s="81"/>
      <c r="H491" s="81"/>
      <c r="I491" s="81"/>
      <c r="J491" s="81"/>
      <c r="K491" s="81"/>
      <c r="L491" s="81"/>
      <c r="M491" s="81"/>
      <c r="N491" s="81"/>
      <c r="O491" s="81"/>
      <c r="P491" s="81"/>
      <c r="Q491" s="81"/>
      <c r="R491" s="81"/>
      <c r="S491" s="81"/>
      <c r="T491" s="81"/>
      <c r="U491" s="81"/>
      <c r="V491" s="94"/>
      <c r="W491" s="94"/>
    </row>
    <row r="492" spans="1:23" ht="21" customHeight="1">
      <c r="A492">
        <f>Table4[[#This Row],[Column1]]</f>
        <v>0</v>
      </c>
      <c r="B492">
        <f>Table4[[#This Row],[Column2]]</f>
        <v>0</v>
      </c>
      <c r="C492" s="81"/>
      <c r="D492" s="82"/>
      <c r="E492" s="82"/>
      <c r="F492" s="81"/>
      <c r="G492" s="81"/>
      <c r="H492" s="81"/>
      <c r="I492" s="81"/>
      <c r="J492" s="81"/>
      <c r="K492" s="81"/>
      <c r="L492" s="81"/>
      <c r="M492" s="81"/>
      <c r="N492" s="81"/>
      <c r="O492" s="81"/>
      <c r="P492" s="81"/>
      <c r="Q492" s="81"/>
      <c r="R492" s="81"/>
      <c r="S492" s="81"/>
      <c r="T492" s="81"/>
      <c r="U492" s="81"/>
      <c r="V492" s="94"/>
      <c r="W492" s="94"/>
    </row>
    <row r="493" spans="1:23" ht="21" customHeight="1">
      <c r="A493">
        <f>Table4[[#This Row],[Column1]]</f>
        <v>0</v>
      </c>
      <c r="B493">
        <f>Table4[[#This Row],[Column2]]</f>
        <v>0</v>
      </c>
      <c r="C493" s="81"/>
      <c r="D493" s="82"/>
      <c r="E493" s="82"/>
      <c r="F493" s="81"/>
      <c r="G493" s="81"/>
      <c r="H493" s="81"/>
      <c r="I493" s="81"/>
      <c r="J493" s="81"/>
      <c r="K493" s="81"/>
      <c r="L493" s="81"/>
      <c r="M493" s="81"/>
      <c r="N493" s="81"/>
      <c r="O493" s="81"/>
      <c r="P493" s="81"/>
      <c r="Q493" s="81"/>
      <c r="R493" s="81"/>
      <c r="S493" s="81"/>
      <c r="T493" s="81"/>
      <c r="U493" s="81"/>
      <c r="V493" s="94"/>
      <c r="W493" s="94"/>
    </row>
    <row r="494" spans="1:23" ht="21" customHeight="1">
      <c r="A494">
        <f>Table4[[#This Row],[Column1]]</f>
        <v>0</v>
      </c>
      <c r="B494">
        <f>Table4[[#This Row],[Column2]]</f>
        <v>0</v>
      </c>
      <c r="C494" s="81"/>
      <c r="D494" s="82"/>
      <c r="E494" s="82"/>
      <c r="F494" s="81"/>
      <c r="G494" s="81"/>
      <c r="H494" s="81"/>
      <c r="I494" s="81"/>
      <c r="J494" s="81"/>
      <c r="K494" s="81"/>
      <c r="L494" s="81"/>
      <c r="M494" s="81"/>
      <c r="N494" s="81"/>
      <c r="O494" s="81"/>
      <c r="P494" s="81"/>
      <c r="Q494" s="81"/>
      <c r="R494" s="81"/>
      <c r="S494" s="81"/>
      <c r="T494" s="81"/>
      <c r="U494" s="81"/>
      <c r="V494" s="94"/>
      <c r="W494" s="94"/>
    </row>
    <row r="495" spans="1:23" ht="21" customHeight="1">
      <c r="A495">
        <f>Table4[[#This Row],[Column1]]</f>
        <v>0</v>
      </c>
      <c r="B495">
        <f>Table4[[#This Row],[Column2]]</f>
        <v>0</v>
      </c>
      <c r="C495" s="81"/>
      <c r="D495" s="82"/>
      <c r="E495" s="82"/>
      <c r="F495" s="81"/>
      <c r="G495" s="81"/>
      <c r="H495" s="81"/>
      <c r="I495" s="81"/>
      <c r="J495" s="81"/>
      <c r="K495" s="81"/>
      <c r="L495" s="81"/>
      <c r="M495" s="81"/>
      <c r="N495" s="81"/>
      <c r="O495" s="81"/>
      <c r="P495" s="81"/>
      <c r="Q495" s="81"/>
      <c r="R495" s="81"/>
      <c r="S495" s="81"/>
      <c r="T495" s="81"/>
      <c r="U495" s="81"/>
      <c r="V495" s="94"/>
      <c r="W495" s="94"/>
    </row>
    <row r="496" spans="1:23" ht="21" customHeight="1">
      <c r="A496">
        <f>Table4[[#This Row],[Column1]]</f>
        <v>0</v>
      </c>
      <c r="B496">
        <f>Table4[[#This Row],[Column2]]</f>
        <v>0</v>
      </c>
      <c r="C496" s="81"/>
      <c r="D496" s="82"/>
      <c r="E496" s="82"/>
      <c r="F496" s="81"/>
      <c r="G496" s="81"/>
      <c r="H496" s="81"/>
      <c r="I496" s="81"/>
      <c r="J496" s="81"/>
      <c r="K496" s="81"/>
      <c r="L496" s="81"/>
      <c r="M496" s="81"/>
      <c r="N496" s="81"/>
      <c r="O496" s="81"/>
      <c r="P496" s="81"/>
      <c r="Q496" s="81"/>
      <c r="R496" s="81"/>
      <c r="S496" s="81"/>
      <c r="T496" s="81"/>
      <c r="U496" s="81"/>
      <c r="V496" s="94"/>
      <c r="W496" s="94"/>
    </row>
    <row r="497" spans="1:23" ht="21" customHeight="1">
      <c r="A497">
        <f>Table4[[#This Row],[Column1]]</f>
        <v>0</v>
      </c>
      <c r="B497">
        <f>Table4[[#This Row],[Column2]]</f>
        <v>0</v>
      </c>
      <c r="C497" s="81"/>
      <c r="D497" s="82"/>
      <c r="E497" s="82"/>
      <c r="F497" s="81"/>
      <c r="G497" s="81"/>
      <c r="H497" s="81"/>
      <c r="I497" s="81"/>
      <c r="J497" s="81"/>
      <c r="K497" s="81"/>
      <c r="L497" s="81"/>
      <c r="M497" s="81"/>
      <c r="N497" s="81"/>
      <c r="O497" s="81"/>
      <c r="P497" s="81"/>
      <c r="Q497" s="81"/>
      <c r="R497" s="81"/>
      <c r="S497" s="81"/>
      <c r="T497" s="81"/>
      <c r="U497" s="81"/>
      <c r="V497" s="94"/>
      <c r="W497" s="94"/>
    </row>
    <row r="498" spans="1:23" ht="21" customHeight="1">
      <c r="A498">
        <f>Table4[[#This Row],[Column1]]</f>
        <v>0</v>
      </c>
      <c r="B498">
        <f>Table4[[#This Row],[Column2]]</f>
        <v>0</v>
      </c>
      <c r="C498" s="81"/>
      <c r="D498" s="82"/>
      <c r="E498" s="82"/>
      <c r="F498" s="81"/>
      <c r="G498" s="81"/>
      <c r="H498" s="81"/>
      <c r="I498" s="81"/>
      <c r="J498" s="81"/>
      <c r="K498" s="81"/>
      <c r="L498" s="81"/>
      <c r="M498" s="81"/>
      <c r="N498" s="81"/>
      <c r="O498" s="81"/>
      <c r="P498" s="81"/>
      <c r="Q498" s="81"/>
      <c r="R498" s="81"/>
      <c r="S498" s="81"/>
      <c r="T498" s="81"/>
      <c r="U498" s="81"/>
      <c r="V498" s="94"/>
      <c r="W498" s="94"/>
    </row>
    <row r="499" spans="1:23" ht="21" customHeight="1">
      <c r="A499">
        <f>Table4[[#This Row],[Column1]]</f>
        <v>0</v>
      </c>
      <c r="B499">
        <f>Table4[[#This Row],[Column2]]</f>
        <v>0</v>
      </c>
      <c r="C499" s="81"/>
      <c r="D499" s="82"/>
      <c r="E499" s="82"/>
      <c r="F499" s="81"/>
      <c r="G499" s="81"/>
      <c r="H499" s="81"/>
      <c r="I499" s="81"/>
      <c r="J499" s="81"/>
      <c r="K499" s="81"/>
      <c r="L499" s="81"/>
      <c r="M499" s="81"/>
      <c r="N499" s="81"/>
      <c r="O499" s="81"/>
      <c r="P499" s="81"/>
      <c r="Q499" s="81"/>
      <c r="R499" s="81"/>
      <c r="S499" s="81"/>
      <c r="T499" s="81"/>
      <c r="U499" s="81"/>
      <c r="V499" s="94"/>
      <c r="W499" s="94"/>
    </row>
    <row r="500" spans="1:23" ht="21" customHeight="1">
      <c r="A500">
        <f>Table4[[#This Row],[Column1]]</f>
        <v>0</v>
      </c>
      <c r="B500">
        <f>Table4[[#This Row],[Column2]]</f>
        <v>0</v>
      </c>
      <c r="C500" s="81"/>
      <c r="D500" s="82"/>
      <c r="E500" s="82"/>
      <c r="F500" s="81"/>
      <c r="G500" s="81"/>
      <c r="H500" s="81"/>
      <c r="I500" s="81"/>
      <c r="J500" s="81"/>
      <c r="K500" s="81"/>
      <c r="L500" s="81"/>
      <c r="M500" s="81"/>
      <c r="N500" s="81"/>
      <c r="O500" s="81"/>
      <c r="P500" s="81"/>
      <c r="Q500" s="81"/>
      <c r="R500" s="81"/>
      <c r="S500" s="81"/>
      <c r="T500" s="81"/>
      <c r="U500" s="81"/>
      <c r="V500" s="94"/>
      <c r="W500" s="94"/>
    </row>
    <row r="501" spans="1:23" ht="21" customHeight="1">
      <c r="A501">
        <f>Table4[[#This Row],[Column1]]</f>
        <v>0</v>
      </c>
      <c r="B501">
        <f>Table4[[#This Row],[Column2]]</f>
        <v>0</v>
      </c>
      <c r="C501" s="81"/>
      <c r="D501" s="82"/>
      <c r="E501" s="82"/>
      <c r="F501" s="81"/>
      <c r="G501" s="81"/>
      <c r="H501" s="81"/>
      <c r="I501" s="81"/>
      <c r="J501" s="81"/>
      <c r="K501" s="81"/>
      <c r="L501" s="81"/>
      <c r="M501" s="81"/>
      <c r="N501" s="81"/>
      <c r="O501" s="81"/>
      <c r="P501" s="81"/>
      <c r="Q501" s="81"/>
      <c r="R501" s="81"/>
      <c r="S501" s="81"/>
      <c r="T501" s="81"/>
      <c r="U501" s="81"/>
      <c r="V501" s="94"/>
      <c r="W501" s="94"/>
    </row>
    <row r="502" spans="1:23" ht="21" customHeight="1">
      <c r="A502">
        <f>Table4[[#This Row],[Column1]]</f>
        <v>0</v>
      </c>
      <c r="B502">
        <f>Table4[[#This Row],[Column2]]</f>
        <v>0</v>
      </c>
      <c r="C502" s="81"/>
      <c r="D502" s="82"/>
      <c r="E502" s="82"/>
      <c r="F502" s="81"/>
      <c r="G502" s="81"/>
      <c r="H502" s="81"/>
      <c r="I502" s="81"/>
      <c r="J502" s="81"/>
      <c r="K502" s="81"/>
      <c r="L502" s="81"/>
      <c r="M502" s="81"/>
      <c r="N502" s="81"/>
      <c r="O502" s="81"/>
      <c r="P502" s="81"/>
      <c r="Q502" s="81"/>
      <c r="R502" s="81"/>
      <c r="S502" s="81"/>
      <c r="T502" s="81"/>
      <c r="U502" s="81"/>
      <c r="V502" s="94"/>
      <c r="W502" s="94"/>
    </row>
    <row r="503" spans="1:23" ht="21" customHeight="1">
      <c r="A503">
        <f>Table4[[#This Row],[Column1]]</f>
        <v>0</v>
      </c>
      <c r="B503">
        <f>Table4[[#This Row],[Column2]]</f>
        <v>0</v>
      </c>
      <c r="C503" s="81"/>
      <c r="D503" s="82"/>
      <c r="E503" s="82"/>
      <c r="F503" s="81"/>
      <c r="G503" s="81"/>
      <c r="H503" s="81"/>
      <c r="I503" s="81"/>
      <c r="J503" s="81"/>
      <c r="K503" s="81"/>
      <c r="L503" s="81"/>
      <c r="M503" s="81"/>
      <c r="N503" s="81"/>
      <c r="O503" s="81"/>
      <c r="P503" s="81"/>
      <c r="Q503" s="81"/>
      <c r="R503" s="81"/>
      <c r="S503" s="81"/>
      <c r="T503" s="81"/>
      <c r="U503" s="81"/>
      <c r="V503" s="94"/>
      <c r="W503" s="94"/>
    </row>
    <row r="504" spans="1:23" ht="21" customHeight="1">
      <c r="A504">
        <f>Table4[[#This Row],[Column1]]</f>
        <v>0</v>
      </c>
      <c r="B504">
        <f>Table4[[#This Row],[Column2]]</f>
        <v>0</v>
      </c>
      <c r="C504" s="81"/>
      <c r="D504" s="82"/>
      <c r="E504" s="82"/>
      <c r="F504" s="81"/>
      <c r="G504" s="81"/>
      <c r="H504" s="81"/>
      <c r="I504" s="81"/>
      <c r="J504" s="81"/>
      <c r="K504" s="81"/>
      <c r="L504" s="81"/>
      <c r="M504" s="81"/>
      <c r="N504" s="81"/>
      <c r="O504" s="81"/>
      <c r="P504" s="81"/>
      <c r="Q504" s="81"/>
      <c r="R504" s="81"/>
      <c r="S504" s="81"/>
      <c r="T504" s="81"/>
      <c r="U504" s="81"/>
      <c r="V504" s="94"/>
      <c r="W504" s="94"/>
    </row>
    <row r="505" spans="1:23" ht="21" customHeight="1">
      <c r="A505">
        <f>Table4[[#This Row],[Column1]]</f>
        <v>0</v>
      </c>
      <c r="B505">
        <f>Table4[[#This Row],[Column2]]</f>
        <v>0</v>
      </c>
      <c r="C505" s="81"/>
      <c r="D505" s="82"/>
      <c r="E505" s="82"/>
      <c r="F505" s="81"/>
      <c r="G505" s="81"/>
      <c r="H505" s="81"/>
      <c r="I505" s="81"/>
      <c r="J505" s="81"/>
      <c r="K505" s="81"/>
      <c r="L505" s="81"/>
      <c r="M505" s="81"/>
      <c r="N505" s="81"/>
      <c r="O505" s="81"/>
      <c r="P505" s="81"/>
      <c r="Q505" s="81"/>
      <c r="R505" s="81"/>
      <c r="S505" s="81"/>
      <c r="T505" s="81"/>
      <c r="U505" s="81"/>
      <c r="V505" s="94"/>
      <c r="W505" s="94"/>
    </row>
    <row r="506" spans="1:23" ht="21" customHeight="1">
      <c r="A506">
        <f>Table4[[#This Row],[Column1]]</f>
        <v>0</v>
      </c>
      <c r="B506">
        <f>Table4[[#This Row],[Column2]]</f>
        <v>0</v>
      </c>
      <c r="C506" s="81"/>
      <c r="D506" s="82"/>
      <c r="E506" s="82"/>
      <c r="F506" s="81"/>
      <c r="G506" s="81"/>
      <c r="H506" s="81"/>
      <c r="I506" s="81"/>
      <c r="J506" s="81"/>
      <c r="K506" s="81"/>
      <c r="L506" s="81"/>
      <c r="M506" s="81"/>
      <c r="N506" s="81"/>
      <c r="O506" s="81"/>
      <c r="P506" s="81"/>
      <c r="Q506" s="81"/>
      <c r="R506" s="81"/>
      <c r="S506" s="81"/>
      <c r="T506" s="81"/>
      <c r="U506" s="81"/>
      <c r="V506" s="94"/>
      <c r="W506" s="94"/>
    </row>
    <row r="507" spans="1:23" ht="21" customHeight="1">
      <c r="A507">
        <f>Table4[[#This Row],[Column1]]</f>
        <v>0</v>
      </c>
      <c r="B507">
        <f>Table4[[#This Row],[Column2]]</f>
        <v>0</v>
      </c>
      <c r="C507" s="81"/>
      <c r="D507" s="82"/>
      <c r="E507" s="82"/>
      <c r="F507" s="81"/>
      <c r="G507" s="81"/>
      <c r="H507" s="81"/>
      <c r="I507" s="81"/>
      <c r="J507" s="81"/>
      <c r="K507" s="81"/>
      <c r="L507" s="81"/>
      <c r="M507" s="81"/>
      <c r="N507" s="81"/>
      <c r="O507" s="81"/>
      <c r="P507" s="81"/>
      <c r="Q507" s="81"/>
      <c r="R507" s="81"/>
      <c r="S507" s="81"/>
      <c r="T507" s="81"/>
      <c r="U507" s="81"/>
      <c r="V507" s="94"/>
      <c r="W507" s="94"/>
    </row>
    <row r="508" spans="1:23" ht="21" customHeight="1">
      <c r="A508">
        <f>Table4[[#This Row],[Column1]]</f>
        <v>0</v>
      </c>
      <c r="B508">
        <f>Table4[[#This Row],[Column2]]</f>
        <v>0</v>
      </c>
      <c r="C508" s="81"/>
      <c r="D508" s="82"/>
      <c r="E508" s="82"/>
      <c r="F508" s="81"/>
      <c r="G508" s="81"/>
      <c r="H508" s="81"/>
      <c r="I508" s="81"/>
      <c r="J508" s="81"/>
      <c r="K508" s="81"/>
      <c r="L508" s="81"/>
      <c r="M508" s="81"/>
      <c r="N508" s="81"/>
      <c r="O508" s="81"/>
      <c r="P508" s="81"/>
      <c r="Q508" s="81"/>
      <c r="R508" s="81"/>
      <c r="S508" s="81"/>
      <c r="T508" s="81"/>
      <c r="U508" s="81"/>
      <c r="V508" s="94"/>
      <c r="W508" s="94"/>
    </row>
    <row r="509" spans="1:23" ht="21" customHeight="1">
      <c r="A509">
        <f>Table4[[#This Row],[Column1]]</f>
        <v>0</v>
      </c>
      <c r="B509">
        <f>Table4[[#This Row],[Column2]]</f>
        <v>0</v>
      </c>
      <c r="C509" s="81"/>
      <c r="D509" s="82"/>
      <c r="E509" s="82"/>
      <c r="F509" s="81"/>
      <c r="G509" s="81"/>
      <c r="H509" s="81"/>
      <c r="I509" s="81"/>
      <c r="J509" s="81"/>
      <c r="K509" s="81"/>
      <c r="L509" s="81"/>
      <c r="M509" s="81"/>
      <c r="N509" s="81"/>
      <c r="O509" s="81"/>
      <c r="P509" s="81"/>
      <c r="Q509" s="81"/>
      <c r="R509" s="81"/>
      <c r="S509" s="81"/>
      <c r="T509" s="81"/>
      <c r="U509" s="81"/>
      <c r="V509" s="94"/>
      <c r="W509" s="94"/>
    </row>
    <row r="510" spans="1:23" ht="21" customHeight="1">
      <c r="A510">
        <f>Table4[[#This Row],[Column1]]</f>
        <v>0</v>
      </c>
      <c r="B510">
        <f>Table4[[#This Row],[Column2]]</f>
        <v>0</v>
      </c>
      <c r="C510" s="81"/>
      <c r="D510" s="82"/>
      <c r="E510" s="82"/>
      <c r="F510" s="81"/>
      <c r="G510" s="81"/>
      <c r="H510" s="81"/>
      <c r="I510" s="81"/>
      <c r="J510" s="81"/>
      <c r="K510" s="81"/>
      <c r="L510" s="81"/>
      <c r="M510" s="81"/>
      <c r="N510" s="81"/>
      <c r="O510" s="81"/>
      <c r="P510" s="81"/>
      <c r="Q510" s="81"/>
      <c r="R510" s="81"/>
      <c r="S510" s="81"/>
      <c r="T510" s="81"/>
      <c r="U510" s="81"/>
      <c r="V510" s="94"/>
      <c r="W510" s="94"/>
    </row>
    <row r="511" spans="1:23" ht="21" customHeight="1">
      <c r="A511">
        <f>Table4[[#This Row],[Column1]]</f>
        <v>0</v>
      </c>
      <c r="B511">
        <f>Table4[[#This Row],[Column2]]</f>
        <v>0</v>
      </c>
      <c r="C511" s="81"/>
      <c r="D511" s="82"/>
      <c r="E511" s="82"/>
      <c r="F511" s="81"/>
      <c r="G511" s="81"/>
      <c r="H511" s="81"/>
      <c r="I511" s="81"/>
      <c r="J511" s="81"/>
      <c r="K511" s="81"/>
      <c r="L511" s="81"/>
      <c r="M511" s="81"/>
      <c r="N511" s="81"/>
      <c r="O511" s="81"/>
      <c r="P511" s="81"/>
      <c r="Q511" s="81"/>
      <c r="R511" s="81"/>
      <c r="S511" s="81"/>
      <c r="T511" s="81"/>
      <c r="U511" s="81"/>
      <c r="V511" s="94"/>
      <c r="W511" s="94"/>
    </row>
    <row r="512" spans="1:23" ht="21" customHeight="1">
      <c r="A512">
        <f>Table4[[#This Row],[Column1]]</f>
        <v>0</v>
      </c>
      <c r="B512">
        <f>Table4[[#This Row],[Column2]]</f>
        <v>0</v>
      </c>
      <c r="C512" s="81"/>
      <c r="D512" s="82"/>
      <c r="E512" s="82"/>
      <c r="F512" s="81"/>
      <c r="G512" s="81"/>
      <c r="H512" s="81"/>
      <c r="I512" s="81"/>
      <c r="J512" s="81"/>
      <c r="K512" s="81"/>
      <c r="L512" s="81"/>
      <c r="M512" s="81"/>
      <c r="N512" s="81"/>
      <c r="O512" s="81"/>
      <c r="P512" s="81"/>
      <c r="Q512" s="81"/>
      <c r="R512" s="81"/>
      <c r="S512" s="81"/>
      <c r="T512" s="81"/>
      <c r="U512" s="81"/>
      <c r="V512" s="94"/>
      <c r="W512" s="94"/>
    </row>
    <row r="513" spans="1:23" ht="21" customHeight="1">
      <c r="A513">
        <f>Table4[[#This Row],[Column1]]</f>
        <v>0</v>
      </c>
      <c r="B513">
        <f>Table4[[#This Row],[Column2]]</f>
        <v>0</v>
      </c>
      <c r="C513" s="81"/>
      <c r="D513" s="82"/>
      <c r="E513" s="82"/>
      <c r="F513" s="81"/>
      <c r="G513" s="81"/>
      <c r="H513" s="81"/>
      <c r="I513" s="81"/>
      <c r="J513" s="81"/>
      <c r="K513" s="81"/>
      <c r="L513" s="81"/>
      <c r="M513" s="81"/>
      <c r="N513" s="81"/>
      <c r="O513" s="81"/>
      <c r="P513" s="81"/>
      <c r="Q513" s="81"/>
      <c r="R513" s="81"/>
      <c r="S513" s="81"/>
      <c r="T513" s="81"/>
      <c r="U513" s="81"/>
      <c r="V513" s="94"/>
      <c r="W513" s="94"/>
    </row>
    <row r="514" spans="1:23" ht="21" customHeight="1">
      <c r="A514">
        <f>Table4[[#This Row],[Column1]]</f>
        <v>0</v>
      </c>
      <c r="B514">
        <f>Table4[[#This Row],[Column2]]</f>
        <v>0</v>
      </c>
      <c r="C514" s="81"/>
      <c r="D514" s="82"/>
      <c r="E514" s="82"/>
      <c r="F514" s="81"/>
      <c r="G514" s="81"/>
      <c r="H514" s="81"/>
      <c r="I514" s="81"/>
      <c r="J514" s="81"/>
      <c r="K514" s="81"/>
      <c r="L514" s="81"/>
      <c r="M514" s="81"/>
      <c r="N514" s="81"/>
      <c r="O514" s="81"/>
      <c r="P514" s="81"/>
      <c r="Q514" s="81"/>
      <c r="R514" s="81"/>
      <c r="S514" s="81"/>
      <c r="T514" s="81"/>
      <c r="U514" s="81"/>
      <c r="V514" s="94"/>
      <c r="W514" s="94"/>
    </row>
    <row r="515" spans="1:23" ht="21" customHeight="1">
      <c r="A515">
        <f>Table4[[#This Row],[Column1]]</f>
        <v>0</v>
      </c>
      <c r="B515">
        <f>Table4[[#This Row],[Column2]]</f>
        <v>0</v>
      </c>
      <c r="C515" s="81"/>
      <c r="D515" s="82"/>
      <c r="E515" s="82"/>
      <c r="F515" s="81"/>
      <c r="G515" s="81"/>
      <c r="H515" s="81"/>
      <c r="I515" s="81"/>
      <c r="J515" s="81"/>
      <c r="K515" s="81"/>
      <c r="L515" s="81"/>
      <c r="M515" s="81"/>
      <c r="N515" s="81"/>
      <c r="O515" s="81"/>
      <c r="P515" s="81"/>
      <c r="Q515" s="81"/>
      <c r="R515" s="81"/>
      <c r="S515" s="81"/>
      <c r="T515" s="81"/>
      <c r="U515" s="81"/>
      <c r="V515" s="94"/>
      <c r="W515" s="94"/>
    </row>
    <row r="516" spans="1:23" ht="21" customHeight="1">
      <c r="A516">
        <f>Table4[[#This Row],[Column1]]</f>
        <v>0</v>
      </c>
      <c r="B516">
        <f>Table4[[#This Row],[Column2]]</f>
        <v>0</v>
      </c>
      <c r="C516" s="81"/>
      <c r="D516" s="82"/>
      <c r="E516" s="82"/>
      <c r="F516" s="81"/>
      <c r="G516" s="81"/>
      <c r="H516" s="81"/>
      <c r="I516" s="81"/>
      <c r="J516" s="81"/>
      <c r="K516" s="81"/>
      <c r="L516" s="81"/>
      <c r="M516" s="81"/>
      <c r="N516" s="81"/>
      <c r="O516" s="81"/>
      <c r="P516" s="81"/>
      <c r="Q516" s="81"/>
      <c r="R516" s="81"/>
      <c r="S516" s="81"/>
      <c r="T516" s="81"/>
      <c r="U516" s="81"/>
      <c r="V516" s="94"/>
      <c r="W516" s="94"/>
    </row>
    <row r="517" spans="1:23" ht="21" customHeight="1">
      <c r="A517">
        <f>Table4[[#This Row],[Column1]]</f>
        <v>0</v>
      </c>
      <c r="B517">
        <f>Table4[[#This Row],[Column2]]</f>
        <v>0</v>
      </c>
      <c r="C517" s="81"/>
      <c r="D517" s="82"/>
      <c r="E517" s="82"/>
      <c r="F517" s="81"/>
      <c r="G517" s="81"/>
      <c r="H517" s="81"/>
      <c r="I517" s="81"/>
      <c r="J517" s="81"/>
      <c r="K517" s="81"/>
      <c r="L517" s="81"/>
      <c r="M517" s="81"/>
      <c r="N517" s="81"/>
      <c r="O517" s="81"/>
      <c r="P517" s="81"/>
      <c r="Q517" s="81"/>
      <c r="R517" s="81"/>
      <c r="S517" s="81"/>
      <c r="T517" s="81"/>
      <c r="U517" s="81"/>
      <c r="V517" s="94"/>
      <c r="W517" s="94"/>
    </row>
    <row r="518" spans="1:23" ht="21" customHeight="1">
      <c r="A518">
        <f>Table4[[#This Row],[Column1]]</f>
        <v>0</v>
      </c>
      <c r="B518">
        <f>Table4[[#This Row],[Column2]]</f>
        <v>0</v>
      </c>
      <c r="C518" s="81"/>
      <c r="D518" s="82"/>
      <c r="E518" s="82"/>
      <c r="F518" s="81"/>
      <c r="G518" s="81"/>
      <c r="H518" s="81"/>
      <c r="I518" s="81"/>
      <c r="J518" s="81"/>
      <c r="K518" s="81"/>
      <c r="L518" s="81"/>
      <c r="M518" s="81"/>
      <c r="N518" s="81"/>
      <c r="O518" s="81"/>
      <c r="P518" s="81"/>
      <c r="Q518" s="81"/>
      <c r="R518" s="81"/>
      <c r="S518" s="81"/>
      <c r="T518" s="81"/>
      <c r="U518" s="81"/>
      <c r="V518" s="94"/>
      <c r="W518" s="94"/>
    </row>
    <row r="519" spans="1:23" ht="21" customHeight="1">
      <c r="A519">
        <f>Table4[[#This Row],[Column1]]</f>
        <v>0</v>
      </c>
      <c r="B519">
        <f>Table4[[#This Row],[Column2]]</f>
        <v>0</v>
      </c>
      <c r="C519" s="81"/>
      <c r="D519" s="82"/>
      <c r="E519" s="82"/>
      <c r="F519" s="81"/>
      <c r="G519" s="81"/>
      <c r="H519" s="81"/>
      <c r="I519" s="81"/>
      <c r="J519" s="81"/>
      <c r="K519" s="81"/>
      <c r="L519" s="81"/>
      <c r="M519" s="81"/>
      <c r="N519" s="81"/>
      <c r="O519" s="81"/>
      <c r="P519" s="81"/>
      <c r="Q519" s="81"/>
      <c r="R519" s="81"/>
      <c r="S519" s="81"/>
      <c r="T519" s="81"/>
      <c r="U519" s="81"/>
      <c r="V519" s="94"/>
      <c r="W519" s="94"/>
    </row>
    <row r="520" spans="1:23" ht="21" customHeight="1">
      <c r="A520">
        <f>Table4[[#This Row],[Column1]]</f>
        <v>0</v>
      </c>
      <c r="B520">
        <f>Table4[[#This Row],[Column2]]</f>
        <v>0</v>
      </c>
      <c r="C520" s="81"/>
      <c r="D520" s="82"/>
      <c r="E520" s="82"/>
      <c r="F520" s="81"/>
      <c r="G520" s="81"/>
      <c r="H520" s="81"/>
      <c r="I520" s="81"/>
      <c r="J520" s="81"/>
      <c r="K520" s="81"/>
      <c r="L520" s="81"/>
      <c r="M520" s="81"/>
      <c r="N520" s="81"/>
      <c r="O520" s="81"/>
      <c r="P520" s="81"/>
      <c r="Q520" s="81"/>
      <c r="R520" s="81"/>
      <c r="S520" s="81"/>
      <c r="T520" s="81"/>
      <c r="U520" s="81"/>
      <c r="V520" s="94"/>
      <c r="W520" s="94"/>
    </row>
    <row r="521" spans="1:23" ht="21" customHeight="1">
      <c r="A521">
        <f>Table4[[#This Row],[Column1]]</f>
        <v>0</v>
      </c>
      <c r="B521">
        <f>Table4[[#This Row],[Column2]]</f>
        <v>0</v>
      </c>
      <c r="C521" s="81"/>
      <c r="D521" s="82"/>
      <c r="E521" s="82"/>
      <c r="F521" s="81"/>
      <c r="G521" s="81"/>
      <c r="H521" s="81"/>
      <c r="I521" s="81"/>
      <c r="J521" s="81"/>
      <c r="K521" s="81"/>
      <c r="L521" s="81"/>
      <c r="M521" s="81"/>
      <c r="N521" s="81"/>
      <c r="O521" s="81"/>
      <c r="P521" s="81"/>
      <c r="Q521" s="81"/>
      <c r="R521" s="81"/>
      <c r="S521" s="81"/>
      <c r="T521" s="81"/>
      <c r="U521" s="81"/>
      <c r="V521" s="94"/>
      <c r="W521" s="94"/>
    </row>
    <row r="522" spans="1:23" ht="21" customHeight="1">
      <c r="A522">
        <f>Table4[[#This Row],[Column1]]</f>
        <v>0</v>
      </c>
      <c r="B522">
        <f>Table4[[#This Row],[Column2]]</f>
        <v>0</v>
      </c>
      <c r="C522" s="81"/>
      <c r="D522" s="82"/>
      <c r="E522" s="82"/>
      <c r="F522" s="81"/>
      <c r="G522" s="81"/>
      <c r="H522" s="81"/>
      <c r="I522" s="81"/>
      <c r="J522" s="81"/>
      <c r="K522" s="81"/>
      <c r="L522" s="81"/>
      <c r="M522" s="81"/>
      <c r="N522" s="81"/>
      <c r="O522" s="81"/>
      <c r="P522" s="81"/>
      <c r="Q522" s="81"/>
      <c r="R522" s="81"/>
      <c r="S522" s="81"/>
      <c r="T522" s="81"/>
      <c r="U522" s="81"/>
      <c r="V522" s="94"/>
      <c r="W522" s="94"/>
    </row>
    <row r="523" spans="1:23" ht="21" customHeight="1">
      <c r="A523">
        <f>Table4[[#This Row],[Column1]]</f>
        <v>0</v>
      </c>
      <c r="B523">
        <f>Table4[[#This Row],[Column2]]</f>
        <v>0</v>
      </c>
      <c r="C523" s="81"/>
      <c r="D523" s="82"/>
      <c r="E523" s="82"/>
      <c r="F523" s="81"/>
      <c r="G523" s="81"/>
      <c r="H523" s="81"/>
      <c r="I523" s="81"/>
      <c r="J523" s="81"/>
      <c r="K523" s="81"/>
      <c r="L523" s="81"/>
      <c r="M523" s="81"/>
      <c r="N523" s="81"/>
      <c r="O523" s="81"/>
      <c r="P523" s="81"/>
      <c r="Q523" s="81"/>
      <c r="R523" s="81"/>
      <c r="S523" s="81"/>
      <c r="T523" s="81"/>
      <c r="U523" s="81"/>
      <c r="V523" s="94"/>
      <c r="W523" s="94"/>
    </row>
    <row r="524" spans="1:23" ht="21" customHeight="1">
      <c r="A524">
        <f>Table4[[#This Row],[Column1]]</f>
        <v>0</v>
      </c>
      <c r="B524">
        <f>Table4[[#This Row],[Column2]]</f>
        <v>0</v>
      </c>
      <c r="C524" s="81"/>
      <c r="D524" s="82"/>
      <c r="E524" s="82"/>
      <c r="F524" s="81"/>
      <c r="G524" s="81"/>
      <c r="H524" s="81"/>
      <c r="I524" s="81"/>
      <c r="J524" s="81"/>
      <c r="K524" s="81"/>
      <c r="L524" s="81"/>
      <c r="M524" s="81"/>
      <c r="N524" s="81"/>
      <c r="O524" s="81"/>
      <c r="P524" s="81"/>
      <c r="Q524" s="81"/>
      <c r="R524" s="81"/>
      <c r="S524" s="81"/>
      <c r="T524" s="81"/>
      <c r="U524" s="81"/>
      <c r="V524" s="94"/>
      <c r="W524" s="94"/>
    </row>
    <row r="525" spans="1:23" ht="21" customHeight="1">
      <c r="A525">
        <f>Table4[[#This Row],[Column1]]</f>
        <v>0</v>
      </c>
      <c r="B525">
        <f>Table4[[#This Row],[Column2]]</f>
        <v>0</v>
      </c>
      <c r="C525" s="81"/>
      <c r="D525" s="82"/>
      <c r="E525" s="82"/>
      <c r="F525" s="81"/>
      <c r="G525" s="81"/>
      <c r="H525" s="81"/>
      <c r="I525" s="81"/>
      <c r="J525" s="81"/>
      <c r="K525" s="81"/>
      <c r="L525" s="81"/>
      <c r="M525" s="81"/>
      <c r="N525" s="81"/>
      <c r="O525" s="81"/>
      <c r="P525" s="81"/>
      <c r="Q525" s="81"/>
      <c r="R525" s="81"/>
      <c r="S525" s="81"/>
      <c r="T525" s="81"/>
      <c r="U525" s="81"/>
      <c r="V525" s="94"/>
      <c r="W525" s="94"/>
    </row>
    <row r="526" spans="1:23" ht="21" customHeight="1">
      <c r="A526">
        <f>Table4[[#This Row],[Column1]]</f>
        <v>0</v>
      </c>
      <c r="B526">
        <f>Table4[[#This Row],[Column2]]</f>
        <v>0</v>
      </c>
      <c r="C526" s="81"/>
      <c r="D526" s="82"/>
      <c r="E526" s="82"/>
      <c r="F526" s="81"/>
      <c r="G526" s="81"/>
      <c r="H526" s="81"/>
      <c r="I526" s="81"/>
      <c r="J526" s="81"/>
      <c r="K526" s="81"/>
      <c r="L526" s="81"/>
      <c r="M526" s="81"/>
      <c r="N526" s="81"/>
      <c r="O526" s="81"/>
      <c r="P526" s="81"/>
      <c r="Q526" s="81"/>
      <c r="R526" s="81"/>
      <c r="S526" s="81"/>
      <c r="T526" s="81"/>
      <c r="U526" s="81"/>
      <c r="V526" s="94"/>
      <c r="W526" s="94"/>
    </row>
    <row r="527" spans="1:23" ht="21" customHeight="1">
      <c r="A527">
        <f>Table4[[#This Row],[Column1]]</f>
        <v>0</v>
      </c>
      <c r="B527">
        <f>Table4[[#This Row],[Column2]]</f>
        <v>0</v>
      </c>
      <c r="C527" s="81"/>
      <c r="D527" s="82"/>
      <c r="E527" s="82"/>
      <c r="F527" s="81"/>
      <c r="G527" s="81"/>
      <c r="H527" s="81"/>
      <c r="I527" s="81"/>
      <c r="J527" s="81"/>
      <c r="K527" s="81"/>
      <c r="L527" s="81"/>
      <c r="M527" s="81"/>
      <c r="N527" s="81"/>
      <c r="O527" s="81"/>
      <c r="P527" s="81"/>
      <c r="Q527" s="81"/>
      <c r="R527" s="81"/>
      <c r="S527" s="81"/>
      <c r="T527" s="81"/>
      <c r="U527" s="81"/>
      <c r="V527" s="94"/>
      <c r="W527" s="94"/>
    </row>
    <row r="528" spans="1:23" ht="21" customHeight="1">
      <c r="A528">
        <f>Table4[[#This Row],[Column1]]</f>
        <v>0</v>
      </c>
      <c r="B528">
        <f>Table4[[#This Row],[Column2]]</f>
        <v>0</v>
      </c>
      <c r="C528" s="81"/>
      <c r="D528" s="82"/>
      <c r="E528" s="82"/>
      <c r="F528" s="81"/>
      <c r="G528" s="81"/>
      <c r="H528" s="81"/>
      <c r="I528" s="81"/>
      <c r="J528" s="81"/>
      <c r="K528" s="81"/>
      <c r="L528" s="81"/>
      <c r="M528" s="81"/>
      <c r="N528" s="81"/>
      <c r="O528" s="81"/>
      <c r="P528" s="81"/>
      <c r="Q528" s="81"/>
      <c r="R528" s="81"/>
      <c r="S528" s="81"/>
      <c r="T528" s="81"/>
      <c r="U528" s="81"/>
      <c r="V528" s="94"/>
      <c r="W528" s="94"/>
    </row>
    <row r="529" spans="1:23" ht="21" customHeight="1">
      <c r="A529">
        <f>Table4[[#This Row],[Column1]]</f>
        <v>0</v>
      </c>
      <c r="B529">
        <f>Table4[[#This Row],[Column2]]</f>
        <v>0</v>
      </c>
      <c r="C529" s="81"/>
      <c r="D529" s="82"/>
      <c r="E529" s="82"/>
      <c r="F529" s="81"/>
      <c r="G529" s="81"/>
      <c r="H529" s="81"/>
      <c r="I529" s="81"/>
      <c r="J529" s="81"/>
      <c r="K529" s="81"/>
      <c r="L529" s="81"/>
      <c r="M529" s="81"/>
      <c r="N529" s="81"/>
      <c r="O529" s="81"/>
      <c r="P529" s="81"/>
      <c r="Q529" s="81"/>
      <c r="R529" s="81"/>
      <c r="S529" s="81"/>
      <c r="T529" s="81"/>
      <c r="U529" s="81"/>
      <c r="V529" s="94"/>
      <c r="W529" s="94"/>
    </row>
    <row r="530" spans="1:23" ht="21" customHeight="1">
      <c r="A530">
        <f>Table4[[#This Row],[Column1]]</f>
        <v>0</v>
      </c>
      <c r="B530">
        <f>Table4[[#This Row],[Column2]]</f>
        <v>0</v>
      </c>
      <c r="C530" s="81"/>
      <c r="D530" s="82"/>
      <c r="E530" s="82"/>
      <c r="F530" s="81"/>
      <c r="G530" s="81"/>
      <c r="H530" s="81"/>
      <c r="I530" s="81"/>
      <c r="J530" s="81"/>
      <c r="K530" s="81"/>
      <c r="L530" s="81"/>
      <c r="M530" s="81"/>
      <c r="N530" s="81"/>
      <c r="O530" s="81"/>
      <c r="P530" s="81"/>
      <c r="Q530" s="81"/>
      <c r="R530" s="81"/>
      <c r="S530" s="81"/>
      <c r="T530" s="81"/>
      <c r="U530" s="81"/>
      <c r="V530" s="94"/>
      <c r="W530" s="94"/>
    </row>
    <row r="531" spans="1:23" ht="21" customHeight="1">
      <c r="A531">
        <f>Table4[[#This Row],[Column1]]</f>
        <v>0</v>
      </c>
      <c r="B531">
        <f>Table4[[#This Row],[Column2]]</f>
        <v>0</v>
      </c>
      <c r="C531" s="81"/>
      <c r="D531" s="82"/>
      <c r="E531" s="82"/>
      <c r="F531" s="81"/>
      <c r="G531" s="81"/>
      <c r="H531" s="81"/>
      <c r="I531" s="81"/>
      <c r="J531" s="81"/>
      <c r="K531" s="81"/>
      <c r="L531" s="81"/>
      <c r="M531" s="81"/>
      <c r="N531" s="81"/>
      <c r="O531" s="81"/>
      <c r="P531" s="81"/>
      <c r="Q531" s="81"/>
      <c r="R531" s="81"/>
      <c r="S531" s="81"/>
      <c r="T531" s="81"/>
      <c r="U531" s="81"/>
      <c r="V531" s="94"/>
      <c r="W531" s="94"/>
    </row>
    <row r="532" spans="1:23" ht="21" customHeight="1">
      <c r="A532">
        <f>Table4[[#This Row],[Column1]]</f>
        <v>0</v>
      </c>
      <c r="B532">
        <f>Table4[[#This Row],[Column2]]</f>
        <v>0</v>
      </c>
      <c r="C532" s="81"/>
      <c r="D532" s="82"/>
      <c r="E532" s="82"/>
      <c r="F532" s="81"/>
      <c r="G532" s="81"/>
      <c r="H532" s="81"/>
      <c r="I532" s="81"/>
      <c r="J532" s="81"/>
      <c r="K532" s="81"/>
      <c r="L532" s="81"/>
      <c r="M532" s="81"/>
      <c r="N532" s="81"/>
      <c r="O532" s="81"/>
      <c r="P532" s="81"/>
      <c r="Q532" s="81"/>
      <c r="R532" s="81"/>
      <c r="S532" s="81"/>
      <c r="T532" s="81"/>
      <c r="U532" s="81"/>
      <c r="V532" s="94"/>
      <c r="W532" s="94"/>
    </row>
    <row r="533" spans="1:23" ht="21" customHeight="1">
      <c r="A533">
        <f>Table4[[#This Row],[Column1]]</f>
        <v>0</v>
      </c>
      <c r="B533">
        <f>Table4[[#This Row],[Column2]]</f>
        <v>0</v>
      </c>
      <c r="C533" s="81"/>
      <c r="D533" s="82"/>
      <c r="E533" s="82"/>
      <c r="F533" s="81"/>
      <c r="G533" s="81"/>
      <c r="H533" s="81"/>
      <c r="I533" s="81"/>
      <c r="J533" s="81"/>
      <c r="K533" s="81"/>
      <c r="L533" s="81"/>
      <c r="M533" s="81"/>
      <c r="N533" s="81"/>
      <c r="O533" s="81"/>
      <c r="P533" s="81"/>
      <c r="Q533" s="81"/>
      <c r="R533" s="81"/>
      <c r="S533" s="81"/>
      <c r="T533" s="81"/>
      <c r="U533" s="81"/>
      <c r="V533" s="94"/>
      <c r="W533" s="94"/>
    </row>
    <row r="534" spans="1:23" ht="21" customHeight="1">
      <c r="A534">
        <f>Table4[[#This Row],[Column1]]</f>
        <v>0</v>
      </c>
      <c r="B534">
        <f>Table4[[#This Row],[Column2]]</f>
        <v>0</v>
      </c>
      <c r="C534" s="81"/>
      <c r="D534" s="82"/>
      <c r="E534" s="82"/>
      <c r="F534" s="81"/>
      <c r="G534" s="81"/>
      <c r="H534" s="81"/>
      <c r="I534" s="81"/>
      <c r="J534" s="81"/>
      <c r="K534" s="81"/>
      <c r="L534" s="81"/>
      <c r="M534" s="81"/>
      <c r="N534" s="81"/>
      <c r="O534" s="81"/>
      <c r="P534" s="81"/>
      <c r="Q534" s="81"/>
      <c r="R534" s="81"/>
      <c r="S534" s="81"/>
      <c r="T534" s="81"/>
      <c r="U534" s="81"/>
      <c r="V534" s="94"/>
      <c r="W534" s="94"/>
    </row>
    <row r="535" spans="1:23" ht="21" customHeight="1">
      <c r="A535">
        <f>Table4[[#This Row],[Column1]]</f>
        <v>0</v>
      </c>
      <c r="B535">
        <f>Table4[[#This Row],[Column2]]</f>
        <v>0</v>
      </c>
      <c r="C535" s="81"/>
      <c r="D535" s="82"/>
      <c r="E535" s="82"/>
      <c r="F535" s="81"/>
      <c r="G535" s="81"/>
      <c r="H535" s="81"/>
      <c r="I535" s="81"/>
      <c r="J535" s="81"/>
      <c r="K535" s="81"/>
      <c r="L535" s="81"/>
      <c r="M535" s="81"/>
      <c r="N535" s="81"/>
      <c r="O535" s="81"/>
      <c r="P535" s="81"/>
      <c r="Q535" s="81"/>
      <c r="R535" s="81"/>
      <c r="S535" s="81"/>
      <c r="T535" s="81"/>
      <c r="U535" s="81"/>
      <c r="V535" s="94"/>
      <c r="W535" s="94"/>
    </row>
    <row r="536" spans="1:23" ht="21" customHeight="1">
      <c r="A536">
        <f>Table4[[#This Row],[Column1]]</f>
        <v>0</v>
      </c>
      <c r="B536">
        <f>Table4[[#This Row],[Column2]]</f>
        <v>0</v>
      </c>
      <c r="C536" s="81"/>
      <c r="D536" s="82"/>
      <c r="E536" s="82"/>
      <c r="F536" s="81"/>
      <c r="G536" s="81"/>
      <c r="H536" s="81"/>
      <c r="I536" s="81"/>
      <c r="J536" s="81"/>
      <c r="K536" s="81"/>
      <c r="L536" s="81"/>
      <c r="M536" s="81"/>
      <c r="N536" s="81"/>
      <c r="O536" s="81"/>
      <c r="P536" s="81"/>
      <c r="Q536" s="81"/>
      <c r="R536" s="81"/>
      <c r="S536" s="81"/>
      <c r="T536" s="81"/>
      <c r="U536" s="81"/>
      <c r="V536" s="94"/>
      <c r="W536" s="94"/>
    </row>
    <row r="537" spans="1:23" ht="21" customHeight="1">
      <c r="A537">
        <f>Table4[[#This Row],[Column1]]</f>
        <v>0</v>
      </c>
      <c r="B537">
        <f>Table4[[#This Row],[Column2]]</f>
        <v>0</v>
      </c>
      <c r="C537" s="81"/>
      <c r="D537" s="81"/>
      <c r="E537" s="81"/>
      <c r="F537" s="81"/>
      <c r="G537" s="81"/>
      <c r="H537" s="81"/>
      <c r="I537" s="81"/>
      <c r="J537" s="81"/>
      <c r="K537" s="81"/>
      <c r="L537" s="81"/>
      <c r="M537" s="81"/>
      <c r="N537" s="81"/>
      <c r="O537" s="81"/>
      <c r="P537" s="81"/>
      <c r="Q537" s="81"/>
      <c r="R537" s="81"/>
      <c r="S537" s="81"/>
      <c r="T537" s="81"/>
      <c r="U537" s="81"/>
      <c r="V537" s="94"/>
      <c r="W537" s="94"/>
    </row>
    <row r="538" spans="1:23" ht="21" customHeight="1">
      <c r="A538">
        <f>Table4[[#This Row],[Column1]]</f>
        <v>0</v>
      </c>
      <c r="B538">
        <f>Table4[[#This Row],[Column2]]</f>
        <v>0</v>
      </c>
      <c r="C538" s="81"/>
      <c r="D538" s="81"/>
      <c r="E538" s="81"/>
      <c r="F538" s="81"/>
      <c r="G538" s="81"/>
      <c r="H538" s="81"/>
      <c r="I538" s="81"/>
      <c r="J538" s="81"/>
      <c r="K538" s="81"/>
      <c r="L538" s="81"/>
      <c r="M538" s="81"/>
      <c r="N538" s="81"/>
      <c r="O538" s="81"/>
      <c r="P538" s="81"/>
      <c r="Q538" s="81"/>
      <c r="R538" s="81"/>
      <c r="S538" s="81"/>
      <c r="T538" s="81"/>
      <c r="U538" s="81"/>
      <c r="V538" s="94"/>
      <c r="W538" s="94"/>
    </row>
    <row r="539" spans="1:23" ht="21" customHeight="1">
      <c r="A539">
        <f>Table4[[#This Row],[Column1]]</f>
        <v>0</v>
      </c>
      <c r="B539">
        <f>Table4[[#This Row],[Column2]]</f>
        <v>0</v>
      </c>
      <c r="C539" s="81"/>
      <c r="D539" s="81"/>
      <c r="E539" s="81"/>
      <c r="F539" s="81"/>
      <c r="G539" s="81"/>
      <c r="H539" s="81"/>
      <c r="I539" s="81"/>
      <c r="J539" s="81"/>
      <c r="K539" s="81"/>
      <c r="L539" s="81"/>
      <c r="M539" s="81"/>
      <c r="N539" s="81"/>
      <c r="O539" s="81"/>
      <c r="P539" s="81"/>
      <c r="Q539" s="81"/>
      <c r="R539" s="81"/>
      <c r="S539" s="81"/>
      <c r="T539" s="81"/>
      <c r="U539" s="81"/>
      <c r="V539" s="94"/>
      <c r="W539" s="94"/>
    </row>
    <row r="540" spans="1:23" ht="21" customHeight="1">
      <c r="A540">
        <f>Table4[[#This Row],[Column1]]</f>
        <v>0</v>
      </c>
      <c r="B540">
        <f>Table4[[#This Row],[Column2]]</f>
        <v>0</v>
      </c>
      <c r="C540" s="81"/>
      <c r="D540" s="81"/>
      <c r="E540" s="81"/>
      <c r="F540" s="81"/>
      <c r="G540" s="81"/>
      <c r="H540" s="81"/>
      <c r="I540" s="81"/>
      <c r="J540" s="81"/>
      <c r="K540" s="81"/>
      <c r="L540" s="81"/>
      <c r="M540" s="81"/>
      <c r="N540" s="81"/>
      <c r="O540" s="81"/>
      <c r="P540" s="81"/>
      <c r="Q540" s="81"/>
      <c r="R540" s="81"/>
      <c r="S540" s="81"/>
      <c r="T540" s="81"/>
      <c r="U540" s="81"/>
      <c r="V540" s="94"/>
      <c r="W540" s="94"/>
    </row>
    <row r="541" spans="1:23" ht="21" customHeight="1">
      <c r="A541">
        <f>Table4[[#This Row],[Column1]]</f>
        <v>0</v>
      </c>
      <c r="B541">
        <f>Table4[[#This Row],[Column2]]</f>
        <v>0</v>
      </c>
      <c r="C541" s="81"/>
      <c r="D541" s="81"/>
      <c r="E541" s="81"/>
      <c r="F541" s="81"/>
      <c r="G541" s="81"/>
      <c r="H541" s="81"/>
      <c r="I541" s="81"/>
      <c r="J541" s="81"/>
      <c r="K541" s="81"/>
      <c r="L541" s="81"/>
      <c r="M541" s="81"/>
      <c r="N541" s="81"/>
      <c r="O541" s="81"/>
      <c r="P541" s="81"/>
      <c r="Q541" s="81"/>
      <c r="R541" s="81"/>
      <c r="S541" s="81"/>
      <c r="T541" s="81"/>
      <c r="U541" s="81"/>
      <c r="V541" s="94"/>
      <c r="W541" s="94"/>
    </row>
    <row r="542" spans="1:23" ht="21" customHeight="1">
      <c r="A542">
        <f>Table4[[#This Row],[Column1]]</f>
        <v>0</v>
      </c>
      <c r="B542">
        <f>Table4[[#This Row],[Column2]]</f>
        <v>0</v>
      </c>
      <c r="C542" s="81"/>
      <c r="D542" s="81"/>
      <c r="E542" s="81"/>
      <c r="F542" s="81"/>
      <c r="G542" s="81"/>
      <c r="H542" s="81"/>
      <c r="I542" s="81"/>
      <c r="J542" s="81"/>
      <c r="K542" s="81"/>
      <c r="L542" s="81"/>
      <c r="M542" s="81"/>
      <c r="N542" s="81"/>
      <c r="O542" s="81"/>
      <c r="P542" s="81"/>
      <c r="Q542" s="81"/>
      <c r="R542" s="81"/>
      <c r="S542" s="81"/>
      <c r="T542" s="81"/>
      <c r="U542" s="81"/>
      <c r="V542" s="94"/>
      <c r="W542" s="94"/>
    </row>
    <row r="543" spans="1:23" ht="21" customHeight="1">
      <c r="A543">
        <f>Table4[[#This Row],[Column1]]</f>
        <v>0</v>
      </c>
      <c r="B543">
        <f>Table4[[#This Row],[Column2]]</f>
        <v>0</v>
      </c>
      <c r="C543" s="81"/>
      <c r="D543" s="81"/>
      <c r="E543" s="81"/>
      <c r="F543" s="81"/>
      <c r="G543" s="81"/>
      <c r="H543" s="81"/>
      <c r="I543" s="81"/>
      <c r="J543" s="81"/>
      <c r="K543" s="81"/>
      <c r="L543" s="81"/>
      <c r="M543" s="81"/>
      <c r="N543" s="81"/>
      <c r="O543" s="81"/>
      <c r="P543" s="81"/>
      <c r="Q543" s="81"/>
      <c r="R543" s="81"/>
      <c r="S543" s="81"/>
      <c r="T543" s="81"/>
      <c r="U543" s="81"/>
      <c r="V543" s="94"/>
      <c r="W543" s="94"/>
    </row>
    <row r="544" spans="1:23" ht="21" customHeight="1">
      <c r="A544">
        <f>Table4[[#This Row],[Column1]]</f>
        <v>0</v>
      </c>
      <c r="B544">
        <f>Table4[[#This Row],[Column2]]</f>
        <v>0</v>
      </c>
      <c r="C544" s="81"/>
      <c r="D544" s="81"/>
      <c r="E544" s="81"/>
      <c r="F544" s="81"/>
      <c r="G544" s="81"/>
      <c r="H544" s="81"/>
      <c r="I544" s="81"/>
      <c r="J544" s="81"/>
      <c r="K544" s="81"/>
      <c r="L544" s="81"/>
      <c r="M544" s="81"/>
      <c r="N544" s="81"/>
      <c r="O544" s="81"/>
      <c r="P544" s="81"/>
      <c r="Q544" s="81"/>
      <c r="R544" s="81"/>
      <c r="S544" s="81"/>
      <c r="T544" s="81"/>
      <c r="U544" s="81"/>
      <c r="V544" s="94"/>
      <c r="W544" s="94"/>
    </row>
    <row r="545" spans="1:23" ht="21" customHeight="1">
      <c r="A545">
        <f>Table4[[#This Row],[Column1]]</f>
        <v>0</v>
      </c>
      <c r="B545">
        <f>Table4[[#This Row],[Column2]]</f>
        <v>0</v>
      </c>
      <c r="C545" s="81"/>
      <c r="D545" s="81"/>
      <c r="E545" s="81"/>
      <c r="F545" s="81"/>
      <c r="G545" s="81"/>
      <c r="H545" s="81"/>
      <c r="I545" s="81"/>
      <c r="J545" s="81"/>
      <c r="K545" s="81"/>
      <c r="L545" s="81"/>
      <c r="M545" s="81"/>
      <c r="N545" s="81"/>
      <c r="O545" s="81"/>
      <c r="P545" s="81"/>
      <c r="Q545" s="81"/>
      <c r="R545" s="81"/>
      <c r="S545" s="81"/>
      <c r="T545" s="81"/>
      <c r="U545" s="81"/>
      <c r="V545" s="94"/>
      <c r="W545" s="94"/>
    </row>
    <row r="546" spans="1:23" ht="21" customHeight="1">
      <c r="A546">
        <f>Table4[[#This Row],[Column1]]</f>
        <v>0</v>
      </c>
      <c r="B546">
        <f>Table4[[#This Row],[Column2]]</f>
        <v>0</v>
      </c>
      <c r="C546" s="81"/>
      <c r="D546" s="81"/>
      <c r="E546" s="81"/>
      <c r="F546" s="81"/>
      <c r="G546" s="81"/>
      <c r="H546" s="81"/>
      <c r="I546" s="81"/>
      <c r="J546" s="81"/>
      <c r="K546" s="81"/>
      <c r="L546" s="81"/>
      <c r="M546" s="81"/>
      <c r="N546" s="81"/>
      <c r="O546" s="81"/>
      <c r="P546" s="81"/>
      <c r="Q546" s="81"/>
      <c r="R546" s="81"/>
      <c r="S546" s="81"/>
      <c r="T546" s="81"/>
      <c r="U546" s="81"/>
      <c r="V546" s="94"/>
      <c r="W546" s="94"/>
    </row>
    <row r="547" spans="1:23" ht="21" customHeight="1">
      <c r="A547">
        <f>Table4[[#This Row],[Column1]]</f>
        <v>0</v>
      </c>
      <c r="B547">
        <f>Table4[[#This Row],[Column2]]</f>
        <v>0</v>
      </c>
      <c r="C547" s="81"/>
      <c r="D547" s="81"/>
      <c r="E547" s="81"/>
      <c r="F547" s="81"/>
      <c r="G547" s="81"/>
      <c r="H547" s="81"/>
      <c r="I547" s="81"/>
      <c r="J547" s="81"/>
      <c r="K547" s="81"/>
      <c r="L547" s="81"/>
      <c r="M547" s="81"/>
      <c r="N547" s="81"/>
      <c r="O547" s="81"/>
      <c r="P547" s="81"/>
      <c r="Q547" s="81"/>
      <c r="R547" s="81"/>
      <c r="S547" s="81"/>
      <c r="T547" s="81"/>
      <c r="U547" s="81"/>
      <c r="V547" s="94"/>
      <c r="W547" s="94"/>
    </row>
    <row r="548" spans="1:23" ht="21" customHeight="1">
      <c r="A548">
        <f>Table4[[#This Row],[Column1]]</f>
        <v>0</v>
      </c>
      <c r="B548">
        <f>Table4[[#This Row],[Column2]]</f>
        <v>0</v>
      </c>
      <c r="C548" s="81"/>
      <c r="D548" s="81"/>
      <c r="E548" s="81"/>
      <c r="F548" s="81"/>
      <c r="G548" s="81"/>
      <c r="H548" s="81"/>
      <c r="I548" s="81"/>
      <c r="J548" s="81"/>
      <c r="K548" s="81"/>
      <c r="L548" s="81"/>
      <c r="M548" s="81"/>
      <c r="N548" s="81"/>
      <c r="O548" s="81"/>
      <c r="P548" s="81"/>
      <c r="Q548" s="81"/>
      <c r="R548" s="81"/>
      <c r="S548" s="81"/>
      <c r="T548" s="81"/>
      <c r="U548" s="81"/>
      <c r="V548" s="94"/>
      <c r="W548" s="94"/>
    </row>
    <row r="549" spans="1:23" ht="21" customHeight="1">
      <c r="A549">
        <f>Table4[[#This Row],[Column1]]</f>
        <v>0</v>
      </c>
      <c r="B549">
        <f>Table4[[#This Row],[Column2]]</f>
        <v>0</v>
      </c>
      <c r="C549" s="81"/>
      <c r="D549" s="81"/>
      <c r="E549" s="81"/>
      <c r="F549" s="81"/>
      <c r="G549" s="81"/>
      <c r="H549" s="81"/>
      <c r="I549" s="81"/>
      <c r="J549" s="81"/>
      <c r="K549" s="81"/>
      <c r="L549" s="81"/>
      <c r="M549" s="81"/>
      <c r="N549" s="81"/>
      <c r="O549" s="81"/>
      <c r="P549" s="81"/>
      <c r="Q549" s="81"/>
      <c r="R549" s="81"/>
      <c r="S549" s="81"/>
      <c r="T549" s="81"/>
      <c r="U549" s="81"/>
      <c r="V549" s="94"/>
      <c r="W549" s="94"/>
    </row>
    <row r="550" spans="1:23" ht="21" customHeight="1">
      <c r="A550">
        <f>Table4[[#This Row],[Column1]]</f>
        <v>0</v>
      </c>
      <c r="B550">
        <f>Table4[[#This Row],[Column2]]</f>
        <v>0</v>
      </c>
      <c r="C550" s="81"/>
      <c r="D550" s="81"/>
      <c r="E550" s="81"/>
      <c r="F550" s="81"/>
      <c r="G550" s="81"/>
      <c r="H550" s="81"/>
      <c r="I550" s="81"/>
      <c r="J550" s="81"/>
      <c r="K550" s="81"/>
      <c r="L550" s="81"/>
      <c r="M550" s="81"/>
      <c r="N550" s="81"/>
      <c r="O550" s="81"/>
      <c r="P550" s="81"/>
      <c r="Q550" s="81"/>
      <c r="R550" s="81"/>
      <c r="S550" s="81"/>
      <c r="T550" s="81"/>
      <c r="U550" s="81"/>
      <c r="V550" s="94"/>
      <c r="W550" s="94"/>
    </row>
    <row r="551" spans="1:23" ht="21" customHeight="1">
      <c r="A551">
        <f>Table4[[#This Row],[Column1]]</f>
        <v>0</v>
      </c>
      <c r="B551">
        <f>Table4[[#This Row],[Column2]]</f>
        <v>0</v>
      </c>
      <c r="C551" s="81"/>
      <c r="D551" s="81"/>
      <c r="E551" s="81"/>
      <c r="F551" s="81"/>
      <c r="G551" s="81"/>
      <c r="H551" s="81"/>
      <c r="I551" s="81"/>
      <c r="J551" s="81"/>
      <c r="K551" s="81"/>
      <c r="L551" s="81"/>
      <c r="M551" s="81"/>
      <c r="N551" s="81"/>
      <c r="O551" s="81"/>
      <c r="P551" s="81"/>
      <c r="Q551" s="81"/>
      <c r="R551" s="81"/>
      <c r="S551" s="81"/>
      <c r="T551" s="81"/>
      <c r="U551" s="81"/>
      <c r="V551" s="94"/>
      <c r="W551" s="94"/>
    </row>
    <row r="552" spans="1:23" ht="21" customHeight="1">
      <c r="A552">
        <f>Table4[[#This Row],[Column1]]</f>
        <v>0</v>
      </c>
      <c r="B552">
        <f>Table4[[#This Row],[Column2]]</f>
        <v>0</v>
      </c>
      <c r="C552" s="81"/>
      <c r="D552" s="81"/>
      <c r="E552" s="81"/>
      <c r="F552" s="81"/>
      <c r="G552" s="81"/>
      <c r="H552" s="81"/>
      <c r="I552" s="81"/>
      <c r="J552" s="81"/>
      <c r="K552" s="81"/>
      <c r="L552" s="81"/>
      <c r="M552" s="81"/>
      <c r="N552" s="81"/>
      <c r="O552" s="81"/>
      <c r="P552" s="81"/>
      <c r="Q552" s="81"/>
      <c r="R552" s="81"/>
      <c r="S552" s="81"/>
      <c r="T552" s="81"/>
      <c r="U552" s="81"/>
      <c r="V552" s="94"/>
      <c r="W552" s="94"/>
    </row>
    <row r="553" spans="1:23" ht="21" customHeight="1">
      <c r="A553">
        <f>Table4[[#This Row],[Column1]]</f>
        <v>0</v>
      </c>
      <c r="B553">
        <f>Table4[[#This Row],[Column2]]</f>
        <v>0</v>
      </c>
      <c r="C553" s="81"/>
      <c r="D553" s="81"/>
      <c r="E553" s="81"/>
      <c r="F553" s="81"/>
      <c r="G553" s="81"/>
      <c r="H553" s="81"/>
      <c r="I553" s="81"/>
      <c r="J553" s="81"/>
      <c r="K553" s="81"/>
      <c r="L553" s="81"/>
      <c r="M553" s="81"/>
      <c r="N553" s="81"/>
      <c r="O553" s="81"/>
      <c r="P553" s="81"/>
      <c r="Q553" s="81"/>
      <c r="R553" s="81"/>
      <c r="S553" s="81"/>
      <c r="T553" s="81"/>
      <c r="U553" s="81"/>
      <c r="V553" s="94"/>
      <c r="W553" s="94"/>
    </row>
    <row r="554" spans="1:23" ht="21" customHeight="1">
      <c r="A554">
        <f>Table4[[#This Row],[Column1]]</f>
        <v>0</v>
      </c>
      <c r="B554">
        <f>Table4[[#This Row],[Column2]]</f>
        <v>0</v>
      </c>
      <c r="C554" s="81"/>
      <c r="D554" s="81"/>
      <c r="E554" s="81"/>
      <c r="F554" s="81"/>
      <c r="G554" s="81"/>
      <c r="H554" s="81"/>
      <c r="I554" s="81"/>
      <c r="J554" s="81"/>
      <c r="K554" s="81"/>
      <c r="L554" s="81"/>
      <c r="M554" s="81"/>
      <c r="N554" s="81"/>
      <c r="O554" s="81"/>
      <c r="P554" s="81"/>
      <c r="Q554" s="81"/>
      <c r="R554" s="81"/>
      <c r="S554" s="81"/>
      <c r="T554" s="81"/>
      <c r="U554" s="81"/>
      <c r="V554" s="94"/>
      <c r="W554" s="94"/>
    </row>
    <row r="555" spans="1:23" ht="21" customHeight="1">
      <c r="A555">
        <f>Table4[[#This Row],[Column1]]</f>
        <v>0</v>
      </c>
      <c r="B555">
        <f>Table4[[#This Row],[Column2]]</f>
        <v>0</v>
      </c>
      <c r="C555" s="81"/>
      <c r="D555" s="81"/>
      <c r="E555" s="81"/>
      <c r="F555" s="81"/>
      <c r="G555" s="81"/>
      <c r="H555" s="81"/>
      <c r="I555" s="81"/>
      <c r="J555" s="81"/>
      <c r="K555" s="81"/>
      <c r="L555" s="81"/>
      <c r="M555" s="81"/>
      <c r="N555" s="81"/>
      <c r="O555" s="81"/>
      <c r="P555" s="81"/>
      <c r="Q555" s="81"/>
      <c r="R555" s="81"/>
      <c r="S555" s="81"/>
      <c r="T555" s="81"/>
      <c r="U555" s="81"/>
      <c r="V555" s="94"/>
      <c r="W555" s="94"/>
    </row>
    <row r="556" spans="1:23" ht="21" customHeight="1">
      <c r="A556">
        <f>Table4[[#This Row],[Column1]]</f>
        <v>0</v>
      </c>
      <c r="B556">
        <f>Table4[[#This Row],[Column2]]</f>
        <v>0</v>
      </c>
      <c r="C556" s="81"/>
      <c r="D556" s="81"/>
      <c r="E556" s="81"/>
      <c r="F556" s="81"/>
      <c r="G556" s="81"/>
      <c r="H556" s="81"/>
      <c r="I556" s="81"/>
      <c r="J556" s="81"/>
      <c r="K556" s="81"/>
      <c r="L556" s="81"/>
      <c r="M556" s="81"/>
      <c r="N556" s="81"/>
      <c r="O556" s="81"/>
      <c r="P556" s="81"/>
      <c r="Q556" s="81"/>
      <c r="R556" s="81"/>
      <c r="S556" s="81"/>
      <c r="T556" s="81"/>
      <c r="U556" s="81"/>
      <c r="V556" s="94"/>
      <c r="W556" s="94"/>
    </row>
    <row r="557" spans="1:23" ht="21" customHeight="1">
      <c r="A557">
        <f>Table4[[#This Row],[Column1]]</f>
        <v>0</v>
      </c>
      <c r="B557">
        <f>Table4[[#This Row],[Column2]]</f>
        <v>0</v>
      </c>
      <c r="C557" s="81"/>
      <c r="D557" s="81"/>
      <c r="E557" s="81"/>
      <c r="F557" s="81"/>
      <c r="G557" s="81"/>
      <c r="H557" s="81"/>
      <c r="I557" s="81"/>
      <c r="J557" s="81"/>
      <c r="K557" s="81"/>
      <c r="L557" s="81"/>
      <c r="M557" s="81"/>
      <c r="N557" s="81"/>
      <c r="O557" s="81"/>
      <c r="P557" s="81"/>
      <c r="Q557" s="81"/>
      <c r="R557" s="81"/>
      <c r="S557" s="81"/>
      <c r="T557" s="81"/>
      <c r="U557" s="81"/>
      <c r="V557" s="94"/>
      <c r="W557" s="94"/>
    </row>
    <row r="558" spans="1:23" ht="21" customHeight="1">
      <c r="A558">
        <f>Table4[[#This Row],[Column1]]</f>
        <v>0</v>
      </c>
      <c r="B558">
        <f>Table4[[#This Row],[Column2]]</f>
        <v>0</v>
      </c>
      <c r="C558" s="81"/>
      <c r="D558" s="81"/>
      <c r="E558" s="81"/>
      <c r="F558" s="81"/>
      <c r="G558" s="81"/>
      <c r="H558" s="81"/>
      <c r="I558" s="81"/>
      <c r="J558" s="81"/>
      <c r="K558" s="81"/>
      <c r="L558" s="81"/>
      <c r="M558" s="81"/>
      <c r="N558" s="81"/>
      <c r="O558" s="81"/>
      <c r="P558" s="81"/>
      <c r="Q558" s="81"/>
      <c r="R558" s="81"/>
      <c r="S558" s="81"/>
      <c r="T558" s="81"/>
      <c r="U558" s="81"/>
      <c r="V558" s="94"/>
      <c r="W558" s="94"/>
    </row>
    <row r="559" spans="1:23" ht="21" customHeight="1">
      <c r="A559">
        <f>Table4[[#This Row],[Column1]]</f>
        <v>0</v>
      </c>
      <c r="B559">
        <f>Table4[[#This Row],[Column2]]</f>
        <v>0</v>
      </c>
      <c r="C559" s="81"/>
      <c r="D559" s="81"/>
      <c r="E559" s="81"/>
      <c r="F559" s="81"/>
      <c r="G559" s="81"/>
      <c r="H559" s="81"/>
      <c r="I559" s="81"/>
      <c r="J559" s="81"/>
      <c r="K559" s="81"/>
      <c r="L559" s="81"/>
      <c r="M559" s="81"/>
      <c r="N559" s="81"/>
      <c r="O559" s="81"/>
      <c r="P559" s="81"/>
      <c r="Q559" s="81"/>
      <c r="R559" s="81"/>
      <c r="S559" s="81"/>
      <c r="T559" s="81"/>
      <c r="U559" s="81"/>
      <c r="V559" s="94"/>
      <c r="W559" s="94"/>
    </row>
    <row r="560" spans="1:23" ht="21" customHeight="1">
      <c r="A560">
        <f>Table4[[#This Row],[Column1]]</f>
        <v>0</v>
      </c>
      <c r="B560">
        <f>Table4[[#This Row],[Column2]]</f>
        <v>0</v>
      </c>
      <c r="C560" s="81"/>
      <c r="D560" s="81"/>
      <c r="E560" s="81"/>
      <c r="F560" s="81"/>
      <c r="G560" s="81"/>
      <c r="H560" s="81"/>
      <c r="I560" s="81"/>
      <c r="J560" s="81"/>
      <c r="K560" s="81"/>
      <c r="L560" s="81"/>
      <c r="M560" s="81"/>
      <c r="N560" s="81"/>
      <c r="O560" s="81"/>
      <c r="P560" s="81"/>
      <c r="Q560" s="81"/>
      <c r="R560" s="81"/>
      <c r="S560" s="81"/>
      <c r="T560" s="81"/>
      <c r="U560" s="81"/>
      <c r="V560" s="94"/>
      <c r="W560" s="94"/>
    </row>
    <row r="561" spans="1:23" ht="21" customHeight="1">
      <c r="A561">
        <f>Table4[[#This Row],[Column1]]</f>
        <v>0</v>
      </c>
      <c r="B561">
        <f>Table4[[#This Row],[Column2]]</f>
        <v>0</v>
      </c>
      <c r="C561" s="81"/>
      <c r="D561" s="81"/>
      <c r="E561" s="81"/>
      <c r="F561" s="81"/>
      <c r="G561" s="81"/>
      <c r="H561" s="81"/>
      <c r="I561" s="81"/>
      <c r="J561" s="81"/>
      <c r="K561" s="81"/>
      <c r="L561" s="81"/>
      <c r="M561" s="81"/>
      <c r="N561" s="81"/>
      <c r="O561" s="81"/>
      <c r="P561" s="81"/>
      <c r="Q561" s="81"/>
      <c r="R561" s="81"/>
      <c r="S561" s="81"/>
      <c r="T561" s="81"/>
      <c r="U561" s="81"/>
      <c r="V561" s="94"/>
      <c r="W561" s="94"/>
    </row>
    <row r="562" spans="1:23" ht="21" customHeight="1">
      <c r="A562">
        <f>Table4[[#This Row],[Column1]]</f>
        <v>0</v>
      </c>
      <c r="B562">
        <f>Table4[[#This Row],[Column2]]</f>
        <v>0</v>
      </c>
      <c r="C562" s="81"/>
      <c r="D562" s="81"/>
      <c r="E562" s="81"/>
      <c r="F562" s="81"/>
      <c r="G562" s="81"/>
      <c r="H562" s="81"/>
      <c r="I562" s="81"/>
      <c r="J562" s="81"/>
      <c r="K562" s="81"/>
      <c r="L562" s="81"/>
      <c r="M562" s="81"/>
      <c r="N562" s="81"/>
      <c r="O562" s="81"/>
      <c r="P562" s="81"/>
      <c r="Q562" s="81"/>
      <c r="R562" s="81"/>
      <c r="S562" s="81"/>
      <c r="T562" s="81"/>
      <c r="U562" s="81"/>
      <c r="V562" s="94"/>
      <c r="W562" s="94"/>
    </row>
    <row r="563" spans="1:23" ht="21" customHeight="1">
      <c r="A563">
        <f>Table4[[#This Row],[Column1]]</f>
        <v>0</v>
      </c>
      <c r="B563">
        <f>Table4[[#This Row],[Column2]]</f>
        <v>0</v>
      </c>
      <c r="C563" s="81"/>
      <c r="D563" s="81"/>
      <c r="E563" s="81"/>
      <c r="F563" s="81"/>
      <c r="G563" s="81"/>
      <c r="H563" s="81"/>
      <c r="I563" s="81"/>
      <c r="J563" s="81"/>
      <c r="K563" s="81"/>
      <c r="L563" s="81"/>
      <c r="M563" s="81"/>
      <c r="N563" s="81"/>
      <c r="O563" s="81"/>
      <c r="P563" s="81"/>
      <c r="Q563" s="81"/>
      <c r="R563" s="81"/>
      <c r="S563" s="81"/>
      <c r="T563" s="81"/>
      <c r="U563" s="81"/>
      <c r="V563" s="94"/>
      <c r="W563" s="94"/>
    </row>
    <row r="564" spans="1:23" ht="21" customHeight="1">
      <c r="A564">
        <f>Table4[[#This Row],[Column1]]</f>
        <v>0</v>
      </c>
      <c r="B564">
        <f>Table4[[#This Row],[Column2]]</f>
        <v>0</v>
      </c>
      <c r="C564" s="81"/>
      <c r="D564" s="81"/>
      <c r="E564" s="81"/>
      <c r="F564" s="81"/>
      <c r="G564" s="81"/>
      <c r="H564" s="81"/>
      <c r="I564" s="81"/>
      <c r="J564" s="81"/>
      <c r="K564" s="81"/>
      <c r="L564" s="81"/>
      <c r="M564" s="81"/>
      <c r="N564" s="81"/>
      <c r="O564" s="81"/>
      <c r="P564" s="81"/>
      <c r="Q564" s="81"/>
      <c r="R564" s="81"/>
      <c r="S564" s="81"/>
      <c r="T564" s="81"/>
      <c r="U564" s="81"/>
      <c r="V564" s="94"/>
      <c r="W564" s="94"/>
    </row>
    <row r="565" spans="1:23" ht="21" customHeight="1">
      <c r="A565">
        <f>Table4[[#This Row],[Column1]]</f>
        <v>0</v>
      </c>
      <c r="B565">
        <f>Table4[[#This Row],[Column2]]</f>
        <v>0</v>
      </c>
      <c r="C565" s="81"/>
      <c r="D565" s="81"/>
      <c r="E565" s="81"/>
      <c r="F565" s="81"/>
      <c r="G565" s="81"/>
      <c r="H565" s="81"/>
      <c r="I565" s="81"/>
      <c r="J565" s="81"/>
      <c r="K565" s="81"/>
      <c r="L565" s="81"/>
      <c r="M565" s="81"/>
      <c r="N565" s="81"/>
      <c r="O565" s="81"/>
      <c r="P565" s="81"/>
      <c r="Q565" s="81"/>
      <c r="R565" s="81"/>
      <c r="S565" s="81"/>
      <c r="T565" s="81"/>
      <c r="U565" s="81"/>
      <c r="V565" s="94"/>
      <c r="W565" s="94"/>
    </row>
    <row r="566" spans="1:23" ht="21" customHeight="1">
      <c r="A566">
        <f>Table4[[#This Row],[Column1]]</f>
        <v>0</v>
      </c>
      <c r="B566">
        <f>Table4[[#This Row],[Column2]]</f>
        <v>0</v>
      </c>
      <c r="C566" s="81"/>
      <c r="D566" s="81"/>
      <c r="E566" s="81"/>
      <c r="F566" s="81"/>
      <c r="G566" s="81"/>
      <c r="H566" s="81"/>
      <c r="I566" s="81"/>
      <c r="J566" s="81"/>
      <c r="K566" s="81"/>
      <c r="L566" s="81"/>
      <c r="M566" s="81"/>
      <c r="N566" s="81"/>
      <c r="O566" s="81"/>
      <c r="P566" s="81"/>
      <c r="Q566" s="81"/>
      <c r="R566" s="81"/>
      <c r="S566" s="81"/>
      <c r="T566" s="81"/>
      <c r="U566" s="81"/>
      <c r="V566" s="94"/>
      <c r="W566" s="94"/>
    </row>
    <row r="567" spans="1:23" ht="21" customHeight="1">
      <c r="A567">
        <f>Table4[[#This Row],[Column1]]</f>
        <v>0</v>
      </c>
      <c r="B567">
        <f>Table4[[#This Row],[Column2]]</f>
        <v>0</v>
      </c>
      <c r="C567" s="81"/>
      <c r="D567" s="81"/>
      <c r="E567" s="81"/>
      <c r="F567" s="81"/>
      <c r="G567" s="81"/>
      <c r="H567" s="81"/>
      <c r="I567" s="81"/>
      <c r="J567" s="81"/>
      <c r="K567" s="81"/>
      <c r="L567" s="81"/>
      <c r="M567" s="81"/>
      <c r="N567" s="81"/>
      <c r="O567" s="81"/>
      <c r="P567" s="81"/>
      <c r="Q567" s="81"/>
      <c r="R567" s="81"/>
      <c r="S567" s="81"/>
      <c r="T567" s="81"/>
      <c r="U567" s="81"/>
      <c r="V567" s="94"/>
      <c r="W567" s="94"/>
    </row>
    <row r="568" spans="1:23" ht="21" customHeight="1">
      <c r="A568">
        <f>Table4[[#This Row],[Column1]]</f>
        <v>0</v>
      </c>
      <c r="B568">
        <f>Table4[[#This Row],[Column2]]</f>
        <v>0</v>
      </c>
      <c r="C568" s="81"/>
      <c r="D568" s="81"/>
      <c r="E568" s="81"/>
      <c r="F568" s="81"/>
      <c r="G568" s="81"/>
      <c r="H568" s="81"/>
      <c r="I568" s="81"/>
      <c r="J568" s="81"/>
      <c r="K568" s="81"/>
      <c r="L568" s="81"/>
      <c r="M568" s="81"/>
      <c r="N568" s="81"/>
      <c r="O568" s="81"/>
      <c r="P568" s="81"/>
      <c r="Q568" s="81"/>
      <c r="R568" s="81"/>
      <c r="S568" s="81"/>
      <c r="T568" s="81"/>
      <c r="U568" s="81"/>
      <c r="V568" s="94"/>
      <c r="W568" s="94"/>
    </row>
    <row r="569" spans="1:23" ht="21" customHeight="1">
      <c r="A569">
        <f>Table4[[#This Row],[Column1]]</f>
        <v>0</v>
      </c>
      <c r="B569">
        <f>Table4[[#This Row],[Column2]]</f>
        <v>0</v>
      </c>
      <c r="C569" s="81"/>
      <c r="D569" s="81"/>
      <c r="E569" s="81"/>
      <c r="F569" s="81"/>
      <c r="G569" s="81"/>
      <c r="H569" s="81"/>
      <c r="I569" s="81"/>
      <c r="J569" s="81"/>
      <c r="K569" s="81"/>
      <c r="L569" s="81"/>
      <c r="M569" s="81"/>
      <c r="N569" s="81"/>
      <c r="O569" s="81"/>
      <c r="P569" s="81"/>
      <c r="Q569" s="81"/>
      <c r="R569" s="81"/>
      <c r="S569" s="81"/>
      <c r="T569" s="81"/>
      <c r="U569" s="81"/>
      <c r="V569" s="94"/>
      <c r="W569" s="94"/>
    </row>
    <row r="570" spans="1:23" ht="21" customHeight="1">
      <c r="A570">
        <f>Table4[[#This Row],[Column1]]</f>
        <v>0</v>
      </c>
      <c r="B570">
        <f>Table4[[#This Row],[Column2]]</f>
        <v>0</v>
      </c>
      <c r="C570" s="81"/>
      <c r="D570" s="81"/>
      <c r="E570" s="81"/>
      <c r="F570" s="81"/>
      <c r="G570" s="81"/>
      <c r="H570" s="81"/>
      <c r="I570" s="81"/>
      <c r="J570" s="81"/>
      <c r="K570" s="81"/>
      <c r="L570" s="81"/>
      <c r="M570" s="81"/>
      <c r="N570" s="81"/>
      <c r="O570" s="81"/>
      <c r="P570" s="81"/>
      <c r="Q570" s="81"/>
      <c r="R570" s="81"/>
      <c r="S570" s="81"/>
      <c r="T570" s="81"/>
      <c r="U570" s="81"/>
      <c r="V570" s="94"/>
      <c r="W570" s="94"/>
    </row>
    <row r="571" spans="1:23" ht="21" customHeight="1">
      <c r="A571">
        <f>Table4[[#This Row],[Column1]]</f>
        <v>0</v>
      </c>
      <c r="B571">
        <f>Table4[[#This Row],[Column2]]</f>
        <v>0</v>
      </c>
      <c r="C571" s="81"/>
      <c r="D571" s="81"/>
      <c r="E571" s="81"/>
      <c r="F571" s="81"/>
      <c r="G571" s="81"/>
      <c r="H571" s="81"/>
      <c r="I571" s="81"/>
      <c r="J571" s="81"/>
      <c r="K571" s="81"/>
      <c r="L571" s="81"/>
      <c r="M571" s="81"/>
      <c r="N571" s="81"/>
      <c r="O571" s="81"/>
      <c r="P571" s="81"/>
      <c r="Q571" s="81"/>
      <c r="R571" s="81"/>
      <c r="S571" s="81"/>
      <c r="T571" s="81"/>
      <c r="U571" s="81"/>
      <c r="V571" s="94"/>
      <c r="W571" s="94"/>
    </row>
    <row r="572" spans="1:23" ht="21" customHeight="1">
      <c r="A572">
        <f>Table4[[#This Row],[Column1]]</f>
        <v>0</v>
      </c>
      <c r="B572">
        <f>Table4[[#This Row],[Column2]]</f>
        <v>0</v>
      </c>
      <c r="C572" s="81"/>
      <c r="D572" s="81"/>
      <c r="E572" s="81"/>
      <c r="F572" s="81"/>
      <c r="G572" s="81"/>
      <c r="H572" s="81"/>
      <c r="I572" s="81"/>
      <c r="J572" s="81"/>
      <c r="K572" s="81"/>
      <c r="L572" s="81"/>
      <c r="M572" s="81"/>
      <c r="N572" s="81"/>
      <c r="O572" s="81"/>
      <c r="P572" s="81"/>
      <c r="Q572" s="81"/>
      <c r="R572" s="81"/>
      <c r="S572" s="81"/>
      <c r="T572" s="81"/>
      <c r="U572" s="81"/>
      <c r="V572" s="94"/>
      <c r="W572" s="94"/>
    </row>
    <row r="573" spans="1:23" ht="21" customHeight="1">
      <c r="A573">
        <f>Table4[[#This Row],[Column1]]</f>
        <v>0</v>
      </c>
      <c r="B573">
        <f>Table4[[#This Row],[Column2]]</f>
        <v>0</v>
      </c>
      <c r="C573" s="81"/>
      <c r="D573" s="81"/>
      <c r="E573" s="81"/>
      <c r="F573" s="81"/>
      <c r="G573" s="81"/>
      <c r="H573" s="81"/>
      <c r="I573" s="81"/>
      <c r="J573" s="81"/>
      <c r="K573" s="81"/>
      <c r="L573" s="81"/>
      <c r="M573" s="81"/>
      <c r="N573" s="81"/>
      <c r="O573" s="81"/>
      <c r="P573" s="81"/>
      <c r="Q573" s="81"/>
      <c r="R573" s="81"/>
      <c r="S573" s="81"/>
      <c r="T573" s="81"/>
      <c r="U573" s="81"/>
      <c r="V573" s="94"/>
      <c r="W573" s="94"/>
    </row>
    <row r="574" spans="1:23" ht="21" customHeight="1">
      <c r="A574">
        <f>Table4[[#This Row],[Column1]]</f>
        <v>0</v>
      </c>
      <c r="B574">
        <f>Table4[[#This Row],[Column2]]</f>
        <v>0</v>
      </c>
      <c r="C574" s="81"/>
      <c r="D574" s="81"/>
      <c r="E574" s="81"/>
      <c r="F574" s="81"/>
      <c r="G574" s="81"/>
      <c r="H574" s="81"/>
      <c r="I574" s="81"/>
      <c r="J574" s="81"/>
      <c r="K574" s="81"/>
      <c r="L574" s="81"/>
      <c r="M574" s="81"/>
      <c r="N574" s="81"/>
      <c r="O574" s="81"/>
      <c r="P574" s="81"/>
      <c r="Q574" s="81"/>
      <c r="R574" s="81"/>
      <c r="S574" s="81"/>
      <c r="T574" s="81"/>
      <c r="U574" s="81"/>
      <c r="V574" s="94"/>
      <c r="W574" s="94"/>
    </row>
    <row r="575" spans="1:23" ht="21" customHeight="1">
      <c r="A575">
        <f>Table4[[#This Row],[Column1]]</f>
        <v>0</v>
      </c>
      <c r="B575">
        <f>Table4[[#This Row],[Column2]]</f>
        <v>0</v>
      </c>
      <c r="C575" s="81"/>
      <c r="D575" s="81"/>
      <c r="E575" s="81"/>
      <c r="F575" s="81"/>
      <c r="G575" s="81"/>
      <c r="H575" s="81"/>
      <c r="I575" s="81"/>
      <c r="J575" s="81"/>
      <c r="K575" s="81"/>
      <c r="L575" s="81"/>
      <c r="M575" s="81"/>
      <c r="N575" s="81"/>
      <c r="O575" s="81"/>
      <c r="P575" s="81"/>
      <c r="Q575" s="81"/>
      <c r="R575" s="81"/>
      <c r="S575" s="81"/>
      <c r="T575" s="81"/>
      <c r="U575" s="81"/>
      <c r="V575" s="94"/>
      <c r="W575" s="94"/>
    </row>
    <row r="576" spans="1:23" ht="21" customHeight="1">
      <c r="A576">
        <f>Table4[[#This Row],[Column1]]</f>
        <v>0</v>
      </c>
      <c r="B576">
        <f>Table4[[#This Row],[Column2]]</f>
        <v>0</v>
      </c>
      <c r="C576" s="81"/>
      <c r="D576" s="81"/>
      <c r="E576" s="81"/>
      <c r="F576" s="81"/>
      <c r="G576" s="81"/>
      <c r="H576" s="81"/>
      <c r="I576" s="81"/>
      <c r="J576" s="81"/>
      <c r="K576" s="81"/>
      <c r="L576" s="81"/>
      <c r="M576" s="81"/>
      <c r="N576" s="81"/>
      <c r="O576" s="81"/>
      <c r="P576" s="81"/>
      <c r="Q576" s="81"/>
      <c r="R576" s="81"/>
      <c r="S576" s="81"/>
      <c r="T576" s="81"/>
      <c r="U576" s="81"/>
      <c r="V576" s="94"/>
      <c r="W576" s="94"/>
    </row>
    <row r="577" spans="1:23" ht="21" customHeight="1">
      <c r="A577">
        <f>Table4[[#This Row],[Column1]]</f>
        <v>0</v>
      </c>
      <c r="B577">
        <f>Table4[[#This Row],[Column2]]</f>
        <v>0</v>
      </c>
      <c r="C577" s="81"/>
      <c r="D577" s="81"/>
      <c r="E577" s="81"/>
      <c r="F577" s="81"/>
      <c r="G577" s="81"/>
      <c r="H577" s="81"/>
      <c r="I577" s="81"/>
      <c r="J577" s="81"/>
      <c r="K577" s="81"/>
      <c r="L577" s="81"/>
      <c r="M577" s="81"/>
      <c r="N577" s="81"/>
      <c r="O577" s="81"/>
      <c r="P577" s="81"/>
      <c r="Q577" s="81"/>
      <c r="R577" s="81"/>
      <c r="S577" s="81"/>
      <c r="T577" s="81"/>
      <c r="U577" s="81"/>
      <c r="V577" s="94"/>
      <c r="W577" s="94"/>
    </row>
    <row r="578" spans="1:23" ht="21" customHeight="1">
      <c r="A578">
        <f>Table4[[#This Row],[Column1]]</f>
        <v>0</v>
      </c>
      <c r="B578">
        <f>Table4[[#This Row],[Column2]]</f>
        <v>0</v>
      </c>
      <c r="C578" s="81"/>
      <c r="D578" s="81"/>
      <c r="E578" s="81"/>
      <c r="F578" s="81"/>
      <c r="G578" s="81"/>
      <c r="H578" s="81"/>
      <c r="I578" s="81"/>
      <c r="J578" s="81"/>
      <c r="K578" s="81"/>
      <c r="L578" s="81"/>
      <c r="M578" s="81"/>
      <c r="N578" s="81"/>
      <c r="O578" s="81"/>
      <c r="P578" s="81"/>
      <c r="Q578" s="81"/>
      <c r="R578" s="81"/>
      <c r="S578" s="81"/>
      <c r="T578" s="81"/>
      <c r="U578" s="81"/>
      <c r="V578" s="94"/>
      <c r="W578" s="94"/>
    </row>
    <row r="579" spans="1:23" ht="21" customHeight="1">
      <c r="A579">
        <f>Table4[[#This Row],[Column1]]</f>
        <v>0</v>
      </c>
      <c r="B579">
        <f>Table4[[#This Row],[Column2]]</f>
        <v>0</v>
      </c>
      <c r="C579" s="81"/>
      <c r="D579" s="81"/>
      <c r="E579" s="81"/>
      <c r="F579" s="81"/>
      <c r="G579" s="81"/>
      <c r="H579" s="81"/>
      <c r="I579" s="81"/>
      <c r="J579" s="81"/>
      <c r="K579" s="81"/>
      <c r="L579" s="81"/>
      <c r="M579" s="81"/>
      <c r="N579" s="81"/>
      <c r="O579" s="81"/>
      <c r="P579" s="81"/>
      <c r="Q579" s="81"/>
      <c r="R579" s="81"/>
      <c r="S579" s="81"/>
      <c r="T579" s="81"/>
      <c r="U579" s="81"/>
      <c r="V579" s="94"/>
      <c r="W579" s="94"/>
    </row>
    <row r="580" spans="1:23" ht="21" customHeight="1">
      <c r="A580">
        <f>Table4[[#This Row],[Column1]]</f>
        <v>0</v>
      </c>
      <c r="B580">
        <f>Table4[[#This Row],[Column2]]</f>
        <v>0</v>
      </c>
      <c r="C580" s="81"/>
      <c r="D580" s="81"/>
      <c r="E580" s="81"/>
      <c r="F580" s="81"/>
      <c r="G580" s="81"/>
      <c r="H580" s="81"/>
      <c r="I580" s="81"/>
      <c r="J580" s="81"/>
      <c r="K580" s="81"/>
      <c r="L580" s="81"/>
      <c r="M580" s="81"/>
      <c r="N580" s="81"/>
      <c r="O580" s="81"/>
      <c r="P580" s="81"/>
      <c r="Q580" s="81"/>
      <c r="R580" s="81"/>
      <c r="S580" s="81"/>
      <c r="T580" s="81"/>
      <c r="U580" s="81"/>
      <c r="V580" s="94"/>
      <c r="W580" s="94"/>
    </row>
    <row r="581" spans="1:23" ht="21" customHeight="1">
      <c r="A581">
        <f>Table4[[#This Row],[Column1]]</f>
        <v>0</v>
      </c>
      <c r="B581">
        <f>Table4[[#This Row],[Column2]]</f>
        <v>0</v>
      </c>
      <c r="C581" s="81"/>
      <c r="D581" s="81"/>
      <c r="E581" s="81"/>
      <c r="F581" s="81"/>
      <c r="G581" s="81"/>
      <c r="H581" s="81"/>
      <c r="I581" s="81"/>
      <c r="J581" s="81"/>
      <c r="K581" s="81"/>
      <c r="L581" s="81"/>
      <c r="M581" s="81"/>
      <c r="N581" s="81"/>
      <c r="O581" s="81"/>
      <c r="P581" s="81"/>
      <c r="Q581" s="81"/>
      <c r="R581" s="81"/>
      <c r="S581" s="81"/>
      <c r="T581" s="81"/>
      <c r="U581" s="81"/>
      <c r="V581" s="94"/>
      <c r="W581" s="94"/>
    </row>
    <row r="582" spans="1:23" ht="21" customHeight="1">
      <c r="A582">
        <f>Table4[[#This Row],[Column1]]</f>
        <v>0</v>
      </c>
      <c r="B582">
        <f>Table4[[#This Row],[Column2]]</f>
        <v>0</v>
      </c>
      <c r="C582" s="81"/>
      <c r="D582" s="81"/>
      <c r="E582" s="81"/>
      <c r="F582" s="81"/>
      <c r="G582" s="81"/>
      <c r="H582" s="81"/>
      <c r="I582" s="81"/>
      <c r="J582" s="81"/>
      <c r="K582" s="81"/>
      <c r="L582" s="81"/>
      <c r="M582" s="81"/>
      <c r="N582" s="81"/>
      <c r="O582" s="81"/>
      <c r="P582" s="81"/>
      <c r="Q582" s="81"/>
      <c r="R582" s="81"/>
      <c r="S582" s="81"/>
      <c r="T582" s="81"/>
      <c r="U582" s="81"/>
      <c r="V582" s="94"/>
      <c r="W582" s="94"/>
    </row>
    <row r="583" spans="1:23" ht="21" customHeight="1">
      <c r="A583">
        <f>Table4[[#This Row],[Column1]]</f>
        <v>0</v>
      </c>
      <c r="B583">
        <f>Table4[[#This Row],[Column2]]</f>
        <v>0</v>
      </c>
      <c r="C583" s="81"/>
      <c r="D583" s="81"/>
      <c r="E583" s="81"/>
      <c r="F583" s="81"/>
      <c r="G583" s="81"/>
      <c r="H583" s="81"/>
      <c r="I583" s="81"/>
      <c r="J583" s="81"/>
      <c r="K583" s="81"/>
      <c r="L583" s="81"/>
      <c r="M583" s="81"/>
      <c r="N583" s="81"/>
      <c r="O583" s="81"/>
      <c r="P583" s="81"/>
      <c r="Q583" s="81"/>
      <c r="R583" s="81"/>
      <c r="S583" s="81"/>
      <c r="T583" s="81"/>
      <c r="U583" s="81"/>
      <c r="V583" s="94"/>
      <c r="W583" s="94"/>
    </row>
    <row r="584" spans="1:23" ht="21" customHeight="1">
      <c r="A584">
        <f>Table4[[#This Row],[Column1]]</f>
        <v>0</v>
      </c>
      <c r="B584">
        <f>Table4[[#This Row],[Column2]]</f>
        <v>0</v>
      </c>
      <c r="C584" s="81"/>
      <c r="D584" s="81"/>
      <c r="E584" s="81"/>
      <c r="F584" s="81"/>
      <c r="G584" s="81"/>
      <c r="H584" s="81"/>
      <c r="I584" s="81"/>
      <c r="J584" s="81"/>
      <c r="K584" s="81"/>
      <c r="L584" s="81"/>
      <c r="M584" s="81"/>
      <c r="N584" s="81"/>
      <c r="O584" s="81"/>
      <c r="P584" s="81"/>
      <c r="Q584" s="81"/>
      <c r="R584" s="81"/>
      <c r="S584" s="81"/>
      <c r="T584" s="81"/>
      <c r="U584" s="81"/>
      <c r="V584" s="94"/>
      <c r="W584" s="94"/>
    </row>
    <row r="585" spans="1:23" ht="21" customHeight="1">
      <c r="A585">
        <f>Table4[[#This Row],[Column1]]</f>
        <v>0</v>
      </c>
      <c r="B585">
        <f>Table4[[#This Row],[Column2]]</f>
        <v>0</v>
      </c>
      <c r="C585" s="81"/>
      <c r="D585" s="81"/>
      <c r="E585" s="81"/>
      <c r="F585" s="81"/>
      <c r="G585" s="81"/>
      <c r="H585" s="81"/>
      <c r="I585" s="81"/>
      <c r="J585" s="81"/>
      <c r="K585" s="81"/>
      <c r="L585" s="81"/>
      <c r="M585" s="81"/>
      <c r="N585" s="81"/>
      <c r="O585" s="81"/>
      <c r="P585" s="81"/>
      <c r="Q585" s="81"/>
      <c r="R585" s="81"/>
      <c r="S585" s="81"/>
      <c r="T585" s="81"/>
      <c r="U585" s="81"/>
      <c r="V585" s="94"/>
      <c r="W585" s="94"/>
    </row>
    <row r="586" spans="1:23" ht="21" customHeight="1">
      <c r="A586">
        <f>Table4[[#This Row],[Column1]]</f>
        <v>0</v>
      </c>
      <c r="B586">
        <f>Table4[[#This Row],[Column2]]</f>
        <v>0</v>
      </c>
      <c r="C586" s="81"/>
      <c r="D586" s="81"/>
      <c r="E586" s="81"/>
      <c r="F586" s="81"/>
      <c r="G586" s="81"/>
      <c r="H586" s="81"/>
      <c r="I586" s="81"/>
      <c r="J586" s="81"/>
      <c r="K586" s="81"/>
      <c r="L586" s="81"/>
      <c r="M586" s="81"/>
      <c r="N586" s="81"/>
      <c r="O586" s="81"/>
      <c r="P586" s="81"/>
      <c r="Q586" s="81"/>
      <c r="R586" s="81"/>
      <c r="S586" s="81"/>
      <c r="T586" s="81"/>
      <c r="U586" s="81"/>
      <c r="V586" s="94"/>
      <c r="W586" s="94"/>
    </row>
    <row r="587" spans="1:23" ht="21" customHeight="1">
      <c r="A587">
        <f>Table4[[#This Row],[Column1]]</f>
        <v>0</v>
      </c>
      <c r="B587">
        <f>Table4[[#This Row],[Column2]]</f>
        <v>0</v>
      </c>
      <c r="C587" s="81"/>
      <c r="D587" s="81"/>
      <c r="E587" s="81"/>
      <c r="F587" s="81"/>
      <c r="G587" s="81"/>
      <c r="H587" s="81"/>
      <c r="I587" s="81"/>
      <c r="J587" s="81"/>
      <c r="K587" s="81"/>
      <c r="L587" s="81"/>
      <c r="M587" s="81"/>
      <c r="N587" s="81"/>
      <c r="O587" s="81"/>
      <c r="P587" s="81"/>
      <c r="Q587" s="81"/>
      <c r="R587" s="81"/>
      <c r="S587" s="81"/>
      <c r="T587" s="81"/>
      <c r="U587" s="81"/>
      <c r="V587" s="94"/>
      <c r="W587" s="94"/>
    </row>
    <row r="588" spans="1:23" ht="21" customHeight="1">
      <c r="A588">
        <f>Table4[[#This Row],[Column1]]</f>
        <v>0</v>
      </c>
      <c r="B588">
        <f>Table4[[#This Row],[Column2]]</f>
        <v>0</v>
      </c>
      <c r="C588" s="81"/>
      <c r="D588" s="81"/>
      <c r="E588" s="81"/>
      <c r="F588" s="81"/>
      <c r="G588" s="81"/>
      <c r="H588" s="81"/>
      <c r="I588" s="81"/>
      <c r="J588" s="81"/>
      <c r="K588" s="81"/>
      <c r="L588" s="81"/>
      <c r="M588" s="81"/>
      <c r="N588" s="81"/>
      <c r="O588" s="81"/>
      <c r="P588" s="81"/>
      <c r="Q588" s="81"/>
      <c r="R588" s="81"/>
      <c r="S588" s="81"/>
      <c r="T588" s="81"/>
      <c r="U588" s="81"/>
      <c r="V588" s="94"/>
      <c r="W588" s="94"/>
    </row>
    <row r="589" spans="1:23" ht="21" customHeight="1">
      <c r="A589">
        <f>Table4[[#This Row],[Column1]]</f>
        <v>0</v>
      </c>
      <c r="B589">
        <f>Table4[[#This Row],[Column2]]</f>
        <v>0</v>
      </c>
      <c r="C589" s="81"/>
      <c r="D589" s="81"/>
      <c r="E589" s="81"/>
      <c r="F589" s="81"/>
      <c r="G589" s="81"/>
      <c r="H589" s="81"/>
      <c r="I589" s="81"/>
      <c r="J589" s="81"/>
      <c r="K589" s="81"/>
      <c r="L589" s="81"/>
      <c r="M589" s="81"/>
      <c r="N589" s="81"/>
      <c r="O589" s="81"/>
      <c r="P589" s="81"/>
      <c r="Q589" s="81"/>
      <c r="R589" s="81"/>
      <c r="S589" s="81"/>
      <c r="T589" s="81"/>
      <c r="U589" s="81"/>
      <c r="V589" s="94"/>
      <c r="W589" s="94"/>
    </row>
    <row r="590" spans="1:23" ht="21" customHeight="1">
      <c r="A590">
        <f>Table4[[#This Row],[Column1]]</f>
        <v>0</v>
      </c>
      <c r="B590">
        <f>Table4[[#This Row],[Column2]]</f>
        <v>0</v>
      </c>
      <c r="C590" s="81"/>
      <c r="D590" s="81"/>
      <c r="E590" s="81"/>
      <c r="F590" s="81"/>
      <c r="G590" s="81"/>
      <c r="H590" s="81"/>
      <c r="I590" s="81"/>
      <c r="J590" s="81"/>
      <c r="K590" s="81"/>
      <c r="L590" s="81"/>
      <c r="M590" s="81"/>
      <c r="N590" s="81"/>
      <c r="O590" s="81"/>
      <c r="P590" s="81"/>
      <c r="Q590" s="81"/>
      <c r="R590" s="81"/>
      <c r="S590" s="81"/>
      <c r="T590" s="81"/>
      <c r="U590" s="81"/>
      <c r="V590" s="94"/>
      <c r="W590" s="94"/>
    </row>
    <row r="591" spans="1:23" ht="21" customHeight="1">
      <c r="A591">
        <f>Table4[[#This Row],[Column1]]</f>
        <v>0</v>
      </c>
      <c r="B591">
        <f>Table4[[#This Row],[Column2]]</f>
        <v>0</v>
      </c>
      <c r="C591" s="81"/>
      <c r="D591" s="81"/>
      <c r="E591" s="81"/>
      <c r="F591" s="81"/>
      <c r="G591" s="81"/>
      <c r="H591" s="81"/>
      <c r="I591" s="81"/>
      <c r="J591" s="81"/>
      <c r="K591" s="81"/>
      <c r="L591" s="81"/>
      <c r="M591" s="81"/>
      <c r="N591" s="81"/>
      <c r="O591" s="81"/>
      <c r="P591" s="81"/>
      <c r="Q591" s="81"/>
      <c r="R591" s="81"/>
      <c r="S591" s="81"/>
      <c r="T591" s="81"/>
      <c r="U591" s="81"/>
      <c r="V591" s="94"/>
      <c r="W591" s="94"/>
    </row>
    <row r="592" spans="1:23" ht="21" customHeight="1">
      <c r="A592">
        <f>Table4[[#This Row],[Column1]]</f>
        <v>0</v>
      </c>
      <c r="B592">
        <f>Table4[[#This Row],[Column2]]</f>
        <v>0</v>
      </c>
      <c r="C592" s="81"/>
      <c r="D592" s="81"/>
      <c r="E592" s="81"/>
      <c r="F592" s="81"/>
      <c r="G592" s="81"/>
      <c r="H592" s="81"/>
      <c r="I592" s="81"/>
      <c r="J592" s="81"/>
      <c r="K592" s="81"/>
      <c r="L592" s="81"/>
      <c r="M592" s="81"/>
      <c r="N592" s="81"/>
      <c r="O592" s="81"/>
      <c r="P592" s="81"/>
      <c r="Q592" s="81"/>
      <c r="R592" s="81"/>
      <c r="S592" s="81"/>
      <c r="T592" s="81"/>
      <c r="U592" s="81"/>
      <c r="V592" s="94"/>
      <c r="W592" s="94"/>
    </row>
    <row r="593" spans="1:23" ht="21" customHeight="1">
      <c r="A593">
        <f>Table4[[#This Row],[Column1]]</f>
        <v>0</v>
      </c>
      <c r="B593">
        <f>Table4[[#This Row],[Column2]]</f>
        <v>0</v>
      </c>
      <c r="C593" s="81"/>
      <c r="D593" s="81"/>
      <c r="E593" s="81"/>
      <c r="F593" s="81"/>
      <c r="G593" s="81"/>
      <c r="H593" s="81"/>
      <c r="I593" s="81"/>
      <c r="J593" s="81"/>
      <c r="K593" s="81"/>
      <c r="L593" s="81"/>
      <c r="M593" s="81"/>
      <c r="N593" s="81"/>
      <c r="O593" s="81"/>
      <c r="P593" s="81"/>
      <c r="Q593" s="81"/>
      <c r="R593" s="81"/>
      <c r="S593" s="81"/>
      <c r="T593" s="81"/>
      <c r="U593" s="81"/>
      <c r="V593" s="94"/>
      <c r="W593" s="94"/>
    </row>
    <row r="594" spans="1:23" ht="21" customHeight="1">
      <c r="A594">
        <f>Table4[[#This Row],[Column1]]</f>
        <v>0</v>
      </c>
      <c r="B594">
        <f>Table4[[#This Row],[Column2]]</f>
        <v>0</v>
      </c>
      <c r="C594" s="81"/>
      <c r="D594" s="81"/>
      <c r="E594" s="81"/>
      <c r="F594" s="81"/>
      <c r="G594" s="81"/>
      <c r="H594" s="81"/>
      <c r="I594" s="81"/>
      <c r="J594" s="81"/>
      <c r="K594" s="81"/>
      <c r="L594" s="81"/>
      <c r="M594" s="81"/>
      <c r="N594" s="81"/>
      <c r="O594" s="81"/>
      <c r="P594" s="81"/>
      <c r="Q594" s="81"/>
      <c r="R594" s="81"/>
      <c r="S594" s="81"/>
      <c r="T594" s="81"/>
      <c r="U594" s="81"/>
      <c r="V594" s="94"/>
      <c r="W594" s="94"/>
    </row>
    <row r="595" spans="1:23" ht="21" customHeight="1">
      <c r="A595">
        <f>Table4[[#This Row],[Column1]]</f>
        <v>0</v>
      </c>
      <c r="B595">
        <f>Table4[[#This Row],[Column2]]</f>
        <v>0</v>
      </c>
      <c r="C595" s="81"/>
      <c r="D595" s="81"/>
      <c r="E595" s="81"/>
      <c r="F595" s="81"/>
      <c r="G595" s="81"/>
      <c r="H595" s="81"/>
      <c r="I595" s="81"/>
      <c r="J595" s="81"/>
      <c r="K595" s="81"/>
      <c r="L595" s="81"/>
      <c r="M595" s="81"/>
      <c r="N595" s="81"/>
      <c r="O595" s="81"/>
      <c r="P595" s="81"/>
      <c r="Q595" s="81"/>
      <c r="R595" s="81"/>
      <c r="S595" s="81"/>
      <c r="T595" s="81"/>
      <c r="U595" s="81"/>
      <c r="V595" s="94"/>
      <c r="W595" s="94"/>
    </row>
    <row r="596" spans="1:23" ht="21" customHeight="1">
      <c r="A596">
        <f>Table4[[#This Row],[Column1]]</f>
        <v>0</v>
      </c>
      <c r="B596">
        <f>Table4[[#This Row],[Column2]]</f>
        <v>0</v>
      </c>
      <c r="C596" s="81"/>
      <c r="D596" s="81"/>
      <c r="E596" s="81"/>
      <c r="F596" s="81"/>
      <c r="G596" s="81"/>
      <c r="H596" s="81"/>
      <c r="I596" s="81"/>
      <c r="J596" s="81"/>
      <c r="K596" s="81"/>
      <c r="L596" s="81"/>
      <c r="M596" s="81"/>
      <c r="N596" s="81"/>
      <c r="O596" s="81"/>
      <c r="P596" s="81"/>
      <c r="Q596" s="81"/>
      <c r="R596" s="81"/>
      <c r="S596" s="81"/>
      <c r="T596" s="81"/>
      <c r="U596" s="81"/>
      <c r="V596" s="94"/>
      <c r="W596" s="94"/>
    </row>
    <row r="597" spans="1:23" ht="21" customHeight="1">
      <c r="A597">
        <f>Table4[[#This Row],[Column1]]</f>
        <v>0</v>
      </c>
      <c r="B597">
        <f>Table4[[#This Row],[Column2]]</f>
        <v>0</v>
      </c>
      <c r="C597" s="81"/>
      <c r="D597" s="81"/>
      <c r="E597" s="81"/>
      <c r="F597" s="81"/>
      <c r="G597" s="81"/>
      <c r="H597" s="81"/>
      <c r="I597" s="81"/>
      <c r="J597" s="81"/>
      <c r="K597" s="81"/>
      <c r="L597" s="81"/>
      <c r="M597" s="81"/>
      <c r="N597" s="81"/>
      <c r="O597" s="81"/>
      <c r="P597" s="81"/>
      <c r="Q597" s="81"/>
      <c r="R597" s="81"/>
      <c r="S597" s="81"/>
      <c r="T597" s="81"/>
      <c r="U597" s="81"/>
      <c r="V597" s="94"/>
      <c r="W597" s="94"/>
    </row>
    <row r="598" spans="1:23" ht="21" customHeight="1">
      <c r="A598">
        <f>Table4[[#This Row],[Column1]]</f>
        <v>0</v>
      </c>
      <c r="B598">
        <f>Table4[[#This Row],[Column2]]</f>
        <v>0</v>
      </c>
      <c r="C598" s="81"/>
      <c r="D598" s="81"/>
      <c r="E598" s="81"/>
      <c r="F598" s="81"/>
      <c r="G598" s="81"/>
      <c r="H598" s="81"/>
      <c r="I598" s="81"/>
      <c r="J598" s="81"/>
      <c r="K598" s="81"/>
      <c r="L598" s="81"/>
      <c r="M598" s="81"/>
      <c r="N598" s="81"/>
      <c r="O598" s="81"/>
      <c r="P598" s="81"/>
      <c r="Q598" s="81"/>
      <c r="R598" s="81"/>
      <c r="S598" s="81"/>
      <c r="T598" s="81"/>
      <c r="U598" s="81"/>
      <c r="V598" s="94"/>
      <c r="W598" s="94"/>
    </row>
    <row r="599" spans="1:23" ht="21" customHeight="1">
      <c r="A599">
        <f>Table4[[#This Row],[Column1]]</f>
        <v>0</v>
      </c>
      <c r="B599">
        <f>Table4[[#This Row],[Column2]]</f>
        <v>0</v>
      </c>
      <c r="C599" s="81"/>
      <c r="D599" s="81"/>
      <c r="E599" s="81"/>
      <c r="F599" s="81"/>
      <c r="G599" s="81"/>
      <c r="H599" s="81"/>
      <c r="I599" s="81"/>
      <c r="J599" s="81"/>
      <c r="K599" s="81"/>
      <c r="L599" s="81"/>
      <c r="M599" s="81"/>
      <c r="N599" s="81"/>
      <c r="O599" s="81"/>
      <c r="P599" s="81"/>
      <c r="Q599" s="81"/>
      <c r="R599" s="81"/>
      <c r="S599" s="81"/>
      <c r="T599" s="81"/>
      <c r="U599" s="81"/>
      <c r="V599" s="94"/>
      <c r="W599" s="94"/>
    </row>
    <row r="600" spans="1:23" ht="21" customHeight="1">
      <c r="A600">
        <f>Table4[[#This Row],[Column1]]</f>
        <v>0</v>
      </c>
      <c r="B600">
        <f>Table4[[#This Row],[Column2]]</f>
        <v>0</v>
      </c>
      <c r="C600" s="81"/>
      <c r="D600" s="81"/>
      <c r="E600" s="81"/>
      <c r="F600" s="81"/>
      <c r="G600" s="81"/>
      <c r="H600" s="81"/>
      <c r="I600" s="81"/>
      <c r="J600" s="81"/>
      <c r="K600" s="81"/>
      <c r="L600" s="81"/>
      <c r="M600" s="81"/>
      <c r="N600" s="81"/>
      <c r="O600" s="81"/>
      <c r="P600" s="81"/>
      <c r="Q600" s="81"/>
      <c r="R600" s="81"/>
      <c r="S600" s="81"/>
      <c r="T600" s="81"/>
      <c r="U600" s="81"/>
      <c r="V600" s="94"/>
      <c r="W600" s="94"/>
    </row>
    <row r="601" spans="1:23" ht="21" customHeight="1">
      <c r="A601">
        <f>Table4[[#This Row],[Column1]]</f>
        <v>0</v>
      </c>
      <c r="B601">
        <f>Table4[[#This Row],[Column2]]</f>
        <v>0</v>
      </c>
      <c r="C601" s="81"/>
      <c r="D601" s="81"/>
      <c r="E601" s="81"/>
      <c r="F601" s="81"/>
      <c r="G601" s="81"/>
      <c r="H601" s="81"/>
      <c r="I601" s="81"/>
      <c r="J601" s="81"/>
      <c r="K601" s="81"/>
      <c r="L601" s="81"/>
      <c r="M601" s="81"/>
      <c r="N601" s="81"/>
      <c r="O601" s="81"/>
      <c r="P601" s="81"/>
      <c r="Q601" s="81"/>
      <c r="R601" s="81"/>
      <c r="S601" s="81"/>
      <c r="T601" s="81"/>
      <c r="U601" s="81"/>
      <c r="V601" s="94"/>
      <c r="W601" s="94"/>
    </row>
    <row r="602" spans="1:23" ht="21" customHeight="1">
      <c r="A602">
        <f>Table4[[#This Row],[Column1]]</f>
        <v>0</v>
      </c>
      <c r="B602">
        <f>Table4[[#This Row],[Column2]]</f>
        <v>0</v>
      </c>
      <c r="C602" s="81"/>
      <c r="D602" s="81"/>
      <c r="E602" s="81"/>
      <c r="F602" s="81"/>
      <c r="G602" s="81"/>
      <c r="H602" s="81"/>
      <c r="I602" s="81"/>
      <c r="J602" s="81"/>
      <c r="K602" s="81"/>
      <c r="L602" s="81"/>
      <c r="M602" s="81"/>
      <c r="N602" s="81"/>
      <c r="O602" s="81"/>
      <c r="P602" s="81"/>
      <c r="Q602" s="81"/>
      <c r="R602" s="81"/>
      <c r="S602" s="81"/>
      <c r="T602" s="81"/>
      <c r="U602" s="81"/>
      <c r="V602" s="94"/>
      <c r="W602" s="94"/>
    </row>
    <row r="603" spans="1:23" ht="21" customHeight="1">
      <c r="A603">
        <f>Table4[[#This Row],[Column1]]</f>
        <v>0</v>
      </c>
      <c r="B603">
        <f>Table4[[#This Row],[Column2]]</f>
        <v>0</v>
      </c>
      <c r="C603" s="81"/>
      <c r="D603" s="81"/>
      <c r="E603" s="81"/>
      <c r="F603" s="81"/>
      <c r="G603" s="81"/>
      <c r="H603" s="81"/>
      <c r="I603" s="81"/>
      <c r="J603" s="81"/>
      <c r="K603" s="81"/>
      <c r="L603" s="81"/>
      <c r="M603" s="81"/>
      <c r="N603" s="81"/>
      <c r="O603" s="81"/>
      <c r="P603" s="81"/>
      <c r="Q603" s="81"/>
      <c r="R603" s="81"/>
      <c r="S603" s="81"/>
      <c r="T603" s="81"/>
      <c r="U603" s="81"/>
      <c r="V603" s="94"/>
      <c r="W603" s="94"/>
    </row>
    <row r="604" spans="1:23" ht="21" customHeight="1">
      <c r="A604">
        <f>Table4[[#This Row],[Column1]]</f>
        <v>0</v>
      </c>
      <c r="B604">
        <f>Table4[[#This Row],[Column2]]</f>
        <v>0</v>
      </c>
      <c r="C604" s="81"/>
      <c r="D604" s="81"/>
      <c r="E604" s="81"/>
      <c r="F604" s="81"/>
      <c r="G604" s="81"/>
      <c r="H604" s="81"/>
      <c r="I604" s="81"/>
      <c r="J604" s="81"/>
      <c r="K604" s="81"/>
      <c r="L604" s="81"/>
      <c r="M604" s="81"/>
      <c r="N604" s="81"/>
      <c r="O604" s="81"/>
      <c r="P604" s="81"/>
      <c r="Q604" s="81"/>
      <c r="R604" s="81"/>
      <c r="S604" s="81"/>
      <c r="T604" s="81"/>
      <c r="U604" s="81"/>
      <c r="V604" s="94"/>
      <c r="W604" s="94"/>
    </row>
    <row r="605" spans="1:23" ht="21" customHeight="1">
      <c r="A605">
        <f>Table4[[#This Row],[Column1]]</f>
        <v>0</v>
      </c>
      <c r="B605">
        <f>Table4[[#This Row],[Column2]]</f>
        <v>0</v>
      </c>
      <c r="C605" s="81"/>
      <c r="D605" s="81"/>
      <c r="E605" s="81"/>
      <c r="F605" s="81"/>
      <c r="G605" s="81"/>
      <c r="H605" s="81"/>
      <c r="I605" s="81"/>
      <c r="J605" s="81"/>
      <c r="K605" s="81"/>
      <c r="L605" s="81"/>
      <c r="M605" s="81"/>
      <c r="N605" s="81"/>
      <c r="O605" s="81"/>
      <c r="P605" s="81"/>
      <c r="Q605" s="81"/>
      <c r="R605" s="81"/>
      <c r="S605" s="81"/>
      <c r="T605" s="81"/>
      <c r="U605" s="81"/>
      <c r="V605" s="94"/>
      <c r="W605" s="94"/>
    </row>
    <row r="606" spans="1:23" ht="21" customHeight="1">
      <c r="A606">
        <f>Table4[[#This Row],[Column1]]</f>
        <v>0</v>
      </c>
      <c r="B606">
        <f>Table4[[#This Row],[Column2]]</f>
        <v>0</v>
      </c>
      <c r="C606" s="81"/>
      <c r="D606" s="81"/>
      <c r="E606" s="81"/>
      <c r="F606" s="81"/>
      <c r="G606" s="81"/>
      <c r="H606" s="81"/>
      <c r="I606" s="81"/>
      <c r="J606" s="81"/>
      <c r="K606" s="81"/>
      <c r="L606" s="81"/>
      <c r="M606" s="81"/>
      <c r="N606" s="81"/>
      <c r="O606" s="81"/>
      <c r="P606" s="81"/>
      <c r="Q606" s="81"/>
      <c r="R606" s="81"/>
      <c r="S606" s="81"/>
      <c r="T606" s="81"/>
      <c r="U606" s="81"/>
      <c r="V606" s="94"/>
      <c r="W606" s="94"/>
    </row>
    <row r="607" spans="1:23" ht="21" customHeight="1">
      <c r="A607">
        <f>Table4[[#This Row],[Column1]]</f>
        <v>0</v>
      </c>
      <c r="B607">
        <f>Table4[[#This Row],[Column2]]</f>
        <v>0</v>
      </c>
      <c r="C607" s="81"/>
      <c r="D607" s="81"/>
      <c r="E607" s="81"/>
      <c r="F607" s="81"/>
      <c r="G607" s="81"/>
      <c r="H607" s="81"/>
      <c r="I607" s="81"/>
      <c r="J607" s="81"/>
      <c r="K607" s="81"/>
      <c r="L607" s="81"/>
      <c r="M607" s="81"/>
      <c r="N607" s="81"/>
      <c r="O607" s="81"/>
      <c r="P607" s="81"/>
      <c r="Q607" s="81"/>
      <c r="R607" s="81"/>
      <c r="S607" s="81"/>
      <c r="T607" s="81"/>
      <c r="U607" s="81"/>
      <c r="V607" s="94"/>
      <c r="W607" s="94"/>
    </row>
    <row r="608" spans="1:23" ht="21" customHeight="1">
      <c r="A608">
        <f>Table4[[#This Row],[Column1]]</f>
        <v>0</v>
      </c>
      <c r="B608">
        <f>Table4[[#This Row],[Column2]]</f>
        <v>0</v>
      </c>
      <c r="C608" s="81"/>
      <c r="D608" s="81"/>
      <c r="E608" s="81"/>
      <c r="F608" s="81"/>
      <c r="G608" s="81"/>
      <c r="H608" s="81"/>
      <c r="I608" s="81"/>
      <c r="J608" s="81"/>
      <c r="K608" s="81"/>
      <c r="L608" s="81"/>
      <c r="M608" s="81"/>
      <c r="N608" s="81"/>
      <c r="O608" s="81"/>
      <c r="P608" s="81"/>
      <c r="Q608" s="81"/>
      <c r="R608" s="81"/>
      <c r="S608" s="81"/>
      <c r="T608" s="81"/>
      <c r="U608" s="81"/>
      <c r="V608" s="94"/>
      <c r="W608" s="94"/>
    </row>
    <row r="609" spans="1:23" ht="21" customHeight="1">
      <c r="A609">
        <f>Table4[[#This Row],[Column1]]</f>
        <v>0</v>
      </c>
      <c r="B609">
        <f>Table4[[#This Row],[Column2]]</f>
        <v>0</v>
      </c>
      <c r="C609" s="81"/>
      <c r="D609" s="81"/>
      <c r="E609" s="81"/>
      <c r="F609" s="81"/>
      <c r="G609" s="81"/>
      <c r="H609" s="81"/>
      <c r="I609" s="81"/>
      <c r="J609" s="81"/>
      <c r="K609" s="81"/>
      <c r="L609" s="81"/>
      <c r="M609" s="81"/>
      <c r="N609" s="81"/>
      <c r="O609" s="81"/>
      <c r="P609" s="81"/>
      <c r="Q609" s="81"/>
      <c r="R609" s="81"/>
      <c r="S609" s="81"/>
      <c r="T609" s="81"/>
      <c r="U609" s="81"/>
      <c r="V609" s="94"/>
      <c r="W609" s="94"/>
    </row>
    <row r="610" spans="1:23" ht="21" customHeight="1">
      <c r="A610">
        <f>Table4[[#This Row],[Column1]]</f>
        <v>0</v>
      </c>
      <c r="B610">
        <f>Table4[[#This Row],[Column2]]</f>
        <v>0</v>
      </c>
      <c r="C610" s="81"/>
      <c r="D610" s="81"/>
      <c r="E610" s="81"/>
      <c r="F610" s="81"/>
      <c r="G610" s="81"/>
      <c r="H610" s="81"/>
      <c r="I610" s="81"/>
      <c r="J610" s="81"/>
      <c r="K610" s="81"/>
      <c r="L610" s="81"/>
      <c r="M610" s="81"/>
      <c r="N610" s="81"/>
      <c r="O610" s="81"/>
      <c r="P610" s="81"/>
      <c r="Q610" s="81"/>
      <c r="R610" s="81"/>
      <c r="S610" s="81"/>
      <c r="T610" s="81"/>
      <c r="U610" s="81"/>
      <c r="V610" s="94"/>
      <c r="W610" s="94"/>
    </row>
    <row r="611" spans="1:23" ht="21" customHeight="1">
      <c r="A611">
        <f>Table4[[#This Row],[Column1]]</f>
        <v>0</v>
      </c>
      <c r="B611">
        <f>Table4[[#This Row],[Column2]]</f>
        <v>0</v>
      </c>
      <c r="C611" s="81"/>
      <c r="D611" s="81"/>
      <c r="E611" s="81"/>
      <c r="F611" s="81"/>
      <c r="G611" s="81"/>
      <c r="H611" s="81"/>
      <c r="I611" s="81"/>
      <c r="J611" s="81"/>
      <c r="K611" s="81"/>
      <c r="L611" s="81"/>
      <c r="M611" s="81"/>
      <c r="N611" s="81"/>
      <c r="O611" s="81"/>
      <c r="P611" s="81"/>
      <c r="Q611" s="81"/>
      <c r="R611" s="81"/>
      <c r="S611" s="81"/>
      <c r="T611" s="81"/>
      <c r="U611" s="81"/>
      <c r="V611" s="94"/>
      <c r="W611" s="94"/>
    </row>
    <row r="612" spans="1:23" ht="21" customHeight="1">
      <c r="A612">
        <f>Table4[[#This Row],[Column1]]</f>
        <v>0</v>
      </c>
      <c r="B612">
        <f>Table4[[#This Row],[Column2]]</f>
        <v>0</v>
      </c>
      <c r="C612" s="81"/>
      <c r="D612" s="81"/>
      <c r="E612" s="81"/>
      <c r="F612" s="81"/>
      <c r="G612" s="81"/>
      <c r="H612" s="81"/>
      <c r="I612" s="81"/>
      <c r="J612" s="81"/>
      <c r="K612" s="81"/>
      <c r="L612" s="81"/>
      <c r="M612" s="81"/>
      <c r="N612" s="81"/>
      <c r="O612" s="81"/>
      <c r="P612" s="81"/>
      <c r="Q612" s="81"/>
      <c r="R612" s="81"/>
      <c r="S612" s="81"/>
      <c r="T612" s="81"/>
      <c r="U612" s="81"/>
      <c r="V612" s="94"/>
      <c r="W612" s="94"/>
    </row>
    <row r="613" spans="1:23" ht="21" customHeight="1">
      <c r="A613">
        <f>Table4[[#This Row],[Column1]]</f>
        <v>0</v>
      </c>
      <c r="B613">
        <f>Table4[[#This Row],[Column2]]</f>
        <v>0</v>
      </c>
      <c r="C613" s="81"/>
      <c r="D613" s="81"/>
      <c r="E613" s="81"/>
      <c r="F613" s="81"/>
      <c r="G613" s="81"/>
      <c r="H613" s="81"/>
      <c r="I613" s="81"/>
      <c r="J613" s="81"/>
      <c r="K613" s="81"/>
      <c r="L613" s="81"/>
      <c r="M613" s="81"/>
      <c r="N613" s="81"/>
      <c r="O613" s="81"/>
      <c r="P613" s="81"/>
      <c r="Q613" s="81"/>
      <c r="R613" s="81"/>
      <c r="S613" s="81"/>
      <c r="T613" s="81"/>
      <c r="U613" s="81"/>
      <c r="V613" s="94"/>
      <c r="W613" s="94"/>
    </row>
    <row r="614" spans="1:23" ht="21" customHeight="1">
      <c r="A614">
        <f>Table4[[#This Row],[Column1]]</f>
        <v>0</v>
      </c>
      <c r="B614">
        <f>Table4[[#This Row],[Column2]]</f>
        <v>0</v>
      </c>
      <c r="C614" s="81"/>
      <c r="D614" s="81"/>
      <c r="E614" s="81"/>
      <c r="F614" s="81"/>
      <c r="G614" s="81"/>
      <c r="H614" s="81"/>
      <c r="I614" s="81"/>
      <c r="J614" s="81"/>
      <c r="K614" s="81"/>
      <c r="L614" s="81"/>
      <c r="M614" s="81"/>
      <c r="N614" s="81"/>
      <c r="O614" s="81"/>
      <c r="P614" s="81"/>
      <c r="Q614" s="81"/>
      <c r="R614" s="81"/>
      <c r="S614" s="81"/>
      <c r="T614" s="81"/>
      <c r="U614" s="81"/>
      <c r="V614" s="94"/>
      <c r="W614" s="94"/>
    </row>
    <row r="615" spans="1:23" ht="21" customHeight="1">
      <c r="A615">
        <f>Table4[[#This Row],[Column1]]</f>
        <v>0</v>
      </c>
      <c r="B615">
        <f>Table4[[#This Row],[Column2]]</f>
        <v>0</v>
      </c>
      <c r="C615" s="81"/>
      <c r="D615" s="81"/>
      <c r="E615" s="81"/>
      <c r="F615" s="81"/>
      <c r="G615" s="81"/>
      <c r="H615" s="81"/>
      <c r="I615" s="81"/>
      <c r="J615" s="81"/>
      <c r="K615" s="81"/>
      <c r="L615" s="81"/>
      <c r="M615" s="81"/>
      <c r="N615" s="81"/>
      <c r="O615" s="81"/>
      <c r="P615" s="81"/>
      <c r="Q615" s="81"/>
      <c r="R615" s="81"/>
      <c r="S615" s="81"/>
      <c r="T615" s="81"/>
      <c r="U615" s="81"/>
      <c r="V615" s="94"/>
      <c r="W615" s="94"/>
    </row>
    <row r="616" spans="1:23" ht="21" customHeight="1">
      <c r="A616">
        <f>Table4[[#This Row],[Column1]]</f>
        <v>0</v>
      </c>
      <c r="B616">
        <f>Table4[[#This Row],[Column2]]</f>
        <v>0</v>
      </c>
      <c r="C616" s="81"/>
      <c r="D616" s="81"/>
      <c r="E616" s="81"/>
      <c r="F616" s="81"/>
      <c r="G616" s="81"/>
      <c r="H616" s="81"/>
      <c r="I616" s="81"/>
      <c r="J616" s="81"/>
      <c r="K616" s="81"/>
      <c r="L616" s="81"/>
      <c r="M616" s="81"/>
      <c r="N616" s="81"/>
      <c r="O616" s="81"/>
      <c r="P616" s="81"/>
      <c r="Q616" s="81"/>
      <c r="R616" s="81"/>
      <c r="S616" s="81"/>
      <c r="T616" s="81"/>
      <c r="U616" s="81"/>
      <c r="V616" s="94"/>
      <c r="W616" s="94"/>
    </row>
    <row r="617" spans="1:23" ht="21" customHeight="1">
      <c r="A617">
        <f>Table4[[#This Row],[Column1]]</f>
        <v>0</v>
      </c>
      <c r="B617">
        <f>Table4[[#This Row],[Column2]]</f>
        <v>0</v>
      </c>
      <c r="C617" s="81"/>
      <c r="D617" s="81"/>
      <c r="E617" s="81"/>
      <c r="F617" s="81"/>
      <c r="G617" s="81"/>
      <c r="H617" s="81"/>
      <c r="I617" s="81"/>
      <c r="J617" s="81"/>
      <c r="K617" s="81"/>
      <c r="L617" s="81"/>
      <c r="M617" s="81"/>
      <c r="N617" s="81"/>
      <c r="O617" s="81"/>
      <c r="P617" s="81"/>
      <c r="Q617" s="81"/>
      <c r="R617" s="81"/>
      <c r="S617" s="81"/>
      <c r="T617" s="81"/>
      <c r="U617" s="81"/>
      <c r="V617" s="94"/>
      <c r="W617" s="94"/>
    </row>
    <row r="618" spans="1:23" ht="21" customHeight="1">
      <c r="A618">
        <f>Table4[[#This Row],[Column1]]</f>
        <v>0</v>
      </c>
      <c r="B618">
        <f>Table4[[#This Row],[Column2]]</f>
        <v>0</v>
      </c>
      <c r="C618" s="81"/>
      <c r="D618" s="81"/>
      <c r="E618" s="81"/>
      <c r="F618" s="81"/>
      <c r="G618" s="81"/>
      <c r="H618" s="81"/>
      <c r="I618" s="81"/>
      <c r="J618" s="81"/>
      <c r="K618" s="81"/>
      <c r="L618" s="81"/>
      <c r="M618" s="81"/>
      <c r="N618" s="81"/>
      <c r="O618" s="81"/>
      <c r="P618" s="81"/>
      <c r="Q618" s="81"/>
      <c r="R618" s="81"/>
      <c r="S618" s="81"/>
      <c r="T618" s="81"/>
      <c r="U618" s="81"/>
      <c r="V618" s="94"/>
      <c r="W618" s="94"/>
    </row>
    <row r="619" spans="1:23" ht="21" customHeight="1">
      <c r="A619">
        <f>Table4[[#This Row],[Column1]]</f>
        <v>0</v>
      </c>
      <c r="B619">
        <f>Table4[[#This Row],[Column2]]</f>
        <v>0</v>
      </c>
      <c r="C619" s="81"/>
      <c r="D619" s="81"/>
      <c r="E619" s="81"/>
      <c r="F619" s="81"/>
      <c r="G619" s="81"/>
      <c r="H619" s="81"/>
      <c r="I619" s="81"/>
      <c r="J619" s="81"/>
      <c r="K619" s="81"/>
      <c r="L619" s="81"/>
      <c r="M619" s="81"/>
      <c r="N619" s="81"/>
      <c r="O619" s="81"/>
      <c r="P619" s="81"/>
      <c r="Q619" s="81"/>
      <c r="R619" s="81"/>
      <c r="S619" s="81"/>
      <c r="T619" s="81"/>
      <c r="U619" s="81"/>
      <c r="V619" s="94"/>
      <c r="W619" s="94"/>
    </row>
    <row r="620" spans="1:23" ht="21" customHeight="1">
      <c r="A620">
        <f>Table4[[#This Row],[Column1]]</f>
        <v>0</v>
      </c>
      <c r="B620">
        <f>Table4[[#This Row],[Column2]]</f>
        <v>0</v>
      </c>
      <c r="C620" s="81"/>
      <c r="D620" s="81"/>
      <c r="E620" s="81"/>
      <c r="F620" s="81"/>
      <c r="G620" s="81"/>
      <c r="H620" s="81"/>
      <c r="I620" s="81"/>
      <c r="J620" s="81"/>
      <c r="K620" s="81"/>
      <c r="L620" s="81"/>
      <c r="M620" s="81"/>
      <c r="N620" s="81"/>
      <c r="O620" s="81"/>
      <c r="P620" s="81"/>
      <c r="Q620" s="81"/>
      <c r="R620" s="81"/>
      <c r="S620" s="81"/>
      <c r="T620" s="81"/>
      <c r="U620" s="81"/>
      <c r="V620" s="94"/>
      <c r="W620" s="94"/>
    </row>
    <row r="621" spans="1:23" ht="21" customHeight="1">
      <c r="A621">
        <f>Table4[[#This Row],[Column1]]</f>
        <v>0</v>
      </c>
      <c r="B621">
        <f>Table4[[#This Row],[Column2]]</f>
        <v>0</v>
      </c>
      <c r="C621" s="81"/>
      <c r="D621" s="81"/>
      <c r="E621" s="81"/>
      <c r="F621" s="81"/>
      <c r="G621" s="81"/>
      <c r="H621" s="81"/>
      <c r="I621" s="81"/>
      <c r="J621" s="81"/>
      <c r="K621" s="81"/>
      <c r="L621" s="81"/>
      <c r="M621" s="81"/>
      <c r="N621" s="81"/>
      <c r="O621" s="81"/>
      <c r="P621" s="81"/>
      <c r="Q621" s="81"/>
      <c r="R621" s="81"/>
      <c r="S621" s="81"/>
      <c r="T621" s="81"/>
      <c r="U621" s="81"/>
      <c r="V621" s="94"/>
      <c r="W621" s="94"/>
    </row>
    <row r="622" spans="1:23" ht="21" customHeight="1">
      <c r="A622">
        <f>Table4[[#This Row],[Column1]]</f>
        <v>0</v>
      </c>
      <c r="B622">
        <f>Table4[[#This Row],[Column2]]</f>
        <v>0</v>
      </c>
      <c r="C622" s="81"/>
      <c r="D622" s="81"/>
      <c r="E622" s="81"/>
      <c r="F622" s="81"/>
      <c r="G622" s="81"/>
      <c r="H622" s="81"/>
      <c r="I622" s="81"/>
      <c r="J622" s="81"/>
      <c r="K622" s="81"/>
      <c r="L622" s="81"/>
      <c r="M622" s="81"/>
      <c r="N622" s="81"/>
      <c r="O622" s="81"/>
      <c r="P622" s="81"/>
      <c r="Q622" s="81"/>
      <c r="R622" s="81"/>
      <c r="S622" s="81"/>
      <c r="T622" s="81"/>
      <c r="U622" s="81"/>
      <c r="V622" s="94"/>
      <c r="W622" s="94"/>
    </row>
    <row r="623" spans="1:23" ht="21" customHeight="1">
      <c r="A623">
        <f>Table4[[#This Row],[Column1]]</f>
        <v>0</v>
      </c>
      <c r="B623">
        <f>Table4[[#This Row],[Column2]]</f>
        <v>0</v>
      </c>
      <c r="C623" s="81"/>
      <c r="D623" s="81"/>
      <c r="E623" s="81"/>
      <c r="F623" s="81"/>
      <c r="G623" s="81"/>
      <c r="H623" s="81"/>
      <c r="I623" s="81"/>
      <c r="J623" s="81"/>
      <c r="K623" s="81"/>
      <c r="L623" s="81"/>
      <c r="M623" s="81"/>
      <c r="N623" s="81"/>
      <c r="O623" s="81"/>
      <c r="P623" s="81"/>
      <c r="Q623" s="81"/>
      <c r="R623" s="81"/>
      <c r="S623" s="81"/>
      <c r="T623" s="81"/>
      <c r="U623" s="81"/>
      <c r="V623" s="94"/>
      <c r="W623" s="94"/>
    </row>
    <row r="624" spans="1:23" ht="21" customHeight="1">
      <c r="A624">
        <f>Table4[[#This Row],[Column1]]</f>
        <v>0</v>
      </c>
      <c r="B624">
        <f>Table4[[#This Row],[Column2]]</f>
        <v>0</v>
      </c>
      <c r="C624" s="81"/>
      <c r="D624" s="81"/>
      <c r="E624" s="81"/>
      <c r="F624" s="81"/>
      <c r="G624" s="81"/>
      <c r="H624" s="81"/>
      <c r="I624" s="81"/>
      <c r="J624" s="81"/>
      <c r="K624" s="81"/>
      <c r="L624" s="81"/>
      <c r="M624" s="81"/>
      <c r="N624" s="81"/>
      <c r="O624" s="81"/>
      <c r="P624" s="81"/>
      <c r="Q624" s="81"/>
      <c r="R624" s="81"/>
      <c r="S624" s="81"/>
      <c r="T624" s="81"/>
      <c r="U624" s="81"/>
      <c r="V624" s="94"/>
      <c r="W624" s="94"/>
    </row>
    <row r="625" spans="1:23" ht="21" customHeight="1">
      <c r="A625">
        <f>Table4[[#This Row],[Column1]]</f>
        <v>0</v>
      </c>
      <c r="B625">
        <f>Table4[[#This Row],[Column2]]</f>
        <v>0</v>
      </c>
      <c r="C625" s="81"/>
      <c r="D625" s="81"/>
      <c r="E625" s="81"/>
      <c r="F625" s="81"/>
      <c r="G625" s="81"/>
      <c r="H625" s="81"/>
      <c r="I625" s="81"/>
      <c r="J625" s="81"/>
      <c r="K625" s="81"/>
      <c r="L625" s="81"/>
      <c r="M625" s="81"/>
      <c r="N625" s="81"/>
      <c r="O625" s="81"/>
      <c r="P625" s="81"/>
      <c r="Q625" s="81"/>
      <c r="R625" s="81"/>
      <c r="S625" s="81"/>
      <c r="T625" s="81"/>
      <c r="U625" s="81"/>
      <c r="V625" s="94"/>
      <c r="W625" s="94"/>
    </row>
    <row r="626" spans="1:23" ht="21" customHeight="1">
      <c r="A626">
        <f>Table4[[#This Row],[Column1]]</f>
        <v>0</v>
      </c>
      <c r="B626">
        <f>Table4[[#This Row],[Column2]]</f>
        <v>0</v>
      </c>
      <c r="C626" s="81"/>
      <c r="D626" s="81"/>
      <c r="E626" s="81"/>
      <c r="F626" s="81"/>
      <c r="G626" s="81"/>
      <c r="H626" s="81"/>
      <c r="I626" s="81"/>
      <c r="J626" s="81"/>
      <c r="K626" s="81"/>
      <c r="L626" s="81"/>
      <c r="M626" s="81"/>
      <c r="N626" s="81"/>
      <c r="O626" s="81"/>
      <c r="P626" s="81"/>
      <c r="Q626" s="81"/>
      <c r="R626" s="81"/>
      <c r="S626" s="81"/>
      <c r="T626" s="81"/>
      <c r="U626" s="81"/>
      <c r="V626" s="94"/>
      <c r="W626" s="94"/>
    </row>
    <row r="627" spans="1:23" ht="21" customHeight="1">
      <c r="A627">
        <f>Table4[[#This Row],[Column1]]</f>
        <v>0</v>
      </c>
      <c r="B627">
        <f>Table4[[#This Row],[Column2]]</f>
        <v>0</v>
      </c>
      <c r="C627" s="81"/>
      <c r="D627" s="81"/>
      <c r="E627" s="81"/>
      <c r="F627" s="81"/>
      <c r="G627" s="81"/>
      <c r="H627" s="81"/>
      <c r="I627" s="81"/>
      <c r="J627" s="81"/>
      <c r="K627" s="81"/>
      <c r="L627" s="81"/>
      <c r="M627" s="81"/>
      <c r="N627" s="81"/>
      <c r="O627" s="81"/>
      <c r="P627" s="81"/>
      <c r="Q627" s="81"/>
      <c r="R627" s="81"/>
      <c r="S627" s="81"/>
      <c r="T627" s="81"/>
      <c r="U627" s="81"/>
      <c r="V627" s="94"/>
      <c r="W627" s="94"/>
    </row>
    <row r="628" spans="1:23" ht="21" customHeight="1">
      <c r="A628">
        <f>Table4[[#This Row],[Column1]]</f>
        <v>0</v>
      </c>
      <c r="B628">
        <f>Table4[[#This Row],[Column2]]</f>
        <v>0</v>
      </c>
      <c r="C628" s="81"/>
      <c r="D628" s="81"/>
      <c r="E628" s="81"/>
      <c r="F628" s="81"/>
      <c r="G628" s="81"/>
      <c r="H628" s="81"/>
      <c r="I628" s="81"/>
      <c r="J628" s="81"/>
      <c r="K628" s="81"/>
      <c r="L628" s="81"/>
      <c r="M628" s="81"/>
      <c r="N628" s="81"/>
      <c r="O628" s="81"/>
      <c r="P628" s="81"/>
      <c r="Q628" s="81"/>
      <c r="R628" s="81"/>
      <c r="S628" s="81"/>
      <c r="T628" s="81"/>
      <c r="U628" s="81"/>
      <c r="V628" s="94"/>
      <c r="W628" s="94"/>
    </row>
    <row r="629" spans="1:23" ht="21" customHeight="1">
      <c r="A629">
        <f>Table4[[#This Row],[Column1]]</f>
        <v>0</v>
      </c>
      <c r="B629">
        <f>Table4[[#This Row],[Column2]]</f>
        <v>0</v>
      </c>
      <c r="C629" s="81"/>
      <c r="D629" s="81"/>
      <c r="E629" s="81"/>
      <c r="F629" s="81"/>
      <c r="G629" s="81"/>
      <c r="H629" s="81"/>
      <c r="I629" s="81"/>
      <c r="J629" s="81"/>
      <c r="K629" s="81"/>
      <c r="L629" s="81"/>
      <c r="M629" s="81"/>
      <c r="N629" s="81"/>
      <c r="O629" s="81"/>
      <c r="P629" s="81"/>
      <c r="Q629" s="81"/>
      <c r="R629" s="81"/>
      <c r="S629" s="81"/>
      <c r="T629" s="81"/>
      <c r="U629" s="81"/>
      <c r="V629" s="94"/>
      <c r="W629" s="94"/>
    </row>
    <row r="630" spans="1:23" ht="21" customHeight="1">
      <c r="A630">
        <f>Table4[[#This Row],[Column1]]</f>
        <v>0</v>
      </c>
      <c r="B630">
        <f>Table4[[#This Row],[Column2]]</f>
        <v>0</v>
      </c>
      <c r="C630" s="81"/>
      <c r="D630" s="81"/>
      <c r="E630" s="81"/>
      <c r="F630" s="81"/>
      <c r="G630" s="81"/>
      <c r="H630" s="81"/>
      <c r="I630" s="81"/>
      <c r="J630" s="81"/>
      <c r="K630" s="81"/>
      <c r="L630" s="81"/>
      <c r="M630" s="81"/>
      <c r="N630" s="81"/>
      <c r="O630" s="81"/>
      <c r="P630" s="81"/>
      <c r="Q630" s="81"/>
      <c r="R630" s="81"/>
      <c r="S630" s="81"/>
      <c r="T630" s="81"/>
      <c r="U630" s="81"/>
      <c r="V630" s="94"/>
      <c r="W630" s="94"/>
    </row>
    <row r="631" spans="1:23" ht="21" customHeight="1">
      <c r="A631">
        <f>Table4[[#This Row],[Column1]]</f>
        <v>0</v>
      </c>
      <c r="B631">
        <f>Table4[[#This Row],[Column2]]</f>
        <v>0</v>
      </c>
      <c r="C631" s="81"/>
      <c r="D631" s="81"/>
      <c r="E631" s="81"/>
      <c r="F631" s="81"/>
      <c r="G631" s="81"/>
      <c r="H631" s="81"/>
      <c r="I631" s="81"/>
      <c r="J631" s="81"/>
      <c r="K631" s="81"/>
      <c r="L631" s="81"/>
      <c r="M631" s="81"/>
      <c r="N631" s="81"/>
      <c r="O631" s="81"/>
      <c r="P631" s="81"/>
      <c r="Q631" s="81"/>
      <c r="R631" s="81"/>
      <c r="S631" s="81"/>
      <c r="T631" s="81"/>
      <c r="U631" s="81"/>
      <c r="V631" s="94"/>
      <c r="W631" s="94"/>
    </row>
    <row r="632" spans="1:23" ht="21" customHeight="1">
      <c r="A632">
        <f>Table4[[#This Row],[Column1]]</f>
        <v>0</v>
      </c>
      <c r="B632">
        <f>Table4[[#This Row],[Column2]]</f>
        <v>0</v>
      </c>
      <c r="C632" s="81"/>
      <c r="D632" s="81"/>
      <c r="E632" s="81"/>
      <c r="F632" s="81"/>
      <c r="G632" s="81"/>
      <c r="H632" s="81"/>
      <c r="I632" s="81"/>
      <c r="J632" s="81"/>
      <c r="K632" s="81"/>
      <c r="L632" s="81"/>
      <c r="M632" s="81"/>
      <c r="N632" s="81"/>
      <c r="O632" s="81"/>
      <c r="P632" s="81"/>
      <c r="Q632" s="81"/>
      <c r="R632" s="81"/>
      <c r="S632" s="81"/>
      <c r="T632" s="81"/>
      <c r="U632" s="81"/>
      <c r="V632" s="94"/>
      <c r="W632" s="94"/>
    </row>
    <row r="633" spans="1:23" ht="21" customHeight="1">
      <c r="A633">
        <f>Table4[[#This Row],[Column1]]</f>
        <v>0</v>
      </c>
      <c r="B633">
        <f>Table4[[#This Row],[Column2]]</f>
        <v>0</v>
      </c>
      <c r="C633" s="81"/>
      <c r="D633" s="81"/>
      <c r="E633" s="81"/>
      <c r="F633" s="81"/>
      <c r="G633" s="81"/>
      <c r="H633" s="81"/>
      <c r="I633" s="81"/>
      <c r="J633" s="81"/>
      <c r="K633" s="81"/>
      <c r="L633" s="81"/>
      <c r="M633" s="81"/>
      <c r="N633" s="81"/>
      <c r="O633" s="81"/>
      <c r="P633" s="81"/>
      <c r="Q633" s="81"/>
      <c r="R633" s="81"/>
      <c r="S633" s="81"/>
      <c r="T633" s="81"/>
      <c r="U633" s="81"/>
      <c r="V633" s="94"/>
      <c r="W633" s="94"/>
    </row>
    <row r="634" spans="1:23" ht="21" customHeight="1">
      <c r="A634">
        <f>Table4[[#This Row],[Column1]]</f>
        <v>0</v>
      </c>
      <c r="B634">
        <f>Table4[[#This Row],[Column2]]</f>
        <v>0</v>
      </c>
      <c r="C634" s="81"/>
      <c r="D634" s="81"/>
      <c r="E634" s="81"/>
      <c r="F634" s="81"/>
      <c r="G634" s="81"/>
      <c r="H634" s="81"/>
      <c r="I634" s="81"/>
      <c r="J634" s="81"/>
      <c r="K634" s="81"/>
      <c r="L634" s="81"/>
      <c r="M634" s="81"/>
      <c r="N634" s="81"/>
      <c r="O634" s="81"/>
      <c r="P634" s="81"/>
      <c r="Q634" s="81"/>
      <c r="R634" s="81"/>
      <c r="S634" s="81"/>
      <c r="T634" s="81"/>
      <c r="U634" s="81"/>
      <c r="V634" s="94"/>
      <c r="W634" s="94"/>
    </row>
    <row r="635" spans="1:23" ht="21" customHeight="1">
      <c r="A635">
        <f>Table4[[#This Row],[Column1]]</f>
        <v>0</v>
      </c>
      <c r="B635">
        <f>Table4[[#This Row],[Column2]]</f>
        <v>0</v>
      </c>
      <c r="C635" s="81"/>
      <c r="D635" s="81"/>
      <c r="E635" s="81"/>
      <c r="F635" s="81"/>
      <c r="G635" s="81"/>
      <c r="H635" s="81"/>
      <c r="I635" s="81"/>
      <c r="J635" s="81"/>
      <c r="K635" s="81"/>
      <c r="L635" s="81"/>
      <c r="M635" s="81"/>
      <c r="N635" s="81"/>
      <c r="O635" s="81"/>
      <c r="P635" s="81"/>
      <c r="Q635" s="81"/>
      <c r="R635" s="81"/>
      <c r="S635" s="81"/>
      <c r="T635" s="81"/>
      <c r="U635" s="81"/>
      <c r="V635" s="94"/>
      <c r="W635" s="94"/>
    </row>
    <row r="636" spans="1:23" ht="21" customHeight="1">
      <c r="A636">
        <f>Table4[[#This Row],[Column1]]</f>
        <v>0</v>
      </c>
      <c r="B636">
        <f>Table4[[#This Row],[Column2]]</f>
        <v>0</v>
      </c>
      <c r="C636" s="81"/>
      <c r="D636" s="81"/>
      <c r="E636" s="81"/>
      <c r="F636" s="81"/>
      <c r="G636" s="81"/>
      <c r="H636" s="81"/>
      <c r="I636" s="81"/>
      <c r="J636" s="81"/>
      <c r="K636" s="81"/>
      <c r="L636" s="81"/>
      <c r="M636" s="81"/>
      <c r="N636" s="81"/>
      <c r="O636" s="81"/>
      <c r="P636" s="81"/>
      <c r="Q636" s="81"/>
      <c r="R636" s="81"/>
      <c r="S636" s="81"/>
      <c r="T636" s="81"/>
      <c r="U636" s="81"/>
      <c r="V636" s="94"/>
      <c r="W636" s="94"/>
    </row>
    <row r="637" spans="1:23" ht="21" customHeight="1">
      <c r="A637">
        <f>Table4[[#This Row],[Column1]]</f>
        <v>0</v>
      </c>
      <c r="B637">
        <f>Table4[[#This Row],[Column2]]</f>
        <v>0</v>
      </c>
      <c r="C637" s="81"/>
      <c r="D637" s="81"/>
      <c r="E637" s="81"/>
      <c r="F637" s="81"/>
      <c r="G637" s="81"/>
      <c r="H637" s="81"/>
      <c r="I637" s="81"/>
      <c r="J637" s="81"/>
      <c r="K637" s="81"/>
      <c r="L637" s="81"/>
      <c r="M637" s="81"/>
      <c r="N637" s="81"/>
      <c r="O637" s="81"/>
      <c r="P637" s="81"/>
      <c r="Q637" s="81"/>
      <c r="R637" s="81"/>
      <c r="S637" s="81"/>
      <c r="T637" s="81"/>
      <c r="U637" s="81"/>
      <c r="V637" s="94"/>
      <c r="W637" s="94"/>
    </row>
    <row r="638" spans="1:23" ht="21" customHeight="1">
      <c r="A638">
        <f>Table4[[#This Row],[Column1]]</f>
        <v>0</v>
      </c>
      <c r="B638">
        <f>Table4[[#This Row],[Column2]]</f>
        <v>0</v>
      </c>
      <c r="C638" s="81"/>
      <c r="D638" s="81"/>
      <c r="E638" s="81"/>
      <c r="F638" s="81"/>
      <c r="G638" s="81"/>
      <c r="H638" s="81"/>
      <c r="I638" s="81"/>
      <c r="J638" s="81"/>
      <c r="K638" s="81"/>
      <c r="L638" s="81"/>
      <c r="M638" s="81"/>
      <c r="N638" s="81"/>
      <c r="O638" s="81"/>
      <c r="P638" s="81"/>
      <c r="Q638" s="81"/>
      <c r="R638" s="81"/>
      <c r="S638" s="81"/>
      <c r="T638" s="81"/>
      <c r="U638" s="81"/>
      <c r="V638" s="94"/>
      <c r="W638" s="94"/>
    </row>
    <row r="639" spans="1:23" ht="21" customHeight="1">
      <c r="A639">
        <f>Table4[[#This Row],[Column1]]</f>
        <v>0</v>
      </c>
      <c r="B639">
        <f>Table4[[#This Row],[Column2]]</f>
        <v>0</v>
      </c>
      <c r="C639" s="81"/>
      <c r="D639" s="81"/>
      <c r="E639" s="81"/>
      <c r="F639" s="81"/>
      <c r="G639" s="81"/>
      <c r="H639" s="81"/>
      <c r="I639" s="81"/>
      <c r="J639" s="81"/>
      <c r="K639" s="81"/>
      <c r="L639" s="81"/>
      <c r="M639" s="81"/>
      <c r="N639" s="81"/>
      <c r="O639" s="81"/>
      <c r="P639" s="81"/>
      <c r="Q639" s="81"/>
      <c r="R639" s="81"/>
      <c r="S639" s="81"/>
      <c r="T639" s="81"/>
      <c r="U639" s="81"/>
      <c r="V639" s="94"/>
      <c r="W639" s="94"/>
    </row>
    <row r="640" spans="1:23" ht="21" customHeight="1">
      <c r="A640">
        <f>Table4[[#This Row],[Column1]]</f>
        <v>0</v>
      </c>
      <c r="B640">
        <f>Table4[[#This Row],[Column2]]</f>
        <v>0</v>
      </c>
      <c r="C640" s="81"/>
      <c r="D640" s="81"/>
      <c r="E640" s="81"/>
      <c r="F640" s="81"/>
      <c r="G640" s="81"/>
      <c r="H640" s="81"/>
      <c r="I640" s="81"/>
      <c r="J640" s="81"/>
      <c r="K640" s="81"/>
      <c r="L640" s="81"/>
      <c r="M640" s="81"/>
      <c r="N640" s="81"/>
      <c r="O640" s="81"/>
      <c r="P640" s="81"/>
      <c r="Q640" s="81"/>
      <c r="R640" s="81"/>
      <c r="S640" s="81"/>
      <c r="T640" s="81"/>
      <c r="U640" s="81"/>
      <c r="V640" s="94"/>
      <c r="W640" s="94"/>
    </row>
    <row r="641" spans="1:23" ht="21" customHeight="1">
      <c r="A641">
        <f>Table4[[#This Row],[Column1]]</f>
        <v>0</v>
      </c>
      <c r="B641">
        <f>Table4[[#This Row],[Column2]]</f>
        <v>0</v>
      </c>
      <c r="C641" s="81"/>
      <c r="D641" s="81"/>
      <c r="E641" s="81"/>
      <c r="F641" s="81"/>
      <c r="G641" s="81"/>
      <c r="H641" s="81"/>
      <c r="I641" s="81"/>
      <c r="J641" s="81"/>
      <c r="K641" s="81"/>
      <c r="L641" s="81"/>
      <c r="M641" s="81"/>
      <c r="N641" s="81"/>
      <c r="O641" s="81"/>
      <c r="P641" s="81"/>
      <c r="Q641" s="81"/>
      <c r="R641" s="81"/>
      <c r="S641" s="81"/>
      <c r="T641" s="81"/>
      <c r="U641" s="81"/>
      <c r="V641" s="94"/>
      <c r="W641" s="94"/>
    </row>
    <row r="642" spans="1:23" ht="21" customHeight="1">
      <c r="A642">
        <f>Table4[[#This Row],[Column1]]</f>
        <v>0</v>
      </c>
      <c r="B642">
        <f>Table4[[#This Row],[Column2]]</f>
        <v>0</v>
      </c>
      <c r="C642" s="81"/>
      <c r="D642" s="81"/>
      <c r="E642" s="81"/>
      <c r="F642" s="81"/>
      <c r="G642" s="81"/>
      <c r="H642" s="81"/>
      <c r="I642" s="81"/>
      <c r="J642" s="81"/>
      <c r="K642" s="81"/>
      <c r="L642" s="81"/>
      <c r="M642" s="81"/>
      <c r="N642" s="81"/>
      <c r="O642" s="81"/>
      <c r="P642" s="81"/>
      <c r="Q642" s="81"/>
      <c r="R642" s="81"/>
      <c r="S642" s="81"/>
      <c r="T642" s="81"/>
      <c r="U642" s="81"/>
      <c r="V642" s="94"/>
      <c r="W642" s="94"/>
    </row>
    <row r="643" spans="1:23" ht="21" customHeight="1">
      <c r="A643">
        <f>Table4[[#This Row],[Column1]]</f>
        <v>0</v>
      </c>
      <c r="B643">
        <f>Table4[[#This Row],[Column2]]</f>
        <v>0</v>
      </c>
      <c r="C643" s="81"/>
      <c r="D643" s="81"/>
      <c r="E643" s="81"/>
      <c r="F643" s="81"/>
      <c r="G643" s="81"/>
      <c r="H643" s="81"/>
      <c r="I643" s="81"/>
      <c r="J643" s="81"/>
      <c r="K643" s="81"/>
      <c r="L643" s="81"/>
      <c r="M643" s="81"/>
      <c r="N643" s="81"/>
      <c r="O643" s="81"/>
      <c r="P643" s="81"/>
      <c r="Q643" s="81"/>
      <c r="R643" s="81"/>
      <c r="S643" s="81"/>
      <c r="T643" s="81"/>
      <c r="U643" s="81"/>
      <c r="V643" s="94"/>
      <c r="W643" s="94"/>
    </row>
    <row r="644" spans="1:23" ht="21" customHeight="1">
      <c r="A644">
        <f>Table4[[#This Row],[Column1]]</f>
        <v>0</v>
      </c>
      <c r="B644">
        <f>Table4[[#This Row],[Column2]]</f>
        <v>0</v>
      </c>
      <c r="C644" s="81"/>
      <c r="D644" s="81"/>
      <c r="E644" s="81"/>
      <c r="F644" s="81"/>
      <c r="G644" s="81"/>
      <c r="H644" s="81"/>
      <c r="I644" s="81"/>
      <c r="J644" s="81"/>
      <c r="K644" s="81"/>
      <c r="L644" s="81"/>
      <c r="M644" s="81"/>
      <c r="N644" s="81"/>
      <c r="O644" s="81"/>
      <c r="P644" s="81"/>
      <c r="Q644" s="81"/>
      <c r="R644" s="81"/>
      <c r="S644" s="81"/>
      <c r="T644" s="81"/>
      <c r="U644" s="81"/>
      <c r="V644" s="94"/>
      <c r="W644" s="94"/>
    </row>
    <row r="645" spans="1:23" ht="21" customHeight="1">
      <c r="A645">
        <f>Table4[[#This Row],[Column1]]</f>
        <v>0</v>
      </c>
      <c r="B645">
        <f>Table4[[#This Row],[Column2]]</f>
        <v>0</v>
      </c>
      <c r="C645" s="81"/>
      <c r="D645" s="81"/>
      <c r="E645" s="81"/>
      <c r="F645" s="81"/>
      <c r="G645" s="81"/>
      <c r="H645" s="81"/>
      <c r="I645" s="81"/>
      <c r="J645" s="81"/>
      <c r="K645" s="81"/>
      <c r="L645" s="81"/>
      <c r="M645" s="81"/>
      <c r="N645" s="81"/>
      <c r="O645" s="81"/>
      <c r="P645" s="81"/>
      <c r="Q645" s="81"/>
      <c r="R645" s="81"/>
      <c r="S645" s="81"/>
      <c r="T645" s="81"/>
      <c r="U645" s="81"/>
      <c r="V645" s="94"/>
      <c r="W645" s="94"/>
    </row>
    <row r="646" spans="1:23" ht="21" customHeight="1">
      <c r="A646">
        <f>Table4[[#This Row],[Column1]]</f>
        <v>0</v>
      </c>
      <c r="B646">
        <f>Table4[[#This Row],[Column2]]</f>
        <v>0</v>
      </c>
      <c r="C646" s="81"/>
      <c r="D646" s="81"/>
      <c r="E646" s="81"/>
      <c r="F646" s="81"/>
      <c r="G646" s="81"/>
      <c r="H646" s="81"/>
      <c r="I646" s="81"/>
      <c r="J646" s="81"/>
      <c r="K646" s="81"/>
      <c r="L646" s="81"/>
      <c r="M646" s="81"/>
      <c r="N646" s="81"/>
      <c r="O646" s="81"/>
      <c r="P646" s="81"/>
      <c r="Q646" s="81"/>
      <c r="R646" s="81"/>
      <c r="S646" s="81"/>
      <c r="T646" s="81"/>
      <c r="U646" s="81"/>
      <c r="V646" s="94"/>
      <c r="W646" s="94"/>
    </row>
    <row r="647" spans="1:23" ht="21" customHeight="1">
      <c r="A647">
        <f>Table4[[#This Row],[Column1]]</f>
        <v>0</v>
      </c>
      <c r="B647">
        <f>Table4[[#This Row],[Column2]]</f>
        <v>0</v>
      </c>
      <c r="C647" s="81"/>
      <c r="D647" s="81"/>
      <c r="E647" s="81"/>
      <c r="F647" s="81"/>
      <c r="G647" s="81"/>
      <c r="H647" s="81"/>
      <c r="I647" s="81"/>
      <c r="J647" s="81"/>
      <c r="K647" s="81"/>
      <c r="L647" s="81"/>
      <c r="M647" s="81"/>
      <c r="N647" s="81"/>
      <c r="O647" s="81"/>
      <c r="P647" s="81"/>
      <c r="Q647" s="81"/>
      <c r="R647" s="81"/>
      <c r="S647" s="81"/>
      <c r="T647" s="81"/>
      <c r="U647" s="81"/>
      <c r="V647" s="94"/>
      <c r="W647" s="94"/>
    </row>
    <row r="648" spans="1:23" ht="21" customHeight="1">
      <c r="A648">
        <f>Table4[[#This Row],[Column1]]</f>
        <v>0</v>
      </c>
      <c r="B648">
        <f>Table4[[#This Row],[Column2]]</f>
        <v>0</v>
      </c>
      <c r="C648" s="81"/>
      <c r="D648" s="81"/>
      <c r="E648" s="81"/>
      <c r="F648" s="81"/>
      <c r="G648" s="81"/>
      <c r="H648" s="81"/>
      <c r="I648" s="81"/>
      <c r="J648" s="81"/>
      <c r="K648" s="81"/>
      <c r="L648" s="81"/>
      <c r="M648" s="81"/>
      <c r="N648" s="81"/>
      <c r="O648" s="81"/>
      <c r="P648" s="81"/>
      <c r="Q648" s="81"/>
      <c r="R648" s="81"/>
      <c r="S648" s="81"/>
      <c r="T648" s="81"/>
      <c r="U648" s="81"/>
      <c r="V648" s="94"/>
      <c r="W648" s="94"/>
    </row>
    <row r="649" spans="1:23" ht="21" customHeight="1">
      <c r="A649">
        <f>Table4[[#This Row],[Column1]]</f>
        <v>0</v>
      </c>
      <c r="B649">
        <f>Table4[[#This Row],[Column2]]</f>
        <v>0</v>
      </c>
      <c r="C649" s="81"/>
      <c r="D649" s="81"/>
      <c r="E649" s="81"/>
      <c r="F649" s="81"/>
      <c r="G649" s="81"/>
      <c r="H649" s="81"/>
      <c r="I649" s="81"/>
      <c r="J649" s="81"/>
      <c r="K649" s="81"/>
      <c r="L649" s="81"/>
      <c r="M649" s="81"/>
      <c r="N649" s="81"/>
      <c r="O649" s="81"/>
      <c r="P649" s="81"/>
      <c r="Q649" s="81"/>
      <c r="R649" s="81"/>
      <c r="S649" s="81"/>
      <c r="T649" s="81"/>
      <c r="U649" s="81"/>
      <c r="V649" s="94"/>
      <c r="W649" s="94"/>
    </row>
    <row r="650" spans="1:23" ht="21" customHeight="1">
      <c r="A650">
        <f>Table4[[#This Row],[Column1]]</f>
        <v>0</v>
      </c>
      <c r="B650">
        <f>Table4[[#This Row],[Column2]]</f>
        <v>0</v>
      </c>
      <c r="C650" s="81"/>
      <c r="D650" s="81"/>
      <c r="E650" s="81"/>
      <c r="F650" s="81"/>
      <c r="G650" s="81"/>
      <c r="H650" s="81"/>
      <c r="I650" s="81"/>
      <c r="J650" s="81"/>
      <c r="K650" s="81"/>
      <c r="L650" s="81"/>
      <c r="M650" s="81"/>
      <c r="N650" s="81"/>
      <c r="O650" s="81"/>
      <c r="P650" s="81"/>
      <c r="Q650" s="81"/>
      <c r="R650" s="81"/>
      <c r="S650" s="81"/>
      <c r="T650" s="81"/>
      <c r="U650" s="81"/>
      <c r="V650" s="94"/>
      <c r="W650" s="94"/>
    </row>
    <row r="651" spans="1:23" ht="21" customHeight="1">
      <c r="A651">
        <f>Table4[[#This Row],[Column1]]</f>
        <v>0</v>
      </c>
      <c r="B651">
        <f>Table4[[#This Row],[Column2]]</f>
        <v>0</v>
      </c>
      <c r="C651" s="81"/>
      <c r="D651" s="81"/>
      <c r="E651" s="81"/>
      <c r="F651" s="81"/>
      <c r="G651" s="81"/>
      <c r="H651" s="81"/>
      <c r="I651" s="81"/>
      <c r="J651" s="81"/>
      <c r="K651" s="81"/>
      <c r="L651" s="81"/>
      <c r="M651" s="81"/>
      <c r="N651" s="81"/>
      <c r="O651" s="81"/>
      <c r="P651" s="81"/>
      <c r="Q651" s="81"/>
      <c r="R651" s="81"/>
      <c r="S651" s="81"/>
      <c r="T651" s="81"/>
      <c r="U651" s="81"/>
      <c r="V651" s="94"/>
      <c r="W651" s="94"/>
    </row>
    <row r="652" spans="1:23" ht="21" customHeight="1">
      <c r="A652">
        <f>Table4[[#This Row],[Column1]]</f>
        <v>0</v>
      </c>
      <c r="B652">
        <f>Table4[[#This Row],[Column2]]</f>
        <v>0</v>
      </c>
      <c r="C652" s="81"/>
      <c r="D652" s="81"/>
      <c r="E652" s="81"/>
      <c r="F652" s="81"/>
      <c r="G652" s="81"/>
      <c r="H652" s="81"/>
      <c r="I652" s="81"/>
      <c r="J652" s="81"/>
      <c r="K652" s="81"/>
      <c r="L652" s="81"/>
      <c r="M652" s="81"/>
      <c r="N652" s="81"/>
      <c r="O652" s="81"/>
      <c r="P652" s="81"/>
      <c r="Q652" s="81"/>
      <c r="R652" s="81"/>
      <c r="S652" s="81"/>
      <c r="T652" s="81"/>
      <c r="U652" s="81"/>
      <c r="V652" s="94"/>
      <c r="W652" s="94"/>
    </row>
    <row r="653" spans="1:23" ht="21" customHeight="1">
      <c r="A653">
        <f>Table4[[#This Row],[Column1]]</f>
        <v>0</v>
      </c>
      <c r="B653">
        <f>Table4[[#This Row],[Column2]]</f>
        <v>0</v>
      </c>
      <c r="C653" s="81"/>
      <c r="D653" s="81"/>
      <c r="E653" s="81"/>
      <c r="F653" s="81"/>
      <c r="G653" s="81"/>
      <c r="H653" s="81"/>
      <c r="I653" s="81"/>
      <c r="J653" s="81"/>
      <c r="K653" s="81"/>
      <c r="L653" s="81"/>
      <c r="M653" s="81"/>
      <c r="N653" s="81"/>
      <c r="O653" s="81"/>
      <c r="P653" s="81"/>
      <c r="Q653" s="81"/>
      <c r="R653" s="81"/>
      <c r="S653" s="81"/>
      <c r="T653" s="81"/>
      <c r="U653" s="81"/>
      <c r="V653" s="94"/>
      <c r="W653" s="94"/>
    </row>
    <row r="654" spans="1:23" ht="21" customHeight="1">
      <c r="A654">
        <f>Table4[[#This Row],[Column1]]</f>
        <v>0</v>
      </c>
      <c r="B654">
        <f>Table4[[#This Row],[Column2]]</f>
        <v>0</v>
      </c>
      <c r="C654" s="81"/>
      <c r="D654" s="81"/>
      <c r="E654" s="81"/>
      <c r="F654" s="81"/>
      <c r="G654" s="81"/>
      <c r="H654" s="81"/>
      <c r="I654" s="81"/>
      <c r="J654" s="81"/>
      <c r="K654" s="81"/>
      <c r="L654" s="81"/>
      <c r="M654" s="81"/>
      <c r="N654" s="81"/>
      <c r="O654" s="81"/>
      <c r="P654" s="81"/>
      <c r="Q654" s="81"/>
      <c r="R654" s="81"/>
      <c r="S654" s="81"/>
      <c r="T654" s="81"/>
      <c r="U654" s="81"/>
      <c r="V654" s="94"/>
      <c r="W654" s="94"/>
    </row>
    <row r="655" spans="1:23" ht="21" customHeight="1">
      <c r="A655">
        <f>Table4[[#This Row],[Column1]]</f>
        <v>0</v>
      </c>
      <c r="B655">
        <f>Table4[[#This Row],[Column2]]</f>
        <v>0</v>
      </c>
      <c r="C655" s="81"/>
      <c r="D655" s="81"/>
      <c r="E655" s="81"/>
      <c r="F655" s="81"/>
      <c r="G655" s="81"/>
      <c r="H655" s="81"/>
      <c r="I655" s="81"/>
      <c r="J655" s="81"/>
      <c r="K655" s="81"/>
      <c r="L655" s="81"/>
      <c r="M655" s="81"/>
      <c r="N655" s="81"/>
      <c r="O655" s="81"/>
      <c r="P655" s="81"/>
      <c r="Q655" s="81"/>
      <c r="R655" s="81"/>
      <c r="S655" s="81"/>
      <c r="T655" s="81"/>
      <c r="U655" s="81"/>
      <c r="V655" s="94"/>
      <c r="W655" s="94"/>
    </row>
    <row r="656" spans="1:23" ht="21" customHeight="1">
      <c r="A656">
        <f>Table4[[#This Row],[Column1]]</f>
        <v>0</v>
      </c>
      <c r="B656">
        <f>Table4[[#This Row],[Column2]]</f>
        <v>0</v>
      </c>
      <c r="C656" s="81"/>
      <c r="D656" s="81"/>
      <c r="E656" s="81"/>
      <c r="F656" s="81"/>
      <c r="G656" s="81"/>
      <c r="H656" s="81"/>
      <c r="I656" s="81"/>
      <c r="J656" s="81"/>
      <c r="K656" s="81"/>
      <c r="L656" s="81"/>
      <c r="M656" s="81"/>
      <c r="N656" s="81"/>
      <c r="O656" s="81"/>
      <c r="P656" s="81"/>
      <c r="Q656" s="81"/>
      <c r="R656" s="81"/>
      <c r="S656" s="81"/>
      <c r="T656" s="81"/>
      <c r="U656" s="81"/>
      <c r="V656" s="94"/>
      <c r="W656" s="94"/>
    </row>
    <row r="657" spans="1:23" ht="21" customHeight="1">
      <c r="A657">
        <f>Table4[[#This Row],[Column1]]</f>
        <v>0</v>
      </c>
      <c r="B657">
        <f>Table4[[#This Row],[Column2]]</f>
        <v>0</v>
      </c>
      <c r="C657" s="81"/>
      <c r="D657" s="81"/>
      <c r="E657" s="81"/>
      <c r="F657" s="81"/>
      <c r="G657" s="81"/>
      <c r="H657" s="81"/>
      <c r="I657" s="81"/>
      <c r="J657" s="81"/>
      <c r="K657" s="81"/>
      <c r="L657" s="81"/>
      <c r="M657" s="81"/>
      <c r="N657" s="81"/>
      <c r="O657" s="81"/>
      <c r="P657" s="81"/>
      <c r="Q657" s="81"/>
      <c r="R657" s="81"/>
      <c r="S657" s="81"/>
      <c r="T657" s="81"/>
      <c r="U657" s="81"/>
      <c r="V657" s="94"/>
      <c r="W657" s="94"/>
    </row>
    <row r="658" spans="1:23" ht="21" customHeight="1">
      <c r="A658">
        <f>Table4[[#This Row],[Column1]]</f>
        <v>0</v>
      </c>
      <c r="B658">
        <f>Table4[[#This Row],[Column2]]</f>
        <v>0</v>
      </c>
      <c r="C658" s="81"/>
      <c r="D658" s="81"/>
      <c r="E658" s="81"/>
      <c r="F658" s="81"/>
      <c r="G658" s="81"/>
      <c r="H658" s="81"/>
      <c r="I658" s="81"/>
      <c r="J658" s="81"/>
      <c r="K658" s="81"/>
      <c r="L658" s="81"/>
      <c r="M658" s="81"/>
      <c r="N658" s="81"/>
      <c r="O658" s="81"/>
      <c r="P658" s="81"/>
      <c r="Q658" s="81"/>
      <c r="R658" s="81"/>
      <c r="S658" s="81"/>
      <c r="T658" s="81"/>
      <c r="U658" s="81"/>
      <c r="V658" s="94"/>
      <c r="W658" s="94"/>
    </row>
    <row r="659" spans="1:23" ht="21" customHeight="1">
      <c r="A659">
        <f>Table4[[#This Row],[Column1]]</f>
        <v>0</v>
      </c>
      <c r="B659">
        <f>Table4[[#This Row],[Column2]]</f>
        <v>0</v>
      </c>
      <c r="C659" s="81"/>
      <c r="D659" s="81"/>
      <c r="E659" s="81"/>
      <c r="F659" s="81"/>
      <c r="G659" s="81"/>
      <c r="H659" s="81"/>
      <c r="I659" s="81"/>
      <c r="J659" s="81"/>
      <c r="K659" s="81"/>
      <c r="L659" s="81"/>
      <c r="M659" s="81"/>
      <c r="N659" s="81"/>
      <c r="O659" s="81"/>
      <c r="P659" s="81"/>
      <c r="Q659" s="81"/>
      <c r="R659" s="81"/>
      <c r="S659" s="81"/>
      <c r="T659" s="81"/>
      <c r="U659" s="81"/>
      <c r="V659" s="94"/>
      <c r="W659" s="94"/>
    </row>
    <row r="660" spans="1:23" ht="21" customHeight="1">
      <c r="A660">
        <f>Table4[[#This Row],[Column1]]</f>
        <v>0</v>
      </c>
      <c r="B660">
        <f>Table4[[#This Row],[Column2]]</f>
        <v>0</v>
      </c>
      <c r="C660" s="81"/>
      <c r="D660" s="81"/>
      <c r="E660" s="81"/>
      <c r="F660" s="81"/>
      <c r="G660" s="81"/>
      <c r="H660" s="81"/>
      <c r="I660" s="81"/>
      <c r="J660" s="81"/>
      <c r="K660" s="81"/>
      <c r="L660" s="81"/>
      <c r="M660" s="81"/>
      <c r="N660" s="81"/>
      <c r="O660" s="81"/>
      <c r="P660" s="81"/>
      <c r="Q660" s="81"/>
      <c r="R660" s="81"/>
      <c r="S660" s="81"/>
      <c r="T660" s="81"/>
      <c r="U660" s="81"/>
      <c r="V660" s="94"/>
      <c r="W660" s="94"/>
    </row>
    <row r="661" spans="1:23" ht="21" customHeight="1">
      <c r="A661">
        <f>Table4[[#This Row],[Column1]]</f>
        <v>0</v>
      </c>
      <c r="B661">
        <f>Table4[[#This Row],[Column2]]</f>
        <v>0</v>
      </c>
      <c r="C661" s="81"/>
      <c r="D661" s="81"/>
      <c r="E661" s="81"/>
      <c r="F661" s="81"/>
      <c r="G661" s="81"/>
      <c r="H661" s="81"/>
      <c r="I661" s="81"/>
      <c r="J661" s="81"/>
      <c r="K661" s="81"/>
      <c r="L661" s="81"/>
      <c r="M661" s="81"/>
      <c r="N661" s="81"/>
      <c r="O661" s="81"/>
      <c r="P661" s="81"/>
      <c r="Q661" s="81"/>
      <c r="R661" s="81"/>
      <c r="S661" s="81"/>
      <c r="T661" s="81"/>
      <c r="U661" s="81"/>
      <c r="V661" s="94"/>
      <c r="W661" s="94"/>
    </row>
    <row r="662" spans="1:23" ht="21" customHeight="1">
      <c r="A662">
        <f>Table4[[#This Row],[Column1]]</f>
        <v>0</v>
      </c>
      <c r="B662">
        <f>Table4[[#This Row],[Column2]]</f>
        <v>0</v>
      </c>
      <c r="C662" s="81"/>
      <c r="D662" s="81"/>
      <c r="E662" s="81"/>
      <c r="F662" s="81"/>
      <c r="G662" s="81"/>
      <c r="H662" s="81"/>
      <c r="I662" s="81"/>
      <c r="J662" s="81"/>
      <c r="K662" s="81"/>
      <c r="L662" s="81"/>
      <c r="M662" s="81"/>
      <c r="N662" s="81"/>
      <c r="O662" s="81"/>
      <c r="P662" s="81"/>
      <c r="Q662" s="81"/>
      <c r="R662" s="81"/>
      <c r="S662" s="81"/>
      <c r="T662" s="81"/>
      <c r="U662" s="81"/>
      <c r="V662" s="94"/>
      <c r="W662" s="94"/>
    </row>
    <row r="663" spans="1:23" ht="21" customHeight="1">
      <c r="A663">
        <f>Table4[[#This Row],[Column1]]</f>
        <v>0</v>
      </c>
      <c r="B663">
        <f>Table4[[#This Row],[Column2]]</f>
        <v>0</v>
      </c>
      <c r="C663" s="81"/>
      <c r="D663" s="81"/>
      <c r="E663" s="81"/>
      <c r="F663" s="81"/>
      <c r="G663" s="81"/>
      <c r="H663" s="81"/>
      <c r="I663" s="81"/>
      <c r="J663" s="81"/>
      <c r="K663" s="81"/>
      <c r="L663" s="81"/>
      <c r="M663" s="81"/>
      <c r="N663" s="81"/>
      <c r="O663" s="81"/>
      <c r="P663" s="81"/>
      <c r="Q663" s="81"/>
      <c r="R663" s="81"/>
      <c r="S663" s="81"/>
      <c r="T663" s="81"/>
      <c r="U663" s="81"/>
      <c r="V663" s="94"/>
      <c r="W663" s="94"/>
    </row>
    <row r="664" spans="1:23" ht="21" customHeight="1">
      <c r="A664">
        <f>Table4[[#This Row],[Column1]]</f>
        <v>0</v>
      </c>
      <c r="B664">
        <f>Table4[[#This Row],[Column2]]</f>
        <v>0</v>
      </c>
      <c r="C664" s="81"/>
      <c r="D664" s="81"/>
      <c r="E664" s="81"/>
      <c r="F664" s="81"/>
      <c r="G664" s="81"/>
      <c r="H664" s="81"/>
      <c r="I664" s="81"/>
      <c r="J664" s="81"/>
      <c r="K664" s="81"/>
      <c r="L664" s="81"/>
      <c r="M664" s="81"/>
      <c r="N664" s="81"/>
      <c r="O664" s="81"/>
      <c r="P664" s="81"/>
      <c r="Q664" s="81"/>
      <c r="R664" s="81"/>
      <c r="S664" s="81"/>
      <c r="T664" s="81"/>
      <c r="U664" s="81"/>
      <c r="V664" s="94"/>
      <c r="W664" s="94"/>
    </row>
    <row r="665" spans="1:23" ht="21" customHeight="1">
      <c r="A665">
        <f>Table4[[#This Row],[Column1]]</f>
        <v>0</v>
      </c>
      <c r="B665">
        <f>Table4[[#This Row],[Column2]]</f>
        <v>0</v>
      </c>
      <c r="C665" s="81"/>
      <c r="D665" s="81"/>
      <c r="E665" s="81"/>
      <c r="F665" s="81"/>
      <c r="G665" s="81"/>
      <c r="H665" s="81"/>
      <c r="I665" s="81"/>
      <c r="J665" s="81"/>
      <c r="K665" s="81"/>
      <c r="L665" s="81"/>
      <c r="M665" s="81"/>
      <c r="N665" s="81"/>
      <c r="O665" s="81"/>
      <c r="P665" s="81"/>
      <c r="Q665" s="81"/>
      <c r="R665" s="81"/>
      <c r="S665" s="81"/>
      <c r="T665" s="81"/>
      <c r="U665" s="81"/>
      <c r="V665" s="94"/>
      <c r="W665" s="94"/>
    </row>
    <row r="666" spans="1:23" ht="21" customHeight="1">
      <c r="A666">
        <f>Table4[[#This Row],[Column1]]</f>
        <v>0</v>
      </c>
      <c r="B666">
        <f>Table4[[#This Row],[Column2]]</f>
        <v>0</v>
      </c>
      <c r="C666" s="81"/>
      <c r="D666" s="81"/>
      <c r="E666" s="81"/>
      <c r="F666" s="81"/>
      <c r="G666" s="81"/>
      <c r="H666" s="81"/>
      <c r="I666" s="81"/>
      <c r="J666" s="81"/>
      <c r="K666" s="81"/>
      <c r="L666" s="81"/>
      <c r="M666" s="81"/>
      <c r="N666" s="81"/>
      <c r="O666" s="81"/>
      <c r="P666" s="81"/>
      <c r="Q666" s="81"/>
      <c r="R666" s="81"/>
      <c r="S666" s="81"/>
      <c r="T666" s="81"/>
      <c r="U666" s="81"/>
      <c r="V666" s="94"/>
      <c r="W666" s="94"/>
    </row>
    <row r="667" spans="1:23" ht="21" customHeight="1">
      <c r="A667">
        <f>Table4[[#This Row],[Column1]]</f>
        <v>0</v>
      </c>
      <c r="B667">
        <f>Table4[[#This Row],[Column2]]</f>
        <v>0</v>
      </c>
      <c r="C667" s="81"/>
      <c r="D667" s="81"/>
      <c r="E667" s="81"/>
      <c r="F667" s="81"/>
      <c r="G667" s="81"/>
      <c r="H667" s="81"/>
      <c r="I667" s="81"/>
      <c r="J667" s="81"/>
      <c r="K667" s="81"/>
      <c r="L667" s="81"/>
      <c r="M667" s="81"/>
      <c r="N667" s="81"/>
      <c r="O667" s="81"/>
      <c r="P667" s="81"/>
      <c r="Q667" s="81"/>
      <c r="R667" s="81"/>
      <c r="S667" s="81"/>
      <c r="T667" s="81"/>
      <c r="U667" s="81"/>
      <c r="V667" s="94"/>
      <c r="W667" s="94"/>
    </row>
    <row r="668" spans="1:23" ht="21" customHeight="1">
      <c r="A668">
        <f>Table4[[#This Row],[Column1]]</f>
        <v>0</v>
      </c>
      <c r="B668">
        <f>Table4[[#This Row],[Column2]]</f>
        <v>0</v>
      </c>
      <c r="C668" s="81"/>
      <c r="D668" s="81"/>
      <c r="E668" s="81"/>
      <c r="F668" s="81"/>
      <c r="G668" s="81"/>
      <c r="H668" s="81"/>
      <c r="I668" s="81"/>
      <c r="J668" s="81"/>
      <c r="K668" s="81"/>
      <c r="L668" s="81"/>
      <c r="M668" s="81"/>
      <c r="N668" s="81"/>
      <c r="O668" s="81"/>
      <c r="P668" s="81"/>
      <c r="Q668" s="81"/>
      <c r="R668" s="81"/>
      <c r="S668" s="81"/>
      <c r="T668" s="81"/>
      <c r="U668" s="81"/>
      <c r="V668" s="94"/>
      <c r="W668" s="94"/>
    </row>
    <row r="669" spans="1:23" ht="21" customHeight="1">
      <c r="A669">
        <f>Table4[[#This Row],[Column1]]</f>
        <v>0</v>
      </c>
      <c r="B669">
        <f>Table4[[#This Row],[Column2]]</f>
        <v>0</v>
      </c>
      <c r="C669" s="81"/>
      <c r="D669" s="81"/>
      <c r="E669" s="81"/>
      <c r="F669" s="81"/>
      <c r="G669" s="81"/>
      <c r="H669" s="81"/>
      <c r="I669" s="81"/>
      <c r="J669" s="81"/>
      <c r="K669" s="81"/>
      <c r="L669" s="81"/>
      <c r="M669" s="81"/>
      <c r="N669" s="81"/>
      <c r="O669" s="81"/>
      <c r="P669" s="81"/>
      <c r="Q669" s="81"/>
      <c r="R669" s="81"/>
      <c r="S669" s="81"/>
      <c r="T669" s="81"/>
      <c r="U669" s="81"/>
      <c r="V669" s="94"/>
      <c r="W669" s="94"/>
    </row>
    <row r="670" spans="1:23" ht="21" customHeight="1">
      <c r="A670">
        <f>Table4[[#This Row],[Column1]]</f>
        <v>0</v>
      </c>
      <c r="B670">
        <f>Table4[[#This Row],[Column2]]</f>
        <v>0</v>
      </c>
      <c r="C670" s="81"/>
      <c r="D670" s="81"/>
      <c r="E670" s="81"/>
      <c r="F670" s="81"/>
      <c r="G670" s="81"/>
      <c r="H670" s="81"/>
      <c r="I670" s="81"/>
      <c r="J670" s="81"/>
      <c r="K670" s="81"/>
      <c r="L670" s="81"/>
      <c r="M670" s="81"/>
      <c r="N670" s="81"/>
      <c r="O670" s="81"/>
      <c r="P670" s="81"/>
      <c r="Q670" s="81"/>
      <c r="R670" s="81"/>
      <c r="S670" s="81"/>
      <c r="T670" s="81"/>
      <c r="U670" s="81"/>
      <c r="V670" s="94"/>
      <c r="W670" s="94"/>
    </row>
    <row r="671" spans="1:23" ht="21" customHeight="1">
      <c r="A671">
        <f>Table4[[#This Row],[Column1]]</f>
        <v>0</v>
      </c>
      <c r="B671">
        <f>Table4[[#This Row],[Column2]]</f>
        <v>0</v>
      </c>
      <c r="C671" s="81"/>
      <c r="D671" s="81"/>
      <c r="E671" s="81"/>
      <c r="F671" s="81"/>
      <c r="G671" s="81"/>
      <c r="H671" s="81"/>
      <c r="I671" s="81"/>
      <c r="J671" s="81"/>
      <c r="K671" s="81"/>
      <c r="L671" s="81"/>
      <c r="M671" s="81"/>
      <c r="N671" s="81"/>
      <c r="O671" s="81"/>
      <c r="P671" s="81"/>
      <c r="Q671" s="81"/>
      <c r="R671" s="81"/>
      <c r="S671" s="81"/>
      <c r="T671" s="81"/>
      <c r="U671" s="81"/>
      <c r="V671" s="94"/>
      <c r="W671" s="94"/>
    </row>
    <row r="672" spans="1:23" ht="21" customHeight="1">
      <c r="A672">
        <f>Table4[[#This Row],[Column1]]</f>
        <v>0</v>
      </c>
      <c r="B672">
        <f>Table4[[#This Row],[Column2]]</f>
        <v>0</v>
      </c>
      <c r="C672" s="81"/>
      <c r="D672" s="81"/>
      <c r="E672" s="81"/>
      <c r="F672" s="81"/>
      <c r="G672" s="81"/>
      <c r="H672" s="81"/>
      <c r="I672" s="81"/>
      <c r="J672" s="81"/>
      <c r="K672" s="81"/>
      <c r="L672" s="81"/>
      <c r="M672" s="81"/>
      <c r="N672" s="81"/>
      <c r="O672" s="81"/>
      <c r="P672" s="81"/>
      <c r="Q672" s="81"/>
      <c r="R672" s="81"/>
      <c r="S672" s="81"/>
      <c r="T672" s="81"/>
      <c r="U672" s="81"/>
      <c r="V672" s="94"/>
      <c r="W672" s="94"/>
    </row>
    <row r="673" spans="1:23" ht="21" customHeight="1">
      <c r="A673">
        <f>Table4[[#This Row],[Column1]]</f>
        <v>0</v>
      </c>
      <c r="B673">
        <f>Table4[[#This Row],[Column2]]</f>
        <v>0</v>
      </c>
      <c r="C673" s="81"/>
      <c r="D673" s="81"/>
      <c r="E673" s="81"/>
      <c r="F673" s="81"/>
      <c r="G673" s="81"/>
      <c r="H673" s="81"/>
      <c r="I673" s="81"/>
      <c r="J673" s="81"/>
      <c r="K673" s="81"/>
      <c r="L673" s="81"/>
      <c r="M673" s="81"/>
      <c r="N673" s="81"/>
      <c r="O673" s="81"/>
      <c r="P673" s="81"/>
      <c r="Q673" s="81"/>
      <c r="R673" s="81"/>
      <c r="S673" s="81"/>
      <c r="T673" s="81"/>
      <c r="U673" s="81"/>
      <c r="V673" s="94"/>
      <c r="W673" s="94"/>
    </row>
    <row r="674" spans="1:23" ht="21" customHeight="1">
      <c r="A674">
        <f>Table4[[#This Row],[Column1]]</f>
        <v>0</v>
      </c>
      <c r="B674">
        <f>Table4[[#This Row],[Column2]]</f>
        <v>0</v>
      </c>
      <c r="C674" s="81"/>
      <c r="D674" s="81"/>
      <c r="E674" s="81"/>
      <c r="F674" s="81"/>
      <c r="G674" s="81"/>
      <c r="H674" s="81"/>
      <c r="I674" s="81"/>
      <c r="J674" s="81"/>
      <c r="K674" s="81"/>
      <c r="L674" s="81"/>
      <c r="M674" s="81"/>
      <c r="N674" s="81"/>
      <c r="O674" s="81"/>
      <c r="P674" s="81"/>
      <c r="Q674" s="81"/>
      <c r="R674" s="81"/>
      <c r="S674" s="81"/>
      <c r="T674" s="81"/>
      <c r="U674" s="81"/>
      <c r="V674" s="94"/>
      <c r="W674" s="94"/>
    </row>
    <row r="675" spans="1:23" ht="21" customHeight="1">
      <c r="A675">
        <f>Table4[[#This Row],[Column1]]</f>
        <v>0</v>
      </c>
      <c r="B675">
        <f>Table4[[#This Row],[Column2]]</f>
        <v>0</v>
      </c>
      <c r="C675" s="81"/>
      <c r="D675" s="81"/>
      <c r="E675" s="81"/>
      <c r="F675" s="81"/>
      <c r="G675" s="81"/>
      <c r="H675" s="81"/>
      <c r="I675" s="81"/>
      <c r="J675" s="81"/>
      <c r="K675" s="81"/>
      <c r="L675" s="81"/>
      <c r="M675" s="81"/>
      <c r="N675" s="81"/>
      <c r="O675" s="81"/>
      <c r="P675" s="81"/>
      <c r="Q675" s="81"/>
      <c r="R675" s="81"/>
      <c r="S675" s="81"/>
      <c r="T675" s="81"/>
      <c r="U675" s="81"/>
      <c r="V675" s="94"/>
      <c r="W675" s="94"/>
    </row>
    <row r="676" spans="1:23" ht="21" customHeight="1">
      <c r="A676">
        <f>Table4[[#This Row],[Column1]]</f>
        <v>0</v>
      </c>
      <c r="B676">
        <f>Table4[[#This Row],[Column2]]</f>
        <v>0</v>
      </c>
      <c r="C676" s="81"/>
      <c r="D676" s="81"/>
      <c r="E676" s="81"/>
      <c r="F676" s="81"/>
      <c r="G676" s="81"/>
      <c r="H676" s="81"/>
      <c r="I676" s="81"/>
      <c r="J676" s="81"/>
      <c r="K676" s="81"/>
      <c r="L676" s="81"/>
      <c r="M676" s="81"/>
      <c r="N676" s="81"/>
      <c r="O676" s="81"/>
      <c r="P676" s="81"/>
      <c r="Q676" s="81"/>
      <c r="R676" s="81"/>
      <c r="S676" s="81"/>
      <c r="T676" s="81"/>
      <c r="U676" s="81"/>
      <c r="V676" s="94"/>
      <c r="W676" s="94"/>
    </row>
    <row r="677" spans="1:23" ht="21" customHeight="1">
      <c r="A677">
        <f>Table4[[#This Row],[Column1]]</f>
        <v>0</v>
      </c>
      <c r="B677">
        <f>Table4[[#This Row],[Column2]]</f>
        <v>0</v>
      </c>
      <c r="C677" s="81"/>
      <c r="D677" s="81"/>
      <c r="E677" s="81"/>
      <c r="F677" s="81"/>
      <c r="G677" s="81"/>
      <c r="H677" s="81"/>
      <c r="I677" s="81"/>
      <c r="J677" s="81"/>
      <c r="K677" s="81"/>
      <c r="L677" s="81"/>
      <c r="M677" s="81"/>
      <c r="N677" s="81"/>
      <c r="O677" s="81"/>
      <c r="P677" s="81"/>
      <c r="Q677" s="81"/>
      <c r="R677" s="81"/>
      <c r="S677" s="81"/>
      <c r="T677" s="81"/>
      <c r="U677" s="81"/>
      <c r="V677" s="94"/>
      <c r="W677" s="94"/>
    </row>
    <row r="678" spans="1:23" ht="21" customHeight="1">
      <c r="A678">
        <f>Table4[[#This Row],[Column1]]</f>
        <v>0</v>
      </c>
      <c r="B678">
        <f>Table4[[#This Row],[Column2]]</f>
        <v>0</v>
      </c>
      <c r="C678" s="81"/>
      <c r="D678" s="81"/>
      <c r="E678" s="81"/>
      <c r="F678" s="81"/>
      <c r="G678" s="81"/>
      <c r="H678" s="81"/>
      <c r="I678" s="81"/>
      <c r="J678" s="81"/>
      <c r="K678" s="81"/>
      <c r="L678" s="81"/>
      <c r="M678" s="81"/>
      <c r="N678" s="81"/>
      <c r="O678" s="81"/>
      <c r="P678" s="81"/>
      <c r="Q678" s="81"/>
      <c r="R678" s="81"/>
      <c r="S678" s="81"/>
      <c r="T678" s="81"/>
      <c r="U678" s="81"/>
      <c r="V678" s="94"/>
      <c r="W678" s="94"/>
    </row>
    <row r="679" spans="1:23" ht="21" customHeight="1">
      <c r="A679">
        <f>Table4[[#This Row],[Column1]]</f>
        <v>0</v>
      </c>
      <c r="B679">
        <f>Table4[[#This Row],[Column2]]</f>
        <v>0</v>
      </c>
      <c r="C679" s="81"/>
      <c r="D679" s="81"/>
      <c r="E679" s="81"/>
      <c r="F679" s="81"/>
      <c r="G679" s="81"/>
      <c r="H679" s="81"/>
      <c r="I679" s="81"/>
      <c r="J679" s="81"/>
      <c r="K679" s="81"/>
      <c r="L679" s="81"/>
      <c r="M679" s="81"/>
      <c r="N679" s="81"/>
      <c r="O679" s="81"/>
      <c r="P679" s="81"/>
      <c r="Q679" s="81"/>
      <c r="R679" s="81"/>
      <c r="S679" s="81"/>
      <c r="T679" s="81"/>
      <c r="U679" s="81"/>
      <c r="V679" s="94"/>
      <c r="W679" s="94"/>
    </row>
    <row r="680" spans="1:23" ht="21" customHeight="1">
      <c r="A680">
        <f>Table4[[#This Row],[Column1]]</f>
        <v>0</v>
      </c>
      <c r="B680">
        <f>Table4[[#This Row],[Column2]]</f>
        <v>0</v>
      </c>
      <c r="C680" s="81"/>
      <c r="D680" s="81"/>
      <c r="E680" s="81"/>
      <c r="F680" s="81"/>
      <c r="G680" s="81"/>
      <c r="H680" s="81"/>
      <c r="I680" s="81"/>
      <c r="J680" s="81"/>
      <c r="K680" s="81"/>
      <c r="L680" s="81"/>
      <c r="M680" s="81"/>
      <c r="N680" s="81"/>
      <c r="O680" s="81"/>
      <c r="P680" s="81"/>
      <c r="Q680" s="81"/>
      <c r="R680" s="81"/>
      <c r="S680" s="81"/>
      <c r="T680" s="81"/>
      <c r="U680" s="81"/>
      <c r="V680" s="94"/>
      <c r="W680" s="94"/>
    </row>
    <row r="681" spans="1:23" ht="21" customHeight="1">
      <c r="A681">
        <f>Table4[[#This Row],[Column1]]</f>
        <v>0</v>
      </c>
      <c r="B681">
        <f>Table4[[#This Row],[Column2]]</f>
        <v>0</v>
      </c>
      <c r="C681" s="81"/>
      <c r="D681" s="81"/>
      <c r="E681" s="81"/>
      <c r="F681" s="81"/>
      <c r="G681" s="81"/>
      <c r="H681" s="81"/>
      <c r="I681" s="81"/>
      <c r="J681" s="81"/>
      <c r="K681" s="81"/>
      <c r="L681" s="81"/>
      <c r="M681" s="81"/>
      <c r="N681" s="81"/>
      <c r="O681" s="81"/>
      <c r="P681" s="81"/>
      <c r="Q681" s="81"/>
      <c r="R681" s="81"/>
      <c r="S681" s="81"/>
      <c r="T681" s="81"/>
      <c r="U681" s="81"/>
      <c r="V681" s="94"/>
      <c r="W681" s="94"/>
    </row>
    <row r="682" spans="1:23" ht="21" customHeight="1">
      <c r="A682">
        <f>Table4[[#This Row],[Column1]]</f>
        <v>0</v>
      </c>
      <c r="B682">
        <f>Table4[[#This Row],[Column2]]</f>
        <v>0</v>
      </c>
      <c r="C682" s="81"/>
      <c r="D682" s="81"/>
      <c r="E682" s="81"/>
      <c r="F682" s="81"/>
      <c r="G682" s="81"/>
      <c r="H682" s="81"/>
      <c r="I682" s="81"/>
      <c r="J682" s="81"/>
      <c r="K682" s="81"/>
      <c r="L682" s="81"/>
      <c r="M682" s="81"/>
      <c r="N682" s="81"/>
      <c r="O682" s="81"/>
      <c r="P682" s="81"/>
      <c r="Q682" s="81"/>
      <c r="R682" s="81"/>
      <c r="S682" s="81"/>
      <c r="T682" s="81"/>
      <c r="U682" s="81"/>
      <c r="V682" s="94"/>
      <c r="W682" s="94"/>
    </row>
    <row r="683" spans="1:23" ht="21" customHeight="1">
      <c r="A683">
        <f>Table4[[#This Row],[Column1]]</f>
        <v>0</v>
      </c>
      <c r="B683">
        <f>Table4[[#This Row],[Column2]]</f>
        <v>0</v>
      </c>
      <c r="C683" s="81"/>
      <c r="D683" s="81"/>
      <c r="E683" s="81"/>
      <c r="F683" s="81"/>
      <c r="G683" s="81"/>
      <c r="H683" s="81"/>
      <c r="I683" s="81"/>
      <c r="J683" s="81"/>
      <c r="K683" s="81"/>
      <c r="L683" s="81"/>
      <c r="M683" s="81"/>
      <c r="N683" s="81"/>
      <c r="O683" s="81"/>
      <c r="P683" s="81"/>
      <c r="Q683" s="81"/>
      <c r="R683" s="81"/>
      <c r="S683" s="81"/>
      <c r="T683" s="81"/>
      <c r="U683" s="81"/>
      <c r="V683" s="94"/>
      <c r="W683" s="94"/>
    </row>
    <row r="684" spans="1:23" ht="21" customHeight="1">
      <c r="A684">
        <f>Table4[[#This Row],[Column1]]</f>
        <v>0</v>
      </c>
      <c r="B684">
        <f>Table4[[#This Row],[Column2]]</f>
        <v>0</v>
      </c>
      <c r="C684" s="81"/>
      <c r="D684" s="81"/>
      <c r="E684" s="81"/>
      <c r="F684" s="81"/>
      <c r="G684" s="81"/>
      <c r="H684" s="81"/>
      <c r="I684" s="81"/>
      <c r="J684" s="81"/>
      <c r="K684" s="81"/>
      <c r="L684" s="81"/>
      <c r="M684" s="81"/>
      <c r="N684" s="81"/>
      <c r="O684" s="81"/>
      <c r="P684" s="81"/>
      <c r="Q684" s="81"/>
      <c r="R684" s="81"/>
      <c r="S684" s="81"/>
      <c r="T684" s="81"/>
      <c r="U684" s="81"/>
      <c r="V684" s="94"/>
      <c r="W684" s="94"/>
    </row>
    <row r="685" spans="1:23" ht="21" customHeight="1">
      <c r="A685">
        <f>Table4[[#This Row],[Column1]]</f>
        <v>0</v>
      </c>
      <c r="B685">
        <f>Table4[[#This Row],[Column2]]</f>
        <v>0</v>
      </c>
      <c r="C685" s="81"/>
      <c r="D685" s="81"/>
      <c r="E685" s="81"/>
      <c r="F685" s="81"/>
      <c r="G685" s="81"/>
      <c r="H685" s="81"/>
      <c r="I685" s="81"/>
      <c r="J685" s="81"/>
      <c r="K685" s="81"/>
      <c r="L685" s="81"/>
      <c r="M685" s="81"/>
      <c r="N685" s="81"/>
      <c r="O685" s="81"/>
      <c r="P685" s="81"/>
      <c r="Q685" s="81"/>
      <c r="R685" s="81"/>
      <c r="S685" s="81"/>
      <c r="T685" s="81"/>
      <c r="U685" s="81"/>
      <c r="V685" s="94"/>
      <c r="W685" s="94"/>
    </row>
    <row r="686" spans="1:23" ht="21" customHeight="1">
      <c r="A686">
        <f>Table4[[#This Row],[Column1]]</f>
        <v>0</v>
      </c>
      <c r="B686">
        <f>Table4[[#This Row],[Column2]]</f>
        <v>0</v>
      </c>
      <c r="C686" s="81"/>
      <c r="D686" s="81"/>
      <c r="E686" s="81"/>
      <c r="F686" s="81"/>
      <c r="G686" s="81"/>
      <c r="H686" s="81"/>
      <c r="I686" s="81"/>
      <c r="J686" s="81"/>
      <c r="K686" s="81"/>
      <c r="L686" s="81"/>
      <c r="M686" s="81"/>
      <c r="N686" s="81"/>
      <c r="O686" s="81"/>
      <c r="P686" s="81"/>
      <c r="Q686" s="81"/>
      <c r="R686" s="81"/>
      <c r="S686" s="81"/>
      <c r="T686" s="81"/>
      <c r="U686" s="81"/>
      <c r="V686" s="94"/>
      <c r="W686" s="94"/>
    </row>
    <row r="687" spans="1:23" ht="21" customHeight="1">
      <c r="A687">
        <f>Table4[[#This Row],[Column1]]</f>
        <v>0</v>
      </c>
      <c r="B687">
        <f>Table4[[#This Row],[Column2]]</f>
        <v>0</v>
      </c>
      <c r="C687" s="81"/>
      <c r="D687" s="81"/>
      <c r="E687" s="81"/>
      <c r="F687" s="81"/>
      <c r="G687" s="81"/>
      <c r="H687" s="81"/>
      <c r="I687" s="81"/>
      <c r="J687" s="81"/>
      <c r="K687" s="81"/>
      <c r="L687" s="81"/>
      <c r="M687" s="81"/>
      <c r="N687" s="81"/>
      <c r="O687" s="81"/>
      <c r="P687" s="81"/>
      <c r="Q687" s="81"/>
      <c r="R687" s="81"/>
      <c r="S687" s="81"/>
      <c r="T687" s="81"/>
      <c r="U687" s="81"/>
      <c r="V687" s="94"/>
      <c r="W687" s="94"/>
    </row>
    <row r="688" spans="1:23" ht="21" customHeight="1">
      <c r="A688">
        <f>Table4[[#This Row],[Column1]]</f>
        <v>0</v>
      </c>
      <c r="B688">
        <f>Table4[[#This Row],[Column2]]</f>
        <v>0</v>
      </c>
      <c r="C688" s="81"/>
      <c r="D688" s="81"/>
      <c r="E688" s="81"/>
      <c r="F688" s="81"/>
      <c r="G688" s="81"/>
      <c r="H688" s="81"/>
      <c r="I688" s="81"/>
      <c r="J688" s="81"/>
      <c r="K688" s="81"/>
      <c r="L688" s="81"/>
      <c r="M688" s="81"/>
      <c r="N688" s="81"/>
      <c r="O688" s="81"/>
      <c r="P688" s="81"/>
      <c r="Q688" s="81"/>
      <c r="R688" s="81"/>
      <c r="S688" s="81"/>
      <c r="T688" s="81"/>
      <c r="U688" s="81"/>
      <c r="V688" s="94"/>
      <c r="W688" s="94"/>
    </row>
    <row r="689" spans="1:23" ht="21" customHeight="1">
      <c r="A689">
        <f>Table4[[#This Row],[Column1]]</f>
        <v>0</v>
      </c>
      <c r="B689">
        <f>Table4[[#This Row],[Column2]]</f>
        <v>0</v>
      </c>
      <c r="C689" s="81"/>
      <c r="D689" s="81"/>
      <c r="E689" s="81"/>
      <c r="F689" s="81"/>
      <c r="G689" s="81"/>
      <c r="H689" s="81"/>
      <c r="I689" s="81"/>
      <c r="J689" s="81"/>
      <c r="K689" s="81"/>
      <c r="L689" s="81"/>
      <c r="M689" s="81"/>
      <c r="N689" s="81"/>
      <c r="O689" s="81"/>
      <c r="P689" s="81"/>
      <c r="Q689" s="81"/>
      <c r="R689" s="81"/>
      <c r="S689" s="81"/>
      <c r="T689" s="81"/>
      <c r="U689" s="81"/>
      <c r="V689" s="94"/>
      <c r="W689" s="94"/>
    </row>
    <row r="690" spans="1:23" ht="21" customHeight="1">
      <c r="A690">
        <f>Table4[[#This Row],[Column1]]</f>
        <v>0</v>
      </c>
      <c r="B690">
        <f>Table4[[#This Row],[Column2]]</f>
        <v>0</v>
      </c>
      <c r="C690" s="81"/>
      <c r="D690" s="81"/>
      <c r="E690" s="81"/>
      <c r="F690" s="81"/>
      <c r="G690" s="81"/>
      <c r="H690" s="81"/>
      <c r="I690" s="81"/>
      <c r="J690" s="81"/>
      <c r="K690" s="81"/>
      <c r="L690" s="81"/>
      <c r="M690" s="81"/>
      <c r="N690" s="81"/>
      <c r="O690" s="81"/>
      <c r="P690" s="81"/>
      <c r="Q690" s="81"/>
      <c r="R690" s="81"/>
      <c r="S690" s="81"/>
      <c r="T690" s="81"/>
      <c r="U690" s="81"/>
      <c r="V690" s="94"/>
      <c r="W690" s="94"/>
    </row>
    <row r="691" spans="1:23" ht="21" customHeight="1">
      <c r="A691">
        <f>Table4[[#This Row],[Column1]]</f>
        <v>0</v>
      </c>
      <c r="B691">
        <f>Table4[[#This Row],[Column2]]</f>
        <v>0</v>
      </c>
      <c r="C691" s="81"/>
      <c r="D691" s="81"/>
      <c r="E691" s="81"/>
      <c r="F691" s="81"/>
      <c r="G691" s="81"/>
      <c r="H691" s="81"/>
      <c r="I691" s="81"/>
      <c r="J691" s="81"/>
      <c r="K691" s="81"/>
      <c r="L691" s="81"/>
      <c r="M691" s="81"/>
      <c r="N691" s="81"/>
      <c r="O691" s="81"/>
      <c r="P691" s="81"/>
      <c r="Q691" s="81"/>
      <c r="R691" s="81"/>
      <c r="S691" s="81"/>
      <c r="T691" s="81"/>
      <c r="U691" s="81"/>
      <c r="V691" s="94"/>
      <c r="W691" s="94"/>
    </row>
    <row r="692" spans="1:23" ht="21" customHeight="1">
      <c r="A692">
        <f>Table4[[#This Row],[Column1]]</f>
        <v>0</v>
      </c>
      <c r="B692">
        <f>Table4[[#This Row],[Column2]]</f>
        <v>0</v>
      </c>
      <c r="C692" s="81"/>
      <c r="D692" s="81"/>
      <c r="E692" s="81"/>
      <c r="F692" s="81"/>
      <c r="G692" s="81"/>
      <c r="H692" s="81"/>
      <c r="I692" s="81"/>
      <c r="J692" s="81"/>
      <c r="K692" s="81"/>
      <c r="L692" s="81"/>
      <c r="M692" s="81"/>
      <c r="N692" s="81"/>
      <c r="O692" s="81"/>
      <c r="P692" s="81"/>
      <c r="Q692" s="81"/>
      <c r="R692" s="81"/>
      <c r="S692" s="81"/>
      <c r="T692" s="81"/>
      <c r="U692" s="81"/>
      <c r="V692" s="94"/>
      <c r="W692" s="94"/>
    </row>
    <row r="693" spans="1:23" ht="21" customHeight="1">
      <c r="A693">
        <f>Table4[[#This Row],[Column1]]</f>
        <v>0</v>
      </c>
      <c r="B693">
        <f>Table4[[#This Row],[Column2]]</f>
        <v>0</v>
      </c>
      <c r="C693" s="81"/>
      <c r="D693" s="81"/>
      <c r="E693" s="81"/>
      <c r="F693" s="81"/>
      <c r="G693" s="81"/>
      <c r="H693" s="81"/>
      <c r="I693" s="81"/>
      <c r="J693" s="81"/>
      <c r="K693" s="81"/>
      <c r="L693" s="81"/>
      <c r="M693" s="81"/>
      <c r="N693" s="81"/>
      <c r="O693" s="81"/>
      <c r="P693" s="81"/>
      <c r="Q693" s="81"/>
      <c r="R693" s="81"/>
      <c r="S693" s="81"/>
      <c r="T693" s="81"/>
      <c r="U693" s="81"/>
      <c r="V693" s="94"/>
      <c r="W693" s="94"/>
    </row>
    <row r="694" spans="1:23" ht="21" customHeight="1">
      <c r="A694">
        <f>Table4[[#This Row],[Column1]]</f>
        <v>0</v>
      </c>
      <c r="B694">
        <f>Table4[[#This Row],[Column2]]</f>
        <v>0</v>
      </c>
      <c r="C694" s="81"/>
      <c r="D694" s="81"/>
      <c r="E694" s="81"/>
      <c r="F694" s="81"/>
      <c r="G694" s="81"/>
      <c r="H694" s="81"/>
      <c r="I694" s="81"/>
      <c r="J694" s="81"/>
      <c r="K694" s="81"/>
      <c r="L694" s="81"/>
      <c r="M694" s="81"/>
      <c r="N694" s="81"/>
      <c r="O694" s="81"/>
      <c r="P694" s="81"/>
      <c r="Q694" s="81"/>
      <c r="R694" s="81"/>
      <c r="S694" s="81"/>
      <c r="T694" s="81"/>
      <c r="U694" s="81"/>
      <c r="V694" s="94"/>
      <c r="W694" s="94"/>
    </row>
    <row r="695" spans="1:23" ht="21" customHeight="1">
      <c r="A695">
        <f>Table4[[#This Row],[Column1]]</f>
        <v>0</v>
      </c>
      <c r="B695">
        <f>Table4[[#This Row],[Column2]]</f>
        <v>0</v>
      </c>
      <c r="C695" s="81"/>
      <c r="D695" s="81"/>
      <c r="E695" s="81"/>
      <c r="F695" s="81"/>
      <c r="G695" s="81"/>
      <c r="H695" s="81"/>
      <c r="I695" s="81"/>
      <c r="J695" s="81"/>
      <c r="K695" s="81"/>
      <c r="L695" s="81"/>
      <c r="M695" s="81"/>
      <c r="N695" s="81"/>
      <c r="O695" s="81"/>
      <c r="P695" s="81"/>
      <c r="Q695" s="81"/>
      <c r="R695" s="81"/>
      <c r="S695" s="81"/>
      <c r="T695" s="81"/>
      <c r="U695" s="81"/>
      <c r="V695" s="94"/>
      <c r="W695" s="94"/>
    </row>
    <row r="696" spans="1:23" ht="21" customHeight="1">
      <c r="A696">
        <f>Table4[[#This Row],[Column1]]</f>
        <v>0</v>
      </c>
      <c r="B696">
        <f>Table4[[#This Row],[Column2]]</f>
        <v>0</v>
      </c>
      <c r="C696" s="81"/>
      <c r="D696" s="81"/>
      <c r="E696" s="81"/>
      <c r="F696" s="81"/>
      <c r="G696" s="81"/>
      <c r="H696" s="81"/>
      <c r="I696" s="81"/>
      <c r="J696" s="81"/>
      <c r="K696" s="81"/>
      <c r="L696" s="81"/>
      <c r="M696" s="81"/>
      <c r="N696" s="81"/>
      <c r="O696" s="81"/>
      <c r="P696" s="81"/>
      <c r="Q696" s="81"/>
      <c r="R696" s="81"/>
      <c r="S696" s="81"/>
      <c r="T696" s="81"/>
      <c r="U696" s="81"/>
      <c r="V696" s="94"/>
      <c r="W696" s="94"/>
    </row>
    <row r="697" spans="1:23" ht="21" customHeight="1">
      <c r="A697">
        <f>Table4[[#This Row],[Column1]]</f>
        <v>0</v>
      </c>
      <c r="B697">
        <f>Table4[[#This Row],[Column2]]</f>
        <v>0</v>
      </c>
      <c r="C697" s="81"/>
      <c r="D697" s="81"/>
      <c r="E697" s="81"/>
      <c r="F697" s="81"/>
      <c r="G697" s="81"/>
      <c r="H697" s="81"/>
      <c r="I697" s="81"/>
      <c r="J697" s="81"/>
      <c r="K697" s="81"/>
      <c r="L697" s="81"/>
      <c r="M697" s="81"/>
      <c r="N697" s="81"/>
      <c r="O697" s="81"/>
      <c r="P697" s="81"/>
      <c r="Q697" s="81"/>
      <c r="R697" s="81"/>
      <c r="S697" s="81"/>
      <c r="T697" s="81"/>
      <c r="U697" s="81"/>
      <c r="V697" s="94"/>
      <c r="W697" s="94"/>
    </row>
    <row r="698" spans="1:23" ht="21" customHeight="1">
      <c r="A698">
        <f>Table4[[#This Row],[Column1]]</f>
        <v>0</v>
      </c>
      <c r="B698">
        <f>Table4[[#This Row],[Column2]]</f>
        <v>0</v>
      </c>
      <c r="C698" s="81"/>
      <c r="D698" s="81"/>
      <c r="E698" s="81"/>
      <c r="F698" s="81"/>
      <c r="G698" s="81"/>
      <c r="H698" s="81"/>
      <c r="I698" s="81"/>
      <c r="J698" s="81"/>
      <c r="K698" s="81"/>
      <c r="L698" s="81"/>
      <c r="M698" s="81"/>
      <c r="N698" s="81"/>
      <c r="O698" s="81"/>
      <c r="P698" s="81"/>
      <c r="Q698" s="81"/>
      <c r="R698" s="81"/>
      <c r="S698" s="81"/>
      <c r="T698" s="81"/>
      <c r="U698" s="81"/>
      <c r="V698" s="94"/>
      <c r="W698" s="94"/>
    </row>
    <row r="699" spans="1:23" ht="21" customHeight="1">
      <c r="A699">
        <f>Table4[[#This Row],[Column1]]</f>
        <v>0</v>
      </c>
      <c r="B699">
        <f>Table4[[#This Row],[Column2]]</f>
        <v>0</v>
      </c>
      <c r="C699" s="81"/>
      <c r="D699" s="81"/>
      <c r="E699" s="81"/>
      <c r="F699" s="81"/>
      <c r="G699" s="81"/>
      <c r="H699" s="81"/>
      <c r="I699" s="81"/>
      <c r="J699" s="81"/>
      <c r="K699" s="81"/>
      <c r="L699" s="81"/>
      <c r="M699" s="81"/>
      <c r="N699" s="81"/>
      <c r="O699" s="81"/>
      <c r="P699" s="81"/>
      <c r="Q699" s="81"/>
      <c r="R699" s="81"/>
      <c r="S699" s="81"/>
      <c r="T699" s="81"/>
      <c r="U699" s="81"/>
      <c r="V699" s="94"/>
      <c r="W699" s="94"/>
    </row>
    <row r="700" spans="1:23" ht="21" customHeight="1">
      <c r="A700">
        <f>Table4[[#This Row],[Column1]]</f>
        <v>0</v>
      </c>
      <c r="B700">
        <f>Table4[[#This Row],[Column2]]</f>
        <v>0</v>
      </c>
      <c r="C700" s="81"/>
      <c r="D700" s="81"/>
      <c r="E700" s="81"/>
      <c r="F700" s="81"/>
      <c r="G700" s="81"/>
      <c r="H700" s="81"/>
      <c r="I700" s="81"/>
      <c r="J700" s="81"/>
      <c r="K700" s="81"/>
      <c r="L700" s="81"/>
      <c r="M700" s="81"/>
      <c r="N700" s="81"/>
      <c r="O700" s="81"/>
      <c r="P700" s="81"/>
      <c r="Q700" s="81"/>
      <c r="R700" s="81"/>
      <c r="S700" s="81"/>
      <c r="T700" s="81"/>
      <c r="U700" s="81"/>
      <c r="V700" s="94"/>
      <c r="W700" s="94"/>
    </row>
    <row r="701" spans="1:23" ht="21" customHeight="1">
      <c r="A701">
        <f>Table4[[#This Row],[Column1]]</f>
        <v>0</v>
      </c>
      <c r="B701">
        <f>Table4[[#This Row],[Column2]]</f>
        <v>0</v>
      </c>
      <c r="C701" s="81"/>
      <c r="D701" s="81"/>
      <c r="E701" s="81"/>
      <c r="F701" s="81"/>
      <c r="G701" s="81"/>
      <c r="H701" s="81"/>
      <c r="I701" s="81"/>
      <c r="J701" s="81"/>
      <c r="K701" s="81"/>
      <c r="L701" s="81"/>
      <c r="M701" s="81"/>
      <c r="N701" s="81"/>
      <c r="O701" s="81"/>
      <c r="P701" s="81"/>
      <c r="Q701" s="81"/>
      <c r="R701" s="81"/>
      <c r="S701" s="81"/>
      <c r="T701" s="81"/>
      <c r="U701" s="81"/>
      <c r="V701" s="94"/>
      <c r="W701" s="94"/>
    </row>
    <row r="702" spans="1:23" ht="21" customHeight="1">
      <c r="A702">
        <f>Table4[[#This Row],[Column1]]</f>
        <v>0</v>
      </c>
      <c r="B702">
        <f>Table4[[#This Row],[Column2]]</f>
        <v>0</v>
      </c>
      <c r="C702" s="81"/>
      <c r="D702" s="81"/>
      <c r="E702" s="81"/>
      <c r="F702" s="81"/>
      <c r="G702" s="81"/>
      <c r="H702" s="81"/>
      <c r="I702" s="81"/>
      <c r="J702" s="81"/>
      <c r="K702" s="81"/>
      <c r="L702" s="81"/>
      <c r="M702" s="81"/>
      <c r="N702" s="81"/>
      <c r="O702" s="81"/>
      <c r="P702" s="81"/>
      <c r="Q702" s="81"/>
      <c r="R702" s="81"/>
      <c r="S702" s="81"/>
      <c r="T702" s="81"/>
      <c r="U702" s="81"/>
      <c r="V702" s="94"/>
      <c r="W702" s="94"/>
    </row>
    <row r="703" spans="1:23" ht="21" customHeight="1">
      <c r="A703">
        <f>Table4[[#This Row],[Column1]]</f>
        <v>0</v>
      </c>
      <c r="B703">
        <f>Table4[[#This Row],[Column2]]</f>
        <v>0</v>
      </c>
      <c r="C703" s="81"/>
      <c r="D703" s="81"/>
      <c r="E703" s="81"/>
      <c r="F703" s="81"/>
      <c r="G703" s="81"/>
      <c r="H703" s="81"/>
      <c r="I703" s="81"/>
      <c r="J703" s="81"/>
      <c r="K703" s="81"/>
      <c r="L703" s="81"/>
      <c r="M703" s="81"/>
      <c r="N703" s="81"/>
      <c r="O703" s="81"/>
      <c r="P703" s="81"/>
      <c r="Q703" s="81"/>
      <c r="R703" s="81"/>
      <c r="S703" s="81"/>
      <c r="T703" s="81"/>
      <c r="U703" s="81"/>
      <c r="V703" s="94"/>
      <c r="W703" s="94"/>
    </row>
    <row r="704" spans="1:23" ht="21" customHeight="1">
      <c r="A704">
        <f>Table4[[#This Row],[Column1]]</f>
        <v>0</v>
      </c>
      <c r="B704">
        <f>Table4[[#This Row],[Column2]]</f>
        <v>0</v>
      </c>
      <c r="C704" s="81"/>
      <c r="D704" s="81"/>
      <c r="E704" s="81"/>
      <c r="F704" s="81"/>
      <c r="G704" s="81"/>
      <c r="H704" s="81"/>
      <c r="I704" s="81"/>
      <c r="J704" s="81"/>
      <c r="K704" s="81"/>
      <c r="L704" s="81"/>
      <c r="M704" s="81"/>
      <c r="N704" s="81"/>
      <c r="O704" s="81"/>
      <c r="P704" s="81"/>
      <c r="Q704" s="81"/>
      <c r="R704" s="81"/>
      <c r="S704" s="81"/>
      <c r="T704" s="81"/>
      <c r="U704" s="81"/>
      <c r="V704" s="94"/>
      <c r="W704" s="94"/>
    </row>
    <row r="705" spans="1:23" ht="21" customHeight="1">
      <c r="A705">
        <f>Table4[[#This Row],[Column1]]</f>
        <v>0</v>
      </c>
      <c r="B705">
        <f>Table4[[#This Row],[Column2]]</f>
        <v>0</v>
      </c>
      <c r="C705" s="81"/>
      <c r="D705" s="81"/>
      <c r="E705" s="81"/>
      <c r="F705" s="81"/>
      <c r="G705" s="81"/>
      <c r="H705" s="81"/>
      <c r="I705" s="81"/>
      <c r="J705" s="81"/>
      <c r="K705" s="81"/>
      <c r="L705" s="81"/>
      <c r="M705" s="81"/>
      <c r="N705" s="81"/>
      <c r="O705" s="81"/>
      <c r="P705" s="81"/>
      <c r="Q705" s="81"/>
      <c r="R705" s="81"/>
      <c r="S705" s="81"/>
      <c r="T705" s="81"/>
      <c r="U705" s="81"/>
      <c r="V705" s="94"/>
      <c r="W705" s="94"/>
    </row>
    <row r="706" spans="1:23" ht="21" customHeight="1">
      <c r="A706">
        <f>Table4[[#This Row],[Column1]]</f>
        <v>0</v>
      </c>
      <c r="B706">
        <f>Table4[[#This Row],[Column2]]</f>
        <v>0</v>
      </c>
      <c r="C706" s="81"/>
      <c r="D706" s="81"/>
      <c r="E706" s="81"/>
      <c r="F706" s="81"/>
      <c r="G706" s="81"/>
      <c r="H706" s="81"/>
      <c r="I706" s="81"/>
      <c r="J706" s="81"/>
      <c r="K706" s="81"/>
      <c r="L706" s="81"/>
      <c r="M706" s="81"/>
      <c r="N706" s="81"/>
      <c r="O706" s="81"/>
      <c r="P706" s="81"/>
      <c r="Q706" s="81"/>
      <c r="R706" s="81"/>
      <c r="S706" s="81"/>
      <c r="T706" s="81"/>
      <c r="U706" s="81"/>
      <c r="V706" s="94"/>
      <c r="W706" s="94"/>
    </row>
    <row r="707" spans="1:23" ht="21" customHeight="1">
      <c r="A707">
        <f>Table4[[#This Row],[Column1]]</f>
        <v>0</v>
      </c>
      <c r="B707">
        <f>Table4[[#This Row],[Column2]]</f>
        <v>0</v>
      </c>
      <c r="C707" s="81"/>
      <c r="D707" s="81"/>
      <c r="E707" s="81"/>
      <c r="F707" s="81"/>
      <c r="G707" s="81"/>
      <c r="H707" s="81"/>
      <c r="I707" s="81"/>
      <c r="J707" s="81"/>
      <c r="K707" s="81"/>
      <c r="L707" s="81"/>
      <c r="M707" s="81"/>
      <c r="N707" s="81"/>
      <c r="O707" s="81"/>
      <c r="P707" s="81"/>
      <c r="Q707" s="81"/>
      <c r="R707" s="81"/>
      <c r="S707" s="81"/>
      <c r="T707" s="81"/>
      <c r="U707" s="81"/>
      <c r="V707" s="94"/>
      <c r="W707" s="94"/>
    </row>
    <row r="708" spans="1:23" ht="21" customHeight="1">
      <c r="A708">
        <f>Table4[[#This Row],[Column1]]</f>
        <v>0</v>
      </c>
      <c r="B708">
        <f>Table4[[#This Row],[Column2]]</f>
        <v>0</v>
      </c>
      <c r="C708" s="81"/>
      <c r="D708" s="81"/>
      <c r="E708" s="81"/>
      <c r="F708" s="81"/>
      <c r="G708" s="81"/>
      <c r="H708" s="81"/>
      <c r="I708" s="81"/>
      <c r="J708" s="81"/>
      <c r="K708" s="81"/>
      <c r="L708" s="81"/>
      <c r="M708" s="81"/>
      <c r="N708" s="81"/>
      <c r="O708" s="81"/>
      <c r="P708" s="81"/>
      <c r="Q708" s="81"/>
      <c r="R708" s="81"/>
      <c r="S708" s="81"/>
      <c r="T708" s="81"/>
      <c r="U708" s="81"/>
      <c r="V708" s="94"/>
      <c r="W708" s="94"/>
    </row>
    <row r="709" spans="1:23" ht="21" customHeight="1">
      <c r="A709">
        <f>Table4[[#This Row],[Column1]]</f>
        <v>0</v>
      </c>
      <c r="B709">
        <f>Table4[[#This Row],[Column2]]</f>
        <v>0</v>
      </c>
      <c r="C709" s="81"/>
      <c r="D709" s="81"/>
      <c r="E709" s="81"/>
      <c r="F709" s="81"/>
      <c r="G709" s="81"/>
      <c r="H709" s="81"/>
      <c r="I709" s="81"/>
      <c r="J709" s="81"/>
      <c r="K709" s="81"/>
      <c r="L709" s="81"/>
      <c r="M709" s="81"/>
      <c r="N709" s="81"/>
      <c r="O709" s="81"/>
      <c r="P709" s="81"/>
      <c r="Q709" s="81"/>
      <c r="R709" s="81"/>
      <c r="S709" s="81"/>
      <c r="T709" s="81"/>
      <c r="U709" s="81"/>
      <c r="V709" s="94"/>
      <c r="W709" s="94"/>
    </row>
    <row r="710" spans="1:23" ht="21" customHeight="1">
      <c r="A710">
        <f>Table4[[#This Row],[Column1]]</f>
        <v>0</v>
      </c>
      <c r="B710">
        <f>Table4[[#This Row],[Column2]]</f>
        <v>0</v>
      </c>
      <c r="C710" s="81"/>
      <c r="D710" s="81"/>
      <c r="E710" s="81"/>
      <c r="F710" s="81"/>
      <c r="G710" s="81"/>
      <c r="H710" s="81"/>
      <c r="I710" s="81"/>
      <c r="J710" s="81"/>
      <c r="K710" s="81"/>
      <c r="L710" s="81"/>
      <c r="M710" s="81"/>
      <c r="N710" s="81"/>
      <c r="O710" s="81"/>
      <c r="P710" s="81"/>
      <c r="Q710" s="81"/>
      <c r="R710" s="81"/>
      <c r="S710" s="81"/>
      <c r="T710" s="81"/>
      <c r="U710" s="81"/>
      <c r="V710" s="94"/>
      <c r="W710" s="94"/>
    </row>
    <row r="711" spans="1:23" ht="21" customHeight="1">
      <c r="A711">
        <f>Table4[[#This Row],[Column1]]</f>
        <v>0</v>
      </c>
      <c r="B711">
        <f>Table4[[#This Row],[Column2]]</f>
        <v>0</v>
      </c>
      <c r="C711" s="81"/>
      <c r="D711" s="81"/>
      <c r="E711" s="81"/>
      <c r="F711" s="81"/>
      <c r="G711" s="81"/>
      <c r="H711" s="81"/>
      <c r="I711" s="81"/>
      <c r="J711" s="81"/>
      <c r="K711" s="81"/>
      <c r="L711" s="81"/>
      <c r="M711" s="81"/>
      <c r="N711" s="81"/>
      <c r="O711" s="81"/>
      <c r="P711" s="81"/>
      <c r="Q711" s="81"/>
      <c r="R711" s="81"/>
      <c r="S711" s="81"/>
      <c r="T711" s="81"/>
      <c r="U711" s="81"/>
      <c r="V711" s="94"/>
      <c r="W711" s="94"/>
    </row>
    <row r="712" spans="1:23" ht="21" customHeight="1">
      <c r="A712">
        <f>Table4[[#This Row],[Column1]]</f>
        <v>0</v>
      </c>
      <c r="B712">
        <f>Table4[[#This Row],[Column2]]</f>
        <v>0</v>
      </c>
      <c r="C712" s="81"/>
      <c r="D712" s="81"/>
      <c r="E712" s="81"/>
      <c r="F712" s="81"/>
      <c r="G712" s="81"/>
      <c r="H712" s="81"/>
      <c r="I712" s="81"/>
      <c r="J712" s="81"/>
      <c r="K712" s="81"/>
      <c r="L712" s="81"/>
      <c r="M712" s="81"/>
      <c r="N712" s="81"/>
      <c r="O712" s="81"/>
      <c r="P712" s="81"/>
      <c r="Q712" s="81"/>
      <c r="R712" s="81"/>
      <c r="S712" s="81"/>
      <c r="T712" s="81"/>
      <c r="U712" s="81"/>
      <c r="V712" s="94"/>
      <c r="W712" s="94"/>
    </row>
    <row r="713" spans="1:23" ht="21" customHeight="1">
      <c r="A713">
        <f>Table4[[#This Row],[Column1]]</f>
        <v>0</v>
      </c>
      <c r="B713">
        <f>Table4[[#This Row],[Column2]]</f>
        <v>0</v>
      </c>
      <c r="C713" s="81"/>
      <c r="D713" s="81"/>
      <c r="E713" s="81"/>
      <c r="F713" s="81"/>
      <c r="G713" s="81"/>
      <c r="H713" s="81"/>
      <c r="I713" s="81"/>
      <c r="J713" s="81"/>
      <c r="K713" s="81"/>
      <c r="L713" s="81"/>
      <c r="M713" s="81"/>
      <c r="N713" s="81"/>
      <c r="O713" s="81"/>
      <c r="P713" s="81"/>
      <c r="Q713" s="81"/>
      <c r="R713" s="81"/>
      <c r="S713" s="81"/>
      <c r="T713" s="81"/>
      <c r="U713" s="81"/>
      <c r="V713" s="94"/>
      <c r="W713" s="94"/>
    </row>
    <row r="714" spans="1:23" ht="21" customHeight="1">
      <c r="A714">
        <f>Table4[[#This Row],[Column1]]</f>
        <v>0</v>
      </c>
      <c r="B714">
        <f>Table4[[#This Row],[Column2]]</f>
        <v>0</v>
      </c>
      <c r="C714" s="81"/>
      <c r="D714" s="81"/>
      <c r="E714" s="81"/>
      <c r="F714" s="81"/>
      <c r="G714" s="81"/>
      <c r="H714" s="81"/>
      <c r="I714" s="81"/>
      <c r="J714" s="81"/>
      <c r="K714" s="81"/>
      <c r="L714" s="81"/>
      <c r="M714" s="81"/>
      <c r="N714" s="81"/>
      <c r="O714" s="81"/>
      <c r="P714" s="81"/>
      <c r="Q714" s="81"/>
      <c r="R714" s="81"/>
      <c r="S714" s="81"/>
      <c r="T714" s="81"/>
      <c r="U714" s="81"/>
      <c r="V714" s="94"/>
      <c r="W714" s="94"/>
    </row>
    <row r="715" spans="1:23" ht="21" customHeight="1">
      <c r="A715">
        <f>Table4[[#This Row],[Column1]]</f>
        <v>0</v>
      </c>
      <c r="B715">
        <f>Table4[[#This Row],[Column2]]</f>
        <v>0</v>
      </c>
      <c r="C715" s="81"/>
      <c r="D715" s="81"/>
      <c r="E715" s="81"/>
      <c r="F715" s="81"/>
      <c r="G715" s="81"/>
      <c r="H715" s="81"/>
      <c r="I715" s="81"/>
      <c r="J715" s="81"/>
      <c r="K715" s="81"/>
      <c r="L715" s="81"/>
      <c r="M715" s="81"/>
      <c r="N715" s="81"/>
      <c r="O715" s="81"/>
      <c r="P715" s="81"/>
      <c r="Q715" s="81"/>
      <c r="R715" s="81"/>
      <c r="S715" s="81"/>
      <c r="T715" s="81"/>
      <c r="U715" s="81"/>
      <c r="V715" s="94"/>
      <c r="W715" s="94"/>
    </row>
    <row r="716" spans="1:23" ht="21" customHeight="1">
      <c r="A716">
        <f>Table4[[#This Row],[Column1]]</f>
        <v>0</v>
      </c>
      <c r="B716">
        <f>Table4[[#This Row],[Column2]]</f>
        <v>0</v>
      </c>
      <c r="C716" s="81"/>
      <c r="D716" s="81"/>
      <c r="E716" s="81"/>
      <c r="F716" s="81"/>
      <c r="G716" s="81"/>
      <c r="H716" s="81"/>
      <c r="I716" s="81"/>
      <c r="J716" s="81"/>
      <c r="K716" s="81"/>
      <c r="L716" s="81"/>
      <c r="M716" s="81"/>
      <c r="N716" s="81"/>
      <c r="O716" s="81"/>
      <c r="P716" s="81"/>
      <c r="Q716" s="81"/>
      <c r="R716" s="81"/>
      <c r="S716" s="81"/>
      <c r="T716" s="81"/>
      <c r="U716" s="81"/>
      <c r="V716" s="94"/>
      <c r="W716" s="94"/>
    </row>
    <row r="717" spans="1:23" ht="21" customHeight="1">
      <c r="A717">
        <f>Table4[[#This Row],[Column1]]</f>
        <v>0</v>
      </c>
      <c r="B717">
        <f>Table4[[#This Row],[Column2]]</f>
        <v>0</v>
      </c>
      <c r="C717" s="81"/>
      <c r="D717" s="81"/>
      <c r="E717" s="81"/>
      <c r="F717" s="81"/>
      <c r="G717" s="81"/>
      <c r="H717" s="81"/>
      <c r="I717" s="81"/>
      <c r="J717" s="81"/>
      <c r="K717" s="81"/>
      <c r="L717" s="81"/>
      <c r="M717" s="81"/>
      <c r="N717" s="81"/>
      <c r="O717" s="81"/>
      <c r="P717" s="81"/>
      <c r="Q717" s="81"/>
      <c r="R717" s="81"/>
      <c r="S717" s="81"/>
      <c r="T717" s="81"/>
      <c r="U717" s="81"/>
      <c r="V717" s="94"/>
      <c r="W717" s="94"/>
    </row>
    <row r="718" spans="1:23" ht="21" customHeight="1">
      <c r="A718">
        <f>Table4[[#This Row],[Column1]]</f>
        <v>0</v>
      </c>
      <c r="B718">
        <f>Table4[[#This Row],[Column2]]</f>
        <v>0</v>
      </c>
      <c r="C718" s="81"/>
      <c r="D718" s="81"/>
      <c r="E718" s="81"/>
      <c r="F718" s="81"/>
      <c r="G718" s="81"/>
      <c r="H718" s="81"/>
      <c r="I718" s="81"/>
      <c r="J718" s="81"/>
      <c r="K718" s="81"/>
      <c r="L718" s="81"/>
      <c r="M718" s="81"/>
      <c r="N718" s="81"/>
      <c r="O718" s="81"/>
      <c r="P718" s="81"/>
      <c r="Q718" s="81"/>
      <c r="R718" s="81"/>
      <c r="S718" s="81"/>
      <c r="T718" s="81"/>
      <c r="U718" s="81"/>
      <c r="V718" s="94"/>
      <c r="W718" s="94"/>
    </row>
    <row r="719" spans="1:23" ht="21" customHeight="1">
      <c r="A719">
        <f>Table4[[#This Row],[Column1]]</f>
        <v>0</v>
      </c>
      <c r="B719">
        <f>Table4[[#This Row],[Column2]]</f>
        <v>0</v>
      </c>
      <c r="C719" s="81"/>
      <c r="D719" s="81"/>
      <c r="E719" s="81"/>
      <c r="F719" s="81"/>
      <c r="G719" s="81"/>
      <c r="H719" s="81"/>
      <c r="I719" s="81"/>
      <c r="J719" s="81"/>
      <c r="K719" s="81"/>
      <c r="L719" s="81"/>
      <c r="M719" s="81"/>
      <c r="N719" s="81"/>
      <c r="O719" s="81"/>
      <c r="P719" s="81"/>
      <c r="Q719" s="81"/>
      <c r="R719" s="81"/>
      <c r="S719" s="81"/>
      <c r="T719" s="81"/>
      <c r="U719" s="81"/>
      <c r="V719" s="94"/>
      <c r="W719" s="94"/>
    </row>
    <row r="720" spans="1:23" ht="21" customHeight="1">
      <c r="A720">
        <f>Table4[[#This Row],[Column1]]</f>
        <v>0</v>
      </c>
      <c r="B720">
        <f>Table4[[#This Row],[Column2]]</f>
        <v>0</v>
      </c>
      <c r="C720" s="81"/>
      <c r="D720" s="81"/>
      <c r="E720" s="81"/>
      <c r="F720" s="81"/>
      <c r="G720" s="81"/>
      <c r="H720" s="81"/>
      <c r="I720" s="81"/>
      <c r="J720" s="81"/>
      <c r="K720" s="81"/>
      <c r="L720" s="81"/>
      <c r="M720" s="81"/>
      <c r="N720" s="81"/>
      <c r="O720" s="81"/>
      <c r="P720" s="81"/>
      <c r="Q720" s="81"/>
      <c r="R720" s="81"/>
      <c r="S720" s="81"/>
      <c r="T720" s="81"/>
      <c r="U720" s="81"/>
      <c r="V720" s="94"/>
      <c r="W720" s="94"/>
    </row>
    <row r="721" spans="1:23" ht="21" customHeight="1">
      <c r="A721">
        <f>Table4[[#This Row],[Column1]]</f>
        <v>0</v>
      </c>
      <c r="B721">
        <f>Table4[[#This Row],[Column2]]</f>
        <v>0</v>
      </c>
      <c r="C721" s="81"/>
      <c r="D721" s="81"/>
      <c r="E721" s="81"/>
      <c r="F721" s="81"/>
      <c r="G721" s="81"/>
      <c r="H721" s="81"/>
      <c r="I721" s="81"/>
      <c r="J721" s="81"/>
      <c r="K721" s="81"/>
      <c r="L721" s="81"/>
      <c r="M721" s="81"/>
      <c r="N721" s="81"/>
      <c r="O721" s="81"/>
      <c r="P721" s="81"/>
      <c r="Q721" s="81"/>
      <c r="R721" s="81"/>
      <c r="S721" s="81"/>
      <c r="T721" s="81"/>
      <c r="U721" s="81"/>
      <c r="V721" s="94"/>
      <c r="W721" s="94"/>
    </row>
    <row r="722" spans="1:23" ht="21" customHeight="1">
      <c r="A722">
        <f>Table4[[#This Row],[Column1]]</f>
        <v>0</v>
      </c>
      <c r="B722">
        <f>Table4[[#This Row],[Column2]]</f>
        <v>0</v>
      </c>
      <c r="C722" s="81"/>
      <c r="D722" s="81"/>
      <c r="E722" s="81"/>
      <c r="F722" s="81"/>
      <c r="G722" s="81"/>
      <c r="H722" s="81"/>
      <c r="I722" s="81"/>
      <c r="J722" s="81"/>
      <c r="K722" s="81"/>
      <c r="L722" s="81"/>
      <c r="M722" s="81"/>
      <c r="N722" s="81"/>
      <c r="O722" s="81"/>
      <c r="P722" s="81"/>
      <c r="Q722" s="81"/>
      <c r="R722" s="81"/>
      <c r="S722" s="81"/>
      <c r="T722" s="81"/>
      <c r="U722" s="81"/>
      <c r="V722" s="94"/>
      <c r="W722" s="94"/>
    </row>
    <row r="723" spans="1:23" ht="21" customHeight="1">
      <c r="A723">
        <f>Table4[[#This Row],[Column1]]</f>
        <v>0</v>
      </c>
      <c r="B723">
        <f>Table4[[#This Row],[Column2]]</f>
        <v>0</v>
      </c>
      <c r="C723" s="81"/>
      <c r="D723" s="81"/>
      <c r="E723" s="81"/>
      <c r="F723" s="81"/>
      <c r="G723" s="81"/>
      <c r="H723" s="81"/>
      <c r="I723" s="81"/>
      <c r="J723" s="81"/>
      <c r="K723" s="81"/>
      <c r="L723" s="81"/>
      <c r="M723" s="81"/>
      <c r="N723" s="81"/>
      <c r="O723" s="81"/>
      <c r="P723" s="81"/>
      <c r="Q723" s="81"/>
      <c r="R723" s="81"/>
      <c r="S723" s="81"/>
      <c r="T723" s="81"/>
      <c r="U723" s="81"/>
      <c r="V723" s="94"/>
      <c r="W723" s="94"/>
    </row>
    <row r="724" spans="1:23" ht="21" customHeight="1">
      <c r="A724">
        <f>Table4[[#This Row],[Column1]]</f>
        <v>0</v>
      </c>
      <c r="B724">
        <f>Table4[[#This Row],[Column2]]</f>
        <v>0</v>
      </c>
      <c r="C724" s="81"/>
      <c r="D724" s="81"/>
      <c r="E724" s="81"/>
      <c r="F724" s="81"/>
      <c r="G724" s="81"/>
      <c r="H724" s="81"/>
      <c r="I724" s="81"/>
      <c r="J724" s="81"/>
      <c r="K724" s="81"/>
      <c r="L724" s="81"/>
      <c r="M724" s="81"/>
      <c r="N724" s="81"/>
      <c r="O724" s="81"/>
      <c r="P724" s="81"/>
      <c r="Q724" s="81"/>
      <c r="R724" s="81"/>
      <c r="S724" s="81"/>
      <c r="T724" s="81"/>
      <c r="U724" s="81"/>
      <c r="V724" s="94"/>
      <c r="W724" s="94"/>
    </row>
    <row r="725" spans="1:23" ht="21" customHeight="1">
      <c r="A725">
        <f>Table4[[#This Row],[Column1]]</f>
        <v>0</v>
      </c>
      <c r="B725">
        <f>Table4[[#This Row],[Column2]]</f>
        <v>0</v>
      </c>
      <c r="C725" s="81"/>
      <c r="D725" s="81"/>
      <c r="E725" s="81"/>
      <c r="F725" s="81"/>
      <c r="G725" s="81"/>
      <c r="H725" s="81"/>
      <c r="I725" s="81"/>
      <c r="J725" s="81"/>
      <c r="K725" s="81"/>
      <c r="L725" s="81"/>
      <c r="M725" s="81"/>
      <c r="N725" s="81"/>
      <c r="O725" s="81"/>
      <c r="P725" s="81"/>
      <c r="Q725" s="81"/>
      <c r="R725" s="81"/>
      <c r="S725" s="81"/>
      <c r="T725" s="81"/>
      <c r="U725" s="81"/>
      <c r="V725" s="94"/>
      <c r="W725" s="94"/>
    </row>
    <row r="726" spans="1:23" ht="21" customHeight="1">
      <c r="A726">
        <f>Table4[[#This Row],[Column1]]</f>
        <v>0</v>
      </c>
      <c r="B726">
        <f>Table4[[#This Row],[Column2]]</f>
        <v>0</v>
      </c>
      <c r="C726" s="81"/>
      <c r="D726" s="81"/>
      <c r="E726" s="81"/>
      <c r="F726" s="81"/>
      <c r="G726" s="81"/>
      <c r="H726" s="81"/>
      <c r="I726" s="81"/>
      <c r="J726" s="81"/>
      <c r="K726" s="81"/>
      <c r="L726" s="81"/>
      <c r="M726" s="81"/>
      <c r="N726" s="81"/>
      <c r="O726" s="81"/>
      <c r="P726" s="81"/>
      <c r="Q726" s="81"/>
      <c r="R726" s="81"/>
      <c r="S726" s="81"/>
      <c r="T726" s="81"/>
      <c r="U726" s="81"/>
      <c r="V726" s="94"/>
      <c r="W726" s="94"/>
    </row>
    <row r="727" spans="1:23" ht="21" customHeight="1">
      <c r="A727">
        <f>Table4[[#This Row],[Column1]]</f>
        <v>0</v>
      </c>
      <c r="B727">
        <f>Table4[[#This Row],[Column2]]</f>
        <v>0</v>
      </c>
      <c r="C727" s="81"/>
      <c r="D727" s="81"/>
      <c r="E727" s="81"/>
      <c r="F727" s="81"/>
      <c r="G727" s="81"/>
      <c r="H727" s="81"/>
      <c r="I727" s="81"/>
      <c r="J727" s="81"/>
      <c r="K727" s="81"/>
      <c r="L727" s="81"/>
      <c r="M727" s="81"/>
      <c r="N727" s="81"/>
      <c r="O727" s="81"/>
      <c r="P727" s="81"/>
      <c r="Q727" s="81"/>
      <c r="R727" s="81"/>
      <c r="S727" s="81"/>
      <c r="T727" s="81"/>
      <c r="U727" s="81"/>
      <c r="V727" s="94"/>
      <c r="W727" s="94"/>
    </row>
    <row r="728" spans="1:23" ht="21" customHeight="1">
      <c r="A728">
        <f>Table4[[#This Row],[Column1]]</f>
        <v>0</v>
      </c>
      <c r="B728">
        <f>Table4[[#This Row],[Column2]]</f>
        <v>0</v>
      </c>
      <c r="C728" s="81"/>
      <c r="D728" s="81"/>
      <c r="E728" s="81"/>
      <c r="F728" s="81"/>
      <c r="G728" s="81"/>
      <c r="H728" s="81"/>
      <c r="I728" s="81"/>
      <c r="J728" s="81"/>
      <c r="K728" s="81"/>
      <c r="L728" s="81"/>
      <c r="M728" s="81"/>
      <c r="N728" s="81"/>
      <c r="O728" s="81"/>
      <c r="P728" s="81"/>
      <c r="Q728" s="81"/>
      <c r="R728" s="81"/>
      <c r="S728" s="81"/>
      <c r="T728" s="81"/>
      <c r="U728" s="81"/>
      <c r="V728" s="94"/>
      <c r="W728" s="94"/>
    </row>
    <row r="729" spans="1:23" ht="21" customHeight="1">
      <c r="A729">
        <f>Table4[[#This Row],[Column1]]</f>
        <v>0</v>
      </c>
      <c r="B729">
        <f>Table4[[#This Row],[Column2]]</f>
        <v>0</v>
      </c>
      <c r="C729" s="81"/>
      <c r="D729" s="81"/>
      <c r="E729" s="81"/>
      <c r="F729" s="81"/>
      <c r="G729" s="81"/>
      <c r="H729" s="81"/>
      <c r="I729" s="81"/>
      <c r="J729" s="81"/>
      <c r="K729" s="81"/>
      <c r="L729" s="81"/>
      <c r="M729" s="81"/>
      <c r="N729" s="81"/>
      <c r="O729" s="81"/>
      <c r="P729" s="81"/>
      <c r="Q729" s="81"/>
      <c r="R729" s="81"/>
      <c r="S729" s="81"/>
      <c r="T729" s="81"/>
      <c r="U729" s="81"/>
      <c r="V729" s="94"/>
      <c r="W729" s="94"/>
    </row>
    <row r="730" spans="1:23" ht="21" customHeight="1">
      <c r="A730">
        <f>Table4[[#This Row],[Column1]]</f>
        <v>0</v>
      </c>
      <c r="B730">
        <f>Table4[[#This Row],[Column2]]</f>
        <v>0</v>
      </c>
      <c r="C730" s="81"/>
      <c r="D730" s="81"/>
      <c r="E730" s="81"/>
      <c r="F730" s="81"/>
      <c r="G730" s="81"/>
      <c r="H730" s="81"/>
      <c r="I730" s="81"/>
      <c r="J730" s="81"/>
      <c r="K730" s="81"/>
      <c r="L730" s="81"/>
      <c r="M730" s="81"/>
      <c r="N730" s="81"/>
      <c r="O730" s="81"/>
      <c r="P730" s="81"/>
      <c r="Q730" s="81"/>
      <c r="R730" s="81"/>
      <c r="S730" s="81"/>
      <c r="T730" s="81"/>
      <c r="U730" s="81"/>
      <c r="V730" s="94"/>
      <c r="W730" s="94"/>
    </row>
    <row r="731" spans="1:23" ht="21" customHeight="1">
      <c r="A731">
        <f>Table4[[#This Row],[Column1]]</f>
        <v>0</v>
      </c>
      <c r="B731">
        <f>Table4[[#This Row],[Column2]]</f>
        <v>0</v>
      </c>
      <c r="C731" s="81"/>
      <c r="D731" s="81"/>
      <c r="E731" s="81"/>
      <c r="F731" s="81"/>
      <c r="G731" s="81"/>
      <c r="H731" s="81"/>
      <c r="I731" s="81"/>
      <c r="J731" s="81"/>
      <c r="K731" s="81"/>
      <c r="L731" s="81"/>
      <c r="M731" s="81"/>
      <c r="N731" s="81"/>
      <c r="O731" s="81"/>
      <c r="P731" s="81"/>
      <c r="Q731" s="81"/>
      <c r="R731" s="81"/>
      <c r="S731" s="81"/>
      <c r="T731" s="81"/>
      <c r="U731" s="81"/>
      <c r="V731" s="94"/>
      <c r="W731" s="94"/>
    </row>
    <row r="732" spans="1:23" ht="21" customHeight="1">
      <c r="A732">
        <f>Table4[[#This Row],[Column1]]</f>
        <v>0</v>
      </c>
      <c r="B732">
        <f>Table4[[#This Row],[Column2]]</f>
        <v>0</v>
      </c>
      <c r="C732" s="81"/>
      <c r="D732" s="81"/>
      <c r="E732" s="81"/>
      <c r="F732" s="81"/>
      <c r="G732" s="81"/>
      <c r="H732" s="81"/>
      <c r="I732" s="81"/>
      <c r="J732" s="81"/>
      <c r="K732" s="81"/>
      <c r="L732" s="81"/>
      <c r="M732" s="81"/>
      <c r="N732" s="81"/>
      <c r="O732" s="81"/>
      <c r="P732" s="81"/>
      <c r="Q732" s="81"/>
      <c r="R732" s="81"/>
      <c r="S732" s="81"/>
      <c r="T732" s="81"/>
      <c r="U732" s="81"/>
      <c r="V732" s="94"/>
      <c r="W732" s="94"/>
    </row>
    <row r="733" spans="1:23" ht="21" customHeight="1">
      <c r="A733">
        <f>Table4[[#This Row],[Column1]]</f>
        <v>0</v>
      </c>
      <c r="B733">
        <f>Table4[[#This Row],[Column2]]</f>
        <v>0</v>
      </c>
      <c r="C733" s="81"/>
      <c r="D733" s="81"/>
      <c r="E733" s="81"/>
      <c r="F733" s="81"/>
      <c r="G733" s="81"/>
      <c r="H733" s="81"/>
      <c r="I733" s="81"/>
      <c r="J733" s="81"/>
      <c r="K733" s="81"/>
      <c r="L733" s="81"/>
      <c r="M733" s="81"/>
      <c r="N733" s="81"/>
      <c r="O733" s="81"/>
      <c r="P733" s="81"/>
      <c r="Q733" s="81"/>
      <c r="R733" s="81"/>
      <c r="S733" s="81"/>
      <c r="T733" s="81"/>
      <c r="U733" s="81"/>
      <c r="V733" s="94"/>
      <c r="W733" s="94"/>
    </row>
    <row r="734" spans="1:23" ht="21" customHeight="1">
      <c r="A734">
        <f>Table4[[#This Row],[Column1]]</f>
        <v>0</v>
      </c>
      <c r="B734">
        <f>Table4[[#This Row],[Column2]]</f>
        <v>0</v>
      </c>
      <c r="C734" s="81"/>
      <c r="D734" s="81"/>
      <c r="E734" s="81"/>
      <c r="F734" s="81"/>
      <c r="G734" s="81"/>
      <c r="H734" s="81"/>
      <c r="I734" s="81"/>
      <c r="J734" s="81"/>
      <c r="K734" s="81"/>
      <c r="L734" s="81"/>
      <c r="M734" s="81"/>
      <c r="N734" s="81"/>
      <c r="O734" s="81"/>
      <c r="P734" s="81"/>
      <c r="Q734" s="81"/>
      <c r="R734" s="81"/>
      <c r="S734" s="81"/>
      <c r="T734" s="81"/>
      <c r="U734" s="81"/>
      <c r="V734" s="94"/>
      <c r="W734" s="94"/>
    </row>
    <row r="735" spans="1:23" ht="21" customHeight="1">
      <c r="A735">
        <f>Table4[[#This Row],[Column1]]</f>
        <v>0</v>
      </c>
      <c r="B735">
        <f>Table4[[#This Row],[Column2]]</f>
        <v>0</v>
      </c>
      <c r="C735" s="81"/>
      <c r="D735" s="81"/>
      <c r="E735" s="81"/>
      <c r="F735" s="81"/>
      <c r="G735" s="81"/>
      <c r="H735" s="81"/>
      <c r="I735" s="81"/>
      <c r="J735" s="81"/>
      <c r="K735" s="81"/>
      <c r="L735" s="81"/>
      <c r="M735" s="81"/>
      <c r="N735" s="81"/>
      <c r="O735" s="81"/>
      <c r="P735" s="81"/>
      <c r="Q735" s="81"/>
      <c r="R735" s="81"/>
      <c r="S735" s="81"/>
      <c r="T735" s="81"/>
      <c r="U735" s="81"/>
      <c r="V735" s="94"/>
      <c r="W735" s="94"/>
    </row>
    <row r="736" spans="1:23" ht="21" customHeight="1">
      <c r="A736">
        <f>Table4[[#This Row],[Column1]]</f>
        <v>0</v>
      </c>
      <c r="B736">
        <f>Table4[[#This Row],[Column2]]</f>
        <v>0</v>
      </c>
      <c r="C736" s="81"/>
      <c r="D736" s="81"/>
      <c r="E736" s="81"/>
      <c r="F736" s="81"/>
      <c r="G736" s="81"/>
      <c r="H736" s="81"/>
      <c r="I736" s="81"/>
      <c r="J736" s="81"/>
      <c r="K736" s="81"/>
      <c r="L736" s="81"/>
      <c r="M736" s="81"/>
      <c r="N736" s="81"/>
      <c r="O736" s="81"/>
      <c r="P736" s="81"/>
      <c r="Q736" s="81"/>
      <c r="R736" s="81"/>
      <c r="S736" s="81"/>
      <c r="T736" s="81"/>
      <c r="U736" s="81"/>
      <c r="V736" s="94"/>
      <c r="W736" s="94"/>
    </row>
    <row r="737" spans="1:23" ht="21" customHeight="1">
      <c r="A737">
        <f>Table4[[#This Row],[Column1]]</f>
        <v>0</v>
      </c>
      <c r="B737">
        <f>Table4[[#This Row],[Column2]]</f>
        <v>0</v>
      </c>
      <c r="C737" s="81"/>
      <c r="D737" s="81"/>
      <c r="E737" s="81"/>
      <c r="F737" s="81"/>
      <c r="G737" s="81"/>
      <c r="H737" s="81"/>
      <c r="I737" s="81"/>
      <c r="J737" s="81"/>
      <c r="K737" s="81"/>
      <c r="L737" s="81"/>
      <c r="M737" s="81"/>
      <c r="N737" s="81"/>
      <c r="O737" s="81"/>
      <c r="P737" s="81"/>
      <c r="Q737" s="81"/>
      <c r="R737" s="81"/>
      <c r="S737" s="81"/>
      <c r="T737" s="81"/>
      <c r="U737" s="81"/>
      <c r="V737" s="94"/>
      <c r="W737" s="94"/>
    </row>
    <row r="738" spans="1:23" ht="21" customHeight="1">
      <c r="A738">
        <f>Table4[[#This Row],[Column1]]</f>
        <v>0</v>
      </c>
      <c r="B738">
        <f>Table4[[#This Row],[Column2]]</f>
        <v>0</v>
      </c>
      <c r="C738" s="81"/>
      <c r="D738" s="81"/>
      <c r="E738" s="81"/>
      <c r="F738" s="81"/>
      <c r="G738" s="81"/>
      <c r="H738" s="81"/>
      <c r="I738" s="81"/>
      <c r="J738" s="81"/>
      <c r="K738" s="81"/>
      <c r="L738" s="81"/>
      <c r="M738" s="81"/>
      <c r="N738" s="81"/>
      <c r="O738" s="81"/>
      <c r="P738" s="81"/>
      <c r="Q738" s="81"/>
      <c r="R738" s="81"/>
      <c r="S738" s="81"/>
      <c r="T738" s="81"/>
      <c r="U738" s="81"/>
      <c r="V738" s="94"/>
      <c r="W738" s="94"/>
    </row>
    <row r="739" spans="1:23" ht="21" customHeight="1">
      <c r="A739">
        <f>Table4[[#This Row],[Column1]]</f>
        <v>0</v>
      </c>
      <c r="B739">
        <f>Table4[[#This Row],[Column2]]</f>
        <v>0</v>
      </c>
      <c r="C739" s="81"/>
      <c r="D739" s="81"/>
      <c r="E739" s="81"/>
      <c r="F739" s="81"/>
      <c r="G739" s="81"/>
      <c r="H739" s="81"/>
      <c r="I739" s="81"/>
      <c r="J739" s="81"/>
      <c r="K739" s="81"/>
      <c r="L739" s="81"/>
      <c r="M739" s="81"/>
      <c r="N739" s="81"/>
      <c r="O739" s="81"/>
      <c r="P739" s="81"/>
      <c r="Q739" s="81"/>
      <c r="R739" s="81"/>
      <c r="S739" s="81"/>
      <c r="T739" s="81"/>
      <c r="U739" s="81"/>
      <c r="V739" s="94"/>
      <c r="W739" s="94"/>
    </row>
    <row r="740" spans="1:23" ht="21" customHeight="1">
      <c r="A740">
        <f>Table4[[#This Row],[Column1]]</f>
        <v>0</v>
      </c>
      <c r="B740">
        <f>Table4[[#This Row],[Column2]]</f>
        <v>0</v>
      </c>
      <c r="C740" s="81"/>
      <c r="D740" s="81"/>
      <c r="E740" s="81"/>
      <c r="F740" s="81"/>
      <c r="G740" s="81"/>
      <c r="H740" s="81"/>
      <c r="I740" s="81"/>
      <c r="J740" s="81"/>
      <c r="K740" s="81"/>
      <c r="L740" s="81"/>
      <c r="M740" s="81"/>
      <c r="N740" s="81"/>
      <c r="O740" s="81"/>
      <c r="P740" s="81"/>
      <c r="Q740" s="81"/>
      <c r="R740" s="81"/>
      <c r="S740" s="81"/>
      <c r="T740" s="81"/>
      <c r="U740" s="81"/>
      <c r="V740" s="94"/>
      <c r="W740" s="94"/>
    </row>
    <row r="741" spans="1:23" ht="21" customHeight="1">
      <c r="A741">
        <f>Table4[[#This Row],[Column1]]</f>
        <v>0</v>
      </c>
      <c r="B741">
        <f>Table4[[#This Row],[Column2]]</f>
        <v>0</v>
      </c>
      <c r="C741" s="81"/>
      <c r="D741" s="81"/>
      <c r="E741" s="81"/>
      <c r="F741" s="81"/>
      <c r="G741" s="81"/>
      <c r="H741" s="81"/>
      <c r="I741" s="81"/>
      <c r="J741" s="81"/>
      <c r="K741" s="81"/>
      <c r="L741" s="81"/>
      <c r="M741" s="81"/>
      <c r="N741" s="81"/>
      <c r="O741" s="81"/>
      <c r="P741" s="81"/>
      <c r="Q741" s="81"/>
      <c r="R741" s="81"/>
      <c r="S741" s="81"/>
      <c r="T741" s="81"/>
      <c r="U741" s="81"/>
      <c r="V741" s="94"/>
      <c r="W741" s="94"/>
    </row>
    <row r="742" spans="1:23" ht="21" customHeight="1">
      <c r="A742">
        <f>Table4[[#This Row],[Column1]]</f>
        <v>0</v>
      </c>
      <c r="B742">
        <f>Table4[[#This Row],[Column2]]</f>
        <v>0</v>
      </c>
      <c r="C742" s="81"/>
      <c r="D742" s="81"/>
      <c r="E742" s="81"/>
      <c r="F742" s="81"/>
      <c r="G742" s="81"/>
      <c r="H742" s="81"/>
      <c r="I742" s="81"/>
      <c r="J742" s="81"/>
      <c r="K742" s="81"/>
      <c r="L742" s="81"/>
      <c r="M742" s="81"/>
      <c r="N742" s="81"/>
      <c r="O742" s="81"/>
      <c r="P742" s="81"/>
      <c r="Q742" s="81"/>
      <c r="R742" s="81"/>
      <c r="S742" s="81"/>
      <c r="T742" s="81"/>
      <c r="U742" s="81"/>
      <c r="V742" s="94"/>
      <c r="W742" s="94"/>
    </row>
    <row r="743" spans="1:23" ht="21" customHeight="1">
      <c r="A743">
        <f>Table4[[#This Row],[Column1]]</f>
        <v>0</v>
      </c>
      <c r="B743">
        <f>Table4[[#This Row],[Column2]]</f>
        <v>0</v>
      </c>
      <c r="C743" s="81"/>
      <c r="D743" s="81"/>
      <c r="E743" s="81"/>
      <c r="F743" s="81"/>
      <c r="G743" s="81"/>
      <c r="H743" s="81"/>
      <c r="I743" s="81"/>
      <c r="J743" s="81"/>
      <c r="K743" s="81"/>
      <c r="L743" s="81"/>
      <c r="M743" s="81"/>
      <c r="N743" s="81"/>
      <c r="O743" s="81"/>
      <c r="P743" s="81"/>
      <c r="Q743" s="81"/>
      <c r="R743" s="81"/>
      <c r="S743" s="81"/>
      <c r="T743" s="81"/>
      <c r="U743" s="81"/>
      <c r="V743" s="94"/>
      <c r="W743" s="94"/>
    </row>
    <row r="744" spans="1:23" ht="21" customHeight="1">
      <c r="A744">
        <f>Table4[[#This Row],[Column1]]</f>
        <v>0</v>
      </c>
      <c r="B744">
        <f>Table4[[#This Row],[Column2]]</f>
        <v>0</v>
      </c>
      <c r="C744" s="81"/>
      <c r="D744" s="81"/>
      <c r="E744" s="81"/>
      <c r="F744" s="81"/>
      <c r="G744" s="81"/>
      <c r="H744" s="81"/>
      <c r="I744" s="81"/>
      <c r="J744" s="81"/>
      <c r="K744" s="81"/>
      <c r="L744" s="81"/>
      <c r="M744" s="81"/>
      <c r="N744" s="81"/>
      <c r="O744" s="81"/>
      <c r="P744" s="81"/>
      <c r="Q744" s="81"/>
      <c r="R744" s="81"/>
      <c r="S744" s="81"/>
      <c r="T744" s="81"/>
      <c r="U744" s="81"/>
      <c r="V744" s="94"/>
      <c r="W744" s="94"/>
    </row>
    <row r="745" spans="1:23" ht="21" customHeight="1">
      <c r="A745">
        <f>Table4[[#This Row],[Column1]]</f>
        <v>0</v>
      </c>
      <c r="B745">
        <f>Table4[[#This Row],[Column2]]</f>
        <v>0</v>
      </c>
      <c r="C745" s="81"/>
      <c r="D745" s="81"/>
      <c r="E745" s="81"/>
      <c r="F745" s="81"/>
      <c r="G745" s="81"/>
      <c r="H745" s="81"/>
      <c r="I745" s="81"/>
      <c r="J745" s="81"/>
      <c r="K745" s="81"/>
      <c r="L745" s="81"/>
      <c r="M745" s="81"/>
      <c r="N745" s="81"/>
      <c r="O745" s="81"/>
      <c r="P745" s="81"/>
      <c r="Q745" s="81"/>
      <c r="R745" s="81"/>
      <c r="S745" s="81"/>
      <c r="T745" s="81"/>
      <c r="U745" s="81"/>
      <c r="V745" s="94"/>
      <c r="W745" s="94"/>
    </row>
    <row r="746" spans="1:23" ht="21" customHeight="1">
      <c r="A746">
        <f>Table4[[#This Row],[Column1]]</f>
        <v>0</v>
      </c>
      <c r="B746">
        <f>Table4[[#This Row],[Column2]]</f>
        <v>0</v>
      </c>
      <c r="C746" s="81"/>
      <c r="D746" s="81"/>
      <c r="E746" s="81"/>
      <c r="F746" s="81"/>
      <c r="G746" s="81"/>
      <c r="H746" s="81"/>
      <c r="I746" s="81"/>
      <c r="J746" s="81"/>
      <c r="K746" s="81"/>
      <c r="L746" s="81"/>
      <c r="M746" s="81"/>
      <c r="N746" s="81"/>
      <c r="O746" s="81"/>
      <c r="P746" s="81"/>
      <c r="Q746" s="81"/>
      <c r="R746" s="81"/>
      <c r="S746" s="81"/>
      <c r="T746" s="81"/>
      <c r="U746" s="81"/>
      <c r="V746" s="94"/>
      <c r="W746" s="94"/>
    </row>
    <row r="747" spans="1:23" ht="21" customHeight="1">
      <c r="A747">
        <f>Table4[[#This Row],[Column1]]</f>
        <v>0</v>
      </c>
      <c r="B747">
        <f>Table4[[#This Row],[Column2]]</f>
        <v>0</v>
      </c>
      <c r="C747" s="81"/>
      <c r="D747" s="81"/>
      <c r="E747" s="81"/>
      <c r="F747" s="81"/>
      <c r="G747" s="81"/>
      <c r="H747" s="81"/>
      <c r="I747" s="81"/>
      <c r="J747" s="81"/>
      <c r="K747" s="81"/>
      <c r="L747" s="81"/>
      <c r="M747" s="81"/>
      <c r="N747" s="81"/>
      <c r="O747" s="81"/>
      <c r="P747" s="81"/>
      <c r="Q747" s="81"/>
      <c r="R747" s="81"/>
      <c r="S747" s="81"/>
      <c r="T747" s="81"/>
      <c r="U747" s="81"/>
      <c r="V747" s="94"/>
      <c r="W747" s="94"/>
    </row>
    <row r="748" spans="1:23" ht="21" customHeight="1">
      <c r="A748">
        <f>Table4[[#This Row],[Column1]]</f>
        <v>0</v>
      </c>
      <c r="B748">
        <f>Table4[[#This Row],[Column2]]</f>
        <v>0</v>
      </c>
      <c r="C748" s="81"/>
      <c r="D748" s="81"/>
      <c r="E748" s="81"/>
      <c r="F748" s="81"/>
      <c r="G748" s="81"/>
      <c r="H748" s="81"/>
      <c r="I748" s="81"/>
      <c r="J748" s="81"/>
      <c r="K748" s="81"/>
      <c r="L748" s="81"/>
      <c r="M748" s="81"/>
      <c r="N748" s="81"/>
      <c r="O748" s="81"/>
      <c r="P748" s="81"/>
      <c r="Q748" s="81"/>
      <c r="R748" s="81"/>
      <c r="S748" s="81"/>
      <c r="T748" s="81"/>
      <c r="U748" s="81"/>
      <c r="V748" s="94"/>
      <c r="W748" s="94"/>
    </row>
    <row r="749" spans="1:23" ht="21" customHeight="1">
      <c r="A749">
        <f>Table4[[#This Row],[Column1]]</f>
        <v>0</v>
      </c>
      <c r="B749">
        <f>Table4[[#This Row],[Column2]]</f>
        <v>0</v>
      </c>
      <c r="C749" s="81"/>
      <c r="D749" s="81"/>
      <c r="E749" s="81"/>
      <c r="F749" s="81"/>
      <c r="G749" s="81"/>
      <c r="H749" s="81"/>
      <c r="I749" s="81"/>
      <c r="J749" s="81"/>
      <c r="K749" s="81"/>
      <c r="L749" s="81"/>
      <c r="M749" s="81"/>
      <c r="N749" s="81"/>
      <c r="O749" s="81"/>
      <c r="P749" s="81"/>
      <c r="Q749" s="81"/>
      <c r="R749" s="81"/>
      <c r="S749" s="81"/>
      <c r="T749" s="81"/>
      <c r="U749" s="81"/>
      <c r="V749" s="94"/>
      <c r="W749" s="94"/>
    </row>
    <row r="750" spans="1:23" ht="21" customHeight="1">
      <c r="A750">
        <f>Table4[[#This Row],[Column1]]</f>
        <v>0</v>
      </c>
      <c r="B750">
        <f>Table4[[#This Row],[Column2]]</f>
        <v>0</v>
      </c>
      <c r="C750" s="81"/>
      <c r="D750" s="81"/>
      <c r="E750" s="81"/>
      <c r="F750" s="81"/>
      <c r="G750" s="81"/>
      <c r="H750" s="81"/>
      <c r="I750" s="81"/>
      <c r="J750" s="81"/>
      <c r="K750" s="81"/>
      <c r="L750" s="81"/>
      <c r="M750" s="81"/>
      <c r="N750" s="81"/>
      <c r="O750" s="81"/>
      <c r="P750" s="81"/>
      <c r="Q750" s="81"/>
      <c r="R750" s="81"/>
      <c r="S750" s="81"/>
      <c r="T750" s="81"/>
      <c r="U750" s="81"/>
      <c r="V750" s="94"/>
      <c r="W750" s="94"/>
    </row>
    <row r="751" spans="1:23" ht="21" customHeight="1">
      <c r="A751">
        <f>Table4[[#This Row],[Column1]]</f>
        <v>0</v>
      </c>
      <c r="B751">
        <f>Table4[[#This Row],[Column2]]</f>
        <v>0</v>
      </c>
      <c r="C751" s="81"/>
      <c r="D751" s="81"/>
      <c r="E751" s="81"/>
      <c r="F751" s="81"/>
      <c r="G751" s="81"/>
      <c r="H751" s="81"/>
      <c r="I751" s="81"/>
      <c r="J751" s="81"/>
      <c r="K751" s="81"/>
      <c r="L751" s="81"/>
      <c r="M751" s="81"/>
      <c r="N751" s="81"/>
      <c r="O751" s="81"/>
      <c r="P751" s="81"/>
      <c r="Q751" s="81"/>
      <c r="R751" s="81"/>
      <c r="S751" s="81"/>
      <c r="T751" s="81"/>
      <c r="U751" s="81"/>
      <c r="V751" s="94"/>
      <c r="W751" s="94"/>
    </row>
    <row r="752" spans="1:23" ht="21" customHeight="1">
      <c r="A752">
        <f>Table4[[#This Row],[Column1]]</f>
        <v>0</v>
      </c>
      <c r="B752">
        <f>Table4[[#This Row],[Column2]]</f>
        <v>0</v>
      </c>
      <c r="C752" s="81"/>
      <c r="D752" s="81"/>
      <c r="E752" s="81"/>
      <c r="F752" s="81"/>
      <c r="G752" s="81"/>
      <c r="H752" s="81"/>
      <c r="I752" s="81"/>
      <c r="J752" s="81"/>
      <c r="K752" s="81"/>
      <c r="L752" s="81"/>
      <c r="M752" s="81"/>
      <c r="N752" s="81"/>
      <c r="O752" s="81"/>
      <c r="P752" s="81"/>
      <c r="Q752" s="81"/>
      <c r="R752" s="81"/>
      <c r="S752" s="81"/>
      <c r="T752" s="81"/>
      <c r="U752" s="81"/>
      <c r="V752" s="94"/>
      <c r="W752" s="94"/>
    </row>
    <row r="753" spans="1:23" ht="21" customHeight="1">
      <c r="A753">
        <f>Table4[[#This Row],[Column1]]</f>
        <v>0</v>
      </c>
      <c r="B753">
        <f>Table4[[#This Row],[Column2]]</f>
        <v>0</v>
      </c>
      <c r="C753" s="81"/>
      <c r="D753" s="81"/>
      <c r="E753" s="81"/>
      <c r="F753" s="81"/>
      <c r="G753" s="81"/>
      <c r="H753" s="81"/>
      <c r="I753" s="81"/>
      <c r="J753" s="81"/>
      <c r="K753" s="81"/>
      <c r="L753" s="81"/>
      <c r="M753" s="81"/>
      <c r="N753" s="81"/>
      <c r="O753" s="81"/>
      <c r="P753" s="81"/>
      <c r="Q753" s="81"/>
      <c r="R753" s="81"/>
      <c r="S753" s="81"/>
      <c r="T753" s="81"/>
      <c r="U753" s="81"/>
      <c r="V753" s="94"/>
      <c r="W753" s="94"/>
    </row>
    <row r="754" spans="1:23" ht="21" customHeight="1">
      <c r="A754">
        <f>Table4[[#This Row],[Column1]]</f>
        <v>0</v>
      </c>
      <c r="B754">
        <f>Table4[[#This Row],[Column2]]</f>
        <v>0</v>
      </c>
      <c r="C754" s="81"/>
      <c r="D754" s="81"/>
      <c r="E754" s="81"/>
      <c r="F754" s="81"/>
      <c r="G754" s="81"/>
      <c r="H754" s="81"/>
      <c r="I754" s="81"/>
      <c r="J754" s="81"/>
      <c r="K754" s="81"/>
      <c r="L754" s="81"/>
      <c r="M754" s="81"/>
      <c r="N754" s="81"/>
      <c r="O754" s="81"/>
      <c r="P754" s="81"/>
      <c r="Q754" s="81"/>
      <c r="R754" s="81"/>
      <c r="S754" s="81"/>
      <c r="T754" s="81"/>
      <c r="U754" s="81"/>
      <c r="V754" s="94"/>
      <c r="W754" s="94"/>
    </row>
    <row r="755" spans="1:23" ht="21" customHeight="1">
      <c r="A755">
        <f>Table4[[#This Row],[Column1]]</f>
        <v>0</v>
      </c>
      <c r="B755">
        <f>Table4[[#This Row],[Column2]]</f>
        <v>0</v>
      </c>
      <c r="C755" s="81"/>
      <c r="D755" s="81"/>
      <c r="E755" s="81"/>
      <c r="F755" s="81"/>
      <c r="G755" s="81"/>
      <c r="H755" s="81"/>
      <c r="I755" s="81"/>
      <c r="J755" s="81"/>
      <c r="K755" s="81"/>
      <c r="L755" s="81"/>
      <c r="M755" s="81"/>
      <c r="N755" s="81"/>
      <c r="O755" s="81"/>
      <c r="P755" s="81"/>
      <c r="Q755" s="81"/>
      <c r="R755" s="81"/>
      <c r="S755" s="81"/>
      <c r="T755" s="81"/>
      <c r="U755" s="81"/>
      <c r="V755" s="94"/>
      <c r="W755" s="94"/>
    </row>
    <row r="756" spans="1:23" ht="21" customHeight="1">
      <c r="A756">
        <f>Table4[[#This Row],[Column1]]</f>
        <v>0</v>
      </c>
      <c r="B756">
        <f>Table4[[#This Row],[Column2]]</f>
        <v>0</v>
      </c>
      <c r="C756" s="81"/>
      <c r="D756" s="81"/>
      <c r="E756" s="81"/>
      <c r="F756" s="81"/>
      <c r="G756" s="81"/>
      <c r="H756" s="81"/>
      <c r="I756" s="81"/>
      <c r="J756" s="81"/>
      <c r="K756" s="81"/>
      <c r="L756" s="81"/>
      <c r="M756" s="81"/>
      <c r="N756" s="81"/>
      <c r="O756" s="81"/>
      <c r="P756" s="81"/>
      <c r="Q756" s="81"/>
      <c r="R756" s="81"/>
      <c r="S756" s="81"/>
      <c r="T756" s="81"/>
      <c r="U756" s="81"/>
      <c r="V756" s="94"/>
      <c r="W756" s="94"/>
    </row>
    <row r="757" spans="1:23" ht="21" customHeight="1">
      <c r="A757">
        <f>Table4[[#This Row],[Column1]]</f>
        <v>0</v>
      </c>
      <c r="B757">
        <f>Table4[[#This Row],[Column2]]</f>
        <v>0</v>
      </c>
      <c r="C757" s="81"/>
      <c r="D757" s="81"/>
      <c r="E757" s="81"/>
      <c r="F757" s="81"/>
      <c r="G757" s="81"/>
      <c r="H757" s="81"/>
      <c r="I757" s="81"/>
      <c r="J757" s="81"/>
      <c r="K757" s="81"/>
      <c r="L757" s="81"/>
      <c r="M757" s="81"/>
      <c r="N757" s="81"/>
      <c r="O757" s="81"/>
      <c r="P757" s="81"/>
      <c r="Q757" s="81"/>
      <c r="R757" s="81"/>
      <c r="S757" s="81"/>
      <c r="T757" s="81"/>
      <c r="U757" s="81"/>
      <c r="V757" s="94"/>
      <c r="W757" s="94"/>
    </row>
    <row r="758" spans="1:23" ht="21" customHeight="1">
      <c r="A758">
        <f>Table4[[#This Row],[Column1]]</f>
        <v>0</v>
      </c>
      <c r="B758">
        <f>Table4[[#This Row],[Column2]]</f>
        <v>0</v>
      </c>
      <c r="C758" s="81"/>
      <c r="D758" s="81"/>
      <c r="E758" s="81"/>
      <c r="F758" s="81"/>
      <c r="G758" s="81"/>
      <c r="H758" s="81"/>
      <c r="I758" s="81"/>
      <c r="J758" s="81"/>
      <c r="K758" s="81"/>
      <c r="L758" s="81"/>
      <c r="M758" s="81"/>
      <c r="N758" s="81"/>
      <c r="O758" s="81"/>
      <c r="P758" s="81"/>
      <c r="Q758" s="81"/>
      <c r="R758" s="81"/>
      <c r="S758" s="81"/>
      <c r="T758" s="81"/>
      <c r="U758" s="81"/>
      <c r="V758" s="94"/>
      <c r="W758" s="94"/>
    </row>
    <row r="759" spans="1:23" ht="21" customHeight="1">
      <c r="A759">
        <f>Table4[[#This Row],[Column1]]</f>
        <v>0</v>
      </c>
      <c r="B759">
        <f>Table4[[#This Row],[Column2]]</f>
        <v>0</v>
      </c>
      <c r="C759" s="81"/>
      <c r="D759" s="81"/>
      <c r="E759" s="81"/>
      <c r="F759" s="81"/>
      <c r="G759" s="81"/>
      <c r="H759" s="81"/>
      <c r="I759" s="81"/>
      <c r="J759" s="81"/>
      <c r="K759" s="81"/>
      <c r="L759" s="81"/>
      <c r="M759" s="81"/>
      <c r="N759" s="81"/>
      <c r="O759" s="81"/>
      <c r="P759" s="81"/>
      <c r="Q759" s="81"/>
      <c r="R759" s="81"/>
      <c r="S759" s="81"/>
      <c r="T759" s="81"/>
      <c r="U759" s="81"/>
      <c r="V759" s="94"/>
      <c r="W759" s="94"/>
    </row>
    <row r="760" spans="1:23" ht="21" customHeight="1">
      <c r="A760">
        <f>Table4[[#This Row],[Column1]]</f>
        <v>0</v>
      </c>
      <c r="B760">
        <f>Table4[[#This Row],[Column2]]</f>
        <v>0</v>
      </c>
      <c r="C760" s="81"/>
      <c r="D760" s="81"/>
      <c r="E760" s="81"/>
      <c r="F760" s="81"/>
      <c r="G760" s="81"/>
      <c r="H760" s="81"/>
      <c r="I760" s="81"/>
      <c r="J760" s="81"/>
      <c r="K760" s="81"/>
      <c r="L760" s="81"/>
      <c r="M760" s="81"/>
      <c r="N760" s="81"/>
      <c r="O760" s="81"/>
      <c r="P760" s="81"/>
      <c r="Q760" s="81"/>
      <c r="R760" s="81"/>
      <c r="S760" s="81"/>
      <c r="T760" s="81"/>
      <c r="U760" s="81"/>
      <c r="V760" s="94"/>
      <c r="W760" s="94"/>
    </row>
    <row r="761" spans="1:23" ht="21" customHeight="1">
      <c r="A761">
        <f>Table4[[#This Row],[Column1]]</f>
        <v>0</v>
      </c>
      <c r="B761">
        <f>Table4[[#This Row],[Column2]]</f>
        <v>0</v>
      </c>
      <c r="C761" s="81"/>
      <c r="D761" s="81"/>
      <c r="E761" s="81"/>
      <c r="F761" s="81"/>
      <c r="G761" s="81"/>
      <c r="H761" s="81"/>
      <c r="I761" s="81"/>
      <c r="J761" s="81"/>
      <c r="K761" s="81"/>
      <c r="L761" s="81"/>
      <c r="M761" s="81"/>
      <c r="N761" s="81"/>
      <c r="O761" s="81"/>
      <c r="P761" s="81"/>
      <c r="Q761" s="81"/>
      <c r="R761" s="81"/>
      <c r="S761" s="81"/>
      <c r="T761" s="81"/>
      <c r="U761" s="81"/>
      <c r="V761" s="94"/>
      <c r="W761" s="94"/>
    </row>
    <row r="762" spans="1:23" ht="21" customHeight="1">
      <c r="A762">
        <f>Table4[[#This Row],[Column1]]</f>
        <v>0</v>
      </c>
      <c r="B762">
        <f>Table4[[#This Row],[Column2]]</f>
        <v>0</v>
      </c>
      <c r="C762" s="81"/>
      <c r="D762" s="81"/>
      <c r="E762" s="81"/>
      <c r="F762" s="81"/>
      <c r="G762" s="81"/>
      <c r="H762" s="81"/>
      <c r="I762" s="81"/>
      <c r="J762" s="81"/>
      <c r="K762" s="81"/>
      <c r="L762" s="81"/>
      <c r="M762" s="81"/>
      <c r="N762" s="81"/>
      <c r="O762" s="81"/>
      <c r="P762" s="81"/>
      <c r="Q762" s="81"/>
      <c r="R762" s="81"/>
      <c r="S762" s="81"/>
      <c r="T762" s="81"/>
      <c r="U762" s="81"/>
      <c r="V762" s="94"/>
      <c r="W762" s="94"/>
    </row>
    <row r="763" spans="1:23" ht="21" customHeight="1">
      <c r="A763">
        <f>Table4[[#This Row],[Column1]]</f>
        <v>0</v>
      </c>
      <c r="B763">
        <f>Table4[[#This Row],[Column2]]</f>
        <v>0</v>
      </c>
      <c r="C763" s="81"/>
      <c r="D763" s="81"/>
      <c r="E763" s="81"/>
      <c r="F763" s="81"/>
      <c r="G763" s="81"/>
      <c r="H763" s="81"/>
      <c r="I763" s="81"/>
      <c r="J763" s="81"/>
      <c r="K763" s="81"/>
      <c r="L763" s="81"/>
      <c r="M763" s="81"/>
      <c r="N763" s="81"/>
      <c r="O763" s="81"/>
      <c r="P763" s="81"/>
      <c r="Q763" s="81"/>
      <c r="R763" s="81"/>
      <c r="S763" s="81"/>
      <c r="T763" s="81"/>
      <c r="U763" s="81"/>
      <c r="V763" s="94"/>
      <c r="W763" s="94"/>
    </row>
    <row r="764" spans="1:23" ht="21" customHeight="1">
      <c r="A764">
        <f>Table4[[#This Row],[Column1]]</f>
        <v>0</v>
      </c>
      <c r="B764">
        <f>Table4[[#This Row],[Column2]]</f>
        <v>0</v>
      </c>
      <c r="C764" s="81"/>
      <c r="D764" s="81"/>
      <c r="E764" s="81"/>
      <c r="F764" s="81"/>
      <c r="G764" s="81"/>
      <c r="H764" s="81"/>
      <c r="I764" s="81"/>
      <c r="J764" s="81"/>
      <c r="K764" s="81"/>
      <c r="L764" s="81"/>
      <c r="M764" s="81"/>
      <c r="N764" s="81"/>
      <c r="O764" s="81"/>
      <c r="P764" s="81"/>
      <c r="Q764" s="81"/>
      <c r="R764" s="81"/>
      <c r="S764" s="81"/>
      <c r="T764" s="81"/>
      <c r="U764" s="81"/>
      <c r="V764" s="94"/>
      <c r="W764" s="94"/>
    </row>
    <row r="765" spans="1:23" ht="21" customHeight="1">
      <c r="A765">
        <f>Table4[[#This Row],[Column1]]</f>
        <v>0</v>
      </c>
      <c r="B765">
        <f>Table4[[#This Row],[Column2]]</f>
        <v>0</v>
      </c>
      <c r="C765" s="81"/>
      <c r="D765" s="81"/>
      <c r="E765" s="81"/>
      <c r="F765" s="81"/>
      <c r="G765" s="81"/>
      <c r="H765" s="81"/>
      <c r="I765" s="81"/>
      <c r="J765" s="81"/>
      <c r="K765" s="81"/>
      <c r="L765" s="81"/>
      <c r="M765" s="81"/>
      <c r="N765" s="81"/>
      <c r="O765" s="81"/>
      <c r="P765" s="81"/>
      <c r="Q765" s="81"/>
      <c r="R765" s="81"/>
      <c r="S765" s="81"/>
      <c r="T765" s="81"/>
      <c r="U765" s="81"/>
      <c r="V765" s="94"/>
      <c r="W765" s="94"/>
    </row>
    <row r="766" spans="1:23" ht="21" customHeight="1">
      <c r="A766">
        <f>Table4[[#This Row],[Column1]]</f>
        <v>0</v>
      </c>
      <c r="B766">
        <f>Table4[[#This Row],[Column2]]</f>
        <v>0</v>
      </c>
      <c r="C766" s="81"/>
      <c r="D766" s="81"/>
      <c r="E766" s="81"/>
      <c r="F766" s="81"/>
      <c r="G766" s="81"/>
      <c r="H766" s="81"/>
      <c r="I766" s="81"/>
      <c r="J766" s="81"/>
      <c r="K766" s="81"/>
      <c r="L766" s="81"/>
      <c r="M766" s="81"/>
      <c r="N766" s="81"/>
      <c r="O766" s="81"/>
      <c r="P766" s="81"/>
      <c r="Q766" s="81"/>
      <c r="R766" s="81"/>
      <c r="S766" s="81"/>
      <c r="T766" s="81"/>
      <c r="U766" s="81"/>
      <c r="V766" s="94"/>
      <c r="W766" s="94"/>
    </row>
    <row r="767" spans="1:23" ht="21" customHeight="1">
      <c r="A767">
        <f>Table4[[#This Row],[Column1]]</f>
        <v>0</v>
      </c>
      <c r="B767">
        <f>Table4[[#This Row],[Column2]]</f>
        <v>0</v>
      </c>
      <c r="C767" s="81"/>
      <c r="D767" s="81"/>
      <c r="E767" s="81"/>
      <c r="F767" s="81"/>
      <c r="G767" s="81"/>
      <c r="H767" s="81"/>
      <c r="I767" s="81"/>
      <c r="J767" s="81"/>
      <c r="K767" s="81"/>
      <c r="L767" s="81"/>
      <c r="M767" s="81"/>
      <c r="N767" s="81"/>
      <c r="O767" s="81"/>
      <c r="P767" s="81"/>
      <c r="Q767" s="81"/>
      <c r="R767" s="81"/>
      <c r="S767" s="81"/>
      <c r="T767" s="81"/>
      <c r="U767" s="81"/>
      <c r="V767" s="94"/>
      <c r="W767" s="94"/>
    </row>
    <row r="768" spans="1:23" ht="21" customHeight="1">
      <c r="A768">
        <f>Table4[[#This Row],[Column1]]</f>
        <v>0</v>
      </c>
      <c r="B768">
        <f>Table4[[#This Row],[Column2]]</f>
        <v>0</v>
      </c>
      <c r="C768" s="81"/>
      <c r="D768" s="81"/>
      <c r="E768" s="81"/>
      <c r="F768" s="81"/>
      <c r="G768" s="81"/>
      <c r="H768" s="81"/>
      <c r="I768" s="81"/>
      <c r="J768" s="81"/>
      <c r="K768" s="81"/>
      <c r="L768" s="81"/>
      <c r="M768" s="81"/>
      <c r="N768" s="81"/>
      <c r="O768" s="81"/>
      <c r="P768" s="81"/>
      <c r="Q768" s="81"/>
      <c r="R768" s="81"/>
      <c r="S768" s="81"/>
      <c r="T768" s="81"/>
      <c r="U768" s="81"/>
      <c r="V768" s="94"/>
      <c r="W768" s="94"/>
    </row>
    <row r="769" spans="1:23" ht="21" customHeight="1">
      <c r="A769">
        <f>Table4[[#This Row],[Column1]]</f>
        <v>0</v>
      </c>
      <c r="B769">
        <f>Table4[[#This Row],[Column2]]</f>
        <v>0</v>
      </c>
      <c r="C769" s="81"/>
      <c r="D769" s="81"/>
      <c r="E769" s="81"/>
      <c r="F769" s="81"/>
      <c r="G769" s="81"/>
      <c r="H769" s="81"/>
      <c r="I769" s="81"/>
      <c r="J769" s="81"/>
      <c r="K769" s="81"/>
      <c r="L769" s="81"/>
      <c r="M769" s="81"/>
      <c r="N769" s="81"/>
      <c r="O769" s="81"/>
      <c r="P769" s="81"/>
      <c r="Q769" s="81"/>
      <c r="R769" s="81"/>
      <c r="S769" s="81"/>
      <c r="T769" s="81"/>
      <c r="U769" s="81"/>
      <c r="V769" s="94"/>
      <c r="W769" s="94"/>
    </row>
    <row r="770" spans="1:23" ht="21" customHeight="1">
      <c r="A770">
        <f>Table4[[#This Row],[Column1]]</f>
        <v>0</v>
      </c>
      <c r="B770">
        <f>Table4[[#This Row],[Column2]]</f>
        <v>0</v>
      </c>
      <c r="C770" s="81"/>
      <c r="D770" s="81"/>
      <c r="E770" s="81"/>
      <c r="F770" s="81"/>
      <c r="G770" s="81"/>
      <c r="H770" s="81"/>
      <c r="I770" s="81"/>
      <c r="J770" s="81"/>
      <c r="K770" s="81"/>
      <c r="L770" s="81"/>
      <c r="M770" s="81"/>
      <c r="N770" s="81"/>
      <c r="O770" s="81"/>
      <c r="P770" s="81"/>
      <c r="Q770" s="81"/>
      <c r="R770" s="81"/>
      <c r="S770" s="81"/>
      <c r="T770" s="81"/>
      <c r="U770" s="81"/>
      <c r="V770" s="94"/>
      <c r="W770" s="94"/>
    </row>
    <row r="771" spans="1:23" ht="21" customHeight="1">
      <c r="A771">
        <f>Table4[[#This Row],[Column1]]</f>
        <v>0</v>
      </c>
      <c r="B771">
        <f>Table4[[#This Row],[Column2]]</f>
        <v>0</v>
      </c>
      <c r="C771" s="81"/>
      <c r="D771" s="81"/>
      <c r="E771" s="81"/>
      <c r="F771" s="81"/>
      <c r="G771" s="81"/>
      <c r="H771" s="81"/>
      <c r="I771" s="81"/>
      <c r="J771" s="81"/>
      <c r="K771" s="81"/>
      <c r="L771" s="81"/>
      <c r="M771" s="81"/>
      <c r="N771" s="81"/>
      <c r="O771" s="81"/>
      <c r="P771" s="81"/>
      <c r="Q771" s="81"/>
      <c r="R771" s="81"/>
      <c r="S771" s="81"/>
      <c r="T771" s="81"/>
      <c r="U771" s="81"/>
      <c r="V771" s="94"/>
      <c r="W771" s="94"/>
    </row>
    <row r="772" spans="1:23" ht="21" customHeight="1">
      <c r="A772">
        <f>Table4[[#This Row],[Column1]]</f>
        <v>0</v>
      </c>
      <c r="B772">
        <f>Table4[[#This Row],[Column2]]</f>
        <v>0</v>
      </c>
      <c r="C772" s="81"/>
      <c r="D772" s="81"/>
      <c r="E772" s="81"/>
      <c r="F772" s="81"/>
      <c r="G772" s="81"/>
      <c r="H772" s="81"/>
      <c r="I772" s="81"/>
      <c r="J772" s="81"/>
      <c r="K772" s="81"/>
      <c r="L772" s="81"/>
      <c r="M772" s="81"/>
      <c r="N772" s="81"/>
      <c r="O772" s="81"/>
      <c r="P772" s="81"/>
      <c r="Q772" s="81"/>
      <c r="R772" s="81"/>
      <c r="S772" s="81"/>
      <c r="T772" s="81"/>
      <c r="U772" s="81"/>
      <c r="V772" s="94"/>
      <c r="W772" s="94"/>
    </row>
    <row r="773" spans="1:23" ht="21" customHeight="1">
      <c r="A773">
        <f>Table4[[#This Row],[Column1]]</f>
        <v>0</v>
      </c>
      <c r="B773">
        <f>Table4[[#This Row],[Column2]]</f>
        <v>0</v>
      </c>
      <c r="C773" s="81"/>
      <c r="D773" s="81"/>
      <c r="E773" s="81"/>
      <c r="F773" s="81"/>
      <c r="G773" s="81"/>
      <c r="H773" s="81"/>
      <c r="I773" s="81"/>
      <c r="J773" s="81"/>
      <c r="K773" s="81"/>
      <c r="L773" s="81"/>
      <c r="M773" s="81"/>
      <c r="N773" s="81"/>
      <c r="O773" s="81"/>
      <c r="P773" s="81"/>
      <c r="Q773" s="81"/>
      <c r="R773" s="81"/>
      <c r="S773" s="81"/>
      <c r="T773" s="81"/>
      <c r="U773" s="81"/>
      <c r="V773" s="94"/>
      <c r="W773" s="94"/>
    </row>
    <row r="774" spans="1:23" ht="21" customHeight="1">
      <c r="A774">
        <f>Table4[[#This Row],[Column1]]</f>
        <v>0</v>
      </c>
      <c r="B774">
        <f>Table4[[#This Row],[Column2]]</f>
        <v>0</v>
      </c>
      <c r="C774" s="81"/>
      <c r="D774" s="81"/>
      <c r="E774" s="81"/>
      <c r="F774" s="81"/>
      <c r="G774" s="81"/>
      <c r="H774" s="81"/>
      <c r="I774" s="81"/>
      <c r="J774" s="81"/>
      <c r="K774" s="81"/>
      <c r="L774" s="81"/>
      <c r="M774" s="81"/>
      <c r="N774" s="81"/>
      <c r="O774" s="81"/>
      <c r="P774" s="81"/>
      <c r="Q774" s="81"/>
      <c r="R774" s="81"/>
      <c r="S774" s="81"/>
      <c r="T774" s="81"/>
      <c r="U774" s="81"/>
      <c r="V774" s="94"/>
      <c r="W774" s="94"/>
    </row>
    <row r="775" spans="1:23" ht="21" customHeight="1">
      <c r="A775">
        <f>Table4[[#This Row],[Column1]]</f>
        <v>0</v>
      </c>
      <c r="B775">
        <f>Table4[[#This Row],[Column2]]</f>
        <v>0</v>
      </c>
      <c r="C775" s="81"/>
      <c r="D775" s="81"/>
      <c r="E775" s="81"/>
      <c r="F775" s="81"/>
      <c r="G775" s="81"/>
      <c r="H775" s="81"/>
      <c r="I775" s="81"/>
      <c r="J775" s="81"/>
      <c r="K775" s="81"/>
      <c r="L775" s="81"/>
      <c r="M775" s="81"/>
      <c r="N775" s="81"/>
      <c r="O775" s="81"/>
      <c r="P775" s="81"/>
      <c r="Q775" s="81"/>
      <c r="R775" s="81"/>
      <c r="S775" s="81"/>
      <c r="T775" s="81"/>
      <c r="U775" s="81"/>
      <c r="V775" s="94"/>
      <c r="W775" s="94"/>
    </row>
    <row r="776" spans="1:23" ht="21" customHeight="1">
      <c r="A776">
        <f>Table4[[#This Row],[Column1]]</f>
        <v>0</v>
      </c>
      <c r="B776">
        <f>Table4[[#This Row],[Column2]]</f>
        <v>0</v>
      </c>
      <c r="C776" s="81"/>
      <c r="D776" s="81"/>
      <c r="E776" s="81"/>
      <c r="F776" s="81"/>
      <c r="G776" s="81"/>
      <c r="H776" s="81"/>
      <c r="I776" s="81"/>
      <c r="J776" s="81"/>
      <c r="K776" s="81"/>
      <c r="L776" s="81"/>
      <c r="M776" s="81"/>
      <c r="N776" s="81"/>
      <c r="O776" s="81"/>
      <c r="P776" s="81"/>
      <c r="Q776" s="81"/>
      <c r="R776" s="81"/>
      <c r="S776" s="81"/>
      <c r="T776" s="81"/>
      <c r="U776" s="81"/>
      <c r="V776" s="94"/>
      <c r="W776" s="94"/>
    </row>
    <row r="777" spans="1:23" ht="21" customHeight="1">
      <c r="A777">
        <f>Table4[[#This Row],[Column1]]</f>
        <v>0</v>
      </c>
      <c r="B777">
        <f>Table4[[#This Row],[Column2]]</f>
        <v>0</v>
      </c>
      <c r="C777" s="81"/>
      <c r="D777" s="81"/>
      <c r="E777" s="81"/>
      <c r="F777" s="81"/>
      <c r="G777" s="81"/>
      <c r="H777" s="81"/>
      <c r="I777" s="81"/>
      <c r="J777" s="81"/>
      <c r="K777" s="81"/>
      <c r="L777" s="81"/>
      <c r="M777" s="81"/>
      <c r="N777" s="81"/>
      <c r="O777" s="81"/>
      <c r="P777" s="81"/>
      <c r="Q777" s="81"/>
      <c r="R777" s="81"/>
      <c r="S777" s="81"/>
      <c r="T777" s="81"/>
      <c r="U777" s="81"/>
      <c r="V777" s="94"/>
      <c r="W777" s="94"/>
    </row>
    <row r="778" spans="1:23" ht="21" customHeight="1">
      <c r="A778">
        <f>Table4[[#This Row],[Column1]]</f>
        <v>0</v>
      </c>
      <c r="B778">
        <f>Table4[[#This Row],[Column2]]</f>
        <v>0</v>
      </c>
      <c r="C778" s="81"/>
      <c r="D778" s="81"/>
      <c r="E778" s="81"/>
      <c r="F778" s="81"/>
      <c r="G778" s="81"/>
      <c r="H778" s="81"/>
      <c r="I778" s="81"/>
      <c r="J778" s="81"/>
      <c r="K778" s="81"/>
      <c r="L778" s="81"/>
      <c r="M778" s="81"/>
      <c r="N778" s="81"/>
      <c r="O778" s="81"/>
      <c r="P778" s="81"/>
      <c r="Q778" s="81"/>
      <c r="R778" s="81"/>
      <c r="S778" s="81"/>
      <c r="T778" s="81"/>
      <c r="U778" s="81"/>
      <c r="V778" s="94"/>
      <c r="W778" s="94"/>
    </row>
    <row r="779" spans="1:23" ht="21" customHeight="1">
      <c r="A779">
        <f>Table4[[#This Row],[Column1]]</f>
        <v>0</v>
      </c>
      <c r="B779">
        <f>Table4[[#This Row],[Column2]]</f>
        <v>0</v>
      </c>
      <c r="C779" s="81"/>
      <c r="D779" s="81"/>
      <c r="E779" s="81"/>
      <c r="F779" s="81"/>
      <c r="G779" s="81"/>
      <c r="H779" s="81"/>
      <c r="I779" s="81"/>
      <c r="J779" s="81"/>
      <c r="K779" s="81"/>
      <c r="L779" s="81"/>
      <c r="M779" s="81"/>
      <c r="N779" s="81"/>
      <c r="O779" s="81"/>
      <c r="P779" s="81"/>
      <c r="Q779" s="81"/>
      <c r="R779" s="81"/>
      <c r="S779" s="81"/>
      <c r="T779" s="81"/>
      <c r="U779" s="81"/>
      <c r="V779" s="94"/>
      <c r="W779" s="94"/>
    </row>
    <row r="780" spans="1:23" ht="21" customHeight="1">
      <c r="A780">
        <f>Table4[[#This Row],[Column1]]</f>
        <v>0</v>
      </c>
      <c r="B780">
        <f>Table4[[#This Row],[Column2]]</f>
        <v>0</v>
      </c>
      <c r="C780" s="81"/>
      <c r="D780" s="81"/>
      <c r="E780" s="81"/>
      <c r="F780" s="81"/>
      <c r="G780" s="81"/>
      <c r="H780" s="81"/>
      <c r="I780" s="81"/>
      <c r="J780" s="81"/>
      <c r="K780" s="81"/>
      <c r="L780" s="81"/>
      <c r="M780" s="81"/>
      <c r="N780" s="81"/>
      <c r="O780" s="81"/>
      <c r="P780" s="81"/>
      <c r="Q780" s="81"/>
      <c r="R780" s="81"/>
      <c r="S780" s="81"/>
      <c r="T780" s="81"/>
      <c r="U780" s="81"/>
      <c r="V780" s="94"/>
      <c r="W780" s="94"/>
    </row>
    <row r="781" spans="1:23" ht="21" customHeight="1">
      <c r="A781">
        <f>Table4[[#This Row],[Column1]]</f>
        <v>0</v>
      </c>
      <c r="B781">
        <f>Table4[[#This Row],[Column2]]</f>
        <v>0</v>
      </c>
      <c r="C781" s="81"/>
      <c r="D781" s="81"/>
      <c r="E781" s="81"/>
      <c r="F781" s="81"/>
      <c r="G781" s="81"/>
      <c r="H781" s="81"/>
      <c r="I781" s="81"/>
      <c r="J781" s="81"/>
      <c r="K781" s="81"/>
      <c r="L781" s="81"/>
      <c r="M781" s="81"/>
      <c r="N781" s="81"/>
      <c r="O781" s="81"/>
      <c r="P781" s="81"/>
      <c r="Q781" s="81"/>
      <c r="R781" s="81"/>
      <c r="S781" s="81"/>
      <c r="T781" s="81"/>
      <c r="U781" s="81"/>
      <c r="V781" s="94"/>
      <c r="W781" s="94"/>
    </row>
    <row r="782" spans="1:23" ht="21" customHeight="1">
      <c r="A782">
        <f>Table4[[#This Row],[Column1]]</f>
        <v>0</v>
      </c>
      <c r="B782">
        <f>Table4[[#This Row],[Column2]]</f>
        <v>0</v>
      </c>
      <c r="C782" s="81"/>
      <c r="D782" s="81"/>
      <c r="E782" s="81"/>
      <c r="F782" s="81"/>
      <c r="G782" s="81"/>
      <c r="H782" s="81"/>
      <c r="I782" s="81"/>
      <c r="J782" s="81"/>
      <c r="K782" s="81"/>
      <c r="L782" s="81"/>
      <c r="M782" s="81"/>
      <c r="N782" s="81"/>
      <c r="O782" s="81"/>
      <c r="P782" s="81"/>
      <c r="Q782" s="81"/>
      <c r="R782" s="81"/>
      <c r="S782" s="81"/>
      <c r="T782" s="81"/>
      <c r="U782" s="81"/>
      <c r="V782" s="94"/>
      <c r="W782" s="94"/>
    </row>
    <row r="783" spans="1:23" ht="21" customHeight="1">
      <c r="A783">
        <f>Table4[[#This Row],[Column1]]</f>
        <v>0</v>
      </c>
      <c r="B783">
        <f>Table4[[#This Row],[Column2]]</f>
        <v>0</v>
      </c>
      <c r="C783" s="81"/>
      <c r="D783" s="81"/>
      <c r="E783" s="81"/>
      <c r="F783" s="81"/>
      <c r="G783" s="81"/>
      <c r="H783" s="81"/>
      <c r="I783" s="81"/>
      <c r="J783" s="81"/>
      <c r="K783" s="81"/>
      <c r="L783" s="81"/>
      <c r="M783" s="81"/>
      <c r="N783" s="81"/>
      <c r="O783" s="81"/>
      <c r="P783" s="81"/>
      <c r="Q783" s="81"/>
      <c r="R783" s="81"/>
      <c r="S783" s="81"/>
      <c r="T783" s="81"/>
      <c r="U783" s="81"/>
      <c r="V783" s="94"/>
      <c r="W783" s="94"/>
    </row>
    <row r="784" spans="1:23" ht="21" customHeight="1">
      <c r="A784">
        <f>Table4[[#This Row],[Column1]]</f>
        <v>0</v>
      </c>
      <c r="B784">
        <f>Table4[[#This Row],[Column2]]</f>
        <v>0</v>
      </c>
      <c r="C784" s="81"/>
      <c r="D784" s="81"/>
      <c r="E784" s="81"/>
      <c r="F784" s="81"/>
      <c r="G784" s="81"/>
      <c r="H784" s="81"/>
      <c r="I784" s="81"/>
      <c r="J784" s="81"/>
      <c r="K784" s="81"/>
      <c r="L784" s="81"/>
      <c r="M784" s="81"/>
      <c r="N784" s="81"/>
      <c r="O784" s="81"/>
      <c r="P784" s="81"/>
      <c r="Q784" s="81"/>
      <c r="R784" s="81"/>
      <c r="S784" s="81"/>
      <c r="T784" s="81"/>
      <c r="U784" s="81"/>
      <c r="V784" s="94"/>
      <c r="W784" s="94"/>
    </row>
    <row r="785" spans="1:23" ht="21" customHeight="1">
      <c r="A785">
        <f>Table4[[#This Row],[Column1]]</f>
        <v>0</v>
      </c>
      <c r="B785">
        <f>Table4[[#This Row],[Column2]]</f>
        <v>0</v>
      </c>
      <c r="C785" s="81"/>
      <c r="D785" s="81"/>
      <c r="E785" s="81"/>
      <c r="F785" s="81"/>
      <c r="G785" s="81"/>
      <c r="H785" s="81"/>
      <c r="I785" s="81"/>
      <c r="J785" s="81"/>
      <c r="K785" s="81"/>
      <c r="L785" s="81"/>
      <c r="M785" s="81"/>
      <c r="N785" s="81"/>
      <c r="O785" s="81"/>
      <c r="P785" s="81"/>
      <c r="Q785" s="81"/>
      <c r="R785" s="81"/>
      <c r="S785" s="81"/>
      <c r="T785" s="81"/>
      <c r="U785" s="81"/>
      <c r="V785" s="94"/>
      <c r="W785" s="94"/>
    </row>
    <row r="786" spans="1:23" ht="21" customHeight="1">
      <c r="A786">
        <f>Table4[[#This Row],[Column1]]</f>
        <v>0</v>
      </c>
      <c r="B786">
        <f>Table4[[#This Row],[Column2]]</f>
        <v>0</v>
      </c>
      <c r="C786" s="81"/>
      <c r="D786" s="81"/>
      <c r="E786" s="81"/>
      <c r="F786" s="81"/>
      <c r="G786" s="81"/>
      <c r="H786" s="81"/>
      <c r="I786" s="81"/>
      <c r="J786" s="81"/>
      <c r="K786" s="81"/>
      <c r="L786" s="81"/>
      <c r="M786" s="81"/>
      <c r="N786" s="81"/>
      <c r="O786" s="81"/>
      <c r="P786" s="81"/>
      <c r="Q786" s="81"/>
      <c r="R786" s="81"/>
      <c r="S786" s="81"/>
      <c r="T786" s="81"/>
      <c r="U786" s="81"/>
      <c r="V786" s="94"/>
      <c r="W786" s="94"/>
    </row>
    <row r="787" spans="1:23" ht="21" customHeight="1">
      <c r="A787">
        <f>Table4[[#This Row],[Column1]]</f>
        <v>0</v>
      </c>
      <c r="B787">
        <f>Table4[[#This Row],[Column2]]</f>
        <v>0</v>
      </c>
      <c r="C787" s="81"/>
      <c r="D787" s="81"/>
      <c r="E787" s="81"/>
      <c r="F787" s="81"/>
      <c r="G787" s="81"/>
      <c r="H787" s="81"/>
      <c r="I787" s="81"/>
      <c r="J787" s="81"/>
      <c r="K787" s="81"/>
      <c r="L787" s="81"/>
      <c r="M787" s="81"/>
      <c r="N787" s="81"/>
      <c r="O787" s="81"/>
      <c r="P787" s="81"/>
      <c r="Q787" s="81"/>
      <c r="R787" s="81"/>
      <c r="S787" s="81"/>
      <c r="T787" s="81"/>
      <c r="U787" s="81"/>
      <c r="V787" s="94"/>
      <c r="W787" s="94"/>
    </row>
    <row r="788" spans="1:23" ht="21" customHeight="1">
      <c r="A788">
        <f>Table4[[#This Row],[Column1]]</f>
        <v>0</v>
      </c>
      <c r="B788">
        <f>Table4[[#This Row],[Column2]]</f>
        <v>0</v>
      </c>
      <c r="C788" s="81"/>
      <c r="D788" s="81"/>
      <c r="E788" s="81"/>
      <c r="F788" s="81"/>
      <c r="G788" s="81"/>
      <c r="H788" s="81"/>
      <c r="I788" s="81"/>
      <c r="J788" s="81"/>
      <c r="K788" s="81"/>
      <c r="L788" s="81"/>
      <c r="M788" s="81"/>
      <c r="N788" s="81"/>
      <c r="O788" s="81"/>
      <c r="P788" s="81"/>
      <c r="Q788" s="81"/>
      <c r="R788" s="81"/>
      <c r="S788" s="81"/>
      <c r="T788" s="81"/>
      <c r="U788" s="81"/>
      <c r="V788" s="94"/>
      <c r="W788" s="94"/>
    </row>
    <row r="789" spans="1:23" ht="21" customHeight="1">
      <c r="A789">
        <f>Table4[[#This Row],[Column1]]</f>
        <v>0</v>
      </c>
      <c r="B789">
        <f>Table4[[#This Row],[Column2]]</f>
        <v>0</v>
      </c>
      <c r="C789" s="81"/>
      <c r="D789" s="81"/>
      <c r="E789" s="81"/>
      <c r="F789" s="81"/>
      <c r="G789" s="81"/>
      <c r="H789" s="81"/>
      <c r="I789" s="81"/>
      <c r="J789" s="81"/>
      <c r="K789" s="81"/>
      <c r="L789" s="81"/>
      <c r="M789" s="81"/>
      <c r="N789" s="81"/>
      <c r="O789" s="81"/>
      <c r="P789" s="81"/>
      <c r="Q789" s="81"/>
      <c r="R789" s="81"/>
      <c r="S789" s="81"/>
      <c r="T789" s="81"/>
      <c r="U789" s="81"/>
      <c r="V789" s="94"/>
      <c r="W789" s="94"/>
    </row>
    <row r="790" spans="1:23" ht="21" customHeight="1">
      <c r="A790">
        <f>Table4[[#This Row],[Column1]]</f>
        <v>0</v>
      </c>
      <c r="B790">
        <f>Table4[[#This Row],[Column2]]</f>
        <v>0</v>
      </c>
      <c r="C790" s="81"/>
      <c r="D790" s="81"/>
      <c r="E790" s="81"/>
      <c r="F790" s="81"/>
      <c r="G790" s="81"/>
      <c r="H790" s="81"/>
      <c r="I790" s="81"/>
      <c r="J790" s="81"/>
      <c r="K790" s="81"/>
      <c r="L790" s="81"/>
      <c r="M790" s="81"/>
      <c r="N790" s="81"/>
      <c r="O790" s="81"/>
      <c r="P790" s="81"/>
      <c r="Q790" s="81"/>
      <c r="R790" s="81"/>
      <c r="S790" s="81"/>
      <c r="T790" s="81"/>
      <c r="U790" s="81"/>
      <c r="V790" s="94"/>
      <c r="W790" s="94"/>
    </row>
    <row r="791" spans="1:23" ht="21" customHeight="1">
      <c r="A791">
        <f>Table4[[#This Row],[Column1]]</f>
        <v>0</v>
      </c>
      <c r="B791">
        <f>Table4[[#This Row],[Column2]]</f>
        <v>0</v>
      </c>
      <c r="C791" s="81"/>
      <c r="D791" s="81"/>
      <c r="E791" s="81"/>
      <c r="F791" s="81"/>
      <c r="G791" s="81"/>
      <c r="H791" s="81"/>
      <c r="I791" s="81"/>
      <c r="J791" s="81"/>
      <c r="K791" s="81"/>
      <c r="L791" s="81"/>
      <c r="M791" s="81"/>
      <c r="N791" s="81"/>
      <c r="O791" s="81"/>
      <c r="P791" s="81"/>
      <c r="Q791" s="81"/>
      <c r="R791" s="81"/>
      <c r="S791" s="81"/>
      <c r="T791" s="81"/>
      <c r="U791" s="81"/>
      <c r="V791" s="94"/>
      <c r="W791" s="94"/>
    </row>
    <row r="792" spans="1:23" ht="21" customHeight="1">
      <c r="A792">
        <f>Table4[[#This Row],[Column1]]</f>
        <v>0</v>
      </c>
      <c r="B792">
        <f>Table4[[#This Row],[Column2]]</f>
        <v>0</v>
      </c>
      <c r="C792" s="81"/>
      <c r="D792" s="81"/>
      <c r="E792" s="81"/>
      <c r="F792" s="81"/>
      <c r="G792" s="81"/>
      <c r="H792" s="81"/>
      <c r="I792" s="81"/>
      <c r="J792" s="81"/>
      <c r="K792" s="81"/>
      <c r="L792" s="81"/>
      <c r="M792" s="81"/>
      <c r="N792" s="81"/>
      <c r="O792" s="81"/>
      <c r="P792" s="81"/>
      <c r="Q792" s="81"/>
      <c r="R792" s="81"/>
      <c r="S792" s="81"/>
      <c r="T792" s="81"/>
      <c r="U792" s="81"/>
      <c r="V792" s="94"/>
      <c r="W792" s="94"/>
    </row>
    <row r="793" spans="1:23" ht="21" customHeight="1">
      <c r="A793">
        <f>Table4[[#This Row],[Column1]]</f>
        <v>0</v>
      </c>
      <c r="B793">
        <f>Table4[[#This Row],[Column2]]</f>
        <v>0</v>
      </c>
      <c r="C793" s="81"/>
      <c r="D793" s="81"/>
      <c r="E793" s="81"/>
      <c r="F793" s="81"/>
      <c r="G793" s="81"/>
      <c r="H793" s="81"/>
      <c r="I793" s="81"/>
      <c r="J793" s="81"/>
      <c r="K793" s="81"/>
      <c r="L793" s="81"/>
      <c r="M793" s="81"/>
      <c r="N793" s="81"/>
      <c r="O793" s="81"/>
      <c r="P793" s="81"/>
      <c r="Q793" s="81"/>
      <c r="R793" s="81"/>
      <c r="S793" s="81"/>
      <c r="T793" s="81"/>
      <c r="U793" s="81"/>
      <c r="V793" s="94"/>
      <c r="W793" s="94"/>
    </row>
    <row r="794" spans="1:23" ht="21" customHeight="1">
      <c r="A794">
        <f>Table4[[#This Row],[Column1]]</f>
        <v>0</v>
      </c>
      <c r="B794">
        <f>Table4[[#This Row],[Column2]]</f>
        <v>0</v>
      </c>
      <c r="C794" s="81"/>
      <c r="D794" s="81"/>
      <c r="E794" s="81"/>
      <c r="F794" s="81"/>
      <c r="G794" s="81"/>
      <c r="H794" s="81"/>
      <c r="I794" s="81"/>
      <c r="J794" s="81"/>
      <c r="K794" s="81"/>
      <c r="L794" s="81"/>
      <c r="M794" s="81"/>
      <c r="N794" s="81"/>
      <c r="O794" s="81"/>
      <c r="P794" s="81"/>
      <c r="Q794" s="81"/>
      <c r="R794" s="81"/>
      <c r="S794" s="81"/>
      <c r="T794" s="81"/>
      <c r="U794" s="81"/>
      <c r="V794" s="94"/>
      <c r="W794" s="94"/>
    </row>
    <row r="795" spans="1:23" ht="21" customHeight="1">
      <c r="A795">
        <f>Table4[[#This Row],[Column1]]</f>
        <v>0</v>
      </c>
      <c r="B795">
        <f>Table4[[#This Row],[Column2]]</f>
        <v>0</v>
      </c>
      <c r="C795" s="81"/>
      <c r="D795" s="81"/>
      <c r="E795" s="81"/>
      <c r="F795" s="81"/>
      <c r="G795" s="81"/>
      <c r="H795" s="81"/>
      <c r="I795" s="81"/>
      <c r="J795" s="81"/>
      <c r="K795" s="81"/>
      <c r="L795" s="81"/>
      <c r="M795" s="81"/>
      <c r="N795" s="81"/>
      <c r="O795" s="81"/>
      <c r="P795" s="81"/>
      <c r="Q795" s="81"/>
      <c r="R795" s="81"/>
      <c r="S795" s="81"/>
      <c r="T795" s="81"/>
      <c r="U795" s="81"/>
      <c r="V795" s="94"/>
      <c r="W795" s="94"/>
    </row>
    <row r="796" spans="1:23" ht="21" customHeight="1">
      <c r="A796">
        <f>Table4[[#This Row],[Column1]]</f>
        <v>0</v>
      </c>
      <c r="B796">
        <f>Table4[[#This Row],[Column2]]</f>
        <v>0</v>
      </c>
      <c r="C796" s="81"/>
      <c r="D796" s="81"/>
      <c r="E796" s="81"/>
      <c r="F796" s="81"/>
      <c r="G796" s="81"/>
      <c r="H796" s="81"/>
      <c r="I796" s="81"/>
      <c r="J796" s="81"/>
      <c r="K796" s="81"/>
      <c r="L796" s="81"/>
      <c r="M796" s="81"/>
      <c r="N796" s="81"/>
      <c r="O796" s="81"/>
      <c r="P796" s="81"/>
      <c r="Q796" s="81"/>
      <c r="R796" s="81"/>
      <c r="S796" s="81"/>
      <c r="T796" s="81"/>
      <c r="U796" s="81"/>
      <c r="V796" s="94"/>
      <c r="W796" s="94"/>
    </row>
    <row r="797" spans="1:23" ht="21" customHeight="1">
      <c r="A797">
        <f>Table4[[#This Row],[Column1]]</f>
        <v>0</v>
      </c>
      <c r="B797">
        <f>Table4[[#This Row],[Column2]]</f>
        <v>0</v>
      </c>
      <c r="C797" s="81"/>
      <c r="D797" s="81"/>
      <c r="E797" s="81"/>
      <c r="F797" s="81"/>
      <c r="G797" s="81"/>
      <c r="H797" s="81"/>
      <c r="I797" s="81"/>
      <c r="J797" s="81"/>
      <c r="K797" s="81"/>
      <c r="L797" s="81"/>
      <c r="M797" s="81"/>
      <c r="N797" s="81"/>
      <c r="O797" s="81"/>
      <c r="P797" s="81"/>
      <c r="Q797" s="81"/>
      <c r="R797" s="81"/>
      <c r="S797" s="81"/>
      <c r="T797" s="81"/>
      <c r="U797" s="81"/>
      <c r="V797" s="94"/>
      <c r="W797" s="94"/>
    </row>
    <row r="798" spans="1:23" ht="21" customHeight="1">
      <c r="A798">
        <f>Table4[[#This Row],[Column1]]</f>
        <v>0</v>
      </c>
      <c r="B798">
        <f>Table4[[#This Row],[Column2]]</f>
        <v>0</v>
      </c>
      <c r="C798" s="81"/>
      <c r="D798" s="81"/>
      <c r="E798" s="81"/>
      <c r="F798" s="81"/>
      <c r="G798" s="81"/>
      <c r="H798" s="81"/>
      <c r="I798" s="81"/>
      <c r="J798" s="81"/>
      <c r="K798" s="81"/>
      <c r="L798" s="81"/>
      <c r="M798" s="81"/>
      <c r="N798" s="81"/>
      <c r="O798" s="81"/>
      <c r="P798" s="81"/>
      <c r="Q798" s="81"/>
      <c r="R798" s="81"/>
      <c r="S798" s="81"/>
      <c r="T798" s="81"/>
      <c r="U798" s="81"/>
      <c r="V798" s="94"/>
      <c r="W798" s="94"/>
    </row>
    <row r="799" spans="1:23" ht="21" customHeight="1">
      <c r="A799">
        <f>Table4[[#This Row],[Column1]]</f>
        <v>0</v>
      </c>
      <c r="B799">
        <f>Table4[[#This Row],[Column2]]</f>
        <v>0</v>
      </c>
      <c r="C799" s="81"/>
      <c r="D799" s="81"/>
      <c r="E799" s="81"/>
      <c r="F799" s="81"/>
      <c r="G799" s="81"/>
      <c r="H799" s="81"/>
      <c r="I799" s="81"/>
      <c r="J799" s="81"/>
      <c r="K799" s="81"/>
      <c r="L799" s="81"/>
      <c r="M799" s="81"/>
      <c r="N799" s="81"/>
      <c r="O799" s="81"/>
      <c r="P799" s="81"/>
      <c r="Q799" s="81"/>
      <c r="R799" s="81"/>
      <c r="S799" s="81"/>
      <c r="T799" s="81"/>
      <c r="U799" s="81"/>
      <c r="V799" s="94"/>
      <c r="W799" s="94"/>
    </row>
    <row r="800" spans="1:23" ht="21" customHeight="1">
      <c r="A800">
        <f>Table4[[#This Row],[Column1]]</f>
        <v>0</v>
      </c>
      <c r="B800">
        <f>Table4[[#This Row],[Column2]]</f>
        <v>0</v>
      </c>
      <c r="C800" s="81"/>
      <c r="D800" s="81"/>
      <c r="E800" s="81"/>
      <c r="F800" s="81"/>
      <c r="G800" s="81"/>
      <c r="H800" s="81"/>
      <c r="I800" s="81"/>
      <c r="J800" s="81"/>
      <c r="K800" s="81"/>
      <c r="L800" s="81"/>
      <c r="M800" s="81"/>
      <c r="N800" s="81"/>
      <c r="O800" s="81"/>
      <c r="P800" s="81"/>
      <c r="Q800" s="81"/>
      <c r="R800" s="81"/>
      <c r="S800" s="81"/>
      <c r="T800" s="81"/>
      <c r="U800" s="81"/>
      <c r="V800" s="94"/>
      <c r="W800" s="94"/>
    </row>
    <row r="801" spans="1:23" ht="21" customHeight="1">
      <c r="A801">
        <f>Table4[[#This Row],[Column1]]</f>
        <v>0</v>
      </c>
      <c r="B801">
        <f>Table4[[#This Row],[Column2]]</f>
        <v>0</v>
      </c>
      <c r="C801" s="81"/>
      <c r="D801" s="81"/>
      <c r="E801" s="81"/>
      <c r="F801" s="81"/>
      <c r="G801" s="81"/>
      <c r="H801" s="81"/>
      <c r="I801" s="81"/>
      <c r="J801" s="81"/>
      <c r="K801" s="81"/>
      <c r="L801" s="81"/>
      <c r="M801" s="81"/>
      <c r="N801" s="81"/>
      <c r="O801" s="81"/>
      <c r="P801" s="81"/>
      <c r="Q801" s="81"/>
      <c r="R801" s="81"/>
      <c r="S801" s="81"/>
      <c r="T801" s="81"/>
      <c r="U801" s="81"/>
      <c r="V801" s="94"/>
      <c r="W801" s="94"/>
    </row>
    <row r="802" spans="1:23" ht="21" customHeight="1">
      <c r="A802">
        <f>Table4[[#This Row],[Column1]]</f>
        <v>0</v>
      </c>
      <c r="B802">
        <f>Table4[[#This Row],[Column2]]</f>
        <v>0</v>
      </c>
      <c r="C802" s="81"/>
      <c r="D802" s="81"/>
      <c r="E802" s="81"/>
      <c r="F802" s="81"/>
      <c r="G802" s="81"/>
      <c r="H802" s="81"/>
      <c r="I802" s="81"/>
      <c r="J802" s="81"/>
      <c r="K802" s="81"/>
      <c r="L802" s="81"/>
      <c r="M802" s="81"/>
      <c r="N802" s="81"/>
      <c r="O802" s="81"/>
      <c r="P802" s="81"/>
      <c r="Q802" s="81"/>
      <c r="R802" s="81"/>
      <c r="S802" s="81"/>
      <c r="T802" s="81"/>
      <c r="U802" s="81"/>
      <c r="V802" s="94"/>
      <c r="W802" s="94"/>
    </row>
    <row r="803" spans="1:23" ht="21" customHeight="1">
      <c r="A803">
        <f>Table4[[#This Row],[Column1]]</f>
        <v>0</v>
      </c>
      <c r="B803">
        <f>Table4[[#This Row],[Column2]]</f>
        <v>0</v>
      </c>
      <c r="C803" s="81"/>
      <c r="D803" s="81"/>
      <c r="E803" s="81"/>
      <c r="F803" s="81"/>
      <c r="G803" s="81"/>
      <c r="H803" s="81"/>
      <c r="I803" s="81"/>
      <c r="J803" s="81"/>
      <c r="K803" s="81"/>
      <c r="L803" s="81"/>
      <c r="M803" s="81"/>
      <c r="N803" s="81"/>
      <c r="O803" s="81"/>
      <c r="P803" s="81"/>
      <c r="Q803" s="81"/>
      <c r="R803" s="81"/>
      <c r="S803" s="81"/>
      <c r="T803" s="81"/>
      <c r="U803" s="81"/>
      <c r="V803" s="94"/>
      <c r="W803" s="94"/>
    </row>
    <row r="804" spans="1:23" ht="21" customHeight="1">
      <c r="A804">
        <f>Table4[[#This Row],[Column1]]</f>
        <v>0</v>
      </c>
      <c r="B804">
        <f>Table4[[#This Row],[Column2]]</f>
        <v>0</v>
      </c>
      <c r="C804" s="81"/>
      <c r="D804" s="81"/>
      <c r="E804" s="81"/>
      <c r="F804" s="81"/>
      <c r="G804" s="81"/>
      <c r="H804" s="81"/>
      <c r="I804" s="81"/>
      <c r="J804" s="81"/>
      <c r="K804" s="81"/>
      <c r="L804" s="81"/>
      <c r="M804" s="81"/>
      <c r="N804" s="81"/>
      <c r="O804" s="81"/>
      <c r="P804" s="81"/>
      <c r="Q804" s="81"/>
      <c r="R804" s="81"/>
      <c r="S804" s="81"/>
      <c r="T804" s="81"/>
      <c r="U804" s="81"/>
      <c r="V804" s="94"/>
      <c r="W804" s="94"/>
    </row>
    <row r="805" spans="1:23" ht="21" customHeight="1">
      <c r="A805">
        <f>Table4[[#This Row],[Column1]]</f>
        <v>0</v>
      </c>
      <c r="B805">
        <f>Table4[[#This Row],[Column2]]</f>
        <v>0</v>
      </c>
      <c r="C805" s="81"/>
      <c r="D805" s="81"/>
      <c r="E805" s="81"/>
      <c r="F805" s="81"/>
      <c r="G805" s="81"/>
      <c r="H805" s="81"/>
      <c r="I805" s="81"/>
      <c r="J805" s="81"/>
      <c r="K805" s="81"/>
      <c r="L805" s="81"/>
      <c r="M805" s="81"/>
      <c r="N805" s="81"/>
      <c r="O805" s="81"/>
      <c r="P805" s="81"/>
      <c r="Q805" s="81"/>
      <c r="R805" s="81"/>
      <c r="S805" s="81"/>
      <c r="T805" s="81"/>
      <c r="U805" s="81"/>
      <c r="V805" s="94"/>
      <c r="W805" s="94"/>
    </row>
    <row r="806" spans="1:23" ht="21" customHeight="1">
      <c r="A806">
        <f>Table4[[#This Row],[Column1]]</f>
        <v>0</v>
      </c>
      <c r="B806">
        <f>Table4[[#This Row],[Column2]]</f>
        <v>0</v>
      </c>
      <c r="C806" s="81"/>
      <c r="D806" s="81"/>
      <c r="E806" s="81"/>
      <c r="F806" s="81"/>
      <c r="G806" s="81"/>
      <c r="H806" s="81"/>
      <c r="I806" s="81"/>
      <c r="J806" s="81"/>
      <c r="K806" s="81"/>
      <c r="L806" s="81"/>
      <c r="M806" s="81"/>
      <c r="N806" s="81"/>
      <c r="O806" s="81"/>
      <c r="P806" s="81"/>
      <c r="Q806" s="81"/>
      <c r="R806" s="81"/>
      <c r="S806" s="81"/>
      <c r="T806" s="81"/>
      <c r="U806" s="81"/>
      <c r="V806" s="94"/>
      <c r="W806" s="94"/>
    </row>
    <row r="807" spans="1:23" ht="21" customHeight="1">
      <c r="A807">
        <f>Table4[[#This Row],[Column1]]</f>
        <v>0</v>
      </c>
      <c r="B807">
        <f>Table4[[#This Row],[Column2]]</f>
        <v>0</v>
      </c>
      <c r="C807" s="81"/>
      <c r="D807" s="81"/>
      <c r="E807" s="81"/>
      <c r="F807" s="81"/>
      <c r="G807" s="81"/>
      <c r="H807" s="81"/>
      <c r="I807" s="81"/>
      <c r="J807" s="81"/>
      <c r="K807" s="81"/>
      <c r="L807" s="81"/>
      <c r="M807" s="81"/>
      <c r="N807" s="81"/>
      <c r="O807" s="81"/>
      <c r="P807" s="81"/>
      <c r="Q807" s="81"/>
      <c r="R807" s="81"/>
      <c r="S807" s="81"/>
      <c r="T807" s="81"/>
      <c r="U807" s="81"/>
      <c r="V807" s="94"/>
      <c r="W807" s="94"/>
    </row>
    <row r="808" spans="1:23" ht="21" customHeight="1">
      <c r="A808">
        <f>Table4[[#This Row],[Column1]]</f>
        <v>0</v>
      </c>
      <c r="B808">
        <f>Table4[[#This Row],[Column2]]</f>
        <v>0</v>
      </c>
      <c r="C808" s="81"/>
      <c r="D808" s="81"/>
      <c r="E808" s="81"/>
      <c r="F808" s="81"/>
      <c r="G808" s="81"/>
      <c r="H808" s="81"/>
      <c r="I808" s="81"/>
      <c r="J808" s="81"/>
      <c r="K808" s="81"/>
      <c r="L808" s="81"/>
      <c r="M808" s="81"/>
      <c r="N808" s="81"/>
      <c r="O808" s="81"/>
      <c r="P808" s="81"/>
      <c r="Q808" s="81"/>
      <c r="R808" s="81"/>
      <c r="S808" s="81"/>
      <c r="T808" s="81"/>
      <c r="U808" s="81"/>
      <c r="V808" s="94"/>
      <c r="W808" s="94"/>
    </row>
    <row r="809" spans="1:23" ht="21" customHeight="1">
      <c r="A809">
        <f>Table4[[#This Row],[Column1]]</f>
        <v>0</v>
      </c>
      <c r="B809">
        <f>Table4[[#This Row],[Column2]]</f>
        <v>0</v>
      </c>
      <c r="C809" s="81"/>
      <c r="D809" s="81"/>
      <c r="E809" s="81"/>
      <c r="F809" s="81"/>
      <c r="G809" s="81"/>
      <c r="H809" s="81"/>
      <c r="I809" s="81"/>
      <c r="J809" s="81"/>
      <c r="K809" s="81"/>
      <c r="L809" s="81"/>
      <c r="M809" s="81"/>
      <c r="N809" s="81"/>
      <c r="O809" s="81"/>
      <c r="P809" s="81"/>
      <c r="Q809" s="81"/>
      <c r="R809" s="81"/>
      <c r="S809" s="81"/>
      <c r="T809" s="81"/>
      <c r="U809" s="81"/>
      <c r="V809" s="94"/>
      <c r="W809" s="94"/>
    </row>
    <row r="810" spans="1:23" ht="21" customHeight="1">
      <c r="A810">
        <f>Table4[[#This Row],[Column1]]</f>
        <v>0</v>
      </c>
      <c r="B810">
        <f>Table4[[#This Row],[Column2]]</f>
        <v>0</v>
      </c>
      <c r="C810" s="81"/>
      <c r="D810" s="81"/>
      <c r="E810" s="81"/>
      <c r="F810" s="81"/>
      <c r="G810" s="81"/>
      <c r="H810" s="81"/>
      <c r="I810" s="81"/>
      <c r="J810" s="81"/>
      <c r="K810" s="81"/>
      <c r="L810" s="81"/>
      <c r="M810" s="81"/>
      <c r="N810" s="81"/>
      <c r="O810" s="81"/>
      <c r="P810" s="81"/>
      <c r="Q810" s="81"/>
      <c r="R810" s="81"/>
      <c r="S810" s="81"/>
      <c r="T810" s="81"/>
      <c r="U810" s="81"/>
      <c r="V810" s="94"/>
      <c r="W810" s="94"/>
    </row>
    <row r="811" spans="1:23" ht="21" customHeight="1">
      <c r="A811">
        <f>Table4[[#This Row],[Column1]]</f>
        <v>0</v>
      </c>
      <c r="B811">
        <f>Table4[[#This Row],[Column2]]</f>
        <v>0</v>
      </c>
      <c r="C811" s="81"/>
      <c r="D811" s="81"/>
      <c r="E811" s="81"/>
      <c r="F811" s="81"/>
      <c r="G811" s="81"/>
      <c r="H811" s="81"/>
      <c r="I811" s="81"/>
      <c r="J811" s="81"/>
      <c r="K811" s="81"/>
      <c r="L811" s="81"/>
      <c r="M811" s="81"/>
      <c r="N811" s="81"/>
      <c r="O811" s="81"/>
      <c r="P811" s="81"/>
      <c r="Q811" s="81"/>
      <c r="R811" s="81"/>
      <c r="S811" s="81"/>
      <c r="T811" s="81"/>
      <c r="U811" s="81"/>
      <c r="V811" s="94"/>
      <c r="W811" s="94"/>
    </row>
    <row r="812" spans="1:23" ht="21" customHeight="1">
      <c r="A812">
        <f>Table4[[#This Row],[Column1]]</f>
        <v>0</v>
      </c>
      <c r="B812">
        <f>Table4[[#This Row],[Column2]]</f>
        <v>0</v>
      </c>
      <c r="C812" s="81"/>
      <c r="D812" s="81"/>
      <c r="E812" s="81"/>
      <c r="F812" s="81"/>
      <c r="G812" s="81"/>
      <c r="H812" s="81"/>
      <c r="I812" s="81"/>
      <c r="J812" s="81"/>
      <c r="K812" s="81"/>
      <c r="L812" s="81"/>
      <c r="M812" s="81"/>
      <c r="N812" s="81"/>
      <c r="O812" s="81"/>
      <c r="P812" s="81"/>
      <c r="Q812" s="81"/>
      <c r="R812" s="81"/>
      <c r="S812" s="81"/>
      <c r="T812" s="81"/>
      <c r="U812" s="81"/>
      <c r="V812" s="94"/>
      <c r="W812" s="94"/>
    </row>
    <row r="813" spans="1:23" ht="21" customHeight="1">
      <c r="A813">
        <f>Table4[[#This Row],[Column1]]</f>
        <v>0</v>
      </c>
      <c r="B813">
        <f>Table4[[#This Row],[Column2]]</f>
        <v>0</v>
      </c>
      <c r="C813" s="81"/>
      <c r="D813" s="81"/>
      <c r="E813" s="81"/>
      <c r="F813" s="81"/>
      <c r="G813" s="81"/>
      <c r="H813" s="81"/>
      <c r="I813" s="81"/>
      <c r="J813" s="81"/>
      <c r="K813" s="81"/>
      <c r="L813" s="81"/>
      <c r="M813" s="81"/>
      <c r="N813" s="81"/>
      <c r="O813" s="81"/>
      <c r="P813" s="81"/>
      <c r="Q813" s="81"/>
      <c r="R813" s="81"/>
      <c r="S813" s="81"/>
      <c r="T813" s="81"/>
      <c r="U813" s="81"/>
      <c r="V813" s="94"/>
      <c r="W813" s="94"/>
    </row>
    <row r="814" spans="1:23" ht="21" customHeight="1">
      <c r="A814">
        <f>Table4[[#This Row],[Column1]]</f>
        <v>0</v>
      </c>
      <c r="B814">
        <f>Table4[[#This Row],[Column2]]</f>
        <v>0</v>
      </c>
      <c r="C814" s="81"/>
      <c r="D814" s="81"/>
      <c r="E814" s="81"/>
      <c r="F814" s="81"/>
      <c r="G814" s="81"/>
      <c r="H814" s="81"/>
      <c r="I814" s="81"/>
      <c r="J814" s="81"/>
      <c r="K814" s="81"/>
      <c r="L814" s="81"/>
      <c r="M814" s="81"/>
      <c r="N814" s="81"/>
      <c r="O814" s="81"/>
      <c r="P814" s="81"/>
      <c r="Q814" s="81"/>
      <c r="R814" s="81"/>
      <c r="S814" s="81"/>
      <c r="T814" s="81"/>
      <c r="U814" s="81"/>
      <c r="V814" s="94"/>
      <c r="W814" s="94"/>
    </row>
    <row r="815" spans="1:23" ht="21" customHeight="1">
      <c r="A815">
        <f>Table4[[#This Row],[Column1]]</f>
        <v>0</v>
      </c>
      <c r="B815">
        <f>Table4[[#This Row],[Column2]]</f>
        <v>0</v>
      </c>
      <c r="C815" s="81"/>
      <c r="D815" s="81"/>
      <c r="E815" s="81"/>
      <c r="F815" s="81"/>
      <c r="G815" s="81"/>
      <c r="H815" s="81"/>
      <c r="I815" s="81"/>
      <c r="J815" s="81"/>
      <c r="K815" s="81"/>
      <c r="L815" s="81"/>
      <c r="M815" s="81"/>
      <c r="N815" s="81"/>
      <c r="O815" s="81"/>
      <c r="P815" s="81"/>
      <c r="Q815" s="81"/>
      <c r="R815" s="81"/>
      <c r="S815" s="81"/>
      <c r="T815" s="81"/>
      <c r="U815" s="81"/>
      <c r="V815" s="94"/>
      <c r="W815" s="94"/>
    </row>
    <row r="816" spans="1:23" ht="21" customHeight="1">
      <c r="A816">
        <f>Table4[[#This Row],[Column1]]</f>
        <v>0</v>
      </c>
      <c r="B816">
        <f>Table4[[#This Row],[Column2]]</f>
        <v>0</v>
      </c>
      <c r="C816" s="81"/>
      <c r="D816" s="81"/>
      <c r="E816" s="81"/>
      <c r="F816" s="81"/>
      <c r="G816" s="81"/>
      <c r="H816" s="81"/>
      <c r="I816" s="81"/>
      <c r="J816" s="81"/>
      <c r="K816" s="81"/>
      <c r="L816" s="81"/>
      <c r="M816" s="81"/>
      <c r="N816" s="81"/>
      <c r="O816" s="81"/>
      <c r="P816" s="81"/>
      <c r="Q816" s="81"/>
      <c r="R816" s="81"/>
      <c r="S816" s="81"/>
      <c r="T816" s="81"/>
      <c r="U816" s="81"/>
      <c r="V816" s="94"/>
      <c r="W816" s="94"/>
    </row>
    <row r="817" spans="1:23" ht="21" customHeight="1">
      <c r="A817">
        <f>Table4[[#This Row],[Column1]]</f>
        <v>0</v>
      </c>
      <c r="B817">
        <f>Table4[[#This Row],[Column2]]</f>
        <v>0</v>
      </c>
      <c r="C817" s="81"/>
      <c r="D817" s="81"/>
      <c r="E817" s="81"/>
      <c r="F817" s="81"/>
      <c r="G817" s="81"/>
      <c r="H817" s="81"/>
      <c r="I817" s="81"/>
      <c r="J817" s="81"/>
      <c r="K817" s="81"/>
      <c r="L817" s="81"/>
      <c r="M817" s="81"/>
      <c r="N817" s="81"/>
      <c r="O817" s="81"/>
      <c r="P817" s="81"/>
      <c r="Q817" s="81"/>
      <c r="R817" s="81"/>
      <c r="S817" s="81"/>
      <c r="T817" s="81"/>
      <c r="U817" s="81"/>
      <c r="V817" s="94"/>
      <c r="W817" s="94"/>
    </row>
    <row r="818" spans="1:23" ht="21" customHeight="1">
      <c r="A818">
        <f>Table4[[#This Row],[Column1]]</f>
        <v>0</v>
      </c>
      <c r="B818">
        <f>Table4[[#This Row],[Column2]]</f>
        <v>0</v>
      </c>
      <c r="C818" s="81"/>
      <c r="D818" s="81"/>
      <c r="E818" s="81"/>
      <c r="F818" s="81"/>
      <c r="G818" s="81"/>
      <c r="H818" s="81"/>
      <c r="I818" s="81"/>
      <c r="J818" s="81"/>
      <c r="K818" s="81"/>
      <c r="L818" s="81"/>
      <c r="M818" s="81"/>
      <c r="N818" s="81"/>
      <c r="O818" s="81"/>
      <c r="P818" s="81"/>
      <c r="Q818" s="81"/>
      <c r="R818" s="81"/>
      <c r="S818" s="81"/>
      <c r="T818" s="81"/>
      <c r="U818" s="81"/>
      <c r="V818" s="94"/>
      <c r="W818" s="94"/>
    </row>
    <row r="819" spans="1:23" ht="21" customHeight="1">
      <c r="A819">
        <f>Table4[[#This Row],[Column1]]</f>
        <v>0</v>
      </c>
      <c r="B819">
        <f>Table4[[#This Row],[Column2]]</f>
        <v>0</v>
      </c>
      <c r="C819" s="81"/>
      <c r="D819" s="81"/>
      <c r="E819" s="81"/>
      <c r="F819" s="81"/>
      <c r="G819" s="81"/>
      <c r="H819" s="81"/>
      <c r="I819" s="81"/>
      <c r="J819" s="81"/>
      <c r="K819" s="81"/>
      <c r="L819" s="81"/>
      <c r="M819" s="81"/>
      <c r="N819" s="81"/>
      <c r="O819" s="81"/>
      <c r="P819" s="81"/>
      <c r="Q819" s="81"/>
      <c r="R819" s="81"/>
      <c r="S819" s="81"/>
      <c r="T819" s="81"/>
      <c r="U819" s="81"/>
      <c r="V819" s="94"/>
      <c r="W819" s="94"/>
    </row>
    <row r="820" spans="1:23" ht="21" customHeight="1">
      <c r="A820">
        <f>Table4[[#This Row],[Column1]]</f>
        <v>0</v>
      </c>
      <c r="B820">
        <f>Table4[[#This Row],[Column2]]</f>
        <v>0</v>
      </c>
      <c r="C820" s="81"/>
      <c r="D820" s="81"/>
      <c r="E820" s="81"/>
      <c r="F820" s="81"/>
      <c r="G820" s="81"/>
      <c r="H820" s="81"/>
      <c r="I820" s="81"/>
      <c r="J820" s="81"/>
      <c r="K820" s="81"/>
      <c r="L820" s="81"/>
      <c r="M820" s="81"/>
      <c r="N820" s="81"/>
      <c r="O820" s="81"/>
      <c r="P820" s="81"/>
      <c r="Q820" s="81"/>
      <c r="R820" s="81"/>
      <c r="S820" s="81"/>
      <c r="T820" s="81"/>
      <c r="U820" s="81"/>
      <c r="V820" s="94"/>
      <c r="W820" s="94"/>
    </row>
    <row r="821" spans="1:23" ht="21" customHeight="1">
      <c r="A821">
        <f>Table4[[#This Row],[Column1]]</f>
        <v>0</v>
      </c>
      <c r="B821">
        <f>Table4[[#This Row],[Column2]]</f>
        <v>0</v>
      </c>
      <c r="C821" s="81"/>
      <c r="D821" s="81"/>
      <c r="E821" s="81"/>
      <c r="F821" s="81"/>
      <c r="G821" s="81"/>
      <c r="H821" s="81"/>
      <c r="I821" s="81"/>
      <c r="J821" s="81"/>
      <c r="K821" s="81"/>
      <c r="L821" s="81"/>
      <c r="M821" s="81"/>
      <c r="N821" s="81"/>
      <c r="O821" s="81"/>
      <c r="P821" s="81"/>
      <c r="Q821" s="81"/>
      <c r="R821" s="81"/>
      <c r="S821" s="81"/>
      <c r="T821" s="81"/>
      <c r="U821" s="81"/>
      <c r="V821" s="94"/>
      <c r="W821" s="94"/>
    </row>
    <row r="822" spans="1:23" ht="21" customHeight="1">
      <c r="A822">
        <f>Table4[[#This Row],[Column1]]</f>
        <v>0</v>
      </c>
      <c r="B822">
        <f>Table4[[#This Row],[Column2]]</f>
        <v>0</v>
      </c>
      <c r="C822" s="81"/>
      <c r="D822" s="81"/>
      <c r="E822" s="81"/>
      <c r="F822" s="81"/>
      <c r="G822" s="81"/>
      <c r="H822" s="81"/>
      <c r="I822" s="81"/>
      <c r="J822" s="81"/>
      <c r="K822" s="81"/>
      <c r="L822" s="81"/>
      <c r="M822" s="81"/>
      <c r="N822" s="81"/>
      <c r="O822" s="81"/>
      <c r="P822" s="81"/>
      <c r="Q822" s="81"/>
      <c r="R822" s="81"/>
      <c r="S822" s="81"/>
      <c r="T822" s="81"/>
      <c r="U822" s="81"/>
      <c r="V822" s="94"/>
      <c r="W822" s="94"/>
    </row>
    <row r="823" spans="1:23" ht="21" customHeight="1">
      <c r="A823">
        <f>Table4[[#This Row],[Column1]]</f>
        <v>0</v>
      </c>
      <c r="B823">
        <f>Table4[[#This Row],[Column2]]</f>
        <v>0</v>
      </c>
      <c r="C823" s="81"/>
      <c r="D823" s="81"/>
      <c r="E823" s="81"/>
      <c r="F823" s="81"/>
      <c r="G823" s="81"/>
      <c r="H823" s="81"/>
      <c r="I823" s="81"/>
      <c r="J823" s="81"/>
      <c r="K823" s="81"/>
      <c r="L823" s="81"/>
      <c r="M823" s="81"/>
      <c r="N823" s="81"/>
      <c r="O823" s="81"/>
      <c r="P823" s="81"/>
      <c r="Q823" s="81"/>
      <c r="R823" s="81"/>
      <c r="S823" s="81"/>
      <c r="T823" s="81"/>
      <c r="U823" s="81"/>
      <c r="V823" s="94"/>
      <c r="W823" s="94"/>
    </row>
    <row r="824" spans="1:23" ht="21" customHeight="1">
      <c r="A824">
        <f>Table4[[#This Row],[Column1]]</f>
        <v>0</v>
      </c>
      <c r="B824">
        <f>Table4[[#This Row],[Column2]]</f>
        <v>0</v>
      </c>
      <c r="C824" s="81"/>
      <c r="D824" s="81"/>
      <c r="E824" s="81"/>
      <c r="F824" s="81"/>
      <c r="G824" s="81"/>
      <c r="H824" s="81"/>
      <c r="I824" s="81"/>
      <c r="J824" s="81"/>
      <c r="K824" s="81"/>
      <c r="L824" s="81"/>
      <c r="M824" s="81"/>
      <c r="N824" s="81"/>
      <c r="O824" s="81"/>
      <c r="P824" s="81"/>
      <c r="Q824" s="81"/>
      <c r="R824" s="81"/>
      <c r="S824" s="81"/>
      <c r="T824" s="81"/>
      <c r="U824" s="81"/>
      <c r="V824" s="94"/>
      <c r="W824" s="94"/>
    </row>
    <row r="825" spans="1:23" ht="21" customHeight="1">
      <c r="A825">
        <f>Table4[[#This Row],[Column1]]</f>
        <v>0</v>
      </c>
      <c r="B825">
        <f>Table4[[#This Row],[Column2]]</f>
        <v>0</v>
      </c>
      <c r="C825" s="81"/>
      <c r="D825" s="81"/>
      <c r="E825" s="81"/>
      <c r="F825" s="81"/>
      <c r="G825" s="81"/>
      <c r="H825" s="81"/>
      <c r="I825" s="81"/>
      <c r="J825" s="81"/>
      <c r="K825" s="81"/>
      <c r="L825" s="81"/>
      <c r="M825" s="81"/>
      <c r="N825" s="81"/>
      <c r="O825" s="81"/>
      <c r="P825" s="81"/>
      <c r="Q825" s="81"/>
      <c r="R825" s="81"/>
      <c r="S825" s="81"/>
      <c r="T825" s="81"/>
      <c r="U825" s="81"/>
      <c r="V825" s="94"/>
      <c r="W825" s="94"/>
    </row>
    <row r="826" spans="1:23" ht="21" customHeight="1">
      <c r="A826">
        <f>Table4[[#This Row],[Column1]]</f>
        <v>0</v>
      </c>
      <c r="B826">
        <f>Table4[[#This Row],[Column2]]</f>
        <v>0</v>
      </c>
      <c r="C826" s="81"/>
      <c r="D826" s="81"/>
      <c r="E826" s="81"/>
      <c r="F826" s="81"/>
      <c r="G826" s="81"/>
      <c r="H826" s="81"/>
      <c r="I826" s="81"/>
      <c r="J826" s="81"/>
      <c r="K826" s="81"/>
      <c r="L826" s="81"/>
      <c r="M826" s="81"/>
      <c r="N826" s="81"/>
      <c r="O826" s="81"/>
      <c r="P826" s="81"/>
      <c r="Q826" s="81"/>
      <c r="R826" s="81"/>
      <c r="S826" s="81"/>
      <c r="T826" s="81"/>
      <c r="U826" s="81"/>
      <c r="V826" s="94"/>
      <c r="W826" s="94"/>
    </row>
    <row r="827" spans="1:23" ht="21" customHeight="1">
      <c r="A827">
        <f>Table4[[#This Row],[Column1]]</f>
        <v>0</v>
      </c>
      <c r="B827">
        <f>Table4[[#This Row],[Column2]]</f>
        <v>0</v>
      </c>
      <c r="C827" s="81"/>
      <c r="D827" s="81"/>
      <c r="E827" s="81"/>
      <c r="F827" s="81"/>
      <c r="G827" s="81"/>
      <c r="H827" s="81"/>
      <c r="I827" s="81"/>
      <c r="J827" s="81"/>
      <c r="K827" s="81"/>
      <c r="L827" s="81"/>
      <c r="M827" s="81"/>
      <c r="N827" s="81"/>
      <c r="O827" s="81"/>
      <c r="P827" s="81"/>
      <c r="Q827" s="81"/>
      <c r="R827" s="81"/>
      <c r="S827" s="81"/>
      <c r="T827" s="81"/>
      <c r="U827" s="81"/>
      <c r="V827" s="94"/>
      <c r="W827" s="94"/>
    </row>
    <row r="828" spans="1:23" ht="21" customHeight="1">
      <c r="A828">
        <f>Table4[[#This Row],[Column1]]</f>
        <v>0</v>
      </c>
      <c r="B828">
        <f>Table4[[#This Row],[Column2]]</f>
        <v>0</v>
      </c>
      <c r="C828" s="81"/>
      <c r="D828" s="81"/>
      <c r="E828" s="81"/>
      <c r="F828" s="81"/>
      <c r="G828" s="81"/>
      <c r="H828" s="81"/>
      <c r="I828" s="81"/>
      <c r="J828" s="81"/>
      <c r="K828" s="81"/>
      <c r="L828" s="81"/>
      <c r="M828" s="81"/>
      <c r="N828" s="81"/>
      <c r="O828" s="81"/>
      <c r="P828" s="81"/>
      <c r="Q828" s="81"/>
      <c r="R828" s="81"/>
      <c r="S828" s="81"/>
      <c r="T828" s="81"/>
      <c r="U828" s="81"/>
      <c r="V828" s="94"/>
      <c r="W828" s="94"/>
    </row>
    <row r="829" spans="1:23" ht="21" customHeight="1">
      <c r="A829">
        <f>Table4[[#This Row],[Column1]]</f>
        <v>0</v>
      </c>
      <c r="B829">
        <f>Table4[[#This Row],[Column2]]</f>
        <v>0</v>
      </c>
      <c r="C829" s="81"/>
      <c r="D829" s="81"/>
      <c r="E829" s="81"/>
      <c r="F829" s="81"/>
      <c r="G829" s="81"/>
      <c r="H829" s="81"/>
      <c r="I829" s="81"/>
      <c r="J829" s="81"/>
      <c r="K829" s="81"/>
      <c r="L829" s="81"/>
      <c r="M829" s="81"/>
      <c r="N829" s="81"/>
      <c r="O829" s="81"/>
      <c r="P829" s="81"/>
      <c r="Q829" s="81"/>
      <c r="R829" s="81"/>
      <c r="S829" s="81"/>
      <c r="T829" s="81"/>
      <c r="U829" s="81"/>
      <c r="V829" s="94"/>
      <c r="W829" s="94"/>
    </row>
    <row r="830" spans="1:23" ht="21" customHeight="1">
      <c r="A830">
        <f>Table4[[#This Row],[Column1]]</f>
        <v>0</v>
      </c>
      <c r="B830">
        <f>Table4[[#This Row],[Column2]]</f>
        <v>0</v>
      </c>
      <c r="C830" s="81"/>
      <c r="D830" s="81"/>
      <c r="E830" s="81"/>
      <c r="F830" s="81"/>
      <c r="G830" s="81"/>
      <c r="H830" s="81"/>
      <c r="I830" s="81"/>
      <c r="J830" s="81"/>
      <c r="K830" s="81"/>
      <c r="L830" s="81"/>
      <c r="M830" s="81"/>
      <c r="N830" s="81"/>
      <c r="O830" s="81"/>
      <c r="P830" s="81"/>
      <c r="Q830" s="81"/>
      <c r="R830" s="81"/>
      <c r="S830" s="81"/>
      <c r="T830" s="81"/>
      <c r="U830" s="81"/>
      <c r="V830" s="94"/>
      <c r="W830" s="94"/>
    </row>
    <row r="831" spans="1:23" ht="21" customHeight="1">
      <c r="A831">
        <f>Table4[[#This Row],[Column1]]</f>
        <v>0</v>
      </c>
      <c r="B831">
        <f>Table4[[#This Row],[Column2]]</f>
        <v>0</v>
      </c>
      <c r="C831" s="81"/>
      <c r="D831" s="81"/>
      <c r="E831" s="81"/>
      <c r="F831" s="81"/>
      <c r="G831" s="81"/>
      <c r="H831" s="81"/>
      <c r="I831" s="81"/>
      <c r="J831" s="81"/>
      <c r="K831" s="81"/>
      <c r="L831" s="81"/>
      <c r="M831" s="81"/>
      <c r="N831" s="81"/>
      <c r="O831" s="81"/>
      <c r="P831" s="81"/>
      <c r="Q831" s="81"/>
      <c r="R831" s="81"/>
      <c r="S831" s="81"/>
      <c r="T831" s="81"/>
      <c r="U831" s="81"/>
      <c r="V831" s="94"/>
      <c r="W831" s="94"/>
    </row>
    <row r="832" spans="1:23" ht="21" customHeight="1">
      <c r="A832">
        <f>Table4[[#This Row],[Column1]]</f>
        <v>0</v>
      </c>
      <c r="B832">
        <f>Table4[[#This Row],[Column2]]</f>
        <v>0</v>
      </c>
      <c r="C832" s="81"/>
      <c r="D832" s="81"/>
      <c r="E832" s="81"/>
      <c r="F832" s="81"/>
      <c r="G832" s="81"/>
      <c r="H832" s="81"/>
      <c r="I832" s="81"/>
      <c r="J832" s="81"/>
      <c r="K832" s="81"/>
      <c r="L832" s="81"/>
      <c r="M832" s="81"/>
      <c r="N832" s="81"/>
      <c r="O832" s="81"/>
      <c r="P832" s="81"/>
      <c r="Q832" s="81"/>
      <c r="R832" s="81"/>
      <c r="S832" s="81"/>
      <c r="T832" s="81"/>
      <c r="U832" s="81"/>
      <c r="V832" s="94"/>
      <c r="W832" s="94"/>
    </row>
    <row r="833" spans="1:23" ht="21" customHeight="1">
      <c r="A833">
        <f>Table4[[#This Row],[Column1]]</f>
        <v>0</v>
      </c>
      <c r="B833">
        <f>Table4[[#This Row],[Column2]]</f>
        <v>0</v>
      </c>
      <c r="C833" s="81"/>
      <c r="D833" s="81"/>
      <c r="E833" s="81"/>
      <c r="F833" s="81"/>
      <c r="G833" s="81"/>
      <c r="H833" s="81"/>
      <c r="I833" s="81"/>
      <c r="J833" s="81"/>
      <c r="K833" s="81"/>
      <c r="L833" s="81"/>
      <c r="M833" s="81"/>
      <c r="N833" s="81"/>
      <c r="O833" s="81"/>
      <c r="P833" s="81"/>
      <c r="Q833" s="81"/>
      <c r="R833" s="81"/>
      <c r="S833" s="81"/>
      <c r="T833" s="81"/>
      <c r="U833" s="81"/>
      <c r="V833" s="94"/>
      <c r="W833" s="94"/>
    </row>
    <row r="834" spans="1:23" ht="21" customHeight="1">
      <c r="A834">
        <f>Table4[[#This Row],[Column1]]</f>
        <v>0</v>
      </c>
      <c r="B834">
        <f>Table4[[#This Row],[Column2]]</f>
        <v>0</v>
      </c>
      <c r="C834" s="81"/>
      <c r="D834" s="81"/>
      <c r="E834" s="81"/>
      <c r="F834" s="81"/>
      <c r="G834" s="81"/>
      <c r="H834" s="81"/>
      <c r="I834" s="81"/>
      <c r="J834" s="81"/>
      <c r="K834" s="81"/>
      <c r="L834" s="81"/>
      <c r="M834" s="81"/>
      <c r="N834" s="81"/>
      <c r="O834" s="81"/>
      <c r="P834" s="81"/>
      <c r="Q834" s="81"/>
      <c r="R834" s="81"/>
      <c r="S834" s="81"/>
      <c r="T834" s="81"/>
      <c r="U834" s="81"/>
      <c r="V834" s="94"/>
      <c r="W834" s="94"/>
    </row>
    <row r="835" spans="1:23" ht="21" customHeight="1">
      <c r="A835">
        <f>Table4[[#This Row],[Column1]]</f>
        <v>0</v>
      </c>
      <c r="B835">
        <f>Table4[[#This Row],[Column2]]</f>
        <v>0</v>
      </c>
      <c r="C835" s="81"/>
      <c r="D835" s="81"/>
      <c r="E835" s="81"/>
      <c r="F835" s="81"/>
      <c r="G835" s="81"/>
      <c r="H835" s="81"/>
      <c r="I835" s="81"/>
      <c r="J835" s="81"/>
      <c r="K835" s="81"/>
      <c r="L835" s="81"/>
      <c r="M835" s="81"/>
      <c r="N835" s="81"/>
      <c r="O835" s="81"/>
      <c r="P835" s="81"/>
      <c r="Q835" s="81"/>
      <c r="R835" s="81"/>
      <c r="S835" s="81"/>
      <c r="T835" s="81"/>
      <c r="U835" s="81"/>
      <c r="V835" s="94"/>
      <c r="W835" s="94"/>
    </row>
    <row r="836" spans="1:23" ht="21" customHeight="1">
      <c r="A836">
        <f>Table4[[#This Row],[Column1]]</f>
        <v>0</v>
      </c>
      <c r="B836">
        <f>Table4[[#This Row],[Column2]]</f>
        <v>0</v>
      </c>
      <c r="C836" s="81"/>
      <c r="D836" s="81"/>
      <c r="E836" s="81"/>
      <c r="F836" s="81"/>
      <c r="G836" s="81"/>
      <c r="H836" s="81"/>
      <c r="I836" s="81"/>
      <c r="J836" s="81"/>
      <c r="K836" s="81"/>
      <c r="L836" s="81"/>
      <c r="M836" s="81"/>
      <c r="N836" s="81"/>
      <c r="O836" s="81"/>
      <c r="P836" s="81"/>
      <c r="Q836" s="81"/>
      <c r="R836" s="81"/>
      <c r="S836" s="81"/>
      <c r="T836" s="81"/>
      <c r="U836" s="81"/>
      <c r="V836" s="94"/>
      <c r="W836" s="94"/>
    </row>
    <row r="837" spans="1:23" ht="21" customHeight="1">
      <c r="A837">
        <f>Table4[[#This Row],[Column1]]</f>
        <v>0</v>
      </c>
      <c r="B837">
        <f>Table4[[#This Row],[Column2]]</f>
        <v>0</v>
      </c>
      <c r="C837" s="81"/>
      <c r="D837" s="81"/>
      <c r="E837" s="81"/>
      <c r="F837" s="81"/>
      <c r="G837" s="81"/>
      <c r="H837" s="81"/>
      <c r="I837" s="81"/>
      <c r="J837" s="81"/>
      <c r="K837" s="81"/>
      <c r="L837" s="81"/>
      <c r="M837" s="81"/>
      <c r="N837" s="81"/>
      <c r="O837" s="81"/>
      <c r="P837" s="81"/>
      <c r="Q837" s="81"/>
      <c r="R837" s="81"/>
      <c r="S837" s="81"/>
      <c r="T837" s="81"/>
      <c r="U837" s="81"/>
      <c r="V837" s="94"/>
      <c r="W837" s="94"/>
    </row>
    <row r="838" spans="1:23" ht="21" customHeight="1">
      <c r="A838">
        <f>Table4[[#This Row],[Column1]]</f>
        <v>0</v>
      </c>
      <c r="B838">
        <f>Table4[[#This Row],[Column2]]</f>
        <v>0</v>
      </c>
      <c r="C838" s="81"/>
      <c r="D838" s="81"/>
      <c r="E838" s="81"/>
      <c r="F838" s="81"/>
      <c r="G838" s="81"/>
      <c r="H838" s="81"/>
      <c r="I838" s="81"/>
      <c r="J838" s="81"/>
      <c r="K838" s="81"/>
      <c r="L838" s="81"/>
      <c r="M838" s="81"/>
      <c r="N838" s="81"/>
      <c r="O838" s="81"/>
      <c r="P838" s="81"/>
      <c r="Q838" s="81"/>
      <c r="R838" s="81"/>
      <c r="S838" s="81"/>
      <c r="T838" s="81"/>
      <c r="U838" s="81"/>
      <c r="V838" s="94"/>
      <c r="W838" s="94"/>
    </row>
    <row r="839" spans="1:23" ht="21" customHeight="1">
      <c r="A839">
        <f>Table4[[#This Row],[Column1]]</f>
        <v>0</v>
      </c>
      <c r="B839">
        <f>Table4[[#This Row],[Column2]]</f>
        <v>0</v>
      </c>
      <c r="C839" s="81"/>
      <c r="D839" s="81"/>
      <c r="E839" s="81"/>
      <c r="F839" s="81"/>
      <c r="G839" s="81"/>
      <c r="H839" s="81"/>
      <c r="I839" s="81"/>
      <c r="J839" s="81"/>
      <c r="K839" s="81"/>
      <c r="L839" s="81"/>
      <c r="M839" s="81"/>
      <c r="N839" s="81"/>
      <c r="O839" s="81"/>
      <c r="P839" s="81"/>
      <c r="Q839" s="81"/>
      <c r="R839" s="81"/>
      <c r="S839" s="81"/>
      <c r="T839" s="81"/>
      <c r="U839" s="81"/>
      <c r="V839" s="94"/>
      <c r="W839" s="94"/>
    </row>
    <row r="840" spans="1:23" ht="21" customHeight="1">
      <c r="A840">
        <f>Table4[[#This Row],[Column1]]</f>
        <v>0</v>
      </c>
      <c r="B840">
        <f>Table4[[#This Row],[Column2]]</f>
        <v>0</v>
      </c>
      <c r="C840" s="81"/>
      <c r="D840" s="81"/>
      <c r="E840" s="81"/>
      <c r="F840" s="81"/>
      <c r="G840" s="81"/>
      <c r="H840" s="81"/>
      <c r="I840" s="81"/>
      <c r="J840" s="81"/>
      <c r="K840" s="81"/>
      <c r="L840" s="81"/>
      <c r="M840" s="81"/>
      <c r="N840" s="81"/>
      <c r="O840" s="81"/>
      <c r="P840" s="81"/>
      <c r="Q840" s="81"/>
      <c r="R840" s="81"/>
      <c r="S840" s="81"/>
      <c r="T840" s="81"/>
      <c r="U840" s="81"/>
      <c r="V840" s="94"/>
      <c r="W840" s="94"/>
    </row>
    <row r="841" spans="1:23" ht="21" customHeight="1">
      <c r="A841">
        <f>Table4[[#This Row],[Column1]]</f>
        <v>0</v>
      </c>
      <c r="B841">
        <f>Table4[[#This Row],[Column2]]</f>
        <v>0</v>
      </c>
      <c r="C841" s="81"/>
      <c r="D841" s="81"/>
      <c r="E841" s="81"/>
      <c r="F841" s="81"/>
      <c r="G841" s="81"/>
      <c r="H841" s="81"/>
      <c r="I841" s="81"/>
      <c r="J841" s="81"/>
      <c r="K841" s="81"/>
      <c r="L841" s="81"/>
      <c r="M841" s="81"/>
      <c r="N841" s="81"/>
      <c r="O841" s="81"/>
      <c r="P841" s="81"/>
      <c r="Q841" s="81"/>
      <c r="R841" s="81"/>
      <c r="S841" s="81"/>
      <c r="T841" s="81"/>
      <c r="U841" s="81"/>
      <c r="V841" s="94"/>
      <c r="W841" s="94"/>
    </row>
    <row r="842" spans="1:23" ht="21" customHeight="1">
      <c r="A842">
        <f>Table4[[#This Row],[Column1]]</f>
        <v>0</v>
      </c>
      <c r="B842">
        <f>Table4[[#This Row],[Column2]]</f>
        <v>0</v>
      </c>
      <c r="C842" s="81"/>
      <c r="D842" s="81"/>
      <c r="E842" s="81"/>
      <c r="F842" s="81"/>
      <c r="G842" s="81"/>
      <c r="H842" s="81"/>
      <c r="I842" s="81"/>
      <c r="J842" s="81"/>
      <c r="K842" s="81"/>
      <c r="L842" s="81"/>
      <c r="M842" s="81"/>
      <c r="N842" s="81"/>
      <c r="O842" s="81"/>
      <c r="P842" s="81"/>
      <c r="Q842" s="81"/>
      <c r="R842" s="81"/>
      <c r="S842" s="81"/>
      <c r="T842" s="81"/>
      <c r="U842" s="81"/>
      <c r="V842" s="94"/>
      <c r="W842" s="94"/>
    </row>
    <row r="843" spans="1:23" ht="21" customHeight="1">
      <c r="A843">
        <f>Table4[[#This Row],[Column1]]</f>
        <v>0</v>
      </c>
      <c r="B843">
        <f>Table4[[#This Row],[Column2]]</f>
        <v>0</v>
      </c>
      <c r="C843" s="81"/>
      <c r="D843" s="81"/>
      <c r="E843" s="81"/>
      <c r="F843" s="81"/>
      <c r="G843" s="81"/>
      <c r="H843" s="81"/>
      <c r="I843" s="81"/>
      <c r="J843" s="81"/>
      <c r="K843" s="81"/>
      <c r="L843" s="81"/>
      <c r="M843" s="81"/>
      <c r="N843" s="81"/>
      <c r="O843" s="81"/>
      <c r="P843" s="81"/>
      <c r="Q843" s="81"/>
      <c r="R843" s="81"/>
      <c r="S843" s="81"/>
      <c r="T843" s="81"/>
      <c r="U843" s="81"/>
      <c r="V843" s="94"/>
      <c r="W843" s="94"/>
    </row>
    <row r="844" spans="1:23" ht="21" customHeight="1">
      <c r="A844">
        <f>Table4[[#This Row],[Column1]]</f>
        <v>0</v>
      </c>
      <c r="B844">
        <f>Table4[[#This Row],[Column2]]</f>
        <v>0</v>
      </c>
      <c r="C844" s="81"/>
      <c r="D844" s="81"/>
      <c r="E844" s="81"/>
      <c r="F844" s="81"/>
      <c r="G844" s="81"/>
      <c r="H844" s="81"/>
      <c r="I844" s="81"/>
      <c r="J844" s="81"/>
      <c r="K844" s="81"/>
      <c r="L844" s="81"/>
      <c r="M844" s="81"/>
      <c r="N844" s="81"/>
      <c r="O844" s="81"/>
      <c r="P844" s="81"/>
      <c r="Q844" s="81"/>
      <c r="R844" s="81"/>
      <c r="S844" s="81"/>
      <c r="T844" s="81"/>
      <c r="U844" s="81"/>
      <c r="V844" s="94"/>
      <c r="W844" s="94"/>
    </row>
    <row r="845" spans="1:23" ht="21" customHeight="1">
      <c r="A845">
        <f>Table4[[#This Row],[Column1]]</f>
        <v>0</v>
      </c>
      <c r="B845">
        <f>Table4[[#This Row],[Column2]]</f>
        <v>0</v>
      </c>
      <c r="C845" s="81"/>
      <c r="D845" s="81"/>
      <c r="E845" s="81"/>
      <c r="F845" s="81"/>
      <c r="G845" s="81"/>
      <c r="H845" s="81"/>
      <c r="I845" s="81"/>
      <c r="J845" s="81"/>
      <c r="K845" s="81"/>
      <c r="L845" s="81"/>
      <c r="M845" s="81"/>
      <c r="N845" s="81"/>
      <c r="O845" s="81"/>
      <c r="P845" s="81"/>
      <c r="Q845" s="81"/>
      <c r="R845" s="81"/>
      <c r="S845" s="81"/>
      <c r="T845" s="81"/>
      <c r="U845" s="81"/>
      <c r="V845" s="94"/>
      <c r="W845" s="94"/>
    </row>
    <row r="846" spans="1:23" ht="21" customHeight="1">
      <c r="A846">
        <f>Table4[[#This Row],[Column1]]</f>
        <v>0</v>
      </c>
      <c r="B846">
        <f>Table4[[#This Row],[Column2]]</f>
        <v>0</v>
      </c>
      <c r="C846" s="81"/>
      <c r="D846" s="81"/>
      <c r="E846" s="81"/>
      <c r="F846" s="81"/>
      <c r="G846" s="81"/>
      <c r="H846" s="81"/>
      <c r="I846" s="81"/>
      <c r="J846" s="81"/>
      <c r="K846" s="81"/>
      <c r="L846" s="81"/>
      <c r="M846" s="81"/>
      <c r="N846" s="81"/>
      <c r="O846" s="81"/>
      <c r="P846" s="81"/>
      <c r="Q846" s="81"/>
      <c r="R846" s="81"/>
      <c r="S846" s="81"/>
      <c r="T846" s="81"/>
      <c r="U846" s="81"/>
      <c r="V846" s="94"/>
      <c r="W846" s="94"/>
    </row>
    <row r="847" spans="1:23" ht="21" customHeight="1">
      <c r="A847">
        <f>Table4[[#This Row],[Column1]]</f>
        <v>0</v>
      </c>
      <c r="B847">
        <f>Table4[[#This Row],[Column2]]</f>
        <v>0</v>
      </c>
      <c r="C847" s="81"/>
      <c r="D847" s="81"/>
      <c r="E847" s="81"/>
      <c r="F847" s="81"/>
      <c r="G847" s="81"/>
      <c r="H847" s="81"/>
      <c r="I847" s="81"/>
      <c r="J847" s="81"/>
      <c r="K847" s="81"/>
      <c r="L847" s="81"/>
      <c r="M847" s="81"/>
      <c r="N847" s="81"/>
      <c r="O847" s="81"/>
      <c r="P847" s="81"/>
      <c r="Q847" s="81"/>
      <c r="R847" s="81"/>
      <c r="S847" s="81"/>
      <c r="T847" s="81"/>
      <c r="U847" s="81"/>
      <c r="V847" s="94"/>
      <c r="W847" s="94"/>
    </row>
    <row r="848" spans="1:23" ht="21" customHeight="1">
      <c r="A848">
        <f>Table4[[#This Row],[Column1]]</f>
        <v>0</v>
      </c>
      <c r="B848">
        <f>Table4[[#This Row],[Column2]]</f>
        <v>0</v>
      </c>
      <c r="C848" s="81"/>
      <c r="D848" s="81"/>
      <c r="E848" s="81"/>
      <c r="F848" s="81"/>
      <c r="G848" s="81"/>
      <c r="H848" s="81"/>
      <c r="I848" s="81"/>
      <c r="J848" s="81"/>
      <c r="K848" s="81"/>
      <c r="L848" s="81"/>
      <c r="M848" s="81"/>
      <c r="N848" s="81"/>
      <c r="O848" s="81"/>
      <c r="P848" s="81"/>
      <c r="Q848" s="81"/>
      <c r="R848" s="81"/>
      <c r="S848" s="81"/>
      <c r="T848" s="81"/>
      <c r="U848" s="81"/>
      <c r="V848" s="94"/>
      <c r="W848" s="94"/>
    </row>
    <row r="849" spans="1:23" ht="21" customHeight="1">
      <c r="A849">
        <f>Table4[[#This Row],[Column1]]</f>
        <v>0</v>
      </c>
      <c r="B849">
        <f>Table4[[#This Row],[Column2]]</f>
        <v>0</v>
      </c>
      <c r="C849" s="81"/>
      <c r="D849" s="81"/>
      <c r="E849" s="81"/>
      <c r="F849" s="81"/>
      <c r="G849" s="81"/>
      <c r="H849" s="81"/>
      <c r="I849" s="81"/>
      <c r="J849" s="81"/>
      <c r="K849" s="81"/>
      <c r="L849" s="81"/>
      <c r="M849" s="81"/>
      <c r="N849" s="81"/>
      <c r="O849" s="81"/>
      <c r="P849" s="81"/>
      <c r="Q849" s="81"/>
      <c r="R849" s="81"/>
      <c r="S849" s="81"/>
      <c r="T849" s="81"/>
      <c r="U849" s="81"/>
      <c r="V849" s="94"/>
      <c r="W849" s="94"/>
    </row>
    <row r="850" spans="1:23" ht="21" customHeight="1">
      <c r="A850">
        <f>Table4[[#This Row],[Column1]]</f>
        <v>0</v>
      </c>
      <c r="B850">
        <f>Table4[[#This Row],[Column2]]</f>
        <v>0</v>
      </c>
      <c r="C850" s="81"/>
      <c r="D850" s="81"/>
      <c r="E850" s="81"/>
      <c r="F850" s="81"/>
      <c r="G850" s="81"/>
      <c r="H850" s="81"/>
      <c r="I850" s="81"/>
      <c r="J850" s="81"/>
      <c r="K850" s="81"/>
      <c r="L850" s="81"/>
      <c r="M850" s="81"/>
      <c r="N850" s="81"/>
      <c r="O850" s="81"/>
      <c r="P850" s="81"/>
      <c r="Q850" s="81"/>
      <c r="R850" s="81"/>
      <c r="S850" s="81"/>
      <c r="T850" s="81"/>
      <c r="U850" s="81"/>
      <c r="V850" s="94"/>
      <c r="W850" s="94"/>
    </row>
    <row r="851" spans="1:23" ht="21" customHeight="1">
      <c r="A851">
        <f>Table4[[#This Row],[Column1]]</f>
        <v>0</v>
      </c>
      <c r="B851">
        <f>Table4[[#This Row],[Column2]]</f>
        <v>0</v>
      </c>
      <c r="C851" s="81"/>
      <c r="D851" s="81"/>
      <c r="E851" s="81"/>
      <c r="F851" s="81"/>
      <c r="G851" s="81"/>
      <c r="H851" s="81"/>
      <c r="I851" s="81"/>
      <c r="J851" s="81"/>
      <c r="K851" s="81"/>
      <c r="L851" s="81"/>
      <c r="M851" s="81"/>
      <c r="N851" s="81"/>
      <c r="O851" s="81"/>
      <c r="P851" s="81"/>
      <c r="Q851" s="81"/>
      <c r="R851" s="81"/>
      <c r="S851" s="81"/>
      <c r="T851" s="81"/>
      <c r="U851" s="81"/>
      <c r="V851" s="94"/>
      <c r="W851" s="94"/>
    </row>
    <row r="852" spans="1:23" ht="21" customHeight="1">
      <c r="A852">
        <f>Table4[[#This Row],[Column1]]</f>
        <v>0</v>
      </c>
      <c r="B852">
        <f>Table4[[#This Row],[Column2]]</f>
        <v>0</v>
      </c>
      <c r="C852" s="81"/>
      <c r="D852" s="81"/>
      <c r="E852" s="81"/>
      <c r="F852" s="81"/>
      <c r="G852" s="81"/>
      <c r="H852" s="81"/>
      <c r="I852" s="81"/>
      <c r="J852" s="81"/>
      <c r="K852" s="81"/>
      <c r="L852" s="81"/>
      <c r="M852" s="81"/>
      <c r="N852" s="81"/>
      <c r="O852" s="81"/>
      <c r="P852" s="81"/>
      <c r="Q852" s="81"/>
      <c r="R852" s="81"/>
      <c r="S852" s="81"/>
      <c r="T852" s="81"/>
      <c r="U852" s="81"/>
      <c r="V852" s="94"/>
      <c r="W852" s="94"/>
    </row>
    <row r="853" spans="1:23" ht="21" customHeight="1">
      <c r="A853">
        <f>Table4[[#This Row],[Column1]]</f>
        <v>0</v>
      </c>
      <c r="B853">
        <f>Table4[[#This Row],[Column2]]</f>
        <v>0</v>
      </c>
      <c r="C853" s="81"/>
      <c r="D853" s="81"/>
      <c r="E853" s="81"/>
      <c r="F853" s="81"/>
      <c r="G853" s="81"/>
      <c r="H853" s="81"/>
      <c r="I853" s="81"/>
      <c r="J853" s="81"/>
      <c r="K853" s="81"/>
      <c r="L853" s="81"/>
      <c r="M853" s="81"/>
      <c r="N853" s="81"/>
      <c r="O853" s="81"/>
      <c r="P853" s="81"/>
      <c r="Q853" s="81"/>
      <c r="R853" s="81"/>
      <c r="S853" s="81"/>
      <c r="T853" s="81"/>
      <c r="U853" s="81"/>
      <c r="V853" s="94"/>
      <c r="W853" s="94"/>
    </row>
    <row r="854" spans="1:23" ht="21" customHeight="1">
      <c r="A854">
        <f>Table4[[#This Row],[Column1]]</f>
        <v>0</v>
      </c>
      <c r="B854">
        <f>Table4[[#This Row],[Column2]]</f>
        <v>0</v>
      </c>
      <c r="C854" s="81"/>
      <c r="D854" s="81"/>
      <c r="E854" s="81"/>
      <c r="F854" s="81"/>
      <c r="G854" s="81"/>
      <c r="H854" s="81"/>
      <c r="I854" s="81"/>
      <c r="J854" s="81"/>
      <c r="K854" s="81"/>
      <c r="L854" s="81"/>
      <c r="M854" s="81"/>
      <c r="N854" s="81"/>
      <c r="O854" s="81"/>
      <c r="P854" s="81"/>
      <c r="Q854" s="81"/>
      <c r="R854" s="81"/>
      <c r="S854" s="81"/>
      <c r="T854" s="81"/>
      <c r="U854" s="81"/>
      <c r="V854" s="94"/>
      <c r="W854" s="94"/>
    </row>
    <row r="855" spans="1:23" ht="21" customHeight="1">
      <c r="A855">
        <f>Table4[[#This Row],[Column1]]</f>
        <v>0</v>
      </c>
      <c r="B855">
        <f>Table4[[#This Row],[Column2]]</f>
        <v>0</v>
      </c>
      <c r="C855" s="81"/>
      <c r="D855" s="81"/>
      <c r="E855" s="81"/>
      <c r="F855" s="81"/>
      <c r="G855" s="81"/>
      <c r="H855" s="81"/>
      <c r="I855" s="81"/>
      <c r="J855" s="81"/>
      <c r="K855" s="81"/>
      <c r="L855" s="81"/>
      <c r="M855" s="81"/>
      <c r="N855" s="81"/>
      <c r="O855" s="81"/>
      <c r="P855" s="81"/>
      <c r="Q855" s="81"/>
      <c r="R855" s="81"/>
      <c r="S855" s="81"/>
      <c r="T855" s="81"/>
      <c r="U855" s="81"/>
      <c r="V855" s="94"/>
      <c r="W855" s="94"/>
    </row>
    <row r="856" spans="1:23" ht="21" customHeight="1">
      <c r="A856">
        <f>Table4[[#This Row],[Column1]]</f>
        <v>0</v>
      </c>
      <c r="B856">
        <f>Table4[[#This Row],[Column2]]</f>
        <v>0</v>
      </c>
      <c r="C856" s="81"/>
      <c r="D856" s="81"/>
      <c r="E856" s="81"/>
      <c r="F856" s="81"/>
      <c r="G856" s="81"/>
      <c r="H856" s="81"/>
      <c r="I856" s="81"/>
      <c r="J856" s="81"/>
      <c r="K856" s="81"/>
      <c r="L856" s="81"/>
      <c r="M856" s="81"/>
      <c r="N856" s="81"/>
      <c r="O856" s="81"/>
      <c r="P856" s="81"/>
      <c r="Q856" s="81"/>
      <c r="R856" s="81"/>
      <c r="S856" s="81"/>
      <c r="T856" s="81"/>
      <c r="U856" s="81"/>
      <c r="V856" s="94"/>
      <c r="W856" s="94"/>
    </row>
    <row r="857" spans="1:23" ht="21" customHeight="1">
      <c r="A857">
        <f>Table4[[#This Row],[Column1]]</f>
        <v>0</v>
      </c>
      <c r="B857">
        <f>Table4[[#This Row],[Column2]]</f>
        <v>0</v>
      </c>
      <c r="C857" s="81"/>
      <c r="D857" s="81"/>
      <c r="E857" s="81"/>
      <c r="F857" s="81"/>
      <c r="G857" s="81"/>
      <c r="H857" s="81"/>
      <c r="I857" s="81"/>
      <c r="J857" s="81"/>
      <c r="K857" s="81"/>
      <c r="L857" s="81"/>
      <c r="M857" s="81"/>
      <c r="N857" s="81"/>
      <c r="O857" s="81"/>
      <c r="P857" s="81"/>
      <c r="Q857" s="81"/>
      <c r="R857" s="81"/>
      <c r="S857" s="81"/>
      <c r="T857" s="81"/>
      <c r="U857" s="81"/>
      <c r="V857" s="94"/>
      <c r="W857" s="94"/>
    </row>
    <row r="858" spans="1:23" ht="21" customHeight="1">
      <c r="A858">
        <f>Table4[[#This Row],[Column1]]</f>
        <v>0</v>
      </c>
      <c r="B858">
        <f>Table4[[#This Row],[Column2]]</f>
        <v>0</v>
      </c>
      <c r="C858" s="81"/>
      <c r="D858" s="81"/>
      <c r="E858" s="81"/>
      <c r="F858" s="81"/>
      <c r="G858" s="81"/>
      <c r="H858" s="81"/>
      <c r="I858" s="81"/>
      <c r="J858" s="81"/>
      <c r="K858" s="81"/>
      <c r="L858" s="81"/>
      <c r="M858" s="81"/>
      <c r="N858" s="81"/>
      <c r="O858" s="81"/>
      <c r="P858" s="81"/>
      <c r="Q858" s="81"/>
      <c r="R858" s="81"/>
      <c r="S858" s="81"/>
      <c r="T858" s="81"/>
      <c r="U858" s="81"/>
      <c r="V858" s="94"/>
      <c r="W858" s="94"/>
    </row>
    <row r="859" spans="1:23" ht="21" customHeight="1">
      <c r="A859">
        <f>Table4[[#This Row],[Column1]]</f>
        <v>0</v>
      </c>
      <c r="B859">
        <f>Table4[[#This Row],[Column2]]</f>
        <v>0</v>
      </c>
      <c r="C859" s="81"/>
      <c r="D859" s="81"/>
      <c r="E859" s="81"/>
      <c r="F859" s="81"/>
      <c r="G859" s="81"/>
      <c r="H859" s="81"/>
      <c r="I859" s="81"/>
      <c r="J859" s="81"/>
      <c r="K859" s="81"/>
      <c r="L859" s="81"/>
      <c r="M859" s="81"/>
      <c r="N859" s="81"/>
      <c r="O859" s="81"/>
      <c r="P859" s="81"/>
      <c r="Q859" s="81"/>
      <c r="R859" s="81"/>
      <c r="S859" s="81"/>
      <c r="T859" s="81"/>
      <c r="U859" s="81"/>
      <c r="V859" s="94"/>
      <c r="W859" s="94"/>
    </row>
    <row r="860" spans="1:23" ht="21" customHeight="1">
      <c r="A860">
        <f>Table4[[#This Row],[Column1]]</f>
        <v>0</v>
      </c>
      <c r="B860">
        <f>Table4[[#This Row],[Column2]]</f>
        <v>0</v>
      </c>
      <c r="C860" s="81"/>
      <c r="D860" s="81"/>
      <c r="E860" s="81"/>
      <c r="F860" s="81"/>
      <c r="G860" s="81"/>
      <c r="H860" s="81"/>
      <c r="I860" s="81"/>
      <c r="J860" s="81"/>
      <c r="K860" s="81"/>
      <c r="L860" s="81"/>
      <c r="M860" s="81"/>
      <c r="N860" s="81"/>
      <c r="O860" s="81"/>
      <c r="P860" s="81"/>
      <c r="Q860" s="81"/>
      <c r="R860" s="81"/>
      <c r="S860" s="81"/>
      <c r="T860" s="81"/>
      <c r="U860" s="81"/>
      <c r="V860" s="94"/>
      <c r="W860" s="94"/>
    </row>
    <row r="861" spans="1:23" ht="21" customHeight="1">
      <c r="A861">
        <f>Table4[[#This Row],[Column1]]</f>
        <v>0</v>
      </c>
      <c r="B861">
        <f>Table4[[#This Row],[Column2]]</f>
        <v>0</v>
      </c>
      <c r="C861" s="81"/>
      <c r="D861" s="81"/>
      <c r="E861" s="81"/>
      <c r="F861" s="81"/>
      <c r="G861" s="81"/>
      <c r="H861" s="81"/>
      <c r="I861" s="81"/>
      <c r="J861" s="81"/>
      <c r="K861" s="81"/>
      <c r="L861" s="81"/>
      <c r="M861" s="81"/>
      <c r="N861" s="81"/>
      <c r="O861" s="81"/>
      <c r="P861" s="81"/>
      <c r="Q861" s="81"/>
      <c r="R861" s="81"/>
      <c r="S861" s="81"/>
      <c r="T861" s="81"/>
      <c r="U861" s="81"/>
      <c r="V861" s="94"/>
      <c r="W861" s="94"/>
    </row>
    <row r="862" spans="1:23" ht="21" customHeight="1">
      <c r="A862">
        <f>Table4[[#This Row],[Column1]]</f>
        <v>0</v>
      </c>
      <c r="B862">
        <f>Table4[[#This Row],[Column2]]</f>
        <v>0</v>
      </c>
      <c r="C862" s="81"/>
      <c r="D862" s="81"/>
      <c r="E862" s="81"/>
      <c r="F862" s="81"/>
      <c r="G862" s="81"/>
      <c r="H862" s="81"/>
      <c r="I862" s="81"/>
      <c r="J862" s="81"/>
      <c r="K862" s="81"/>
      <c r="L862" s="81"/>
      <c r="M862" s="81"/>
      <c r="N862" s="81"/>
      <c r="O862" s="81"/>
      <c r="P862" s="81"/>
      <c r="Q862" s="81"/>
      <c r="R862" s="81"/>
      <c r="S862" s="81"/>
      <c r="T862" s="81"/>
      <c r="U862" s="81"/>
      <c r="V862" s="94"/>
      <c r="W862" s="94"/>
    </row>
    <row r="863" spans="1:23" ht="21" customHeight="1">
      <c r="A863">
        <f>Table4[[#This Row],[Column1]]</f>
        <v>0</v>
      </c>
      <c r="B863">
        <f>Table4[[#This Row],[Column2]]</f>
        <v>0</v>
      </c>
      <c r="C863" s="81"/>
      <c r="D863" s="81"/>
      <c r="E863" s="81"/>
      <c r="F863" s="81"/>
      <c r="G863" s="81"/>
      <c r="H863" s="81"/>
      <c r="I863" s="81"/>
      <c r="J863" s="81"/>
      <c r="K863" s="81"/>
      <c r="L863" s="81"/>
      <c r="M863" s="81"/>
      <c r="N863" s="81"/>
      <c r="O863" s="81"/>
      <c r="P863" s="81"/>
      <c r="Q863" s="81"/>
      <c r="R863" s="81"/>
      <c r="S863" s="81"/>
      <c r="T863" s="81"/>
      <c r="U863" s="81"/>
      <c r="V863" s="94"/>
      <c r="W863" s="94"/>
    </row>
    <row r="864" spans="1:23" ht="21" customHeight="1">
      <c r="A864">
        <f>Table4[[#This Row],[Column1]]</f>
        <v>0</v>
      </c>
      <c r="B864">
        <f>Table4[[#This Row],[Column2]]</f>
        <v>0</v>
      </c>
      <c r="C864" s="81"/>
      <c r="D864" s="81"/>
      <c r="E864" s="81"/>
      <c r="F864" s="81"/>
      <c r="G864" s="81"/>
      <c r="H864" s="81"/>
      <c r="I864" s="81"/>
      <c r="J864" s="81"/>
      <c r="K864" s="81"/>
      <c r="L864" s="81"/>
      <c r="M864" s="81"/>
      <c r="N864" s="81"/>
      <c r="O864" s="81"/>
      <c r="P864" s="81"/>
      <c r="Q864" s="81"/>
      <c r="R864" s="81"/>
      <c r="S864" s="81"/>
      <c r="T864" s="81"/>
      <c r="U864" s="81"/>
      <c r="V864" s="94"/>
      <c r="W864" s="94"/>
    </row>
    <row r="865" spans="1:23" ht="21" customHeight="1">
      <c r="A865">
        <f>Table4[[#This Row],[Column1]]</f>
        <v>0</v>
      </c>
      <c r="B865">
        <f>Table4[[#This Row],[Column2]]</f>
        <v>0</v>
      </c>
      <c r="C865" s="81"/>
      <c r="D865" s="81"/>
      <c r="E865" s="81"/>
      <c r="F865" s="81"/>
      <c r="G865" s="81"/>
      <c r="H865" s="81"/>
      <c r="I865" s="81"/>
      <c r="J865" s="81"/>
      <c r="K865" s="81"/>
      <c r="L865" s="81"/>
      <c r="M865" s="81"/>
      <c r="N865" s="81"/>
      <c r="O865" s="81"/>
      <c r="P865" s="81"/>
      <c r="Q865" s="81"/>
      <c r="R865" s="81"/>
      <c r="S865" s="81"/>
      <c r="T865" s="81"/>
      <c r="U865" s="81"/>
      <c r="V865" s="94"/>
      <c r="W865" s="94"/>
    </row>
    <row r="866" spans="1:23" ht="21" customHeight="1">
      <c r="A866">
        <f>Table4[[#This Row],[Column1]]</f>
        <v>0</v>
      </c>
      <c r="B866">
        <f>Table4[[#This Row],[Column2]]</f>
        <v>0</v>
      </c>
      <c r="C866" s="81"/>
      <c r="D866" s="81"/>
      <c r="E866" s="81"/>
      <c r="F866" s="81"/>
      <c r="G866" s="81"/>
      <c r="H866" s="81"/>
      <c r="I866" s="81"/>
      <c r="J866" s="81"/>
      <c r="K866" s="81"/>
      <c r="L866" s="81"/>
      <c r="M866" s="81"/>
      <c r="N866" s="81"/>
      <c r="O866" s="81"/>
      <c r="P866" s="81"/>
      <c r="Q866" s="81"/>
      <c r="R866" s="81"/>
      <c r="S866" s="81"/>
      <c r="T866" s="81"/>
      <c r="U866" s="81"/>
      <c r="V866" s="94"/>
      <c r="W866" s="94"/>
    </row>
    <row r="867" spans="1:23" ht="21" customHeight="1">
      <c r="A867">
        <f>Table4[[#This Row],[Column1]]</f>
        <v>0</v>
      </c>
      <c r="B867">
        <f>Table4[[#This Row],[Column2]]</f>
        <v>0</v>
      </c>
      <c r="C867" s="81"/>
      <c r="D867" s="81"/>
      <c r="E867" s="81"/>
      <c r="F867" s="81"/>
      <c r="G867" s="81"/>
      <c r="H867" s="81"/>
      <c r="I867" s="81"/>
      <c r="J867" s="81"/>
      <c r="K867" s="81"/>
      <c r="L867" s="81"/>
      <c r="M867" s="81"/>
      <c r="N867" s="81"/>
      <c r="O867" s="81"/>
      <c r="P867" s="81"/>
      <c r="Q867" s="81"/>
      <c r="R867" s="81"/>
      <c r="S867" s="81"/>
      <c r="T867" s="81"/>
      <c r="U867" s="81"/>
      <c r="V867" s="94"/>
      <c r="W867" s="94"/>
    </row>
    <row r="868" spans="1:23" ht="21" customHeight="1">
      <c r="A868">
        <f>Table4[[#This Row],[Column1]]</f>
        <v>0</v>
      </c>
      <c r="B868">
        <f>Table4[[#This Row],[Column2]]</f>
        <v>0</v>
      </c>
      <c r="C868" s="81"/>
      <c r="D868" s="81"/>
      <c r="E868" s="81"/>
      <c r="F868" s="81"/>
      <c r="G868" s="81"/>
      <c r="H868" s="81"/>
      <c r="I868" s="81"/>
      <c r="J868" s="81"/>
      <c r="K868" s="81"/>
      <c r="L868" s="81"/>
      <c r="M868" s="81"/>
      <c r="N868" s="81"/>
      <c r="O868" s="81"/>
      <c r="P868" s="81"/>
      <c r="Q868" s="81"/>
      <c r="R868" s="81"/>
      <c r="S868" s="81"/>
      <c r="T868" s="81"/>
      <c r="U868" s="81"/>
      <c r="V868" s="94"/>
      <c r="W868" s="94"/>
    </row>
    <row r="869" spans="1:23" ht="21" customHeight="1">
      <c r="A869">
        <f>Table4[[#This Row],[Column1]]</f>
        <v>0</v>
      </c>
      <c r="B869">
        <f>Table4[[#This Row],[Column2]]</f>
        <v>0</v>
      </c>
      <c r="C869" s="81"/>
      <c r="D869" s="81"/>
      <c r="E869" s="81"/>
      <c r="F869" s="81"/>
      <c r="G869" s="81"/>
      <c r="H869" s="81"/>
      <c r="I869" s="81"/>
      <c r="J869" s="81"/>
      <c r="K869" s="81"/>
      <c r="L869" s="81"/>
      <c r="M869" s="81"/>
      <c r="N869" s="81"/>
      <c r="O869" s="81"/>
      <c r="P869" s="81"/>
      <c r="Q869" s="81"/>
      <c r="R869" s="81"/>
      <c r="S869" s="81"/>
      <c r="T869" s="81"/>
      <c r="U869" s="81"/>
      <c r="V869" s="94"/>
      <c r="W869" s="94"/>
    </row>
    <row r="870" spans="1:23" ht="21" customHeight="1">
      <c r="A870">
        <f>Table4[[#This Row],[Column1]]</f>
        <v>0</v>
      </c>
      <c r="B870">
        <f>Table4[[#This Row],[Column2]]</f>
        <v>0</v>
      </c>
      <c r="C870" s="81"/>
      <c r="D870" s="81"/>
      <c r="E870" s="81"/>
      <c r="F870" s="81"/>
      <c r="G870" s="81"/>
      <c r="H870" s="81"/>
      <c r="I870" s="81"/>
      <c r="J870" s="81"/>
      <c r="K870" s="81"/>
      <c r="L870" s="81"/>
      <c r="M870" s="81"/>
      <c r="N870" s="81"/>
      <c r="O870" s="81"/>
      <c r="P870" s="81"/>
      <c r="Q870" s="81"/>
      <c r="R870" s="81"/>
      <c r="S870" s="81"/>
      <c r="T870" s="81"/>
      <c r="U870" s="81"/>
      <c r="V870" s="94"/>
      <c r="W870" s="94"/>
    </row>
    <row r="871" spans="1:23" ht="21" customHeight="1">
      <c r="A871">
        <f>Table4[[#This Row],[Column1]]</f>
        <v>0</v>
      </c>
      <c r="B871">
        <f>Table4[[#This Row],[Column2]]</f>
        <v>0</v>
      </c>
      <c r="C871" s="81"/>
      <c r="D871" s="81"/>
      <c r="E871" s="81"/>
      <c r="F871" s="81"/>
      <c r="G871" s="81"/>
      <c r="H871" s="81"/>
      <c r="I871" s="81"/>
      <c r="J871" s="81"/>
      <c r="K871" s="81"/>
      <c r="L871" s="81"/>
      <c r="M871" s="81"/>
      <c r="N871" s="81"/>
      <c r="O871" s="81"/>
      <c r="P871" s="81"/>
      <c r="Q871" s="81"/>
      <c r="R871" s="81"/>
      <c r="S871" s="81"/>
      <c r="T871" s="81"/>
      <c r="U871" s="81"/>
      <c r="V871" s="94"/>
      <c r="W871" s="94"/>
    </row>
    <row r="872" spans="1:23" ht="21" customHeight="1">
      <c r="A872">
        <f>Table4[[#This Row],[Column1]]</f>
        <v>0</v>
      </c>
      <c r="B872">
        <f>Table4[[#This Row],[Column2]]</f>
        <v>0</v>
      </c>
      <c r="C872" s="81"/>
      <c r="D872" s="81"/>
      <c r="E872" s="81"/>
      <c r="F872" s="81"/>
      <c r="G872" s="81"/>
      <c r="H872" s="81"/>
      <c r="I872" s="81"/>
      <c r="J872" s="81"/>
      <c r="K872" s="81"/>
      <c r="L872" s="81"/>
      <c r="M872" s="81"/>
      <c r="N872" s="81"/>
      <c r="O872" s="81"/>
      <c r="P872" s="81"/>
      <c r="Q872" s="81"/>
      <c r="R872" s="81"/>
      <c r="S872" s="81"/>
      <c r="T872" s="81"/>
      <c r="U872" s="81"/>
      <c r="V872" s="94"/>
      <c r="W872" s="94"/>
    </row>
    <row r="873" spans="1:23" ht="21" customHeight="1">
      <c r="A873">
        <f>Table4[[#This Row],[Column1]]</f>
        <v>0</v>
      </c>
      <c r="B873">
        <f>Table4[[#This Row],[Column2]]</f>
        <v>0</v>
      </c>
      <c r="C873" s="81"/>
      <c r="D873" s="81"/>
      <c r="E873" s="81"/>
      <c r="F873" s="81"/>
      <c r="G873" s="81"/>
      <c r="H873" s="81"/>
      <c r="I873" s="81"/>
      <c r="J873" s="81"/>
      <c r="K873" s="81"/>
      <c r="L873" s="81"/>
      <c r="M873" s="81"/>
      <c r="N873" s="81"/>
      <c r="O873" s="81"/>
      <c r="P873" s="81"/>
      <c r="Q873" s="81"/>
      <c r="R873" s="81"/>
      <c r="S873" s="81"/>
      <c r="T873" s="81"/>
      <c r="U873" s="81"/>
      <c r="V873" s="94"/>
      <c r="W873" s="94"/>
    </row>
    <row r="874" spans="1:23" ht="21" customHeight="1">
      <c r="A874">
        <f>Table4[[#This Row],[Column1]]</f>
        <v>0</v>
      </c>
      <c r="B874">
        <f>Table4[[#This Row],[Column2]]</f>
        <v>0</v>
      </c>
      <c r="C874" s="81"/>
      <c r="D874" s="81"/>
      <c r="E874" s="81"/>
      <c r="F874" s="81"/>
      <c r="G874" s="81"/>
      <c r="H874" s="81"/>
      <c r="I874" s="81"/>
      <c r="J874" s="81"/>
      <c r="K874" s="81"/>
      <c r="L874" s="81"/>
      <c r="M874" s="81"/>
      <c r="N874" s="81"/>
      <c r="O874" s="81"/>
      <c r="P874" s="81"/>
      <c r="Q874" s="81"/>
      <c r="R874" s="81"/>
      <c r="S874" s="81"/>
      <c r="T874" s="81"/>
      <c r="U874" s="81"/>
      <c r="V874" s="94"/>
      <c r="W874" s="94"/>
    </row>
    <row r="875" spans="1:23" ht="21" customHeight="1">
      <c r="A875">
        <f>Table4[[#This Row],[Column1]]</f>
        <v>0</v>
      </c>
      <c r="B875">
        <f>Table4[[#This Row],[Column2]]</f>
        <v>0</v>
      </c>
      <c r="C875" s="81"/>
      <c r="D875" s="81"/>
      <c r="E875" s="81"/>
      <c r="F875" s="81"/>
      <c r="G875" s="81"/>
      <c r="H875" s="81"/>
      <c r="I875" s="81"/>
      <c r="J875" s="81"/>
      <c r="K875" s="81"/>
      <c r="L875" s="81"/>
      <c r="M875" s="81"/>
      <c r="N875" s="81"/>
      <c r="O875" s="81"/>
      <c r="P875" s="81"/>
      <c r="Q875" s="81"/>
      <c r="R875" s="81"/>
      <c r="S875" s="81"/>
      <c r="T875" s="81"/>
      <c r="U875" s="81"/>
      <c r="V875" s="94"/>
      <c r="W875" s="94"/>
    </row>
    <row r="876" spans="1:23" ht="21" customHeight="1">
      <c r="A876">
        <f>Table4[[#This Row],[Column1]]</f>
        <v>0</v>
      </c>
      <c r="B876">
        <f>Table4[[#This Row],[Column2]]</f>
        <v>0</v>
      </c>
      <c r="C876" s="81"/>
      <c r="D876" s="81"/>
      <c r="E876" s="81"/>
      <c r="F876" s="81"/>
      <c r="G876" s="81"/>
      <c r="H876" s="81"/>
      <c r="I876" s="81"/>
      <c r="J876" s="81"/>
      <c r="K876" s="81"/>
      <c r="L876" s="81"/>
      <c r="M876" s="81"/>
      <c r="N876" s="81"/>
      <c r="O876" s="81"/>
      <c r="P876" s="81"/>
      <c r="Q876" s="81"/>
      <c r="R876" s="81"/>
      <c r="S876" s="81"/>
      <c r="T876" s="81"/>
      <c r="U876" s="81"/>
      <c r="V876" s="94"/>
      <c r="W876" s="94"/>
    </row>
    <row r="877" spans="1:23" ht="21" customHeight="1">
      <c r="A877">
        <f>Table4[[#This Row],[Column1]]</f>
        <v>0</v>
      </c>
      <c r="B877">
        <f>Table4[[#This Row],[Column2]]</f>
        <v>0</v>
      </c>
      <c r="C877" s="81"/>
      <c r="D877" s="81"/>
      <c r="E877" s="81"/>
      <c r="F877" s="81"/>
      <c r="G877" s="81"/>
      <c r="H877" s="81"/>
      <c r="I877" s="81"/>
      <c r="J877" s="81"/>
      <c r="K877" s="81"/>
      <c r="L877" s="81"/>
      <c r="M877" s="81"/>
      <c r="N877" s="81"/>
      <c r="O877" s="81"/>
      <c r="P877" s="81"/>
      <c r="Q877" s="81"/>
      <c r="R877" s="81"/>
      <c r="S877" s="81"/>
      <c r="T877" s="81"/>
      <c r="U877" s="81"/>
      <c r="V877" s="94"/>
      <c r="W877" s="94"/>
    </row>
    <row r="878" spans="1:23" ht="21" customHeight="1">
      <c r="A878">
        <f>Table4[[#This Row],[Column1]]</f>
        <v>0</v>
      </c>
      <c r="B878">
        <f>Table4[[#This Row],[Column2]]</f>
        <v>0</v>
      </c>
      <c r="C878" s="81"/>
      <c r="D878" s="81"/>
      <c r="E878" s="81"/>
      <c r="F878" s="81"/>
      <c r="G878" s="81"/>
      <c r="H878" s="81"/>
      <c r="I878" s="81"/>
      <c r="J878" s="81"/>
      <c r="K878" s="81"/>
      <c r="L878" s="81"/>
      <c r="M878" s="81"/>
      <c r="N878" s="81"/>
      <c r="O878" s="81"/>
      <c r="P878" s="81"/>
      <c r="Q878" s="81"/>
      <c r="R878" s="81"/>
      <c r="S878" s="81"/>
      <c r="T878" s="81"/>
      <c r="U878" s="81"/>
      <c r="V878" s="94"/>
      <c r="W878" s="94"/>
    </row>
    <row r="879" spans="1:23" ht="21" customHeight="1">
      <c r="A879">
        <f>Table4[[#This Row],[Column1]]</f>
        <v>0</v>
      </c>
      <c r="B879">
        <f>Table4[[#This Row],[Column2]]</f>
        <v>0</v>
      </c>
      <c r="C879" s="81"/>
      <c r="D879" s="81"/>
      <c r="E879" s="81"/>
      <c r="F879" s="81"/>
      <c r="G879" s="81"/>
      <c r="H879" s="81"/>
      <c r="I879" s="81"/>
      <c r="J879" s="81"/>
      <c r="K879" s="81"/>
      <c r="L879" s="81"/>
      <c r="M879" s="81"/>
      <c r="N879" s="81"/>
      <c r="O879" s="81"/>
      <c r="P879" s="81"/>
      <c r="Q879" s="81"/>
      <c r="R879" s="81"/>
      <c r="S879" s="81"/>
      <c r="T879" s="81"/>
      <c r="U879" s="81"/>
      <c r="V879" s="94"/>
      <c r="W879" s="94"/>
    </row>
    <row r="880" spans="1:23" ht="21" customHeight="1">
      <c r="A880">
        <f>Table4[[#This Row],[Column1]]</f>
        <v>0</v>
      </c>
      <c r="B880">
        <f>Table4[[#This Row],[Column2]]</f>
        <v>0</v>
      </c>
      <c r="C880" s="81"/>
      <c r="D880" s="81"/>
      <c r="E880" s="81"/>
      <c r="F880" s="81"/>
      <c r="G880" s="81"/>
      <c r="H880" s="81"/>
      <c r="I880" s="81"/>
      <c r="J880" s="81"/>
      <c r="K880" s="81"/>
      <c r="L880" s="81"/>
      <c r="M880" s="81"/>
      <c r="N880" s="81"/>
      <c r="O880" s="81"/>
      <c r="P880" s="81"/>
      <c r="Q880" s="81"/>
      <c r="R880" s="81"/>
      <c r="S880" s="81"/>
      <c r="T880" s="81"/>
      <c r="U880" s="81"/>
      <c r="V880" s="94"/>
      <c r="W880" s="94"/>
    </row>
    <row r="881" spans="1:23" ht="21" customHeight="1">
      <c r="A881">
        <f>Table4[[#This Row],[Column1]]</f>
        <v>0</v>
      </c>
      <c r="B881">
        <f>Table4[[#This Row],[Column2]]</f>
        <v>0</v>
      </c>
      <c r="C881" s="81"/>
      <c r="D881" s="81"/>
      <c r="E881" s="81"/>
      <c r="F881" s="81"/>
      <c r="G881" s="81"/>
      <c r="H881" s="81"/>
      <c r="I881" s="81"/>
      <c r="J881" s="81"/>
      <c r="K881" s="81"/>
      <c r="L881" s="81"/>
      <c r="M881" s="81"/>
      <c r="N881" s="81"/>
      <c r="O881" s="81"/>
      <c r="P881" s="81"/>
      <c r="Q881" s="81"/>
      <c r="R881" s="81"/>
      <c r="S881" s="81"/>
      <c r="T881" s="81"/>
      <c r="U881" s="81"/>
      <c r="V881" s="94"/>
      <c r="W881" s="94"/>
    </row>
    <row r="882" spans="1:23" ht="21" customHeight="1">
      <c r="A882">
        <f>Table4[[#This Row],[Column1]]</f>
        <v>0</v>
      </c>
      <c r="B882">
        <f>Table4[[#This Row],[Column2]]</f>
        <v>0</v>
      </c>
      <c r="C882" s="81"/>
      <c r="D882" s="81"/>
      <c r="E882" s="81"/>
      <c r="F882" s="81"/>
      <c r="G882" s="81"/>
      <c r="H882" s="81"/>
      <c r="I882" s="81"/>
      <c r="J882" s="81"/>
      <c r="K882" s="81"/>
      <c r="L882" s="81"/>
      <c r="M882" s="81"/>
      <c r="N882" s="81"/>
      <c r="O882" s="81"/>
      <c r="P882" s="81"/>
      <c r="Q882" s="81"/>
      <c r="R882" s="81"/>
      <c r="S882" s="81"/>
      <c r="T882" s="81"/>
      <c r="U882" s="81"/>
      <c r="V882" s="94"/>
      <c r="W882" s="94"/>
    </row>
    <row r="883" spans="1:23" ht="21" customHeight="1">
      <c r="A883">
        <f>Table4[[#This Row],[Column1]]</f>
        <v>0</v>
      </c>
      <c r="B883">
        <f>Table4[[#This Row],[Column2]]</f>
        <v>0</v>
      </c>
      <c r="C883" s="81"/>
      <c r="D883" s="81"/>
      <c r="E883" s="81"/>
      <c r="F883" s="81"/>
      <c r="G883" s="81"/>
      <c r="H883" s="81"/>
      <c r="I883" s="81"/>
      <c r="J883" s="81"/>
      <c r="K883" s="81"/>
      <c r="L883" s="81"/>
      <c r="M883" s="81"/>
      <c r="N883" s="81"/>
      <c r="O883" s="81"/>
      <c r="P883" s="81"/>
      <c r="Q883" s="81"/>
      <c r="R883" s="81"/>
      <c r="S883" s="81"/>
      <c r="T883" s="81"/>
      <c r="U883" s="81"/>
      <c r="V883" s="94"/>
      <c r="W883" s="94"/>
    </row>
    <row r="884" spans="1:23" ht="21" customHeight="1">
      <c r="A884">
        <f>Table4[[#This Row],[Column1]]</f>
        <v>0</v>
      </c>
      <c r="B884">
        <f>Table4[[#This Row],[Column2]]</f>
        <v>0</v>
      </c>
      <c r="C884" s="81"/>
      <c r="D884" s="81"/>
      <c r="E884" s="81"/>
      <c r="F884" s="81"/>
      <c r="G884" s="81"/>
      <c r="H884" s="81"/>
      <c r="I884" s="81"/>
      <c r="J884" s="81"/>
      <c r="K884" s="81"/>
      <c r="L884" s="81"/>
      <c r="M884" s="81"/>
      <c r="N884" s="81"/>
      <c r="O884" s="81"/>
      <c r="P884" s="81"/>
      <c r="Q884" s="81"/>
      <c r="R884" s="81"/>
      <c r="S884" s="81"/>
      <c r="T884" s="81"/>
      <c r="U884" s="81"/>
      <c r="V884" s="94"/>
      <c r="W884" s="94"/>
    </row>
    <row r="885" spans="1:23" ht="21" customHeight="1">
      <c r="A885">
        <f>Table4[[#This Row],[Column1]]</f>
        <v>0</v>
      </c>
      <c r="B885">
        <f>Table4[[#This Row],[Column2]]</f>
        <v>0</v>
      </c>
      <c r="C885" s="81"/>
      <c r="D885" s="81"/>
      <c r="E885" s="81"/>
      <c r="F885" s="81"/>
      <c r="G885" s="81"/>
      <c r="H885" s="81"/>
      <c r="I885" s="81"/>
      <c r="J885" s="81"/>
      <c r="K885" s="81"/>
      <c r="L885" s="81"/>
      <c r="M885" s="81"/>
      <c r="N885" s="81"/>
      <c r="O885" s="81"/>
      <c r="P885" s="81"/>
      <c r="Q885" s="81"/>
      <c r="R885" s="81"/>
      <c r="S885" s="81"/>
      <c r="T885" s="81"/>
      <c r="U885" s="81"/>
      <c r="V885" s="94"/>
      <c r="W885" s="94"/>
    </row>
    <row r="886" spans="1:23" ht="21" customHeight="1">
      <c r="A886">
        <f>Table4[[#This Row],[Column1]]</f>
        <v>0</v>
      </c>
      <c r="B886">
        <f>Table4[[#This Row],[Column2]]</f>
        <v>0</v>
      </c>
      <c r="C886" s="81"/>
      <c r="D886" s="81"/>
      <c r="E886" s="81"/>
      <c r="F886" s="81"/>
      <c r="G886" s="81"/>
      <c r="H886" s="81"/>
      <c r="I886" s="81"/>
      <c r="J886" s="81"/>
      <c r="K886" s="81"/>
      <c r="L886" s="81"/>
      <c r="M886" s="81"/>
      <c r="N886" s="81"/>
      <c r="O886" s="81"/>
      <c r="P886" s="81"/>
      <c r="Q886" s="81"/>
      <c r="R886" s="81"/>
      <c r="S886" s="81"/>
      <c r="T886" s="81"/>
      <c r="U886" s="81"/>
      <c r="V886" s="94"/>
      <c r="W886" s="94"/>
    </row>
    <row r="887" spans="1:23" ht="21" customHeight="1">
      <c r="A887">
        <f>Table4[[#This Row],[Column1]]</f>
        <v>0</v>
      </c>
      <c r="B887">
        <f>Table4[[#This Row],[Column2]]</f>
        <v>0</v>
      </c>
      <c r="C887" s="81"/>
      <c r="D887" s="81"/>
      <c r="E887" s="81"/>
      <c r="F887" s="81"/>
      <c r="G887" s="81"/>
      <c r="H887" s="81"/>
      <c r="I887" s="81"/>
      <c r="J887" s="81"/>
      <c r="K887" s="81"/>
      <c r="L887" s="81"/>
      <c r="M887" s="81"/>
      <c r="N887" s="81"/>
      <c r="O887" s="81"/>
      <c r="P887" s="81"/>
      <c r="Q887" s="81"/>
      <c r="R887" s="81"/>
      <c r="S887" s="81"/>
      <c r="T887" s="81"/>
      <c r="U887" s="81"/>
      <c r="V887" s="94"/>
      <c r="W887" s="94"/>
    </row>
    <row r="888" spans="1:23" ht="21" customHeight="1">
      <c r="A888">
        <f>Table4[[#This Row],[Column1]]</f>
        <v>0</v>
      </c>
      <c r="B888">
        <f>Table4[[#This Row],[Column2]]</f>
        <v>0</v>
      </c>
      <c r="C888" s="81"/>
      <c r="D888" s="81"/>
      <c r="E888" s="81"/>
      <c r="F888" s="81"/>
      <c r="G888" s="81"/>
      <c r="H888" s="81"/>
      <c r="I888" s="81"/>
      <c r="J888" s="81"/>
      <c r="K888" s="81"/>
      <c r="L888" s="81"/>
      <c r="M888" s="81"/>
      <c r="N888" s="81"/>
      <c r="O888" s="81"/>
      <c r="P888" s="81"/>
      <c r="Q888" s="81"/>
      <c r="R888" s="81"/>
      <c r="S888" s="81"/>
      <c r="T888" s="81"/>
      <c r="U888" s="81"/>
      <c r="V888" s="94"/>
      <c r="W888" s="94"/>
    </row>
    <row r="889" spans="1:23" ht="21" customHeight="1">
      <c r="A889">
        <f>Table4[[#This Row],[Column1]]</f>
        <v>0</v>
      </c>
      <c r="B889">
        <f>Table4[[#This Row],[Column2]]</f>
        <v>0</v>
      </c>
      <c r="C889" s="81"/>
      <c r="D889" s="81"/>
      <c r="E889" s="81"/>
      <c r="F889" s="81"/>
      <c r="G889" s="81"/>
      <c r="H889" s="81"/>
      <c r="I889" s="81"/>
      <c r="J889" s="81"/>
      <c r="K889" s="81"/>
      <c r="L889" s="81"/>
      <c r="M889" s="81"/>
      <c r="N889" s="81"/>
      <c r="O889" s="81"/>
      <c r="P889" s="81"/>
      <c r="Q889" s="81"/>
      <c r="R889" s="81"/>
      <c r="S889" s="81"/>
      <c r="T889" s="81"/>
      <c r="U889" s="81"/>
      <c r="V889" s="94"/>
      <c r="W889" s="94"/>
    </row>
    <row r="890" spans="1:23" ht="21" customHeight="1">
      <c r="A890">
        <f>Table4[[#This Row],[Column1]]</f>
        <v>0</v>
      </c>
      <c r="B890">
        <f>Table4[[#This Row],[Column2]]</f>
        <v>0</v>
      </c>
      <c r="C890" s="81"/>
      <c r="D890" s="81"/>
      <c r="E890" s="81"/>
      <c r="F890" s="81"/>
      <c r="G890" s="81"/>
      <c r="H890" s="81"/>
      <c r="I890" s="81"/>
      <c r="J890" s="81"/>
      <c r="K890" s="81"/>
      <c r="L890" s="81"/>
      <c r="M890" s="81"/>
      <c r="N890" s="81"/>
      <c r="O890" s="81"/>
      <c r="P890" s="81"/>
      <c r="Q890" s="81"/>
      <c r="R890" s="81"/>
      <c r="S890" s="81"/>
      <c r="T890" s="81"/>
      <c r="U890" s="81"/>
      <c r="V890" s="94"/>
      <c r="W890" s="94"/>
    </row>
    <row r="891" spans="1:23" ht="21" customHeight="1">
      <c r="A891">
        <f>Table4[[#This Row],[Column1]]</f>
        <v>0</v>
      </c>
      <c r="B891">
        <f>Table4[[#This Row],[Column2]]</f>
        <v>0</v>
      </c>
      <c r="C891" s="81"/>
      <c r="D891" s="81"/>
      <c r="E891" s="81"/>
      <c r="F891" s="81"/>
      <c r="G891" s="81"/>
      <c r="H891" s="81"/>
      <c r="I891" s="81"/>
      <c r="J891" s="81"/>
      <c r="K891" s="81"/>
      <c r="L891" s="81"/>
      <c r="M891" s="81"/>
      <c r="N891" s="81"/>
      <c r="O891" s="81"/>
      <c r="P891" s="81"/>
      <c r="Q891" s="81"/>
      <c r="R891" s="81"/>
      <c r="S891" s="81"/>
      <c r="T891" s="81"/>
      <c r="U891" s="81"/>
      <c r="V891" s="94"/>
      <c r="W891" s="94"/>
    </row>
    <row r="892" spans="1:23" ht="21" customHeight="1">
      <c r="A892">
        <f>Table4[[#This Row],[Column1]]</f>
        <v>0</v>
      </c>
      <c r="B892">
        <f>Table4[[#This Row],[Column2]]</f>
        <v>0</v>
      </c>
      <c r="C892" s="81"/>
      <c r="D892" s="81"/>
      <c r="E892" s="81"/>
      <c r="F892" s="81"/>
      <c r="G892" s="81"/>
      <c r="H892" s="81"/>
      <c r="I892" s="81"/>
      <c r="J892" s="81"/>
      <c r="K892" s="81"/>
      <c r="L892" s="81"/>
      <c r="M892" s="81"/>
      <c r="N892" s="81"/>
      <c r="O892" s="81"/>
      <c r="P892" s="81"/>
      <c r="Q892" s="81"/>
      <c r="R892" s="81"/>
      <c r="S892" s="81"/>
      <c r="T892" s="81"/>
      <c r="U892" s="81"/>
      <c r="V892" s="94"/>
      <c r="W892" s="94"/>
    </row>
    <row r="893" spans="1:23" ht="21" customHeight="1">
      <c r="A893">
        <f>Table4[[#This Row],[Column1]]</f>
        <v>0</v>
      </c>
      <c r="B893">
        <f>Table4[[#This Row],[Column2]]</f>
        <v>0</v>
      </c>
      <c r="C893" s="81"/>
      <c r="D893" s="81"/>
      <c r="E893" s="81"/>
      <c r="F893" s="81"/>
      <c r="G893" s="81"/>
      <c r="H893" s="81"/>
      <c r="I893" s="81"/>
      <c r="J893" s="81"/>
      <c r="K893" s="81"/>
      <c r="L893" s="81"/>
      <c r="M893" s="81"/>
      <c r="N893" s="81"/>
      <c r="O893" s="81"/>
      <c r="P893" s="81"/>
      <c r="Q893" s="81"/>
      <c r="R893" s="81"/>
      <c r="S893" s="81"/>
      <c r="T893" s="81"/>
      <c r="U893" s="81"/>
      <c r="V893" s="94"/>
      <c r="W893" s="94"/>
    </row>
    <row r="894" spans="1:23" ht="21" customHeight="1">
      <c r="A894">
        <f>Table4[[#This Row],[Column1]]</f>
        <v>0</v>
      </c>
      <c r="B894">
        <f>Table4[[#This Row],[Column2]]</f>
        <v>0</v>
      </c>
      <c r="C894" s="81"/>
      <c r="D894" s="81"/>
      <c r="E894" s="81"/>
      <c r="F894" s="81"/>
      <c r="G894" s="81"/>
      <c r="H894" s="81"/>
      <c r="I894" s="81"/>
      <c r="J894" s="81"/>
      <c r="K894" s="81"/>
      <c r="L894" s="81"/>
      <c r="M894" s="81"/>
      <c r="N894" s="81"/>
      <c r="O894" s="81"/>
      <c r="P894" s="81"/>
      <c r="Q894" s="81"/>
      <c r="R894" s="81"/>
      <c r="S894" s="81"/>
      <c r="T894" s="81"/>
      <c r="U894" s="81"/>
      <c r="V894" s="94"/>
      <c r="W894" s="94"/>
    </row>
    <row r="895" spans="1:23" ht="21" customHeight="1">
      <c r="A895">
        <f>Table4[[#This Row],[Column1]]</f>
        <v>0</v>
      </c>
      <c r="B895">
        <f>Table4[[#This Row],[Column2]]</f>
        <v>0</v>
      </c>
      <c r="C895" s="81"/>
      <c r="D895" s="81"/>
      <c r="E895" s="81"/>
      <c r="F895" s="81"/>
      <c r="G895" s="81"/>
      <c r="H895" s="81"/>
      <c r="I895" s="81"/>
      <c r="J895" s="81"/>
      <c r="K895" s="81"/>
      <c r="L895" s="81"/>
      <c r="M895" s="81"/>
      <c r="N895" s="81"/>
      <c r="O895" s="81"/>
      <c r="P895" s="81"/>
      <c r="Q895" s="81"/>
      <c r="R895" s="81"/>
      <c r="S895" s="81"/>
      <c r="T895" s="81"/>
      <c r="U895" s="81"/>
      <c r="V895" s="94"/>
      <c r="W895" s="94"/>
    </row>
    <row r="896" spans="1:23" ht="21" customHeight="1">
      <c r="A896">
        <f>Table4[[#This Row],[Column1]]</f>
        <v>0</v>
      </c>
      <c r="B896">
        <f>Table4[[#This Row],[Column2]]</f>
        <v>0</v>
      </c>
      <c r="C896" s="81"/>
      <c r="D896" s="81"/>
      <c r="E896" s="81"/>
      <c r="F896" s="81"/>
      <c r="G896" s="81"/>
      <c r="H896" s="81"/>
      <c r="I896" s="81"/>
      <c r="J896" s="81"/>
      <c r="K896" s="81"/>
      <c r="L896" s="81"/>
      <c r="M896" s="81"/>
      <c r="N896" s="81"/>
      <c r="O896" s="81"/>
      <c r="P896" s="81"/>
      <c r="Q896" s="81"/>
      <c r="R896" s="81"/>
      <c r="S896" s="81"/>
      <c r="T896" s="81"/>
      <c r="U896" s="81"/>
      <c r="V896" s="94"/>
      <c r="W896" s="94"/>
    </row>
    <row r="897" spans="1:23" ht="21" customHeight="1">
      <c r="A897">
        <f>Table4[[#This Row],[Column1]]</f>
        <v>0</v>
      </c>
      <c r="B897">
        <f>Table4[[#This Row],[Column2]]</f>
        <v>0</v>
      </c>
      <c r="C897" s="81"/>
      <c r="D897" s="81"/>
      <c r="E897" s="81"/>
      <c r="F897" s="81"/>
      <c r="G897" s="81"/>
      <c r="H897" s="81"/>
      <c r="I897" s="81"/>
      <c r="J897" s="81"/>
      <c r="K897" s="81"/>
      <c r="L897" s="81"/>
      <c r="M897" s="81"/>
      <c r="N897" s="81"/>
      <c r="O897" s="81"/>
      <c r="P897" s="81"/>
      <c r="Q897" s="81"/>
      <c r="R897" s="81"/>
      <c r="S897" s="81"/>
      <c r="T897" s="81"/>
      <c r="U897" s="81"/>
      <c r="V897" s="94"/>
      <c r="W897" s="94"/>
    </row>
    <row r="898" spans="1:23" ht="21" customHeight="1">
      <c r="A898">
        <f>Table4[[#This Row],[Column1]]</f>
        <v>0</v>
      </c>
      <c r="B898">
        <f>Table4[[#This Row],[Column2]]</f>
        <v>0</v>
      </c>
      <c r="C898" s="81"/>
      <c r="D898" s="81"/>
      <c r="E898" s="81"/>
      <c r="F898" s="81"/>
      <c r="G898" s="81"/>
      <c r="H898" s="81"/>
      <c r="I898" s="81"/>
      <c r="J898" s="81"/>
      <c r="K898" s="81"/>
      <c r="L898" s="81"/>
      <c r="M898" s="81"/>
      <c r="N898" s="81"/>
      <c r="O898" s="81"/>
      <c r="P898" s="81"/>
      <c r="Q898" s="81"/>
      <c r="R898" s="81"/>
      <c r="S898" s="81"/>
      <c r="T898" s="81"/>
      <c r="U898" s="81"/>
      <c r="V898" s="94"/>
      <c r="W898" s="94"/>
    </row>
    <row r="899" spans="1:23" ht="21" customHeight="1">
      <c r="A899">
        <f>Table4[[#This Row],[Column1]]</f>
        <v>0</v>
      </c>
      <c r="B899">
        <f>Table4[[#This Row],[Column2]]</f>
        <v>0</v>
      </c>
      <c r="C899" s="81"/>
      <c r="D899" s="81"/>
      <c r="E899" s="81"/>
      <c r="F899" s="81"/>
      <c r="G899" s="81"/>
      <c r="H899" s="81"/>
      <c r="I899" s="81"/>
      <c r="J899" s="81"/>
      <c r="K899" s="81"/>
      <c r="L899" s="81"/>
      <c r="M899" s="81"/>
      <c r="N899" s="81"/>
      <c r="O899" s="81"/>
      <c r="P899" s="81"/>
      <c r="Q899" s="81"/>
      <c r="R899" s="81"/>
      <c r="S899" s="81"/>
      <c r="T899" s="81"/>
      <c r="U899" s="81"/>
      <c r="V899" s="94"/>
      <c r="W899" s="94"/>
    </row>
    <row r="900" spans="1:23" ht="21" customHeight="1">
      <c r="A900">
        <f>Table4[[#This Row],[Column1]]</f>
        <v>0</v>
      </c>
      <c r="B900">
        <f>Table4[[#This Row],[Column2]]</f>
        <v>0</v>
      </c>
      <c r="C900" s="81"/>
      <c r="D900" s="81"/>
      <c r="E900" s="81"/>
      <c r="F900" s="81"/>
      <c r="G900" s="81"/>
      <c r="H900" s="81"/>
      <c r="I900" s="81"/>
      <c r="J900" s="81"/>
      <c r="K900" s="81"/>
      <c r="L900" s="81"/>
      <c r="M900" s="81"/>
      <c r="N900" s="81"/>
      <c r="O900" s="81"/>
      <c r="P900" s="81"/>
      <c r="Q900" s="81"/>
      <c r="R900" s="81"/>
      <c r="S900" s="81"/>
      <c r="T900" s="81"/>
      <c r="U900" s="81"/>
      <c r="V900" s="94"/>
      <c r="W900" s="94"/>
    </row>
    <row r="901" spans="1:23" ht="21" customHeight="1">
      <c r="A901">
        <f>Table4[[#This Row],[Column1]]</f>
        <v>0</v>
      </c>
      <c r="B901">
        <f>Table4[[#This Row],[Column2]]</f>
        <v>0</v>
      </c>
      <c r="C901" s="81"/>
      <c r="D901" s="81"/>
      <c r="E901" s="81"/>
      <c r="F901" s="81"/>
      <c r="G901" s="81"/>
      <c r="H901" s="81"/>
      <c r="I901" s="81"/>
      <c r="J901" s="81"/>
      <c r="K901" s="81"/>
      <c r="L901" s="81"/>
      <c r="M901" s="81"/>
      <c r="N901" s="81"/>
      <c r="O901" s="81"/>
      <c r="P901" s="81"/>
      <c r="Q901" s="81"/>
      <c r="R901" s="81"/>
      <c r="S901" s="81"/>
      <c r="T901" s="81"/>
      <c r="U901" s="81"/>
      <c r="V901" s="94"/>
      <c r="W901" s="94"/>
    </row>
    <row r="902" spans="1:23" ht="21" customHeight="1">
      <c r="A902">
        <f>Table4[[#This Row],[Column1]]</f>
        <v>0</v>
      </c>
      <c r="B902">
        <f>Table4[[#This Row],[Column2]]</f>
        <v>0</v>
      </c>
      <c r="C902" s="81"/>
      <c r="D902" s="81"/>
      <c r="E902" s="81"/>
      <c r="F902" s="81"/>
      <c r="G902" s="81"/>
      <c r="H902" s="81"/>
      <c r="I902" s="81"/>
      <c r="J902" s="81"/>
      <c r="K902" s="81"/>
      <c r="L902" s="81"/>
      <c r="M902" s="81"/>
      <c r="N902" s="81"/>
      <c r="O902" s="81"/>
      <c r="P902" s="81"/>
      <c r="Q902" s="81"/>
      <c r="R902" s="81"/>
      <c r="S902" s="81"/>
      <c r="T902" s="81"/>
      <c r="U902" s="81"/>
      <c r="V902" s="94"/>
      <c r="W902" s="94"/>
    </row>
    <row r="903" spans="1:23" ht="21" customHeight="1">
      <c r="A903">
        <f>Table4[[#This Row],[Column1]]</f>
        <v>0</v>
      </c>
      <c r="B903">
        <f>Table4[[#This Row],[Column2]]</f>
        <v>0</v>
      </c>
      <c r="C903" s="81"/>
      <c r="D903" s="81"/>
      <c r="E903" s="81"/>
      <c r="F903" s="81"/>
      <c r="G903" s="81"/>
      <c r="H903" s="81"/>
      <c r="I903" s="81"/>
      <c r="J903" s="81"/>
      <c r="K903" s="81"/>
      <c r="L903" s="81"/>
      <c r="M903" s="81"/>
      <c r="N903" s="81"/>
      <c r="O903" s="81"/>
      <c r="P903" s="81"/>
      <c r="Q903" s="81"/>
      <c r="R903" s="81"/>
      <c r="S903" s="81"/>
      <c r="T903" s="81"/>
      <c r="U903" s="81"/>
      <c r="V903" s="94"/>
      <c r="W903" s="94"/>
    </row>
    <row r="904" spans="1:23" ht="21" customHeight="1">
      <c r="A904">
        <f>Table4[[#This Row],[Column1]]</f>
        <v>0</v>
      </c>
      <c r="B904">
        <f>Table4[[#This Row],[Column2]]</f>
        <v>0</v>
      </c>
      <c r="C904" s="81"/>
      <c r="D904" s="81"/>
      <c r="E904" s="81"/>
      <c r="F904" s="81"/>
      <c r="G904" s="81"/>
      <c r="H904" s="81"/>
      <c r="I904" s="81"/>
      <c r="J904" s="81"/>
      <c r="K904" s="81"/>
      <c r="L904" s="81"/>
      <c r="M904" s="81"/>
      <c r="N904" s="81"/>
      <c r="O904" s="81"/>
      <c r="P904" s="81"/>
      <c r="Q904" s="81"/>
      <c r="R904" s="81"/>
      <c r="S904" s="81"/>
      <c r="T904" s="81"/>
      <c r="U904" s="81"/>
      <c r="V904" s="94"/>
      <c r="W904" s="94"/>
    </row>
    <row r="905" spans="1:23" ht="21" customHeight="1">
      <c r="A905">
        <f>Table4[[#This Row],[Column1]]</f>
        <v>0</v>
      </c>
      <c r="B905">
        <f>Table4[[#This Row],[Column2]]</f>
        <v>0</v>
      </c>
      <c r="C905" s="81"/>
      <c r="D905" s="81"/>
      <c r="E905" s="81"/>
      <c r="F905" s="81"/>
      <c r="G905" s="81"/>
      <c r="H905" s="81"/>
      <c r="I905" s="81"/>
      <c r="J905" s="81"/>
      <c r="K905" s="81"/>
      <c r="L905" s="81"/>
      <c r="M905" s="81"/>
      <c r="N905" s="81"/>
      <c r="O905" s="81"/>
      <c r="P905" s="81"/>
      <c r="Q905" s="81"/>
      <c r="R905" s="81"/>
      <c r="S905" s="81"/>
      <c r="T905" s="81"/>
      <c r="U905" s="81"/>
      <c r="V905" s="94"/>
      <c r="W905" s="94"/>
    </row>
    <row r="906" spans="1:23" ht="21" customHeight="1">
      <c r="A906">
        <f>Table4[[#This Row],[Column1]]</f>
        <v>0</v>
      </c>
      <c r="B906">
        <f>Table4[[#This Row],[Column2]]</f>
        <v>0</v>
      </c>
      <c r="C906" s="81"/>
      <c r="D906" s="81"/>
      <c r="E906" s="81"/>
      <c r="F906" s="81"/>
      <c r="G906" s="81"/>
      <c r="H906" s="81"/>
      <c r="I906" s="81"/>
      <c r="J906" s="81"/>
      <c r="K906" s="81"/>
      <c r="L906" s="81"/>
      <c r="M906" s="81"/>
      <c r="N906" s="81"/>
      <c r="O906" s="81"/>
      <c r="P906" s="81"/>
      <c r="Q906" s="81"/>
      <c r="R906" s="81"/>
      <c r="S906" s="81"/>
      <c r="T906" s="81"/>
      <c r="U906" s="81"/>
      <c r="V906" s="94"/>
      <c r="W906" s="94"/>
    </row>
    <row r="907" spans="1:23" ht="21" customHeight="1">
      <c r="A907">
        <f>Table4[[#This Row],[Column1]]</f>
        <v>0</v>
      </c>
      <c r="B907">
        <f>Table4[[#This Row],[Column2]]</f>
        <v>0</v>
      </c>
      <c r="C907" s="81"/>
      <c r="D907" s="81"/>
      <c r="E907" s="81"/>
      <c r="F907" s="81"/>
      <c r="G907" s="81"/>
      <c r="H907" s="81"/>
      <c r="I907" s="81"/>
      <c r="J907" s="81"/>
      <c r="K907" s="81"/>
      <c r="L907" s="81"/>
      <c r="M907" s="81"/>
      <c r="N907" s="81"/>
      <c r="O907" s="81"/>
      <c r="P907" s="81"/>
      <c r="Q907" s="81"/>
      <c r="R907" s="81"/>
      <c r="S907" s="81"/>
      <c r="T907" s="81"/>
      <c r="U907" s="81"/>
      <c r="V907" s="94"/>
      <c r="W907" s="94"/>
    </row>
    <row r="908" spans="1:23" ht="21" customHeight="1">
      <c r="A908">
        <f>Table4[[#This Row],[Column1]]</f>
        <v>0</v>
      </c>
      <c r="B908">
        <f>Table4[[#This Row],[Column2]]</f>
        <v>0</v>
      </c>
      <c r="C908" s="81"/>
      <c r="D908" s="81"/>
      <c r="E908" s="81"/>
      <c r="F908" s="81"/>
      <c r="G908" s="81"/>
      <c r="H908" s="81"/>
      <c r="I908" s="81"/>
      <c r="J908" s="81"/>
      <c r="K908" s="81"/>
      <c r="L908" s="81"/>
      <c r="M908" s="81"/>
      <c r="N908" s="81"/>
      <c r="O908" s="81"/>
      <c r="P908" s="81"/>
      <c r="Q908" s="81"/>
      <c r="R908" s="81"/>
      <c r="S908" s="81"/>
      <c r="T908" s="81"/>
      <c r="U908" s="81"/>
      <c r="V908" s="94"/>
      <c r="W908" s="94"/>
    </row>
    <row r="909" spans="1:23" ht="21" customHeight="1">
      <c r="A909">
        <f>Table4[[#This Row],[Column1]]</f>
        <v>0</v>
      </c>
      <c r="B909">
        <f>Table4[[#This Row],[Column2]]</f>
        <v>0</v>
      </c>
      <c r="C909" s="81"/>
      <c r="D909" s="81"/>
      <c r="E909" s="81"/>
      <c r="F909" s="81"/>
      <c r="G909" s="81"/>
      <c r="H909" s="81"/>
      <c r="I909" s="81"/>
      <c r="J909" s="81"/>
      <c r="K909" s="81"/>
      <c r="L909" s="81"/>
      <c r="M909" s="81"/>
      <c r="N909" s="81"/>
      <c r="O909" s="81"/>
      <c r="P909" s="81"/>
      <c r="Q909" s="81"/>
      <c r="R909" s="81"/>
      <c r="S909" s="81"/>
      <c r="T909" s="81"/>
      <c r="U909" s="81"/>
      <c r="V909" s="94"/>
      <c r="W909" s="94"/>
    </row>
    <row r="910" spans="1:23" ht="21" customHeight="1">
      <c r="A910">
        <f>Table4[[#This Row],[Column1]]</f>
        <v>0</v>
      </c>
      <c r="B910">
        <f>Table4[[#This Row],[Column2]]</f>
        <v>0</v>
      </c>
      <c r="C910" s="81"/>
      <c r="D910" s="81"/>
      <c r="E910" s="81"/>
      <c r="F910" s="81"/>
      <c r="G910" s="81"/>
      <c r="H910" s="81"/>
      <c r="I910" s="81"/>
      <c r="J910" s="81"/>
      <c r="K910" s="81"/>
      <c r="L910" s="81"/>
      <c r="M910" s="81"/>
      <c r="N910" s="81"/>
      <c r="O910" s="81"/>
      <c r="P910" s="81"/>
      <c r="Q910" s="81"/>
      <c r="R910" s="81"/>
      <c r="S910" s="81"/>
      <c r="T910" s="81"/>
      <c r="U910" s="81"/>
      <c r="V910" s="94"/>
      <c r="W910" s="94"/>
    </row>
    <row r="911" spans="1:23" ht="21" customHeight="1">
      <c r="A911">
        <f>Table4[[#This Row],[Column1]]</f>
        <v>0</v>
      </c>
      <c r="B911">
        <f>Table4[[#This Row],[Column2]]</f>
        <v>0</v>
      </c>
      <c r="C911" s="81"/>
      <c r="D911" s="81"/>
      <c r="E911" s="81"/>
      <c r="F911" s="81"/>
      <c r="G911" s="81"/>
      <c r="H911" s="81"/>
      <c r="I911" s="81"/>
      <c r="J911" s="81"/>
      <c r="K911" s="81"/>
      <c r="L911" s="81"/>
      <c r="M911" s="81"/>
      <c r="N911" s="81"/>
      <c r="O911" s="81"/>
      <c r="P911" s="81"/>
      <c r="Q911" s="81"/>
      <c r="R911" s="81"/>
      <c r="S911" s="81"/>
      <c r="T911" s="81"/>
      <c r="U911" s="81"/>
      <c r="V911" s="94"/>
      <c r="W911" s="94"/>
    </row>
    <row r="912" spans="1:23" ht="21" customHeight="1">
      <c r="A912">
        <f>Table4[[#This Row],[Column1]]</f>
        <v>0</v>
      </c>
      <c r="B912">
        <f>Table4[[#This Row],[Column2]]</f>
        <v>0</v>
      </c>
      <c r="C912" s="81"/>
      <c r="D912" s="81"/>
      <c r="E912" s="81"/>
      <c r="F912" s="81"/>
      <c r="G912" s="81"/>
      <c r="H912" s="81"/>
      <c r="I912" s="81"/>
      <c r="J912" s="81"/>
      <c r="K912" s="81"/>
      <c r="L912" s="81"/>
      <c r="M912" s="81"/>
      <c r="N912" s="81"/>
      <c r="O912" s="81"/>
      <c r="P912" s="81"/>
      <c r="Q912" s="81"/>
      <c r="R912" s="81"/>
      <c r="S912" s="81"/>
      <c r="T912" s="81"/>
      <c r="U912" s="81"/>
      <c r="V912" s="94"/>
      <c r="W912" s="94"/>
    </row>
    <row r="913" spans="1:23" ht="21" customHeight="1">
      <c r="A913">
        <f>Table4[[#This Row],[Column1]]</f>
        <v>0</v>
      </c>
      <c r="B913">
        <f>Table4[[#This Row],[Column2]]</f>
        <v>0</v>
      </c>
      <c r="C913" s="81"/>
      <c r="D913" s="81"/>
      <c r="E913" s="81"/>
      <c r="F913" s="81"/>
      <c r="G913" s="81"/>
      <c r="H913" s="81"/>
      <c r="I913" s="81"/>
      <c r="J913" s="81"/>
      <c r="K913" s="81"/>
      <c r="L913" s="81"/>
      <c r="M913" s="81"/>
      <c r="N913" s="81"/>
      <c r="O913" s="81"/>
      <c r="P913" s="81"/>
      <c r="Q913" s="81"/>
      <c r="R913" s="81"/>
      <c r="S913" s="81"/>
      <c r="T913" s="81"/>
      <c r="U913" s="81"/>
      <c r="V913" s="94"/>
      <c r="W913" s="94"/>
    </row>
    <row r="914" spans="1:23" ht="21" customHeight="1">
      <c r="A914">
        <f>Table4[[#This Row],[Column1]]</f>
        <v>0</v>
      </c>
      <c r="B914">
        <f>Table4[[#This Row],[Column2]]</f>
        <v>0</v>
      </c>
      <c r="C914" s="81"/>
      <c r="D914" s="81"/>
      <c r="E914" s="81"/>
      <c r="F914" s="81"/>
      <c r="G914" s="81"/>
      <c r="H914" s="81"/>
      <c r="I914" s="81"/>
      <c r="J914" s="81"/>
      <c r="K914" s="81"/>
      <c r="L914" s="81"/>
      <c r="M914" s="81"/>
      <c r="N914" s="81"/>
      <c r="O914" s="81"/>
      <c r="P914" s="81"/>
      <c r="Q914" s="81"/>
      <c r="R914" s="81"/>
      <c r="S914" s="81"/>
      <c r="T914" s="81"/>
      <c r="U914" s="81"/>
      <c r="V914" s="94"/>
      <c r="W914" s="94"/>
    </row>
    <row r="915" spans="1:23" ht="21" customHeight="1">
      <c r="A915">
        <f>Table4[[#This Row],[Column1]]</f>
        <v>0</v>
      </c>
      <c r="B915">
        <f>Table4[[#This Row],[Column2]]</f>
        <v>0</v>
      </c>
      <c r="C915" s="81"/>
      <c r="D915" s="81"/>
      <c r="E915" s="81"/>
      <c r="F915" s="81"/>
      <c r="G915" s="81"/>
      <c r="H915" s="81"/>
      <c r="I915" s="81"/>
      <c r="J915" s="81"/>
      <c r="K915" s="81"/>
      <c r="L915" s="81"/>
      <c r="M915" s="81"/>
      <c r="N915" s="81"/>
      <c r="O915" s="81"/>
      <c r="P915" s="81"/>
      <c r="Q915" s="81"/>
      <c r="R915" s="81"/>
      <c r="S915" s="81"/>
      <c r="T915" s="81"/>
      <c r="U915" s="81"/>
      <c r="V915" s="94"/>
      <c r="W915" s="94"/>
    </row>
    <row r="916" spans="1:23" ht="21" customHeight="1">
      <c r="A916">
        <f>Table4[[#This Row],[Column1]]</f>
        <v>0</v>
      </c>
      <c r="B916">
        <f>Table4[[#This Row],[Column2]]</f>
        <v>0</v>
      </c>
      <c r="C916" s="81"/>
      <c r="D916" s="81"/>
      <c r="E916" s="81"/>
      <c r="F916" s="81"/>
      <c r="G916" s="81"/>
      <c r="H916" s="81"/>
      <c r="I916" s="81"/>
      <c r="J916" s="81"/>
      <c r="K916" s="81"/>
      <c r="L916" s="81"/>
      <c r="M916" s="81"/>
      <c r="N916" s="81"/>
      <c r="O916" s="81"/>
      <c r="P916" s="81"/>
      <c r="Q916" s="81"/>
      <c r="R916" s="81"/>
      <c r="S916" s="81"/>
      <c r="T916" s="81"/>
      <c r="U916" s="81"/>
      <c r="V916" s="94"/>
      <c r="W916" s="94"/>
    </row>
    <row r="917" spans="1:23" ht="21" customHeight="1">
      <c r="A917">
        <f>Table4[[#This Row],[Column1]]</f>
        <v>0</v>
      </c>
      <c r="B917">
        <f>Table4[[#This Row],[Column2]]</f>
        <v>0</v>
      </c>
      <c r="C917" s="81"/>
      <c r="D917" s="81"/>
      <c r="E917" s="81"/>
      <c r="F917" s="81"/>
      <c r="G917" s="81"/>
      <c r="H917" s="81"/>
      <c r="I917" s="81"/>
      <c r="J917" s="81"/>
      <c r="K917" s="81"/>
      <c r="L917" s="81"/>
      <c r="M917" s="81"/>
      <c r="N917" s="81"/>
      <c r="O917" s="81"/>
      <c r="P917" s="81"/>
      <c r="Q917" s="81"/>
      <c r="R917" s="81"/>
      <c r="S917" s="81"/>
      <c r="T917" s="81"/>
      <c r="U917" s="81"/>
      <c r="V917" s="94"/>
      <c r="W917" s="94"/>
    </row>
    <row r="918" spans="1:23" ht="21" customHeight="1">
      <c r="A918">
        <f>Table4[[#This Row],[Column1]]</f>
        <v>0</v>
      </c>
      <c r="B918">
        <f>Table4[[#This Row],[Column2]]</f>
        <v>0</v>
      </c>
      <c r="C918" s="81"/>
      <c r="D918" s="81"/>
      <c r="E918" s="81"/>
      <c r="F918" s="81"/>
      <c r="G918" s="81"/>
      <c r="H918" s="81"/>
      <c r="I918" s="81"/>
      <c r="J918" s="81"/>
      <c r="K918" s="81"/>
      <c r="L918" s="81"/>
      <c r="M918" s="81"/>
      <c r="N918" s="81"/>
      <c r="O918" s="81"/>
      <c r="P918" s="81"/>
      <c r="Q918" s="81"/>
      <c r="R918" s="81"/>
      <c r="S918" s="81"/>
      <c r="T918" s="81"/>
      <c r="U918" s="81"/>
      <c r="V918" s="94"/>
      <c r="W918" s="94"/>
    </row>
    <row r="919" spans="1:23" ht="21" customHeight="1">
      <c r="A919">
        <f>Table4[[#This Row],[Column1]]</f>
        <v>0</v>
      </c>
      <c r="B919">
        <f>Table4[[#This Row],[Column2]]</f>
        <v>0</v>
      </c>
      <c r="C919" s="81"/>
      <c r="D919" s="81"/>
      <c r="E919" s="81"/>
      <c r="F919" s="81"/>
      <c r="G919" s="81"/>
      <c r="H919" s="81"/>
      <c r="I919" s="81"/>
      <c r="J919" s="81"/>
      <c r="K919" s="81"/>
      <c r="L919" s="81"/>
      <c r="M919" s="81"/>
      <c r="N919" s="81"/>
      <c r="O919" s="81"/>
      <c r="P919" s="81"/>
      <c r="Q919" s="81"/>
      <c r="R919" s="81"/>
      <c r="S919" s="81"/>
      <c r="T919" s="81"/>
      <c r="U919" s="81"/>
      <c r="V919" s="94"/>
      <c r="W919" s="94"/>
    </row>
    <row r="920" spans="1:23" ht="21" customHeight="1">
      <c r="A920">
        <f>Table4[[#This Row],[Column1]]</f>
        <v>0</v>
      </c>
      <c r="B920">
        <f>Table4[[#This Row],[Column2]]</f>
        <v>0</v>
      </c>
      <c r="C920" s="81"/>
      <c r="D920" s="81"/>
      <c r="E920" s="81"/>
      <c r="F920" s="81"/>
      <c r="G920" s="81"/>
      <c r="H920" s="81"/>
      <c r="I920" s="81"/>
      <c r="J920" s="81"/>
      <c r="K920" s="81"/>
      <c r="L920" s="81"/>
      <c r="M920" s="81"/>
      <c r="N920" s="81"/>
      <c r="O920" s="81"/>
      <c r="P920" s="81"/>
      <c r="Q920" s="81"/>
      <c r="R920" s="81"/>
      <c r="S920" s="81"/>
      <c r="T920" s="81"/>
      <c r="U920" s="81"/>
      <c r="V920" s="94"/>
      <c r="W920" s="94"/>
    </row>
    <row r="921" spans="1:23" ht="21" customHeight="1">
      <c r="A921">
        <f>Table4[[#This Row],[Column1]]</f>
        <v>0</v>
      </c>
      <c r="B921">
        <f>Table4[[#This Row],[Column2]]</f>
        <v>0</v>
      </c>
      <c r="C921" s="81"/>
      <c r="D921" s="81"/>
      <c r="E921" s="81"/>
      <c r="F921" s="81"/>
      <c r="G921" s="81"/>
      <c r="H921" s="81"/>
      <c r="I921" s="81"/>
      <c r="J921" s="81"/>
      <c r="K921" s="81"/>
      <c r="L921" s="81"/>
      <c r="M921" s="81"/>
      <c r="N921" s="81"/>
      <c r="O921" s="81"/>
      <c r="P921" s="81"/>
      <c r="Q921" s="81"/>
      <c r="R921" s="81"/>
      <c r="S921" s="81"/>
      <c r="T921" s="81"/>
      <c r="U921" s="81"/>
      <c r="V921" s="94"/>
      <c r="W921" s="94"/>
    </row>
    <row r="922" spans="1:23" ht="21" customHeight="1">
      <c r="A922">
        <f>Table4[[#This Row],[Column1]]</f>
        <v>0</v>
      </c>
      <c r="B922">
        <f>Table4[[#This Row],[Column2]]</f>
        <v>0</v>
      </c>
      <c r="C922" s="81"/>
      <c r="D922" s="81"/>
      <c r="E922" s="81"/>
      <c r="F922" s="81"/>
      <c r="G922" s="81"/>
      <c r="H922" s="81"/>
      <c r="I922" s="81"/>
      <c r="J922" s="81"/>
      <c r="K922" s="81"/>
      <c r="L922" s="81"/>
      <c r="M922" s="81"/>
      <c r="N922" s="81"/>
      <c r="O922" s="81"/>
      <c r="P922" s="81"/>
      <c r="Q922" s="81"/>
      <c r="R922" s="81"/>
      <c r="S922" s="81"/>
      <c r="T922" s="81"/>
      <c r="U922" s="81"/>
      <c r="V922" s="94"/>
      <c r="W922" s="94"/>
    </row>
    <row r="923" spans="1:23" ht="21" customHeight="1">
      <c r="A923">
        <f>Table4[[#This Row],[Column1]]</f>
        <v>0</v>
      </c>
      <c r="B923">
        <f>Table4[[#This Row],[Column2]]</f>
        <v>0</v>
      </c>
      <c r="C923" s="81"/>
      <c r="D923" s="81"/>
      <c r="E923" s="81"/>
      <c r="F923" s="81"/>
      <c r="G923" s="81"/>
      <c r="H923" s="81"/>
      <c r="I923" s="81"/>
      <c r="J923" s="81"/>
      <c r="K923" s="81"/>
      <c r="L923" s="81"/>
      <c r="M923" s="81"/>
      <c r="N923" s="81"/>
      <c r="O923" s="81"/>
      <c r="P923" s="81"/>
      <c r="Q923" s="81"/>
      <c r="R923" s="81"/>
      <c r="S923" s="81"/>
      <c r="T923" s="81"/>
      <c r="U923" s="81"/>
      <c r="V923" s="94"/>
      <c r="W923" s="94"/>
    </row>
    <row r="924" spans="1:23" ht="21" customHeight="1">
      <c r="A924">
        <f>Table4[[#This Row],[Column1]]</f>
        <v>0</v>
      </c>
      <c r="B924">
        <f>Table4[[#This Row],[Column2]]</f>
        <v>0</v>
      </c>
      <c r="C924" s="81"/>
      <c r="D924" s="81"/>
      <c r="E924" s="81"/>
      <c r="F924" s="81"/>
      <c r="G924" s="81"/>
      <c r="H924" s="81"/>
      <c r="I924" s="81"/>
      <c r="J924" s="81"/>
      <c r="K924" s="81"/>
      <c r="L924" s="81"/>
      <c r="M924" s="81"/>
      <c r="N924" s="81"/>
      <c r="O924" s="81"/>
      <c r="P924" s="81"/>
      <c r="Q924" s="81"/>
      <c r="R924" s="81"/>
      <c r="S924" s="81"/>
      <c r="T924" s="81"/>
      <c r="U924" s="81"/>
      <c r="V924" s="94"/>
      <c r="W924" s="94"/>
    </row>
    <row r="925" spans="1:23" ht="21" customHeight="1">
      <c r="A925">
        <f>Table4[[#This Row],[Column1]]</f>
        <v>0</v>
      </c>
      <c r="B925">
        <f>Table4[[#This Row],[Column2]]</f>
        <v>0</v>
      </c>
      <c r="C925" s="81"/>
      <c r="D925" s="81"/>
      <c r="E925" s="81"/>
      <c r="F925" s="81"/>
      <c r="G925" s="81"/>
      <c r="H925" s="81"/>
      <c r="I925" s="81"/>
      <c r="J925" s="81"/>
      <c r="K925" s="81"/>
      <c r="L925" s="81"/>
      <c r="M925" s="81"/>
      <c r="N925" s="81"/>
      <c r="O925" s="81"/>
      <c r="P925" s="81"/>
      <c r="Q925" s="81"/>
      <c r="R925" s="81"/>
      <c r="S925" s="81"/>
      <c r="T925" s="81"/>
      <c r="U925" s="81"/>
      <c r="V925" s="94"/>
      <c r="W925" s="94"/>
    </row>
    <row r="926" spans="1:23" ht="21" customHeight="1">
      <c r="A926">
        <f>Table4[[#This Row],[Column1]]</f>
        <v>0</v>
      </c>
      <c r="B926">
        <f>Table4[[#This Row],[Column2]]</f>
        <v>0</v>
      </c>
      <c r="C926" s="81"/>
      <c r="D926" s="81"/>
      <c r="E926" s="81"/>
      <c r="F926" s="81"/>
      <c r="G926" s="81"/>
      <c r="H926" s="81"/>
      <c r="I926" s="81"/>
      <c r="J926" s="81"/>
      <c r="K926" s="81"/>
      <c r="L926" s="81"/>
      <c r="M926" s="81"/>
      <c r="N926" s="81"/>
      <c r="O926" s="81"/>
      <c r="P926" s="81"/>
      <c r="Q926" s="81"/>
      <c r="R926" s="81"/>
      <c r="S926" s="81"/>
      <c r="T926" s="81"/>
      <c r="U926" s="81"/>
      <c r="V926" s="94"/>
      <c r="W926" s="94"/>
    </row>
    <row r="927" spans="1:23" ht="21" customHeight="1">
      <c r="A927">
        <f>Table4[[#This Row],[Column1]]</f>
        <v>0</v>
      </c>
      <c r="B927">
        <f>Table4[[#This Row],[Column2]]</f>
        <v>0</v>
      </c>
      <c r="C927" s="81"/>
      <c r="D927" s="81"/>
      <c r="E927" s="81"/>
      <c r="F927" s="81"/>
      <c r="G927" s="81"/>
      <c r="H927" s="81"/>
      <c r="I927" s="81"/>
      <c r="J927" s="81"/>
      <c r="K927" s="81"/>
      <c r="L927" s="81"/>
      <c r="M927" s="81"/>
      <c r="N927" s="81"/>
      <c r="O927" s="81"/>
      <c r="P927" s="81"/>
      <c r="Q927" s="81"/>
      <c r="R927" s="81"/>
      <c r="S927" s="81"/>
      <c r="T927" s="81"/>
      <c r="U927" s="81"/>
      <c r="V927" s="94"/>
      <c r="W927" s="94"/>
    </row>
    <row r="928" spans="1:23" ht="21" customHeight="1">
      <c r="A928">
        <f>Table4[[#This Row],[Column1]]</f>
        <v>0</v>
      </c>
      <c r="B928">
        <f>Table4[[#This Row],[Column2]]</f>
        <v>0</v>
      </c>
      <c r="C928" s="81"/>
      <c r="D928" s="81"/>
      <c r="E928" s="81"/>
      <c r="F928" s="81"/>
      <c r="G928" s="81"/>
      <c r="H928" s="81"/>
      <c r="I928" s="81"/>
      <c r="J928" s="81"/>
      <c r="K928" s="81"/>
      <c r="L928" s="81"/>
      <c r="M928" s="81"/>
      <c r="N928" s="81"/>
      <c r="O928" s="81"/>
      <c r="P928" s="81"/>
      <c r="Q928" s="81"/>
      <c r="R928" s="81"/>
      <c r="S928" s="81"/>
      <c r="T928" s="81"/>
      <c r="U928" s="81"/>
      <c r="V928" s="94"/>
      <c r="W928" s="94"/>
    </row>
    <row r="929" spans="1:23" ht="21" customHeight="1">
      <c r="A929">
        <f>Table4[[#This Row],[Column1]]</f>
        <v>0</v>
      </c>
      <c r="B929">
        <f>Table4[[#This Row],[Column2]]</f>
        <v>0</v>
      </c>
      <c r="C929" s="81"/>
      <c r="D929" s="81"/>
      <c r="E929" s="81"/>
      <c r="F929" s="81"/>
      <c r="G929" s="81"/>
      <c r="H929" s="81"/>
      <c r="I929" s="81"/>
      <c r="J929" s="81"/>
      <c r="K929" s="81"/>
      <c r="L929" s="81"/>
      <c r="M929" s="81"/>
      <c r="N929" s="81"/>
      <c r="O929" s="81"/>
      <c r="P929" s="81"/>
      <c r="Q929" s="81"/>
      <c r="R929" s="81"/>
      <c r="S929" s="81"/>
      <c r="T929" s="81"/>
      <c r="U929" s="81"/>
      <c r="V929" s="94"/>
      <c r="W929" s="94"/>
    </row>
    <row r="930" spans="1:23" ht="21" customHeight="1">
      <c r="A930">
        <f>Table4[[#This Row],[Column1]]</f>
        <v>0</v>
      </c>
      <c r="B930">
        <f>Table4[[#This Row],[Column2]]</f>
        <v>0</v>
      </c>
      <c r="C930" s="81"/>
      <c r="D930" s="81"/>
      <c r="E930" s="81"/>
      <c r="F930" s="81"/>
      <c r="G930" s="81"/>
      <c r="H930" s="81"/>
      <c r="I930" s="81"/>
      <c r="J930" s="81"/>
      <c r="K930" s="81"/>
      <c r="L930" s="81"/>
      <c r="M930" s="81"/>
      <c r="N930" s="81"/>
      <c r="O930" s="81"/>
      <c r="P930" s="81"/>
      <c r="Q930" s="81"/>
      <c r="R930" s="81"/>
      <c r="S930" s="81"/>
      <c r="T930" s="81"/>
      <c r="U930" s="81"/>
      <c r="V930" s="94"/>
      <c r="W930" s="94"/>
    </row>
    <row r="931" spans="1:23" ht="21" customHeight="1">
      <c r="A931">
        <f>Table4[[#This Row],[Column1]]</f>
        <v>0</v>
      </c>
      <c r="B931">
        <f>Table4[[#This Row],[Column2]]</f>
        <v>0</v>
      </c>
      <c r="C931" s="81"/>
      <c r="D931" s="81"/>
      <c r="E931" s="81"/>
      <c r="F931" s="81"/>
      <c r="G931" s="81"/>
      <c r="H931" s="81"/>
      <c r="I931" s="81"/>
      <c r="J931" s="81"/>
      <c r="K931" s="81"/>
      <c r="L931" s="81"/>
      <c r="M931" s="81"/>
      <c r="N931" s="81"/>
      <c r="O931" s="81"/>
      <c r="P931" s="81"/>
      <c r="Q931" s="81"/>
      <c r="R931" s="81"/>
      <c r="S931" s="81"/>
      <c r="T931" s="81"/>
      <c r="U931" s="81"/>
      <c r="V931" s="94"/>
      <c r="W931" s="94"/>
    </row>
    <row r="932" spans="1:23" ht="21" customHeight="1">
      <c r="A932">
        <f>Table4[[#This Row],[Column1]]</f>
        <v>0</v>
      </c>
      <c r="B932">
        <f>Table4[[#This Row],[Column2]]</f>
        <v>0</v>
      </c>
      <c r="C932" s="81"/>
      <c r="D932" s="81"/>
      <c r="E932" s="81"/>
      <c r="F932" s="81"/>
      <c r="G932" s="81"/>
      <c r="H932" s="81"/>
      <c r="I932" s="81"/>
      <c r="J932" s="81"/>
      <c r="K932" s="81"/>
      <c r="L932" s="81"/>
      <c r="M932" s="81"/>
      <c r="N932" s="81"/>
      <c r="O932" s="81"/>
      <c r="P932" s="81"/>
      <c r="Q932" s="81"/>
      <c r="R932" s="81"/>
      <c r="S932" s="81"/>
      <c r="T932" s="81"/>
      <c r="U932" s="81"/>
      <c r="V932" s="94"/>
      <c r="W932" s="94"/>
    </row>
    <row r="933" spans="1:23" ht="21" customHeight="1">
      <c r="A933">
        <f>Table4[[#This Row],[Column1]]</f>
        <v>0</v>
      </c>
      <c r="B933">
        <f>Table4[[#This Row],[Column2]]</f>
        <v>0</v>
      </c>
      <c r="C933" s="81"/>
      <c r="D933" s="81"/>
      <c r="E933" s="81"/>
      <c r="F933" s="81"/>
      <c r="G933" s="81"/>
      <c r="H933" s="81"/>
      <c r="I933" s="81"/>
      <c r="J933" s="81"/>
      <c r="K933" s="81"/>
      <c r="L933" s="81"/>
      <c r="M933" s="81"/>
      <c r="N933" s="81"/>
      <c r="O933" s="81"/>
      <c r="P933" s="81"/>
      <c r="Q933" s="81"/>
      <c r="R933" s="81"/>
      <c r="S933" s="81"/>
      <c r="T933" s="81"/>
      <c r="U933" s="81"/>
      <c r="V933" s="94"/>
      <c r="W933" s="94"/>
    </row>
    <row r="934" spans="1:23" ht="21" customHeight="1">
      <c r="A934">
        <f>Table4[[#This Row],[Column1]]</f>
        <v>0</v>
      </c>
      <c r="B934">
        <f>Table4[[#This Row],[Column2]]</f>
        <v>0</v>
      </c>
      <c r="C934" s="81"/>
      <c r="D934" s="81"/>
      <c r="E934" s="81"/>
      <c r="F934" s="81"/>
      <c r="G934" s="81"/>
      <c r="H934" s="81"/>
      <c r="I934" s="81"/>
      <c r="J934" s="81"/>
      <c r="K934" s="81"/>
      <c r="L934" s="81"/>
      <c r="M934" s="81"/>
      <c r="N934" s="81"/>
      <c r="O934" s="81"/>
      <c r="P934" s="81"/>
      <c r="Q934" s="81"/>
      <c r="R934" s="81"/>
      <c r="S934" s="81"/>
      <c r="T934" s="81"/>
      <c r="U934" s="81"/>
      <c r="V934" s="94"/>
      <c r="W934" s="94"/>
    </row>
    <row r="935" spans="1:23" ht="21" customHeight="1">
      <c r="A935">
        <f>Table4[[#This Row],[Column1]]</f>
        <v>0</v>
      </c>
      <c r="B935">
        <f>Table4[[#This Row],[Column2]]</f>
        <v>0</v>
      </c>
      <c r="C935" s="81"/>
      <c r="D935" s="81"/>
      <c r="E935" s="81"/>
      <c r="F935" s="81"/>
      <c r="G935" s="81"/>
      <c r="H935" s="81"/>
      <c r="I935" s="81"/>
      <c r="J935" s="81"/>
      <c r="K935" s="81"/>
      <c r="L935" s="81"/>
      <c r="M935" s="81"/>
      <c r="N935" s="81"/>
      <c r="O935" s="81"/>
      <c r="P935" s="81"/>
      <c r="Q935" s="81"/>
      <c r="R935" s="81"/>
      <c r="S935" s="81"/>
      <c r="T935" s="81"/>
      <c r="U935" s="81"/>
      <c r="V935" s="94"/>
      <c r="W935" s="94"/>
    </row>
    <row r="936" spans="1:23" ht="21" customHeight="1">
      <c r="A936">
        <f>Table4[[#This Row],[Column1]]</f>
        <v>0</v>
      </c>
      <c r="B936">
        <f>Table4[[#This Row],[Column2]]</f>
        <v>0</v>
      </c>
      <c r="C936" s="81"/>
      <c r="D936" s="81"/>
      <c r="E936" s="81"/>
      <c r="F936" s="81"/>
      <c r="G936" s="81"/>
      <c r="H936" s="81"/>
      <c r="I936" s="81"/>
      <c r="J936" s="81"/>
      <c r="K936" s="81"/>
      <c r="L936" s="81"/>
      <c r="M936" s="81"/>
      <c r="N936" s="81"/>
      <c r="O936" s="81"/>
      <c r="P936" s="81"/>
      <c r="Q936" s="81"/>
      <c r="R936" s="81"/>
      <c r="S936" s="81"/>
      <c r="T936" s="81"/>
      <c r="U936" s="81"/>
      <c r="V936" s="94"/>
      <c r="W936" s="94"/>
    </row>
    <row r="937" spans="1:23" ht="21" customHeight="1">
      <c r="A937">
        <f>Table4[[#This Row],[Column1]]</f>
        <v>0</v>
      </c>
      <c r="B937">
        <f>Table4[[#This Row],[Column2]]</f>
        <v>0</v>
      </c>
      <c r="C937" s="81"/>
      <c r="D937" s="81"/>
      <c r="E937" s="81"/>
      <c r="F937" s="81"/>
      <c r="G937" s="81"/>
      <c r="H937" s="81"/>
      <c r="I937" s="81"/>
      <c r="J937" s="81"/>
      <c r="K937" s="81"/>
      <c r="L937" s="81"/>
      <c r="M937" s="81"/>
      <c r="N937" s="81"/>
      <c r="O937" s="81"/>
      <c r="P937" s="81"/>
      <c r="Q937" s="81"/>
      <c r="R937" s="81"/>
      <c r="S937" s="81"/>
      <c r="T937" s="81"/>
      <c r="U937" s="81"/>
      <c r="V937" s="94"/>
      <c r="W937" s="94"/>
    </row>
    <row r="938" spans="1:23" ht="21" customHeight="1">
      <c r="A938">
        <f>Table4[[#This Row],[Column1]]</f>
        <v>0</v>
      </c>
      <c r="B938">
        <f>Table4[[#This Row],[Column2]]</f>
        <v>0</v>
      </c>
      <c r="C938" s="81"/>
      <c r="D938" s="81"/>
      <c r="E938" s="81"/>
      <c r="F938" s="81"/>
      <c r="G938" s="81"/>
      <c r="H938" s="81"/>
      <c r="I938" s="81"/>
      <c r="J938" s="81"/>
      <c r="K938" s="81"/>
      <c r="L938" s="81"/>
      <c r="M938" s="81"/>
      <c r="N938" s="81"/>
      <c r="O938" s="81"/>
      <c r="P938" s="81"/>
      <c r="Q938" s="81"/>
      <c r="R938" s="81"/>
      <c r="S938" s="81"/>
      <c r="T938" s="81"/>
      <c r="U938" s="81"/>
      <c r="V938" s="94"/>
      <c r="W938" s="94"/>
    </row>
    <row r="939" spans="1:23" ht="21" customHeight="1">
      <c r="A939">
        <f>Table4[[#This Row],[Column1]]</f>
        <v>0</v>
      </c>
      <c r="B939">
        <f>Table4[[#This Row],[Column2]]</f>
        <v>0</v>
      </c>
      <c r="C939" s="81"/>
      <c r="D939" s="81"/>
      <c r="E939" s="81"/>
      <c r="F939" s="81"/>
      <c r="G939" s="81"/>
      <c r="H939" s="81"/>
      <c r="I939" s="81"/>
      <c r="J939" s="81"/>
      <c r="K939" s="81"/>
      <c r="L939" s="81"/>
      <c r="M939" s="81"/>
      <c r="N939" s="81"/>
      <c r="O939" s="81"/>
      <c r="P939" s="81"/>
      <c r="Q939" s="81"/>
      <c r="R939" s="81"/>
      <c r="S939" s="81"/>
      <c r="T939" s="81"/>
      <c r="U939" s="81"/>
      <c r="V939" s="94"/>
      <c r="W939" s="94"/>
    </row>
    <row r="940" spans="1:23" ht="21" customHeight="1">
      <c r="A940">
        <f>Table4[[#This Row],[Column1]]</f>
        <v>0</v>
      </c>
      <c r="B940">
        <f>Table4[[#This Row],[Column2]]</f>
        <v>0</v>
      </c>
      <c r="C940" s="81"/>
      <c r="D940" s="81"/>
      <c r="E940" s="81"/>
      <c r="F940" s="81"/>
      <c r="G940" s="81"/>
      <c r="H940" s="81"/>
      <c r="I940" s="81"/>
      <c r="J940" s="81"/>
      <c r="K940" s="81"/>
      <c r="L940" s="81"/>
      <c r="M940" s="81"/>
      <c r="N940" s="81"/>
      <c r="O940" s="81"/>
      <c r="P940" s="81"/>
      <c r="Q940" s="81"/>
      <c r="R940" s="81"/>
      <c r="S940" s="81"/>
      <c r="T940" s="81"/>
      <c r="U940" s="81"/>
      <c r="V940" s="94"/>
      <c r="W940" s="94"/>
    </row>
    <row r="941" spans="1:23" ht="21" customHeight="1">
      <c r="A941">
        <f>Table4[[#This Row],[Column1]]</f>
        <v>0</v>
      </c>
      <c r="B941">
        <f>Table4[[#This Row],[Column2]]</f>
        <v>0</v>
      </c>
      <c r="C941" s="81"/>
      <c r="D941" s="81"/>
      <c r="E941" s="81"/>
      <c r="F941" s="81"/>
      <c r="G941" s="81"/>
      <c r="H941" s="81"/>
      <c r="I941" s="81"/>
      <c r="J941" s="81"/>
      <c r="K941" s="81"/>
      <c r="L941" s="81"/>
      <c r="M941" s="81"/>
      <c r="N941" s="81"/>
      <c r="O941" s="81"/>
      <c r="P941" s="81"/>
      <c r="Q941" s="81"/>
      <c r="R941" s="81"/>
      <c r="S941" s="81"/>
      <c r="T941" s="81"/>
      <c r="U941" s="81"/>
      <c r="V941" s="94"/>
      <c r="W941" s="94"/>
    </row>
    <row r="942" spans="1:23" ht="21" customHeight="1">
      <c r="A942">
        <f>Table4[[#This Row],[Column1]]</f>
        <v>0</v>
      </c>
      <c r="B942">
        <f>Table4[[#This Row],[Column2]]</f>
        <v>0</v>
      </c>
      <c r="C942" s="81"/>
      <c r="D942" s="81"/>
      <c r="E942" s="81"/>
      <c r="F942" s="81"/>
      <c r="G942" s="81"/>
      <c r="H942" s="81"/>
      <c r="I942" s="81"/>
      <c r="J942" s="81"/>
      <c r="K942" s="81"/>
      <c r="L942" s="81"/>
      <c r="M942" s="81"/>
      <c r="N942" s="81"/>
      <c r="O942" s="81"/>
      <c r="P942" s="81"/>
      <c r="Q942" s="81"/>
      <c r="R942" s="81"/>
      <c r="S942" s="81"/>
      <c r="T942" s="81"/>
      <c r="U942" s="81"/>
      <c r="V942" s="94"/>
      <c r="W942" s="94"/>
    </row>
    <row r="943" spans="1:23" ht="21" customHeight="1">
      <c r="A943">
        <f>Table4[[#This Row],[Column1]]</f>
        <v>0</v>
      </c>
      <c r="B943">
        <f>Table4[[#This Row],[Column2]]</f>
        <v>0</v>
      </c>
      <c r="C943" s="81"/>
      <c r="D943" s="81"/>
      <c r="E943" s="81"/>
      <c r="F943" s="81"/>
      <c r="G943" s="81"/>
      <c r="H943" s="81"/>
      <c r="I943" s="81"/>
      <c r="J943" s="81"/>
      <c r="K943" s="81"/>
      <c r="L943" s="81"/>
      <c r="M943" s="81"/>
      <c r="N943" s="81"/>
      <c r="O943" s="81"/>
      <c r="P943" s="81"/>
      <c r="Q943" s="81"/>
      <c r="R943" s="81"/>
      <c r="S943" s="81"/>
      <c r="T943" s="81"/>
      <c r="U943" s="81"/>
      <c r="V943" s="94"/>
      <c r="W943" s="94"/>
    </row>
    <row r="944" spans="1:23" ht="21" customHeight="1">
      <c r="A944">
        <f>Table4[[#This Row],[Column1]]</f>
        <v>0</v>
      </c>
      <c r="B944">
        <f>Table4[[#This Row],[Column2]]</f>
        <v>0</v>
      </c>
      <c r="C944" s="81"/>
      <c r="D944" s="81"/>
      <c r="E944" s="81"/>
      <c r="F944" s="81"/>
      <c r="G944" s="81"/>
      <c r="H944" s="81"/>
      <c r="I944" s="81"/>
      <c r="J944" s="81"/>
      <c r="K944" s="81"/>
      <c r="L944" s="81"/>
      <c r="M944" s="81"/>
      <c r="N944" s="81"/>
      <c r="O944" s="81"/>
      <c r="P944" s="81"/>
      <c r="Q944" s="81"/>
      <c r="R944" s="81"/>
      <c r="S944" s="81"/>
      <c r="T944" s="81"/>
      <c r="U944" s="81"/>
      <c r="V944" s="94"/>
      <c r="W944" s="94"/>
    </row>
    <row r="945" spans="1:23" ht="21" customHeight="1">
      <c r="A945">
        <f>Table4[[#This Row],[Column1]]</f>
        <v>0</v>
      </c>
      <c r="B945">
        <f>Table4[[#This Row],[Column2]]</f>
        <v>0</v>
      </c>
      <c r="C945" s="81"/>
      <c r="D945" s="81"/>
      <c r="E945" s="81"/>
      <c r="F945" s="81"/>
      <c r="G945" s="81"/>
      <c r="H945" s="81"/>
      <c r="I945" s="81"/>
      <c r="J945" s="81"/>
      <c r="K945" s="81"/>
      <c r="L945" s="81"/>
      <c r="M945" s="81"/>
      <c r="N945" s="81"/>
      <c r="O945" s="81"/>
      <c r="P945" s="81"/>
      <c r="Q945" s="81"/>
      <c r="R945" s="81"/>
      <c r="S945" s="81"/>
      <c r="T945" s="81"/>
      <c r="U945" s="81"/>
      <c r="V945" s="94"/>
      <c r="W945" s="94"/>
    </row>
    <row r="946" spans="1:23" ht="21" customHeight="1">
      <c r="A946">
        <f>Table4[[#This Row],[Column1]]</f>
        <v>0</v>
      </c>
      <c r="B946">
        <f>Table4[[#This Row],[Column2]]</f>
        <v>0</v>
      </c>
      <c r="C946" s="81"/>
      <c r="D946" s="81"/>
      <c r="E946" s="81"/>
      <c r="F946" s="81"/>
      <c r="G946" s="81"/>
      <c r="H946" s="81"/>
      <c r="I946" s="81"/>
      <c r="J946" s="81"/>
      <c r="K946" s="81"/>
      <c r="L946" s="81"/>
      <c r="M946" s="81"/>
      <c r="N946" s="81"/>
      <c r="O946" s="81"/>
      <c r="P946" s="81"/>
      <c r="Q946" s="81"/>
      <c r="R946" s="81"/>
      <c r="S946" s="81"/>
      <c r="T946" s="81"/>
      <c r="U946" s="81"/>
      <c r="V946" s="94"/>
      <c r="W946" s="94"/>
    </row>
    <row r="947" spans="1:23" ht="21" customHeight="1">
      <c r="A947">
        <f>Table4[[#This Row],[Column1]]</f>
        <v>0</v>
      </c>
      <c r="B947">
        <f>Table4[[#This Row],[Column2]]</f>
        <v>0</v>
      </c>
      <c r="C947" s="81"/>
      <c r="D947" s="81"/>
      <c r="E947" s="81"/>
      <c r="F947" s="81"/>
      <c r="G947" s="81"/>
      <c r="H947" s="81"/>
      <c r="I947" s="81"/>
      <c r="J947" s="81"/>
      <c r="K947" s="81"/>
      <c r="L947" s="81"/>
      <c r="M947" s="81"/>
      <c r="N947" s="81"/>
      <c r="O947" s="81"/>
      <c r="P947" s="81"/>
      <c r="Q947" s="81"/>
      <c r="R947" s="81"/>
      <c r="S947" s="81"/>
      <c r="T947" s="81"/>
      <c r="U947" s="81"/>
      <c r="V947" s="94"/>
      <c r="W947" s="94"/>
    </row>
    <row r="948" spans="1:23" ht="21" customHeight="1">
      <c r="A948">
        <f>Table4[[#This Row],[Column1]]</f>
        <v>0</v>
      </c>
      <c r="B948">
        <f>Table4[[#This Row],[Column2]]</f>
        <v>0</v>
      </c>
      <c r="C948" s="81"/>
      <c r="D948" s="81"/>
      <c r="E948" s="81"/>
      <c r="F948" s="81"/>
      <c r="G948" s="81"/>
      <c r="H948" s="81"/>
      <c r="I948" s="81"/>
      <c r="J948" s="81"/>
      <c r="K948" s="81"/>
      <c r="L948" s="81"/>
      <c r="M948" s="81"/>
      <c r="N948" s="81"/>
      <c r="O948" s="81"/>
      <c r="P948" s="81"/>
      <c r="Q948" s="81"/>
      <c r="R948" s="81"/>
      <c r="S948" s="81"/>
      <c r="T948" s="81"/>
      <c r="U948" s="81"/>
      <c r="V948" s="94"/>
      <c r="W948" s="94"/>
    </row>
    <row r="949" spans="1:23" ht="21" customHeight="1">
      <c r="A949">
        <f>Table4[[#This Row],[Column1]]</f>
        <v>0</v>
      </c>
      <c r="B949">
        <f>Table4[[#This Row],[Column2]]</f>
        <v>0</v>
      </c>
      <c r="C949" s="81"/>
      <c r="D949" s="81"/>
      <c r="E949" s="81"/>
      <c r="F949" s="81"/>
      <c r="G949" s="81"/>
      <c r="H949" s="81"/>
      <c r="I949" s="81"/>
      <c r="J949" s="81"/>
      <c r="K949" s="81"/>
      <c r="L949" s="81"/>
      <c r="M949" s="81"/>
      <c r="N949" s="81"/>
      <c r="O949" s="81"/>
      <c r="P949" s="81"/>
      <c r="Q949" s="81"/>
      <c r="R949" s="81"/>
      <c r="S949" s="81"/>
      <c r="T949" s="81"/>
      <c r="U949" s="81"/>
      <c r="V949" s="94"/>
      <c r="W949" s="94"/>
    </row>
    <row r="950" spans="1:23" ht="21" customHeight="1">
      <c r="A950">
        <f>Table4[[#This Row],[Column1]]</f>
        <v>0</v>
      </c>
      <c r="B950">
        <f>Table4[[#This Row],[Column2]]</f>
        <v>0</v>
      </c>
      <c r="C950" s="81"/>
      <c r="D950" s="81"/>
      <c r="E950" s="81"/>
      <c r="F950" s="81"/>
      <c r="G950" s="81"/>
      <c r="H950" s="81"/>
      <c r="I950" s="81"/>
      <c r="J950" s="81"/>
      <c r="K950" s="81"/>
      <c r="L950" s="81"/>
      <c r="M950" s="81"/>
      <c r="N950" s="81"/>
      <c r="O950" s="81"/>
      <c r="P950" s="81"/>
      <c r="Q950" s="81"/>
      <c r="R950" s="81"/>
      <c r="S950" s="81"/>
      <c r="T950" s="81"/>
      <c r="U950" s="81"/>
      <c r="V950" s="94"/>
      <c r="W950" s="94"/>
    </row>
    <row r="951" spans="1:23" ht="21" customHeight="1">
      <c r="A951">
        <f>Table4[[#This Row],[Column1]]</f>
        <v>0</v>
      </c>
      <c r="B951">
        <f>Table4[[#This Row],[Column2]]</f>
        <v>0</v>
      </c>
      <c r="C951" s="81"/>
      <c r="D951" s="81"/>
      <c r="E951" s="81"/>
      <c r="F951" s="81"/>
      <c r="G951" s="81"/>
      <c r="H951" s="81"/>
      <c r="I951" s="81"/>
      <c r="J951" s="81"/>
      <c r="K951" s="81"/>
      <c r="L951" s="81"/>
      <c r="M951" s="81"/>
      <c r="N951" s="81"/>
      <c r="O951" s="81"/>
      <c r="P951" s="81"/>
      <c r="Q951" s="81"/>
      <c r="R951" s="81"/>
      <c r="S951" s="81"/>
      <c r="T951" s="81"/>
      <c r="U951" s="81"/>
      <c r="V951" s="94"/>
      <c r="W951" s="94"/>
    </row>
    <row r="952" spans="1:23" ht="21" customHeight="1">
      <c r="A952">
        <f>Table4[[#This Row],[Column1]]</f>
        <v>0</v>
      </c>
      <c r="B952">
        <f>Table4[[#This Row],[Column2]]</f>
        <v>0</v>
      </c>
      <c r="C952" s="81"/>
      <c r="D952" s="81"/>
      <c r="E952" s="81"/>
      <c r="F952" s="81"/>
      <c r="G952" s="81"/>
      <c r="H952" s="81"/>
      <c r="I952" s="81"/>
      <c r="J952" s="81"/>
      <c r="K952" s="81"/>
      <c r="L952" s="81"/>
      <c r="M952" s="81"/>
      <c r="N952" s="81"/>
      <c r="O952" s="81"/>
      <c r="P952" s="81"/>
      <c r="Q952" s="81"/>
      <c r="R952" s="81"/>
      <c r="S952" s="81"/>
      <c r="T952" s="81"/>
      <c r="U952" s="81"/>
      <c r="V952" s="94"/>
      <c r="W952" s="94"/>
    </row>
    <row r="953" spans="1:23" ht="21" customHeight="1">
      <c r="A953">
        <f>Table4[[#This Row],[Column1]]</f>
        <v>0</v>
      </c>
      <c r="B953">
        <f>Table4[[#This Row],[Column2]]</f>
        <v>0</v>
      </c>
      <c r="C953" s="81"/>
      <c r="D953" s="81"/>
      <c r="E953" s="81"/>
      <c r="F953" s="81"/>
      <c r="G953" s="81"/>
      <c r="H953" s="81"/>
      <c r="I953" s="81"/>
      <c r="J953" s="81"/>
      <c r="K953" s="81"/>
      <c r="L953" s="81"/>
      <c r="M953" s="81"/>
      <c r="N953" s="81"/>
      <c r="O953" s="81"/>
      <c r="P953" s="81"/>
      <c r="Q953" s="81"/>
      <c r="R953" s="81"/>
      <c r="S953" s="81"/>
      <c r="T953" s="81"/>
      <c r="U953" s="81"/>
      <c r="V953" s="94"/>
      <c r="W953" s="94"/>
    </row>
    <row r="954" spans="1:23" ht="21" customHeight="1">
      <c r="A954">
        <f>Table4[[#This Row],[Column1]]</f>
        <v>0</v>
      </c>
      <c r="B954">
        <f>Table4[[#This Row],[Column2]]</f>
        <v>0</v>
      </c>
      <c r="C954" s="81"/>
      <c r="D954" s="81"/>
      <c r="E954" s="81"/>
      <c r="F954" s="81"/>
      <c r="G954" s="81"/>
      <c r="H954" s="81"/>
      <c r="I954" s="81"/>
      <c r="J954" s="81"/>
      <c r="K954" s="81"/>
      <c r="L954" s="81"/>
      <c r="M954" s="81"/>
      <c r="N954" s="81"/>
      <c r="O954" s="81"/>
      <c r="P954" s="81"/>
      <c r="Q954" s="81"/>
      <c r="R954" s="81"/>
      <c r="S954" s="81"/>
      <c r="T954" s="81"/>
      <c r="U954" s="81"/>
      <c r="V954" s="94"/>
      <c r="W954" s="94"/>
    </row>
    <row r="955" spans="1:23" ht="21" customHeight="1">
      <c r="A955">
        <f>Table4[[#This Row],[Column1]]</f>
        <v>0</v>
      </c>
      <c r="B955">
        <f>Table4[[#This Row],[Column2]]</f>
        <v>0</v>
      </c>
      <c r="C955" s="81"/>
      <c r="D955" s="81"/>
      <c r="E955" s="81"/>
      <c r="F955" s="81"/>
      <c r="G955" s="81"/>
      <c r="H955" s="81"/>
      <c r="I955" s="81"/>
      <c r="J955" s="81"/>
      <c r="K955" s="81"/>
      <c r="L955" s="81"/>
      <c r="M955" s="81"/>
      <c r="N955" s="81"/>
      <c r="O955" s="81"/>
      <c r="P955" s="81"/>
      <c r="Q955" s="81"/>
      <c r="R955" s="81"/>
      <c r="S955" s="81"/>
      <c r="T955" s="81"/>
      <c r="U955" s="81"/>
      <c r="V955" s="94"/>
      <c r="W955" s="94"/>
    </row>
    <row r="956" spans="1:23" ht="21" customHeight="1">
      <c r="A956">
        <f>Table4[[#This Row],[Column1]]</f>
        <v>0</v>
      </c>
      <c r="B956">
        <f>Table4[[#This Row],[Column2]]</f>
        <v>0</v>
      </c>
      <c r="C956" s="81"/>
      <c r="D956" s="81"/>
      <c r="E956" s="81"/>
      <c r="F956" s="81"/>
      <c r="G956" s="81"/>
      <c r="H956" s="81"/>
      <c r="I956" s="81"/>
      <c r="J956" s="81"/>
      <c r="K956" s="81"/>
      <c r="L956" s="81"/>
      <c r="M956" s="81"/>
      <c r="N956" s="81"/>
      <c r="O956" s="81"/>
      <c r="P956" s="81"/>
      <c r="Q956" s="81"/>
      <c r="R956" s="81"/>
      <c r="S956" s="81"/>
      <c r="T956" s="81"/>
      <c r="U956" s="81"/>
      <c r="V956" s="94"/>
      <c r="W956" s="94"/>
    </row>
    <row r="957" spans="1:23" ht="21" customHeight="1">
      <c r="A957">
        <f>Table4[[#This Row],[Column1]]</f>
        <v>0</v>
      </c>
      <c r="B957">
        <f>Table4[[#This Row],[Column2]]</f>
        <v>0</v>
      </c>
      <c r="C957" s="81"/>
      <c r="D957" s="81"/>
      <c r="E957" s="81"/>
      <c r="F957" s="81"/>
      <c r="G957" s="81"/>
      <c r="H957" s="81"/>
      <c r="I957" s="81"/>
      <c r="J957" s="81"/>
      <c r="K957" s="81"/>
      <c r="L957" s="81"/>
      <c r="M957" s="81"/>
      <c r="N957" s="81"/>
      <c r="O957" s="81"/>
      <c r="P957" s="81"/>
      <c r="Q957" s="81"/>
      <c r="R957" s="81"/>
      <c r="S957" s="81"/>
      <c r="T957" s="81"/>
      <c r="U957" s="81"/>
      <c r="V957" s="94"/>
      <c r="W957" s="94"/>
    </row>
    <row r="958" spans="1:23" ht="21" customHeight="1">
      <c r="A958">
        <f>Table4[[#This Row],[Column1]]</f>
        <v>0</v>
      </c>
      <c r="B958">
        <f>Table4[[#This Row],[Column2]]</f>
        <v>0</v>
      </c>
      <c r="C958" s="81"/>
      <c r="D958" s="81"/>
      <c r="E958" s="81"/>
      <c r="F958" s="81"/>
      <c r="G958" s="81"/>
      <c r="H958" s="81"/>
      <c r="I958" s="81"/>
      <c r="J958" s="81"/>
      <c r="K958" s="81"/>
      <c r="L958" s="81"/>
      <c r="M958" s="81"/>
      <c r="N958" s="81"/>
      <c r="O958" s="81"/>
      <c r="P958" s="81"/>
      <c r="Q958" s="81"/>
      <c r="R958" s="81"/>
      <c r="S958" s="81"/>
      <c r="T958" s="81"/>
      <c r="U958" s="81"/>
      <c r="V958" s="94"/>
      <c r="W958" s="94"/>
    </row>
    <row r="959" spans="1:23" ht="21" customHeight="1">
      <c r="A959">
        <f>Table4[[#This Row],[Column1]]</f>
        <v>0</v>
      </c>
      <c r="B959">
        <f>Table4[[#This Row],[Column2]]</f>
        <v>0</v>
      </c>
      <c r="C959" s="81"/>
      <c r="D959" s="81"/>
      <c r="E959" s="81"/>
      <c r="F959" s="81"/>
      <c r="G959" s="81"/>
      <c r="H959" s="81"/>
      <c r="I959" s="81"/>
      <c r="J959" s="81"/>
      <c r="K959" s="81"/>
      <c r="L959" s="81"/>
      <c r="M959" s="81"/>
      <c r="N959" s="81"/>
      <c r="O959" s="81"/>
      <c r="P959" s="81"/>
      <c r="Q959" s="81"/>
      <c r="R959" s="81"/>
      <c r="S959" s="81"/>
      <c r="T959" s="81"/>
      <c r="U959" s="81"/>
      <c r="V959" s="94"/>
      <c r="W959" s="94"/>
    </row>
    <row r="960" spans="1:23" ht="21" customHeight="1">
      <c r="A960">
        <f>Table4[[#This Row],[Column1]]</f>
        <v>0</v>
      </c>
      <c r="B960">
        <f>Table4[[#This Row],[Column2]]</f>
        <v>0</v>
      </c>
      <c r="C960" s="81"/>
      <c r="D960" s="81"/>
      <c r="E960" s="81"/>
      <c r="F960" s="81"/>
      <c r="G960" s="81"/>
      <c r="H960" s="81"/>
      <c r="I960" s="81"/>
      <c r="J960" s="81"/>
      <c r="K960" s="81"/>
      <c r="L960" s="81"/>
      <c r="M960" s="81"/>
      <c r="N960" s="81"/>
      <c r="O960" s="81"/>
      <c r="P960" s="81"/>
      <c r="Q960" s="81"/>
      <c r="R960" s="81"/>
      <c r="S960" s="81"/>
      <c r="T960" s="81"/>
      <c r="U960" s="81"/>
      <c r="V960" s="94"/>
      <c r="W960" s="94"/>
    </row>
    <row r="961" spans="1:23" ht="21" customHeight="1">
      <c r="A961">
        <f>Table4[[#This Row],[Column1]]</f>
        <v>0</v>
      </c>
      <c r="B961">
        <f>Table4[[#This Row],[Column2]]</f>
        <v>0</v>
      </c>
      <c r="C961" s="81"/>
      <c r="D961" s="81"/>
      <c r="E961" s="81"/>
      <c r="F961" s="81"/>
      <c r="G961" s="81"/>
      <c r="H961" s="81"/>
      <c r="I961" s="81"/>
      <c r="J961" s="81"/>
      <c r="K961" s="81"/>
      <c r="L961" s="81"/>
      <c r="M961" s="81"/>
      <c r="N961" s="81"/>
      <c r="O961" s="81"/>
      <c r="P961" s="81"/>
      <c r="Q961" s="81"/>
      <c r="R961" s="81"/>
      <c r="S961" s="81"/>
      <c r="T961" s="81"/>
      <c r="U961" s="81"/>
      <c r="V961" s="94"/>
      <c r="W961" s="94"/>
    </row>
    <row r="962" spans="1:23" ht="21" customHeight="1">
      <c r="A962">
        <f>Table4[[#This Row],[Column1]]</f>
        <v>0</v>
      </c>
      <c r="B962">
        <f>Table4[[#This Row],[Column2]]</f>
        <v>0</v>
      </c>
      <c r="C962" s="81"/>
      <c r="D962" s="81"/>
      <c r="E962" s="81"/>
      <c r="F962" s="81"/>
      <c r="G962" s="81"/>
      <c r="H962" s="81"/>
      <c r="I962" s="81"/>
      <c r="J962" s="81"/>
      <c r="K962" s="81"/>
      <c r="L962" s="81"/>
      <c r="M962" s="81"/>
      <c r="N962" s="81"/>
      <c r="O962" s="81"/>
      <c r="P962" s="81"/>
      <c r="Q962" s="81"/>
      <c r="R962" s="81"/>
      <c r="S962" s="81"/>
      <c r="T962" s="81"/>
      <c r="U962" s="81"/>
      <c r="V962" s="94"/>
      <c r="W962" s="94"/>
    </row>
    <row r="963" spans="1:23" ht="21" customHeight="1">
      <c r="A963">
        <f>Table4[[#This Row],[Column1]]</f>
        <v>0</v>
      </c>
      <c r="B963">
        <f>Table4[[#This Row],[Column2]]</f>
        <v>0</v>
      </c>
      <c r="C963" s="81"/>
      <c r="D963" s="81"/>
      <c r="E963" s="81"/>
      <c r="F963" s="81"/>
      <c r="G963" s="81"/>
      <c r="H963" s="81"/>
      <c r="I963" s="81"/>
      <c r="J963" s="81"/>
      <c r="K963" s="81"/>
      <c r="L963" s="81"/>
      <c r="M963" s="81"/>
      <c r="N963" s="81"/>
      <c r="O963" s="81"/>
      <c r="P963" s="81"/>
      <c r="Q963" s="81"/>
      <c r="R963" s="81"/>
      <c r="S963" s="81"/>
      <c r="T963" s="81"/>
      <c r="U963" s="81"/>
      <c r="V963" s="94"/>
      <c r="W963" s="94"/>
    </row>
    <row r="964" spans="1:23" ht="21" customHeight="1">
      <c r="A964">
        <f>Table4[[#This Row],[Column1]]</f>
        <v>0</v>
      </c>
      <c r="B964">
        <f>Table4[[#This Row],[Column2]]</f>
        <v>0</v>
      </c>
      <c r="C964" s="81"/>
      <c r="D964" s="81"/>
      <c r="E964" s="81"/>
      <c r="F964" s="81"/>
      <c r="G964" s="81"/>
      <c r="H964" s="81"/>
      <c r="I964" s="81"/>
      <c r="J964" s="81"/>
      <c r="K964" s="81"/>
      <c r="L964" s="81"/>
      <c r="M964" s="81"/>
      <c r="N964" s="81"/>
      <c r="O964" s="81"/>
      <c r="P964" s="81"/>
      <c r="Q964" s="81"/>
      <c r="R964" s="81"/>
      <c r="S964" s="81"/>
      <c r="T964" s="81"/>
      <c r="U964" s="81"/>
      <c r="V964" s="94"/>
      <c r="W964" s="94"/>
    </row>
    <row r="965" spans="1:23" ht="21" customHeight="1">
      <c r="A965">
        <f>Table4[[#This Row],[Column1]]</f>
        <v>0</v>
      </c>
      <c r="B965">
        <f>Table4[[#This Row],[Column2]]</f>
        <v>0</v>
      </c>
      <c r="C965" s="81"/>
      <c r="D965" s="81"/>
      <c r="E965" s="81"/>
      <c r="F965" s="81"/>
      <c r="G965" s="81"/>
      <c r="H965" s="81"/>
      <c r="I965" s="81"/>
      <c r="J965" s="81"/>
      <c r="K965" s="81"/>
      <c r="L965" s="81"/>
      <c r="M965" s="81"/>
      <c r="N965" s="81"/>
      <c r="O965" s="81"/>
      <c r="P965" s="81"/>
      <c r="Q965" s="81"/>
      <c r="R965" s="81"/>
      <c r="S965" s="81"/>
      <c r="T965" s="81"/>
      <c r="U965" s="81"/>
      <c r="V965" s="94"/>
      <c r="W965" s="94"/>
    </row>
    <row r="966" spans="1:23" ht="21" customHeight="1">
      <c r="A966">
        <f>Table4[[#This Row],[Column1]]</f>
        <v>0</v>
      </c>
      <c r="B966">
        <f>Table4[[#This Row],[Column2]]</f>
        <v>0</v>
      </c>
      <c r="C966" s="81"/>
      <c r="D966" s="81"/>
      <c r="E966" s="81"/>
      <c r="F966" s="81"/>
      <c r="G966" s="81"/>
      <c r="H966" s="81"/>
      <c r="I966" s="81"/>
      <c r="J966" s="81"/>
      <c r="K966" s="81"/>
      <c r="L966" s="81"/>
      <c r="M966" s="81"/>
      <c r="N966" s="81"/>
      <c r="O966" s="81"/>
      <c r="P966" s="81"/>
      <c r="Q966" s="81"/>
      <c r="R966" s="81"/>
      <c r="S966" s="81"/>
      <c r="T966" s="81"/>
      <c r="U966" s="81"/>
      <c r="V966" s="94"/>
      <c r="W966" s="94"/>
    </row>
    <row r="967" spans="1:23" ht="21" customHeight="1">
      <c r="A967">
        <f>Table4[[#This Row],[Column1]]</f>
        <v>0</v>
      </c>
      <c r="B967">
        <f>Table4[[#This Row],[Column2]]</f>
        <v>0</v>
      </c>
      <c r="C967" s="81"/>
      <c r="D967" s="81"/>
      <c r="E967" s="81"/>
      <c r="F967" s="81"/>
      <c r="G967" s="81"/>
      <c r="H967" s="81"/>
      <c r="I967" s="81"/>
      <c r="J967" s="81"/>
      <c r="K967" s="81"/>
      <c r="L967" s="81"/>
      <c r="M967" s="81"/>
      <c r="N967" s="81"/>
      <c r="O967" s="81"/>
      <c r="P967" s="81"/>
      <c r="Q967" s="81"/>
      <c r="R967" s="81"/>
      <c r="S967" s="81"/>
      <c r="T967" s="81"/>
      <c r="U967" s="81"/>
      <c r="V967" s="94"/>
      <c r="W967" s="94"/>
    </row>
    <row r="968" spans="1:23" ht="21" customHeight="1">
      <c r="A968">
        <f>Table4[[#This Row],[Column1]]</f>
        <v>0</v>
      </c>
      <c r="B968">
        <f>Table4[[#This Row],[Column2]]</f>
        <v>0</v>
      </c>
      <c r="C968" s="81"/>
      <c r="D968" s="81"/>
      <c r="E968" s="81"/>
      <c r="F968" s="81"/>
      <c r="G968" s="81"/>
      <c r="H968" s="81"/>
      <c r="I968" s="81"/>
      <c r="J968" s="81"/>
      <c r="K968" s="81"/>
      <c r="L968" s="81"/>
      <c r="M968" s="81"/>
      <c r="N968" s="81"/>
      <c r="O968" s="81"/>
      <c r="P968" s="81"/>
      <c r="Q968" s="81"/>
      <c r="R968" s="81"/>
      <c r="S968" s="81"/>
      <c r="T968" s="81"/>
      <c r="U968" s="81"/>
      <c r="V968" s="94"/>
      <c r="W968" s="94"/>
    </row>
    <row r="969" spans="1:23" ht="21" customHeight="1">
      <c r="A969">
        <f>Table4[[#This Row],[Column1]]</f>
        <v>0</v>
      </c>
      <c r="B969">
        <f>Table4[[#This Row],[Column2]]</f>
        <v>0</v>
      </c>
      <c r="C969" s="81"/>
      <c r="D969" s="81"/>
      <c r="E969" s="81"/>
      <c r="F969" s="81"/>
      <c r="G969" s="81"/>
      <c r="H969" s="81"/>
      <c r="I969" s="81"/>
      <c r="J969" s="81"/>
      <c r="K969" s="81"/>
      <c r="L969" s="81"/>
      <c r="M969" s="81"/>
      <c r="N969" s="81"/>
      <c r="O969" s="81"/>
      <c r="P969" s="81"/>
      <c r="Q969" s="81"/>
      <c r="R969" s="81"/>
      <c r="S969" s="81"/>
      <c r="T969" s="81"/>
      <c r="U969" s="81"/>
      <c r="V969" s="94"/>
      <c r="W969" s="94"/>
    </row>
    <row r="970" spans="1:23" ht="21" customHeight="1">
      <c r="A970">
        <f>Table4[[#This Row],[Column1]]</f>
        <v>0</v>
      </c>
      <c r="B970">
        <f>Table4[[#This Row],[Column2]]</f>
        <v>0</v>
      </c>
      <c r="C970" s="81"/>
      <c r="D970" s="81"/>
      <c r="E970" s="81"/>
      <c r="F970" s="81"/>
      <c r="G970" s="81"/>
      <c r="H970" s="81"/>
      <c r="I970" s="81"/>
      <c r="J970" s="81"/>
      <c r="K970" s="81"/>
      <c r="L970" s="81"/>
      <c r="M970" s="81"/>
      <c r="N970" s="81"/>
      <c r="O970" s="81"/>
      <c r="P970" s="81"/>
      <c r="Q970" s="81"/>
      <c r="R970" s="81"/>
      <c r="S970" s="81"/>
      <c r="T970" s="81"/>
      <c r="U970" s="81"/>
      <c r="V970" s="94"/>
      <c r="W970" s="94"/>
    </row>
    <row r="971" spans="1:23" ht="21" customHeight="1">
      <c r="A971">
        <f>Table4[[#This Row],[Column1]]</f>
        <v>0</v>
      </c>
      <c r="B971">
        <f>Table4[[#This Row],[Column2]]</f>
        <v>0</v>
      </c>
      <c r="C971" s="81"/>
      <c r="D971" s="81"/>
      <c r="E971" s="81"/>
      <c r="F971" s="81"/>
      <c r="G971" s="81"/>
      <c r="H971" s="81"/>
      <c r="I971" s="81"/>
      <c r="J971" s="81"/>
      <c r="K971" s="81"/>
      <c r="L971" s="81"/>
      <c r="M971" s="81"/>
      <c r="N971" s="81"/>
      <c r="O971" s="81"/>
      <c r="P971" s="81"/>
      <c r="Q971" s="81"/>
      <c r="R971" s="81"/>
      <c r="S971" s="81"/>
      <c r="T971" s="81"/>
      <c r="U971" s="81"/>
      <c r="V971" s="94"/>
      <c r="W971" s="94"/>
    </row>
    <row r="972" spans="1:23" ht="21" customHeight="1">
      <c r="A972">
        <f>Table4[[#This Row],[Column1]]</f>
        <v>0</v>
      </c>
      <c r="B972">
        <f>Table4[[#This Row],[Column2]]</f>
        <v>0</v>
      </c>
      <c r="C972" s="81"/>
      <c r="D972" s="81"/>
      <c r="E972" s="81"/>
      <c r="F972" s="81"/>
      <c r="G972" s="81"/>
      <c r="H972" s="81"/>
      <c r="I972" s="81"/>
      <c r="J972" s="81"/>
      <c r="K972" s="81"/>
      <c r="L972" s="81"/>
      <c r="M972" s="81"/>
      <c r="N972" s="81"/>
      <c r="O972" s="81"/>
      <c r="P972" s="81"/>
      <c r="Q972" s="81"/>
      <c r="R972" s="81"/>
      <c r="S972" s="81"/>
      <c r="T972" s="81"/>
      <c r="U972" s="81"/>
      <c r="V972" s="94"/>
      <c r="W972" s="94"/>
    </row>
    <row r="973" spans="1:23" ht="21" customHeight="1">
      <c r="A973">
        <f>Table4[[#This Row],[Column1]]</f>
        <v>0</v>
      </c>
      <c r="B973">
        <f>Table4[[#This Row],[Column2]]</f>
        <v>0</v>
      </c>
      <c r="C973" s="81"/>
      <c r="D973" s="81"/>
      <c r="E973" s="81"/>
      <c r="F973" s="81"/>
      <c r="G973" s="81"/>
      <c r="H973" s="81"/>
      <c r="I973" s="81"/>
      <c r="J973" s="81"/>
      <c r="K973" s="81"/>
      <c r="L973" s="81"/>
      <c r="M973" s="81"/>
      <c r="N973" s="81"/>
      <c r="O973" s="81"/>
      <c r="P973" s="81"/>
      <c r="Q973" s="81"/>
      <c r="R973" s="81"/>
      <c r="S973" s="81"/>
      <c r="T973" s="81"/>
      <c r="U973" s="81"/>
      <c r="V973" s="94"/>
      <c r="W973" s="94"/>
    </row>
    <row r="974" spans="1:23" ht="21" customHeight="1">
      <c r="A974">
        <f>Table4[[#This Row],[Column1]]</f>
        <v>0</v>
      </c>
      <c r="B974">
        <f>Table4[[#This Row],[Column2]]</f>
        <v>0</v>
      </c>
      <c r="C974" s="81"/>
      <c r="D974" s="81"/>
      <c r="E974" s="81"/>
      <c r="F974" s="81"/>
      <c r="G974" s="81"/>
      <c r="H974" s="81"/>
      <c r="I974" s="81"/>
      <c r="J974" s="81"/>
      <c r="K974" s="81"/>
      <c r="L974" s="81"/>
      <c r="M974" s="81"/>
      <c r="N974" s="81"/>
      <c r="O974" s="81"/>
      <c r="P974" s="81"/>
      <c r="Q974" s="81"/>
      <c r="R974" s="81"/>
      <c r="S974" s="81"/>
      <c r="T974" s="81"/>
      <c r="U974" s="81"/>
      <c r="V974" s="94"/>
      <c r="W974" s="94"/>
    </row>
    <row r="975" spans="1:23" ht="21" customHeight="1">
      <c r="A975">
        <f>Table4[[#This Row],[Column1]]</f>
        <v>0</v>
      </c>
      <c r="B975">
        <f>Table4[[#This Row],[Column2]]</f>
        <v>0</v>
      </c>
      <c r="C975" s="81"/>
      <c r="D975" s="81"/>
      <c r="E975" s="81"/>
      <c r="F975" s="81"/>
      <c r="G975" s="81"/>
      <c r="H975" s="81"/>
      <c r="I975" s="81"/>
      <c r="J975" s="81"/>
      <c r="K975" s="81"/>
      <c r="L975" s="81"/>
      <c r="M975" s="81"/>
      <c r="N975" s="81"/>
      <c r="O975" s="81"/>
      <c r="P975" s="81"/>
      <c r="Q975" s="81"/>
      <c r="R975" s="81"/>
      <c r="S975" s="81"/>
      <c r="T975" s="81"/>
      <c r="U975" s="81"/>
      <c r="V975" s="94"/>
      <c r="W975" s="94"/>
    </row>
    <row r="976" spans="1:23" ht="21" customHeight="1">
      <c r="A976">
        <f>Table4[[#This Row],[Column1]]</f>
        <v>0</v>
      </c>
      <c r="B976">
        <f>Table4[[#This Row],[Column2]]</f>
        <v>0</v>
      </c>
      <c r="C976" s="81"/>
      <c r="D976" s="81"/>
      <c r="E976" s="81"/>
      <c r="F976" s="81"/>
      <c r="G976" s="81"/>
      <c r="H976" s="81"/>
      <c r="I976" s="81"/>
      <c r="J976" s="81"/>
      <c r="K976" s="81"/>
      <c r="L976" s="81"/>
      <c r="M976" s="81"/>
      <c r="N976" s="81"/>
      <c r="O976" s="81"/>
      <c r="P976" s="81"/>
      <c r="Q976" s="81"/>
      <c r="R976" s="81"/>
      <c r="S976" s="81"/>
      <c r="T976" s="81"/>
      <c r="U976" s="81"/>
      <c r="V976" s="94"/>
      <c r="W976" s="94"/>
    </row>
    <row r="977" spans="1:23" ht="21" customHeight="1">
      <c r="A977">
        <f>Table4[[#This Row],[Column1]]</f>
        <v>0</v>
      </c>
      <c r="B977">
        <f>Table4[[#This Row],[Column2]]</f>
        <v>0</v>
      </c>
      <c r="C977" s="81"/>
      <c r="D977" s="81"/>
      <c r="E977" s="81"/>
      <c r="F977" s="81"/>
      <c r="G977" s="81"/>
      <c r="H977" s="81"/>
      <c r="I977" s="81"/>
      <c r="J977" s="81"/>
      <c r="K977" s="81"/>
      <c r="L977" s="81"/>
      <c r="M977" s="81"/>
      <c r="N977" s="81"/>
      <c r="O977" s="81"/>
      <c r="P977" s="81"/>
      <c r="Q977" s="81"/>
      <c r="R977" s="81"/>
      <c r="S977" s="81"/>
      <c r="T977" s="81"/>
      <c r="U977" s="81"/>
      <c r="V977" s="94"/>
      <c r="W977" s="94"/>
    </row>
    <row r="978" spans="1:23" ht="21" customHeight="1">
      <c r="A978">
        <f>Table4[[#This Row],[Column1]]</f>
        <v>0</v>
      </c>
      <c r="B978">
        <f>Table4[[#This Row],[Column2]]</f>
        <v>0</v>
      </c>
      <c r="C978" s="81"/>
      <c r="D978" s="81"/>
      <c r="E978" s="81"/>
      <c r="F978" s="81"/>
      <c r="G978" s="81"/>
      <c r="H978" s="81"/>
      <c r="I978" s="81"/>
      <c r="J978" s="81"/>
      <c r="K978" s="81"/>
      <c r="L978" s="81"/>
      <c r="M978" s="81"/>
      <c r="N978" s="81"/>
      <c r="O978" s="81"/>
      <c r="P978" s="81"/>
      <c r="Q978" s="81"/>
      <c r="R978" s="81"/>
      <c r="S978" s="81"/>
      <c r="T978" s="81"/>
      <c r="U978" s="81"/>
      <c r="V978" s="94"/>
      <c r="W978" s="94"/>
    </row>
    <row r="979" spans="1:23" ht="21" customHeight="1">
      <c r="A979">
        <f>Table4[[#This Row],[Column1]]</f>
        <v>0</v>
      </c>
      <c r="B979">
        <f>Table4[[#This Row],[Column2]]</f>
        <v>0</v>
      </c>
      <c r="C979" s="81"/>
      <c r="D979" s="81"/>
      <c r="E979" s="81"/>
      <c r="F979" s="81"/>
      <c r="G979" s="81"/>
      <c r="H979" s="81"/>
      <c r="I979" s="81"/>
      <c r="J979" s="81"/>
      <c r="K979" s="81"/>
      <c r="L979" s="81"/>
      <c r="M979" s="81"/>
      <c r="N979" s="81"/>
      <c r="O979" s="81"/>
      <c r="P979" s="81"/>
      <c r="Q979" s="81"/>
      <c r="R979" s="81"/>
      <c r="S979" s="81"/>
      <c r="T979" s="81"/>
      <c r="U979" s="81"/>
      <c r="V979" s="94"/>
      <c r="W979" s="94"/>
    </row>
    <row r="980" spans="1:23" ht="21" customHeight="1">
      <c r="A980">
        <f>Table4[[#This Row],[Column1]]</f>
        <v>0</v>
      </c>
      <c r="B980">
        <f>Table4[[#This Row],[Column2]]</f>
        <v>0</v>
      </c>
      <c r="C980" s="81"/>
      <c r="D980" s="81"/>
      <c r="E980" s="81"/>
      <c r="F980" s="81"/>
      <c r="G980" s="81"/>
      <c r="H980" s="81"/>
      <c r="I980" s="81"/>
      <c r="J980" s="81"/>
      <c r="K980" s="81"/>
      <c r="L980" s="81"/>
      <c r="M980" s="81"/>
      <c r="N980" s="81"/>
      <c r="O980" s="81"/>
      <c r="P980" s="81"/>
      <c r="Q980" s="81"/>
      <c r="R980" s="81"/>
      <c r="S980" s="81"/>
      <c r="T980" s="81"/>
      <c r="U980" s="81"/>
      <c r="V980" s="94"/>
      <c r="W980" s="94"/>
    </row>
    <row r="981" spans="1:23" ht="21" customHeight="1">
      <c r="A981">
        <f>Table4[[#This Row],[Column1]]</f>
        <v>0</v>
      </c>
      <c r="B981">
        <f>Table4[[#This Row],[Column2]]</f>
        <v>0</v>
      </c>
      <c r="C981" s="81"/>
      <c r="D981" s="81"/>
      <c r="E981" s="81"/>
      <c r="F981" s="81"/>
      <c r="G981" s="81"/>
      <c r="H981" s="81"/>
      <c r="I981" s="81"/>
      <c r="J981" s="81"/>
      <c r="K981" s="81"/>
      <c r="L981" s="81"/>
      <c r="M981" s="81"/>
      <c r="N981" s="81"/>
      <c r="O981" s="81"/>
      <c r="P981" s="81"/>
      <c r="Q981" s="81"/>
      <c r="R981" s="81"/>
      <c r="S981" s="81"/>
      <c r="T981" s="81"/>
      <c r="U981" s="81"/>
      <c r="V981" s="94"/>
      <c r="W981" s="94"/>
    </row>
    <row r="982" spans="1:23" ht="21" customHeight="1">
      <c r="A982">
        <f>Table4[[#This Row],[Column1]]</f>
        <v>0</v>
      </c>
      <c r="B982">
        <f>Table4[[#This Row],[Column2]]</f>
        <v>0</v>
      </c>
      <c r="C982" s="81"/>
      <c r="D982" s="81"/>
      <c r="E982" s="81"/>
      <c r="F982" s="81"/>
      <c r="G982" s="81"/>
      <c r="H982" s="81"/>
      <c r="I982" s="81"/>
      <c r="J982" s="81"/>
      <c r="K982" s="81"/>
      <c r="L982" s="81"/>
      <c r="M982" s="81"/>
      <c r="N982" s="81"/>
      <c r="O982" s="81"/>
      <c r="P982" s="81"/>
      <c r="Q982" s="81"/>
      <c r="R982" s="81"/>
      <c r="S982" s="81"/>
      <c r="T982" s="81"/>
      <c r="U982" s="81"/>
      <c r="V982" s="94"/>
      <c r="W982" s="94"/>
    </row>
    <row r="983" spans="1:23" ht="21" customHeight="1">
      <c r="A983">
        <f>Table4[[#This Row],[Column1]]</f>
        <v>0</v>
      </c>
      <c r="B983">
        <f>Table4[[#This Row],[Column2]]</f>
        <v>0</v>
      </c>
      <c r="C983" s="81"/>
      <c r="D983" s="81"/>
      <c r="E983" s="81"/>
      <c r="F983" s="81"/>
      <c r="G983" s="81"/>
      <c r="H983" s="81"/>
      <c r="I983" s="81"/>
      <c r="J983" s="81"/>
      <c r="K983" s="81"/>
      <c r="L983" s="81"/>
      <c r="M983" s="81"/>
      <c r="N983" s="81"/>
      <c r="O983" s="81"/>
      <c r="P983" s="81"/>
      <c r="Q983" s="81"/>
      <c r="R983" s="81"/>
      <c r="S983" s="81"/>
      <c r="T983" s="81"/>
      <c r="U983" s="81"/>
      <c r="V983" s="94"/>
      <c r="W983" s="94"/>
    </row>
    <row r="984" spans="1:23" ht="21" customHeight="1">
      <c r="A984">
        <f>Table4[[#This Row],[Column1]]</f>
        <v>0</v>
      </c>
      <c r="B984">
        <f>Table4[[#This Row],[Column2]]</f>
        <v>0</v>
      </c>
      <c r="C984" s="81"/>
      <c r="D984" s="81"/>
      <c r="E984" s="81"/>
      <c r="F984" s="81"/>
      <c r="G984" s="81"/>
      <c r="H984" s="81"/>
      <c r="I984" s="81"/>
      <c r="J984" s="81"/>
      <c r="K984" s="81"/>
      <c r="L984" s="81"/>
      <c r="M984" s="81"/>
      <c r="N984" s="81"/>
      <c r="O984" s="81"/>
      <c r="P984" s="81"/>
      <c r="Q984" s="81"/>
      <c r="R984" s="81"/>
      <c r="S984" s="81"/>
      <c r="T984" s="81"/>
      <c r="U984" s="81"/>
      <c r="V984" s="94"/>
      <c r="W984" s="94"/>
    </row>
    <row r="985" spans="1:23" ht="21" customHeight="1">
      <c r="A985">
        <f>Table4[[#This Row],[Column1]]</f>
        <v>0</v>
      </c>
      <c r="B985">
        <f>Table4[[#This Row],[Column2]]</f>
        <v>0</v>
      </c>
      <c r="C985" s="81"/>
      <c r="D985" s="81"/>
      <c r="E985" s="81"/>
      <c r="F985" s="81"/>
      <c r="G985" s="81"/>
      <c r="H985" s="81"/>
      <c r="I985" s="81"/>
      <c r="J985" s="81"/>
      <c r="K985" s="81"/>
      <c r="L985" s="81"/>
      <c r="M985" s="81"/>
      <c r="N985" s="81"/>
      <c r="O985" s="81"/>
      <c r="P985" s="81"/>
      <c r="Q985" s="81"/>
      <c r="R985" s="81"/>
      <c r="S985" s="81"/>
      <c r="T985" s="81"/>
      <c r="U985" s="81"/>
      <c r="V985" s="94"/>
      <c r="W985" s="94"/>
    </row>
    <row r="986" spans="1:23" ht="21" customHeight="1">
      <c r="A986">
        <f>Table4[[#This Row],[Column1]]</f>
        <v>0</v>
      </c>
      <c r="B986">
        <f>Table4[[#This Row],[Column2]]</f>
        <v>0</v>
      </c>
      <c r="C986" s="81"/>
      <c r="D986" s="81"/>
      <c r="E986" s="81"/>
      <c r="F986" s="81"/>
      <c r="G986" s="81"/>
      <c r="H986" s="81"/>
      <c r="I986" s="81"/>
      <c r="J986" s="81"/>
      <c r="K986" s="81"/>
      <c r="L986" s="81"/>
      <c r="M986" s="81"/>
      <c r="N986" s="81"/>
      <c r="O986" s="81"/>
      <c r="P986" s="81"/>
      <c r="Q986" s="81"/>
      <c r="R986" s="81"/>
      <c r="S986" s="81"/>
      <c r="T986" s="81"/>
      <c r="U986" s="81"/>
      <c r="V986" s="94"/>
      <c r="W986" s="94"/>
    </row>
    <row r="987" spans="1:23" ht="21" customHeight="1">
      <c r="A987">
        <f>Table4[[#This Row],[Column1]]</f>
        <v>0</v>
      </c>
      <c r="B987">
        <f>Table4[[#This Row],[Column2]]</f>
        <v>0</v>
      </c>
      <c r="C987" s="81"/>
      <c r="D987" s="81"/>
      <c r="E987" s="81"/>
      <c r="F987" s="81"/>
      <c r="G987" s="81"/>
      <c r="H987" s="81"/>
      <c r="I987" s="81"/>
      <c r="J987" s="81"/>
      <c r="K987" s="81"/>
      <c r="L987" s="81"/>
      <c r="M987" s="81"/>
      <c r="N987" s="81"/>
      <c r="O987" s="81"/>
      <c r="P987" s="81"/>
      <c r="Q987" s="81"/>
      <c r="R987" s="81"/>
      <c r="S987" s="81"/>
      <c r="T987" s="81"/>
      <c r="U987" s="81"/>
      <c r="V987" s="94"/>
      <c r="W987" s="94"/>
    </row>
    <row r="988" spans="1:23" ht="21" customHeight="1">
      <c r="A988">
        <f>Table4[[#This Row],[Column1]]</f>
        <v>0</v>
      </c>
      <c r="B988">
        <f>Table4[[#This Row],[Column2]]</f>
        <v>0</v>
      </c>
      <c r="C988" s="81"/>
      <c r="D988" s="81"/>
      <c r="E988" s="81"/>
      <c r="F988" s="81"/>
      <c r="G988" s="81"/>
      <c r="H988" s="81"/>
      <c r="I988" s="81"/>
      <c r="J988" s="81"/>
      <c r="K988" s="81"/>
      <c r="L988" s="81"/>
      <c r="M988" s="81"/>
      <c r="N988" s="81"/>
      <c r="O988" s="81"/>
      <c r="P988" s="81"/>
      <c r="Q988" s="81"/>
      <c r="R988" s="81"/>
      <c r="S988" s="81"/>
      <c r="T988" s="81"/>
      <c r="U988" s="81"/>
      <c r="V988" s="94"/>
      <c r="W988" s="94"/>
    </row>
    <row r="989" spans="1:23" ht="21" customHeight="1">
      <c r="A989">
        <f>Table4[[#This Row],[Column1]]</f>
        <v>0</v>
      </c>
      <c r="B989">
        <f>Table4[[#This Row],[Column2]]</f>
        <v>0</v>
      </c>
      <c r="C989" s="81"/>
      <c r="D989" s="81"/>
      <c r="E989" s="81"/>
      <c r="F989" s="81"/>
      <c r="G989" s="81"/>
      <c r="H989" s="81"/>
      <c r="I989" s="81"/>
      <c r="J989" s="81"/>
      <c r="K989" s="81"/>
      <c r="L989" s="81"/>
      <c r="M989" s="81"/>
      <c r="N989" s="81"/>
      <c r="O989" s="81"/>
      <c r="P989" s="81"/>
      <c r="Q989" s="81"/>
      <c r="R989" s="81"/>
      <c r="S989" s="81"/>
      <c r="T989" s="81"/>
      <c r="U989" s="81"/>
      <c r="V989" s="94"/>
      <c r="W989" s="94"/>
    </row>
    <row r="990" spans="1:23" ht="21" customHeight="1">
      <c r="A990">
        <f>Table4[[#This Row],[Column1]]</f>
        <v>0</v>
      </c>
      <c r="B990">
        <f>Table4[[#This Row],[Column2]]</f>
        <v>0</v>
      </c>
      <c r="C990" s="81"/>
      <c r="D990" s="81"/>
      <c r="E990" s="81"/>
      <c r="F990" s="81"/>
      <c r="G990" s="81"/>
      <c r="H990" s="81"/>
      <c r="I990" s="81"/>
      <c r="J990" s="81"/>
      <c r="K990" s="81"/>
      <c r="L990" s="81"/>
      <c r="M990" s="81"/>
      <c r="N990" s="81"/>
      <c r="O990" s="81"/>
      <c r="P990" s="81"/>
      <c r="Q990" s="81"/>
      <c r="R990" s="81"/>
      <c r="S990" s="81"/>
      <c r="T990" s="81"/>
      <c r="U990" s="81"/>
      <c r="V990" s="94"/>
      <c r="W990" s="94"/>
    </row>
    <row r="991" spans="1:23" ht="21" customHeight="1">
      <c r="A991">
        <f>Table4[[#This Row],[Column1]]</f>
        <v>0</v>
      </c>
      <c r="B991">
        <f>Table4[[#This Row],[Column2]]</f>
        <v>0</v>
      </c>
      <c r="C991" s="81"/>
      <c r="D991" s="81"/>
      <c r="E991" s="81"/>
      <c r="F991" s="81"/>
      <c r="G991" s="81"/>
      <c r="H991" s="81"/>
      <c r="I991" s="81"/>
      <c r="J991" s="81"/>
      <c r="K991" s="81"/>
      <c r="L991" s="81"/>
      <c r="M991" s="81"/>
      <c r="N991" s="81"/>
      <c r="O991" s="81"/>
      <c r="P991" s="81"/>
      <c r="Q991" s="81"/>
      <c r="R991" s="81"/>
      <c r="S991" s="81"/>
      <c r="T991" s="81"/>
      <c r="U991" s="81"/>
      <c r="V991" s="94"/>
      <c r="W991" s="94"/>
    </row>
    <row r="992" spans="1:23" ht="21" customHeight="1">
      <c r="A992">
        <f>Table4[[#This Row],[Column1]]</f>
        <v>0</v>
      </c>
      <c r="B992">
        <f>Table4[[#This Row],[Column2]]</f>
        <v>0</v>
      </c>
      <c r="C992" s="81"/>
      <c r="D992" s="81"/>
      <c r="E992" s="81"/>
      <c r="F992" s="81"/>
      <c r="G992" s="81"/>
      <c r="H992" s="81"/>
      <c r="I992" s="81"/>
      <c r="J992" s="81"/>
      <c r="K992" s="81"/>
      <c r="L992" s="81"/>
      <c r="M992" s="81"/>
      <c r="N992" s="81"/>
      <c r="O992" s="81"/>
      <c r="P992" s="81"/>
      <c r="Q992" s="81"/>
      <c r="R992" s="81"/>
      <c r="S992" s="81"/>
      <c r="T992" s="81"/>
      <c r="U992" s="81"/>
      <c r="V992" s="94"/>
      <c r="W992" s="94"/>
    </row>
    <row r="993" spans="1:23" ht="21" customHeight="1">
      <c r="A993">
        <f>Table4[[#This Row],[Column1]]</f>
        <v>0</v>
      </c>
      <c r="B993">
        <f>Table4[[#This Row],[Column2]]</f>
        <v>0</v>
      </c>
      <c r="C993" s="81"/>
      <c r="D993" s="81"/>
      <c r="E993" s="81"/>
      <c r="F993" s="81"/>
      <c r="G993" s="81"/>
      <c r="H993" s="81"/>
      <c r="I993" s="81"/>
      <c r="J993" s="81"/>
      <c r="K993" s="81"/>
      <c r="L993" s="81"/>
      <c r="M993" s="81"/>
      <c r="N993" s="81"/>
      <c r="O993" s="81"/>
      <c r="P993" s="81"/>
      <c r="Q993" s="81"/>
      <c r="R993" s="81"/>
      <c r="S993" s="81"/>
      <c r="T993" s="81"/>
      <c r="U993" s="81"/>
      <c r="V993" s="94"/>
      <c r="W993" s="94"/>
    </row>
    <row r="994" spans="1:23" ht="21" customHeight="1">
      <c r="A994">
        <f>Table4[[#This Row],[Column1]]</f>
        <v>0</v>
      </c>
      <c r="B994">
        <f>Table4[[#This Row],[Column2]]</f>
        <v>0</v>
      </c>
      <c r="C994" s="81"/>
      <c r="D994" s="81"/>
      <c r="E994" s="81"/>
      <c r="F994" s="81"/>
      <c r="G994" s="81"/>
      <c r="H994" s="81"/>
      <c r="I994" s="81"/>
      <c r="J994" s="81"/>
      <c r="K994" s="81"/>
      <c r="L994" s="81"/>
      <c r="M994" s="81"/>
      <c r="N994" s="81"/>
      <c r="O994" s="81"/>
      <c r="P994" s="81"/>
      <c r="Q994" s="81"/>
      <c r="R994" s="81"/>
      <c r="S994" s="81"/>
      <c r="T994" s="81"/>
      <c r="U994" s="81"/>
      <c r="V994" s="94"/>
      <c r="W994" s="94"/>
    </row>
    <row r="995" spans="1:23" ht="21" customHeight="1">
      <c r="A995">
        <f>Table4[[#This Row],[Column1]]</f>
        <v>0</v>
      </c>
      <c r="B995">
        <f>Table4[[#This Row],[Column2]]</f>
        <v>0</v>
      </c>
      <c r="C995" s="81"/>
      <c r="D995" s="81"/>
      <c r="E995" s="81"/>
      <c r="F995" s="81"/>
      <c r="G995" s="81"/>
      <c r="H995" s="81"/>
      <c r="I995" s="81"/>
      <c r="J995" s="81"/>
      <c r="K995" s="81"/>
      <c r="L995" s="81"/>
      <c r="M995" s="81"/>
      <c r="N995" s="81"/>
      <c r="O995" s="81"/>
      <c r="P995" s="81"/>
      <c r="Q995" s="81"/>
      <c r="R995" s="81"/>
      <c r="S995" s="81"/>
      <c r="T995" s="81"/>
      <c r="U995" s="81"/>
      <c r="V995" s="94"/>
      <c r="W995" s="94"/>
    </row>
    <row r="996" spans="1:23" ht="21" customHeight="1">
      <c r="A996">
        <f>Table4[[#This Row],[Column1]]</f>
        <v>0</v>
      </c>
      <c r="B996">
        <f>Table4[[#This Row],[Column2]]</f>
        <v>0</v>
      </c>
      <c r="C996" s="81"/>
      <c r="D996" s="81"/>
      <c r="E996" s="81"/>
      <c r="F996" s="81"/>
      <c r="G996" s="81"/>
      <c r="H996" s="81"/>
      <c r="I996" s="81"/>
      <c r="J996" s="81"/>
      <c r="K996" s="81"/>
      <c r="L996" s="81"/>
      <c r="M996" s="81"/>
      <c r="N996" s="81"/>
      <c r="O996" s="81"/>
      <c r="P996" s="81"/>
      <c r="Q996" s="81"/>
      <c r="R996" s="81"/>
      <c r="S996" s="81"/>
      <c r="T996" s="81"/>
      <c r="U996" s="81"/>
      <c r="V996" s="94"/>
      <c r="W996" s="94"/>
    </row>
    <row r="997" spans="1:23" ht="21" customHeight="1">
      <c r="A997">
        <f>Table4[[#This Row],[Column1]]</f>
        <v>0</v>
      </c>
      <c r="B997">
        <f>Table4[[#This Row],[Column2]]</f>
        <v>0</v>
      </c>
      <c r="C997" s="81"/>
      <c r="D997" s="81"/>
      <c r="E997" s="81"/>
      <c r="F997" s="81"/>
      <c r="G997" s="81"/>
      <c r="H997" s="81"/>
      <c r="I997" s="81"/>
      <c r="J997" s="81"/>
      <c r="K997" s="81"/>
      <c r="L997" s="81"/>
      <c r="M997" s="81"/>
      <c r="N997" s="81"/>
      <c r="O997" s="81"/>
      <c r="P997" s="81"/>
      <c r="Q997" s="81"/>
      <c r="R997" s="81"/>
      <c r="S997" s="81"/>
      <c r="T997" s="81"/>
      <c r="U997" s="81"/>
      <c r="V997" s="94"/>
      <c r="W997" s="94"/>
    </row>
    <row r="998" spans="1:23" ht="21" customHeight="1">
      <c r="A998">
        <f>Table4[[#This Row],[Column1]]</f>
        <v>0</v>
      </c>
      <c r="B998">
        <f>Table4[[#This Row],[Column2]]</f>
        <v>0</v>
      </c>
      <c r="C998" s="81"/>
      <c r="D998" s="81"/>
      <c r="E998" s="81"/>
      <c r="F998" s="81"/>
      <c r="G998" s="81"/>
      <c r="H998" s="81"/>
      <c r="I998" s="81"/>
      <c r="J998" s="81"/>
      <c r="K998" s="81"/>
      <c r="L998" s="81"/>
      <c r="M998" s="81"/>
      <c r="N998" s="81"/>
      <c r="O998" s="81"/>
      <c r="P998" s="81"/>
      <c r="Q998" s="81"/>
      <c r="R998" s="81"/>
      <c r="S998" s="81"/>
      <c r="T998" s="81"/>
      <c r="U998" s="81"/>
      <c r="V998" s="94"/>
      <c r="W998" s="94"/>
    </row>
    <row r="999" spans="1:23" ht="21" customHeight="1">
      <c r="A999">
        <f>Table4[[#This Row],[Column1]]</f>
        <v>0</v>
      </c>
      <c r="B999">
        <f>Table4[[#This Row],[Column2]]</f>
        <v>0</v>
      </c>
      <c r="C999" s="81"/>
      <c r="D999" s="81"/>
      <c r="E999" s="81"/>
      <c r="F999" s="81"/>
      <c r="G999" s="81"/>
      <c r="H999" s="81"/>
      <c r="I999" s="81"/>
      <c r="J999" s="81"/>
      <c r="K999" s="81"/>
      <c r="L999" s="81"/>
      <c r="M999" s="81"/>
      <c r="N999" s="81"/>
      <c r="O999" s="81"/>
      <c r="P999" s="81"/>
      <c r="Q999" s="81"/>
      <c r="R999" s="81"/>
      <c r="S999" s="81"/>
      <c r="T999" s="81"/>
      <c r="U999" s="81"/>
      <c r="V999" s="94"/>
      <c r="W999" s="94"/>
    </row>
    <row r="1000" spans="1:23" ht="21" customHeight="1">
      <c r="A1000">
        <f>Table4[[#This Row],[Column1]]</f>
        <v>0</v>
      </c>
      <c r="B1000">
        <f>Table4[[#This Row],[Column2]]</f>
        <v>0</v>
      </c>
      <c r="C1000" s="81"/>
      <c r="D1000" s="81"/>
      <c r="E1000" s="81"/>
      <c r="F1000" s="81"/>
      <c r="G1000" s="81"/>
      <c r="H1000" s="81"/>
      <c r="I1000" s="81"/>
      <c r="J1000" s="81"/>
      <c r="K1000" s="81"/>
      <c r="L1000" s="81"/>
      <c r="M1000" s="81"/>
      <c r="N1000" s="81"/>
      <c r="O1000" s="81"/>
      <c r="P1000" s="81"/>
      <c r="Q1000" s="81"/>
      <c r="R1000" s="81"/>
      <c r="S1000" s="81"/>
      <c r="T1000" s="81"/>
      <c r="U1000" s="81"/>
      <c r="V1000" s="94"/>
      <c r="W1000" s="94"/>
    </row>
    <row r="1001" spans="1:23" ht="21" customHeight="1">
      <c r="A1001">
        <f>Table4[[#This Row],[Column1]]</f>
        <v>0</v>
      </c>
      <c r="B1001">
        <f>Table4[[#This Row],[Column2]]</f>
        <v>0</v>
      </c>
      <c r="C1001" s="81"/>
      <c r="D1001" s="81"/>
      <c r="E1001" s="81"/>
      <c r="F1001" s="81"/>
      <c r="G1001" s="81"/>
      <c r="H1001" s="81"/>
      <c r="I1001" s="81"/>
      <c r="J1001" s="81"/>
      <c r="K1001" s="81"/>
      <c r="L1001" s="81"/>
      <c r="M1001" s="81"/>
      <c r="N1001" s="81"/>
      <c r="O1001" s="81"/>
      <c r="P1001" s="81"/>
      <c r="Q1001" s="81"/>
      <c r="R1001" s="81"/>
      <c r="S1001" s="81"/>
      <c r="T1001" s="81"/>
      <c r="U1001" s="81"/>
      <c r="V1001" s="94"/>
      <c r="W1001" s="94"/>
    </row>
    <row r="1002" spans="1:23" ht="21" customHeight="1">
      <c r="A1002">
        <f>Table4[[#This Row],[Column1]]</f>
        <v>0</v>
      </c>
      <c r="B1002">
        <f>Table4[[#This Row],[Column2]]</f>
        <v>0</v>
      </c>
      <c r="C1002" s="81"/>
      <c r="D1002" s="81"/>
      <c r="E1002" s="81"/>
      <c r="F1002" s="81"/>
      <c r="G1002" s="81"/>
      <c r="H1002" s="81"/>
      <c r="I1002" s="81"/>
      <c r="J1002" s="81"/>
      <c r="K1002" s="81"/>
      <c r="L1002" s="81"/>
      <c r="M1002" s="81"/>
      <c r="N1002" s="81"/>
      <c r="O1002" s="81"/>
      <c r="P1002" s="81"/>
      <c r="Q1002" s="81"/>
      <c r="R1002" s="81"/>
      <c r="S1002" s="81"/>
      <c r="T1002" s="81"/>
      <c r="U1002" s="81"/>
      <c r="V1002" s="94"/>
      <c r="W1002" s="94"/>
    </row>
    <row r="1003" spans="1:23" ht="21" customHeight="1">
      <c r="A1003">
        <f>Table4[[#This Row],[Column1]]</f>
        <v>0</v>
      </c>
      <c r="B1003">
        <f>Table4[[#This Row],[Column2]]</f>
        <v>0</v>
      </c>
      <c r="C1003" s="81"/>
      <c r="D1003" s="81"/>
      <c r="E1003" s="81"/>
      <c r="F1003" s="81"/>
      <c r="G1003" s="81"/>
      <c r="H1003" s="81"/>
      <c r="I1003" s="81"/>
      <c r="J1003" s="81"/>
      <c r="K1003" s="81"/>
      <c r="L1003" s="81"/>
      <c r="M1003" s="81"/>
      <c r="N1003" s="81"/>
      <c r="O1003" s="81"/>
      <c r="P1003" s="81"/>
      <c r="Q1003" s="81"/>
      <c r="R1003" s="81"/>
      <c r="S1003" s="81"/>
      <c r="T1003" s="81"/>
      <c r="U1003" s="81"/>
      <c r="V1003" s="94"/>
      <c r="W1003" s="94"/>
    </row>
    <row r="1004" spans="1:23" ht="21" customHeight="1">
      <c r="A1004">
        <f>Table4[[#This Row],[Column1]]</f>
        <v>0</v>
      </c>
      <c r="B1004">
        <f>Table4[[#This Row],[Column2]]</f>
        <v>0</v>
      </c>
      <c r="C1004" s="81"/>
      <c r="D1004" s="81"/>
      <c r="E1004" s="81"/>
      <c r="F1004" s="81"/>
      <c r="G1004" s="81"/>
      <c r="H1004" s="81"/>
      <c r="I1004" s="81"/>
      <c r="J1004" s="81"/>
      <c r="K1004" s="81"/>
      <c r="L1004" s="81"/>
      <c r="M1004" s="81"/>
      <c r="N1004" s="81"/>
      <c r="O1004" s="81"/>
      <c r="P1004" s="81"/>
      <c r="Q1004" s="81"/>
      <c r="R1004" s="81"/>
      <c r="S1004" s="81"/>
      <c r="T1004" s="81"/>
      <c r="U1004" s="81"/>
      <c r="V1004" s="94"/>
      <c r="W1004" s="94"/>
    </row>
    <row r="1005" spans="1:23" ht="21" customHeight="1">
      <c r="A1005">
        <f>Table4[[#This Row],[Column1]]</f>
        <v>0</v>
      </c>
      <c r="B1005">
        <f>Table4[[#This Row],[Column2]]</f>
        <v>0</v>
      </c>
      <c r="C1005" s="81"/>
      <c r="D1005" s="81"/>
      <c r="E1005" s="81"/>
      <c r="F1005" s="81"/>
      <c r="G1005" s="81"/>
      <c r="H1005" s="81"/>
      <c r="I1005" s="81"/>
      <c r="J1005" s="81"/>
      <c r="K1005" s="81"/>
      <c r="L1005" s="81"/>
      <c r="M1005" s="81"/>
      <c r="N1005" s="81"/>
      <c r="O1005" s="81"/>
      <c r="P1005" s="81"/>
      <c r="Q1005" s="81"/>
      <c r="R1005" s="81"/>
      <c r="S1005" s="81"/>
      <c r="T1005" s="81"/>
      <c r="U1005" s="81"/>
      <c r="V1005" s="94"/>
      <c r="W1005" s="94"/>
    </row>
    <row r="1006" spans="1:23" ht="21" customHeight="1">
      <c r="A1006">
        <f>Table4[[#This Row],[Column1]]</f>
        <v>0</v>
      </c>
      <c r="B1006">
        <f>Table4[[#This Row],[Column2]]</f>
        <v>0</v>
      </c>
      <c r="C1006" s="81"/>
      <c r="D1006" s="81"/>
      <c r="E1006" s="81"/>
      <c r="F1006" s="81"/>
      <c r="G1006" s="81"/>
      <c r="H1006" s="81"/>
      <c r="I1006" s="81"/>
      <c r="J1006" s="81"/>
      <c r="K1006" s="81"/>
      <c r="L1006" s="81"/>
      <c r="M1006" s="81"/>
      <c r="N1006" s="81"/>
      <c r="O1006" s="81"/>
      <c r="P1006" s="81"/>
      <c r="Q1006" s="81"/>
      <c r="R1006" s="81"/>
      <c r="S1006" s="81"/>
      <c r="T1006" s="81"/>
      <c r="U1006" s="81"/>
      <c r="V1006" s="94"/>
      <c r="W1006" s="94"/>
    </row>
    <row r="1007" spans="1:23" ht="21" customHeight="1">
      <c r="A1007">
        <f>Table4[[#This Row],[Column1]]</f>
        <v>0</v>
      </c>
      <c r="B1007">
        <f>Table4[[#This Row],[Column2]]</f>
        <v>0</v>
      </c>
      <c r="C1007" s="81"/>
      <c r="D1007" s="81"/>
      <c r="E1007" s="81"/>
      <c r="F1007" s="81"/>
      <c r="G1007" s="81"/>
      <c r="H1007" s="81"/>
      <c r="I1007" s="81"/>
      <c r="J1007" s="81"/>
      <c r="K1007" s="81"/>
      <c r="L1007" s="81"/>
      <c r="M1007" s="81"/>
      <c r="N1007" s="81"/>
      <c r="O1007" s="81"/>
      <c r="P1007" s="81"/>
      <c r="Q1007" s="81"/>
      <c r="R1007" s="81"/>
      <c r="S1007" s="81"/>
      <c r="T1007" s="81"/>
      <c r="U1007" s="81"/>
      <c r="V1007" s="94"/>
      <c r="W1007" s="94"/>
    </row>
    <row r="1008" spans="1:23" ht="21" customHeight="1">
      <c r="A1008">
        <f>Table4[[#This Row],[Column1]]</f>
        <v>0</v>
      </c>
      <c r="B1008">
        <f>Table4[[#This Row],[Column2]]</f>
        <v>0</v>
      </c>
      <c r="C1008" s="81"/>
      <c r="D1008" s="81"/>
      <c r="E1008" s="81"/>
      <c r="F1008" s="81"/>
      <c r="G1008" s="81"/>
      <c r="H1008" s="81"/>
      <c r="I1008" s="81"/>
      <c r="J1008" s="81"/>
      <c r="K1008" s="81"/>
      <c r="L1008" s="81"/>
      <c r="M1008" s="81"/>
      <c r="N1008" s="81"/>
      <c r="O1008" s="81"/>
      <c r="P1008" s="81"/>
      <c r="Q1008" s="81"/>
      <c r="R1008" s="81"/>
      <c r="S1008" s="81"/>
      <c r="T1008" s="81"/>
      <c r="U1008" s="81"/>
      <c r="V1008" s="94"/>
      <c r="W1008" s="94"/>
    </row>
    <row r="1009" spans="1:23" ht="21" customHeight="1">
      <c r="A1009">
        <f>Table4[[#This Row],[Column1]]</f>
        <v>0</v>
      </c>
      <c r="B1009">
        <f>Table4[[#This Row],[Column2]]</f>
        <v>0</v>
      </c>
      <c r="C1009" s="81"/>
      <c r="D1009" s="81"/>
      <c r="E1009" s="81"/>
      <c r="F1009" s="81"/>
      <c r="G1009" s="81"/>
      <c r="H1009" s="81"/>
      <c r="I1009" s="81"/>
      <c r="J1009" s="81"/>
      <c r="K1009" s="81"/>
      <c r="L1009" s="81"/>
      <c r="M1009" s="81"/>
      <c r="N1009" s="81"/>
      <c r="O1009" s="81"/>
      <c r="P1009" s="81"/>
      <c r="Q1009" s="81"/>
      <c r="R1009" s="81"/>
      <c r="S1009" s="81"/>
      <c r="T1009" s="81"/>
      <c r="U1009" s="81"/>
      <c r="V1009" s="94"/>
      <c r="W1009" s="94"/>
    </row>
    <row r="1010" spans="1:23" ht="21" customHeight="1">
      <c r="A1010">
        <f>Table4[[#This Row],[Column1]]</f>
        <v>0</v>
      </c>
      <c r="B1010">
        <f>Table4[[#This Row],[Column2]]</f>
        <v>0</v>
      </c>
      <c r="C1010" s="81"/>
      <c r="D1010" s="81"/>
      <c r="E1010" s="81"/>
      <c r="F1010" s="81"/>
      <c r="G1010" s="81"/>
      <c r="H1010" s="81"/>
      <c r="I1010" s="81"/>
      <c r="J1010" s="81"/>
      <c r="K1010" s="81"/>
      <c r="L1010" s="81"/>
      <c r="M1010" s="81"/>
      <c r="N1010" s="81"/>
      <c r="O1010" s="81"/>
      <c r="P1010" s="81"/>
      <c r="Q1010" s="81"/>
      <c r="R1010" s="81"/>
      <c r="S1010" s="81"/>
      <c r="T1010" s="81"/>
      <c r="U1010" s="81"/>
      <c r="V1010" s="94"/>
      <c r="W1010" s="94"/>
    </row>
    <row r="1011" spans="1:23" ht="21" customHeight="1">
      <c r="A1011">
        <f>Table4[[#This Row],[Column1]]</f>
        <v>0</v>
      </c>
      <c r="B1011">
        <f>Table4[[#This Row],[Column2]]</f>
        <v>0</v>
      </c>
      <c r="C1011" s="81"/>
      <c r="D1011" s="81"/>
      <c r="E1011" s="81"/>
      <c r="F1011" s="81"/>
      <c r="G1011" s="81"/>
      <c r="H1011" s="81"/>
      <c r="I1011" s="81"/>
      <c r="J1011" s="81"/>
      <c r="K1011" s="81"/>
      <c r="L1011" s="81"/>
      <c r="M1011" s="81"/>
      <c r="N1011" s="81"/>
      <c r="O1011" s="81"/>
      <c r="P1011" s="81"/>
      <c r="Q1011" s="81"/>
      <c r="R1011" s="81"/>
      <c r="S1011" s="81"/>
      <c r="T1011" s="81"/>
      <c r="U1011" s="81"/>
      <c r="V1011" s="94"/>
      <c r="W1011" s="94"/>
    </row>
    <row r="1012" spans="1:23" ht="21" customHeight="1">
      <c r="A1012">
        <f>Table4[[#This Row],[Column1]]</f>
        <v>0</v>
      </c>
      <c r="B1012">
        <f>Table4[[#This Row],[Column2]]</f>
        <v>0</v>
      </c>
      <c r="C1012" s="81"/>
      <c r="D1012" s="81"/>
      <c r="E1012" s="81"/>
      <c r="F1012" s="81"/>
      <c r="G1012" s="81"/>
      <c r="H1012" s="81"/>
      <c r="I1012" s="81"/>
      <c r="J1012" s="81"/>
      <c r="K1012" s="81"/>
      <c r="L1012" s="81"/>
      <c r="M1012" s="81"/>
      <c r="N1012" s="81"/>
      <c r="O1012" s="81"/>
      <c r="P1012" s="81"/>
      <c r="Q1012" s="81"/>
      <c r="R1012" s="81"/>
      <c r="S1012" s="81"/>
      <c r="T1012" s="81"/>
      <c r="U1012" s="81"/>
      <c r="V1012" s="94"/>
      <c r="W1012" s="94"/>
    </row>
    <row r="1013" spans="1:23" ht="21" customHeight="1">
      <c r="A1013">
        <f>Table4[[#This Row],[Column1]]</f>
        <v>0</v>
      </c>
      <c r="B1013">
        <f>Table4[[#This Row],[Column2]]</f>
        <v>0</v>
      </c>
      <c r="C1013" s="81"/>
      <c r="D1013" s="81"/>
      <c r="E1013" s="81"/>
      <c r="F1013" s="81"/>
      <c r="G1013" s="81"/>
      <c r="H1013" s="81"/>
      <c r="I1013" s="81"/>
      <c r="J1013" s="81"/>
      <c r="K1013" s="81"/>
      <c r="L1013" s="81"/>
      <c r="M1013" s="81"/>
      <c r="N1013" s="81"/>
      <c r="O1013" s="81"/>
      <c r="P1013" s="81"/>
      <c r="Q1013" s="81"/>
      <c r="R1013" s="81"/>
      <c r="S1013" s="81"/>
      <c r="T1013" s="81"/>
      <c r="U1013" s="81"/>
      <c r="V1013" s="94"/>
      <c r="W1013" s="94"/>
    </row>
    <row r="1014" spans="1:23" ht="21" customHeight="1">
      <c r="A1014">
        <f>Table4[[#This Row],[Column1]]</f>
        <v>0</v>
      </c>
      <c r="B1014">
        <f>Table4[[#This Row],[Column2]]</f>
        <v>0</v>
      </c>
      <c r="C1014" s="81"/>
      <c r="D1014" s="81"/>
      <c r="E1014" s="81"/>
      <c r="F1014" s="81"/>
      <c r="G1014" s="81"/>
      <c r="H1014" s="81"/>
      <c r="I1014" s="81"/>
      <c r="J1014" s="81"/>
      <c r="K1014" s="81"/>
      <c r="L1014" s="81"/>
      <c r="M1014" s="81"/>
      <c r="N1014" s="81"/>
      <c r="O1014" s="81"/>
      <c r="P1014" s="81"/>
      <c r="Q1014" s="81"/>
      <c r="R1014" s="81"/>
      <c r="S1014" s="81"/>
      <c r="T1014" s="81"/>
      <c r="U1014" s="81"/>
      <c r="V1014" s="94"/>
      <c r="W1014" s="94"/>
    </row>
    <row r="1015" spans="1:23" ht="21" customHeight="1">
      <c r="A1015">
        <f>Table4[[#This Row],[Column1]]</f>
        <v>0</v>
      </c>
      <c r="B1015">
        <f>Table4[[#This Row],[Column2]]</f>
        <v>0</v>
      </c>
      <c r="C1015" s="81"/>
      <c r="D1015" s="81"/>
      <c r="E1015" s="81"/>
      <c r="F1015" s="81"/>
      <c r="G1015" s="81"/>
      <c r="H1015" s="81"/>
      <c r="I1015" s="81"/>
      <c r="J1015" s="81"/>
      <c r="K1015" s="81"/>
      <c r="L1015" s="81"/>
      <c r="M1015" s="81"/>
      <c r="N1015" s="81"/>
      <c r="O1015" s="81"/>
      <c r="P1015" s="81"/>
      <c r="Q1015" s="81"/>
      <c r="R1015" s="81"/>
      <c r="S1015" s="81"/>
      <c r="T1015" s="81"/>
      <c r="U1015" s="81"/>
      <c r="V1015" s="94"/>
      <c r="W1015" s="94"/>
    </row>
    <row r="1016" spans="1:23" ht="21" customHeight="1">
      <c r="A1016">
        <f>Table4[[#This Row],[Column1]]</f>
        <v>0</v>
      </c>
      <c r="B1016">
        <f>Table4[[#This Row],[Column2]]</f>
        <v>0</v>
      </c>
      <c r="C1016" s="81"/>
      <c r="D1016" s="81"/>
      <c r="E1016" s="81"/>
      <c r="F1016" s="81"/>
      <c r="G1016" s="81"/>
      <c r="H1016" s="81"/>
      <c r="I1016" s="81"/>
      <c r="J1016" s="81"/>
      <c r="K1016" s="81"/>
      <c r="L1016" s="81"/>
      <c r="M1016" s="81"/>
      <c r="N1016" s="81"/>
      <c r="O1016" s="81"/>
      <c r="P1016" s="81"/>
      <c r="Q1016" s="81"/>
      <c r="R1016" s="81"/>
      <c r="S1016" s="81"/>
      <c r="T1016" s="81"/>
      <c r="U1016" s="81"/>
      <c r="V1016" s="94"/>
      <c r="W1016" s="94"/>
    </row>
    <row r="1017" spans="1:23" ht="21" customHeight="1">
      <c r="A1017">
        <f>Table4[[#This Row],[Column1]]</f>
        <v>0</v>
      </c>
      <c r="B1017">
        <f>Table4[[#This Row],[Column2]]</f>
        <v>0</v>
      </c>
      <c r="C1017" s="81"/>
      <c r="D1017" s="81"/>
      <c r="E1017" s="81"/>
      <c r="F1017" s="81"/>
      <c r="G1017" s="81"/>
      <c r="H1017" s="81"/>
      <c r="I1017" s="81"/>
      <c r="J1017" s="81"/>
      <c r="K1017" s="81"/>
      <c r="L1017" s="81"/>
      <c r="M1017" s="81"/>
      <c r="N1017" s="81"/>
      <c r="O1017" s="81"/>
      <c r="P1017" s="81"/>
      <c r="Q1017" s="81"/>
      <c r="R1017" s="81"/>
      <c r="S1017" s="81"/>
      <c r="T1017" s="81"/>
      <c r="U1017" s="81"/>
      <c r="V1017" s="94"/>
      <c r="W1017" s="94"/>
    </row>
    <row r="1018" spans="1:23" ht="21" customHeight="1">
      <c r="A1018">
        <f>Table4[[#This Row],[Column1]]</f>
        <v>0</v>
      </c>
      <c r="B1018">
        <f>Table4[[#This Row],[Column2]]</f>
        <v>0</v>
      </c>
      <c r="C1018" s="81"/>
      <c r="D1018" s="81"/>
      <c r="E1018" s="81"/>
      <c r="F1018" s="81"/>
      <c r="G1018" s="81"/>
      <c r="H1018" s="81"/>
      <c r="I1018" s="81"/>
      <c r="J1018" s="81"/>
      <c r="K1018" s="81"/>
      <c r="L1018" s="81"/>
      <c r="M1018" s="81"/>
      <c r="N1018" s="81"/>
      <c r="O1018" s="81"/>
      <c r="P1018" s="81"/>
      <c r="Q1018" s="81"/>
      <c r="R1018" s="81"/>
      <c r="S1018" s="81"/>
      <c r="T1018" s="81"/>
      <c r="U1018" s="81"/>
      <c r="V1018" s="94"/>
      <c r="W1018" s="94"/>
    </row>
    <row r="1019" spans="1:23" ht="21" customHeight="1">
      <c r="A1019">
        <f>Table4[[#This Row],[Column1]]</f>
        <v>0</v>
      </c>
      <c r="B1019">
        <f>Table4[[#This Row],[Column2]]</f>
        <v>0</v>
      </c>
      <c r="C1019" s="81"/>
      <c r="D1019" s="81"/>
      <c r="E1019" s="81"/>
      <c r="F1019" s="81"/>
      <c r="G1019" s="81"/>
      <c r="H1019" s="81"/>
      <c r="I1019" s="81"/>
      <c r="J1019" s="81"/>
      <c r="K1019" s="81"/>
      <c r="L1019" s="81"/>
      <c r="M1019" s="81"/>
      <c r="N1019" s="81"/>
      <c r="O1019" s="81"/>
      <c r="P1019" s="81"/>
      <c r="Q1019" s="81"/>
      <c r="R1019" s="81"/>
      <c r="S1019" s="81"/>
      <c r="T1019" s="81"/>
      <c r="U1019" s="81"/>
      <c r="V1019" s="94"/>
      <c r="W1019" s="94"/>
    </row>
    <row r="1020" spans="1:23" ht="21" customHeight="1">
      <c r="A1020">
        <f>Table4[[#This Row],[Column1]]</f>
        <v>0</v>
      </c>
      <c r="B1020">
        <f>Table4[[#This Row],[Column2]]</f>
        <v>0</v>
      </c>
      <c r="C1020" s="81"/>
      <c r="D1020" s="81"/>
      <c r="E1020" s="81"/>
      <c r="F1020" s="81"/>
      <c r="G1020" s="81"/>
      <c r="H1020" s="81"/>
      <c r="I1020" s="81"/>
      <c r="J1020" s="81"/>
      <c r="K1020" s="81"/>
      <c r="L1020" s="81"/>
      <c r="M1020" s="81"/>
      <c r="N1020" s="81"/>
      <c r="O1020" s="81"/>
      <c r="P1020" s="81"/>
      <c r="Q1020" s="81"/>
      <c r="R1020" s="81"/>
      <c r="S1020" s="81"/>
      <c r="T1020" s="81"/>
      <c r="U1020" s="81"/>
      <c r="V1020" s="94"/>
      <c r="W1020" s="94"/>
    </row>
    <row r="1021" spans="1:23" ht="21" customHeight="1">
      <c r="A1021">
        <f>Table4[[#This Row],[Column1]]</f>
        <v>0</v>
      </c>
      <c r="B1021">
        <f>Table4[[#This Row],[Column2]]</f>
        <v>0</v>
      </c>
      <c r="C1021" s="81"/>
      <c r="D1021" s="81"/>
      <c r="E1021" s="81"/>
      <c r="F1021" s="81"/>
      <c r="G1021" s="81"/>
      <c r="H1021" s="81"/>
      <c r="I1021" s="81"/>
      <c r="J1021" s="81"/>
      <c r="K1021" s="81"/>
      <c r="L1021" s="81"/>
      <c r="M1021" s="81"/>
      <c r="N1021" s="81"/>
      <c r="O1021" s="81"/>
      <c r="P1021" s="81"/>
      <c r="Q1021" s="81"/>
      <c r="R1021" s="81"/>
      <c r="S1021" s="81"/>
      <c r="T1021" s="81"/>
      <c r="U1021" s="81"/>
      <c r="V1021" s="94"/>
      <c r="W1021" s="94"/>
    </row>
    <row r="1022" spans="1:23" ht="21" customHeight="1">
      <c r="A1022">
        <f>Table4[[#This Row],[Column1]]</f>
        <v>0</v>
      </c>
      <c r="B1022">
        <f>Table4[[#This Row],[Column2]]</f>
        <v>0</v>
      </c>
      <c r="C1022" s="81"/>
      <c r="D1022" s="81"/>
      <c r="E1022" s="81"/>
      <c r="F1022" s="81"/>
      <c r="G1022" s="81"/>
      <c r="H1022" s="81"/>
      <c r="I1022" s="81"/>
      <c r="J1022" s="81"/>
      <c r="K1022" s="81"/>
      <c r="L1022" s="81"/>
      <c r="M1022" s="81"/>
      <c r="N1022" s="81"/>
      <c r="O1022" s="81"/>
      <c r="P1022" s="81"/>
      <c r="Q1022" s="81"/>
      <c r="R1022" s="81"/>
      <c r="S1022" s="81"/>
      <c r="T1022" s="81"/>
      <c r="U1022" s="81"/>
      <c r="V1022" s="94"/>
      <c r="W1022" s="94"/>
    </row>
    <row r="1023" spans="1:23" ht="21" customHeight="1">
      <c r="A1023">
        <f>Table4[[#This Row],[Column1]]</f>
        <v>0</v>
      </c>
      <c r="B1023">
        <f>Table4[[#This Row],[Column2]]</f>
        <v>0</v>
      </c>
      <c r="C1023" s="81"/>
      <c r="D1023" s="81"/>
      <c r="E1023" s="81"/>
      <c r="F1023" s="81"/>
      <c r="G1023" s="81"/>
      <c r="H1023" s="81"/>
      <c r="I1023" s="81"/>
      <c r="J1023" s="81"/>
      <c r="K1023" s="81"/>
      <c r="L1023" s="81"/>
      <c r="M1023" s="81"/>
      <c r="N1023" s="81"/>
      <c r="O1023" s="81"/>
      <c r="P1023" s="81"/>
      <c r="Q1023" s="81"/>
      <c r="R1023" s="81"/>
      <c r="S1023" s="81"/>
      <c r="T1023" s="81"/>
      <c r="U1023" s="81"/>
      <c r="V1023" s="94"/>
      <c r="W1023" s="94"/>
    </row>
    <row r="1024" spans="1:23" ht="21" customHeight="1">
      <c r="A1024">
        <f>Table4[[#This Row],[Column1]]</f>
        <v>0</v>
      </c>
      <c r="B1024">
        <f>Table4[[#This Row],[Column2]]</f>
        <v>0</v>
      </c>
      <c r="C1024" s="81"/>
      <c r="D1024" s="81"/>
      <c r="E1024" s="81"/>
      <c r="F1024" s="81"/>
      <c r="G1024" s="81"/>
      <c r="H1024" s="81"/>
      <c r="I1024" s="81"/>
      <c r="J1024" s="81"/>
      <c r="K1024" s="81"/>
      <c r="L1024" s="81"/>
      <c r="M1024" s="81"/>
      <c r="N1024" s="81"/>
      <c r="O1024" s="81"/>
      <c r="P1024" s="81"/>
      <c r="Q1024" s="81"/>
      <c r="R1024" s="81"/>
      <c r="S1024" s="81"/>
      <c r="T1024" s="81"/>
      <c r="U1024" s="81"/>
      <c r="V1024" s="94"/>
      <c r="W1024" s="94"/>
    </row>
    <row r="1025" spans="1:23" ht="21" customHeight="1">
      <c r="A1025">
        <f>Table4[[#This Row],[Column1]]</f>
        <v>0</v>
      </c>
      <c r="B1025">
        <f>Table4[[#This Row],[Column2]]</f>
        <v>0</v>
      </c>
      <c r="C1025" s="81"/>
      <c r="D1025" s="81"/>
      <c r="E1025" s="81"/>
      <c r="F1025" s="81"/>
      <c r="G1025" s="81"/>
      <c r="H1025" s="81"/>
      <c r="I1025" s="81"/>
      <c r="J1025" s="81"/>
      <c r="K1025" s="81"/>
      <c r="L1025" s="81"/>
      <c r="M1025" s="81"/>
      <c r="N1025" s="81"/>
      <c r="O1025" s="81"/>
      <c r="P1025" s="81"/>
      <c r="Q1025" s="81"/>
      <c r="R1025" s="81"/>
      <c r="S1025" s="81"/>
      <c r="T1025" s="81"/>
      <c r="U1025" s="81"/>
      <c r="V1025" s="94"/>
      <c r="W1025" s="94"/>
    </row>
    <row r="1026" spans="1:23" ht="21" customHeight="1">
      <c r="A1026">
        <f>Table4[[#This Row],[Column1]]</f>
        <v>0</v>
      </c>
      <c r="B1026">
        <f>Table4[[#This Row],[Column2]]</f>
        <v>0</v>
      </c>
      <c r="C1026" s="81"/>
      <c r="D1026" s="81"/>
      <c r="E1026" s="81"/>
      <c r="F1026" s="81"/>
      <c r="G1026" s="81"/>
      <c r="H1026" s="81"/>
      <c r="I1026" s="81"/>
      <c r="J1026" s="81"/>
      <c r="K1026" s="81"/>
      <c r="L1026" s="81"/>
      <c r="M1026" s="81"/>
      <c r="N1026" s="81"/>
      <c r="O1026" s="81"/>
      <c r="P1026" s="81"/>
      <c r="Q1026" s="81"/>
      <c r="R1026" s="81"/>
      <c r="S1026" s="81"/>
      <c r="T1026" s="81"/>
      <c r="U1026" s="81"/>
      <c r="V1026" s="94"/>
      <c r="W1026" s="94"/>
    </row>
    <row r="1027" spans="1:23" ht="21" customHeight="1">
      <c r="A1027">
        <f>Table4[[#This Row],[Column1]]</f>
        <v>0</v>
      </c>
      <c r="B1027">
        <f>Table4[[#This Row],[Column2]]</f>
        <v>0</v>
      </c>
      <c r="C1027" s="81"/>
      <c r="D1027" s="81"/>
      <c r="E1027" s="81"/>
      <c r="F1027" s="81"/>
      <c r="G1027" s="81"/>
      <c r="H1027" s="81"/>
      <c r="I1027" s="81"/>
      <c r="J1027" s="81"/>
      <c r="K1027" s="81"/>
      <c r="L1027" s="81"/>
      <c r="M1027" s="81"/>
      <c r="N1027" s="81"/>
      <c r="O1027" s="81"/>
      <c r="P1027" s="81"/>
      <c r="Q1027" s="81"/>
      <c r="R1027" s="81"/>
      <c r="S1027" s="81"/>
      <c r="T1027" s="81"/>
      <c r="U1027" s="81"/>
      <c r="V1027" s="94"/>
      <c r="W1027" s="94"/>
    </row>
    <row r="1028" spans="1:23" ht="21" customHeight="1">
      <c r="A1028">
        <f>Table4[[#This Row],[Column1]]</f>
        <v>0</v>
      </c>
      <c r="B1028">
        <f>Table4[[#This Row],[Column2]]</f>
        <v>0</v>
      </c>
      <c r="C1028" s="81"/>
      <c r="D1028" s="81"/>
      <c r="E1028" s="81"/>
      <c r="F1028" s="81"/>
      <c r="G1028" s="81"/>
      <c r="H1028" s="81"/>
      <c r="I1028" s="81"/>
      <c r="J1028" s="81"/>
      <c r="K1028" s="81"/>
      <c r="L1028" s="81"/>
      <c r="M1028" s="81"/>
      <c r="N1028" s="81"/>
      <c r="O1028" s="81"/>
      <c r="P1028" s="81"/>
      <c r="Q1028" s="81"/>
      <c r="R1028" s="81"/>
      <c r="S1028" s="81"/>
      <c r="T1028" s="81"/>
      <c r="U1028" s="81"/>
      <c r="V1028" s="94"/>
      <c r="W1028" s="94"/>
    </row>
    <row r="1029" spans="1:23" ht="21" customHeight="1">
      <c r="A1029">
        <f>Table4[[#This Row],[Column1]]</f>
        <v>0</v>
      </c>
      <c r="B1029">
        <f>Table4[[#This Row],[Column2]]</f>
        <v>0</v>
      </c>
      <c r="C1029" s="81"/>
      <c r="D1029" s="81"/>
      <c r="E1029" s="81"/>
      <c r="F1029" s="81"/>
      <c r="G1029" s="81"/>
      <c r="H1029" s="81"/>
      <c r="I1029" s="81"/>
      <c r="J1029" s="81"/>
      <c r="K1029" s="81"/>
      <c r="L1029" s="81"/>
      <c r="M1029" s="81"/>
      <c r="N1029" s="81"/>
      <c r="O1029" s="81"/>
      <c r="P1029" s="81"/>
      <c r="Q1029" s="81"/>
      <c r="R1029" s="81"/>
      <c r="S1029" s="81"/>
      <c r="T1029" s="81"/>
      <c r="U1029" s="81"/>
      <c r="V1029" s="94"/>
      <c r="W1029" s="94"/>
    </row>
    <row r="1030" spans="1:23" ht="21" customHeight="1">
      <c r="A1030">
        <f>Table4[[#This Row],[Column1]]</f>
        <v>0</v>
      </c>
      <c r="B1030">
        <f>Table4[[#This Row],[Column2]]</f>
        <v>0</v>
      </c>
      <c r="C1030" s="81"/>
      <c r="D1030" s="81"/>
      <c r="E1030" s="81"/>
      <c r="F1030" s="81"/>
      <c r="G1030" s="81"/>
      <c r="H1030" s="81"/>
      <c r="I1030" s="81"/>
      <c r="J1030" s="81"/>
      <c r="K1030" s="81"/>
      <c r="L1030" s="81"/>
      <c r="M1030" s="81"/>
      <c r="N1030" s="81"/>
      <c r="O1030" s="81"/>
      <c r="P1030" s="81"/>
      <c r="Q1030" s="81"/>
      <c r="R1030" s="81"/>
      <c r="S1030" s="81"/>
      <c r="T1030" s="81"/>
      <c r="U1030" s="81"/>
      <c r="V1030" s="94"/>
      <c r="W1030" s="94"/>
    </row>
    <row r="1031" spans="1:23" ht="21" customHeight="1">
      <c r="A1031">
        <f>Table4[[#This Row],[Column1]]</f>
        <v>0</v>
      </c>
      <c r="B1031">
        <f>Table4[[#This Row],[Column2]]</f>
        <v>0</v>
      </c>
      <c r="C1031" s="81"/>
      <c r="D1031" s="81"/>
      <c r="E1031" s="81"/>
      <c r="F1031" s="81"/>
      <c r="G1031" s="81"/>
      <c r="H1031" s="81"/>
      <c r="I1031" s="81"/>
      <c r="J1031" s="81"/>
      <c r="K1031" s="81"/>
      <c r="L1031" s="81"/>
      <c r="M1031" s="81"/>
      <c r="N1031" s="81"/>
      <c r="O1031" s="81"/>
      <c r="P1031" s="81"/>
      <c r="Q1031" s="81"/>
      <c r="R1031" s="81"/>
      <c r="S1031" s="81"/>
      <c r="T1031" s="81"/>
      <c r="U1031" s="81"/>
      <c r="V1031" s="94"/>
      <c r="W1031" s="94"/>
    </row>
    <row r="1032" spans="1:23" ht="21" customHeight="1">
      <c r="A1032">
        <f>Table4[[#This Row],[Column1]]</f>
        <v>0</v>
      </c>
      <c r="B1032">
        <f>Table4[[#This Row],[Column2]]</f>
        <v>0</v>
      </c>
      <c r="C1032" s="81"/>
      <c r="D1032" s="81"/>
      <c r="E1032" s="81"/>
      <c r="F1032" s="81"/>
      <c r="G1032" s="81"/>
      <c r="H1032" s="81"/>
      <c r="I1032" s="81"/>
      <c r="J1032" s="81"/>
      <c r="K1032" s="81"/>
      <c r="L1032" s="81"/>
      <c r="M1032" s="81"/>
      <c r="N1032" s="81"/>
      <c r="O1032" s="81"/>
      <c r="P1032" s="81"/>
      <c r="Q1032" s="81"/>
      <c r="R1032" s="81"/>
      <c r="S1032" s="81"/>
      <c r="T1032" s="81"/>
      <c r="U1032" s="81"/>
      <c r="V1032" s="94"/>
      <c r="W1032" s="94"/>
    </row>
    <row r="1033" spans="1:23" ht="21" customHeight="1">
      <c r="A1033">
        <f>Table4[[#This Row],[Column1]]</f>
        <v>0</v>
      </c>
      <c r="B1033">
        <f>Table4[[#This Row],[Column2]]</f>
        <v>0</v>
      </c>
      <c r="C1033" s="81"/>
      <c r="D1033" s="81"/>
      <c r="E1033" s="81"/>
      <c r="F1033" s="81"/>
      <c r="G1033" s="81"/>
      <c r="H1033" s="81"/>
      <c r="I1033" s="81"/>
      <c r="J1033" s="81"/>
      <c r="K1033" s="81"/>
      <c r="L1033" s="81"/>
      <c r="M1033" s="81"/>
      <c r="N1033" s="81"/>
      <c r="O1033" s="81"/>
      <c r="P1033" s="81"/>
      <c r="Q1033" s="81"/>
      <c r="R1033" s="81"/>
      <c r="S1033" s="81"/>
      <c r="T1033" s="81"/>
      <c r="U1033" s="81"/>
      <c r="V1033" s="94"/>
      <c r="W1033" s="94"/>
    </row>
    <row r="1034" spans="1:23" ht="21" customHeight="1">
      <c r="A1034">
        <f>Table4[[#This Row],[Column1]]</f>
        <v>0</v>
      </c>
      <c r="B1034">
        <f>Table4[[#This Row],[Column2]]</f>
        <v>0</v>
      </c>
      <c r="C1034" s="81"/>
      <c r="D1034" s="81"/>
      <c r="E1034" s="81"/>
      <c r="F1034" s="81"/>
      <c r="G1034" s="81"/>
      <c r="H1034" s="81"/>
      <c r="I1034" s="81"/>
      <c r="J1034" s="81"/>
      <c r="K1034" s="81"/>
      <c r="L1034" s="81"/>
      <c r="M1034" s="81"/>
      <c r="N1034" s="81"/>
      <c r="O1034" s="81"/>
      <c r="P1034" s="81"/>
      <c r="Q1034" s="81"/>
      <c r="R1034" s="81"/>
      <c r="S1034" s="81"/>
      <c r="T1034" s="81"/>
      <c r="U1034" s="81"/>
      <c r="V1034" s="94"/>
      <c r="W1034" s="94"/>
    </row>
    <row r="1035" spans="1:23" ht="21" customHeight="1">
      <c r="A1035">
        <f>Table4[[#This Row],[Column1]]</f>
        <v>0</v>
      </c>
      <c r="B1035">
        <f>Table4[[#This Row],[Column2]]</f>
        <v>0</v>
      </c>
      <c r="C1035" s="81"/>
      <c r="D1035" s="81"/>
      <c r="E1035" s="81"/>
      <c r="F1035" s="81"/>
      <c r="G1035" s="81"/>
      <c r="H1035" s="81"/>
      <c r="I1035" s="81"/>
      <c r="J1035" s="81"/>
      <c r="K1035" s="81"/>
      <c r="L1035" s="81"/>
      <c r="M1035" s="81"/>
      <c r="N1035" s="81"/>
      <c r="O1035" s="81"/>
      <c r="P1035" s="81"/>
      <c r="Q1035" s="81"/>
      <c r="R1035" s="81"/>
      <c r="S1035" s="81"/>
      <c r="T1035" s="81"/>
      <c r="U1035" s="81"/>
      <c r="V1035" s="94"/>
      <c r="W1035" s="94"/>
    </row>
    <row r="1036" spans="1:23" ht="21" customHeight="1">
      <c r="A1036">
        <f>Table4[[#This Row],[Column1]]</f>
        <v>0</v>
      </c>
      <c r="B1036">
        <f>Table4[[#This Row],[Column2]]</f>
        <v>0</v>
      </c>
      <c r="C1036" s="81"/>
      <c r="D1036" s="81"/>
      <c r="E1036" s="81"/>
      <c r="F1036" s="81"/>
      <c r="G1036" s="81"/>
      <c r="H1036" s="81"/>
      <c r="I1036" s="81"/>
      <c r="J1036" s="81"/>
      <c r="K1036" s="81"/>
      <c r="L1036" s="81"/>
      <c r="M1036" s="81"/>
      <c r="N1036" s="81"/>
      <c r="O1036" s="81"/>
      <c r="P1036" s="81"/>
      <c r="Q1036" s="81"/>
      <c r="R1036" s="81"/>
      <c r="S1036" s="81"/>
      <c r="T1036" s="81"/>
      <c r="U1036" s="81"/>
      <c r="V1036" s="94"/>
      <c r="W1036" s="94"/>
    </row>
    <row r="1037" spans="1:23" ht="21" customHeight="1">
      <c r="A1037">
        <f>Table4[[#This Row],[Column1]]</f>
        <v>0</v>
      </c>
      <c r="B1037">
        <f>Table4[[#This Row],[Column2]]</f>
        <v>0</v>
      </c>
      <c r="C1037" s="81"/>
      <c r="D1037" s="81"/>
      <c r="E1037" s="81"/>
      <c r="F1037" s="81"/>
      <c r="G1037" s="81"/>
      <c r="H1037" s="81"/>
      <c r="I1037" s="81"/>
      <c r="J1037" s="81"/>
      <c r="K1037" s="81"/>
      <c r="L1037" s="81"/>
      <c r="M1037" s="81"/>
      <c r="N1037" s="81"/>
      <c r="O1037" s="81"/>
      <c r="P1037" s="81"/>
      <c r="Q1037" s="81"/>
      <c r="R1037" s="81"/>
      <c r="S1037" s="81"/>
      <c r="T1037" s="81"/>
      <c r="U1037" s="81"/>
      <c r="V1037" s="94"/>
      <c r="W1037" s="94"/>
    </row>
    <row r="1038" spans="1:23" ht="21" customHeight="1">
      <c r="A1038">
        <f>Table4[[#This Row],[Column1]]</f>
        <v>0</v>
      </c>
      <c r="B1038">
        <f>Table4[[#This Row],[Column2]]</f>
        <v>0</v>
      </c>
      <c r="C1038" s="81"/>
      <c r="D1038" s="81"/>
      <c r="E1038" s="81"/>
      <c r="F1038" s="81"/>
      <c r="G1038" s="81"/>
      <c r="H1038" s="81"/>
      <c r="I1038" s="81"/>
      <c r="J1038" s="81"/>
      <c r="K1038" s="81"/>
      <c r="L1038" s="81"/>
      <c r="M1038" s="81"/>
      <c r="N1038" s="81"/>
      <c r="O1038" s="81"/>
      <c r="P1038" s="81"/>
      <c r="Q1038" s="81"/>
      <c r="R1038" s="81"/>
      <c r="S1038" s="81"/>
      <c r="T1038" s="81"/>
      <c r="U1038" s="81"/>
      <c r="V1038" s="94"/>
      <c r="W1038" s="94"/>
    </row>
    <row r="1039" spans="1:23" ht="21" customHeight="1">
      <c r="A1039">
        <f>Table4[[#This Row],[Column1]]</f>
        <v>0</v>
      </c>
      <c r="B1039">
        <f>Table4[[#This Row],[Column2]]</f>
        <v>0</v>
      </c>
      <c r="C1039" s="81"/>
      <c r="D1039" s="81"/>
      <c r="E1039" s="81"/>
      <c r="F1039" s="81"/>
      <c r="G1039" s="81"/>
      <c r="H1039" s="81"/>
      <c r="I1039" s="81"/>
      <c r="J1039" s="81"/>
      <c r="K1039" s="81"/>
      <c r="L1039" s="81"/>
      <c r="M1039" s="81"/>
      <c r="N1039" s="81"/>
      <c r="O1039" s="81"/>
      <c r="P1039" s="81"/>
      <c r="Q1039" s="81"/>
      <c r="R1039" s="81"/>
      <c r="S1039" s="81"/>
      <c r="T1039" s="81"/>
      <c r="U1039" s="81"/>
      <c r="V1039" s="94"/>
      <c r="W1039" s="94"/>
    </row>
    <row r="1040" spans="1:23" ht="21" customHeight="1">
      <c r="A1040">
        <f>Table4[[#This Row],[Column1]]</f>
        <v>0</v>
      </c>
      <c r="B1040">
        <f>Table4[[#This Row],[Column2]]</f>
        <v>0</v>
      </c>
      <c r="C1040" s="81"/>
      <c r="D1040" s="81"/>
      <c r="E1040" s="81"/>
      <c r="F1040" s="81"/>
      <c r="G1040" s="81"/>
      <c r="H1040" s="81"/>
      <c r="I1040" s="81"/>
      <c r="J1040" s="81"/>
      <c r="K1040" s="81"/>
      <c r="L1040" s="81"/>
      <c r="M1040" s="81"/>
      <c r="N1040" s="81"/>
      <c r="O1040" s="81"/>
      <c r="P1040" s="81"/>
      <c r="Q1040" s="81"/>
      <c r="R1040" s="81"/>
      <c r="S1040" s="81"/>
      <c r="T1040" s="81"/>
      <c r="U1040" s="81"/>
      <c r="V1040" s="94"/>
      <c r="W1040" s="94"/>
    </row>
    <row r="1041" spans="1:23" ht="21" customHeight="1">
      <c r="A1041">
        <f>Table4[[#This Row],[Column1]]</f>
        <v>0</v>
      </c>
      <c r="B1041">
        <f>Table4[[#This Row],[Column2]]</f>
        <v>0</v>
      </c>
      <c r="C1041" s="81"/>
      <c r="D1041" s="81"/>
      <c r="E1041" s="81"/>
      <c r="F1041" s="81"/>
      <c r="G1041" s="81"/>
      <c r="H1041" s="81"/>
      <c r="I1041" s="81"/>
      <c r="J1041" s="81"/>
      <c r="K1041" s="81"/>
      <c r="L1041" s="81"/>
      <c r="M1041" s="81"/>
      <c r="N1041" s="81"/>
      <c r="O1041" s="81"/>
      <c r="P1041" s="81"/>
      <c r="Q1041" s="81"/>
      <c r="R1041" s="81"/>
      <c r="S1041" s="81"/>
      <c r="T1041" s="81"/>
      <c r="U1041" s="81"/>
      <c r="V1041" s="94"/>
      <c r="W1041" s="94"/>
    </row>
    <row r="1042" spans="1:23" ht="21" customHeight="1">
      <c r="A1042">
        <f>Table4[[#This Row],[Column1]]</f>
        <v>0</v>
      </c>
      <c r="B1042">
        <f>Table4[[#This Row],[Column2]]</f>
        <v>0</v>
      </c>
      <c r="C1042" s="81"/>
      <c r="D1042" s="81"/>
      <c r="E1042" s="81"/>
      <c r="F1042" s="81"/>
      <c r="G1042" s="81"/>
      <c r="H1042" s="81"/>
      <c r="I1042" s="81"/>
      <c r="J1042" s="81"/>
      <c r="K1042" s="81"/>
      <c r="L1042" s="81"/>
      <c r="M1042" s="81"/>
      <c r="N1042" s="81"/>
      <c r="O1042" s="81"/>
      <c r="P1042" s="81"/>
      <c r="Q1042" s="81"/>
      <c r="R1042" s="81"/>
      <c r="S1042" s="81"/>
      <c r="T1042" s="81"/>
      <c r="U1042" s="81"/>
      <c r="V1042" s="94"/>
      <c r="W1042" s="94"/>
    </row>
    <row r="1043" spans="1:23" ht="21" customHeight="1">
      <c r="A1043">
        <f>Table4[[#This Row],[Column1]]</f>
        <v>0</v>
      </c>
      <c r="B1043">
        <f>Table4[[#This Row],[Column2]]</f>
        <v>0</v>
      </c>
      <c r="C1043" s="81"/>
      <c r="D1043" s="81"/>
      <c r="E1043" s="81"/>
      <c r="F1043" s="81"/>
      <c r="G1043" s="81"/>
      <c r="H1043" s="81"/>
      <c r="I1043" s="81"/>
      <c r="J1043" s="81"/>
      <c r="K1043" s="81"/>
      <c r="L1043" s="81"/>
      <c r="M1043" s="81"/>
      <c r="N1043" s="81"/>
      <c r="O1043" s="81"/>
      <c r="P1043" s="81"/>
      <c r="Q1043" s="81"/>
      <c r="R1043" s="81"/>
      <c r="S1043" s="81"/>
      <c r="T1043" s="81"/>
      <c r="U1043" s="81"/>
      <c r="V1043" s="94"/>
      <c r="W1043" s="94"/>
    </row>
    <row r="1044" spans="1:23" ht="21" customHeight="1">
      <c r="A1044">
        <f>Table4[[#This Row],[Column1]]</f>
        <v>0</v>
      </c>
      <c r="B1044">
        <f>Table4[[#This Row],[Column2]]</f>
        <v>0</v>
      </c>
      <c r="C1044" s="81"/>
      <c r="D1044" s="81"/>
      <c r="E1044" s="81"/>
      <c r="F1044" s="81"/>
      <c r="G1044" s="81"/>
      <c r="H1044" s="81"/>
      <c r="I1044" s="81"/>
      <c r="J1044" s="81"/>
      <c r="K1044" s="81"/>
      <c r="L1044" s="81"/>
      <c r="M1044" s="81"/>
      <c r="N1044" s="81"/>
      <c r="O1044" s="81"/>
      <c r="P1044" s="81"/>
      <c r="Q1044" s="81"/>
      <c r="R1044" s="81"/>
      <c r="S1044" s="81"/>
      <c r="T1044" s="81"/>
      <c r="U1044" s="81"/>
      <c r="V1044" s="94"/>
      <c r="W1044" s="94"/>
    </row>
    <row r="1045" spans="1:23" ht="21" customHeight="1">
      <c r="A1045">
        <f>Table4[[#This Row],[Column1]]</f>
        <v>0</v>
      </c>
      <c r="B1045">
        <f>Table4[[#This Row],[Column2]]</f>
        <v>0</v>
      </c>
      <c r="C1045" s="81"/>
      <c r="D1045" s="81"/>
      <c r="E1045" s="81"/>
      <c r="F1045" s="81"/>
      <c r="G1045" s="81"/>
      <c r="H1045" s="81"/>
      <c r="I1045" s="81"/>
      <c r="J1045" s="81"/>
      <c r="K1045" s="81"/>
      <c r="L1045" s="81"/>
      <c r="M1045" s="81"/>
      <c r="N1045" s="81"/>
      <c r="O1045" s="81"/>
      <c r="P1045" s="81"/>
      <c r="Q1045" s="81"/>
      <c r="R1045" s="81"/>
      <c r="S1045" s="81"/>
      <c r="T1045" s="81"/>
      <c r="U1045" s="81"/>
      <c r="V1045" s="94"/>
      <c r="W1045" s="94"/>
    </row>
    <row r="1046" spans="1:23" ht="21" customHeight="1">
      <c r="A1046">
        <f>Table4[[#This Row],[Column1]]</f>
        <v>0</v>
      </c>
      <c r="B1046">
        <f>Table4[[#This Row],[Column2]]</f>
        <v>0</v>
      </c>
      <c r="C1046" s="81"/>
      <c r="D1046" s="81"/>
      <c r="E1046" s="81"/>
      <c r="F1046" s="81"/>
      <c r="G1046" s="81"/>
      <c r="H1046" s="81"/>
      <c r="I1046" s="81"/>
      <c r="J1046" s="81"/>
      <c r="K1046" s="81"/>
      <c r="L1046" s="81"/>
      <c r="M1046" s="81"/>
      <c r="N1046" s="81"/>
      <c r="O1046" s="81"/>
      <c r="P1046" s="81"/>
      <c r="Q1046" s="81"/>
      <c r="R1046" s="81"/>
      <c r="S1046" s="81"/>
      <c r="T1046" s="81"/>
      <c r="U1046" s="81"/>
      <c r="V1046" s="94"/>
      <c r="W1046" s="94"/>
    </row>
    <row r="1047" spans="1:23" ht="21" customHeight="1">
      <c r="A1047">
        <f>Table4[[#This Row],[Column1]]</f>
        <v>0</v>
      </c>
      <c r="B1047">
        <f>Table4[[#This Row],[Column2]]</f>
        <v>0</v>
      </c>
      <c r="C1047" s="81"/>
      <c r="D1047" s="81"/>
      <c r="E1047" s="81"/>
      <c r="F1047" s="81"/>
      <c r="G1047" s="81"/>
      <c r="H1047" s="81"/>
      <c r="I1047" s="81"/>
      <c r="J1047" s="81"/>
      <c r="K1047" s="81"/>
      <c r="L1047" s="81"/>
      <c r="M1047" s="81"/>
      <c r="N1047" s="81"/>
      <c r="O1047" s="81"/>
      <c r="P1047" s="81"/>
      <c r="Q1047" s="81"/>
      <c r="R1047" s="81"/>
      <c r="S1047" s="81"/>
      <c r="T1047" s="81"/>
      <c r="U1047" s="81"/>
      <c r="V1047" s="94"/>
      <c r="W1047" s="94"/>
    </row>
    <row r="1048" spans="1:23" ht="21" customHeight="1">
      <c r="A1048">
        <f>Table4[[#This Row],[Column1]]</f>
        <v>0</v>
      </c>
      <c r="B1048">
        <f>Table4[[#This Row],[Column2]]</f>
        <v>0</v>
      </c>
      <c r="C1048" s="81"/>
      <c r="D1048" s="81"/>
      <c r="E1048" s="81"/>
      <c r="F1048" s="81"/>
      <c r="G1048" s="81"/>
      <c r="H1048" s="81"/>
      <c r="I1048" s="81"/>
      <c r="J1048" s="81"/>
      <c r="K1048" s="81"/>
      <c r="L1048" s="81"/>
      <c r="M1048" s="81"/>
      <c r="N1048" s="81"/>
      <c r="O1048" s="81"/>
      <c r="P1048" s="81"/>
      <c r="Q1048" s="81"/>
      <c r="R1048" s="81"/>
      <c r="S1048" s="81"/>
      <c r="T1048" s="81"/>
      <c r="U1048" s="81"/>
      <c r="V1048" s="94"/>
      <c r="W1048" s="94"/>
    </row>
    <row r="1049" spans="1:23" ht="21" customHeight="1">
      <c r="A1049">
        <f>Table4[[#This Row],[Column1]]</f>
        <v>0</v>
      </c>
      <c r="B1049">
        <f>Table4[[#This Row],[Column2]]</f>
        <v>0</v>
      </c>
      <c r="C1049" s="81"/>
      <c r="D1049" s="81"/>
      <c r="E1049" s="81"/>
      <c r="F1049" s="81"/>
      <c r="G1049" s="81"/>
      <c r="H1049" s="81"/>
      <c r="I1049" s="81"/>
      <c r="J1049" s="81"/>
      <c r="K1049" s="81"/>
      <c r="L1049" s="81"/>
      <c r="M1049" s="81"/>
      <c r="N1049" s="81"/>
      <c r="O1049" s="81"/>
      <c r="P1049" s="81"/>
      <c r="Q1049" s="81"/>
      <c r="R1049" s="81"/>
      <c r="S1049" s="81"/>
      <c r="T1049" s="81"/>
      <c r="U1049" s="81"/>
      <c r="V1049" s="94"/>
      <c r="W1049" s="94"/>
    </row>
    <row r="1050" spans="1:23" ht="21" customHeight="1">
      <c r="A1050">
        <f>Table4[[#This Row],[Column1]]</f>
        <v>0</v>
      </c>
      <c r="B1050">
        <f>Table4[[#This Row],[Column2]]</f>
        <v>0</v>
      </c>
      <c r="C1050" s="81"/>
      <c r="D1050" s="81"/>
      <c r="E1050" s="81"/>
      <c r="F1050" s="81"/>
      <c r="G1050" s="81"/>
      <c r="H1050" s="81"/>
      <c r="I1050" s="81"/>
      <c r="J1050" s="81"/>
      <c r="K1050" s="81"/>
      <c r="L1050" s="81"/>
      <c r="M1050" s="81"/>
      <c r="N1050" s="81"/>
      <c r="O1050" s="81"/>
      <c r="P1050" s="81"/>
      <c r="Q1050" s="81"/>
      <c r="R1050" s="81"/>
      <c r="S1050" s="81"/>
      <c r="T1050" s="81"/>
      <c r="U1050" s="81"/>
      <c r="V1050" s="94"/>
      <c r="W1050" s="94"/>
    </row>
    <row r="1051" spans="1:23" ht="21" customHeight="1">
      <c r="A1051">
        <f>Table4[[#This Row],[Column1]]</f>
        <v>0</v>
      </c>
      <c r="B1051">
        <f>Table4[[#This Row],[Column2]]</f>
        <v>0</v>
      </c>
      <c r="C1051" s="81"/>
      <c r="D1051" s="81"/>
      <c r="E1051" s="81"/>
      <c r="F1051" s="81"/>
      <c r="G1051" s="81"/>
      <c r="H1051" s="81"/>
      <c r="I1051" s="81"/>
      <c r="J1051" s="81"/>
      <c r="K1051" s="81"/>
      <c r="L1051" s="81"/>
      <c r="M1051" s="81"/>
      <c r="N1051" s="81"/>
      <c r="O1051" s="81"/>
      <c r="P1051" s="81"/>
      <c r="Q1051" s="81"/>
      <c r="R1051" s="81"/>
      <c r="S1051" s="81"/>
      <c r="T1051" s="81"/>
      <c r="U1051" s="81"/>
      <c r="V1051" s="94"/>
      <c r="W1051" s="94"/>
    </row>
    <row r="1052" spans="1:23" ht="21" customHeight="1">
      <c r="A1052">
        <f>Table4[[#This Row],[Column1]]</f>
        <v>0</v>
      </c>
      <c r="B1052">
        <f>Table4[[#This Row],[Column2]]</f>
        <v>0</v>
      </c>
      <c r="C1052" s="81"/>
      <c r="D1052" s="81"/>
      <c r="E1052" s="81"/>
      <c r="F1052" s="81"/>
      <c r="G1052" s="81"/>
      <c r="H1052" s="81"/>
      <c r="I1052" s="81"/>
      <c r="J1052" s="81"/>
      <c r="K1052" s="81"/>
      <c r="L1052" s="81"/>
      <c r="M1052" s="81"/>
      <c r="N1052" s="81"/>
      <c r="O1052" s="81"/>
      <c r="P1052" s="81"/>
      <c r="Q1052" s="81"/>
      <c r="R1052" s="81"/>
      <c r="S1052" s="81"/>
      <c r="T1052" s="81"/>
      <c r="U1052" s="81"/>
      <c r="V1052" s="94"/>
      <c r="W1052" s="94"/>
    </row>
    <row r="1053" spans="1:23" ht="21" customHeight="1">
      <c r="A1053">
        <f>Table4[[#This Row],[Column1]]</f>
        <v>0</v>
      </c>
      <c r="B1053">
        <f>Table4[[#This Row],[Column2]]</f>
        <v>0</v>
      </c>
      <c r="C1053" s="81"/>
      <c r="D1053" s="81"/>
      <c r="E1053" s="81"/>
      <c r="F1053" s="81"/>
      <c r="G1053" s="81"/>
      <c r="H1053" s="81"/>
      <c r="I1053" s="81"/>
      <c r="J1053" s="81"/>
      <c r="K1053" s="81"/>
      <c r="L1053" s="81"/>
      <c r="M1053" s="81"/>
      <c r="N1053" s="81"/>
      <c r="O1053" s="81"/>
      <c r="P1053" s="81"/>
      <c r="Q1053" s="81"/>
      <c r="R1053" s="81"/>
      <c r="S1053" s="81"/>
      <c r="T1053" s="81"/>
      <c r="U1053" s="81"/>
      <c r="V1053" s="94"/>
      <c r="W1053" s="94"/>
    </row>
    <row r="1054" spans="1:23" ht="21" customHeight="1">
      <c r="A1054">
        <f>Table4[[#This Row],[Column1]]</f>
        <v>0</v>
      </c>
      <c r="B1054">
        <f>Table4[[#This Row],[Column2]]</f>
        <v>0</v>
      </c>
      <c r="C1054" s="81"/>
      <c r="D1054" s="81"/>
      <c r="E1054" s="81"/>
      <c r="F1054" s="81"/>
      <c r="G1054" s="81"/>
      <c r="H1054" s="81"/>
      <c r="I1054" s="81"/>
      <c r="J1054" s="81"/>
      <c r="K1054" s="81"/>
      <c r="L1054" s="81"/>
      <c r="M1054" s="81"/>
      <c r="N1054" s="81"/>
      <c r="O1054" s="81"/>
      <c r="P1054" s="81"/>
      <c r="Q1054" s="81"/>
      <c r="R1054" s="81"/>
      <c r="S1054" s="81"/>
      <c r="T1054" s="81"/>
      <c r="U1054" s="81"/>
      <c r="V1054" s="94"/>
      <c r="W1054" s="94"/>
    </row>
    <row r="1055" spans="1:23" ht="21" customHeight="1">
      <c r="A1055">
        <f>Table4[[#This Row],[Column1]]</f>
        <v>0</v>
      </c>
      <c r="B1055">
        <f>Table4[[#This Row],[Column2]]</f>
        <v>0</v>
      </c>
      <c r="C1055" s="81"/>
      <c r="D1055" s="81"/>
      <c r="E1055" s="81"/>
      <c r="F1055" s="81"/>
      <c r="G1055" s="81"/>
      <c r="H1055" s="81"/>
      <c r="I1055" s="81"/>
      <c r="J1055" s="81"/>
      <c r="K1055" s="81"/>
      <c r="L1055" s="81"/>
      <c r="M1055" s="81"/>
      <c r="N1055" s="81"/>
      <c r="O1055" s="81"/>
      <c r="P1055" s="81"/>
      <c r="Q1055" s="81"/>
      <c r="R1055" s="81"/>
      <c r="S1055" s="81"/>
      <c r="T1055" s="81"/>
      <c r="U1055" s="81"/>
      <c r="V1055" s="94"/>
      <c r="W1055" s="94"/>
    </row>
    <row r="1056" spans="1:23" ht="21" customHeight="1">
      <c r="A1056">
        <f>Table4[[#This Row],[Column1]]</f>
        <v>0</v>
      </c>
      <c r="B1056">
        <f>Table4[[#This Row],[Column2]]</f>
        <v>0</v>
      </c>
      <c r="C1056" s="81"/>
      <c r="D1056" s="81"/>
      <c r="E1056" s="81"/>
      <c r="F1056" s="81"/>
      <c r="G1056" s="81"/>
      <c r="H1056" s="81"/>
      <c r="I1056" s="81"/>
      <c r="J1056" s="81"/>
      <c r="K1056" s="81"/>
      <c r="L1056" s="81"/>
      <c r="M1056" s="81"/>
      <c r="N1056" s="81"/>
      <c r="O1056" s="81"/>
      <c r="P1056" s="81"/>
      <c r="Q1056" s="81"/>
      <c r="R1056" s="81"/>
      <c r="S1056" s="81"/>
      <c r="T1056" s="81"/>
      <c r="U1056" s="81"/>
      <c r="V1056" s="94"/>
      <c r="W1056" s="94"/>
    </row>
    <row r="1057" spans="1:23" ht="21" customHeight="1">
      <c r="A1057">
        <f>Table4[[#This Row],[Column1]]</f>
        <v>0</v>
      </c>
      <c r="B1057">
        <f>Table4[[#This Row],[Column2]]</f>
        <v>0</v>
      </c>
      <c r="C1057" s="81"/>
      <c r="D1057" s="81"/>
      <c r="E1057" s="81"/>
      <c r="F1057" s="81"/>
      <c r="G1057" s="81"/>
      <c r="H1057" s="81"/>
      <c r="I1057" s="81"/>
      <c r="J1057" s="81"/>
      <c r="K1057" s="81"/>
      <c r="L1057" s="81"/>
      <c r="M1057" s="81"/>
      <c r="N1057" s="81"/>
      <c r="O1057" s="81"/>
      <c r="P1057" s="81"/>
      <c r="Q1057" s="81"/>
      <c r="R1057" s="81"/>
      <c r="S1057" s="81"/>
      <c r="T1057" s="81"/>
      <c r="U1057" s="81"/>
      <c r="V1057" s="94"/>
      <c r="W1057" s="94"/>
    </row>
    <row r="1058" spans="1:23" ht="21" customHeight="1">
      <c r="A1058">
        <f>Table4[[#This Row],[Column1]]</f>
        <v>0</v>
      </c>
      <c r="B1058">
        <f>Table4[[#This Row],[Column2]]</f>
        <v>0</v>
      </c>
      <c r="C1058" s="81"/>
      <c r="D1058" s="81"/>
      <c r="E1058" s="81"/>
      <c r="F1058" s="81"/>
      <c r="G1058" s="81"/>
      <c r="H1058" s="81"/>
      <c r="I1058" s="81"/>
      <c r="J1058" s="81"/>
      <c r="K1058" s="81"/>
      <c r="L1058" s="81"/>
      <c r="M1058" s="81"/>
      <c r="N1058" s="81"/>
      <c r="O1058" s="81"/>
      <c r="P1058" s="81"/>
      <c r="Q1058" s="81"/>
      <c r="R1058" s="81"/>
      <c r="S1058" s="81"/>
      <c r="T1058" s="81"/>
      <c r="U1058" s="81"/>
      <c r="V1058" s="94"/>
      <c r="W1058" s="94"/>
    </row>
    <row r="1059" spans="1:23" ht="21" customHeight="1">
      <c r="A1059">
        <f>Table4[[#This Row],[Column1]]</f>
        <v>0</v>
      </c>
      <c r="B1059">
        <f>Table4[[#This Row],[Column2]]</f>
        <v>0</v>
      </c>
      <c r="C1059" s="81"/>
      <c r="D1059" s="81"/>
      <c r="E1059" s="81"/>
      <c r="F1059" s="81"/>
      <c r="G1059" s="81"/>
      <c r="H1059" s="81"/>
      <c r="I1059" s="81"/>
      <c r="J1059" s="81"/>
      <c r="K1059" s="81"/>
      <c r="L1059" s="81"/>
      <c r="M1059" s="81"/>
      <c r="N1059" s="81"/>
      <c r="O1059" s="81"/>
      <c r="P1059" s="81"/>
      <c r="Q1059" s="81"/>
      <c r="R1059" s="81"/>
      <c r="S1059" s="81"/>
      <c r="T1059" s="81"/>
      <c r="U1059" s="81"/>
      <c r="V1059" s="94"/>
      <c r="W1059" s="94"/>
    </row>
    <row r="1060" spans="1:23" ht="21" customHeight="1">
      <c r="A1060">
        <f>Table4[[#This Row],[Column1]]</f>
        <v>0</v>
      </c>
      <c r="B1060">
        <f>Table4[[#This Row],[Column2]]</f>
        <v>0</v>
      </c>
      <c r="C1060" s="81"/>
      <c r="D1060" s="81"/>
      <c r="E1060" s="81"/>
      <c r="F1060" s="81"/>
      <c r="G1060" s="81"/>
      <c r="H1060" s="81"/>
      <c r="I1060" s="81"/>
      <c r="J1060" s="81"/>
      <c r="K1060" s="81"/>
      <c r="L1060" s="81"/>
      <c r="M1060" s="81"/>
      <c r="N1060" s="81"/>
      <c r="O1060" s="81"/>
      <c r="P1060" s="81"/>
      <c r="Q1060" s="81"/>
      <c r="R1060" s="81"/>
      <c r="S1060" s="81"/>
      <c r="T1060" s="81"/>
      <c r="U1060" s="81"/>
      <c r="V1060" s="94"/>
      <c r="W1060" s="94"/>
    </row>
    <row r="1061" spans="1:23" ht="21" customHeight="1">
      <c r="A1061">
        <f>Table4[[#This Row],[Column1]]</f>
        <v>0</v>
      </c>
      <c r="B1061">
        <f>Table4[[#This Row],[Column2]]</f>
        <v>0</v>
      </c>
      <c r="C1061" s="81"/>
      <c r="D1061" s="81"/>
      <c r="E1061" s="81"/>
      <c r="F1061" s="81"/>
      <c r="G1061" s="81"/>
      <c r="H1061" s="81"/>
      <c r="I1061" s="81"/>
      <c r="J1061" s="81"/>
      <c r="K1061" s="81"/>
      <c r="L1061" s="81"/>
      <c r="M1061" s="81"/>
      <c r="N1061" s="81"/>
      <c r="O1061" s="81"/>
      <c r="P1061" s="81"/>
      <c r="Q1061" s="81"/>
      <c r="R1061" s="81"/>
      <c r="S1061" s="81"/>
      <c r="T1061" s="81"/>
      <c r="U1061" s="81"/>
      <c r="V1061" s="94"/>
      <c r="W1061" s="94"/>
    </row>
    <row r="1062" spans="1:23" ht="21" customHeight="1">
      <c r="A1062">
        <f>Table4[[#This Row],[Column1]]</f>
        <v>0</v>
      </c>
      <c r="B1062">
        <f>Table4[[#This Row],[Column2]]</f>
        <v>0</v>
      </c>
      <c r="C1062" s="81"/>
      <c r="D1062" s="81"/>
      <c r="E1062" s="81"/>
      <c r="F1062" s="81"/>
      <c r="G1062" s="81"/>
      <c r="H1062" s="81"/>
      <c r="I1062" s="81"/>
      <c r="J1062" s="81"/>
      <c r="K1062" s="81"/>
      <c r="L1062" s="81"/>
      <c r="M1062" s="81"/>
      <c r="N1062" s="81"/>
      <c r="O1062" s="81"/>
      <c r="P1062" s="81"/>
      <c r="Q1062" s="81"/>
      <c r="R1062" s="81"/>
      <c r="S1062" s="81"/>
      <c r="T1062" s="81"/>
      <c r="U1062" s="81"/>
      <c r="V1062" s="94"/>
      <c r="W1062" s="94"/>
    </row>
    <row r="1063" spans="1:23" ht="21" customHeight="1">
      <c r="A1063">
        <f>Table4[[#This Row],[Column1]]</f>
        <v>0</v>
      </c>
      <c r="B1063">
        <f>Table4[[#This Row],[Column2]]</f>
        <v>0</v>
      </c>
      <c r="C1063" s="81"/>
      <c r="D1063" s="81"/>
      <c r="E1063" s="81"/>
      <c r="F1063" s="81"/>
      <c r="G1063" s="81"/>
      <c r="H1063" s="81"/>
      <c r="I1063" s="81"/>
      <c r="J1063" s="81"/>
      <c r="K1063" s="81"/>
      <c r="L1063" s="81"/>
      <c r="M1063" s="81"/>
      <c r="N1063" s="81"/>
      <c r="O1063" s="81"/>
      <c r="P1063" s="81"/>
      <c r="Q1063" s="81"/>
      <c r="R1063" s="81"/>
      <c r="S1063" s="81"/>
      <c r="T1063" s="81"/>
      <c r="U1063" s="81"/>
      <c r="V1063" s="94"/>
      <c r="W1063" s="94"/>
    </row>
    <row r="1064" spans="1:23" ht="21" customHeight="1">
      <c r="A1064">
        <f>Table4[[#This Row],[Column1]]</f>
        <v>0</v>
      </c>
      <c r="B1064">
        <f>Table4[[#This Row],[Column2]]</f>
        <v>0</v>
      </c>
      <c r="C1064" s="81"/>
      <c r="D1064" s="81"/>
      <c r="E1064" s="81"/>
      <c r="F1064" s="81"/>
      <c r="G1064" s="81"/>
      <c r="H1064" s="81"/>
      <c r="I1064" s="81"/>
      <c r="J1064" s="81"/>
      <c r="K1064" s="81"/>
      <c r="L1064" s="81"/>
      <c r="M1064" s="81"/>
      <c r="N1064" s="81"/>
      <c r="O1064" s="81"/>
      <c r="P1064" s="81"/>
      <c r="Q1064" s="81"/>
      <c r="R1064" s="81"/>
      <c r="S1064" s="81"/>
      <c r="T1064" s="81"/>
      <c r="U1064" s="81"/>
      <c r="V1064" s="94"/>
      <c r="W1064" s="94"/>
    </row>
    <row r="1065" spans="1:23" ht="21" customHeight="1">
      <c r="A1065">
        <f>Table4[[#This Row],[Column1]]</f>
        <v>0</v>
      </c>
      <c r="B1065">
        <f>Table4[[#This Row],[Column2]]</f>
        <v>0</v>
      </c>
      <c r="C1065" s="81"/>
      <c r="D1065" s="81"/>
      <c r="E1065" s="81"/>
      <c r="F1065" s="81"/>
      <c r="G1065" s="81"/>
      <c r="H1065" s="81"/>
      <c r="I1065" s="81"/>
      <c r="J1065" s="81"/>
      <c r="K1065" s="81"/>
      <c r="L1065" s="81"/>
      <c r="M1065" s="81"/>
      <c r="N1065" s="81"/>
      <c r="O1065" s="81"/>
      <c r="P1065" s="81"/>
      <c r="Q1065" s="81"/>
      <c r="R1065" s="81"/>
      <c r="S1065" s="81"/>
      <c r="T1065" s="81"/>
      <c r="U1065" s="81"/>
      <c r="V1065" s="94"/>
      <c r="W1065" s="94"/>
    </row>
    <row r="1066" spans="1:23" ht="21" customHeight="1">
      <c r="A1066">
        <f>Table4[[#This Row],[Column1]]</f>
        <v>0</v>
      </c>
      <c r="B1066">
        <f>Table4[[#This Row],[Column2]]</f>
        <v>0</v>
      </c>
      <c r="C1066" s="81"/>
      <c r="D1066" s="81"/>
      <c r="E1066" s="81"/>
      <c r="F1066" s="81"/>
      <c r="G1066" s="81"/>
      <c r="H1066" s="81"/>
      <c r="I1066" s="81"/>
      <c r="J1066" s="81"/>
      <c r="K1066" s="81"/>
      <c r="L1066" s="81"/>
      <c r="M1066" s="81"/>
      <c r="N1066" s="81"/>
      <c r="O1066" s="81"/>
      <c r="P1066" s="81"/>
      <c r="Q1066" s="81"/>
      <c r="R1066" s="81"/>
      <c r="S1066" s="81"/>
      <c r="T1066" s="81"/>
      <c r="U1066" s="81"/>
      <c r="V1066" s="94"/>
      <c r="W1066" s="94"/>
    </row>
    <row r="1067" spans="1:23" ht="21" customHeight="1">
      <c r="A1067">
        <f>Table4[[#This Row],[Column1]]</f>
        <v>0</v>
      </c>
      <c r="B1067">
        <f>Table4[[#This Row],[Column2]]</f>
        <v>0</v>
      </c>
      <c r="C1067" s="81"/>
      <c r="D1067" s="81"/>
      <c r="E1067" s="81"/>
      <c r="F1067" s="81"/>
      <c r="G1067" s="81"/>
      <c r="H1067" s="81"/>
      <c r="I1067" s="81"/>
      <c r="J1067" s="81"/>
      <c r="K1067" s="81"/>
      <c r="L1067" s="81"/>
      <c r="M1067" s="81"/>
      <c r="N1067" s="81"/>
      <c r="O1067" s="81"/>
      <c r="P1067" s="81"/>
      <c r="Q1067" s="81"/>
      <c r="R1067" s="81"/>
      <c r="S1067" s="81"/>
      <c r="T1067" s="81"/>
      <c r="U1067" s="81"/>
      <c r="V1067" s="94"/>
      <c r="W1067" s="94"/>
    </row>
    <row r="1068" spans="1:23" ht="21" customHeight="1">
      <c r="A1068">
        <f>Table4[[#This Row],[Column1]]</f>
        <v>0</v>
      </c>
      <c r="B1068">
        <f>Table4[[#This Row],[Column2]]</f>
        <v>0</v>
      </c>
      <c r="C1068" s="81"/>
      <c r="D1068" s="81"/>
      <c r="E1068" s="81"/>
      <c r="F1068" s="81"/>
      <c r="G1068" s="81"/>
      <c r="H1068" s="81"/>
      <c r="I1068" s="81"/>
      <c r="J1068" s="81"/>
      <c r="K1068" s="81"/>
      <c r="L1068" s="81"/>
      <c r="M1068" s="81"/>
      <c r="N1068" s="81"/>
      <c r="O1068" s="81"/>
      <c r="P1068" s="81"/>
      <c r="Q1068" s="81"/>
      <c r="R1068" s="81"/>
      <c r="S1068" s="81"/>
      <c r="T1068" s="81"/>
      <c r="U1068" s="81"/>
      <c r="V1068" s="94"/>
      <c r="W1068" s="94"/>
    </row>
    <row r="1069" spans="1:23" ht="21" customHeight="1">
      <c r="A1069">
        <f>Table4[[#This Row],[Column1]]</f>
        <v>0</v>
      </c>
      <c r="B1069">
        <f>Table4[[#This Row],[Column2]]</f>
        <v>0</v>
      </c>
      <c r="C1069" s="81"/>
      <c r="D1069" s="81"/>
      <c r="E1069" s="81"/>
      <c r="F1069" s="81"/>
      <c r="G1069" s="81"/>
      <c r="H1069" s="81"/>
      <c r="I1069" s="81"/>
      <c r="J1069" s="81"/>
      <c r="K1069" s="81"/>
      <c r="L1069" s="81"/>
      <c r="M1069" s="81"/>
      <c r="N1069" s="81"/>
      <c r="O1069" s="81"/>
      <c r="P1069" s="81"/>
      <c r="Q1069" s="81"/>
      <c r="R1069" s="81"/>
      <c r="S1069" s="81"/>
      <c r="T1069" s="81"/>
      <c r="U1069" s="81"/>
      <c r="V1069" s="94"/>
      <c r="W1069" s="94"/>
    </row>
    <row r="1070" spans="1:23" ht="21" customHeight="1">
      <c r="A1070">
        <f>Table4[[#This Row],[Column1]]</f>
        <v>0</v>
      </c>
      <c r="B1070">
        <f>Table4[[#This Row],[Column2]]</f>
        <v>0</v>
      </c>
      <c r="C1070" s="81"/>
      <c r="D1070" s="81"/>
      <c r="E1070" s="81"/>
      <c r="F1070" s="81"/>
      <c r="G1070" s="81"/>
      <c r="H1070" s="81"/>
      <c r="I1070" s="81"/>
      <c r="J1070" s="81"/>
      <c r="K1070" s="81"/>
      <c r="L1070" s="81"/>
      <c r="M1070" s="81"/>
      <c r="N1070" s="81"/>
      <c r="O1070" s="81"/>
      <c r="P1070" s="81"/>
      <c r="Q1070" s="81"/>
      <c r="R1070" s="81"/>
      <c r="S1070" s="81"/>
      <c r="T1070" s="81"/>
      <c r="U1070" s="81"/>
      <c r="V1070" s="94"/>
      <c r="W1070" s="94"/>
    </row>
    <row r="1071" spans="1:23" ht="21" customHeight="1">
      <c r="A1071">
        <f>Table4[[#This Row],[Column1]]</f>
        <v>0</v>
      </c>
      <c r="B1071">
        <f>Table4[[#This Row],[Column2]]</f>
        <v>0</v>
      </c>
      <c r="C1071" s="81"/>
      <c r="D1071" s="81"/>
      <c r="E1071" s="81"/>
      <c r="F1071" s="81"/>
      <c r="G1071" s="81"/>
      <c r="H1071" s="81"/>
      <c r="I1071" s="81"/>
      <c r="J1071" s="81"/>
      <c r="K1071" s="81"/>
      <c r="L1071" s="81"/>
      <c r="M1071" s="81"/>
      <c r="N1071" s="81"/>
      <c r="O1071" s="81"/>
      <c r="P1071" s="81"/>
      <c r="Q1071" s="81"/>
      <c r="R1071" s="81"/>
      <c r="S1071" s="81"/>
      <c r="T1071" s="81"/>
      <c r="U1071" s="81"/>
      <c r="V1071" s="94"/>
      <c r="W1071" s="94"/>
    </row>
    <row r="1072" spans="1:23" ht="21" customHeight="1">
      <c r="A1072">
        <f>Table4[[#This Row],[Column1]]</f>
        <v>0</v>
      </c>
      <c r="B1072">
        <f>Table4[[#This Row],[Column2]]</f>
        <v>0</v>
      </c>
      <c r="C1072" s="81"/>
      <c r="D1072" s="81"/>
      <c r="E1072" s="81"/>
      <c r="F1072" s="81"/>
      <c r="G1072" s="81"/>
      <c r="H1072" s="81"/>
      <c r="I1072" s="81"/>
      <c r="J1072" s="81"/>
      <c r="K1072" s="81"/>
      <c r="L1072" s="81"/>
      <c r="M1072" s="81"/>
      <c r="N1072" s="81"/>
      <c r="O1072" s="81"/>
      <c r="P1072" s="81"/>
      <c r="Q1072" s="81"/>
      <c r="R1072" s="81"/>
      <c r="S1072" s="81"/>
      <c r="T1072" s="81"/>
      <c r="U1072" s="81"/>
      <c r="V1072" s="94"/>
      <c r="W1072" s="94"/>
    </row>
    <row r="1073" spans="1:23" ht="21" customHeight="1">
      <c r="A1073">
        <f>Table4[[#This Row],[Column1]]</f>
        <v>0</v>
      </c>
      <c r="B1073">
        <f>Table4[[#This Row],[Column2]]</f>
        <v>0</v>
      </c>
      <c r="C1073" s="81"/>
      <c r="D1073" s="81"/>
      <c r="E1073" s="81"/>
      <c r="F1073" s="81"/>
      <c r="G1073" s="81"/>
      <c r="H1073" s="81"/>
      <c r="I1073" s="81"/>
      <c r="J1073" s="81"/>
      <c r="K1073" s="81"/>
      <c r="L1073" s="81"/>
      <c r="M1073" s="81"/>
      <c r="N1073" s="81"/>
      <c r="O1073" s="81"/>
      <c r="P1073" s="81"/>
      <c r="Q1073" s="81"/>
      <c r="R1073" s="81"/>
      <c r="S1073" s="81"/>
      <c r="T1073" s="81"/>
      <c r="U1073" s="81"/>
      <c r="V1073" s="94"/>
      <c r="W1073" s="94"/>
    </row>
    <row r="1074" spans="1:23" ht="21" customHeight="1">
      <c r="A1074">
        <f>Table4[[#This Row],[Column1]]</f>
        <v>0</v>
      </c>
      <c r="B1074">
        <f>Table4[[#This Row],[Column2]]</f>
        <v>0</v>
      </c>
      <c r="C1074" s="81"/>
      <c r="D1074" s="81"/>
      <c r="E1074" s="81"/>
      <c r="F1074" s="81"/>
      <c r="G1074" s="81"/>
      <c r="H1074" s="81"/>
      <c r="I1074" s="81"/>
      <c r="J1074" s="81"/>
      <c r="K1074" s="81"/>
      <c r="L1074" s="81"/>
      <c r="M1074" s="81"/>
      <c r="N1074" s="81"/>
      <c r="O1074" s="81"/>
      <c r="P1074" s="81"/>
      <c r="Q1074" s="81"/>
      <c r="R1074" s="81"/>
      <c r="S1074" s="81"/>
      <c r="T1074" s="81"/>
      <c r="U1074" s="81"/>
      <c r="V1074" s="94"/>
      <c r="W1074" s="94"/>
    </row>
    <row r="1075" spans="1:23" ht="21" customHeight="1">
      <c r="A1075">
        <f>Table4[[#This Row],[Column1]]</f>
        <v>0</v>
      </c>
      <c r="B1075">
        <f>Table4[[#This Row],[Column2]]</f>
        <v>0</v>
      </c>
      <c r="C1075" s="81"/>
      <c r="D1075" s="81"/>
      <c r="E1075" s="81"/>
      <c r="F1075" s="81"/>
      <c r="G1075" s="81"/>
      <c r="H1075" s="81"/>
      <c r="I1075" s="81"/>
      <c r="J1075" s="81"/>
      <c r="K1075" s="81"/>
      <c r="L1075" s="81"/>
      <c r="M1075" s="81"/>
      <c r="N1075" s="81"/>
      <c r="O1075" s="81"/>
      <c r="P1075" s="81"/>
      <c r="Q1075" s="81"/>
      <c r="R1075" s="81"/>
      <c r="S1075" s="81"/>
      <c r="T1075" s="81"/>
      <c r="U1075" s="81"/>
      <c r="V1075" s="94"/>
      <c r="W1075" s="94"/>
    </row>
    <row r="1076" spans="1:23" ht="21" customHeight="1">
      <c r="A1076">
        <f>Table4[[#This Row],[Column1]]</f>
        <v>0</v>
      </c>
      <c r="B1076">
        <f>Table4[[#This Row],[Column2]]</f>
        <v>0</v>
      </c>
      <c r="C1076" s="81"/>
      <c r="D1076" s="81"/>
      <c r="E1076" s="81"/>
      <c r="F1076" s="81"/>
      <c r="G1076" s="81"/>
      <c r="H1076" s="81"/>
      <c r="I1076" s="81"/>
      <c r="J1076" s="81"/>
      <c r="K1076" s="81"/>
      <c r="L1076" s="81"/>
      <c r="M1076" s="81"/>
      <c r="N1076" s="81"/>
      <c r="O1076" s="81"/>
      <c r="P1076" s="81"/>
      <c r="Q1076" s="81"/>
      <c r="R1076" s="81"/>
      <c r="S1076" s="81"/>
      <c r="T1076" s="81"/>
      <c r="U1076" s="81"/>
      <c r="V1076" s="94"/>
      <c r="W1076" s="94"/>
    </row>
    <row r="1077" spans="1:23" ht="21" customHeight="1">
      <c r="A1077">
        <f>Table4[[#This Row],[Column1]]</f>
        <v>0</v>
      </c>
      <c r="B1077">
        <f>Table4[[#This Row],[Column2]]</f>
        <v>0</v>
      </c>
      <c r="C1077" s="81"/>
      <c r="D1077" s="81"/>
      <c r="E1077" s="81"/>
      <c r="F1077" s="81"/>
      <c r="G1077" s="81"/>
      <c r="H1077" s="81"/>
      <c r="I1077" s="81"/>
      <c r="J1077" s="81"/>
      <c r="K1077" s="81"/>
      <c r="L1077" s="81"/>
      <c r="M1077" s="81"/>
      <c r="N1077" s="81"/>
      <c r="O1077" s="81"/>
      <c r="P1077" s="81"/>
      <c r="Q1077" s="81"/>
      <c r="R1077" s="81"/>
      <c r="S1077" s="81"/>
      <c r="T1077" s="81"/>
      <c r="U1077" s="81"/>
      <c r="V1077" s="94"/>
      <c r="W1077" s="94"/>
    </row>
    <row r="1078" spans="1:23" ht="21" customHeight="1">
      <c r="A1078">
        <f>Table4[[#This Row],[Column1]]</f>
        <v>0</v>
      </c>
      <c r="B1078">
        <f>Table4[[#This Row],[Column2]]</f>
        <v>0</v>
      </c>
      <c r="C1078" s="81"/>
      <c r="D1078" s="81"/>
      <c r="E1078" s="81"/>
      <c r="F1078" s="81"/>
      <c r="G1078" s="81"/>
      <c r="H1078" s="81"/>
      <c r="I1078" s="81"/>
      <c r="J1078" s="81"/>
      <c r="K1078" s="81"/>
      <c r="L1078" s="81"/>
      <c r="M1078" s="81"/>
      <c r="N1078" s="81"/>
      <c r="O1078" s="81"/>
      <c r="P1078" s="81"/>
      <c r="Q1078" s="81"/>
      <c r="R1078" s="81"/>
      <c r="S1078" s="81"/>
      <c r="T1078" s="81"/>
      <c r="U1078" s="81"/>
      <c r="V1078" s="94"/>
      <c r="W1078" s="94"/>
    </row>
    <row r="1079" spans="1:23" ht="21" customHeight="1">
      <c r="A1079">
        <f>Table4[[#This Row],[Column1]]</f>
        <v>0</v>
      </c>
      <c r="B1079">
        <f>Table4[[#This Row],[Column2]]</f>
        <v>0</v>
      </c>
      <c r="C1079" s="81"/>
      <c r="D1079" s="81"/>
      <c r="E1079" s="81"/>
      <c r="F1079" s="81"/>
      <c r="G1079" s="81"/>
      <c r="H1079" s="81"/>
      <c r="I1079" s="81"/>
      <c r="J1079" s="81"/>
      <c r="K1079" s="81"/>
      <c r="L1079" s="81"/>
      <c r="M1079" s="81"/>
      <c r="N1079" s="81"/>
      <c r="O1079" s="81"/>
      <c r="P1079" s="81"/>
      <c r="Q1079" s="81"/>
      <c r="R1079" s="81"/>
      <c r="S1079" s="81"/>
      <c r="T1079" s="81"/>
      <c r="U1079" s="81"/>
      <c r="V1079" s="94"/>
      <c r="W1079" s="94"/>
    </row>
    <row r="1080" spans="1:23" ht="21" customHeight="1">
      <c r="A1080">
        <f>Table4[[#This Row],[Column1]]</f>
        <v>0</v>
      </c>
      <c r="B1080">
        <f>Table4[[#This Row],[Column2]]</f>
        <v>0</v>
      </c>
      <c r="C1080" s="81"/>
      <c r="D1080" s="81"/>
      <c r="E1080" s="81"/>
      <c r="F1080" s="81"/>
      <c r="G1080" s="81"/>
      <c r="H1080" s="81"/>
      <c r="I1080" s="81"/>
      <c r="J1080" s="81"/>
      <c r="K1080" s="81"/>
      <c r="L1080" s="81"/>
      <c r="M1080" s="81"/>
      <c r="N1080" s="81"/>
      <c r="O1080" s="81"/>
      <c r="P1080" s="81"/>
      <c r="Q1080" s="81"/>
      <c r="R1080" s="81"/>
      <c r="S1080" s="81"/>
      <c r="T1080" s="81"/>
      <c r="U1080" s="81"/>
      <c r="V1080" s="94"/>
      <c r="W1080" s="94"/>
    </row>
    <row r="1081" spans="1:23" ht="21" customHeight="1">
      <c r="A1081">
        <f>Table4[[#This Row],[Column1]]</f>
        <v>0</v>
      </c>
      <c r="B1081">
        <f>Table4[[#This Row],[Column2]]</f>
        <v>0</v>
      </c>
      <c r="C1081" s="81"/>
      <c r="D1081" s="81"/>
      <c r="E1081" s="81"/>
      <c r="F1081" s="81"/>
      <c r="G1081" s="81"/>
      <c r="H1081" s="81"/>
      <c r="I1081" s="81"/>
      <c r="J1081" s="81"/>
      <c r="K1081" s="81"/>
      <c r="L1081" s="81"/>
      <c r="M1081" s="81"/>
      <c r="N1081" s="81"/>
      <c r="O1081" s="81"/>
      <c r="P1081" s="81"/>
      <c r="Q1081" s="81"/>
      <c r="R1081" s="81"/>
      <c r="S1081" s="81"/>
      <c r="T1081" s="81"/>
      <c r="U1081" s="81"/>
      <c r="V1081" s="94"/>
      <c r="W1081" s="94"/>
    </row>
    <row r="1082" spans="1:23" ht="21" customHeight="1">
      <c r="A1082">
        <f>Table4[[#This Row],[Column1]]</f>
        <v>0</v>
      </c>
      <c r="B1082">
        <f>Table4[[#This Row],[Column2]]</f>
        <v>0</v>
      </c>
      <c r="C1082" s="81"/>
      <c r="D1082" s="81"/>
      <c r="E1082" s="81"/>
      <c r="F1082" s="81"/>
      <c r="G1082" s="81"/>
      <c r="H1082" s="81"/>
      <c r="I1082" s="81"/>
      <c r="J1082" s="81"/>
      <c r="K1082" s="81"/>
      <c r="L1082" s="81"/>
      <c r="M1082" s="81"/>
      <c r="N1082" s="81"/>
      <c r="O1082" s="81"/>
      <c r="P1082" s="81"/>
      <c r="Q1082" s="81"/>
      <c r="R1082" s="81"/>
      <c r="S1082" s="81"/>
      <c r="T1082" s="81"/>
      <c r="U1082" s="81"/>
      <c r="V1082" s="94"/>
      <c r="W1082" s="94"/>
    </row>
    <row r="1083" spans="1:23" ht="21" customHeight="1">
      <c r="A1083">
        <f>Table4[[#This Row],[Column1]]</f>
        <v>0</v>
      </c>
      <c r="B1083">
        <f>Table4[[#This Row],[Column2]]</f>
        <v>0</v>
      </c>
      <c r="C1083" s="81"/>
      <c r="D1083" s="81"/>
      <c r="E1083" s="81"/>
      <c r="F1083" s="81"/>
      <c r="G1083" s="81"/>
      <c r="H1083" s="81"/>
      <c r="I1083" s="81"/>
      <c r="J1083" s="81"/>
      <c r="K1083" s="81"/>
      <c r="L1083" s="81"/>
      <c r="M1083" s="81"/>
      <c r="N1083" s="81"/>
      <c r="O1083" s="81"/>
      <c r="P1083" s="81"/>
      <c r="Q1083" s="81"/>
      <c r="R1083" s="81"/>
      <c r="S1083" s="81"/>
      <c r="T1083" s="81"/>
      <c r="U1083" s="81"/>
      <c r="V1083" s="94"/>
      <c r="W1083" s="94"/>
    </row>
    <row r="1084" spans="1:23" ht="21" customHeight="1">
      <c r="A1084">
        <f>Table4[[#This Row],[Column1]]</f>
        <v>0</v>
      </c>
      <c r="B1084">
        <f>Table4[[#This Row],[Column2]]</f>
        <v>0</v>
      </c>
      <c r="C1084" s="81"/>
      <c r="D1084" s="81"/>
      <c r="E1084" s="81"/>
      <c r="F1084" s="81"/>
      <c r="G1084" s="81"/>
      <c r="H1084" s="81"/>
      <c r="I1084" s="81"/>
      <c r="J1084" s="81"/>
      <c r="K1084" s="81"/>
      <c r="L1084" s="81"/>
      <c r="M1084" s="81"/>
      <c r="N1084" s="81"/>
      <c r="O1084" s="81"/>
      <c r="P1084" s="81"/>
      <c r="Q1084" s="81"/>
      <c r="R1084" s="81"/>
      <c r="S1084" s="81"/>
      <c r="T1084" s="81"/>
      <c r="U1084" s="81"/>
      <c r="V1084" s="94"/>
      <c r="W1084" s="94"/>
    </row>
    <row r="1085" spans="1:23" ht="21" customHeight="1">
      <c r="A1085">
        <f>Table4[[#This Row],[Column1]]</f>
        <v>0</v>
      </c>
      <c r="B1085">
        <f>Table4[[#This Row],[Column2]]</f>
        <v>0</v>
      </c>
      <c r="C1085" s="81"/>
      <c r="D1085" s="81"/>
      <c r="E1085" s="81"/>
      <c r="F1085" s="81"/>
      <c r="G1085" s="81"/>
      <c r="H1085" s="81"/>
      <c r="I1085" s="81"/>
      <c r="J1085" s="81"/>
      <c r="K1085" s="81"/>
      <c r="L1085" s="81"/>
      <c r="M1085" s="81"/>
      <c r="N1085" s="81"/>
      <c r="O1085" s="81"/>
      <c r="P1085" s="81"/>
      <c r="Q1085" s="81"/>
      <c r="R1085" s="81"/>
      <c r="S1085" s="81"/>
      <c r="T1085" s="81"/>
      <c r="U1085" s="81"/>
      <c r="V1085" s="94"/>
      <c r="W1085" s="94"/>
    </row>
    <row r="1086" spans="1:23" ht="21" customHeight="1">
      <c r="A1086">
        <f>Table4[[#This Row],[Column1]]</f>
        <v>0</v>
      </c>
      <c r="B1086">
        <f>Table4[[#This Row],[Column2]]</f>
        <v>0</v>
      </c>
      <c r="C1086" s="81"/>
      <c r="D1086" s="81"/>
      <c r="E1086" s="81"/>
      <c r="F1086" s="81"/>
      <c r="G1086" s="81"/>
      <c r="H1086" s="81"/>
      <c r="I1086" s="81"/>
      <c r="J1086" s="81"/>
      <c r="K1086" s="81"/>
      <c r="L1086" s="81"/>
      <c r="M1086" s="81"/>
      <c r="N1086" s="81"/>
      <c r="O1086" s="81"/>
      <c r="P1086" s="81"/>
      <c r="Q1086" s="81"/>
      <c r="R1086" s="81"/>
      <c r="S1086" s="81"/>
      <c r="T1086" s="81"/>
      <c r="U1086" s="81"/>
      <c r="V1086" s="94"/>
      <c r="W1086" s="94"/>
    </row>
    <row r="1087" spans="1:23" ht="21" customHeight="1">
      <c r="A1087">
        <f>Table4[[#This Row],[Column1]]</f>
        <v>0</v>
      </c>
      <c r="B1087">
        <f>Table4[[#This Row],[Column2]]</f>
        <v>0</v>
      </c>
      <c r="C1087" s="81"/>
      <c r="D1087" s="81"/>
      <c r="E1087" s="81"/>
      <c r="F1087" s="81"/>
      <c r="G1087" s="81"/>
      <c r="H1087" s="81"/>
      <c r="I1087" s="81"/>
      <c r="J1087" s="81"/>
      <c r="K1087" s="81"/>
      <c r="L1087" s="81"/>
      <c r="M1087" s="81"/>
      <c r="N1087" s="81"/>
      <c r="O1087" s="81"/>
      <c r="P1087" s="81"/>
      <c r="Q1087" s="81"/>
      <c r="R1087" s="81"/>
      <c r="S1087" s="81"/>
      <c r="T1087" s="81"/>
      <c r="U1087" s="81"/>
      <c r="V1087" s="94"/>
      <c r="W1087" s="94"/>
    </row>
    <row r="1088" spans="1:23" ht="21" customHeight="1">
      <c r="A1088">
        <f>Table4[[#This Row],[Column1]]</f>
        <v>0</v>
      </c>
      <c r="B1088">
        <f>Table4[[#This Row],[Column2]]</f>
        <v>0</v>
      </c>
      <c r="C1088" s="81"/>
      <c r="D1088" s="81"/>
      <c r="E1088" s="81"/>
      <c r="F1088" s="81"/>
      <c r="G1088" s="81"/>
      <c r="H1088" s="81"/>
      <c r="I1088" s="81"/>
      <c r="J1088" s="81"/>
      <c r="K1088" s="81"/>
      <c r="L1088" s="81"/>
      <c r="M1088" s="81"/>
      <c r="N1088" s="81"/>
      <c r="O1088" s="81"/>
      <c r="P1088" s="81"/>
      <c r="Q1088" s="81"/>
      <c r="R1088" s="81"/>
      <c r="S1088" s="81"/>
      <c r="T1088" s="81"/>
      <c r="U1088" s="81"/>
      <c r="V1088" s="94"/>
      <c r="W1088" s="94"/>
    </row>
    <row r="1089" spans="1:23" ht="21" customHeight="1">
      <c r="A1089">
        <f>Table4[[#This Row],[Column1]]</f>
        <v>0</v>
      </c>
      <c r="B1089">
        <f>Table4[[#This Row],[Column2]]</f>
        <v>0</v>
      </c>
      <c r="C1089" s="81"/>
      <c r="D1089" s="81"/>
      <c r="E1089" s="81"/>
      <c r="F1089" s="81"/>
      <c r="G1089" s="81"/>
      <c r="H1089" s="81"/>
      <c r="I1089" s="81"/>
      <c r="J1089" s="81"/>
      <c r="K1089" s="81"/>
      <c r="L1089" s="81"/>
      <c r="M1089" s="81"/>
      <c r="N1089" s="81"/>
      <c r="O1089" s="81"/>
      <c r="P1089" s="81"/>
      <c r="Q1089" s="81"/>
      <c r="R1089" s="81"/>
      <c r="S1089" s="81"/>
      <c r="T1089" s="81"/>
      <c r="U1089" s="81"/>
      <c r="V1089" s="94"/>
      <c r="W1089" s="94"/>
    </row>
    <row r="1090" spans="1:23" ht="21" customHeight="1">
      <c r="A1090">
        <f>Table4[[#This Row],[Column1]]</f>
        <v>0</v>
      </c>
      <c r="B1090">
        <f>Table4[[#This Row],[Column2]]</f>
        <v>0</v>
      </c>
      <c r="C1090" s="81"/>
      <c r="D1090" s="81"/>
      <c r="E1090" s="81"/>
      <c r="F1090" s="81"/>
      <c r="G1090" s="81"/>
      <c r="H1090" s="81"/>
      <c r="I1090" s="81"/>
      <c r="J1090" s="81"/>
      <c r="K1090" s="81"/>
      <c r="L1090" s="81"/>
      <c r="M1090" s="81"/>
      <c r="N1090" s="81"/>
      <c r="O1090" s="81"/>
      <c r="P1090" s="81"/>
      <c r="Q1090" s="81"/>
      <c r="R1090" s="81"/>
      <c r="S1090" s="81"/>
      <c r="T1090" s="81"/>
      <c r="U1090" s="81"/>
      <c r="V1090" s="94"/>
      <c r="W1090" s="94"/>
    </row>
    <row r="1091" spans="1:23" ht="21" customHeight="1">
      <c r="A1091">
        <f>Table4[[#This Row],[Column1]]</f>
        <v>0</v>
      </c>
      <c r="B1091">
        <f>Table4[[#This Row],[Column2]]</f>
        <v>0</v>
      </c>
      <c r="C1091" s="81"/>
      <c r="D1091" s="81"/>
      <c r="E1091" s="81"/>
      <c r="F1091" s="81"/>
      <c r="G1091" s="81"/>
      <c r="H1091" s="81"/>
      <c r="I1091" s="81"/>
      <c r="J1091" s="81"/>
      <c r="K1091" s="81"/>
      <c r="L1091" s="81"/>
      <c r="M1091" s="81"/>
      <c r="N1091" s="81"/>
      <c r="O1091" s="81"/>
      <c r="P1091" s="81"/>
      <c r="Q1091" s="81"/>
      <c r="R1091" s="81"/>
      <c r="S1091" s="81"/>
      <c r="T1091" s="81"/>
      <c r="U1091" s="81"/>
      <c r="V1091" s="94"/>
      <c r="W1091" s="94"/>
    </row>
    <row r="1092" spans="1:23" ht="21" customHeight="1">
      <c r="A1092">
        <f>Table4[[#This Row],[Column1]]</f>
        <v>0</v>
      </c>
      <c r="B1092">
        <f>Table4[[#This Row],[Column2]]</f>
        <v>0</v>
      </c>
      <c r="C1092" s="81"/>
      <c r="D1092" s="81"/>
      <c r="E1092" s="81"/>
      <c r="F1092" s="81"/>
      <c r="G1092" s="81"/>
      <c r="H1092" s="81"/>
      <c r="I1092" s="81"/>
      <c r="J1092" s="81"/>
      <c r="K1092" s="81"/>
      <c r="L1092" s="81"/>
      <c r="M1092" s="81"/>
      <c r="N1092" s="81"/>
      <c r="O1092" s="81"/>
      <c r="P1092" s="81"/>
      <c r="Q1092" s="81"/>
      <c r="R1092" s="81"/>
      <c r="S1092" s="81"/>
      <c r="T1092" s="81"/>
      <c r="U1092" s="81"/>
      <c r="V1092" s="94"/>
      <c r="W1092" s="94"/>
    </row>
    <row r="1093" spans="1:23" ht="21" customHeight="1">
      <c r="A1093">
        <f>Table4[[#This Row],[Column1]]</f>
        <v>0</v>
      </c>
      <c r="B1093">
        <f>Table4[[#This Row],[Column2]]</f>
        <v>0</v>
      </c>
      <c r="C1093" s="81"/>
      <c r="D1093" s="81"/>
      <c r="E1093" s="81"/>
      <c r="F1093" s="81"/>
      <c r="G1093" s="81"/>
      <c r="H1093" s="81"/>
      <c r="I1093" s="81"/>
      <c r="J1093" s="81"/>
      <c r="K1093" s="81"/>
      <c r="L1093" s="81"/>
      <c r="M1093" s="81"/>
      <c r="N1093" s="81"/>
      <c r="O1093" s="81"/>
      <c r="P1093" s="81"/>
      <c r="Q1093" s="81"/>
      <c r="R1093" s="81"/>
      <c r="S1093" s="81"/>
      <c r="T1093" s="81"/>
      <c r="U1093" s="81"/>
      <c r="V1093" s="94"/>
      <c r="W1093" s="94"/>
    </row>
    <row r="1094" spans="1:23" ht="21" customHeight="1">
      <c r="A1094">
        <f>Table4[[#This Row],[Column1]]</f>
        <v>0</v>
      </c>
      <c r="B1094">
        <f>Table4[[#This Row],[Column2]]</f>
        <v>0</v>
      </c>
      <c r="C1094" s="81"/>
      <c r="D1094" s="81"/>
      <c r="E1094" s="81"/>
      <c r="F1094" s="81"/>
      <c r="G1094" s="81"/>
      <c r="H1094" s="81"/>
      <c r="I1094" s="81"/>
      <c r="J1094" s="81"/>
      <c r="K1094" s="81"/>
      <c r="L1094" s="81"/>
      <c r="M1094" s="81"/>
      <c r="N1094" s="81"/>
      <c r="O1094" s="81"/>
      <c r="P1094" s="81"/>
      <c r="Q1094" s="81"/>
      <c r="R1094" s="81"/>
      <c r="S1094" s="81"/>
      <c r="T1094" s="81"/>
      <c r="U1094" s="81"/>
      <c r="V1094" s="94"/>
      <c r="W1094" s="94"/>
    </row>
    <row r="1095" spans="1:23" ht="21" customHeight="1">
      <c r="A1095">
        <f>Table4[[#This Row],[Column1]]</f>
        <v>0</v>
      </c>
      <c r="B1095">
        <f>Table4[[#This Row],[Column2]]</f>
        <v>0</v>
      </c>
      <c r="C1095" s="81"/>
      <c r="D1095" s="81"/>
      <c r="E1095" s="81"/>
      <c r="F1095" s="81"/>
      <c r="G1095" s="81"/>
      <c r="H1095" s="81"/>
      <c r="I1095" s="81"/>
      <c r="J1095" s="81"/>
      <c r="K1095" s="81"/>
      <c r="L1095" s="81"/>
      <c r="M1095" s="81"/>
      <c r="N1095" s="81"/>
      <c r="O1095" s="81"/>
      <c r="P1095" s="81"/>
      <c r="Q1095" s="81"/>
      <c r="R1095" s="81"/>
      <c r="S1095" s="81"/>
      <c r="T1095" s="81"/>
      <c r="U1095" s="81"/>
      <c r="V1095" s="94"/>
      <c r="W1095" s="94"/>
    </row>
    <row r="1096" spans="1:23" ht="21" customHeight="1">
      <c r="A1096">
        <f>Table4[[#This Row],[Column1]]</f>
        <v>0</v>
      </c>
      <c r="B1096">
        <f>Table4[[#This Row],[Column2]]</f>
        <v>0</v>
      </c>
      <c r="C1096" s="81"/>
      <c r="D1096" s="81"/>
      <c r="E1096" s="81"/>
      <c r="F1096" s="81"/>
      <c r="G1096" s="81"/>
      <c r="H1096" s="81"/>
      <c r="I1096" s="81"/>
      <c r="J1096" s="81"/>
      <c r="K1096" s="81"/>
      <c r="L1096" s="81"/>
      <c r="M1096" s="81"/>
      <c r="N1096" s="81"/>
      <c r="O1096" s="81"/>
      <c r="P1096" s="81"/>
      <c r="Q1096" s="81"/>
      <c r="R1096" s="81"/>
      <c r="S1096" s="81"/>
      <c r="T1096" s="81"/>
      <c r="U1096" s="81"/>
      <c r="V1096" s="94"/>
      <c r="W1096" s="94"/>
    </row>
    <row r="1097" spans="1:23" ht="21" customHeight="1">
      <c r="A1097">
        <f>Table4[[#This Row],[Column1]]</f>
        <v>0</v>
      </c>
      <c r="B1097">
        <f>Table4[[#This Row],[Column2]]</f>
        <v>0</v>
      </c>
      <c r="C1097" s="81"/>
      <c r="D1097" s="81"/>
      <c r="E1097" s="81"/>
      <c r="F1097" s="81"/>
      <c r="G1097" s="81"/>
      <c r="H1097" s="81"/>
      <c r="I1097" s="81"/>
      <c r="J1097" s="81"/>
      <c r="K1097" s="81"/>
      <c r="L1097" s="81"/>
      <c r="M1097" s="81"/>
      <c r="N1097" s="81"/>
      <c r="O1097" s="81"/>
      <c r="P1097" s="81"/>
      <c r="Q1097" s="81"/>
      <c r="R1097" s="81"/>
      <c r="S1097" s="81"/>
      <c r="T1097" s="81"/>
      <c r="U1097" s="81"/>
      <c r="V1097" s="94"/>
      <c r="W1097" s="94"/>
    </row>
    <row r="1098" spans="1:23" ht="21" customHeight="1">
      <c r="A1098">
        <f>Table4[[#This Row],[Column1]]</f>
        <v>0</v>
      </c>
      <c r="B1098">
        <f>Table4[[#This Row],[Column2]]</f>
        <v>0</v>
      </c>
      <c r="C1098" s="81"/>
      <c r="D1098" s="81"/>
      <c r="E1098" s="81"/>
      <c r="F1098" s="81"/>
      <c r="G1098" s="81"/>
      <c r="H1098" s="81"/>
      <c r="I1098" s="81"/>
      <c r="J1098" s="81"/>
      <c r="K1098" s="81"/>
      <c r="L1098" s="81"/>
      <c r="M1098" s="81"/>
      <c r="N1098" s="81"/>
      <c r="O1098" s="81"/>
      <c r="P1098" s="81"/>
      <c r="Q1098" s="81"/>
      <c r="R1098" s="81"/>
      <c r="S1098" s="81"/>
      <c r="T1098" s="81"/>
      <c r="U1098" s="81"/>
      <c r="V1098" s="94"/>
      <c r="W1098" s="94"/>
    </row>
    <row r="1099" spans="1:23" ht="21" customHeight="1">
      <c r="A1099">
        <f>Table4[[#This Row],[Column1]]</f>
        <v>0</v>
      </c>
      <c r="B1099">
        <f>Table4[[#This Row],[Column2]]</f>
        <v>0</v>
      </c>
      <c r="C1099" s="81"/>
      <c r="D1099" s="81"/>
      <c r="E1099" s="81"/>
      <c r="F1099" s="81"/>
      <c r="G1099" s="81"/>
      <c r="H1099" s="81"/>
      <c r="I1099" s="81"/>
      <c r="J1099" s="81"/>
      <c r="K1099" s="81"/>
      <c r="L1099" s="81"/>
      <c r="M1099" s="81"/>
      <c r="N1099" s="81"/>
      <c r="O1099" s="81"/>
      <c r="P1099" s="81"/>
      <c r="Q1099" s="81"/>
      <c r="R1099" s="81"/>
      <c r="S1099" s="81"/>
      <c r="T1099" s="81"/>
      <c r="U1099" s="81"/>
      <c r="V1099" s="94"/>
      <c r="W1099" s="94"/>
    </row>
    <row r="1100" spans="1:23" ht="21" customHeight="1">
      <c r="A1100">
        <f>Table4[[#This Row],[Column1]]</f>
        <v>0</v>
      </c>
      <c r="B1100">
        <f>Table4[[#This Row],[Column2]]</f>
        <v>0</v>
      </c>
      <c r="C1100" s="81"/>
      <c r="D1100" s="81"/>
      <c r="E1100" s="81"/>
      <c r="F1100" s="81"/>
      <c r="G1100" s="81"/>
      <c r="H1100" s="81"/>
      <c r="I1100" s="81"/>
      <c r="J1100" s="81"/>
      <c r="K1100" s="81"/>
      <c r="L1100" s="81"/>
      <c r="M1100" s="81"/>
      <c r="N1100" s="81"/>
      <c r="O1100" s="81"/>
      <c r="P1100" s="81"/>
      <c r="Q1100" s="81"/>
      <c r="R1100" s="81"/>
      <c r="S1100" s="81"/>
      <c r="T1100" s="81"/>
      <c r="U1100" s="81"/>
      <c r="V1100" s="94"/>
      <c r="W1100" s="94"/>
    </row>
    <row r="1101" spans="1:23" ht="21" customHeight="1">
      <c r="A1101">
        <f>Table4[[#This Row],[Column1]]</f>
        <v>0</v>
      </c>
      <c r="B1101">
        <f>Table4[[#This Row],[Column2]]</f>
        <v>0</v>
      </c>
      <c r="C1101" s="81"/>
      <c r="D1101" s="81"/>
      <c r="E1101" s="81"/>
      <c r="F1101" s="81"/>
      <c r="G1101" s="81"/>
      <c r="H1101" s="81"/>
      <c r="I1101" s="81"/>
      <c r="J1101" s="81"/>
      <c r="K1101" s="81"/>
      <c r="L1101" s="81"/>
      <c r="M1101" s="81"/>
      <c r="N1101" s="81"/>
      <c r="O1101" s="81"/>
      <c r="P1101" s="81"/>
      <c r="Q1101" s="81"/>
      <c r="R1101" s="81"/>
      <c r="S1101" s="81"/>
      <c r="T1101" s="81"/>
      <c r="U1101" s="81"/>
      <c r="V1101" s="94"/>
      <c r="W1101" s="94"/>
    </row>
    <row r="1102" spans="1:23" ht="21" customHeight="1">
      <c r="A1102">
        <f>Table4[[#This Row],[Column1]]</f>
        <v>0</v>
      </c>
      <c r="B1102">
        <f>Table4[[#This Row],[Column2]]</f>
        <v>0</v>
      </c>
      <c r="C1102" s="81"/>
      <c r="D1102" s="81"/>
      <c r="E1102" s="81"/>
      <c r="F1102" s="81"/>
      <c r="G1102" s="81"/>
      <c r="H1102" s="81"/>
      <c r="I1102" s="81"/>
      <c r="J1102" s="81"/>
      <c r="K1102" s="81"/>
      <c r="L1102" s="81"/>
      <c r="M1102" s="81"/>
      <c r="N1102" s="81"/>
      <c r="O1102" s="81"/>
      <c r="P1102" s="81"/>
      <c r="Q1102" s="81"/>
      <c r="R1102" s="81"/>
      <c r="S1102" s="81"/>
      <c r="T1102" s="81"/>
      <c r="U1102" s="81"/>
      <c r="V1102" s="94"/>
      <c r="W1102" s="94"/>
    </row>
    <row r="1103" spans="1:23" ht="21" customHeight="1">
      <c r="A1103">
        <f>Table4[[#This Row],[Column1]]</f>
        <v>0</v>
      </c>
      <c r="B1103">
        <f>Table4[[#This Row],[Column2]]</f>
        <v>0</v>
      </c>
      <c r="C1103" s="81"/>
      <c r="D1103" s="81"/>
      <c r="E1103" s="81"/>
      <c r="F1103" s="81"/>
      <c r="G1103" s="81"/>
      <c r="H1103" s="81"/>
      <c r="I1103" s="81"/>
      <c r="J1103" s="81"/>
      <c r="K1103" s="81"/>
      <c r="L1103" s="81"/>
      <c r="M1103" s="81"/>
      <c r="N1103" s="81"/>
      <c r="O1103" s="81"/>
      <c r="P1103" s="81"/>
      <c r="Q1103" s="81"/>
      <c r="R1103" s="81"/>
      <c r="S1103" s="81"/>
      <c r="T1103" s="81"/>
      <c r="U1103" s="81"/>
      <c r="V1103" s="94"/>
      <c r="W1103" s="94"/>
    </row>
    <row r="1104" spans="1:23" ht="21" customHeight="1">
      <c r="A1104">
        <f>Table4[[#This Row],[Column1]]</f>
        <v>0</v>
      </c>
      <c r="B1104">
        <f>Table4[[#This Row],[Column2]]</f>
        <v>0</v>
      </c>
      <c r="C1104" s="81"/>
      <c r="D1104" s="81"/>
      <c r="E1104" s="81"/>
      <c r="F1104" s="81"/>
      <c r="G1104" s="81"/>
      <c r="H1104" s="81"/>
      <c r="I1104" s="81"/>
      <c r="J1104" s="81"/>
      <c r="K1104" s="81"/>
      <c r="L1104" s="81"/>
      <c r="M1104" s="81"/>
      <c r="N1104" s="81"/>
      <c r="O1104" s="81"/>
      <c r="P1104" s="81"/>
      <c r="Q1104" s="81"/>
      <c r="R1104" s="81"/>
      <c r="S1104" s="81"/>
      <c r="T1104" s="81"/>
      <c r="U1104" s="81"/>
      <c r="V1104" s="94"/>
      <c r="W1104" s="94"/>
    </row>
    <row r="1105" spans="1:23" ht="21" customHeight="1">
      <c r="A1105">
        <f>Table4[[#This Row],[Column1]]</f>
        <v>0</v>
      </c>
      <c r="B1105">
        <f>Table4[[#This Row],[Column2]]</f>
        <v>0</v>
      </c>
      <c r="C1105" s="81"/>
      <c r="D1105" s="81"/>
      <c r="E1105" s="81"/>
      <c r="F1105" s="81"/>
      <c r="G1105" s="81"/>
      <c r="H1105" s="81"/>
      <c r="I1105" s="81"/>
      <c r="J1105" s="81"/>
      <c r="K1105" s="81"/>
      <c r="L1105" s="81"/>
      <c r="M1105" s="81"/>
      <c r="N1105" s="81"/>
      <c r="O1105" s="81"/>
      <c r="P1105" s="81"/>
      <c r="Q1105" s="81"/>
      <c r="R1105" s="81"/>
      <c r="S1105" s="81"/>
      <c r="T1105" s="81"/>
      <c r="U1105" s="81"/>
      <c r="V1105" s="94"/>
      <c r="W1105" s="94"/>
    </row>
    <row r="1106" spans="1:23" ht="21" customHeight="1">
      <c r="A1106">
        <f>Table4[[#This Row],[Column1]]</f>
        <v>0</v>
      </c>
      <c r="B1106">
        <f>Table4[[#This Row],[Column2]]</f>
        <v>0</v>
      </c>
      <c r="C1106" s="81"/>
      <c r="D1106" s="81"/>
      <c r="E1106" s="81"/>
      <c r="F1106" s="81"/>
      <c r="G1106" s="81"/>
      <c r="H1106" s="81"/>
      <c r="I1106" s="81"/>
      <c r="J1106" s="81"/>
      <c r="K1106" s="81"/>
      <c r="L1106" s="81"/>
      <c r="M1106" s="81"/>
      <c r="N1106" s="81"/>
      <c r="O1106" s="81"/>
      <c r="P1106" s="81"/>
      <c r="Q1106" s="81"/>
      <c r="R1106" s="81"/>
      <c r="S1106" s="81"/>
      <c r="T1106" s="81"/>
      <c r="U1106" s="81"/>
      <c r="V1106" s="94"/>
      <c r="W1106" s="94"/>
    </row>
    <row r="1107" spans="1:23" ht="21" customHeight="1">
      <c r="A1107">
        <f>Table4[[#This Row],[Column1]]</f>
        <v>0</v>
      </c>
      <c r="B1107">
        <f>Table4[[#This Row],[Column2]]</f>
        <v>0</v>
      </c>
      <c r="C1107" s="81"/>
      <c r="D1107" s="81"/>
      <c r="E1107" s="81"/>
      <c r="F1107" s="81"/>
      <c r="G1107" s="81"/>
      <c r="H1107" s="81"/>
      <c r="I1107" s="81"/>
      <c r="J1107" s="81"/>
      <c r="K1107" s="81"/>
      <c r="L1107" s="81"/>
      <c r="M1107" s="81"/>
      <c r="N1107" s="81"/>
      <c r="O1107" s="81"/>
      <c r="P1107" s="81"/>
      <c r="Q1107" s="81"/>
      <c r="R1107" s="81"/>
      <c r="S1107" s="81"/>
      <c r="T1107" s="81"/>
      <c r="U1107" s="81"/>
      <c r="V1107" s="94"/>
      <c r="W1107" s="94"/>
    </row>
    <row r="1108" spans="1:23" ht="21" customHeight="1">
      <c r="A1108">
        <f>Table4[[#This Row],[Column1]]</f>
        <v>0</v>
      </c>
      <c r="B1108">
        <f>Table4[[#This Row],[Column2]]</f>
        <v>0</v>
      </c>
      <c r="C1108" s="81"/>
      <c r="D1108" s="81"/>
      <c r="E1108" s="81"/>
      <c r="F1108" s="81"/>
      <c r="G1108" s="81"/>
      <c r="H1108" s="81"/>
      <c r="I1108" s="81"/>
      <c r="J1108" s="81"/>
      <c r="K1108" s="81"/>
      <c r="L1108" s="81"/>
      <c r="M1108" s="81"/>
      <c r="N1108" s="81"/>
      <c r="O1108" s="81"/>
      <c r="P1108" s="81"/>
      <c r="Q1108" s="81"/>
      <c r="R1108" s="81"/>
      <c r="S1108" s="81"/>
      <c r="T1108" s="81"/>
      <c r="U1108" s="81"/>
      <c r="V1108" s="94"/>
      <c r="W1108" s="94"/>
    </row>
    <row r="1109" spans="1:23" ht="21" customHeight="1">
      <c r="A1109">
        <f>Table4[[#This Row],[Column1]]</f>
        <v>0</v>
      </c>
      <c r="B1109">
        <f>Table4[[#This Row],[Column2]]</f>
        <v>0</v>
      </c>
      <c r="C1109" s="81"/>
      <c r="D1109" s="81"/>
      <c r="E1109" s="81"/>
      <c r="F1109" s="81"/>
      <c r="G1109" s="81"/>
      <c r="H1109" s="81"/>
      <c r="I1109" s="81"/>
      <c r="J1109" s="81"/>
      <c r="K1109" s="81"/>
      <c r="L1109" s="81"/>
      <c r="M1109" s="81"/>
      <c r="N1109" s="81"/>
      <c r="O1109" s="81"/>
      <c r="P1109" s="81"/>
      <c r="Q1109" s="81"/>
      <c r="R1109" s="81"/>
      <c r="S1109" s="81"/>
      <c r="T1109" s="81"/>
      <c r="U1109" s="81"/>
      <c r="V1109" s="94"/>
      <c r="W1109" s="94"/>
    </row>
    <row r="1110" spans="1:23" ht="21" customHeight="1">
      <c r="A1110">
        <f>Table4[[#This Row],[Column1]]</f>
        <v>0</v>
      </c>
      <c r="B1110">
        <f>Table4[[#This Row],[Column2]]</f>
        <v>0</v>
      </c>
      <c r="C1110" s="81"/>
      <c r="D1110" s="81"/>
      <c r="E1110" s="81"/>
      <c r="F1110" s="81"/>
      <c r="G1110" s="81"/>
      <c r="H1110" s="81"/>
      <c r="I1110" s="81"/>
      <c r="J1110" s="81"/>
      <c r="K1110" s="81"/>
      <c r="L1110" s="81"/>
      <c r="M1110" s="81"/>
      <c r="N1110" s="81"/>
      <c r="O1110" s="81"/>
      <c r="P1110" s="81"/>
      <c r="Q1110" s="81"/>
      <c r="R1110" s="81"/>
      <c r="S1110" s="81"/>
      <c r="T1110" s="81"/>
      <c r="U1110" s="81"/>
      <c r="V1110" s="94"/>
      <c r="W1110" s="94"/>
    </row>
    <row r="1111" spans="1:23" ht="21" customHeight="1">
      <c r="A1111">
        <f>Table4[[#This Row],[Column1]]</f>
        <v>0</v>
      </c>
      <c r="B1111">
        <f>Table4[[#This Row],[Column2]]</f>
        <v>0</v>
      </c>
      <c r="C1111" s="81"/>
      <c r="D1111" s="81"/>
      <c r="E1111" s="81"/>
      <c r="F1111" s="81"/>
      <c r="G1111" s="81"/>
      <c r="H1111" s="81"/>
      <c r="I1111" s="81"/>
      <c r="J1111" s="81"/>
      <c r="K1111" s="81"/>
      <c r="L1111" s="81"/>
      <c r="M1111" s="81"/>
      <c r="N1111" s="81"/>
      <c r="O1111" s="81"/>
      <c r="P1111" s="81"/>
      <c r="Q1111" s="81"/>
      <c r="R1111" s="81"/>
      <c r="S1111" s="81"/>
      <c r="T1111" s="81"/>
      <c r="U1111" s="81"/>
      <c r="V1111" s="94"/>
      <c r="W1111" s="94"/>
    </row>
    <row r="1112" spans="1:23" ht="21" customHeight="1">
      <c r="A1112">
        <f>Table4[[#This Row],[Column1]]</f>
        <v>0</v>
      </c>
      <c r="B1112">
        <f>Table4[[#This Row],[Column2]]</f>
        <v>0</v>
      </c>
      <c r="C1112" s="81"/>
      <c r="D1112" s="81"/>
      <c r="E1112" s="81"/>
      <c r="F1112" s="81"/>
      <c r="G1112" s="81"/>
      <c r="H1112" s="81"/>
      <c r="I1112" s="81"/>
      <c r="J1112" s="81"/>
      <c r="K1112" s="81"/>
      <c r="L1112" s="81"/>
      <c r="M1112" s="81"/>
      <c r="N1112" s="81"/>
      <c r="O1112" s="81"/>
      <c r="P1112" s="81"/>
      <c r="Q1112" s="81"/>
      <c r="R1112" s="81"/>
      <c r="S1112" s="81"/>
      <c r="T1112" s="81"/>
      <c r="U1112" s="81"/>
      <c r="V1112" s="94"/>
      <c r="W1112" s="94"/>
    </row>
    <row r="1113" spans="1:23" ht="21" customHeight="1">
      <c r="A1113">
        <f>Table4[[#This Row],[Column1]]</f>
        <v>0</v>
      </c>
      <c r="B1113">
        <f>Table4[[#This Row],[Column2]]</f>
        <v>0</v>
      </c>
      <c r="C1113" s="81"/>
      <c r="D1113" s="81"/>
      <c r="E1113" s="81"/>
      <c r="F1113" s="81"/>
      <c r="G1113" s="81"/>
      <c r="H1113" s="81"/>
      <c r="I1113" s="81"/>
      <c r="J1113" s="81"/>
      <c r="K1113" s="81"/>
      <c r="L1113" s="81"/>
      <c r="M1113" s="81"/>
      <c r="N1113" s="81"/>
      <c r="O1113" s="81"/>
      <c r="P1113" s="81"/>
      <c r="Q1113" s="81"/>
      <c r="R1113" s="81"/>
      <c r="S1113" s="81"/>
      <c r="T1113" s="81"/>
      <c r="U1113" s="81"/>
      <c r="V1113" s="94"/>
      <c r="W1113" s="94"/>
    </row>
    <row r="1114" spans="1:23" ht="21" customHeight="1">
      <c r="A1114">
        <f>Table4[[#This Row],[Column1]]</f>
        <v>0</v>
      </c>
      <c r="B1114">
        <f>Table4[[#This Row],[Column2]]</f>
        <v>0</v>
      </c>
      <c r="C1114" s="81"/>
      <c r="D1114" s="81"/>
      <c r="E1114" s="81"/>
      <c r="F1114" s="81"/>
      <c r="G1114" s="81"/>
      <c r="H1114" s="81"/>
      <c r="I1114" s="81"/>
      <c r="J1114" s="81"/>
      <c r="K1114" s="81"/>
      <c r="L1114" s="81"/>
      <c r="M1114" s="81"/>
      <c r="N1114" s="81"/>
      <c r="O1114" s="81"/>
      <c r="P1114" s="81"/>
      <c r="Q1114" s="81"/>
      <c r="R1114" s="81"/>
      <c r="S1114" s="81"/>
      <c r="T1114" s="81"/>
      <c r="U1114" s="81"/>
      <c r="V1114" s="94"/>
      <c r="W1114" s="94"/>
    </row>
    <row r="1115" spans="1:23" ht="21" customHeight="1">
      <c r="A1115">
        <f>Table4[[#This Row],[Column1]]</f>
        <v>0</v>
      </c>
      <c r="B1115">
        <f>Table4[[#This Row],[Column2]]</f>
        <v>0</v>
      </c>
      <c r="C1115" s="81"/>
      <c r="D1115" s="81"/>
      <c r="E1115" s="81"/>
      <c r="F1115" s="81"/>
      <c r="G1115" s="81"/>
      <c r="H1115" s="81"/>
      <c r="I1115" s="81"/>
      <c r="J1115" s="81"/>
      <c r="K1115" s="81"/>
      <c r="L1115" s="81"/>
      <c r="M1115" s="81"/>
      <c r="N1115" s="81"/>
      <c r="O1115" s="81"/>
      <c r="P1115" s="81"/>
      <c r="Q1115" s="81"/>
      <c r="R1115" s="81"/>
      <c r="S1115" s="81"/>
      <c r="T1115" s="81"/>
      <c r="U1115" s="81"/>
      <c r="V1115" s="94"/>
      <c r="W1115" s="94"/>
    </row>
    <row r="1116" spans="1:23" ht="21" customHeight="1">
      <c r="A1116">
        <f>Table4[[#This Row],[Column1]]</f>
        <v>0</v>
      </c>
      <c r="B1116">
        <f>Table4[[#This Row],[Column2]]</f>
        <v>0</v>
      </c>
      <c r="C1116" s="81"/>
      <c r="D1116" s="81"/>
      <c r="E1116" s="81"/>
      <c r="F1116" s="81"/>
      <c r="G1116" s="81"/>
      <c r="H1116" s="81"/>
      <c r="I1116" s="81"/>
      <c r="J1116" s="81"/>
      <c r="K1116" s="81"/>
      <c r="L1116" s="81"/>
      <c r="M1116" s="81"/>
      <c r="N1116" s="81"/>
      <c r="O1116" s="81"/>
      <c r="P1116" s="81"/>
      <c r="Q1116" s="81"/>
      <c r="R1116" s="81"/>
      <c r="S1116" s="81"/>
      <c r="T1116" s="81"/>
      <c r="U1116" s="81"/>
      <c r="V1116" s="94"/>
      <c r="W1116" s="94"/>
    </row>
    <row r="1117" spans="1:23" ht="21" customHeight="1">
      <c r="A1117">
        <f>Table4[[#This Row],[Column1]]</f>
        <v>0</v>
      </c>
      <c r="B1117">
        <f>Table4[[#This Row],[Column2]]</f>
        <v>0</v>
      </c>
      <c r="C1117" s="81"/>
      <c r="D1117" s="81"/>
      <c r="E1117" s="81"/>
      <c r="F1117" s="81"/>
      <c r="G1117" s="81"/>
      <c r="H1117" s="81"/>
      <c r="I1117" s="81"/>
      <c r="J1117" s="81"/>
      <c r="K1117" s="81"/>
      <c r="L1117" s="81"/>
      <c r="M1117" s="81"/>
      <c r="N1117" s="81"/>
      <c r="O1117" s="81"/>
      <c r="P1117" s="81"/>
      <c r="Q1117" s="81"/>
      <c r="R1117" s="81"/>
      <c r="S1117" s="81"/>
      <c r="T1117" s="81"/>
      <c r="U1117" s="81"/>
      <c r="V1117" s="94"/>
      <c r="W1117" s="94"/>
    </row>
    <row r="1118" spans="1:23" ht="21" customHeight="1">
      <c r="A1118">
        <f>Table4[[#This Row],[Column1]]</f>
        <v>0</v>
      </c>
      <c r="B1118">
        <f>Table4[[#This Row],[Column2]]</f>
        <v>0</v>
      </c>
      <c r="C1118" s="81"/>
      <c r="D1118" s="81"/>
      <c r="E1118" s="81"/>
      <c r="F1118" s="81"/>
      <c r="G1118" s="81"/>
      <c r="H1118" s="81"/>
      <c r="I1118" s="81"/>
      <c r="J1118" s="81"/>
      <c r="K1118" s="81"/>
      <c r="L1118" s="81"/>
      <c r="M1118" s="81"/>
      <c r="N1118" s="81"/>
      <c r="O1118" s="81"/>
      <c r="P1118" s="81"/>
      <c r="Q1118" s="81"/>
      <c r="R1118" s="81"/>
      <c r="S1118" s="81"/>
      <c r="T1118" s="81"/>
      <c r="U1118" s="81"/>
      <c r="V1118" s="94"/>
      <c r="W1118" s="94"/>
    </row>
    <row r="1119" spans="1:23" ht="21" customHeight="1">
      <c r="A1119">
        <f>Table4[[#This Row],[Column1]]</f>
        <v>0</v>
      </c>
      <c r="B1119">
        <f>Table4[[#This Row],[Column2]]</f>
        <v>0</v>
      </c>
      <c r="C1119" s="81"/>
      <c r="D1119" s="81"/>
      <c r="E1119" s="81"/>
      <c r="F1119" s="81"/>
      <c r="G1119" s="81"/>
      <c r="H1119" s="81"/>
      <c r="I1119" s="81"/>
      <c r="J1119" s="81"/>
      <c r="K1119" s="81"/>
      <c r="L1119" s="81"/>
      <c r="M1119" s="81"/>
      <c r="N1119" s="81"/>
      <c r="O1119" s="81"/>
      <c r="P1119" s="81"/>
      <c r="Q1119" s="81"/>
      <c r="R1119" s="81"/>
      <c r="S1119" s="81"/>
      <c r="T1119" s="81"/>
      <c r="U1119" s="81"/>
      <c r="V1119" s="94"/>
      <c r="W1119" s="94"/>
    </row>
    <row r="1120" spans="1:23" ht="21" customHeight="1">
      <c r="A1120">
        <f>Table4[[#This Row],[Column1]]</f>
        <v>0</v>
      </c>
      <c r="B1120">
        <f>Table4[[#This Row],[Column2]]</f>
        <v>0</v>
      </c>
      <c r="C1120" s="81"/>
      <c r="D1120" s="81"/>
      <c r="E1120" s="81"/>
      <c r="F1120" s="81"/>
      <c r="G1120" s="81"/>
      <c r="H1120" s="81"/>
      <c r="I1120" s="81"/>
      <c r="J1120" s="81"/>
      <c r="K1120" s="81"/>
      <c r="L1120" s="81"/>
      <c r="M1120" s="81"/>
      <c r="N1120" s="81"/>
      <c r="O1120" s="81"/>
      <c r="P1120" s="81"/>
      <c r="Q1120" s="81"/>
      <c r="R1120" s="81"/>
      <c r="S1120" s="81"/>
      <c r="T1120" s="81"/>
      <c r="U1120" s="81"/>
      <c r="V1120" s="94"/>
      <c r="W1120" s="94"/>
    </row>
    <row r="1121" spans="1:23" ht="21" customHeight="1">
      <c r="A1121">
        <f>Table4[[#This Row],[Column1]]</f>
        <v>0</v>
      </c>
      <c r="B1121">
        <f>Table4[[#This Row],[Column2]]</f>
        <v>0</v>
      </c>
      <c r="C1121" s="81"/>
      <c r="D1121" s="81"/>
      <c r="E1121" s="81"/>
      <c r="F1121" s="81"/>
      <c r="G1121" s="81"/>
      <c r="H1121" s="81"/>
      <c r="I1121" s="81"/>
      <c r="J1121" s="81"/>
      <c r="K1121" s="81"/>
      <c r="L1121" s="81"/>
      <c r="M1121" s="81"/>
      <c r="N1121" s="81"/>
      <c r="O1121" s="81"/>
      <c r="P1121" s="81"/>
      <c r="Q1121" s="81"/>
      <c r="R1121" s="81"/>
      <c r="S1121" s="81"/>
      <c r="T1121" s="81"/>
      <c r="U1121" s="81"/>
      <c r="V1121" s="94"/>
      <c r="W1121" s="94"/>
    </row>
    <row r="1122" spans="1:23" ht="21" customHeight="1">
      <c r="A1122">
        <f>Table4[[#This Row],[Column1]]</f>
        <v>0</v>
      </c>
      <c r="B1122">
        <f>Table4[[#This Row],[Column2]]</f>
        <v>0</v>
      </c>
      <c r="C1122" s="81"/>
      <c r="D1122" s="81"/>
      <c r="E1122" s="81"/>
      <c r="F1122" s="81"/>
      <c r="G1122" s="81"/>
      <c r="H1122" s="81"/>
      <c r="I1122" s="81"/>
      <c r="J1122" s="81"/>
      <c r="K1122" s="81"/>
      <c r="L1122" s="81"/>
      <c r="M1122" s="81"/>
      <c r="N1122" s="81"/>
      <c r="O1122" s="81"/>
      <c r="P1122" s="81"/>
      <c r="Q1122" s="81"/>
      <c r="R1122" s="81"/>
      <c r="S1122" s="81"/>
      <c r="T1122" s="81"/>
      <c r="U1122" s="81"/>
      <c r="V1122" s="94"/>
      <c r="W1122" s="94"/>
    </row>
    <row r="1123" spans="1:23" ht="21" customHeight="1">
      <c r="A1123">
        <f>Table4[[#This Row],[Column1]]</f>
        <v>0</v>
      </c>
      <c r="B1123">
        <f>Table4[[#This Row],[Column2]]</f>
        <v>0</v>
      </c>
      <c r="C1123" s="81"/>
      <c r="D1123" s="81"/>
      <c r="E1123" s="81"/>
      <c r="F1123" s="81"/>
      <c r="G1123" s="81"/>
      <c r="H1123" s="81"/>
      <c r="I1123" s="81"/>
      <c r="J1123" s="81"/>
      <c r="K1123" s="81"/>
      <c r="L1123" s="81"/>
      <c r="M1123" s="81"/>
      <c r="N1123" s="81"/>
      <c r="O1123" s="81"/>
      <c r="P1123" s="81"/>
      <c r="Q1123" s="81"/>
      <c r="R1123" s="81"/>
      <c r="S1123" s="81"/>
      <c r="T1123" s="81"/>
      <c r="U1123" s="81"/>
      <c r="V1123" s="94"/>
      <c r="W1123" s="94"/>
    </row>
    <row r="1124" spans="1:23" ht="21" customHeight="1">
      <c r="A1124">
        <f>Table4[[#This Row],[Column1]]</f>
        <v>0</v>
      </c>
      <c r="B1124">
        <f>Table4[[#This Row],[Column2]]</f>
        <v>0</v>
      </c>
      <c r="C1124" s="81"/>
      <c r="D1124" s="81"/>
      <c r="E1124" s="81"/>
      <c r="F1124" s="81"/>
      <c r="G1124" s="81"/>
      <c r="H1124" s="81"/>
      <c r="I1124" s="81"/>
      <c r="J1124" s="81"/>
      <c r="K1124" s="81"/>
      <c r="L1124" s="81"/>
      <c r="M1124" s="81"/>
      <c r="N1124" s="81"/>
      <c r="O1124" s="81"/>
      <c r="P1124" s="81"/>
      <c r="Q1124" s="81"/>
      <c r="R1124" s="81"/>
      <c r="S1124" s="81"/>
      <c r="T1124" s="81"/>
      <c r="U1124" s="81"/>
      <c r="V1124" s="94"/>
      <c r="W1124" s="94"/>
    </row>
    <row r="1125" spans="1:23" ht="21" customHeight="1">
      <c r="A1125">
        <f>Table4[[#This Row],[Column1]]</f>
        <v>0</v>
      </c>
      <c r="B1125">
        <f>Table4[[#This Row],[Column2]]</f>
        <v>0</v>
      </c>
      <c r="C1125" s="81"/>
      <c r="D1125" s="81"/>
      <c r="E1125" s="81"/>
      <c r="F1125" s="81"/>
      <c r="G1125" s="81"/>
      <c r="H1125" s="81"/>
      <c r="I1125" s="81"/>
      <c r="J1125" s="81"/>
      <c r="K1125" s="81"/>
      <c r="L1125" s="81"/>
      <c r="M1125" s="81"/>
      <c r="N1125" s="81"/>
      <c r="O1125" s="81"/>
      <c r="P1125" s="81"/>
      <c r="Q1125" s="81"/>
      <c r="R1125" s="81"/>
      <c r="S1125" s="81"/>
      <c r="T1125" s="81"/>
      <c r="U1125" s="81"/>
      <c r="V1125" s="94"/>
      <c r="W1125" s="94"/>
    </row>
    <row r="1126" spans="1:23" ht="21" customHeight="1">
      <c r="A1126">
        <f>Table4[[#This Row],[Column1]]</f>
        <v>0</v>
      </c>
      <c r="B1126">
        <f>Table4[[#This Row],[Column2]]</f>
        <v>0</v>
      </c>
      <c r="C1126" s="81"/>
      <c r="D1126" s="81"/>
      <c r="E1126" s="81"/>
      <c r="F1126" s="81"/>
      <c r="G1126" s="81"/>
      <c r="H1126" s="81"/>
      <c r="I1126" s="81"/>
      <c r="J1126" s="81"/>
      <c r="K1126" s="81"/>
      <c r="L1126" s="81"/>
      <c r="M1126" s="81"/>
      <c r="N1126" s="81"/>
      <c r="O1126" s="81"/>
      <c r="P1126" s="81"/>
      <c r="Q1126" s="81"/>
      <c r="R1126" s="81"/>
      <c r="S1126" s="81"/>
      <c r="T1126" s="81"/>
      <c r="U1126" s="81"/>
      <c r="V1126" s="94"/>
      <c r="W1126" s="94"/>
    </row>
    <row r="1127" spans="1:23" ht="21" customHeight="1">
      <c r="A1127">
        <f>Table4[[#This Row],[Column1]]</f>
        <v>0</v>
      </c>
      <c r="B1127">
        <f>Table4[[#This Row],[Column2]]</f>
        <v>0</v>
      </c>
      <c r="C1127" s="81"/>
      <c r="D1127" s="81"/>
      <c r="E1127" s="81"/>
      <c r="F1127" s="81"/>
      <c r="G1127" s="81"/>
      <c r="H1127" s="81"/>
      <c r="I1127" s="81"/>
      <c r="J1127" s="81"/>
      <c r="K1127" s="81"/>
      <c r="L1127" s="81"/>
      <c r="M1127" s="81"/>
      <c r="N1127" s="81"/>
      <c r="O1127" s="81"/>
      <c r="P1127" s="81"/>
      <c r="Q1127" s="81"/>
      <c r="R1127" s="81"/>
      <c r="S1127" s="81"/>
      <c r="T1127" s="81"/>
      <c r="U1127" s="81"/>
      <c r="V1127" s="94"/>
      <c r="W1127" s="94"/>
    </row>
    <row r="1128" spans="1:23" ht="21" customHeight="1">
      <c r="A1128">
        <f>Table4[[#This Row],[Column1]]</f>
        <v>0</v>
      </c>
      <c r="B1128">
        <f>Table4[[#This Row],[Column2]]</f>
        <v>0</v>
      </c>
      <c r="C1128" s="81"/>
      <c r="D1128" s="81"/>
      <c r="E1128" s="81"/>
      <c r="F1128" s="81"/>
      <c r="G1128" s="81"/>
      <c r="H1128" s="81"/>
      <c r="I1128" s="81"/>
      <c r="J1128" s="81"/>
      <c r="K1128" s="81"/>
      <c r="L1128" s="81"/>
      <c r="M1128" s="81"/>
      <c r="N1128" s="81"/>
      <c r="O1128" s="81"/>
      <c r="P1128" s="81"/>
      <c r="Q1128" s="81"/>
      <c r="R1128" s="81"/>
      <c r="S1128" s="81"/>
      <c r="T1128" s="81"/>
      <c r="U1128" s="81"/>
      <c r="V1128" s="94"/>
      <c r="W1128" s="94"/>
    </row>
    <row r="1129" spans="1:23" ht="21" customHeight="1">
      <c r="A1129">
        <f>Table4[[#This Row],[Column1]]</f>
        <v>0</v>
      </c>
      <c r="B1129">
        <f>Table4[[#This Row],[Column2]]</f>
        <v>0</v>
      </c>
      <c r="C1129" s="81"/>
      <c r="D1129" s="81"/>
      <c r="E1129" s="81"/>
      <c r="F1129" s="81"/>
      <c r="G1129" s="81"/>
      <c r="H1129" s="81"/>
      <c r="I1129" s="81"/>
      <c r="J1129" s="81"/>
      <c r="K1129" s="81"/>
      <c r="L1129" s="81"/>
      <c r="M1129" s="81"/>
      <c r="N1129" s="81"/>
      <c r="O1129" s="81"/>
      <c r="P1129" s="81"/>
      <c r="Q1129" s="81"/>
      <c r="R1129" s="81"/>
      <c r="S1129" s="81"/>
      <c r="T1129" s="81"/>
      <c r="U1129" s="81"/>
      <c r="V1129" s="94"/>
      <c r="W1129" s="94"/>
    </row>
    <row r="1130" spans="1:23" ht="21" customHeight="1">
      <c r="A1130">
        <f>Table4[[#This Row],[Column1]]</f>
        <v>0</v>
      </c>
      <c r="B1130">
        <f>Table4[[#This Row],[Column2]]</f>
        <v>0</v>
      </c>
      <c r="C1130" s="81"/>
      <c r="D1130" s="81"/>
      <c r="E1130" s="81"/>
      <c r="F1130" s="81"/>
      <c r="G1130" s="81"/>
      <c r="H1130" s="81"/>
      <c r="I1130" s="81"/>
      <c r="J1130" s="81"/>
      <c r="K1130" s="81"/>
      <c r="L1130" s="81"/>
      <c r="M1130" s="81"/>
      <c r="N1130" s="81"/>
      <c r="O1130" s="81"/>
      <c r="P1130" s="81"/>
      <c r="Q1130" s="81"/>
      <c r="R1130" s="81"/>
      <c r="S1130" s="81"/>
      <c r="T1130" s="81"/>
      <c r="U1130" s="81"/>
      <c r="V1130" s="94"/>
      <c r="W1130" s="94"/>
    </row>
    <row r="1131" spans="1:23" ht="21" customHeight="1">
      <c r="A1131">
        <f>Table4[[#This Row],[Column1]]</f>
        <v>0</v>
      </c>
      <c r="B1131">
        <f>Table4[[#This Row],[Column2]]</f>
        <v>0</v>
      </c>
      <c r="C1131" s="81"/>
      <c r="D1131" s="81"/>
      <c r="E1131" s="81"/>
      <c r="F1131" s="81"/>
      <c r="G1131" s="81"/>
      <c r="H1131" s="81"/>
      <c r="I1131" s="81"/>
      <c r="J1131" s="81"/>
      <c r="K1131" s="81"/>
      <c r="L1131" s="81"/>
      <c r="M1131" s="81"/>
      <c r="N1131" s="81"/>
      <c r="O1131" s="81"/>
      <c r="P1131" s="81"/>
      <c r="Q1131" s="81"/>
      <c r="R1131" s="81"/>
      <c r="S1131" s="81"/>
      <c r="T1131" s="81"/>
      <c r="U1131" s="81"/>
      <c r="V1131" s="94"/>
      <c r="W1131" s="94"/>
    </row>
    <row r="1132" spans="1:23" ht="21" customHeight="1">
      <c r="A1132">
        <f>Table4[[#This Row],[Column1]]</f>
        <v>0</v>
      </c>
      <c r="B1132">
        <f>Table4[[#This Row],[Column2]]</f>
        <v>0</v>
      </c>
      <c r="C1132" s="81"/>
      <c r="D1132" s="81"/>
      <c r="E1132" s="81"/>
      <c r="F1132" s="81"/>
      <c r="G1132" s="81"/>
      <c r="H1132" s="81"/>
      <c r="I1132" s="81"/>
      <c r="J1132" s="81"/>
      <c r="K1132" s="81"/>
      <c r="L1132" s="81"/>
      <c r="M1132" s="81"/>
      <c r="N1132" s="81"/>
      <c r="O1132" s="81"/>
      <c r="P1132" s="81"/>
      <c r="Q1132" s="81"/>
      <c r="R1132" s="81"/>
      <c r="S1132" s="81"/>
      <c r="T1132" s="81"/>
      <c r="U1132" s="81"/>
      <c r="V1132" s="94"/>
      <c r="W1132" s="94"/>
    </row>
    <row r="1133" spans="1:23" ht="21" customHeight="1">
      <c r="A1133">
        <f>Table4[[#This Row],[Column1]]</f>
        <v>0</v>
      </c>
      <c r="B1133">
        <f>Table4[[#This Row],[Column2]]</f>
        <v>0</v>
      </c>
      <c r="C1133" s="81"/>
      <c r="D1133" s="81"/>
      <c r="E1133" s="81"/>
      <c r="F1133" s="81"/>
      <c r="G1133" s="81"/>
      <c r="H1133" s="81"/>
      <c r="I1133" s="81"/>
      <c r="J1133" s="81"/>
      <c r="K1133" s="81"/>
      <c r="L1133" s="81"/>
      <c r="M1133" s="81"/>
      <c r="N1133" s="81"/>
      <c r="O1133" s="81"/>
      <c r="P1133" s="81"/>
      <c r="Q1133" s="81"/>
      <c r="R1133" s="81"/>
      <c r="S1133" s="81"/>
      <c r="T1133" s="81"/>
      <c r="U1133" s="81"/>
      <c r="V1133" s="94"/>
      <c r="W1133" s="94"/>
    </row>
    <row r="1134" spans="1:23" ht="21" customHeight="1">
      <c r="A1134">
        <f>Table4[[#This Row],[Column1]]</f>
        <v>0</v>
      </c>
      <c r="B1134">
        <f>Table4[[#This Row],[Column2]]</f>
        <v>0</v>
      </c>
      <c r="C1134" s="81"/>
      <c r="D1134" s="81"/>
      <c r="E1134" s="81"/>
      <c r="F1134" s="81"/>
      <c r="G1134" s="81"/>
      <c r="H1134" s="81"/>
      <c r="I1134" s="81"/>
      <c r="J1134" s="81"/>
      <c r="K1134" s="81"/>
      <c r="L1134" s="81"/>
      <c r="M1134" s="81"/>
      <c r="N1134" s="81"/>
      <c r="O1134" s="81"/>
      <c r="P1134" s="81"/>
      <c r="Q1134" s="81"/>
      <c r="R1134" s="81"/>
      <c r="S1134" s="81"/>
      <c r="T1134" s="81"/>
      <c r="U1134" s="81"/>
      <c r="V1134" s="94"/>
      <c r="W1134" s="94"/>
    </row>
    <row r="1135" spans="1:23" ht="21" customHeight="1">
      <c r="A1135">
        <f>Table4[[#This Row],[Column1]]</f>
        <v>0</v>
      </c>
      <c r="B1135">
        <f>Table4[[#This Row],[Column2]]</f>
        <v>0</v>
      </c>
      <c r="C1135" s="81"/>
      <c r="D1135" s="81"/>
      <c r="E1135" s="81"/>
      <c r="F1135" s="81"/>
      <c r="G1135" s="81"/>
      <c r="H1135" s="81"/>
      <c r="I1135" s="81"/>
      <c r="J1135" s="81"/>
      <c r="K1135" s="81"/>
      <c r="L1135" s="81"/>
      <c r="M1135" s="81"/>
      <c r="N1135" s="81"/>
      <c r="O1135" s="81"/>
      <c r="P1135" s="81"/>
      <c r="Q1135" s="81"/>
      <c r="R1135" s="81"/>
      <c r="S1135" s="81"/>
      <c r="T1135" s="81"/>
      <c r="U1135" s="81"/>
      <c r="V1135" s="94"/>
      <c r="W1135" s="94"/>
    </row>
    <row r="1136" spans="1:23" ht="21" customHeight="1">
      <c r="A1136">
        <f>Table4[[#This Row],[Column1]]</f>
        <v>0</v>
      </c>
      <c r="B1136">
        <f>Table4[[#This Row],[Column2]]</f>
        <v>0</v>
      </c>
      <c r="C1136" s="81"/>
      <c r="D1136" s="81"/>
      <c r="E1136" s="81"/>
      <c r="F1136" s="81"/>
      <c r="G1136" s="81"/>
      <c r="H1136" s="81"/>
      <c r="I1136" s="81"/>
      <c r="J1136" s="81"/>
      <c r="K1136" s="81"/>
      <c r="L1136" s="81"/>
      <c r="M1136" s="81"/>
      <c r="N1136" s="81"/>
      <c r="O1136" s="81"/>
      <c r="P1136" s="81"/>
      <c r="Q1136" s="81"/>
      <c r="R1136" s="81"/>
      <c r="S1136" s="81"/>
      <c r="T1136" s="81"/>
      <c r="U1136" s="81"/>
      <c r="V1136" s="94"/>
      <c r="W1136" s="94"/>
    </row>
    <row r="1137" spans="1:23" ht="21" customHeight="1">
      <c r="A1137">
        <f>Table4[[#This Row],[Column1]]</f>
        <v>0</v>
      </c>
      <c r="B1137">
        <f>Table4[[#This Row],[Column2]]</f>
        <v>0</v>
      </c>
      <c r="C1137" s="81"/>
      <c r="D1137" s="81"/>
      <c r="E1137" s="81"/>
      <c r="F1137" s="81"/>
      <c r="G1137" s="81"/>
      <c r="H1137" s="81"/>
      <c r="I1137" s="81"/>
      <c r="J1137" s="81"/>
      <c r="K1137" s="81"/>
      <c r="L1137" s="81"/>
      <c r="M1137" s="81"/>
      <c r="N1137" s="81"/>
      <c r="O1137" s="81"/>
      <c r="P1137" s="81"/>
      <c r="Q1137" s="81"/>
      <c r="R1137" s="81"/>
      <c r="S1137" s="81"/>
      <c r="T1137" s="81"/>
      <c r="U1137" s="81"/>
      <c r="V1137" s="94"/>
      <c r="W1137" s="94"/>
    </row>
    <row r="1138" spans="1:23" ht="21" customHeight="1">
      <c r="A1138">
        <f>Table4[[#This Row],[Column1]]</f>
        <v>0</v>
      </c>
      <c r="B1138">
        <f>Table4[[#This Row],[Column2]]</f>
        <v>0</v>
      </c>
      <c r="C1138" s="81"/>
      <c r="D1138" s="81"/>
      <c r="E1138" s="81"/>
      <c r="F1138" s="81"/>
      <c r="G1138" s="81"/>
      <c r="H1138" s="81"/>
      <c r="I1138" s="81"/>
      <c r="J1138" s="81"/>
      <c r="K1138" s="81"/>
      <c r="L1138" s="81"/>
      <c r="M1138" s="81"/>
      <c r="N1138" s="81"/>
      <c r="O1138" s="81"/>
      <c r="P1138" s="81"/>
      <c r="Q1138" s="81"/>
      <c r="R1138" s="81"/>
      <c r="S1138" s="81"/>
      <c r="T1138" s="81"/>
      <c r="U1138" s="81"/>
      <c r="V1138" s="94"/>
      <c r="W1138" s="94"/>
    </row>
    <row r="1139" spans="1:23" ht="21" customHeight="1">
      <c r="A1139">
        <f>Table4[[#This Row],[Column1]]</f>
        <v>0</v>
      </c>
      <c r="B1139">
        <f>Table4[[#This Row],[Column2]]</f>
        <v>0</v>
      </c>
      <c r="C1139" s="81"/>
      <c r="D1139" s="81"/>
      <c r="E1139" s="81"/>
      <c r="F1139" s="81"/>
      <c r="G1139" s="81"/>
      <c r="H1139" s="81"/>
      <c r="I1139" s="81"/>
      <c r="J1139" s="81"/>
      <c r="K1139" s="81"/>
      <c r="L1139" s="81"/>
      <c r="M1139" s="81"/>
      <c r="N1139" s="81"/>
      <c r="O1139" s="81"/>
      <c r="P1139" s="81"/>
      <c r="Q1139" s="81"/>
      <c r="R1139" s="81"/>
      <c r="S1139" s="81"/>
      <c r="T1139" s="81"/>
      <c r="U1139" s="81"/>
      <c r="V1139" s="94"/>
      <c r="W1139" s="94"/>
    </row>
    <row r="1140" spans="1:23" ht="21" customHeight="1">
      <c r="A1140">
        <f>Table4[[#This Row],[Column1]]</f>
        <v>0</v>
      </c>
      <c r="B1140">
        <f>Table4[[#This Row],[Column2]]</f>
        <v>0</v>
      </c>
      <c r="C1140" s="81"/>
      <c r="D1140" s="81"/>
      <c r="E1140" s="81"/>
      <c r="F1140" s="81"/>
      <c r="G1140" s="81"/>
      <c r="H1140" s="81"/>
      <c r="I1140" s="81"/>
      <c r="J1140" s="81"/>
      <c r="K1140" s="81"/>
      <c r="L1140" s="81"/>
      <c r="M1140" s="81"/>
      <c r="N1140" s="81"/>
      <c r="O1140" s="81"/>
      <c r="P1140" s="81"/>
      <c r="Q1140" s="81"/>
      <c r="R1140" s="81"/>
      <c r="S1140" s="81"/>
      <c r="T1140" s="81"/>
      <c r="U1140" s="81"/>
      <c r="V1140" s="94"/>
      <c r="W1140" s="94"/>
    </row>
    <row r="1141" spans="1:23" ht="21" customHeight="1">
      <c r="A1141">
        <f>Table4[[#This Row],[Column1]]</f>
        <v>0</v>
      </c>
      <c r="B1141">
        <f>Table4[[#This Row],[Column2]]</f>
        <v>0</v>
      </c>
      <c r="C1141" s="81"/>
      <c r="D1141" s="81"/>
      <c r="E1141" s="81"/>
      <c r="F1141" s="81"/>
      <c r="G1141" s="81"/>
      <c r="H1141" s="81"/>
      <c r="I1141" s="81"/>
      <c r="J1141" s="81"/>
      <c r="K1141" s="81"/>
      <c r="L1141" s="81"/>
      <c r="M1141" s="81"/>
      <c r="N1141" s="81"/>
      <c r="O1141" s="81"/>
      <c r="P1141" s="81"/>
      <c r="Q1141" s="81"/>
      <c r="R1141" s="81"/>
      <c r="S1141" s="81"/>
      <c r="T1141" s="81"/>
      <c r="U1141" s="81"/>
      <c r="V1141" s="94"/>
      <c r="W1141" s="94"/>
    </row>
    <row r="1142" spans="1:23" ht="21" customHeight="1">
      <c r="A1142">
        <f>Table4[[#This Row],[Column1]]</f>
        <v>0</v>
      </c>
      <c r="B1142">
        <f>Table4[[#This Row],[Column2]]</f>
        <v>0</v>
      </c>
      <c r="C1142" s="81"/>
      <c r="D1142" s="81"/>
      <c r="E1142" s="81"/>
      <c r="F1142" s="81"/>
      <c r="G1142" s="81"/>
      <c r="H1142" s="81"/>
      <c r="I1142" s="81"/>
      <c r="J1142" s="81"/>
      <c r="K1142" s="81"/>
      <c r="L1142" s="81"/>
      <c r="M1142" s="81"/>
      <c r="N1142" s="81"/>
      <c r="O1142" s="81"/>
      <c r="P1142" s="81"/>
      <c r="Q1142" s="81"/>
      <c r="R1142" s="81"/>
      <c r="S1142" s="81"/>
      <c r="T1142" s="81"/>
      <c r="U1142" s="81"/>
      <c r="V1142" s="94"/>
      <c r="W1142" s="94"/>
    </row>
    <row r="1143" spans="1:23" ht="21" customHeight="1">
      <c r="A1143">
        <f>Table4[[#This Row],[Column1]]</f>
        <v>0</v>
      </c>
      <c r="B1143">
        <f>Table4[[#This Row],[Column2]]</f>
        <v>0</v>
      </c>
      <c r="C1143" s="81"/>
      <c r="D1143" s="81"/>
      <c r="E1143" s="81"/>
      <c r="F1143" s="81"/>
      <c r="G1143" s="81"/>
      <c r="H1143" s="81"/>
      <c r="I1143" s="81"/>
      <c r="J1143" s="81"/>
      <c r="K1143" s="81"/>
      <c r="L1143" s="81"/>
      <c r="M1143" s="81"/>
      <c r="N1143" s="81"/>
      <c r="O1143" s="81"/>
      <c r="P1143" s="81"/>
      <c r="Q1143" s="81"/>
      <c r="R1143" s="81"/>
      <c r="S1143" s="81"/>
      <c r="T1143" s="81"/>
      <c r="U1143" s="81"/>
      <c r="V1143" s="94"/>
      <c r="W1143" s="94"/>
    </row>
    <row r="1144" spans="1:23" ht="21" customHeight="1">
      <c r="A1144">
        <f>Table4[[#This Row],[Column1]]</f>
        <v>0</v>
      </c>
      <c r="B1144">
        <f>Table4[[#This Row],[Column2]]</f>
        <v>0</v>
      </c>
      <c r="C1144" s="81"/>
      <c r="D1144" s="81"/>
      <c r="E1144" s="81"/>
      <c r="F1144" s="81"/>
      <c r="G1144" s="81"/>
      <c r="H1144" s="81"/>
      <c r="I1144" s="81"/>
      <c r="J1144" s="81"/>
      <c r="K1144" s="81"/>
      <c r="L1144" s="81"/>
      <c r="M1144" s="81"/>
      <c r="N1144" s="81"/>
      <c r="O1144" s="81"/>
      <c r="P1144" s="81"/>
      <c r="Q1144" s="81"/>
      <c r="R1144" s="81"/>
      <c r="S1144" s="81"/>
      <c r="T1144" s="81"/>
      <c r="U1144" s="81"/>
      <c r="V1144" s="94"/>
      <c r="W1144" s="94"/>
    </row>
    <row r="1145" spans="1:23" ht="21" customHeight="1">
      <c r="A1145">
        <f>Table4[[#This Row],[Column1]]</f>
        <v>0</v>
      </c>
      <c r="B1145">
        <f>Table4[[#This Row],[Column2]]</f>
        <v>0</v>
      </c>
      <c r="C1145" s="81"/>
      <c r="D1145" s="81"/>
      <c r="E1145" s="81"/>
      <c r="F1145" s="81"/>
      <c r="G1145" s="81"/>
      <c r="H1145" s="81"/>
      <c r="I1145" s="81"/>
      <c r="J1145" s="81"/>
      <c r="K1145" s="81"/>
      <c r="L1145" s="81"/>
      <c r="M1145" s="81"/>
      <c r="N1145" s="81"/>
      <c r="O1145" s="81"/>
      <c r="P1145" s="81"/>
      <c r="Q1145" s="81"/>
      <c r="R1145" s="81"/>
      <c r="S1145" s="81"/>
      <c r="T1145" s="81"/>
      <c r="U1145" s="81"/>
      <c r="V1145" s="94"/>
      <c r="W1145" s="94"/>
    </row>
    <row r="1146" spans="1:23" ht="21" customHeight="1">
      <c r="A1146">
        <f>Table4[[#This Row],[Column1]]</f>
        <v>0</v>
      </c>
      <c r="B1146">
        <f>Table4[[#This Row],[Column2]]</f>
        <v>0</v>
      </c>
      <c r="C1146" s="81"/>
      <c r="D1146" s="81"/>
      <c r="E1146" s="81"/>
      <c r="F1146" s="81"/>
      <c r="G1146" s="81"/>
      <c r="H1146" s="81"/>
      <c r="I1146" s="81"/>
      <c r="J1146" s="81"/>
      <c r="K1146" s="81"/>
      <c r="L1146" s="81"/>
      <c r="M1146" s="81"/>
      <c r="N1146" s="81"/>
      <c r="O1146" s="81"/>
      <c r="P1146" s="81"/>
      <c r="Q1146" s="81"/>
      <c r="R1146" s="81"/>
      <c r="S1146" s="81"/>
      <c r="T1146" s="81"/>
      <c r="U1146" s="81"/>
      <c r="V1146" s="94"/>
      <c r="W1146" s="94"/>
    </row>
    <row r="1147" spans="1:23" ht="21" customHeight="1">
      <c r="A1147">
        <f>Table4[[#This Row],[Column1]]</f>
        <v>0</v>
      </c>
      <c r="B1147">
        <f>Table4[[#This Row],[Column2]]</f>
        <v>0</v>
      </c>
      <c r="C1147" s="81"/>
      <c r="D1147" s="81"/>
      <c r="E1147" s="81"/>
      <c r="F1147" s="81"/>
      <c r="G1147" s="81"/>
      <c r="H1147" s="81"/>
      <c r="I1147" s="81"/>
      <c r="J1147" s="81"/>
      <c r="K1147" s="81"/>
      <c r="L1147" s="81"/>
      <c r="M1147" s="81"/>
      <c r="N1147" s="81"/>
      <c r="O1147" s="81"/>
      <c r="P1147" s="81"/>
      <c r="Q1147" s="81"/>
      <c r="R1147" s="81"/>
      <c r="S1147" s="81"/>
      <c r="T1147" s="81"/>
      <c r="U1147" s="81"/>
      <c r="V1147" s="94"/>
      <c r="W1147" s="94"/>
    </row>
    <row r="1148" spans="1:23" ht="21" customHeight="1">
      <c r="A1148">
        <f>Table4[[#This Row],[Column1]]</f>
        <v>0</v>
      </c>
      <c r="B1148">
        <f>Table4[[#This Row],[Column2]]</f>
        <v>0</v>
      </c>
      <c r="C1148" s="81"/>
      <c r="D1148" s="81"/>
      <c r="E1148" s="81"/>
      <c r="F1148" s="81"/>
      <c r="G1148" s="81"/>
      <c r="H1148" s="81"/>
      <c r="I1148" s="81"/>
      <c r="J1148" s="81"/>
      <c r="K1148" s="81"/>
      <c r="L1148" s="81"/>
      <c r="M1148" s="81"/>
      <c r="N1148" s="81"/>
      <c r="O1148" s="81"/>
      <c r="P1148" s="81"/>
      <c r="Q1148" s="81"/>
      <c r="R1148" s="81"/>
      <c r="S1148" s="81"/>
      <c r="T1148" s="81"/>
      <c r="U1148" s="81"/>
      <c r="V1148" s="94"/>
      <c r="W1148" s="94"/>
    </row>
    <row r="1149" spans="1:23" ht="21" customHeight="1">
      <c r="A1149">
        <f>Table4[[#This Row],[Column1]]</f>
        <v>0</v>
      </c>
      <c r="B1149">
        <f>Table4[[#This Row],[Column2]]</f>
        <v>0</v>
      </c>
      <c r="C1149" s="81"/>
      <c r="D1149" s="81"/>
      <c r="E1149" s="81"/>
      <c r="F1149" s="81"/>
      <c r="G1149" s="81"/>
      <c r="H1149" s="81"/>
      <c r="I1149" s="81"/>
      <c r="J1149" s="81"/>
      <c r="K1149" s="81"/>
      <c r="L1149" s="81"/>
      <c r="M1149" s="81"/>
      <c r="N1149" s="81"/>
      <c r="O1149" s="81"/>
      <c r="P1149" s="81"/>
      <c r="Q1149" s="81"/>
      <c r="R1149" s="81"/>
      <c r="S1149" s="81"/>
      <c r="T1149" s="81"/>
      <c r="U1149" s="81"/>
      <c r="V1149" s="94"/>
      <c r="W1149" s="94"/>
    </row>
    <row r="1150" spans="1:23" ht="21" customHeight="1">
      <c r="A1150">
        <f>Table4[[#This Row],[Column1]]</f>
        <v>0</v>
      </c>
      <c r="B1150">
        <f>Table4[[#This Row],[Column2]]</f>
        <v>0</v>
      </c>
      <c r="C1150" s="81"/>
      <c r="D1150" s="81"/>
      <c r="E1150" s="81"/>
      <c r="F1150" s="81"/>
      <c r="G1150" s="81"/>
      <c r="H1150" s="81"/>
      <c r="I1150" s="81"/>
      <c r="J1150" s="81"/>
      <c r="K1150" s="81"/>
      <c r="L1150" s="81"/>
      <c r="M1150" s="81"/>
      <c r="N1150" s="81"/>
      <c r="O1150" s="81"/>
      <c r="P1150" s="81"/>
      <c r="Q1150" s="81"/>
      <c r="R1150" s="81"/>
      <c r="S1150" s="81"/>
      <c r="T1150" s="81"/>
      <c r="U1150" s="81"/>
      <c r="V1150" s="94"/>
      <c r="W1150" s="94"/>
    </row>
    <row r="1151" spans="1:23" ht="21" customHeight="1">
      <c r="A1151">
        <f>Table4[[#This Row],[Column1]]</f>
        <v>0</v>
      </c>
      <c r="B1151">
        <f>Table4[[#This Row],[Column2]]</f>
        <v>0</v>
      </c>
      <c r="C1151" s="81"/>
      <c r="D1151" s="81"/>
      <c r="E1151" s="81"/>
      <c r="F1151" s="81"/>
      <c r="G1151" s="81"/>
      <c r="H1151" s="81"/>
      <c r="I1151" s="81"/>
      <c r="J1151" s="81"/>
      <c r="K1151" s="81"/>
      <c r="L1151" s="81"/>
      <c r="M1151" s="81"/>
      <c r="N1151" s="81"/>
      <c r="O1151" s="81"/>
      <c r="P1151" s="81"/>
      <c r="Q1151" s="81"/>
      <c r="R1151" s="81"/>
      <c r="S1151" s="81"/>
      <c r="T1151" s="81"/>
      <c r="U1151" s="81"/>
      <c r="V1151" s="94"/>
      <c r="W1151" s="94"/>
    </row>
    <row r="1152" spans="1:23" ht="21" customHeight="1">
      <c r="A1152">
        <f>Table4[[#This Row],[Column1]]</f>
        <v>0</v>
      </c>
      <c r="B1152">
        <f>Table4[[#This Row],[Column2]]</f>
        <v>0</v>
      </c>
      <c r="C1152" s="81"/>
      <c r="D1152" s="81"/>
      <c r="E1152" s="81"/>
      <c r="F1152" s="81"/>
      <c r="G1152" s="81"/>
      <c r="H1152" s="81"/>
      <c r="I1152" s="81"/>
      <c r="J1152" s="81"/>
      <c r="K1152" s="81"/>
      <c r="L1152" s="81"/>
      <c r="M1152" s="81"/>
      <c r="N1152" s="81"/>
      <c r="O1152" s="81"/>
      <c r="P1152" s="81"/>
      <c r="Q1152" s="81"/>
      <c r="R1152" s="81"/>
      <c r="S1152" s="81"/>
      <c r="T1152" s="81"/>
      <c r="U1152" s="81"/>
      <c r="V1152" s="94"/>
      <c r="W1152" s="94"/>
    </row>
    <row r="1153" spans="1:23" ht="21" customHeight="1">
      <c r="A1153">
        <f>Table4[[#This Row],[Column1]]</f>
        <v>0</v>
      </c>
      <c r="B1153">
        <f>Table4[[#This Row],[Column2]]</f>
        <v>0</v>
      </c>
      <c r="C1153" s="81"/>
      <c r="D1153" s="81"/>
      <c r="E1153" s="81"/>
      <c r="F1153" s="81"/>
      <c r="G1153" s="81"/>
      <c r="H1153" s="81"/>
      <c r="I1153" s="81"/>
      <c r="J1153" s="81"/>
      <c r="K1153" s="81"/>
      <c r="L1153" s="81"/>
      <c r="M1153" s="81"/>
      <c r="N1153" s="81"/>
      <c r="O1153" s="81"/>
      <c r="P1153" s="81"/>
      <c r="Q1153" s="81"/>
      <c r="R1153" s="81"/>
      <c r="S1153" s="81"/>
      <c r="T1153" s="81"/>
      <c r="U1153" s="81"/>
      <c r="V1153" s="94"/>
      <c r="W1153" s="94"/>
    </row>
    <row r="1154" spans="1:23" ht="21" customHeight="1">
      <c r="A1154">
        <f>Table4[[#This Row],[Column1]]</f>
        <v>0</v>
      </c>
      <c r="B1154">
        <f>Table4[[#This Row],[Column2]]</f>
        <v>0</v>
      </c>
      <c r="C1154" s="81"/>
      <c r="D1154" s="81"/>
      <c r="E1154" s="81"/>
      <c r="F1154" s="81"/>
      <c r="G1154" s="81"/>
      <c r="H1154" s="81"/>
      <c r="I1154" s="81"/>
      <c r="J1154" s="81"/>
      <c r="K1154" s="81"/>
      <c r="L1154" s="81"/>
      <c r="M1154" s="81"/>
      <c r="N1154" s="81"/>
      <c r="O1154" s="81"/>
      <c r="P1154" s="81"/>
      <c r="Q1154" s="81"/>
      <c r="R1154" s="81"/>
      <c r="S1154" s="81"/>
      <c r="T1154" s="81"/>
      <c r="U1154" s="81"/>
      <c r="V1154" s="94"/>
      <c r="W1154" s="94"/>
    </row>
    <row r="1155" spans="1:23" ht="21" customHeight="1">
      <c r="A1155">
        <f>Table4[[#This Row],[Column1]]</f>
        <v>0</v>
      </c>
      <c r="B1155">
        <f>Table4[[#This Row],[Column2]]</f>
        <v>0</v>
      </c>
      <c r="C1155" s="81"/>
      <c r="D1155" s="81"/>
      <c r="E1155" s="81"/>
      <c r="F1155" s="81"/>
      <c r="G1155" s="81"/>
      <c r="H1155" s="81"/>
      <c r="I1155" s="81"/>
      <c r="J1155" s="81"/>
      <c r="K1155" s="81"/>
      <c r="L1155" s="81"/>
      <c r="M1155" s="81"/>
      <c r="N1155" s="81"/>
      <c r="O1155" s="81"/>
      <c r="P1155" s="81"/>
      <c r="Q1155" s="81"/>
      <c r="R1155" s="81"/>
      <c r="S1155" s="81"/>
      <c r="T1155" s="81"/>
      <c r="U1155" s="81"/>
      <c r="V1155" s="94"/>
      <c r="W1155" s="94"/>
    </row>
    <row r="1156" spans="1:23" ht="21" customHeight="1">
      <c r="A1156">
        <f>Table4[[#This Row],[Column1]]</f>
        <v>0</v>
      </c>
      <c r="B1156">
        <f>Table4[[#This Row],[Column2]]</f>
        <v>0</v>
      </c>
      <c r="C1156" s="81"/>
      <c r="D1156" s="81"/>
      <c r="E1156" s="81"/>
      <c r="F1156" s="81"/>
      <c r="G1156" s="81"/>
      <c r="H1156" s="81"/>
      <c r="I1156" s="81"/>
      <c r="J1156" s="81"/>
      <c r="K1156" s="81"/>
      <c r="L1156" s="81"/>
      <c r="M1156" s="81"/>
      <c r="N1156" s="81"/>
      <c r="O1156" s="81"/>
      <c r="P1156" s="81"/>
      <c r="Q1156" s="81"/>
      <c r="R1156" s="81"/>
      <c r="S1156" s="81"/>
      <c r="T1156" s="81"/>
      <c r="U1156" s="81"/>
      <c r="V1156" s="94"/>
      <c r="W1156" s="94"/>
    </row>
    <row r="1157" spans="1:23" ht="21" customHeight="1">
      <c r="A1157">
        <f>Table4[[#This Row],[Column1]]</f>
        <v>0</v>
      </c>
      <c r="B1157">
        <f>Table4[[#This Row],[Column2]]</f>
        <v>0</v>
      </c>
      <c r="C1157" s="81"/>
      <c r="D1157" s="81"/>
      <c r="E1157" s="81"/>
      <c r="F1157" s="81"/>
      <c r="G1157" s="81"/>
      <c r="H1157" s="81"/>
      <c r="I1157" s="81"/>
      <c r="J1157" s="81"/>
      <c r="K1157" s="81"/>
      <c r="L1157" s="81"/>
      <c r="M1157" s="81"/>
      <c r="N1157" s="81"/>
      <c r="O1157" s="81"/>
      <c r="P1157" s="81"/>
      <c r="Q1157" s="81"/>
      <c r="R1157" s="81"/>
      <c r="S1157" s="81"/>
      <c r="T1157" s="81"/>
      <c r="U1157" s="81"/>
      <c r="V1157" s="94"/>
      <c r="W1157" s="94"/>
    </row>
    <row r="1158" spans="1:23" ht="21" customHeight="1">
      <c r="A1158">
        <f>Table4[[#This Row],[Column1]]</f>
        <v>0</v>
      </c>
      <c r="B1158">
        <f>Table4[[#This Row],[Column2]]</f>
        <v>0</v>
      </c>
      <c r="C1158" s="81"/>
      <c r="D1158" s="81"/>
      <c r="E1158" s="81"/>
      <c r="F1158" s="81"/>
      <c r="G1158" s="81"/>
      <c r="H1158" s="81"/>
      <c r="I1158" s="81"/>
      <c r="J1158" s="81"/>
      <c r="K1158" s="81"/>
      <c r="L1158" s="81"/>
      <c r="M1158" s="81"/>
      <c r="N1158" s="81"/>
      <c r="O1158" s="81"/>
      <c r="P1158" s="81"/>
      <c r="Q1158" s="81"/>
      <c r="R1158" s="81"/>
      <c r="S1158" s="81"/>
      <c r="T1158" s="81"/>
      <c r="U1158" s="81"/>
      <c r="V1158" s="94"/>
      <c r="W1158" s="94"/>
    </row>
    <row r="1159" spans="1:23" ht="21" customHeight="1">
      <c r="A1159">
        <f>Table4[[#This Row],[Column1]]</f>
        <v>0</v>
      </c>
      <c r="B1159">
        <f>Table4[[#This Row],[Column2]]</f>
        <v>0</v>
      </c>
      <c r="C1159" s="81"/>
      <c r="D1159" s="81"/>
      <c r="E1159" s="81"/>
      <c r="F1159" s="81"/>
      <c r="G1159" s="81"/>
      <c r="H1159" s="81"/>
      <c r="I1159" s="81"/>
      <c r="J1159" s="81"/>
      <c r="K1159" s="81"/>
      <c r="L1159" s="81"/>
      <c r="M1159" s="81"/>
      <c r="N1159" s="81"/>
      <c r="O1159" s="81"/>
      <c r="P1159" s="81"/>
      <c r="Q1159" s="81"/>
      <c r="R1159" s="81"/>
      <c r="S1159" s="81"/>
      <c r="T1159" s="81"/>
      <c r="U1159" s="81"/>
      <c r="V1159" s="94"/>
      <c r="W1159" s="94"/>
    </row>
    <row r="1160" spans="1:23" ht="21" customHeight="1">
      <c r="A1160">
        <f>Table4[[#This Row],[Column1]]</f>
        <v>0</v>
      </c>
      <c r="B1160">
        <f>Table4[[#This Row],[Column2]]</f>
        <v>0</v>
      </c>
      <c r="C1160" s="81"/>
      <c r="D1160" s="81"/>
      <c r="E1160" s="81"/>
      <c r="F1160" s="81"/>
      <c r="G1160" s="81"/>
      <c r="H1160" s="81"/>
      <c r="I1160" s="81"/>
      <c r="J1160" s="81"/>
      <c r="K1160" s="81"/>
      <c r="L1160" s="81"/>
      <c r="M1160" s="81"/>
      <c r="N1160" s="81"/>
      <c r="O1160" s="81"/>
      <c r="P1160" s="81"/>
      <c r="Q1160" s="81"/>
      <c r="R1160" s="81"/>
      <c r="S1160" s="81"/>
      <c r="T1160" s="81"/>
      <c r="U1160" s="81"/>
      <c r="V1160" s="94"/>
      <c r="W1160" s="94"/>
    </row>
    <row r="1161" spans="1:23" ht="21" customHeight="1">
      <c r="A1161">
        <f>Table4[[#This Row],[Column1]]</f>
        <v>0</v>
      </c>
      <c r="B1161">
        <f>Table4[[#This Row],[Column2]]</f>
        <v>0</v>
      </c>
      <c r="C1161" s="81"/>
      <c r="D1161" s="81"/>
      <c r="E1161" s="81"/>
      <c r="F1161" s="81"/>
      <c r="G1161" s="81"/>
      <c r="H1161" s="81"/>
      <c r="I1161" s="81"/>
      <c r="J1161" s="81"/>
      <c r="K1161" s="81"/>
      <c r="L1161" s="81"/>
      <c r="M1161" s="81"/>
      <c r="N1161" s="81"/>
      <c r="O1161" s="81"/>
      <c r="P1161" s="81"/>
      <c r="Q1161" s="81"/>
      <c r="R1161" s="81"/>
      <c r="S1161" s="81"/>
      <c r="T1161" s="81"/>
      <c r="U1161" s="81"/>
      <c r="V1161" s="94"/>
      <c r="W1161" s="94"/>
    </row>
    <row r="1162" spans="1:23" ht="21" customHeight="1">
      <c r="A1162">
        <f>Table4[[#This Row],[Column1]]</f>
        <v>0</v>
      </c>
      <c r="B1162">
        <f>Table4[[#This Row],[Column2]]</f>
        <v>0</v>
      </c>
      <c r="C1162" s="81"/>
      <c r="D1162" s="81"/>
      <c r="E1162" s="81"/>
      <c r="F1162" s="81"/>
      <c r="G1162" s="81"/>
      <c r="H1162" s="81"/>
      <c r="I1162" s="81"/>
      <c r="J1162" s="81"/>
      <c r="K1162" s="81"/>
      <c r="L1162" s="81"/>
      <c r="M1162" s="81"/>
      <c r="N1162" s="81"/>
      <c r="O1162" s="81"/>
      <c r="P1162" s="81"/>
      <c r="Q1162" s="81"/>
      <c r="R1162" s="81"/>
      <c r="S1162" s="81"/>
      <c r="T1162" s="81"/>
      <c r="U1162" s="81"/>
      <c r="V1162" s="94"/>
      <c r="W1162" s="94"/>
    </row>
    <row r="1163" spans="1:23" ht="21" customHeight="1">
      <c r="A1163">
        <f>Table4[[#This Row],[Column1]]</f>
        <v>0</v>
      </c>
      <c r="B1163">
        <f>Table4[[#This Row],[Column2]]</f>
        <v>0</v>
      </c>
      <c r="C1163" s="81"/>
      <c r="D1163" s="81"/>
      <c r="E1163" s="81"/>
      <c r="F1163" s="81"/>
      <c r="G1163" s="81"/>
      <c r="H1163" s="81"/>
      <c r="I1163" s="81"/>
      <c r="J1163" s="81"/>
      <c r="K1163" s="81"/>
      <c r="L1163" s="81"/>
      <c r="M1163" s="81"/>
      <c r="N1163" s="81"/>
      <c r="O1163" s="81"/>
      <c r="P1163" s="81"/>
      <c r="Q1163" s="81"/>
      <c r="R1163" s="81"/>
      <c r="S1163" s="81"/>
      <c r="T1163" s="81"/>
      <c r="U1163" s="81"/>
      <c r="V1163" s="94"/>
      <c r="W1163" s="94"/>
    </row>
    <row r="1164" spans="1:23" ht="21" customHeight="1">
      <c r="A1164">
        <f>Table4[[#This Row],[Column1]]</f>
        <v>0</v>
      </c>
      <c r="B1164">
        <f>Table4[[#This Row],[Column2]]</f>
        <v>0</v>
      </c>
      <c r="C1164" s="81"/>
      <c r="D1164" s="81"/>
      <c r="E1164" s="81"/>
      <c r="F1164" s="81"/>
      <c r="G1164" s="81"/>
      <c r="H1164" s="81"/>
      <c r="I1164" s="81"/>
      <c r="J1164" s="81"/>
      <c r="K1164" s="81"/>
      <c r="L1164" s="81"/>
      <c r="M1164" s="81"/>
      <c r="N1164" s="81"/>
      <c r="O1164" s="81"/>
      <c r="P1164" s="81"/>
      <c r="Q1164" s="81"/>
      <c r="R1164" s="81"/>
      <c r="S1164" s="81"/>
      <c r="T1164" s="81"/>
      <c r="U1164" s="81"/>
      <c r="V1164" s="94"/>
      <c r="W1164" s="94"/>
    </row>
    <row r="1165" spans="1:23" ht="21" customHeight="1">
      <c r="A1165">
        <f>Table4[[#This Row],[Column1]]</f>
        <v>0</v>
      </c>
      <c r="B1165">
        <f>Table4[[#This Row],[Column2]]</f>
        <v>0</v>
      </c>
      <c r="C1165" s="81"/>
      <c r="D1165" s="81"/>
      <c r="E1165" s="81"/>
      <c r="F1165" s="81"/>
      <c r="G1165" s="81"/>
      <c r="H1165" s="81"/>
      <c r="I1165" s="81"/>
      <c r="J1165" s="81"/>
      <c r="K1165" s="81"/>
      <c r="L1165" s="81"/>
      <c r="M1165" s="81"/>
      <c r="N1165" s="81"/>
      <c r="O1165" s="81"/>
      <c r="P1165" s="81"/>
      <c r="Q1165" s="81"/>
      <c r="R1165" s="81"/>
      <c r="S1165" s="81"/>
      <c r="T1165" s="81"/>
      <c r="U1165" s="81"/>
      <c r="V1165" s="94"/>
      <c r="W1165" s="94"/>
    </row>
    <row r="1166" spans="1:23" ht="21" customHeight="1">
      <c r="A1166">
        <f>Table4[[#This Row],[Column1]]</f>
        <v>0</v>
      </c>
      <c r="B1166">
        <f>Table4[[#This Row],[Column2]]</f>
        <v>0</v>
      </c>
      <c r="C1166" s="81"/>
      <c r="D1166" s="81"/>
      <c r="E1166" s="81"/>
      <c r="F1166" s="81"/>
      <c r="G1166" s="81"/>
      <c r="H1166" s="81"/>
      <c r="I1166" s="81"/>
      <c r="J1166" s="81"/>
      <c r="K1166" s="81"/>
      <c r="L1166" s="81"/>
      <c r="M1166" s="81"/>
      <c r="N1166" s="81"/>
      <c r="O1166" s="81"/>
      <c r="P1166" s="81"/>
      <c r="Q1166" s="81"/>
      <c r="R1166" s="81"/>
      <c r="S1166" s="81"/>
      <c r="T1166" s="81"/>
      <c r="U1166" s="81"/>
      <c r="V1166" s="94"/>
      <c r="W1166" s="94"/>
    </row>
    <row r="1167" spans="1:23" ht="21" customHeight="1">
      <c r="A1167">
        <f>Table4[[#This Row],[Column1]]</f>
        <v>0</v>
      </c>
      <c r="B1167">
        <f>Table4[[#This Row],[Column2]]</f>
        <v>0</v>
      </c>
      <c r="C1167" s="81"/>
      <c r="D1167" s="81"/>
      <c r="E1167" s="81"/>
      <c r="F1167" s="81"/>
      <c r="G1167" s="81"/>
      <c r="H1167" s="81"/>
      <c r="I1167" s="81"/>
      <c r="J1167" s="81"/>
      <c r="K1167" s="81"/>
      <c r="L1167" s="81"/>
      <c r="M1167" s="81"/>
      <c r="N1167" s="81"/>
      <c r="O1167" s="81"/>
      <c r="P1167" s="81"/>
      <c r="Q1167" s="81"/>
      <c r="R1167" s="81"/>
      <c r="S1167" s="81"/>
      <c r="T1167" s="81"/>
      <c r="U1167" s="81"/>
      <c r="V1167" s="94"/>
      <c r="W1167" s="94"/>
    </row>
    <row r="1168" spans="1:23" ht="21" customHeight="1">
      <c r="A1168">
        <f>Table4[[#This Row],[Column1]]</f>
        <v>0</v>
      </c>
      <c r="B1168">
        <f>Table4[[#This Row],[Column2]]</f>
        <v>0</v>
      </c>
      <c r="C1168" s="81"/>
      <c r="D1168" s="81"/>
      <c r="E1168" s="81"/>
      <c r="F1168" s="81"/>
      <c r="G1168" s="81"/>
      <c r="H1168" s="81"/>
      <c r="I1168" s="81"/>
      <c r="J1168" s="81"/>
      <c r="K1168" s="81"/>
      <c r="L1168" s="81"/>
      <c r="M1168" s="81"/>
      <c r="N1168" s="81"/>
      <c r="O1168" s="81"/>
      <c r="P1168" s="81"/>
      <c r="Q1168" s="81"/>
      <c r="R1168" s="81"/>
      <c r="S1168" s="81"/>
      <c r="T1168" s="81"/>
      <c r="U1168" s="81"/>
      <c r="V1168" s="94"/>
      <c r="W1168" s="94"/>
    </row>
    <row r="1169" spans="1:23" ht="21" customHeight="1">
      <c r="A1169">
        <f>Table4[[#This Row],[Column1]]</f>
        <v>0</v>
      </c>
      <c r="B1169">
        <f>Table4[[#This Row],[Column2]]</f>
        <v>0</v>
      </c>
      <c r="C1169" s="81"/>
      <c r="D1169" s="81"/>
      <c r="E1169" s="81"/>
      <c r="F1169" s="81"/>
      <c r="G1169" s="81"/>
      <c r="H1169" s="81"/>
      <c r="I1169" s="81"/>
      <c r="J1169" s="81"/>
      <c r="K1169" s="81"/>
      <c r="L1169" s="81"/>
      <c r="M1169" s="81"/>
      <c r="N1169" s="81"/>
      <c r="O1169" s="81"/>
      <c r="P1169" s="81"/>
      <c r="Q1169" s="81"/>
      <c r="R1169" s="81"/>
      <c r="S1169" s="81"/>
      <c r="T1169" s="81"/>
      <c r="U1169" s="81"/>
      <c r="V1169" s="94"/>
      <c r="W1169" s="94"/>
    </row>
    <row r="1170" spans="1:23" ht="21" customHeight="1">
      <c r="A1170">
        <f>Table4[[#This Row],[Column1]]</f>
        <v>0</v>
      </c>
      <c r="B1170">
        <f>Table4[[#This Row],[Column2]]</f>
        <v>0</v>
      </c>
      <c r="C1170" s="81"/>
      <c r="D1170" s="81"/>
      <c r="E1170" s="81"/>
      <c r="F1170" s="81"/>
      <c r="G1170" s="81"/>
      <c r="H1170" s="81"/>
      <c r="I1170" s="81"/>
      <c r="J1170" s="81"/>
      <c r="K1170" s="81"/>
      <c r="L1170" s="81"/>
      <c r="M1170" s="81"/>
      <c r="N1170" s="81"/>
      <c r="O1170" s="81"/>
      <c r="P1170" s="81"/>
      <c r="Q1170" s="81"/>
      <c r="R1170" s="81"/>
      <c r="S1170" s="81"/>
      <c r="T1170" s="81"/>
      <c r="U1170" s="81"/>
      <c r="V1170" s="94"/>
      <c r="W1170" s="94"/>
    </row>
    <row r="1171" spans="1:23" ht="21" customHeight="1">
      <c r="A1171">
        <f>Table4[[#This Row],[Column1]]</f>
        <v>0</v>
      </c>
      <c r="B1171">
        <f>Table4[[#This Row],[Column2]]</f>
        <v>0</v>
      </c>
      <c r="C1171" s="81"/>
      <c r="D1171" s="81"/>
      <c r="E1171" s="81"/>
      <c r="F1171" s="81"/>
      <c r="G1171" s="81"/>
      <c r="H1171" s="81"/>
      <c r="I1171" s="81"/>
      <c r="J1171" s="81"/>
      <c r="K1171" s="81"/>
      <c r="L1171" s="81"/>
      <c r="M1171" s="81"/>
      <c r="N1171" s="81"/>
      <c r="O1171" s="81"/>
      <c r="P1171" s="81"/>
      <c r="Q1171" s="81"/>
      <c r="R1171" s="81"/>
      <c r="S1171" s="81"/>
      <c r="T1171" s="81"/>
      <c r="U1171" s="81"/>
      <c r="V1171" s="94"/>
      <c r="W1171" s="94"/>
    </row>
    <row r="1172" spans="1:23" ht="21" customHeight="1">
      <c r="A1172">
        <f>Table4[[#This Row],[Column1]]</f>
        <v>0</v>
      </c>
      <c r="B1172">
        <f>Table4[[#This Row],[Column2]]</f>
        <v>0</v>
      </c>
      <c r="C1172" s="81"/>
      <c r="D1172" s="81"/>
      <c r="E1172" s="81"/>
      <c r="F1172" s="81"/>
      <c r="G1172" s="81"/>
      <c r="H1172" s="81"/>
      <c r="I1172" s="81"/>
      <c r="J1172" s="81"/>
      <c r="K1172" s="81"/>
      <c r="L1172" s="81"/>
      <c r="M1172" s="81"/>
      <c r="N1172" s="81"/>
      <c r="O1172" s="81"/>
      <c r="P1172" s="81"/>
      <c r="Q1172" s="81"/>
      <c r="R1172" s="81"/>
      <c r="S1172" s="81"/>
      <c r="T1172" s="81"/>
      <c r="U1172" s="81"/>
      <c r="V1172" s="94"/>
      <c r="W1172" s="94"/>
    </row>
    <row r="1173" spans="1:23" ht="21" customHeight="1">
      <c r="A1173">
        <f>Table4[[#This Row],[Column1]]</f>
        <v>0</v>
      </c>
      <c r="B1173">
        <f>Table4[[#This Row],[Column2]]</f>
        <v>0</v>
      </c>
      <c r="C1173" s="81"/>
      <c r="D1173" s="81"/>
      <c r="E1173" s="81"/>
      <c r="F1173" s="81"/>
      <c r="G1173" s="81"/>
      <c r="H1173" s="81"/>
      <c r="I1173" s="81"/>
      <c r="J1173" s="81"/>
      <c r="K1173" s="81"/>
      <c r="L1173" s="81"/>
      <c r="M1173" s="81"/>
      <c r="N1173" s="81"/>
      <c r="O1173" s="81"/>
      <c r="P1173" s="81"/>
      <c r="Q1173" s="81"/>
      <c r="R1173" s="81"/>
      <c r="S1173" s="81"/>
      <c r="T1173" s="81"/>
      <c r="U1173" s="81"/>
      <c r="V1173" s="94"/>
      <c r="W1173" s="94"/>
    </row>
    <row r="1174" spans="1:23" ht="21" customHeight="1">
      <c r="A1174">
        <f>Table4[[#This Row],[Column1]]</f>
        <v>0</v>
      </c>
      <c r="B1174">
        <f>Table4[[#This Row],[Column2]]</f>
        <v>0</v>
      </c>
      <c r="C1174" s="81"/>
      <c r="D1174" s="81"/>
      <c r="E1174" s="81"/>
      <c r="F1174" s="81"/>
      <c r="G1174" s="81"/>
      <c r="H1174" s="81"/>
      <c r="I1174" s="81"/>
      <c r="J1174" s="81"/>
      <c r="K1174" s="81"/>
      <c r="L1174" s="81"/>
      <c r="M1174" s="81"/>
      <c r="N1174" s="81"/>
      <c r="O1174" s="81"/>
      <c r="P1174" s="81"/>
      <c r="Q1174" s="81"/>
      <c r="R1174" s="81"/>
      <c r="S1174" s="81"/>
      <c r="T1174" s="81"/>
      <c r="U1174" s="81"/>
      <c r="V1174" s="94"/>
      <c r="W1174" s="94"/>
    </row>
    <row r="1175" spans="1:23" ht="21" customHeight="1">
      <c r="A1175">
        <f>Table4[[#This Row],[Column1]]</f>
        <v>0</v>
      </c>
      <c r="B1175">
        <f>Table4[[#This Row],[Column2]]</f>
        <v>0</v>
      </c>
      <c r="C1175" s="81"/>
      <c r="D1175" s="81"/>
      <c r="E1175" s="81"/>
      <c r="F1175" s="81"/>
      <c r="G1175" s="81"/>
      <c r="H1175" s="81"/>
      <c r="I1175" s="81"/>
      <c r="J1175" s="81"/>
      <c r="K1175" s="81"/>
      <c r="L1175" s="81"/>
      <c r="M1175" s="81"/>
      <c r="N1175" s="81"/>
      <c r="O1175" s="81"/>
      <c r="P1175" s="81"/>
      <c r="Q1175" s="81"/>
      <c r="R1175" s="81"/>
      <c r="S1175" s="81"/>
      <c r="T1175" s="81"/>
      <c r="U1175" s="81"/>
      <c r="V1175" s="94"/>
      <c r="W1175" s="94"/>
    </row>
    <row r="1176" spans="1:23" ht="21" customHeight="1">
      <c r="A1176">
        <f>Table4[[#This Row],[Column1]]</f>
        <v>0</v>
      </c>
      <c r="B1176">
        <f>Table4[[#This Row],[Column2]]</f>
        <v>0</v>
      </c>
      <c r="C1176" s="81"/>
      <c r="D1176" s="81"/>
      <c r="E1176" s="81"/>
      <c r="F1176" s="81"/>
      <c r="G1176" s="81"/>
      <c r="H1176" s="81"/>
      <c r="I1176" s="81"/>
      <c r="J1176" s="81"/>
      <c r="K1176" s="81"/>
      <c r="L1176" s="81"/>
      <c r="M1176" s="81"/>
      <c r="N1176" s="81"/>
      <c r="O1176" s="81"/>
      <c r="P1176" s="81"/>
      <c r="Q1176" s="81"/>
      <c r="R1176" s="81"/>
      <c r="S1176" s="81"/>
      <c r="T1176" s="81"/>
      <c r="U1176" s="81"/>
      <c r="V1176" s="94"/>
      <c r="W1176" s="94"/>
    </row>
    <row r="1177" spans="1:23" ht="21" customHeight="1">
      <c r="A1177">
        <f>Table4[[#This Row],[Column1]]</f>
        <v>0</v>
      </c>
      <c r="B1177">
        <f>Table4[[#This Row],[Column2]]</f>
        <v>0</v>
      </c>
      <c r="C1177" s="81"/>
      <c r="D1177" s="81"/>
      <c r="E1177" s="81"/>
      <c r="F1177" s="81"/>
      <c r="G1177" s="81"/>
      <c r="H1177" s="81"/>
      <c r="I1177" s="81"/>
      <c r="J1177" s="81"/>
      <c r="K1177" s="81"/>
      <c r="L1177" s="81"/>
      <c r="M1177" s="81"/>
      <c r="N1177" s="81"/>
      <c r="O1177" s="81"/>
      <c r="P1177" s="81"/>
      <c r="Q1177" s="81"/>
      <c r="R1177" s="81"/>
      <c r="S1177" s="81"/>
      <c r="T1177" s="81"/>
      <c r="U1177" s="81"/>
      <c r="V1177" s="94"/>
      <c r="W1177" s="94"/>
    </row>
    <row r="1178" spans="1:23" ht="21" customHeight="1">
      <c r="A1178">
        <f>Table4[[#This Row],[Column1]]</f>
        <v>0</v>
      </c>
      <c r="B1178">
        <f>Table4[[#This Row],[Column2]]</f>
        <v>0</v>
      </c>
      <c r="C1178" s="81"/>
      <c r="D1178" s="81"/>
      <c r="E1178" s="81"/>
      <c r="F1178" s="81"/>
      <c r="G1178" s="81"/>
      <c r="H1178" s="81"/>
      <c r="I1178" s="81"/>
      <c r="J1178" s="81"/>
      <c r="K1178" s="81"/>
      <c r="L1178" s="81"/>
      <c r="M1178" s="81"/>
      <c r="N1178" s="81"/>
      <c r="O1178" s="81"/>
      <c r="P1178" s="81"/>
      <c r="Q1178" s="81"/>
      <c r="R1178" s="81"/>
      <c r="S1178" s="81"/>
      <c r="T1178" s="81"/>
      <c r="U1178" s="81"/>
      <c r="V1178" s="94"/>
      <c r="W1178" s="94"/>
    </row>
    <row r="1179" spans="1:23" ht="21" customHeight="1">
      <c r="A1179">
        <f>Table4[[#This Row],[Column1]]</f>
        <v>0</v>
      </c>
      <c r="B1179">
        <f>Table4[[#This Row],[Column2]]</f>
        <v>0</v>
      </c>
      <c r="C1179" s="81"/>
      <c r="D1179" s="81"/>
      <c r="E1179" s="81"/>
      <c r="F1179" s="81"/>
      <c r="G1179" s="81"/>
      <c r="H1179" s="81"/>
      <c r="I1179" s="81"/>
      <c r="J1179" s="81"/>
      <c r="K1179" s="81"/>
      <c r="L1179" s="81"/>
      <c r="M1179" s="81"/>
      <c r="N1179" s="81"/>
      <c r="O1179" s="81"/>
      <c r="P1179" s="81"/>
      <c r="Q1179" s="81"/>
      <c r="R1179" s="81"/>
      <c r="S1179" s="81"/>
      <c r="T1179" s="81"/>
      <c r="U1179" s="81"/>
      <c r="V1179" s="94"/>
      <c r="W1179" s="94"/>
    </row>
    <row r="1180" spans="1:23" ht="21" customHeight="1">
      <c r="A1180">
        <f>Table4[[#This Row],[Column1]]</f>
        <v>0</v>
      </c>
      <c r="B1180">
        <f>Table4[[#This Row],[Column2]]</f>
        <v>0</v>
      </c>
      <c r="C1180" s="81"/>
      <c r="D1180" s="81"/>
      <c r="E1180" s="81"/>
      <c r="F1180" s="81"/>
      <c r="G1180" s="81"/>
      <c r="H1180" s="81"/>
      <c r="I1180" s="81"/>
      <c r="J1180" s="81"/>
      <c r="K1180" s="81"/>
      <c r="L1180" s="81"/>
      <c r="M1180" s="81"/>
      <c r="N1180" s="81"/>
      <c r="O1180" s="81"/>
      <c r="P1180" s="81"/>
      <c r="Q1180" s="81"/>
      <c r="R1180" s="81"/>
      <c r="S1180" s="81"/>
      <c r="T1180" s="81"/>
      <c r="U1180" s="81"/>
      <c r="V1180" s="94"/>
      <c r="W1180" s="94"/>
    </row>
    <row r="1181" spans="1:23" ht="21" customHeight="1">
      <c r="A1181">
        <f>Table4[[#This Row],[Column1]]</f>
        <v>0</v>
      </c>
      <c r="B1181">
        <f>Table4[[#This Row],[Column2]]</f>
        <v>0</v>
      </c>
      <c r="C1181" s="81"/>
      <c r="D1181" s="81"/>
      <c r="E1181" s="81"/>
      <c r="F1181" s="81"/>
      <c r="G1181" s="81"/>
      <c r="H1181" s="81"/>
      <c r="I1181" s="81"/>
      <c r="J1181" s="81"/>
      <c r="K1181" s="81"/>
      <c r="L1181" s="81"/>
      <c r="M1181" s="81"/>
      <c r="N1181" s="81"/>
      <c r="O1181" s="81"/>
      <c r="P1181" s="81"/>
      <c r="Q1181" s="81"/>
      <c r="R1181" s="81"/>
      <c r="S1181" s="81"/>
      <c r="T1181" s="81"/>
      <c r="U1181" s="81"/>
      <c r="V1181" s="94"/>
      <c r="W1181" s="94"/>
    </row>
    <row r="1182" spans="1:23" ht="21" customHeight="1">
      <c r="A1182">
        <f>Table4[[#This Row],[Column1]]</f>
        <v>0</v>
      </c>
      <c r="B1182">
        <f>Table4[[#This Row],[Column2]]</f>
        <v>0</v>
      </c>
      <c r="C1182" s="81"/>
      <c r="D1182" s="81"/>
      <c r="E1182" s="81"/>
      <c r="F1182" s="81"/>
      <c r="G1182" s="81"/>
      <c r="H1182" s="81"/>
      <c r="I1182" s="81"/>
      <c r="J1182" s="81"/>
      <c r="K1182" s="81"/>
      <c r="L1182" s="81"/>
      <c r="M1182" s="81"/>
      <c r="N1182" s="81"/>
      <c r="O1182" s="81"/>
      <c r="P1182" s="81"/>
      <c r="Q1182" s="81"/>
      <c r="R1182" s="81"/>
      <c r="S1182" s="81"/>
      <c r="T1182" s="81"/>
      <c r="U1182" s="81"/>
      <c r="V1182" s="94"/>
      <c r="W1182" s="94"/>
    </row>
    <row r="1183" spans="1:23" ht="21" customHeight="1">
      <c r="A1183">
        <f>Table4[[#This Row],[Column1]]</f>
        <v>0</v>
      </c>
      <c r="B1183">
        <f>Table4[[#This Row],[Column2]]</f>
        <v>0</v>
      </c>
      <c r="C1183" s="81"/>
      <c r="D1183" s="81"/>
      <c r="E1183" s="81"/>
      <c r="F1183" s="81"/>
      <c r="G1183" s="81"/>
      <c r="H1183" s="81"/>
      <c r="I1183" s="81"/>
      <c r="J1183" s="81"/>
      <c r="K1183" s="81"/>
      <c r="L1183" s="81"/>
      <c r="M1183" s="81"/>
      <c r="N1183" s="81"/>
      <c r="O1183" s="81"/>
      <c r="P1183" s="81"/>
      <c r="Q1183" s="81"/>
      <c r="R1183" s="81"/>
      <c r="S1183" s="81"/>
      <c r="T1183" s="81"/>
      <c r="U1183" s="81"/>
      <c r="V1183" s="94"/>
      <c r="W1183" s="94"/>
    </row>
    <row r="1184" spans="1:23" ht="21" customHeight="1">
      <c r="A1184">
        <f>Table4[[#This Row],[Column1]]</f>
        <v>0</v>
      </c>
      <c r="B1184">
        <f>Table4[[#This Row],[Column2]]</f>
        <v>0</v>
      </c>
      <c r="C1184" s="81"/>
      <c r="D1184" s="81"/>
      <c r="E1184" s="81"/>
      <c r="F1184" s="81"/>
      <c r="G1184" s="81"/>
      <c r="H1184" s="81"/>
      <c r="I1184" s="81"/>
      <c r="J1184" s="81"/>
      <c r="K1184" s="81"/>
      <c r="L1184" s="81"/>
      <c r="M1184" s="81"/>
      <c r="N1184" s="81"/>
      <c r="O1184" s="81"/>
      <c r="P1184" s="81"/>
      <c r="Q1184" s="81"/>
      <c r="R1184" s="81"/>
      <c r="S1184" s="81"/>
      <c r="T1184" s="81"/>
      <c r="U1184" s="81"/>
      <c r="V1184" s="94"/>
      <c r="W1184" s="94"/>
    </row>
    <row r="1185" spans="1:23" ht="21" customHeight="1">
      <c r="A1185">
        <f>Table4[[#This Row],[Column1]]</f>
        <v>0</v>
      </c>
      <c r="B1185">
        <f>Table4[[#This Row],[Column2]]</f>
        <v>0</v>
      </c>
      <c r="C1185" s="81"/>
      <c r="D1185" s="81"/>
      <c r="E1185" s="81"/>
      <c r="F1185" s="81"/>
      <c r="G1185" s="81"/>
      <c r="H1185" s="81"/>
      <c r="I1185" s="81"/>
      <c r="J1185" s="81"/>
      <c r="K1185" s="81"/>
      <c r="L1185" s="81"/>
      <c r="M1185" s="81"/>
      <c r="N1185" s="81"/>
      <c r="O1185" s="81"/>
      <c r="P1185" s="81"/>
      <c r="Q1185" s="81"/>
      <c r="R1185" s="81"/>
      <c r="S1185" s="81"/>
      <c r="T1185" s="81"/>
      <c r="U1185" s="81"/>
      <c r="V1185" s="94"/>
      <c r="W1185" s="94"/>
    </row>
    <row r="1186" spans="1:23" ht="21" customHeight="1">
      <c r="A1186">
        <f>Table4[[#This Row],[Column1]]</f>
        <v>0</v>
      </c>
      <c r="B1186">
        <f>Table4[[#This Row],[Column2]]</f>
        <v>0</v>
      </c>
      <c r="C1186" s="81"/>
      <c r="D1186" s="81"/>
      <c r="E1186" s="81"/>
      <c r="F1186" s="81"/>
      <c r="G1186" s="81"/>
      <c r="H1186" s="81"/>
      <c r="I1186" s="81"/>
      <c r="J1186" s="81"/>
      <c r="K1186" s="81"/>
      <c r="L1186" s="81"/>
      <c r="M1186" s="81"/>
      <c r="N1186" s="81"/>
      <c r="O1186" s="81"/>
      <c r="P1186" s="81"/>
      <c r="Q1186" s="81"/>
      <c r="R1186" s="81"/>
      <c r="S1186" s="81"/>
      <c r="T1186" s="81"/>
      <c r="U1186" s="81"/>
      <c r="V1186" s="94"/>
      <c r="W1186" s="94"/>
    </row>
    <row r="1187" spans="1:23" ht="21" customHeight="1">
      <c r="A1187">
        <f>Table4[[#This Row],[Column1]]</f>
        <v>0</v>
      </c>
      <c r="B1187">
        <f>Table4[[#This Row],[Column2]]</f>
        <v>0</v>
      </c>
      <c r="C1187" s="81"/>
      <c r="D1187" s="81"/>
      <c r="E1187" s="81"/>
      <c r="F1187" s="81"/>
      <c r="G1187" s="81"/>
      <c r="H1187" s="81"/>
      <c r="I1187" s="81"/>
      <c r="J1187" s="81"/>
      <c r="K1187" s="81"/>
      <c r="L1187" s="81"/>
      <c r="M1187" s="81"/>
      <c r="N1187" s="81"/>
      <c r="O1187" s="81"/>
      <c r="P1187" s="81"/>
      <c r="Q1187" s="81"/>
      <c r="R1187" s="81"/>
      <c r="S1187" s="81"/>
      <c r="T1187" s="81"/>
      <c r="U1187" s="81"/>
      <c r="V1187" s="94"/>
      <c r="W1187" s="94"/>
    </row>
    <row r="1188" spans="1:23" ht="21" customHeight="1">
      <c r="A1188">
        <f>Table4[[#This Row],[Column1]]</f>
        <v>0</v>
      </c>
      <c r="B1188">
        <f>Table4[[#This Row],[Column2]]</f>
        <v>0</v>
      </c>
      <c r="C1188" s="81"/>
      <c r="D1188" s="81"/>
      <c r="E1188" s="81"/>
      <c r="F1188" s="81"/>
      <c r="G1188" s="81"/>
      <c r="H1188" s="81"/>
      <c r="I1188" s="81"/>
      <c r="J1188" s="81"/>
      <c r="K1188" s="81"/>
      <c r="L1188" s="81"/>
      <c r="M1188" s="81"/>
      <c r="N1188" s="81"/>
      <c r="O1188" s="81"/>
      <c r="P1188" s="81"/>
      <c r="Q1188" s="81"/>
      <c r="R1188" s="81"/>
      <c r="S1188" s="81"/>
      <c r="T1188" s="81"/>
      <c r="U1188" s="81"/>
      <c r="V1188" s="94"/>
      <c r="W1188" s="94"/>
    </row>
    <row r="1189" spans="1:23" ht="21" customHeight="1">
      <c r="A1189">
        <f>Table4[[#This Row],[Column1]]</f>
        <v>0</v>
      </c>
      <c r="B1189">
        <f>Table4[[#This Row],[Column2]]</f>
        <v>0</v>
      </c>
      <c r="C1189" s="81"/>
      <c r="D1189" s="81"/>
      <c r="E1189" s="81"/>
      <c r="F1189" s="81"/>
      <c r="G1189" s="81"/>
      <c r="H1189" s="81"/>
      <c r="I1189" s="81"/>
      <c r="J1189" s="81"/>
      <c r="K1189" s="81"/>
      <c r="L1189" s="81"/>
      <c r="M1189" s="81"/>
      <c r="N1189" s="81"/>
      <c r="O1189" s="81"/>
      <c r="P1189" s="81"/>
      <c r="Q1189" s="81"/>
      <c r="R1189" s="81"/>
      <c r="S1189" s="81"/>
      <c r="T1189" s="81"/>
      <c r="U1189" s="81"/>
      <c r="V1189" s="94"/>
      <c r="W1189" s="94"/>
    </row>
    <row r="1190" spans="1:23" ht="21" customHeight="1">
      <c r="A1190">
        <f>Table4[[#This Row],[Column1]]</f>
        <v>0</v>
      </c>
      <c r="B1190">
        <f>Table4[[#This Row],[Column2]]</f>
        <v>0</v>
      </c>
      <c r="C1190" s="81"/>
      <c r="D1190" s="81"/>
      <c r="E1190" s="81"/>
      <c r="F1190" s="81"/>
      <c r="G1190" s="81"/>
      <c r="H1190" s="81"/>
      <c r="I1190" s="81"/>
      <c r="J1190" s="81"/>
      <c r="K1190" s="81"/>
      <c r="L1190" s="81"/>
      <c r="M1190" s="81"/>
      <c r="N1190" s="81"/>
      <c r="O1190" s="81"/>
      <c r="P1190" s="81"/>
      <c r="Q1190" s="81"/>
      <c r="R1190" s="81"/>
      <c r="S1190" s="81"/>
      <c r="T1190" s="81"/>
      <c r="U1190" s="81"/>
      <c r="V1190" s="94"/>
      <c r="W1190" s="94"/>
    </row>
    <row r="1191" spans="1:23" ht="21" customHeight="1">
      <c r="A1191">
        <f>Table4[[#This Row],[Column1]]</f>
        <v>0</v>
      </c>
      <c r="B1191">
        <f>Table4[[#This Row],[Column2]]</f>
        <v>0</v>
      </c>
      <c r="C1191" s="81"/>
      <c r="D1191" s="81"/>
      <c r="E1191" s="81"/>
      <c r="F1191" s="81"/>
      <c r="G1191" s="81"/>
      <c r="H1191" s="81"/>
      <c r="I1191" s="81"/>
      <c r="J1191" s="81"/>
      <c r="K1191" s="81"/>
      <c r="L1191" s="81"/>
      <c r="M1191" s="81"/>
      <c r="N1191" s="81"/>
      <c r="O1191" s="81"/>
      <c r="P1191" s="81"/>
      <c r="Q1191" s="81"/>
      <c r="R1191" s="81"/>
      <c r="S1191" s="81"/>
      <c r="T1191" s="81"/>
      <c r="U1191" s="81"/>
      <c r="V1191" s="94"/>
      <c r="W1191" s="94"/>
    </row>
    <row r="1192" spans="1:23" ht="21" customHeight="1">
      <c r="A1192">
        <f>Table4[[#This Row],[Column1]]</f>
        <v>0</v>
      </c>
      <c r="B1192">
        <f>Table4[[#This Row],[Column2]]</f>
        <v>0</v>
      </c>
      <c r="C1192" s="81"/>
      <c r="D1192" s="81"/>
      <c r="E1192" s="81"/>
      <c r="F1192" s="81"/>
      <c r="G1192" s="81"/>
      <c r="H1192" s="81"/>
      <c r="I1192" s="81"/>
      <c r="J1192" s="81"/>
      <c r="K1192" s="81"/>
      <c r="L1192" s="81"/>
      <c r="M1192" s="81"/>
      <c r="N1192" s="81"/>
      <c r="O1192" s="81"/>
      <c r="P1192" s="81"/>
      <c r="Q1192" s="81"/>
      <c r="R1192" s="81"/>
      <c r="S1192" s="81"/>
      <c r="T1192" s="81"/>
      <c r="U1192" s="81"/>
      <c r="V1192" s="94"/>
      <c r="W1192" s="94"/>
    </row>
    <row r="1193" spans="1:23" ht="21" customHeight="1">
      <c r="A1193">
        <f>Table4[[#This Row],[Column1]]</f>
        <v>0</v>
      </c>
      <c r="B1193">
        <f>Table4[[#This Row],[Column2]]</f>
        <v>0</v>
      </c>
      <c r="C1193" s="81"/>
      <c r="D1193" s="81"/>
      <c r="E1193" s="81"/>
      <c r="F1193" s="81"/>
      <c r="G1193" s="81"/>
      <c r="H1193" s="81"/>
      <c r="I1193" s="81"/>
      <c r="J1193" s="81"/>
      <c r="K1193" s="81"/>
      <c r="L1193" s="81"/>
      <c r="M1193" s="81"/>
      <c r="N1193" s="81"/>
      <c r="O1193" s="81"/>
      <c r="P1193" s="81"/>
      <c r="Q1193" s="81"/>
      <c r="R1193" s="81"/>
      <c r="S1193" s="81"/>
      <c r="T1193" s="81"/>
      <c r="U1193" s="81"/>
      <c r="V1193" s="94"/>
      <c r="W1193" s="94"/>
    </row>
    <row r="1194" spans="1:23" ht="21" customHeight="1">
      <c r="A1194">
        <f>Table4[[#This Row],[Column1]]</f>
        <v>0</v>
      </c>
      <c r="B1194">
        <f>Table4[[#This Row],[Column2]]</f>
        <v>0</v>
      </c>
      <c r="C1194" s="81"/>
      <c r="D1194" s="81"/>
      <c r="E1194" s="81"/>
      <c r="F1194" s="81"/>
      <c r="G1194" s="81"/>
      <c r="H1194" s="81"/>
      <c r="I1194" s="81"/>
      <c r="J1194" s="81"/>
      <c r="K1194" s="81"/>
      <c r="L1194" s="81"/>
      <c r="M1194" s="81"/>
      <c r="N1194" s="81"/>
      <c r="O1194" s="81"/>
      <c r="P1194" s="81"/>
      <c r="Q1194" s="81"/>
      <c r="R1194" s="81"/>
      <c r="S1194" s="81"/>
      <c r="T1194" s="81"/>
      <c r="U1194" s="81"/>
      <c r="V1194" s="94"/>
      <c r="W1194" s="94"/>
    </row>
    <row r="1195" spans="1:23" ht="21" customHeight="1">
      <c r="A1195">
        <f>Table4[[#This Row],[Column1]]</f>
        <v>0</v>
      </c>
      <c r="B1195">
        <f>Table4[[#This Row],[Column2]]</f>
        <v>0</v>
      </c>
      <c r="C1195" s="81"/>
      <c r="D1195" s="81"/>
      <c r="E1195" s="81"/>
      <c r="F1195" s="81"/>
      <c r="G1195" s="81"/>
      <c r="H1195" s="81"/>
      <c r="I1195" s="81"/>
      <c r="J1195" s="81"/>
      <c r="K1195" s="81"/>
      <c r="L1195" s="81"/>
      <c r="M1195" s="81"/>
      <c r="N1195" s="81"/>
      <c r="O1195" s="81"/>
      <c r="P1195" s="81"/>
      <c r="Q1195" s="81"/>
      <c r="R1195" s="81"/>
      <c r="S1195" s="81"/>
      <c r="T1195" s="81"/>
      <c r="U1195" s="81"/>
      <c r="V1195" s="94"/>
      <c r="W1195" s="94"/>
    </row>
    <row r="1196" spans="1:23" ht="21" customHeight="1">
      <c r="A1196">
        <f>Table4[[#This Row],[Column1]]</f>
        <v>0</v>
      </c>
      <c r="B1196">
        <f>Table4[[#This Row],[Column2]]</f>
        <v>0</v>
      </c>
      <c r="C1196" s="81"/>
      <c r="D1196" s="81"/>
      <c r="E1196" s="81"/>
      <c r="F1196" s="81"/>
      <c r="G1196" s="81"/>
      <c r="H1196" s="81"/>
      <c r="I1196" s="81"/>
      <c r="J1196" s="81"/>
      <c r="K1196" s="81"/>
      <c r="L1196" s="81"/>
      <c r="M1196" s="81"/>
      <c r="N1196" s="81"/>
      <c r="O1196" s="81"/>
      <c r="P1196" s="81"/>
      <c r="Q1196" s="81"/>
      <c r="R1196" s="81"/>
      <c r="S1196" s="81"/>
      <c r="T1196" s="81"/>
      <c r="U1196" s="81"/>
      <c r="V1196" s="94"/>
      <c r="W1196" s="94"/>
    </row>
    <row r="1197" spans="1:23" ht="21" customHeight="1">
      <c r="A1197">
        <f>Table4[[#This Row],[Column1]]</f>
        <v>0</v>
      </c>
      <c r="B1197">
        <f>Table4[[#This Row],[Column2]]</f>
        <v>0</v>
      </c>
      <c r="C1197" s="81"/>
      <c r="D1197" s="81"/>
      <c r="E1197" s="81"/>
      <c r="F1197" s="81"/>
      <c r="G1197" s="81"/>
      <c r="H1197" s="81"/>
      <c r="I1197" s="81"/>
      <c r="J1197" s="81"/>
      <c r="K1197" s="81"/>
      <c r="L1197" s="81"/>
      <c r="M1197" s="81"/>
      <c r="N1197" s="81"/>
      <c r="O1197" s="81"/>
      <c r="P1197" s="81"/>
      <c r="Q1197" s="81"/>
      <c r="R1197" s="81"/>
      <c r="S1197" s="81"/>
      <c r="T1197" s="81"/>
      <c r="U1197" s="81"/>
      <c r="V1197" s="94"/>
      <c r="W1197" s="94"/>
    </row>
    <row r="1198" spans="1:23" ht="21" customHeight="1">
      <c r="A1198">
        <f>Table4[[#This Row],[Column1]]</f>
        <v>0</v>
      </c>
      <c r="B1198">
        <f>Table4[[#This Row],[Column2]]</f>
        <v>0</v>
      </c>
      <c r="C1198" s="81"/>
      <c r="D1198" s="81"/>
      <c r="E1198" s="81"/>
      <c r="F1198" s="81"/>
      <c r="G1198" s="81"/>
      <c r="H1198" s="81"/>
      <c r="I1198" s="81"/>
      <c r="J1198" s="81"/>
      <c r="K1198" s="81"/>
      <c r="L1198" s="81"/>
      <c r="M1198" s="81"/>
      <c r="N1198" s="81"/>
      <c r="O1198" s="81"/>
      <c r="P1198" s="81"/>
      <c r="Q1198" s="81"/>
      <c r="R1198" s="81"/>
      <c r="S1198" s="81"/>
      <c r="T1198" s="81"/>
      <c r="U1198" s="81"/>
      <c r="V1198" s="94"/>
      <c r="W1198" s="94"/>
    </row>
    <row r="1199" spans="1:23" ht="21" customHeight="1">
      <c r="A1199">
        <f>Table4[[#This Row],[Column1]]</f>
        <v>0</v>
      </c>
      <c r="B1199">
        <f>Table4[[#This Row],[Column2]]</f>
        <v>0</v>
      </c>
      <c r="C1199" s="81"/>
      <c r="D1199" s="81"/>
      <c r="E1199" s="81"/>
      <c r="F1199" s="81"/>
      <c r="G1199" s="81"/>
      <c r="H1199" s="81"/>
      <c r="I1199" s="81"/>
      <c r="J1199" s="81"/>
      <c r="K1199" s="81"/>
      <c r="L1199" s="81"/>
      <c r="M1199" s="81"/>
      <c r="N1199" s="81"/>
      <c r="O1199" s="81"/>
      <c r="P1199" s="81"/>
      <c r="Q1199" s="81"/>
      <c r="R1199" s="81"/>
      <c r="S1199" s="81"/>
      <c r="T1199" s="81"/>
      <c r="U1199" s="81"/>
      <c r="V1199" s="94"/>
      <c r="W1199" s="94"/>
    </row>
    <row r="1200" spans="1:23" ht="21" customHeight="1">
      <c r="A1200">
        <f>Table4[[#This Row],[Column1]]</f>
        <v>0</v>
      </c>
      <c r="B1200">
        <f>Table4[[#This Row],[Column2]]</f>
        <v>0</v>
      </c>
      <c r="C1200" s="81"/>
      <c r="D1200" s="81"/>
      <c r="E1200" s="81"/>
      <c r="F1200" s="81"/>
      <c r="G1200" s="81"/>
      <c r="H1200" s="81"/>
      <c r="I1200" s="81"/>
      <c r="J1200" s="81"/>
      <c r="K1200" s="81"/>
      <c r="L1200" s="81"/>
      <c r="M1200" s="81"/>
      <c r="N1200" s="81"/>
      <c r="O1200" s="81"/>
      <c r="P1200" s="81"/>
      <c r="Q1200" s="81"/>
      <c r="R1200" s="81"/>
      <c r="S1200" s="81"/>
      <c r="T1200" s="81"/>
      <c r="U1200" s="81"/>
      <c r="V1200" s="94"/>
      <c r="W1200" s="94"/>
    </row>
    <row r="1201" spans="1:23" ht="21" customHeight="1">
      <c r="A1201">
        <f>Table4[[#This Row],[Column1]]</f>
        <v>0</v>
      </c>
      <c r="B1201">
        <f>Table4[[#This Row],[Column2]]</f>
        <v>0</v>
      </c>
      <c r="C1201" s="81"/>
      <c r="D1201" s="81"/>
      <c r="E1201" s="81"/>
      <c r="F1201" s="81"/>
      <c r="G1201" s="81"/>
      <c r="H1201" s="81"/>
      <c r="I1201" s="81"/>
      <c r="J1201" s="81"/>
      <c r="K1201" s="81"/>
      <c r="L1201" s="81"/>
      <c r="M1201" s="81"/>
      <c r="N1201" s="81"/>
      <c r="O1201" s="81"/>
      <c r="P1201" s="81"/>
      <c r="Q1201" s="81"/>
      <c r="R1201" s="81"/>
      <c r="S1201" s="81"/>
      <c r="T1201" s="81"/>
      <c r="U1201" s="81"/>
      <c r="V1201" s="94"/>
      <c r="W1201" s="94"/>
    </row>
    <row r="1202" spans="1:23" ht="21" customHeight="1">
      <c r="A1202">
        <f>Table4[[#This Row],[Column1]]</f>
        <v>0</v>
      </c>
      <c r="B1202">
        <f>Table4[[#This Row],[Column2]]</f>
        <v>0</v>
      </c>
      <c r="C1202" s="81"/>
      <c r="D1202" s="81"/>
      <c r="E1202" s="81"/>
      <c r="F1202" s="81"/>
      <c r="G1202" s="81"/>
      <c r="H1202" s="81"/>
      <c r="I1202" s="81"/>
      <c r="J1202" s="81"/>
      <c r="K1202" s="81"/>
      <c r="L1202" s="81"/>
      <c r="M1202" s="81"/>
      <c r="N1202" s="81"/>
      <c r="O1202" s="81"/>
      <c r="P1202" s="81"/>
      <c r="Q1202" s="81"/>
      <c r="R1202" s="81"/>
      <c r="S1202" s="81"/>
      <c r="T1202" s="81"/>
      <c r="U1202" s="81"/>
      <c r="V1202" s="94"/>
      <c r="W1202" s="94"/>
    </row>
    <row r="1203" spans="1:23" ht="21" customHeight="1">
      <c r="A1203">
        <f>Table4[[#This Row],[Column1]]</f>
        <v>0</v>
      </c>
      <c r="B1203">
        <f>Table4[[#This Row],[Column2]]</f>
        <v>0</v>
      </c>
      <c r="C1203" s="81"/>
      <c r="D1203" s="81"/>
      <c r="E1203" s="81"/>
      <c r="F1203" s="81"/>
      <c r="G1203" s="81"/>
      <c r="H1203" s="81"/>
      <c r="I1203" s="81"/>
      <c r="J1203" s="81"/>
      <c r="K1203" s="81"/>
      <c r="L1203" s="81"/>
      <c r="M1203" s="81"/>
      <c r="N1203" s="81"/>
      <c r="O1203" s="81"/>
      <c r="P1203" s="81"/>
      <c r="Q1203" s="81"/>
      <c r="R1203" s="81"/>
      <c r="S1203" s="81"/>
      <c r="T1203" s="81"/>
      <c r="U1203" s="81"/>
      <c r="V1203" s="94"/>
      <c r="W1203" s="94"/>
    </row>
    <row r="1204" spans="1:23" ht="21" customHeight="1">
      <c r="A1204">
        <f>Table4[[#This Row],[Column1]]</f>
        <v>0</v>
      </c>
      <c r="B1204">
        <f>Table4[[#This Row],[Column2]]</f>
        <v>0</v>
      </c>
      <c r="C1204" s="81"/>
      <c r="D1204" s="81"/>
      <c r="E1204" s="81"/>
      <c r="F1204" s="81"/>
      <c r="G1204" s="81"/>
      <c r="H1204" s="81"/>
      <c r="I1204" s="81"/>
      <c r="J1204" s="81"/>
      <c r="K1204" s="81"/>
      <c r="L1204" s="81"/>
      <c r="M1204" s="81"/>
      <c r="N1204" s="81"/>
      <c r="O1204" s="81"/>
      <c r="P1204" s="81"/>
      <c r="Q1204" s="81"/>
      <c r="R1204" s="81"/>
      <c r="S1204" s="81"/>
      <c r="T1204" s="81"/>
      <c r="U1204" s="81"/>
      <c r="V1204" s="94"/>
      <c r="W1204" s="94"/>
    </row>
    <row r="1205" spans="1:23" ht="21" customHeight="1">
      <c r="A1205">
        <f>Table4[[#This Row],[Column1]]</f>
        <v>0</v>
      </c>
      <c r="B1205">
        <f>Table4[[#This Row],[Column2]]</f>
        <v>0</v>
      </c>
      <c r="C1205" s="81"/>
      <c r="D1205" s="81"/>
      <c r="E1205" s="81"/>
      <c r="F1205" s="81"/>
      <c r="G1205" s="81"/>
      <c r="H1205" s="81"/>
      <c r="I1205" s="81"/>
      <c r="J1205" s="81"/>
      <c r="K1205" s="81"/>
      <c r="L1205" s="81"/>
      <c r="M1205" s="81"/>
      <c r="N1205" s="81"/>
      <c r="O1205" s="81"/>
      <c r="P1205" s="81"/>
      <c r="Q1205" s="81"/>
      <c r="R1205" s="81"/>
      <c r="S1205" s="81"/>
      <c r="T1205" s="81"/>
      <c r="U1205" s="81"/>
      <c r="V1205" s="94"/>
      <c r="W1205" s="94"/>
    </row>
    <row r="1206" spans="1:23" ht="21" customHeight="1">
      <c r="A1206">
        <f>Table4[[#This Row],[Column1]]</f>
        <v>0</v>
      </c>
      <c r="B1206">
        <f>Table4[[#This Row],[Column2]]</f>
        <v>0</v>
      </c>
      <c r="C1206" s="81"/>
      <c r="D1206" s="81"/>
      <c r="E1206" s="81"/>
      <c r="F1206" s="81"/>
      <c r="G1206" s="81"/>
      <c r="H1206" s="81"/>
      <c r="I1206" s="81"/>
      <c r="J1206" s="81"/>
      <c r="K1206" s="81"/>
      <c r="L1206" s="81"/>
      <c r="M1206" s="81"/>
      <c r="N1206" s="81"/>
      <c r="O1206" s="81"/>
      <c r="P1206" s="81"/>
      <c r="Q1206" s="81"/>
      <c r="R1206" s="81"/>
      <c r="S1206" s="81"/>
      <c r="T1206" s="81"/>
      <c r="U1206" s="81"/>
      <c r="V1206" s="94"/>
      <c r="W1206" s="94"/>
    </row>
    <row r="1207" spans="1:23" ht="21" customHeight="1">
      <c r="A1207">
        <f>Table4[[#This Row],[Column1]]</f>
        <v>0</v>
      </c>
      <c r="B1207">
        <f>Table4[[#This Row],[Column2]]</f>
        <v>0</v>
      </c>
      <c r="C1207" s="81"/>
      <c r="D1207" s="81"/>
      <c r="E1207" s="81"/>
      <c r="F1207" s="81"/>
      <c r="G1207" s="81"/>
      <c r="H1207" s="81"/>
      <c r="I1207" s="81"/>
      <c r="J1207" s="81"/>
      <c r="K1207" s="81"/>
      <c r="L1207" s="81"/>
      <c r="M1207" s="81"/>
      <c r="N1207" s="81"/>
      <c r="O1207" s="81"/>
      <c r="P1207" s="81"/>
      <c r="Q1207" s="81"/>
      <c r="R1207" s="81"/>
      <c r="S1207" s="81"/>
      <c r="T1207" s="81"/>
      <c r="U1207" s="81"/>
      <c r="V1207" s="94"/>
      <c r="W1207" s="94"/>
    </row>
    <row r="1208" spans="1:23" ht="21" customHeight="1">
      <c r="A1208">
        <f>Table4[[#This Row],[Column1]]</f>
        <v>0</v>
      </c>
      <c r="B1208">
        <f>Table4[[#This Row],[Column2]]</f>
        <v>0</v>
      </c>
      <c r="C1208" s="81"/>
      <c r="D1208" s="81"/>
      <c r="E1208" s="81"/>
      <c r="F1208" s="81"/>
      <c r="G1208" s="81"/>
      <c r="H1208" s="81"/>
      <c r="I1208" s="81"/>
      <c r="J1208" s="81"/>
      <c r="K1208" s="81"/>
      <c r="L1208" s="81"/>
      <c r="M1208" s="81"/>
      <c r="N1208" s="81"/>
      <c r="O1208" s="81"/>
      <c r="P1208" s="81"/>
      <c r="Q1208" s="81"/>
      <c r="R1208" s="81"/>
      <c r="S1208" s="81"/>
      <c r="T1208" s="81"/>
      <c r="U1208" s="81"/>
      <c r="V1208" s="94"/>
      <c r="W1208" s="94"/>
    </row>
    <row r="1209" spans="1:23" ht="21" customHeight="1">
      <c r="A1209">
        <f>Table4[[#This Row],[Column1]]</f>
        <v>0</v>
      </c>
      <c r="B1209">
        <f>Table4[[#This Row],[Column2]]</f>
        <v>0</v>
      </c>
      <c r="C1209" s="81"/>
      <c r="D1209" s="81"/>
      <c r="E1209" s="81"/>
      <c r="F1209" s="81"/>
      <c r="G1209" s="81"/>
      <c r="H1209" s="81"/>
      <c r="I1209" s="81"/>
      <c r="J1209" s="81"/>
      <c r="K1209" s="81"/>
      <c r="L1209" s="81"/>
      <c r="M1209" s="81"/>
      <c r="N1209" s="81"/>
      <c r="O1209" s="81"/>
      <c r="P1209" s="81"/>
      <c r="Q1209" s="81"/>
      <c r="R1209" s="81"/>
      <c r="S1209" s="81"/>
      <c r="T1209" s="81"/>
      <c r="U1209" s="81"/>
      <c r="V1209" s="94"/>
      <c r="W1209" s="94"/>
    </row>
    <row r="1210" spans="1:23" ht="21" customHeight="1">
      <c r="A1210">
        <f>Table4[[#This Row],[Column1]]</f>
        <v>0</v>
      </c>
      <c r="B1210">
        <f>Table4[[#This Row],[Column2]]</f>
        <v>0</v>
      </c>
      <c r="C1210" s="81"/>
      <c r="D1210" s="81"/>
      <c r="E1210" s="81"/>
      <c r="F1210" s="81"/>
      <c r="G1210" s="81"/>
      <c r="H1210" s="81"/>
      <c r="I1210" s="81"/>
      <c r="J1210" s="81"/>
      <c r="K1210" s="81"/>
      <c r="L1210" s="81"/>
      <c r="M1210" s="81"/>
      <c r="N1210" s="81"/>
      <c r="O1210" s="81"/>
      <c r="P1210" s="81"/>
      <c r="Q1210" s="81"/>
      <c r="R1210" s="81"/>
      <c r="S1210" s="81"/>
      <c r="T1210" s="81"/>
      <c r="U1210" s="81"/>
      <c r="V1210" s="94"/>
      <c r="W1210" s="94"/>
    </row>
    <row r="1211" spans="1:23" ht="21" customHeight="1">
      <c r="A1211">
        <f>Table4[[#This Row],[Column1]]</f>
        <v>0</v>
      </c>
      <c r="B1211">
        <f>Table4[[#This Row],[Column2]]</f>
        <v>0</v>
      </c>
      <c r="C1211" s="81"/>
      <c r="D1211" s="81"/>
      <c r="E1211" s="81"/>
      <c r="F1211" s="81"/>
      <c r="G1211" s="81"/>
      <c r="H1211" s="81"/>
      <c r="I1211" s="81"/>
      <c r="J1211" s="81"/>
      <c r="K1211" s="81"/>
      <c r="L1211" s="81"/>
      <c r="M1211" s="81"/>
      <c r="N1211" s="81"/>
      <c r="O1211" s="81"/>
      <c r="P1211" s="81"/>
      <c r="Q1211" s="81"/>
      <c r="R1211" s="81"/>
      <c r="S1211" s="81"/>
      <c r="T1211" s="81"/>
      <c r="U1211" s="81"/>
      <c r="V1211" s="94"/>
      <c r="W1211" s="94"/>
    </row>
    <row r="1212" spans="1:23" ht="21" customHeight="1">
      <c r="A1212">
        <f>Table4[[#This Row],[Column1]]</f>
        <v>0</v>
      </c>
      <c r="B1212">
        <f>Table4[[#This Row],[Column2]]</f>
        <v>0</v>
      </c>
      <c r="C1212" s="81"/>
      <c r="D1212" s="81"/>
      <c r="E1212" s="81"/>
      <c r="F1212" s="81"/>
      <c r="G1212" s="81"/>
      <c r="H1212" s="81"/>
      <c r="I1212" s="81"/>
      <c r="J1212" s="81"/>
      <c r="K1212" s="81"/>
      <c r="L1212" s="81"/>
      <c r="M1212" s="81"/>
      <c r="N1212" s="81"/>
      <c r="O1212" s="81"/>
      <c r="P1212" s="81"/>
      <c r="Q1212" s="81"/>
      <c r="R1212" s="81"/>
      <c r="S1212" s="81"/>
      <c r="T1212" s="81"/>
      <c r="U1212" s="81"/>
      <c r="V1212" s="94"/>
      <c r="W1212" s="94"/>
    </row>
    <row r="1213" spans="1:23" ht="21" customHeight="1">
      <c r="A1213">
        <f>Table4[[#This Row],[Column1]]</f>
        <v>0</v>
      </c>
      <c r="B1213">
        <f>Table4[[#This Row],[Column2]]</f>
        <v>0</v>
      </c>
      <c r="C1213" s="81"/>
      <c r="D1213" s="81"/>
      <c r="E1213" s="81"/>
      <c r="F1213" s="81"/>
      <c r="G1213" s="81"/>
      <c r="H1213" s="81"/>
      <c r="I1213" s="81"/>
      <c r="J1213" s="81"/>
      <c r="K1213" s="81"/>
      <c r="L1213" s="81"/>
      <c r="M1213" s="81"/>
      <c r="N1213" s="81"/>
      <c r="O1213" s="81"/>
      <c r="P1213" s="81"/>
      <c r="Q1213" s="81"/>
      <c r="R1213" s="81"/>
      <c r="S1213" s="81"/>
      <c r="T1213" s="81"/>
      <c r="U1213" s="81"/>
      <c r="V1213" s="94"/>
      <c r="W1213" s="94"/>
    </row>
    <row r="1214" spans="1:23" ht="21" customHeight="1">
      <c r="A1214">
        <f>Table4[[#This Row],[Column1]]</f>
        <v>0</v>
      </c>
      <c r="B1214">
        <f>Table4[[#This Row],[Column2]]</f>
        <v>0</v>
      </c>
      <c r="C1214" s="81"/>
      <c r="D1214" s="81"/>
      <c r="E1214" s="81"/>
      <c r="F1214" s="81"/>
      <c r="G1214" s="81"/>
      <c r="H1214" s="81"/>
      <c r="I1214" s="81"/>
      <c r="J1214" s="81"/>
      <c r="K1214" s="81"/>
      <c r="L1214" s="81"/>
      <c r="M1214" s="81"/>
      <c r="N1214" s="81"/>
      <c r="O1214" s="81"/>
      <c r="P1214" s="81"/>
      <c r="Q1214" s="81"/>
      <c r="R1214" s="81"/>
      <c r="S1214" s="81"/>
      <c r="T1214" s="81"/>
      <c r="U1214" s="81"/>
      <c r="V1214" s="94"/>
      <c r="W1214" s="94"/>
    </row>
    <row r="1215" spans="1:23" ht="21" customHeight="1">
      <c r="A1215">
        <f>Table4[[#This Row],[Column1]]</f>
        <v>0</v>
      </c>
      <c r="B1215">
        <f>Table4[[#This Row],[Column2]]</f>
        <v>0</v>
      </c>
      <c r="C1215" s="81"/>
      <c r="D1215" s="81"/>
      <c r="E1215" s="81"/>
      <c r="F1215" s="81"/>
      <c r="G1215" s="81"/>
      <c r="H1215" s="81"/>
      <c r="I1215" s="81"/>
      <c r="J1215" s="81"/>
      <c r="K1215" s="81"/>
      <c r="L1215" s="81"/>
      <c r="M1215" s="81"/>
      <c r="N1215" s="81"/>
      <c r="O1215" s="81"/>
      <c r="P1215" s="81"/>
      <c r="Q1215" s="81"/>
      <c r="R1215" s="81"/>
      <c r="S1215" s="81"/>
      <c r="T1215" s="81"/>
      <c r="U1215" s="81"/>
      <c r="V1215" s="94"/>
      <c r="W1215" s="94"/>
    </row>
    <row r="1216" spans="1:23" ht="21" customHeight="1">
      <c r="A1216">
        <f>Table4[[#This Row],[Column1]]</f>
        <v>0</v>
      </c>
      <c r="B1216">
        <f>Table4[[#This Row],[Column2]]</f>
        <v>0</v>
      </c>
      <c r="C1216" s="81"/>
      <c r="D1216" s="81"/>
      <c r="E1216" s="81"/>
      <c r="F1216" s="81"/>
      <c r="G1216" s="81"/>
      <c r="H1216" s="81"/>
      <c r="I1216" s="81"/>
      <c r="J1216" s="81"/>
      <c r="K1216" s="81"/>
      <c r="L1216" s="81"/>
      <c r="M1216" s="81"/>
      <c r="N1216" s="81"/>
      <c r="O1216" s="81"/>
      <c r="P1216" s="81"/>
      <c r="Q1216" s="81"/>
      <c r="R1216" s="81"/>
      <c r="S1216" s="81"/>
      <c r="T1216" s="81"/>
      <c r="U1216" s="81"/>
      <c r="V1216" s="94"/>
      <c r="W1216" s="94"/>
    </row>
    <row r="1217" spans="1:23" ht="21" customHeight="1">
      <c r="A1217">
        <f>Table4[[#This Row],[Column1]]</f>
        <v>0</v>
      </c>
      <c r="B1217">
        <f>Table4[[#This Row],[Column2]]</f>
        <v>0</v>
      </c>
      <c r="C1217" s="81"/>
      <c r="D1217" s="81"/>
      <c r="E1217" s="81"/>
      <c r="F1217" s="81"/>
      <c r="G1217" s="81"/>
      <c r="H1217" s="81"/>
      <c r="I1217" s="81"/>
      <c r="J1217" s="81"/>
      <c r="K1217" s="81"/>
      <c r="L1217" s="81"/>
      <c r="M1217" s="81"/>
      <c r="N1217" s="81"/>
      <c r="O1217" s="81"/>
      <c r="P1217" s="81"/>
      <c r="Q1217" s="81"/>
      <c r="R1217" s="81"/>
      <c r="S1217" s="81"/>
      <c r="T1217" s="81"/>
      <c r="U1217" s="81"/>
      <c r="V1217" s="94"/>
      <c r="W1217" s="94"/>
    </row>
    <row r="1218" spans="1:23" ht="21" customHeight="1">
      <c r="A1218">
        <f>Table4[[#This Row],[Column1]]</f>
        <v>0</v>
      </c>
      <c r="B1218">
        <f>Table4[[#This Row],[Column2]]</f>
        <v>0</v>
      </c>
      <c r="C1218" s="81"/>
      <c r="D1218" s="81"/>
      <c r="E1218" s="81"/>
      <c r="F1218" s="81"/>
      <c r="G1218" s="81"/>
      <c r="H1218" s="81"/>
      <c r="I1218" s="81"/>
      <c r="J1218" s="81"/>
      <c r="K1218" s="81"/>
      <c r="L1218" s="81"/>
      <c r="M1218" s="81"/>
      <c r="N1218" s="81"/>
      <c r="O1218" s="81"/>
      <c r="P1218" s="81"/>
      <c r="Q1218" s="81"/>
      <c r="R1218" s="81"/>
      <c r="S1218" s="81"/>
      <c r="T1218" s="81"/>
      <c r="U1218" s="81"/>
      <c r="V1218" s="94"/>
      <c r="W1218" s="94"/>
    </row>
    <row r="1219" spans="1:23" ht="21" customHeight="1">
      <c r="A1219">
        <f>Table4[[#This Row],[Column1]]</f>
        <v>0</v>
      </c>
      <c r="B1219">
        <f>Table4[[#This Row],[Column2]]</f>
        <v>0</v>
      </c>
      <c r="C1219" s="81"/>
      <c r="D1219" s="81"/>
      <c r="E1219" s="81"/>
      <c r="F1219" s="81"/>
      <c r="G1219" s="81"/>
      <c r="H1219" s="81"/>
      <c r="I1219" s="81"/>
      <c r="J1219" s="81"/>
      <c r="K1219" s="81"/>
      <c r="L1219" s="81"/>
      <c r="M1219" s="81"/>
      <c r="N1219" s="81"/>
      <c r="O1219" s="81"/>
      <c r="P1219" s="81"/>
      <c r="Q1219" s="81"/>
      <c r="R1219" s="81"/>
      <c r="S1219" s="81"/>
      <c r="T1219" s="81"/>
      <c r="U1219" s="81"/>
      <c r="V1219" s="94"/>
      <c r="W1219" s="94"/>
    </row>
    <row r="1220" spans="1:23" ht="21" customHeight="1">
      <c r="A1220">
        <f>Table4[[#This Row],[Column1]]</f>
        <v>0</v>
      </c>
      <c r="B1220">
        <f>Table4[[#This Row],[Column2]]</f>
        <v>0</v>
      </c>
      <c r="C1220" s="81"/>
      <c r="D1220" s="81"/>
      <c r="E1220" s="81"/>
      <c r="F1220" s="81"/>
      <c r="G1220" s="81"/>
      <c r="H1220" s="81"/>
      <c r="I1220" s="81"/>
      <c r="J1220" s="81"/>
      <c r="K1220" s="81"/>
      <c r="L1220" s="81"/>
      <c r="M1220" s="81"/>
      <c r="N1220" s="81"/>
      <c r="O1220" s="81"/>
      <c r="P1220" s="81"/>
      <c r="Q1220" s="81"/>
      <c r="R1220" s="81"/>
      <c r="S1220" s="81"/>
      <c r="T1220" s="81"/>
      <c r="U1220" s="81"/>
      <c r="V1220" s="94"/>
      <c r="W1220" s="94"/>
    </row>
    <row r="1221" spans="1:23" ht="21" customHeight="1">
      <c r="A1221">
        <f>Table4[[#This Row],[Column1]]</f>
        <v>0</v>
      </c>
      <c r="B1221">
        <f>Table4[[#This Row],[Column2]]</f>
        <v>0</v>
      </c>
      <c r="C1221" s="81"/>
      <c r="D1221" s="81"/>
      <c r="E1221" s="81"/>
      <c r="F1221" s="81"/>
      <c r="G1221" s="81"/>
      <c r="H1221" s="81"/>
      <c r="I1221" s="81"/>
      <c r="J1221" s="81"/>
      <c r="K1221" s="81"/>
      <c r="L1221" s="81"/>
      <c r="M1221" s="81"/>
      <c r="N1221" s="81"/>
      <c r="O1221" s="81"/>
      <c r="P1221" s="81"/>
      <c r="Q1221" s="81"/>
      <c r="R1221" s="81"/>
      <c r="S1221" s="81"/>
      <c r="T1221" s="81"/>
      <c r="U1221" s="81"/>
      <c r="V1221" s="94"/>
      <c r="W1221" s="94"/>
    </row>
    <row r="1222" spans="1:23" ht="21" customHeight="1">
      <c r="A1222">
        <f>Table4[[#This Row],[Column1]]</f>
        <v>0</v>
      </c>
      <c r="B1222">
        <f>Table4[[#This Row],[Column2]]</f>
        <v>0</v>
      </c>
      <c r="C1222" s="81"/>
      <c r="D1222" s="81"/>
      <c r="E1222" s="81"/>
      <c r="F1222" s="81"/>
      <c r="G1222" s="81"/>
      <c r="H1222" s="81"/>
      <c r="I1222" s="81"/>
      <c r="J1222" s="81"/>
      <c r="K1222" s="81"/>
      <c r="L1222" s="81"/>
      <c r="M1222" s="81"/>
      <c r="N1222" s="81"/>
      <c r="O1222" s="81"/>
      <c r="P1222" s="81"/>
      <c r="Q1222" s="81"/>
      <c r="R1222" s="81"/>
      <c r="S1222" s="81"/>
      <c r="T1222" s="81"/>
      <c r="U1222" s="81"/>
      <c r="V1222" s="94"/>
      <c r="W1222" s="94"/>
    </row>
    <row r="1223" spans="1:23" ht="21" customHeight="1">
      <c r="A1223">
        <f>Table4[[#This Row],[Column1]]</f>
        <v>0</v>
      </c>
      <c r="B1223">
        <f>Table4[[#This Row],[Column2]]</f>
        <v>0</v>
      </c>
      <c r="C1223" s="81"/>
      <c r="D1223" s="81"/>
      <c r="E1223" s="81"/>
      <c r="F1223" s="81"/>
      <c r="G1223" s="81"/>
      <c r="H1223" s="81"/>
      <c r="I1223" s="81"/>
      <c r="J1223" s="81"/>
      <c r="K1223" s="81"/>
      <c r="L1223" s="81"/>
      <c r="M1223" s="81"/>
      <c r="N1223" s="81"/>
      <c r="O1223" s="81"/>
      <c r="P1223" s="81"/>
      <c r="Q1223" s="81"/>
      <c r="R1223" s="81"/>
      <c r="S1223" s="81"/>
      <c r="T1223" s="81"/>
      <c r="U1223" s="81"/>
      <c r="V1223" s="94"/>
      <c r="W1223" s="94"/>
    </row>
    <row r="1224" spans="1:23" ht="21" customHeight="1">
      <c r="A1224">
        <f>Table4[[#This Row],[Column1]]</f>
        <v>0</v>
      </c>
      <c r="B1224">
        <f>Table4[[#This Row],[Column2]]</f>
        <v>0</v>
      </c>
      <c r="C1224" s="81"/>
      <c r="D1224" s="81"/>
      <c r="E1224" s="81"/>
      <c r="F1224" s="81"/>
      <c r="G1224" s="81"/>
      <c r="H1224" s="81"/>
      <c r="I1224" s="81"/>
      <c r="J1224" s="81"/>
      <c r="K1224" s="81"/>
      <c r="L1224" s="81"/>
      <c r="M1224" s="81"/>
      <c r="N1224" s="81"/>
      <c r="O1224" s="81"/>
      <c r="P1224" s="81"/>
      <c r="Q1224" s="81"/>
      <c r="R1224" s="81"/>
      <c r="S1224" s="81"/>
      <c r="T1224" s="81"/>
      <c r="U1224" s="81"/>
      <c r="V1224" s="94"/>
      <c r="W1224" s="94"/>
    </row>
    <row r="1225" spans="1:23" ht="21" customHeight="1">
      <c r="A1225">
        <f>Table4[[#This Row],[Column1]]</f>
        <v>0</v>
      </c>
      <c r="B1225">
        <f>Table4[[#This Row],[Column2]]</f>
        <v>0</v>
      </c>
      <c r="C1225" s="81"/>
      <c r="D1225" s="81"/>
      <c r="E1225" s="81"/>
      <c r="F1225" s="81"/>
      <c r="G1225" s="81"/>
      <c r="H1225" s="81"/>
      <c r="I1225" s="81"/>
      <c r="J1225" s="81"/>
      <c r="K1225" s="81"/>
      <c r="L1225" s="81"/>
      <c r="M1225" s="81"/>
      <c r="N1225" s="81"/>
      <c r="O1225" s="81"/>
      <c r="P1225" s="81"/>
      <c r="Q1225" s="81"/>
      <c r="R1225" s="81"/>
      <c r="S1225" s="81"/>
      <c r="T1225" s="81"/>
      <c r="U1225" s="81"/>
      <c r="V1225" s="94"/>
      <c r="W1225" s="94"/>
    </row>
    <row r="1226" spans="1:23" ht="21" customHeight="1">
      <c r="A1226">
        <f>Table4[[#This Row],[Column1]]</f>
        <v>0</v>
      </c>
      <c r="B1226">
        <f>Table4[[#This Row],[Column2]]</f>
        <v>0</v>
      </c>
      <c r="C1226" s="81"/>
      <c r="D1226" s="81"/>
      <c r="E1226" s="81"/>
      <c r="F1226" s="81"/>
      <c r="G1226" s="81"/>
      <c r="H1226" s="81"/>
      <c r="I1226" s="81"/>
      <c r="J1226" s="81"/>
      <c r="K1226" s="81"/>
      <c r="L1226" s="81"/>
      <c r="M1226" s="81"/>
      <c r="N1226" s="81"/>
      <c r="O1226" s="81"/>
      <c r="P1226" s="81"/>
      <c r="Q1226" s="81"/>
      <c r="R1226" s="81"/>
      <c r="S1226" s="81"/>
      <c r="T1226" s="81"/>
      <c r="U1226" s="81"/>
      <c r="V1226" s="94"/>
      <c r="W1226" s="94"/>
    </row>
    <row r="1227" spans="1:23" ht="21" customHeight="1">
      <c r="A1227">
        <f>Table4[[#This Row],[Column1]]</f>
        <v>0</v>
      </c>
      <c r="B1227">
        <f>Table4[[#This Row],[Column2]]</f>
        <v>0</v>
      </c>
      <c r="C1227" s="81"/>
      <c r="D1227" s="81"/>
      <c r="E1227" s="81"/>
      <c r="F1227" s="81"/>
      <c r="G1227" s="81"/>
      <c r="H1227" s="81"/>
      <c r="I1227" s="81"/>
      <c r="J1227" s="81"/>
      <c r="K1227" s="81"/>
      <c r="L1227" s="81"/>
      <c r="M1227" s="81"/>
      <c r="N1227" s="81"/>
      <c r="O1227" s="81"/>
      <c r="P1227" s="81"/>
      <c r="Q1227" s="81"/>
      <c r="R1227" s="81"/>
      <c r="S1227" s="81"/>
      <c r="T1227" s="81"/>
      <c r="U1227" s="81"/>
      <c r="V1227" s="94"/>
      <c r="W1227" s="94"/>
    </row>
    <row r="1228" spans="1:23" ht="21" customHeight="1">
      <c r="A1228">
        <f>Table4[[#This Row],[Column1]]</f>
        <v>0</v>
      </c>
      <c r="B1228">
        <f>Table4[[#This Row],[Column2]]</f>
        <v>0</v>
      </c>
      <c r="C1228" s="81"/>
      <c r="D1228" s="81"/>
      <c r="E1228" s="81"/>
      <c r="F1228" s="81"/>
      <c r="G1228" s="81"/>
      <c r="H1228" s="81"/>
      <c r="I1228" s="81"/>
      <c r="J1228" s="81"/>
      <c r="K1228" s="81"/>
      <c r="L1228" s="81"/>
      <c r="M1228" s="81"/>
      <c r="N1228" s="81"/>
      <c r="O1228" s="81"/>
      <c r="P1228" s="81"/>
      <c r="Q1228" s="81"/>
      <c r="R1228" s="81"/>
      <c r="S1228" s="81"/>
      <c r="T1228" s="81"/>
      <c r="U1228" s="81"/>
      <c r="V1228" s="94"/>
      <c r="W1228" s="94"/>
    </row>
    <row r="1229" spans="1:23" ht="21" customHeight="1">
      <c r="A1229">
        <f>Table4[[#This Row],[Column1]]</f>
        <v>0</v>
      </c>
      <c r="B1229">
        <f>Table4[[#This Row],[Column2]]</f>
        <v>0</v>
      </c>
      <c r="C1229" s="81"/>
      <c r="D1229" s="81"/>
      <c r="E1229" s="81"/>
      <c r="F1229" s="81"/>
      <c r="G1229" s="81"/>
      <c r="H1229" s="81"/>
      <c r="I1229" s="81"/>
      <c r="J1229" s="81"/>
      <c r="K1229" s="81"/>
      <c r="L1229" s="81"/>
      <c r="M1229" s="81"/>
      <c r="N1229" s="81"/>
      <c r="O1229" s="81"/>
      <c r="P1229" s="81"/>
      <c r="Q1229" s="81"/>
      <c r="R1229" s="81"/>
      <c r="S1229" s="81"/>
      <c r="T1229" s="81"/>
      <c r="U1229" s="81"/>
      <c r="V1229" s="94"/>
      <c r="W1229" s="94"/>
    </row>
    <row r="1230" spans="1:23" ht="21" customHeight="1">
      <c r="A1230">
        <f>Table4[[#This Row],[Column1]]</f>
        <v>0</v>
      </c>
      <c r="B1230">
        <f>Table4[[#This Row],[Column2]]</f>
        <v>0</v>
      </c>
      <c r="C1230" s="81"/>
      <c r="D1230" s="81"/>
      <c r="E1230" s="81"/>
      <c r="F1230" s="81"/>
      <c r="G1230" s="81"/>
      <c r="H1230" s="81"/>
      <c r="I1230" s="81"/>
      <c r="J1230" s="81"/>
      <c r="K1230" s="81"/>
      <c r="L1230" s="81"/>
      <c r="M1230" s="81"/>
      <c r="N1230" s="81"/>
      <c r="O1230" s="81"/>
      <c r="P1230" s="81"/>
      <c r="Q1230" s="81"/>
      <c r="R1230" s="81"/>
      <c r="S1230" s="81"/>
      <c r="T1230" s="81"/>
      <c r="U1230" s="81"/>
      <c r="V1230" s="94"/>
      <c r="W1230" s="94"/>
    </row>
    <row r="1231" spans="1:23" ht="21" customHeight="1">
      <c r="A1231">
        <f>Table4[[#This Row],[Column1]]</f>
        <v>0</v>
      </c>
      <c r="B1231">
        <f>Table4[[#This Row],[Column2]]</f>
        <v>0</v>
      </c>
      <c r="C1231" s="81"/>
      <c r="D1231" s="81"/>
      <c r="E1231" s="81"/>
      <c r="F1231" s="81"/>
      <c r="G1231" s="81"/>
      <c r="H1231" s="81"/>
      <c r="I1231" s="81"/>
      <c r="J1231" s="81"/>
      <c r="K1231" s="81"/>
      <c r="L1231" s="81"/>
      <c r="M1231" s="81"/>
      <c r="N1231" s="81"/>
      <c r="O1231" s="81"/>
      <c r="P1231" s="81"/>
      <c r="Q1231" s="81"/>
      <c r="R1231" s="81"/>
      <c r="S1231" s="81"/>
      <c r="T1231" s="81"/>
      <c r="U1231" s="81"/>
      <c r="V1231" s="94"/>
      <c r="W1231" s="94"/>
    </row>
    <row r="1232" spans="1:23" ht="21" customHeight="1">
      <c r="A1232">
        <f>Table4[[#This Row],[Column1]]</f>
        <v>0</v>
      </c>
      <c r="B1232">
        <f>Table4[[#This Row],[Column2]]</f>
        <v>0</v>
      </c>
      <c r="C1232" s="81"/>
      <c r="D1232" s="81"/>
      <c r="E1232" s="81"/>
      <c r="F1232" s="81"/>
      <c r="G1232" s="81"/>
      <c r="H1232" s="81"/>
      <c r="I1232" s="81"/>
      <c r="J1232" s="81"/>
      <c r="K1232" s="81"/>
      <c r="L1232" s="81"/>
      <c r="M1232" s="81"/>
      <c r="N1232" s="81"/>
      <c r="O1232" s="81"/>
      <c r="P1232" s="81"/>
      <c r="Q1232" s="81"/>
      <c r="R1232" s="81"/>
      <c r="S1232" s="81"/>
      <c r="T1232" s="81"/>
      <c r="U1232" s="81"/>
      <c r="V1232" s="94"/>
      <c r="W1232" s="94"/>
    </row>
    <row r="1233" spans="1:23" ht="21" customHeight="1">
      <c r="A1233">
        <f>Table4[[#This Row],[Column1]]</f>
        <v>0</v>
      </c>
      <c r="B1233">
        <f>Table4[[#This Row],[Column2]]</f>
        <v>0</v>
      </c>
      <c r="C1233" s="81"/>
      <c r="D1233" s="81"/>
      <c r="E1233" s="81"/>
      <c r="F1233" s="81"/>
      <c r="G1233" s="81"/>
      <c r="H1233" s="81"/>
      <c r="I1233" s="81"/>
      <c r="J1233" s="81"/>
      <c r="K1233" s="81"/>
      <c r="L1233" s="81"/>
      <c r="M1233" s="81"/>
      <c r="N1233" s="81"/>
      <c r="O1233" s="81"/>
      <c r="P1233" s="81"/>
      <c r="Q1233" s="81"/>
      <c r="R1233" s="81"/>
      <c r="S1233" s="81"/>
      <c r="T1233" s="81"/>
      <c r="U1233" s="81"/>
      <c r="V1233" s="94"/>
      <c r="W1233" s="94"/>
    </row>
    <row r="1234" spans="1:23" ht="21" customHeight="1">
      <c r="A1234">
        <f>Table4[[#This Row],[Column1]]</f>
        <v>0</v>
      </c>
      <c r="B1234">
        <f>Table4[[#This Row],[Column2]]</f>
        <v>0</v>
      </c>
      <c r="C1234" s="81"/>
      <c r="D1234" s="81"/>
      <c r="E1234" s="81"/>
      <c r="F1234" s="81"/>
      <c r="G1234" s="81"/>
      <c r="H1234" s="81"/>
      <c r="I1234" s="81"/>
      <c r="J1234" s="81"/>
      <c r="K1234" s="81"/>
      <c r="L1234" s="81"/>
      <c r="M1234" s="81"/>
      <c r="N1234" s="81"/>
      <c r="O1234" s="81"/>
      <c r="P1234" s="81"/>
      <c r="Q1234" s="81"/>
      <c r="R1234" s="81"/>
      <c r="S1234" s="81"/>
      <c r="T1234" s="81"/>
      <c r="U1234" s="81"/>
      <c r="V1234" s="94"/>
      <c r="W1234" s="94"/>
    </row>
    <row r="1235" spans="1:23" ht="21" customHeight="1">
      <c r="A1235">
        <f>Table4[[#This Row],[Column1]]</f>
        <v>0</v>
      </c>
      <c r="B1235">
        <f>Table4[[#This Row],[Column2]]</f>
        <v>0</v>
      </c>
      <c r="C1235" s="81"/>
      <c r="D1235" s="81"/>
      <c r="E1235" s="81"/>
      <c r="F1235" s="81"/>
      <c r="G1235" s="81"/>
      <c r="H1235" s="81"/>
      <c r="I1235" s="81"/>
      <c r="J1235" s="81"/>
      <c r="K1235" s="81"/>
      <c r="L1235" s="81"/>
      <c r="M1235" s="81"/>
      <c r="N1235" s="81"/>
      <c r="O1235" s="81"/>
      <c r="P1235" s="81"/>
      <c r="Q1235" s="81"/>
      <c r="R1235" s="81"/>
      <c r="S1235" s="81"/>
      <c r="T1235" s="81"/>
      <c r="U1235" s="81"/>
      <c r="V1235" s="94"/>
      <c r="W1235" s="94"/>
    </row>
    <row r="1236" spans="1:23" ht="21" customHeight="1">
      <c r="A1236">
        <f>Table4[[#This Row],[Column1]]</f>
        <v>0</v>
      </c>
      <c r="B1236">
        <f>Table4[[#This Row],[Column2]]</f>
        <v>0</v>
      </c>
      <c r="C1236" s="81"/>
      <c r="D1236" s="81"/>
      <c r="E1236" s="81"/>
      <c r="F1236" s="81"/>
      <c r="G1236" s="81"/>
      <c r="H1236" s="81"/>
      <c r="I1236" s="81"/>
      <c r="J1236" s="81"/>
      <c r="K1236" s="81"/>
      <c r="L1236" s="81"/>
      <c r="M1236" s="81"/>
      <c r="N1236" s="81"/>
      <c r="O1236" s="81"/>
      <c r="P1236" s="81"/>
      <c r="Q1236" s="81"/>
      <c r="R1236" s="81"/>
      <c r="S1236" s="81"/>
      <c r="T1236" s="81"/>
      <c r="U1236" s="81"/>
      <c r="V1236" s="94"/>
      <c r="W1236" s="94"/>
    </row>
    <row r="1237" spans="1:23" ht="21" customHeight="1">
      <c r="A1237">
        <f>Table4[[#This Row],[Column1]]</f>
        <v>0</v>
      </c>
      <c r="B1237">
        <f>Table4[[#This Row],[Column2]]</f>
        <v>0</v>
      </c>
      <c r="C1237" s="81"/>
      <c r="D1237" s="81"/>
      <c r="E1237" s="81"/>
      <c r="F1237" s="81"/>
      <c r="G1237" s="81"/>
      <c r="H1237" s="81"/>
      <c r="I1237" s="81"/>
      <c r="J1237" s="81"/>
      <c r="K1237" s="81"/>
      <c r="L1237" s="81"/>
      <c r="M1237" s="81"/>
      <c r="N1237" s="81"/>
      <c r="O1237" s="81"/>
      <c r="P1237" s="81"/>
      <c r="Q1237" s="81"/>
      <c r="R1237" s="81"/>
      <c r="S1237" s="81"/>
      <c r="T1237" s="81"/>
      <c r="U1237" s="81"/>
      <c r="V1237" s="94"/>
      <c r="W1237" s="94"/>
    </row>
    <row r="1238" spans="1:23" ht="21" customHeight="1">
      <c r="A1238">
        <f>Table4[[#This Row],[Column1]]</f>
        <v>0</v>
      </c>
      <c r="B1238">
        <f>Table4[[#This Row],[Column2]]</f>
        <v>0</v>
      </c>
      <c r="C1238" s="81"/>
      <c r="D1238" s="81"/>
      <c r="E1238" s="81"/>
      <c r="F1238" s="81"/>
      <c r="G1238" s="81"/>
      <c r="H1238" s="81"/>
      <c r="I1238" s="81"/>
      <c r="J1238" s="81"/>
      <c r="K1238" s="81"/>
      <c r="L1238" s="81"/>
      <c r="M1238" s="81"/>
      <c r="N1238" s="81"/>
      <c r="O1238" s="81"/>
      <c r="P1238" s="81"/>
      <c r="Q1238" s="81"/>
      <c r="R1238" s="81"/>
      <c r="S1238" s="81"/>
      <c r="T1238" s="81"/>
      <c r="U1238" s="81"/>
      <c r="V1238" s="94"/>
      <c r="W1238" s="94"/>
    </row>
    <row r="1239" spans="1:23" ht="21" customHeight="1">
      <c r="A1239">
        <f>Table4[[#This Row],[Column1]]</f>
        <v>0</v>
      </c>
      <c r="B1239">
        <f>Table4[[#This Row],[Column2]]</f>
        <v>0</v>
      </c>
      <c r="C1239" s="81"/>
      <c r="D1239" s="81"/>
      <c r="E1239" s="81"/>
      <c r="F1239" s="81"/>
      <c r="G1239" s="81"/>
      <c r="H1239" s="81"/>
      <c r="I1239" s="81"/>
      <c r="J1239" s="81"/>
      <c r="K1239" s="81"/>
      <c r="L1239" s="81"/>
      <c r="M1239" s="81"/>
      <c r="N1239" s="81"/>
      <c r="O1239" s="81"/>
      <c r="P1239" s="81"/>
      <c r="Q1239" s="81"/>
      <c r="R1239" s="81"/>
      <c r="S1239" s="81"/>
      <c r="T1239" s="81"/>
      <c r="U1239" s="81"/>
      <c r="V1239" s="94"/>
      <c r="W1239" s="94"/>
    </row>
    <row r="1240" spans="1:23" ht="21" customHeight="1">
      <c r="A1240">
        <f>Table4[[#This Row],[Column1]]</f>
        <v>0</v>
      </c>
      <c r="B1240">
        <f>Table4[[#This Row],[Column2]]</f>
        <v>0</v>
      </c>
      <c r="C1240" s="81"/>
      <c r="D1240" s="81"/>
      <c r="E1240" s="81"/>
      <c r="F1240" s="81"/>
      <c r="G1240" s="81"/>
      <c r="H1240" s="81"/>
      <c r="I1240" s="81"/>
      <c r="J1240" s="81"/>
      <c r="K1240" s="81"/>
      <c r="L1240" s="81"/>
      <c r="M1240" s="81"/>
      <c r="N1240" s="81"/>
      <c r="O1240" s="81"/>
      <c r="P1240" s="81"/>
      <c r="Q1240" s="81"/>
      <c r="R1240" s="81"/>
      <c r="S1240" s="81"/>
      <c r="T1240" s="81"/>
      <c r="U1240" s="81"/>
      <c r="V1240" s="94"/>
      <c r="W1240" s="94"/>
    </row>
    <row r="1241" spans="1:23" ht="21" customHeight="1">
      <c r="A1241">
        <f>Table4[[#This Row],[Column1]]</f>
        <v>0</v>
      </c>
      <c r="B1241">
        <f>Table4[[#This Row],[Column2]]</f>
        <v>0</v>
      </c>
      <c r="C1241" s="81"/>
      <c r="D1241" s="81"/>
      <c r="E1241" s="81"/>
      <c r="F1241" s="81"/>
      <c r="G1241" s="81"/>
      <c r="H1241" s="81"/>
      <c r="I1241" s="81"/>
      <c r="J1241" s="81"/>
      <c r="K1241" s="81"/>
      <c r="L1241" s="81"/>
      <c r="M1241" s="81"/>
      <c r="N1241" s="81"/>
      <c r="O1241" s="81"/>
      <c r="P1241" s="81"/>
      <c r="Q1241" s="81"/>
      <c r="R1241" s="81"/>
      <c r="S1241" s="81"/>
      <c r="T1241" s="81"/>
      <c r="U1241" s="81"/>
      <c r="V1241" s="94"/>
      <c r="W1241" s="94"/>
    </row>
    <row r="1242" spans="1:23" ht="21" customHeight="1">
      <c r="A1242">
        <f>Table4[[#This Row],[Column1]]</f>
        <v>0</v>
      </c>
      <c r="B1242">
        <f>Table4[[#This Row],[Column2]]</f>
        <v>0</v>
      </c>
      <c r="C1242" s="81"/>
      <c r="D1242" s="81"/>
      <c r="E1242" s="81"/>
      <c r="F1242" s="81"/>
      <c r="G1242" s="81"/>
      <c r="H1242" s="81"/>
      <c r="I1242" s="81"/>
      <c r="J1242" s="81"/>
      <c r="K1242" s="81"/>
      <c r="L1242" s="81"/>
      <c r="M1242" s="81"/>
      <c r="N1242" s="81"/>
      <c r="O1242" s="81"/>
      <c r="P1242" s="81"/>
      <c r="Q1242" s="81"/>
      <c r="R1242" s="81"/>
      <c r="S1242" s="81"/>
      <c r="T1242" s="81"/>
      <c r="U1242" s="81"/>
      <c r="V1242" s="94"/>
      <c r="W1242" s="94"/>
    </row>
    <row r="1243" spans="1:23" ht="21" customHeight="1">
      <c r="A1243">
        <f>Table4[[#This Row],[Column1]]</f>
        <v>0</v>
      </c>
      <c r="B1243">
        <f>Table4[[#This Row],[Column2]]</f>
        <v>0</v>
      </c>
      <c r="C1243" s="81"/>
      <c r="D1243" s="81"/>
      <c r="E1243" s="81"/>
      <c r="F1243" s="81"/>
      <c r="G1243" s="81"/>
      <c r="H1243" s="81"/>
      <c r="I1243" s="81"/>
      <c r="J1243" s="81"/>
      <c r="K1243" s="81"/>
      <c r="L1243" s="81"/>
      <c r="M1243" s="81"/>
      <c r="N1243" s="81"/>
      <c r="O1243" s="81"/>
      <c r="P1243" s="81"/>
      <c r="Q1243" s="81"/>
      <c r="R1243" s="81"/>
      <c r="S1243" s="81"/>
      <c r="T1243" s="81"/>
      <c r="U1243" s="81"/>
      <c r="V1243" s="94"/>
      <c r="W1243" s="94"/>
    </row>
    <row r="1244" spans="1:23" ht="21" customHeight="1">
      <c r="A1244">
        <f>Table4[[#This Row],[Column1]]</f>
        <v>0</v>
      </c>
      <c r="B1244">
        <f>Table4[[#This Row],[Column2]]</f>
        <v>0</v>
      </c>
      <c r="C1244" s="81"/>
      <c r="D1244" s="81"/>
      <c r="E1244" s="81"/>
      <c r="F1244" s="81"/>
      <c r="G1244" s="81"/>
      <c r="H1244" s="81"/>
      <c r="I1244" s="81"/>
      <c r="J1244" s="81"/>
      <c r="K1244" s="81"/>
      <c r="L1244" s="81"/>
      <c r="M1244" s="81"/>
      <c r="N1244" s="81"/>
      <c r="O1244" s="81"/>
      <c r="P1244" s="81"/>
      <c r="Q1244" s="81"/>
      <c r="R1244" s="81"/>
      <c r="S1244" s="81"/>
      <c r="T1244" s="81"/>
      <c r="U1244" s="81"/>
      <c r="V1244" s="94"/>
      <c r="W1244" s="94"/>
    </row>
    <row r="1245" spans="1:23" ht="21" customHeight="1">
      <c r="A1245">
        <f>Table4[[#This Row],[Column1]]</f>
        <v>0</v>
      </c>
      <c r="B1245">
        <f>Table4[[#This Row],[Column2]]</f>
        <v>0</v>
      </c>
      <c r="C1245" s="81"/>
      <c r="D1245" s="81"/>
      <c r="E1245" s="81"/>
      <c r="F1245" s="81"/>
      <c r="G1245" s="81"/>
      <c r="H1245" s="81"/>
      <c r="I1245" s="81"/>
      <c r="J1245" s="81"/>
      <c r="K1245" s="81"/>
      <c r="L1245" s="81"/>
      <c r="M1245" s="81"/>
      <c r="N1245" s="81"/>
      <c r="O1245" s="81"/>
      <c r="P1245" s="81"/>
      <c r="Q1245" s="81"/>
      <c r="R1245" s="81"/>
      <c r="S1245" s="81"/>
      <c r="T1245" s="81"/>
      <c r="U1245" s="81"/>
      <c r="V1245" s="94"/>
      <c r="W1245" s="94"/>
    </row>
    <row r="1246" spans="1:23" ht="21" customHeight="1">
      <c r="A1246">
        <f>Table4[[#This Row],[Column1]]</f>
        <v>0</v>
      </c>
      <c r="B1246">
        <f>Table4[[#This Row],[Column2]]</f>
        <v>0</v>
      </c>
      <c r="C1246" s="81"/>
      <c r="D1246" s="81"/>
      <c r="E1246" s="81"/>
      <c r="F1246" s="81"/>
      <c r="G1246" s="81"/>
      <c r="H1246" s="81"/>
      <c r="I1246" s="81"/>
      <c r="J1246" s="81"/>
      <c r="K1246" s="81"/>
      <c r="L1246" s="81"/>
      <c r="M1246" s="81"/>
      <c r="N1246" s="81"/>
      <c r="O1246" s="81"/>
      <c r="P1246" s="81"/>
      <c r="Q1246" s="81"/>
      <c r="R1246" s="81"/>
      <c r="S1246" s="81"/>
      <c r="T1246" s="81"/>
      <c r="U1246" s="81"/>
      <c r="V1246" s="94"/>
      <c r="W1246" s="94"/>
    </row>
    <row r="1247" spans="1:23" ht="21" customHeight="1">
      <c r="A1247">
        <f>Table4[[#This Row],[Column1]]</f>
        <v>0</v>
      </c>
      <c r="B1247">
        <f>Table4[[#This Row],[Column2]]</f>
        <v>0</v>
      </c>
      <c r="C1247" s="81"/>
      <c r="D1247" s="81"/>
      <c r="E1247" s="81"/>
      <c r="F1247" s="81"/>
      <c r="G1247" s="81"/>
      <c r="H1247" s="81"/>
      <c r="I1247" s="81"/>
      <c r="J1247" s="81"/>
      <c r="K1247" s="81"/>
      <c r="L1247" s="81"/>
      <c r="M1247" s="81"/>
      <c r="N1247" s="81"/>
      <c r="O1247" s="81"/>
      <c r="P1247" s="81"/>
      <c r="Q1247" s="81"/>
      <c r="R1247" s="81"/>
      <c r="S1247" s="81"/>
      <c r="T1247" s="81"/>
      <c r="U1247" s="81"/>
      <c r="V1247" s="94"/>
      <c r="W1247" s="94"/>
    </row>
    <row r="1248" spans="1:23" ht="21" customHeight="1">
      <c r="A1248">
        <f>Table4[[#This Row],[Column1]]</f>
        <v>0</v>
      </c>
      <c r="B1248">
        <f>Table4[[#This Row],[Column2]]</f>
        <v>0</v>
      </c>
      <c r="C1248" s="81"/>
      <c r="D1248" s="81"/>
      <c r="E1248" s="81"/>
      <c r="F1248" s="81"/>
      <c r="G1248" s="81"/>
      <c r="H1248" s="81"/>
      <c r="I1248" s="81"/>
      <c r="J1248" s="81"/>
      <c r="K1248" s="81"/>
      <c r="L1248" s="81"/>
      <c r="M1248" s="81"/>
      <c r="N1248" s="81"/>
      <c r="O1248" s="81"/>
      <c r="P1248" s="81"/>
      <c r="Q1248" s="81"/>
      <c r="R1248" s="81"/>
      <c r="S1248" s="81"/>
      <c r="T1248" s="81"/>
      <c r="U1248" s="81"/>
      <c r="V1248" s="94"/>
      <c r="W1248" s="94"/>
    </row>
    <row r="1249" spans="1:23" ht="21" customHeight="1">
      <c r="A1249">
        <f>Table4[[#This Row],[Column1]]</f>
        <v>0</v>
      </c>
      <c r="B1249">
        <f>Table4[[#This Row],[Column2]]</f>
        <v>0</v>
      </c>
      <c r="C1249" s="81"/>
      <c r="D1249" s="81"/>
      <c r="E1249" s="81"/>
      <c r="F1249" s="81"/>
      <c r="G1249" s="81"/>
      <c r="H1249" s="81"/>
      <c r="I1249" s="81"/>
      <c r="J1249" s="81"/>
      <c r="K1249" s="81"/>
      <c r="L1249" s="81"/>
      <c r="M1249" s="81"/>
      <c r="N1249" s="81"/>
      <c r="O1249" s="81"/>
      <c r="P1249" s="81"/>
      <c r="Q1249" s="81"/>
      <c r="R1249" s="81"/>
      <c r="S1249" s="81"/>
      <c r="T1249" s="81"/>
      <c r="U1249" s="81"/>
      <c r="V1249" s="94"/>
      <c r="W1249" s="94"/>
    </row>
    <row r="1250" spans="1:23" ht="21" customHeight="1">
      <c r="A1250">
        <f>Table4[[#This Row],[Column1]]</f>
        <v>0</v>
      </c>
      <c r="B1250">
        <f>Table4[[#This Row],[Column2]]</f>
        <v>0</v>
      </c>
      <c r="C1250" s="81"/>
      <c r="D1250" s="81"/>
      <c r="E1250" s="81"/>
      <c r="F1250" s="81"/>
      <c r="G1250" s="81"/>
      <c r="H1250" s="81"/>
      <c r="I1250" s="81"/>
      <c r="J1250" s="81"/>
      <c r="K1250" s="81"/>
      <c r="L1250" s="81"/>
      <c r="M1250" s="81"/>
      <c r="N1250" s="81"/>
      <c r="O1250" s="81"/>
      <c r="P1250" s="81"/>
      <c r="Q1250" s="81"/>
      <c r="R1250" s="81"/>
      <c r="S1250" s="81"/>
      <c r="T1250" s="81"/>
      <c r="U1250" s="81"/>
      <c r="V1250" s="94"/>
      <c r="W1250" s="94"/>
    </row>
    <row r="1251" spans="1:23" ht="21" customHeight="1">
      <c r="A1251">
        <f>Table4[[#This Row],[Column1]]</f>
        <v>0</v>
      </c>
      <c r="B1251">
        <f>Table4[[#This Row],[Column2]]</f>
        <v>0</v>
      </c>
      <c r="C1251" s="81"/>
      <c r="D1251" s="81"/>
      <c r="E1251" s="81"/>
      <c r="F1251" s="81"/>
      <c r="G1251" s="81"/>
      <c r="H1251" s="81"/>
      <c r="I1251" s="81"/>
      <c r="J1251" s="81"/>
      <c r="K1251" s="81"/>
      <c r="L1251" s="81"/>
      <c r="M1251" s="81"/>
      <c r="N1251" s="81"/>
      <c r="O1251" s="81"/>
      <c r="P1251" s="81"/>
      <c r="Q1251" s="81"/>
      <c r="R1251" s="81"/>
      <c r="S1251" s="81"/>
      <c r="T1251" s="81"/>
      <c r="U1251" s="81"/>
      <c r="V1251" s="94"/>
      <c r="W1251" s="94"/>
    </row>
    <row r="1252" spans="1:23" ht="21" customHeight="1">
      <c r="A1252">
        <f>Table4[[#This Row],[Column1]]</f>
        <v>0</v>
      </c>
      <c r="B1252">
        <f>Table4[[#This Row],[Column2]]</f>
        <v>0</v>
      </c>
      <c r="C1252" s="81"/>
      <c r="D1252" s="81"/>
      <c r="E1252" s="81"/>
      <c r="F1252" s="81"/>
      <c r="G1252" s="81"/>
      <c r="H1252" s="81"/>
      <c r="I1252" s="81"/>
      <c r="J1252" s="81"/>
      <c r="K1252" s="81"/>
      <c r="L1252" s="81"/>
      <c r="M1252" s="81"/>
      <c r="N1252" s="81"/>
      <c r="O1252" s="81"/>
      <c r="P1252" s="81"/>
      <c r="Q1252" s="81"/>
      <c r="R1252" s="81"/>
      <c r="S1252" s="81"/>
      <c r="T1252" s="81"/>
      <c r="U1252" s="81"/>
      <c r="V1252" s="94"/>
      <c r="W1252" s="94"/>
    </row>
    <row r="1253" spans="1:23" ht="21" customHeight="1">
      <c r="A1253">
        <f>Table4[[#This Row],[Column1]]</f>
        <v>0</v>
      </c>
      <c r="B1253">
        <f>Table4[[#This Row],[Column2]]</f>
        <v>0</v>
      </c>
      <c r="C1253" s="81"/>
      <c r="D1253" s="81"/>
      <c r="E1253" s="81"/>
      <c r="F1253" s="81"/>
      <c r="G1253" s="81"/>
      <c r="H1253" s="81"/>
      <c r="I1253" s="81"/>
      <c r="J1253" s="81"/>
      <c r="K1253" s="81"/>
      <c r="L1253" s="81"/>
      <c r="M1253" s="81"/>
      <c r="N1253" s="81"/>
      <c r="O1253" s="81"/>
      <c r="P1253" s="81"/>
      <c r="Q1253" s="81"/>
      <c r="R1253" s="81"/>
      <c r="S1253" s="81"/>
      <c r="T1253" s="81"/>
      <c r="U1253" s="81"/>
      <c r="V1253" s="94"/>
      <c r="W1253" s="94"/>
    </row>
    <row r="1254" spans="1:23" ht="21" customHeight="1">
      <c r="A1254">
        <f>Table4[[#This Row],[Column1]]</f>
        <v>0</v>
      </c>
      <c r="B1254">
        <f>Table4[[#This Row],[Column2]]</f>
        <v>0</v>
      </c>
      <c r="C1254" s="81"/>
      <c r="D1254" s="81"/>
      <c r="E1254" s="81"/>
      <c r="F1254" s="81"/>
      <c r="G1254" s="81"/>
      <c r="H1254" s="81"/>
      <c r="I1254" s="81"/>
      <c r="J1254" s="81"/>
      <c r="K1254" s="81"/>
      <c r="L1254" s="81"/>
      <c r="M1254" s="81"/>
      <c r="N1254" s="81"/>
      <c r="O1254" s="81"/>
      <c r="P1254" s="81"/>
      <c r="Q1254" s="81"/>
      <c r="R1254" s="81"/>
      <c r="S1254" s="81"/>
      <c r="T1254" s="81"/>
      <c r="U1254" s="81"/>
      <c r="V1254" s="94"/>
      <c r="W1254" s="94"/>
    </row>
    <row r="1255" spans="1:23" ht="21" customHeight="1">
      <c r="A1255">
        <f>Table4[[#This Row],[Column1]]</f>
        <v>0</v>
      </c>
      <c r="B1255">
        <f>Table4[[#This Row],[Column2]]</f>
        <v>0</v>
      </c>
      <c r="C1255" s="81"/>
      <c r="D1255" s="81"/>
      <c r="E1255" s="81"/>
      <c r="F1255" s="81"/>
      <c r="G1255" s="81"/>
      <c r="H1255" s="81"/>
      <c r="I1255" s="81"/>
      <c r="J1255" s="81"/>
      <c r="K1255" s="81"/>
      <c r="L1255" s="81"/>
      <c r="M1255" s="81"/>
      <c r="N1255" s="81"/>
      <c r="O1255" s="81"/>
      <c r="P1255" s="81"/>
      <c r="Q1255" s="81"/>
      <c r="R1255" s="81"/>
      <c r="S1255" s="81"/>
      <c r="T1255" s="81"/>
      <c r="U1255" s="81"/>
      <c r="V1255" s="94"/>
      <c r="W1255" s="94"/>
    </row>
    <row r="1256" spans="1:23" ht="21" customHeight="1">
      <c r="A1256">
        <f>Table4[[#This Row],[Column1]]</f>
        <v>0</v>
      </c>
      <c r="B1256">
        <f>Table4[[#This Row],[Column2]]</f>
        <v>0</v>
      </c>
      <c r="C1256" s="81"/>
      <c r="D1256" s="81"/>
      <c r="E1256" s="81"/>
      <c r="F1256" s="81"/>
      <c r="G1256" s="81"/>
      <c r="H1256" s="81"/>
      <c r="I1256" s="81"/>
      <c r="J1256" s="81"/>
      <c r="K1256" s="81"/>
      <c r="L1256" s="81"/>
      <c r="M1256" s="81"/>
      <c r="N1256" s="81"/>
      <c r="O1256" s="81"/>
      <c r="P1256" s="81"/>
      <c r="Q1256" s="81"/>
      <c r="R1256" s="81"/>
      <c r="S1256" s="81"/>
      <c r="T1256" s="81"/>
      <c r="U1256" s="81"/>
      <c r="V1256" s="94"/>
      <c r="W1256" s="94"/>
    </row>
    <row r="1257" spans="1:23" ht="21" customHeight="1">
      <c r="A1257">
        <f>Table4[[#This Row],[Column1]]</f>
        <v>0</v>
      </c>
      <c r="B1257">
        <f>Table4[[#This Row],[Column2]]</f>
        <v>0</v>
      </c>
      <c r="C1257" s="81"/>
      <c r="D1257" s="81"/>
      <c r="E1257" s="81"/>
      <c r="F1257" s="81"/>
      <c r="G1257" s="81"/>
      <c r="H1257" s="81"/>
      <c r="I1257" s="81"/>
      <c r="J1257" s="81"/>
      <c r="K1257" s="81"/>
      <c r="L1257" s="81"/>
      <c r="M1257" s="81"/>
      <c r="N1257" s="81"/>
      <c r="O1257" s="81"/>
      <c r="P1257" s="81"/>
      <c r="Q1257" s="81"/>
      <c r="R1257" s="81"/>
      <c r="S1257" s="81"/>
      <c r="T1257" s="81"/>
      <c r="U1257" s="81"/>
      <c r="V1257" s="94"/>
      <c r="W1257" s="94"/>
    </row>
    <row r="1258" spans="1:23" ht="21" customHeight="1">
      <c r="A1258">
        <f>Table4[[#This Row],[Column1]]</f>
        <v>0</v>
      </c>
      <c r="B1258">
        <f>Table4[[#This Row],[Column2]]</f>
        <v>0</v>
      </c>
      <c r="C1258" s="81"/>
      <c r="D1258" s="81"/>
      <c r="E1258" s="81"/>
      <c r="F1258" s="81"/>
      <c r="G1258" s="81"/>
      <c r="H1258" s="81"/>
      <c r="I1258" s="81"/>
      <c r="J1258" s="81"/>
      <c r="K1258" s="81"/>
      <c r="L1258" s="81"/>
      <c r="M1258" s="81"/>
      <c r="N1258" s="81"/>
      <c r="O1258" s="81"/>
      <c r="P1258" s="81"/>
      <c r="Q1258" s="81"/>
      <c r="R1258" s="81"/>
      <c r="S1258" s="81"/>
      <c r="T1258" s="81"/>
      <c r="U1258" s="81"/>
      <c r="V1258" s="94"/>
      <c r="W1258" s="94"/>
    </row>
    <row r="1259" spans="1:23" ht="21" customHeight="1">
      <c r="A1259">
        <f>Table4[[#This Row],[Column1]]</f>
        <v>0</v>
      </c>
      <c r="B1259">
        <f>Table4[[#This Row],[Column2]]</f>
        <v>0</v>
      </c>
      <c r="C1259" s="81"/>
      <c r="D1259" s="81"/>
      <c r="E1259" s="81"/>
      <c r="F1259" s="81"/>
      <c r="G1259" s="81"/>
      <c r="H1259" s="81"/>
      <c r="I1259" s="81"/>
      <c r="J1259" s="81"/>
      <c r="K1259" s="81"/>
      <c r="L1259" s="81"/>
      <c r="M1259" s="81"/>
      <c r="N1259" s="81"/>
      <c r="O1259" s="81"/>
      <c r="P1259" s="81"/>
      <c r="Q1259" s="81"/>
      <c r="R1259" s="81"/>
      <c r="S1259" s="81"/>
      <c r="T1259" s="81"/>
      <c r="U1259" s="81"/>
      <c r="V1259" s="94"/>
      <c r="W1259" s="94"/>
    </row>
    <row r="1260" spans="1:23" ht="21" customHeight="1">
      <c r="A1260">
        <f>Table4[[#This Row],[Column1]]</f>
        <v>0</v>
      </c>
      <c r="B1260">
        <f>Table4[[#This Row],[Column2]]</f>
        <v>0</v>
      </c>
      <c r="C1260" s="81"/>
      <c r="D1260" s="81"/>
      <c r="E1260" s="81"/>
      <c r="F1260" s="81"/>
      <c r="G1260" s="81"/>
      <c r="H1260" s="81"/>
      <c r="I1260" s="81"/>
      <c r="J1260" s="81"/>
      <c r="K1260" s="81"/>
      <c r="L1260" s="81"/>
      <c r="M1260" s="81"/>
      <c r="N1260" s="81"/>
      <c r="O1260" s="81"/>
      <c r="P1260" s="81"/>
      <c r="Q1260" s="81"/>
      <c r="R1260" s="81"/>
      <c r="S1260" s="81"/>
      <c r="T1260" s="81"/>
      <c r="U1260" s="81"/>
      <c r="V1260" s="94"/>
      <c r="W1260" s="94"/>
    </row>
    <row r="1261" spans="1:23" ht="21" customHeight="1">
      <c r="A1261">
        <f>Table4[[#This Row],[Column1]]</f>
        <v>0</v>
      </c>
      <c r="B1261">
        <f>Table4[[#This Row],[Column2]]</f>
        <v>0</v>
      </c>
      <c r="C1261" s="81"/>
      <c r="D1261" s="81"/>
      <c r="E1261" s="81"/>
      <c r="F1261" s="81"/>
      <c r="G1261" s="81"/>
      <c r="H1261" s="81"/>
      <c r="I1261" s="81"/>
      <c r="J1261" s="81"/>
      <c r="K1261" s="81"/>
      <c r="L1261" s="81"/>
      <c r="M1261" s="81"/>
      <c r="N1261" s="81"/>
      <c r="O1261" s="81"/>
      <c r="P1261" s="81"/>
      <c r="Q1261" s="81"/>
      <c r="R1261" s="81"/>
      <c r="S1261" s="81"/>
      <c r="T1261" s="81"/>
      <c r="U1261" s="81"/>
      <c r="V1261" s="94"/>
      <c r="W1261" s="94"/>
    </row>
    <row r="1262" spans="1:23" ht="21" customHeight="1">
      <c r="A1262">
        <f>Table4[[#This Row],[Column1]]</f>
        <v>0</v>
      </c>
      <c r="B1262">
        <f>Table4[[#This Row],[Column2]]</f>
        <v>0</v>
      </c>
      <c r="C1262" s="81"/>
      <c r="D1262" s="81"/>
      <c r="E1262" s="81"/>
      <c r="F1262" s="81"/>
      <c r="G1262" s="81"/>
      <c r="H1262" s="81"/>
      <c r="I1262" s="81"/>
      <c r="J1262" s="81"/>
      <c r="K1262" s="81"/>
      <c r="L1262" s="81"/>
      <c r="M1262" s="81"/>
      <c r="N1262" s="81"/>
      <c r="O1262" s="81"/>
      <c r="P1262" s="81"/>
      <c r="Q1262" s="81"/>
      <c r="R1262" s="81"/>
      <c r="S1262" s="81"/>
      <c r="T1262" s="81"/>
      <c r="U1262" s="81"/>
      <c r="V1262" s="94"/>
      <c r="W1262" s="94"/>
    </row>
    <row r="1263" spans="1:23" ht="21" customHeight="1">
      <c r="A1263">
        <f>Table4[[#This Row],[Column1]]</f>
        <v>0</v>
      </c>
      <c r="B1263">
        <f>Table4[[#This Row],[Column2]]</f>
        <v>0</v>
      </c>
      <c r="C1263" s="81"/>
      <c r="D1263" s="81"/>
      <c r="E1263" s="81"/>
      <c r="F1263" s="81"/>
      <c r="G1263" s="81"/>
      <c r="H1263" s="81"/>
      <c r="I1263" s="81"/>
      <c r="J1263" s="81"/>
      <c r="K1263" s="81"/>
      <c r="L1263" s="81"/>
      <c r="M1263" s="81"/>
      <c r="N1263" s="81"/>
      <c r="O1263" s="81"/>
      <c r="P1263" s="81"/>
      <c r="Q1263" s="81"/>
      <c r="R1263" s="81"/>
      <c r="S1263" s="81"/>
      <c r="T1263" s="81"/>
      <c r="U1263" s="81"/>
      <c r="V1263" s="94"/>
      <c r="W1263" s="94"/>
    </row>
    <row r="1264" spans="1:23" ht="21" customHeight="1">
      <c r="A1264">
        <f>Table4[[#This Row],[Column1]]</f>
        <v>0</v>
      </c>
      <c r="B1264">
        <f>Table4[[#This Row],[Column2]]</f>
        <v>0</v>
      </c>
      <c r="C1264" s="81"/>
      <c r="D1264" s="81"/>
      <c r="E1264" s="81"/>
      <c r="F1264" s="81"/>
      <c r="G1264" s="81"/>
      <c r="H1264" s="81"/>
      <c r="I1264" s="81"/>
      <c r="J1264" s="81"/>
      <c r="K1264" s="81"/>
      <c r="L1264" s="81"/>
      <c r="M1264" s="81"/>
      <c r="N1264" s="81"/>
      <c r="O1264" s="81"/>
      <c r="P1264" s="81"/>
      <c r="Q1264" s="81"/>
      <c r="R1264" s="81"/>
      <c r="S1264" s="81"/>
      <c r="T1264" s="81"/>
      <c r="U1264" s="81"/>
      <c r="V1264" s="94"/>
      <c r="W1264" s="94"/>
    </row>
    <row r="1265" spans="1:23" ht="21" customHeight="1">
      <c r="A1265">
        <f>Table4[[#This Row],[Column1]]</f>
        <v>0</v>
      </c>
      <c r="B1265">
        <f>Table4[[#This Row],[Column2]]</f>
        <v>0</v>
      </c>
      <c r="C1265" s="81"/>
      <c r="D1265" s="81"/>
      <c r="E1265" s="81"/>
      <c r="F1265" s="81"/>
      <c r="G1265" s="81"/>
      <c r="H1265" s="81"/>
      <c r="I1265" s="81"/>
      <c r="J1265" s="81"/>
      <c r="K1265" s="81"/>
      <c r="L1265" s="81"/>
      <c r="M1265" s="81"/>
      <c r="N1265" s="81"/>
      <c r="O1265" s="81"/>
      <c r="P1265" s="81"/>
      <c r="Q1265" s="81"/>
      <c r="R1265" s="81"/>
      <c r="S1265" s="81"/>
      <c r="T1265" s="81"/>
      <c r="U1265" s="81"/>
      <c r="V1265" s="94"/>
      <c r="W1265" s="94"/>
    </row>
    <row r="1266" spans="1:23" ht="21" customHeight="1">
      <c r="A1266">
        <f>Table4[[#This Row],[Column1]]</f>
        <v>0</v>
      </c>
      <c r="B1266">
        <f>Table4[[#This Row],[Column2]]</f>
        <v>0</v>
      </c>
      <c r="C1266" s="81"/>
      <c r="D1266" s="81"/>
      <c r="E1266" s="81"/>
      <c r="F1266" s="81"/>
      <c r="G1266" s="81"/>
      <c r="H1266" s="81"/>
      <c r="I1266" s="81"/>
      <c r="J1266" s="81"/>
      <c r="K1266" s="81"/>
      <c r="L1266" s="81"/>
      <c r="M1266" s="81"/>
      <c r="N1266" s="81"/>
      <c r="O1266" s="81"/>
      <c r="P1266" s="81"/>
      <c r="Q1266" s="81"/>
      <c r="R1266" s="81"/>
      <c r="S1266" s="81"/>
      <c r="T1266" s="81"/>
      <c r="U1266" s="81"/>
      <c r="V1266" s="94"/>
      <c r="W1266" s="94"/>
    </row>
    <row r="1267" spans="1:23" ht="21" customHeight="1">
      <c r="A1267">
        <f>Table4[[#This Row],[Column1]]</f>
        <v>0</v>
      </c>
      <c r="B1267">
        <f>Table4[[#This Row],[Column2]]</f>
        <v>0</v>
      </c>
      <c r="C1267" s="81"/>
      <c r="D1267" s="81"/>
      <c r="E1267" s="81"/>
      <c r="F1267" s="81"/>
      <c r="G1267" s="81"/>
      <c r="H1267" s="81"/>
      <c r="I1267" s="81"/>
      <c r="J1267" s="81"/>
      <c r="K1267" s="81"/>
      <c r="L1267" s="81"/>
      <c r="M1267" s="81"/>
      <c r="N1267" s="81"/>
      <c r="O1267" s="81"/>
      <c r="P1267" s="81"/>
      <c r="Q1267" s="81"/>
      <c r="R1267" s="81"/>
      <c r="S1267" s="81"/>
      <c r="T1267" s="81"/>
      <c r="U1267" s="81"/>
      <c r="V1267" s="94"/>
      <c r="W1267" s="94"/>
    </row>
    <row r="1268" spans="1:23" ht="21" customHeight="1">
      <c r="A1268">
        <f>Table4[[#This Row],[Column1]]</f>
        <v>0</v>
      </c>
      <c r="B1268">
        <f>Table4[[#This Row],[Column2]]</f>
        <v>0</v>
      </c>
      <c r="C1268" s="81"/>
      <c r="D1268" s="81"/>
      <c r="E1268" s="81"/>
      <c r="F1268" s="81"/>
      <c r="G1268" s="81"/>
      <c r="H1268" s="81"/>
      <c r="I1268" s="81"/>
      <c r="J1268" s="81"/>
      <c r="K1268" s="81"/>
      <c r="L1268" s="81"/>
      <c r="M1268" s="81"/>
      <c r="N1268" s="81"/>
      <c r="O1268" s="81"/>
      <c r="P1268" s="81"/>
      <c r="Q1268" s="81"/>
      <c r="R1268" s="81"/>
      <c r="S1268" s="81"/>
      <c r="T1268" s="81"/>
      <c r="U1268" s="81"/>
      <c r="V1268" s="94"/>
      <c r="W1268" s="94"/>
    </row>
    <row r="1269" spans="1:23" ht="21" customHeight="1">
      <c r="A1269">
        <f>Table4[[#This Row],[Column1]]</f>
        <v>0</v>
      </c>
      <c r="B1269">
        <f>Table4[[#This Row],[Column2]]</f>
        <v>0</v>
      </c>
      <c r="C1269" s="81"/>
      <c r="D1269" s="81"/>
      <c r="E1269" s="81"/>
      <c r="F1269" s="81"/>
      <c r="G1269" s="81"/>
      <c r="H1269" s="81"/>
      <c r="I1269" s="81"/>
      <c r="J1269" s="81"/>
      <c r="K1269" s="81"/>
      <c r="L1269" s="81"/>
      <c r="M1269" s="81"/>
      <c r="N1269" s="81"/>
      <c r="O1269" s="81"/>
      <c r="P1269" s="81"/>
      <c r="Q1269" s="81"/>
      <c r="R1269" s="81"/>
      <c r="S1269" s="81"/>
      <c r="T1269" s="81"/>
      <c r="U1269" s="81"/>
      <c r="V1269" s="94"/>
      <c r="W1269" s="94"/>
    </row>
    <row r="1270" spans="1:23" ht="21" customHeight="1">
      <c r="A1270">
        <f>Table4[[#This Row],[Column1]]</f>
        <v>0</v>
      </c>
      <c r="B1270">
        <f>Table4[[#This Row],[Column2]]</f>
        <v>0</v>
      </c>
      <c r="C1270" s="81"/>
      <c r="D1270" s="81"/>
      <c r="E1270" s="81"/>
      <c r="F1270" s="81"/>
      <c r="G1270" s="81"/>
      <c r="H1270" s="81"/>
      <c r="I1270" s="81"/>
      <c r="J1270" s="81"/>
      <c r="K1270" s="81"/>
      <c r="L1270" s="81"/>
      <c r="M1270" s="81"/>
      <c r="N1270" s="81"/>
      <c r="O1270" s="81"/>
      <c r="P1270" s="81"/>
      <c r="Q1270" s="81"/>
      <c r="R1270" s="81"/>
      <c r="S1270" s="81"/>
      <c r="T1270" s="81"/>
      <c r="U1270" s="81"/>
      <c r="V1270" s="94"/>
      <c r="W1270" s="94"/>
    </row>
    <row r="1271" spans="1:23" ht="21" customHeight="1">
      <c r="A1271">
        <f>Table4[[#This Row],[Column1]]</f>
        <v>0</v>
      </c>
      <c r="B1271">
        <f>Table4[[#This Row],[Column2]]</f>
        <v>0</v>
      </c>
      <c r="C1271" s="81"/>
      <c r="D1271" s="81"/>
      <c r="E1271" s="81"/>
      <c r="F1271" s="81"/>
      <c r="G1271" s="81"/>
      <c r="H1271" s="81"/>
      <c r="I1271" s="81"/>
      <c r="J1271" s="81"/>
      <c r="K1271" s="81"/>
      <c r="L1271" s="81"/>
      <c r="M1271" s="81"/>
      <c r="N1271" s="81"/>
      <c r="O1271" s="81"/>
      <c r="P1271" s="81"/>
      <c r="Q1271" s="81"/>
      <c r="R1271" s="81"/>
      <c r="S1271" s="81"/>
      <c r="T1271" s="81"/>
      <c r="U1271" s="81"/>
      <c r="V1271" s="94"/>
      <c r="W1271" s="94"/>
    </row>
    <row r="1272" spans="1:23" ht="21" customHeight="1">
      <c r="A1272">
        <f>Table4[[#This Row],[Column1]]</f>
        <v>0</v>
      </c>
      <c r="B1272">
        <f>Table4[[#This Row],[Column2]]</f>
        <v>0</v>
      </c>
      <c r="C1272" s="81"/>
      <c r="D1272" s="81"/>
      <c r="E1272" s="81"/>
      <c r="F1272" s="81"/>
      <c r="G1272" s="81"/>
      <c r="H1272" s="81"/>
      <c r="I1272" s="81"/>
      <c r="J1272" s="81"/>
      <c r="K1272" s="81"/>
      <c r="L1272" s="81"/>
      <c r="M1272" s="81"/>
      <c r="N1272" s="81"/>
      <c r="O1272" s="81"/>
      <c r="P1272" s="81"/>
      <c r="Q1272" s="81"/>
      <c r="R1272" s="81"/>
      <c r="S1272" s="81"/>
      <c r="T1272" s="81"/>
      <c r="U1272" s="81"/>
      <c r="V1272" s="94"/>
      <c r="W1272" s="94"/>
    </row>
    <row r="1273" spans="1:23" ht="21" customHeight="1">
      <c r="A1273">
        <f>Table4[[#This Row],[Column1]]</f>
        <v>0</v>
      </c>
      <c r="B1273">
        <f>Table4[[#This Row],[Column2]]</f>
        <v>0</v>
      </c>
      <c r="C1273" s="81"/>
      <c r="D1273" s="81"/>
      <c r="E1273" s="81"/>
      <c r="F1273" s="81"/>
      <c r="G1273" s="81"/>
      <c r="H1273" s="81"/>
      <c r="I1273" s="81"/>
      <c r="J1273" s="81"/>
      <c r="K1273" s="81"/>
      <c r="L1273" s="81"/>
      <c r="M1273" s="81"/>
      <c r="N1273" s="81"/>
      <c r="O1273" s="81"/>
      <c r="P1273" s="81"/>
      <c r="Q1273" s="81"/>
      <c r="R1273" s="81"/>
      <c r="S1273" s="81"/>
      <c r="T1273" s="81"/>
      <c r="U1273" s="81"/>
      <c r="V1273" s="94"/>
      <c r="W1273" s="94"/>
    </row>
    <row r="1274" spans="1:23" ht="21" customHeight="1">
      <c r="A1274">
        <f>Table4[[#This Row],[Column1]]</f>
        <v>0</v>
      </c>
      <c r="B1274">
        <f>Table4[[#This Row],[Column2]]</f>
        <v>0</v>
      </c>
      <c r="C1274" s="81"/>
      <c r="D1274" s="81"/>
      <c r="E1274" s="81"/>
      <c r="F1274" s="81"/>
      <c r="G1274" s="81"/>
      <c r="H1274" s="81"/>
      <c r="I1274" s="81"/>
      <c r="J1274" s="81"/>
      <c r="K1274" s="81"/>
      <c r="L1274" s="81"/>
      <c r="M1274" s="81"/>
      <c r="N1274" s="81"/>
      <c r="O1274" s="81"/>
      <c r="P1274" s="81"/>
      <c r="Q1274" s="81"/>
      <c r="R1274" s="81"/>
      <c r="S1274" s="81"/>
      <c r="T1274" s="81"/>
      <c r="U1274" s="81"/>
      <c r="V1274" s="94"/>
      <c r="W1274" s="94"/>
    </row>
    <row r="1275" spans="1:23" ht="21" customHeight="1">
      <c r="A1275">
        <f>Table4[[#This Row],[Column1]]</f>
        <v>0</v>
      </c>
      <c r="B1275">
        <f>Table4[[#This Row],[Column2]]</f>
        <v>0</v>
      </c>
      <c r="C1275" s="81"/>
      <c r="D1275" s="81"/>
      <c r="E1275" s="81"/>
      <c r="F1275" s="81"/>
      <c r="G1275" s="81"/>
      <c r="H1275" s="81"/>
      <c r="I1275" s="81"/>
      <c r="J1275" s="81"/>
      <c r="K1275" s="81"/>
      <c r="L1275" s="81"/>
      <c r="M1275" s="81"/>
      <c r="N1275" s="81"/>
      <c r="O1275" s="81"/>
      <c r="P1275" s="81"/>
      <c r="Q1275" s="81"/>
      <c r="R1275" s="81"/>
      <c r="S1275" s="81"/>
      <c r="T1275" s="81"/>
      <c r="U1275" s="81"/>
      <c r="V1275" s="94"/>
      <c r="W1275" s="94"/>
    </row>
    <row r="1276" spans="1:23" ht="21" customHeight="1">
      <c r="A1276">
        <f>Table4[[#This Row],[Column1]]</f>
        <v>0</v>
      </c>
      <c r="B1276">
        <f>Table4[[#This Row],[Column2]]</f>
        <v>0</v>
      </c>
      <c r="C1276" s="81"/>
      <c r="D1276" s="81"/>
      <c r="E1276" s="81"/>
      <c r="F1276" s="81"/>
      <c r="G1276" s="81"/>
      <c r="H1276" s="81"/>
      <c r="I1276" s="81"/>
      <c r="J1276" s="81"/>
      <c r="K1276" s="81"/>
      <c r="L1276" s="81"/>
      <c r="M1276" s="81"/>
      <c r="N1276" s="81"/>
      <c r="O1276" s="81"/>
      <c r="P1276" s="81"/>
      <c r="Q1276" s="81"/>
      <c r="R1276" s="81"/>
      <c r="S1276" s="81"/>
      <c r="T1276" s="81"/>
      <c r="U1276" s="81"/>
      <c r="V1276" s="94"/>
      <c r="W1276" s="94"/>
    </row>
    <row r="1277" spans="1:23" ht="21" customHeight="1">
      <c r="A1277">
        <f>Table4[[#This Row],[Column1]]</f>
        <v>0</v>
      </c>
      <c r="B1277">
        <f>Table4[[#This Row],[Column2]]</f>
        <v>0</v>
      </c>
      <c r="C1277" s="81"/>
      <c r="D1277" s="81"/>
      <c r="E1277" s="81"/>
      <c r="F1277" s="81"/>
      <c r="G1277" s="81"/>
      <c r="H1277" s="81"/>
      <c r="I1277" s="81"/>
      <c r="J1277" s="81"/>
      <c r="K1277" s="81"/>
      <c r="L1277" s="81"/>
      <c r="M1277" s="81"/>
      <c r="N1277" s="81"/>
      <c r="O1277" s="81"/>
      <c r="P1277" s="81"/>
      <c r="Q1277" s="81"/>
      <c r="R1277" s="81"/>
      <c r="S1277" s="81"/>
      <c r="T1277" s="81"/>
      <c r="U1277" s="81"/>
      <c r="V1277" s="94"/>
      <c r="W1277" s="94"/>
    </row>
    <row r="1278" spans="1:23" ht="21" customHeight="1">
      <c r="A1278">
        <f>Table4[[#This Row],[Column1]]</f>
        <v>0</v>
      </c>
      <c r="B1278">
        <f>Table4[[#This Row],[Column2]]</f>
        <v>0</v>
      </c>
      <c r="C1278" s="81"/>
      <c r="D1278" s="81"/>
      <c r="E1278" s="81"/>
      <c r="F1278" s="81"/>
      <c r="G1278" s="81"/>
      <c r="H1278" s="81"/>
      <c r="I1278" s="81"/>
      <c r="J1278" s="81"/>
      <c r="K1278" s="81"/>
      <c r="L1278" s="81"/>
      <c r="M1278" s="81"/>
      <c r="N1278" s="81"/>
      <c r="O1278" s="81"/>
      <c r="P1278" s="81"/>
      <c r="Q1278" s="81"/>
      <c r="R1278" s="81"/>
      <c r="S1278" s="81"/>
      <c r="T1278" s="81"/>
      <c r="U1278" s="81"/>
      <c r="V1278" s="94"/>
      <c r="W1278" s="94"/>
    </row>
    <row r="1279" spans="1:23" ht="21" customHeight="1">
      <c r="A1279">
        <f>Table4[[#This Row],[Column1]]</f>
        <v>0</v>
      </c>
      <c r="B1279">
        <f>Table4[[#This Row],[Column2]]</f>
        <v>0</v>
      </c>
      <c r="C1279" s="81"/>
      <c r="D1279" s="81"/>
      <c r="E1279" s="81"/>
      <c r="F1279" s="81"/>
      <c r="G1279" s="81"/>
      <c r="H1279" s="81"/>
      <c r="I1279" s="81"/>
      <c r="J1279" s="81"/>
      <c r="K1279" s="81"/>
      <c r="L1279" s="81"/>
      <c r="M1279" s="81"/>
      <c r="N1279" s="81"/>
      <c r="O1279" s="81"/>
      <c r="P1279" s="81"/>
      <c r="Q1279" s="81"/>
      <c r="R1279" s="81"/>
      <c r="S1279" s="81"/>
      <c r="T1279" s="81"/>
      <c r="U1279" s="81"/>
      <c r="V1279" s="94"/>
      <c r="W1279" s="94"/>
    </row>
    <row r="1280" spans="1:23" ht="21" customHeight="1">
      <c r="A1280">
        <f>Table4[[#This Row],[Column1]]</f>
        <v>0</v>
      </c>
      <c r="B1280">
        <f>Table4[[#This Row],[Column2]]</f>
        <v>0</v>
      </c>
      <c r="C1280" s="81"/>
      <c r="D1280" s="81"/>
      <c r="E1280" s="81"/>
      <c r="F1280" s="81"/>
      <c r="G1280" s="81"/>
      <c r="H1280" s="81"/>
      <c r="I1280" s="81"/>
      <c r="J1280" s="81"/>
      <c r="K1280" s="81"/>
      <c r="L1280" s="81"/>
      <c r="M1280" s="81"/>
      <c r="N1280" s="81"/>
      <c r="O1280" s="81"/>
      <c r="P1280" s="81"/>
      <c r="Q1280" s="81"/>
      <c r="R1280" s="81"/>
      <c r="S1280" s="81"/>
      <c r="T1280" s="81"/>
      <c r="U1280" s="81"/>
      <c r="V1280" s="94"/>
      <c r="W1280" s="94"/>
    </row>
    <row r="1281" spans="1:23" ht="21" customHeight="1">
      <c r="A1281">
        <f>Table4[[#This Row],[Column1]]</f>
        <v>0</v>
      </c>
      <c r="B1281">
        <f>Table4[[#This Row],[Column2]]</f>
        <v>0</v>
      </c>
      <c r="C1281" s="81"/>
      <c r="D1281" s="81"/>
      <c r="E1281" s="81"/>
      <c r="F1281" s="81"/>
      <c r="G1281" s="81"/>
      <c r="H1281" s="81"/>
      <c r="I1281" s="81"/>
      <c r="J1281" s="81"/>
      <c r="K1281" s="81"/>
      <c r="L1281" s="81"/>
      <c r="M1281" s="81"/>
      <c r="N1281" s="81"/>
      <c r="O1281" s="81"/>
      <c r="P1281" s="81"/>
      <c r="Q1281" s="81"/>
      <c r="R1281" s="81"/>
      <c r="S1281" s="81"/>
      <c r="T1281" s="81"/>
      <c r="U1281" s="81"/>
      <c r="V1281" s="94"/>
      <c r="W1281" s="94"/>
    </row>
    <row r="1282" spans="1:23" ht="21" customHeight="1">
      <c r="A1282">
        <f>Table4[[#This Row],[Column1]]</f>
        <v>0</v>
      </c>
      <c r="B1282">
        <f>Table4[[#This Row],[Column2]]</f>
        <v>0</v>
      </c>
      <c r="C1282" s="81"/>
      <c r="D1282" s="81"/>
      <c r="E1282" s="81"/>
      <c r="F1282" s="81"/>
      <c r="G1282" s="81"/>
      <c r="H1282" s="81"/>
      <c r="I1282" s="81"/>
      <c r="J1282" s="81"/>
      <c r="K1282" s="81"/>
      <c r="L1282" s="81"/>
      <c r="M1282" s="81"/>
      <c r="N1282" s="81"/>
      <c r="O1282" s="81"/>
      <c r="P1282" s="81"/>
      <c r="Q1282" s="81"/>
      <c r="R1282" s="81"/>
      <c r="S1282" s="81"/>
      <c r="T1282" s="81"/>
      <c r="U1282" s="81"/>
      <c r="V1282" s="94"/>
      <c r="W1282" s="94"/>
    </row>
    <row r="1283" spans="1:23" ht="21" customHeight="1">
      <c r="A1283">
        <f>Table4[[#This Row],[Column1]]</f>
        <v>0</v>
      </c>
      <c r="B1283">
        <f>Table4[[#This Row],[Column2]]</f>
        <v>0</v>
      </c>
      <c r="C1283" s="81"/>
      <c r="D1283" s="81"/>
      <c r="E1283" s="81"/>
      <c r="F1283" s="81"/>
      <c r="G1283" s="81"/>
      <c r="H1283" s="81"/>
      <c r="I1283" s="81"/>
      <c r="J1283" s="81"/>
      <c r="K1283" s="81"/>
      <c r="L1283" s="81"/>
      <c r="M1283" s="81"/>
      <c r="N1283" s="81"/>
      <c r="O1283" s="81"/>
      <c r="P1283" s="81"/>
      <c r="Q1283" s="81"/>
      <c r="R1283" s="81"/>
      <c r="S1283" s="81"/>
      <c r="T1283" s="81"/>
      <c r="U1283" s="81"/>
      <c r="V1283" s="94"/>
      <c r="W1283" s="94"/>
    </row>
    <row r="1284" spans="1:23" ht="21" customHeight="1">
      <c r="A1284">
        <f>Table4[[#This Row],[Column1]]</f>
        <v>0</v>
      </c>
      <c r="B1284">
        <f>Table4[[#This Row],[Column2]]</f>
        <v>0</v>
      </c>
      <c r="C1284" s="81"/>
      <c r="D1284" s="81"/>
      <c r="E1284" s="81"/>
      <c r="F1284" s="81"/>
      <c r="G1284" s="81"/>
      <c r="H1284" s="81"/>
      <c r="I1284" s="81"/>
      <c r="J1284" s="81"/>
      <c r="K1284" s="81"/>
      <c r="L1284" s="81"/>
      <c r="M1284" s="81"/>
      <c r="N1284" s="81"/>
      <c r="O1284" s="81"/>
      <c r="P1284" s="81"/>
      <c r="Q1284" s="81"/>
      <c r="R1284" s="81"/>
      <c r="S1284" s="81"/>
      <c r="T1284" s="81"/>
      <c r="U1284" s="81"/>
      <c r="V1284" s="94"/>
      <c r="W1284" s="94"/>
    </row>
    <row r="1285" spans="1:23" ht="21" customHeight="1">
      <c r="A1285">
        <f>Table4[[#This Row],[Column1]]</f>
        <v>0</v>
      </c>
      <c r="B1285">
        <f>Table4[[#This Row],[Column2]]</f>
        <v>0</v>
      </c>
      <c r="C1285" s="81"/>
      <c r="D1285" s="81"/>
      <c r="E1285" s="81"/>
      <c r="F1285" s="81"/>
      <c r="G1285" s="81"/>
      <c r="H1285" s="81"/>
      <c r="I1285" s="81"/>
      <c r="J1285" s="81"/>
      <c r="K1285" s="81"/>
      <c r="L1285" s="81"/>
      <c r="M1285" s="81"/>
      <c r="N1285" s="81"/>
      <c r="O1285" s="81"/>
      <c r="P1285" s="81"/>
      <c r="Q1285" s="81"/>
      <c r="R1285" s="81"/>
      <c r="S1285" s="81"/>
      <c r="T1285" s="81"/>
      <c r="U1285" s="81"/>
      <c r="V1285" s="94"/>
      <c r="W1285" s="94"/>
    </row>
    <row r="1286" spans="1:23" ht="21" customHeight="1">
      <c r="A1286">
        <f>Table4[[#This Row],[Column1]]</f>
        <v>0</v>
      </c>
      <c r="B1286">
        <f>Table4[[#This Row],[Column2]]</f>
        <v>0</v>
      </c>
      <c r="C1286" s="81"/>
      <c r="D1286" s="81"/>
      <c r="E1286" s="81"/>
      <c r="F1286" s="81"/>
      <c r="G1286" s="81"/>
      <c r="H1286" s="81"/>
      <c r="I1286" s="81"/>
      <c r="J1286" s="81"/>
      <c r="K1286" s="81"/>
      <c r="L1286" s="81"/>
      <c r="M1286" s="81"/>
      <c r="N1286" s="81"/>
      <c r="O1286" s="81"/>
      <c r="P1286" s="81"/>
      <c r="Q1286" s="81"/>
      <c r="R1286" s="81"/>
      <c r="S1286" s="81"/>
      <c r="T1286" s="81"/>
      <c r="U1286" s="81"/>
      <c r="V1286" s="94"/>
      <c r="W1286" s="94"/>
    </row>
    <row r="1287" spans="1:23" ht="21" customHeight="1">
      <c r="A1287">
        <f>Table4[[#This Row],[Column1]]</f>
        <v>0</v>
      </c>
      <c r="B1287">
        <f>Table4[[#This Row],[Column2]]</f>
        <v>0</v>
      </c>
      <c r="C1287" s="81"/>
      <c r="D1287" s="81"/>
      <c r="E1287" s="81"/>
      <c r="F1287" s="81"/>
      <c r="G1287" s="81"/>
      <c r="H1287" s="81"/>
      <c r="I1287" s="81"/>
      <c r="J1287" s="81"/>
      <c r="K1287" s="81"/>
      <c r="L1287" s="81"/>
      <c r="M1287" s="81"/>
      <c r="N1287" s="81"/>
      <c r="O1287" s="81"/>
      <c r="P1287" s="81"/>
      <c r="Q1287" s="81"/>
      <c r="R1287" s="81"/>
      <c r="S1287" s="81"/>
      <c r="T1287" s="81"/>
      <c r="U1287" s="81"/>
      <c r="V1287" s="94"/>
      <c r="W1287" s="94"/>
    </row>
    <row r="1288" spans="1:23" ht="21" customHeight="1">
      <c r="A1288">
        <f>Table4[[#This Row],[Column1]]</f>
        <v>0</v>
      </c>
      <c r="B1288">
        <f>Table4[[#This Row],[Column2]]</f>
        <v>0</v>
      </c>
      <c r="C1288" s="81"/>
      <c r="D1288" s="81"/>
      <c r="E1288" s="81"/>
      <c r="F1288" s="81"/>
      <c r="G1288" s="81"/>
      <c r="H1288" s="81"/>
      <c r="I1288" s="81"/>
      <c r="J1288" s="81"/>
      <c r="K1288" s="81"/>
      <c r="L1288" s="81"/>
      <c r="M1288" s="81"/>
      <c r="N1288" s="81"/>
      <c r="O1288" s="81"/>
      <c r="P1288" s="81"/>
      <c r="Q1288" s="81"/>
      <c r="R1288" s="81"/>
      <c r="S1288" s="81"/>
      <c r="T1288" s="81"/>
      <c r="U1288" s="81"/>
      <c r="V1288" s="94"/>
      <c r="W1288" s="94"/>
    </row>
    <row r="1289" spans="1:23" ht="21" customHeight="1">
      <c r="A1289">
        <f>Table4[[#This Row],[Column1]]</f>
        <v>0</v>
      </c>
      <c r="B1289">
        <f>Table4[[#This Row],[Column2]]</f>
        <v>0</v>
      </c>
      <c r="C1289" s="81"/>
      <c r="D1289" s="81"/>
      <c r="E1289" s="81"/>
      <c r="F1289" s="81"/>
      <c r="G1289" s="81"/>
      <c r="H1289" s="81"/>
      <c r="I1289" s="81"/>
      <c r="J1289" s="81"/>
      <c r="K1289" s="81"/>
      <c r="L1289" s="81"/>
      <c r="M1289" s="81"/>
      <c r="N1289" s="81"/>
      <c r="O1289" s="81"/>
      <c r="P1289" s="81"/>
      <c r="Q1289" s="81"/>
      <c r="R1289" s="81"/>
      <c r="S1289" s="81"/>
      <c r="T1289" s="81"/>
      <c r="U1289" s="81"/>
      <c r="V1289" s="94"/>
      <c r="W1289" s="94"/>
    </row>
    <row r="1290" spans="1:23" ht="21" customHeight="1">
      <c r="A1290">
        <f>Table4[[#This Row],[Column1]]</f>
        <v>0</v>
      </c>
      <c r="B1290">
        <f>Table4[[#This Row],[Column2]]</f>
        <v>0</v>
      </c>
      <c r="C1290" s="81"/>
      <c r="D1290" s="81"/>
      <c r="E1290" s="81"/>
      <c r="F1290" s="81"/>
      <c r="G1290" s="81"/>
      <c r="H1290" s="81"/>
      <c r="I1290" s="81"/>
      <c r="J1290" s="81"/>
      <c r="K1290" s="81"/>
      <c r="L1290" s="81"/>
      <c r="M1290" s="81"/>
      <c r="N1290" s="81"/>
      <c r="O1290" s="81"/>
      <c r="P1290" s="81"/>
      <c r="Q1290" s="81"/>
      <c r="R1290" s="81"/>
      <c r="S1290" s="81"/>
      <c r="T1290" s="81"/>
      <c r="U1290" s="81"/>
      <c r="V1290" s="94"/>
      <c r="W1290" s="94"/>
    </row>
    <row r="1291" spans="1:23" ht="21" customHeight="1">
      <c r="A1291">
        <f>Table4[[#This Row],[Column1]]</f>
        <v>0</v>
      </c>
      <c r="B1291">
        <f>Table4[[#This Row],[Column2]]</f>
        <v>0</v>
      </c>
      <c r="C1291" s="81"/>
      <c r="D1291" s="81"/>
      <c r="E1291" s="81"/>
      <c r="F1291" s="81"/>
      <c r="G1291" s="81"/>
      <c r="H1291" s="81"/>
      <c r="I1291" s="81"/>
      <c r="J1291" s="81"/>
      <c r="K1291" s="81"/>
      <c r="L1291" s="81"/>
      <c r="M1291" s="81"/>
      <c r="N1291" s="81"/>
      <c r="O1291" s="81"/>
      <c r="P1291" s="81"/>
      <c r="Q1291" s="81"/>
      <c r="R1291" s="81"/>
      <c r="S1291" s="81"/>
      <c r="T1291" s="81"/>
      <c r="U1291" s="81"/>
      <c r="V1291" s="94"/>
      <c r="W1291" s="94"/>
    </row>
    <row r="1292" spans="1:23" ht="21" customHeight="1">
      <c r="A1292">
        <f>Table4[[#This Row],[Column1]]</f>
        <v>0</v>
      </c>
      <c r="B1292">
        <f>Table4[[#This Row],[Column2]]</f>
        <v>0</v>
      </c>
      <c r="C1292" s="81"/>
      <c r="D1292" s="81"/>
      <c r="E1292" s="81"/>
      <c r="F1292" s="81"/>
      <c r="G1292" s="81"/>
      <c r="H1292" s="81"/>
      <c r="I1292" s="81"/>
      <c r="J1292" s="81"/>
      <c r="K1292" s="81"/>
      <c r="L1292" s="81"/>
      <c r="M1292" s="81"/>
      <c r="N1292" s="81"/>
      <c r="O1292" s="81"/>
      <c r="P1292" s="81"/>
      <c r="Q1292" s="81"/>
      <c r="R1292" s="81"/>
      <c r="S1292" s="81"/>
      <c r="T1292" s="81"/>
      <c r="U1292" s="81"/>
      <c r="V1292" s="94"/>
      <c r="W1292" s="94"/>
    </row>
    <row r="1293" spans="1:23" ht="21" customHeight="1">
      <c r="A1293">
        <f>Table4[[#This Row],[Column1]]</f>
        <v>0</v>
      </c>
      <c r="B1293">
        <f>Table4[[#This Row],[Column2]]</f>
        <v>0</v>
      </c>
      <c r="C1293" s="81"/>
      <c r="D1293" s="81"/>
      <c r="E1293" s="81"/>
      <c r="F1293" s="81"/>
      <c r="G1293" s="81"/>
      <c r="H1293" s="81"/>
      <c r="I1293" s="81"/>
      <c r="J1293" s="81"/>
      <c r="K1293" s="81"/>
      <c r="L1293" s="81"/>
      <c r="M1293" s="81"/>
      <c r="N1293" s="81"/>
      <c r="O1293" s="81"/>
      <c r="P1293" s="81"/>
      <c r="Q1293" s="81"/>
      <c r="R1293" s="81"/>
      <c r="S1293" s="81"/>
      <c r="T1293" s="81"/>
      <c r="U1293" s="81"/>
      <c r="V1293" s="94"/>
      <c r="W1293" s="94"/>
    </row>
    <row r="1294" spans="1:23" ht="21" customHeight="1">
      <c r="A1294">
        <f>Table4[[#This Row],[Column1]]</f>
        <v>0</v>
      </c>
      <c r="B1294">
        <f>Table4[[#This Row],[Column2]]</f>
        <v>0</v>
      </c>
      <c r="C1294" s="81"/>
      <c r="D1294" s="81"/>
      <c r="E1294" s="81"/>
      <c r="F1294" s="81"/>
      <c r="G1294" s="81"/>
      <c r="H1294" s="81"/>
      <c r="I1294" s="81"/>
      <c r="J1294" s="81"/>
      <c r="K1294" s="81"/>
      <c r="L1294" s="81"/>
      <c r="M1294" s="81"/>
      <c r="N1294" s="81"/>
      <c r="O1294" s="81"/>
      <c r="P1294" s="81"/>
      <c r="Q1294" s="81"/>
      <c r="R1294" s="81"/>
      <c r="S1294" s="81"/>
      <c r="T1294" s="81"/>
      <c r="U1294" s="81"/>
      <c r="V1294" s="94"/>
      <c r="W1294" s="94"/>
    </row>
    <row r="1295" spans="1:23" ht="21" customHeight="1">
      <c r="A1295">
        <f>Table4[[#This Row],[Column1]]</f>
        <v>0</v>
      </c>
      <c r="B1295">
        <f>Table4[[#This Row],[Column2]]</f>
        <v>0</v>
      </c>
      <c r="C1295" s="81"/>
      <c r="D1295" s="81"/>
      <c r="E1295" s="81"/>
      <c r="F1295" s="81"/>
      <c r="G1295" s="81"/>
      <c r="H1295" s="81"/>
      <c r="I1295" s="81"/>
      <c r="J1295" s="81"/>
      <c r="K1295" s="81"/>
      <c r="L1295" s="81"/>
      <c r="M1295" s="81"/>
      <c r="N1295" s="81"/>
      <c r="O1295" s="81"/>
      <c r="P1295" s="81"/>
      <c r="Q1295" s="81"/>
      <c r="R1295" s="81"/>
      <c r="S1295" s="81"/>
      <c r="T1295" s="81"/>
      <c r="U1295" s="81"/>
      <c r="V1295" s="94"/>
      <c r="W1295" s="94"/>
    </row>
    <row r="1296" spans="1:23" ht="21" customHeight="1">
      <c r="A1296">
        <f>Table4[[#This Row],[Column1]]</f>
        <v>0</v>
      </c>
      <c r="B1296">
        <f>Table4[[#This Row],[Column2]]</f>
        <v>0</v>
      </c>
      <c r="C1296" s="81"/>
      <c r="D1296" s="81"/>
      <c r="E1296" s="81"/>
      <c r="F1296" s="81"/>
      <c r="G1296" s="81"/>
      <c r="H1296" s="81"/>
      <c r="I1296" s="81"/>
      <c r="J1296" s="81"/>
      <c r="K1296" s="81"/>
      <c r="L1296" s="81"/>
      <c r="M1296" s="81"/>
      <c r="N1296" s="81"/>
      <c r="O1296" s="81"/>
      <c r="P1296" s="81"/>
      <c r="Q1296" s="81"/>
      <c r="R1296" s="81"/>
      <c r="S1296" s="81"/>
      <c r="T1296" s="81"/>
      <c r="U1296" s="81"/>
      <c r="V1296" s="94"/>
      <c r="W1296" s="94"/>
    </row>
    <row r="1297" spans="1:23" ht="21" customHeight="1">
      <c r="A1297">
        <f>Table4[[#This Row],[Column1]]</f>
        <v>0</v>
      </c>
      <c r="B1297">
        <f>Table4[[#This Row],[Column2]]</f>
        <v>0</v>
      </c>
      <c r="C1297" s="81"/>
      <c r="D1297" s="81"/>
      <c r="E1297" s="81"/>
      <c r="F1297" s="81"/>
      <c r="G1297" s="81"/>
      <c r="H1297" s="81"/>
      <c r="I1297" s="81"/>
      <c r="J1297" s="81"/>
      <c r="K1297" s="81"/>
      <c r="L1297" s="81"/>
      <c r="M1297" s="81"/>
      <c r="N1297" s="81"/>
      <c r="O1297" s="81"/>
      <c r="P1297" s="81"/>
      <c r="Q1297" s="81"/>
      <c r="R1297" s="81"/>
      <c r="S1297" s="81"/>
      <c r="T1297" s="81"/>
      <c r="U1297" s="81"/>
      <c r="V1297" s="94"/>
      <c r="W1297" s="94"/>
    </row>
    <row r="1298" spans="1:23" ht="21" customHeight="1">
      <c r="A1298">
        <f>Table4[[#This Row],[Column1]]</f>
        <v>0</v>
      </c>
      <c r="B1298">
        <f>Table4[[#This Row],[Column2]]</f>
        <v>0</v>
      </c>
      <c r="C1298" s="81"/>
      <c r="D1298" s="81"/>
      <c r="E1298" s="81"/>
      <c r="F1298" s="81"/>
      <c r="G1298" s="81"/>
      <c r="H1298" s="81"/>
      <c r="I1298" s="81"/>
      <c r="J1298" s="81"/>
      <c r="K1298" s="81"/>
      <c r="L1298" s="81"/>
      <c r="M1298" s="81"/>
      <c r="N1298" s="81"/>
      <c r="O1298" s="81"/>
      <c r="P1298" s="81"/>
      <c r="Q1298" s="81"/>
      <c r="R1298" s="81"/>
      <c r="S1298" s="81"/>
      <c r="T1298" s="81"/>
      <c r="U1298" s="81"/>
      <c r="V1298" s="94"/>
      <c r="W1298" s="94"/>
    </row>
    <row r="1299" spans="1:23" ht="21" customHeight="1">
      <c r="A1299">
        <f>Table4[[#This Row],[Column1]]</f>
        <v>0</v>
      </c>
      <c r="B1299">
        <f>Table4[[#This Row],[Column2]]</f>
        <v>0</v>
      </c>
      <c r="C1299" s="81"/>
      <c r="D1299" s="81"/>
      <c r="E1299" s="81"/>
      <c r="F1299" s="81"/>
      <c r="G1299" s="81"/>
      <c r="H1299" s="81"/>
      <c r="I1299" s="81"/>
      <c r="J1299" s="81"/>
      <c r="K1299" s="81"/>
      <c r="L1299" s="81"/>
      <c r="M1299" s="81"/>
      <c r="N1299" s="81"/>
      <c r="O1299" s="81"/>
      <c r="P1299" s="81"/>
      <c r="Q1299" s="81"/>
      <c r="R1299" s="81"/>
      <c r="S1299" s="81"/>
      <c r="T1299" s="81"/>
      <c r="U1299" s="81"/>
      <c r="V1299" s="94"/>
      <c r="W1299" s="94"/>
    </row>
    <row r="1300" spans="1:23" ht="21" customHeight="1">
      <c r="A1300">
        <f>Table4[[#This Row],[Column1]]</f>
        <v>0</v>
      </c>
      <c r="B1300">
        <f>Table4[[#This Row],[Column2]]</f>
        <v>0</v>
      </c>
      <c r="C1300" s="81"/>
      <c r="D1300" s="81"/>
      <c r="E1300" s="81"/>
      <c r="F1300" s="81"/>
      <c r="G1300" s="81"/>
      <c r="H1300" s="81"/>
      <c r="I1300" s="81"/>
      <c r="J1300" s="81"/>
      <c r="K1300" s="81"/>
      <c r="L1300" s="81"/>
      <c r="M1300" s="81"/>
      <c r="N1300" s="81"/>
      <c r="O1300" s="81"/>
      <c r="P1300" s="81"/>
      <c r="Q1300" s="81"/>
      <c r="R1300" s="81"/>
      <c r="S1300" s="81"/>
      <c r="T1300" s="81"/>
      <c r="U1300" s="81"/>
      <c r="V1300" s="94"/>
      <c r="W1300" s="94"/>
    </row>
    <row r="1301" spans="1:23" ht="21" customHeight="1">
      <c r="A1301">
        <f>Table4[[#This Row],[Column1]]</f>
        <v>0</v>
      </c>
      <c r="B1301">
        <f>Table4[[#This Row],[Column2]]</f>
        <v>0</v>
      </c>
      <c r="C1301" s="81"/>
      <c r="D1301" s="81"/>
      <c r="E1301" s="81"/>
      <c r="F1301" s="81"/>
      <c r="G1301" s="81"/>
      <c r="H1301" s="81"/>
      <c r="I1301" s="81"/>
      <c r="J1301" s="81"/>
      <c r="K1301" s="81"/>
      <c r="L1301" s="81"/>
      <c r="M1301" s="81"/>
      <c r="N1301" s="81"/>
      <c r="O1301" s="81"/>
      <c r="P1301" s="81"/>
      <c r="Q1301" s="81"/>
      <c r="R1301" s="81"/>
      <c r="S1301" s="81"/>
      <c r="T1301" s="81"/>
      <c r="U1301" s="81"/>
      <c r="V1301" s="94"/>
      <c r="W1301" s="94"/>
    </row>
    <row r="1302" spans="1:23" ht="21" customHeight="1">
      <c r="A1302">
        <f>Table4[[#This Row],[Column1]]</f>
        <v>0</v>
      </c>
      <c r="B1302">
        <f>Table4[[#This Row],[Column2]]</f>
        <v>0</v>
      </c>
      <c r="C1302" s="81"/>
      <c r="D1302" s="81"/>
      <c r="E1302" s="81"/>
      <c r="F1302" s="81"/>
      <c r="G1302" s="81"/>
      <c r="H1302" s="81"/>
      <c r="I1302" s="81"/>
      <c r="J1302" s="81"/>
      <c r="K1302" s="81"/>
      <c r="L1302" s="81"/>
      <c r="M1302" s="81"/>
      <c r="N1302" s="81"/>
      <c r="O1302" s="81"/>
      <c r="P1302" s="81"/>
      <c r="Q1302" s="81"/>
      <c r="R1302" s="81"/>
      <c r="S1302" s="81"/>
      <c r="T1302" s="81"/>
      <c r="U1302" s="81"/>
      <c r="V1302" s="94"/>
      <c r="W1302" s="94"/>
    </row>
    <row r="1303" spans="1:23" ht="21" customHeight="1">
      <c r="A1303">
        <f>Table4[[#This Row],[Column1]]</f>
        <v>0</v>
      </c>
      <c r="B1303">
        <f>Table4[[#This Row],[Column2]]</f>
        <v>0</v>
      </c>
      <c r="C1303" s="81"/>
      <c r="D1303" s="81"/>
      <c r="E1303" s="81"/>
      <c r="F1303" s="81"/>
      <c r="G1303" s="81"/>
      <c r="H1303" s="81"/>
      <c r="I1303" s="81"/>
      <c r="J1303" s="81"/>
      <c r="K1303" s="81"/>
      <c r="L1303" s="81"/>
      <c r="M1303" s="81"/>
      <c r="N1303" s="81"/>
      <c r="O1303" s="81"/>
      <c r="P1303" s="81"/>
      <c r="Q1303" s="81"/>
      <c r="R1303" s="81"/>
      <c r="S1303" s="81"/>
      <c r="T1303" s="81"/>
      <c r="U1303" s="81"/>
      <c r="V1303" s="94"/>
      <c r="W1303" s="94"/>
    </row>
    <row r="1304" spans="1:23" ht="21" customHeight="1">
      <c r="A1304">
        <f>Table4[[#This Row],[Column1]]</f>
        <v>0</v>
      </c>
      <c r="B1304">
        <f>Table4[[#This Row],[Column2]]</f>
        <v>0</v>
      </c>
      <c r="C1304" s="81"/>
      <c r="D1304" s="81"/>
      <c r="E1304" s="81"/>
      <c r="F1304" s="81"/>
      <c r="G1304" s="81"/>
      <c r="H1304" s="81"/>
      <c r="I1304" s="81"/>
      <c r="J1304" s="81"/>
      <c r="K1304" s="81"/>
      <c r="L1304" s="81"/>
      <c r="M1304" s="81"/>
      <c r="N1304" s="81"/>
      <c r="O1304" s="81"/>
      <c r="P1304" s="81"/>
      <c r="Q1304" s="81"/>
      <c r="R1304" s="81"/>
      <c r="S1304" s="81"/>
      <c r="T1304" s="81"/>
      <c r="U1304" s="81"/>
      <c r="V1304" s="94"/>
      <c r="W1304" s="94"/>
    </row>
    <row r="1305" spans="1:23" ht="21" customHeight="1">
      <c r="A1305">
        <f>Table4[[#This Row],[Column1]]</f>
        <v>0</v>
      </c>
      <c r="B1305">
        <f>Table4[[#This Row],[Column2]]</f>
        <v>0</v>
      </c>
      <c r="C1305" s="81"/>
      <c r="D1305" s="81"/>
      <c r="E1305" s="81"/>
      <c r="F1305" s="81"/>
      <c r="G1305" s="81"/>
      <c r="H1305" s="81"/>
      <c r="I1305" s="81"/>
      <c r="J1305" s="81"/>
      <c r="K1305" s="81"/>
      <c r="L1305" s="81"/>
      <c r="M1305" s="81"/>
      <c r="N1305" s="81"/>
      <c r="O1305" s="81"/>
      <c r="P1305" s="81"/>
      <c r="Q1305" s="81"/>
      <c r="R1305" s="81"/>
      <c r="S1305" s="81"/>
      <c r="T1305" s="81"/>
      <c r="U1305" s="81"/>
      <c r="V1305" s="94"/>
      <c r="W1305" s="94"/>
    </row>
    <row r="1306" spans="1:23" ht="21" customHeight="1">
      <c r="A1306">
        <f>Table4[[#This Row],[Column1]]</f>
        <v>0</v>
      </c>
      <c r="B1306">
        <f>Table4[[#This Row],[Column2]]</f>
        <v>0</v>
      </c>
      <c r="C1306" s="81"/>
      <c r="D1306" s="81"/>
      <c r="E1306" s="81"/>
      <c r="F1306" s="81"/>
      <c r="G1306" s="81"/>
      <c r="H1306" s="81"/>
      <c r="I1306" s="81"/>
      <c r="J1306" s="81"/>
      <c r="K1306" s="81"/>
      <c r="L1306" s="81"/>
      <c r="M1306" s="81"/>
      <c r="N1306" s="81"/>
      <c r="O1306" s="81"/>
      <c r="P1306" s="81"/>
      <c r="Q1306" s="81"/>
      <c r="R1306" s="81"/>
      <c r="S1306" s="81"/>
      <c r="T1306" s="81"/>
      <c r="U1306" s="81"/>
      <c r="V1306" s="94"/>
      <c r="W1306" s="94"/>
    </row>
    <row r="1307" spans="1:23" ht="21" customHeight="1">
      <c r="A1307">
        <f>Table4[[#This Row],[Column1]]</f>
        <v>0</v>
      </c>
      <c r="B1307">
        <f>Table4[[#This Row],[Column2]]</f>
        <v>0</v>
      </c>
      <c r="C1307" s="81"/>
      <c r="D1307" s="81"/>
      <c r="E1307" s="81"/>
      <c r="F1307" s="81"/>
      <c r="G1307" s="81"/>
      <c r="H1307" s="81"/>
      <c r="I1307" s="81"/>
      <c r="J1307" s="81"/>
      <c r="K1307" s="81"/>
      <c r="L1307" s="81"/>
      <c r="M1307" s="81"/>
      <c r="N1307" s="81"/>
      <c r="O1307" s="81"/>
      <c r="P1307" s="81"/>
      <c r="Q1307" s="81"/>
      <c r="R1307" s="81"/>
      <c r="S1307" s="81"/>
      <c r="T1307" s="81"/>
      <c r="U1307" s="81"/>
      <c r="V1307" s="94"/>
      <c r="W1307" s="94"/>
    </row>
    <row r="1308" spans="1:23" ht="21" customHeight="1">
      <c r="A1308">
        <f>Table4[[#This Row],[Column1]]</f>
        <v>0</v>
      </c>
      <c r="B1308">
        <f>Table4[[#This Row],[Column2]]</f>
        <v>0</v>
      </c>
      <c r="C1308" s="81"/>
      <c r="D1308" s="81"/>
      <c r="E1308" s="81"/>
      <c r="F1308" s="81"/>
      <c r="G1308" s="81"/>
      <c r="H1308" s="81"/>
      <c r="I1308" s="81"/>
      <c r="J1308" s="81"/>
      <c r="K1308" s="81"/>
      <c r="L1308" s="81"/>
      <c r="M1308" s="81"/>
      <c r="N1308" s="81"/>
      <c r="O1308" s="81"/>
      <c r="P1308" s="81"/>
      <c r="Q1308" s="81"/>
      <c r="R1308" s="81"/>
      <c r="S1308" s="81"/>
      <c r="T1308" s="81"/>
      <c r="U1308" s="81"/>
      <c r="V1308" s="94"/>
      <c r="W1308" s="94"/>
    </row>
    <row r="1309" spans="1:23" ht="21" customHeight="1">
      <c r="A1309">
        <f>Table4[[#This Row],[Column1]]</f>
        <v>0</v>
      </c>
      <c r="B1309">
        <f>Table4[[#This Row],[Column2]]</f>
        <v>0</v>
      </c>
      <c r="C1309" s="81"/>
      <c r="D1309" s="81"/>
      <c r="E1309" s="81"/>
      <c r="F1309" s="81"/>
      <c r="G1309" s="81"/>
      <c r="H1309" s="81"/>
      <c r="I1309" s="81"/>
      <c r="J1309" s="81"/>
      <c r="K1309" s="81"/>
      <c r="L1309" s="81"/>
      <c r="M1309" s="81"/>
      <c r="N1309" s="81"/>
      <c r="O1309" s="81"/>
      <c r="P1309" s="81"/>
      <c r="Q1309" s="81"/>
      <c r="R1309" s="81"/>
      <c r="S1309" s="81"/>
      <c r="T1309" s="81"/>
      <c r="U1309" s="81"/>
      <c r="V1309" s="94"/>
      <c r="W1309" s="94"/>
    </row>
    <row r="1310" spans="1:23" ht="21" customHeight="1">
      <c r="A1310">
        <f>Table4[[#This Row],[Column1]]</f>
        <v>0</v>
      </c>
      <c r="B1310">
        <f>Table4[[#This Row],[Column2]]</f>
        <v>0</v>
      </c>
      <c r="C1310" s="81"/>
      <c r="D1310" s="81"/>
      <c r="E1310" s="81"/>
      <c r="F1310" s="81"/>
      <c r="G1310" s="81"/>
      <c r="H1310" s="81"/>
      <c r="I1310" s="81"/>
      <c r="J1310" s="81"/>
      <c r="K1310" s="81"/>
      <c r="L1310" s="81"/>
      <c r="M1310" s="81"/>
      <c r="N1310" s="81"/>
      <c r="O1310" s="81"/>
      <c r="P1310" s="81"/>
      <c r="Q1310" s="81"/>
      <c r="R1310" s="81"/>
      <c r="S1310" s="81"/>
      <c r="T1310" s="81"/>
      <c r="U1310" s="81"/>
      <c r="V1310" s="94"/>
      <c r="W1310" s="94"/>
    </row>
    <row r="1311" spans="1:23" ht="21" customHeight="1">
      <c r="A1311">
        <f>Table4[[#This Row],[Column1]]</f>
        <v>0</v>
      </c>
      <c r="B1311">
        <f>Table4[[#This Row],[Column2]]</f>
        <v>0</v>
      </c>
      <c r="C1311" s="81"/>
      <c r="D1311" s="81"/>
      <c r="E1311" s="81"/>
      <c r="F1311" s="81"/>
      <c r="G1311" s="81"/>
      <c r="H1311" s="81"/>
      <c r="I1311" s="81"/>
      <c r="J1311" s="81"/>
      <c r="K1311" s="81"/>
      <c r="L1311" s="81"/>
      <c r="M1311" s="81"/>
      <c r="N1311" s="81"/>
      <c r="O1311" s="81"/>
      <c r="P1311" s="81"/>
      <c r="Q1311" s="81"/>
      <c r="R1311" s="81"/>
      <c r="S1311" s="81"/>
      <c r="T1311" s="81"/>
      <c r="U1311" s="81"/>
      <c r="V1311" s="94"/>
      <c r="W1311" s="94"/>
    </row>
    <row r="1312" spans="1:23" ht="21" customHeight="1">
      <c r="A1312">
        <f>Table4[[#This Row],[Column1]]</f>
        <v>0</v>
      </c>
      <c r="B1312">
        <f>Table4[[#This Row],[Column2]]</f>
        <v>0</v>
      </c>
      <c r="C1312" s="81"/>
      <c r="D1312" s="81"/>
      <c r="E1312" s="81"/>
      <c r="F1312" s="81"/>
      <c r="G1312" s="81"/>
      <c r="H1312" s="81"/>
      <c r="I1312" s="81"/>
      <c r="J1312" s="81"/>
      <c r="K1312" s="81"/>
      <c r="L1312" s="81"/>
      <c r="M1312" s="81"/>
      <c r="N1312" s="81"/>
      <c r="O1312" s="81"/>
      <c r="P1312" s="81"/>
      <c r="Q1312" s="81"/>
      <c r="R1312" s="81"/>
      <c r="S1312" s="81"/>
      <c r="T1312" s="81"/>
      <c r="U1312" s="81"/>
      <c r="V1312" s="94"/>
      <c r="W1312" s="94"/>
    </row>
    <row r="1313" spans="1:23" ht="21" customHeight="1">
      <c r="A1313">
        <f>Table4[[#This Row],[Column1]]</f>
        <v>0</v>
      </c>
      <c r="B1313">
        <f>Table4[[#This Row],[Column2]]</f>
        <v>0</v>
      </c>
      <c r="C1313" s="81"/>
      <c r="D1313" s="81"/>
      <c r="E1313" s="81"/>
      <c r="F1313" s="81"/>
      <c r="G1313" s="81"/>
      <c r="H1313" s="81"/>
      <c r="I1313" s="81"/>
      <c r="J1313" s="81"/>
      <c r="K1313" s="81"/>
      <c r="L1313" s="81"/>
      <c r="M1313" s="81"/>
      <c r="N1313" s="81"/>
      <c r="O1313" s="81"/>
      <c r="P1313" s="81"/>
      <c r="Q1313" s="81"/>
      <c r="R1313" s="81"/>
      <c r="S1313" s="81"/>
      <c r="T1313" s="81"/>
      <c r="U1313" s="81"/>
      <c r="V1313" s="94"/>
      <c r="W1313" s="94"/>
    </row>
    <row r="1314" spans="1:23" ht="21" customHeight="1">
      <c r="A1314">
        <f>Table4[[#This Row],[Column1]]</f>
        <v>0</v>
      </c>
      <c r="B1314">
        <f>Table4[[#This Row],[Column2]]</f>
        <v>0</v>
      </c>
      <c r="C1314" s="81"/>
      <c r="D1314" s="81"/>
      <c r="E1314" s="81"/>
      <c r="F1314" s="81"/>
      <c r="G1314" s="81"/>
      <c r="H1314" s="81"/>
      <c r="I1314" s="81"/>
      <c r="J1314" s="81"/>
      <c r="K1314" s="81"/>
      <c r="L1314" s="81"/>
      <c r="M1314" s="81"/>
      <c r="N1314" s="81"/>
      <c r="O1314" s="81"/>
      <c r="P1314" s="81"/>
      <c r="Q1314" s="81"/>
      <c r="R1314" s="81"/>
      <c r="S1314" s="81"/>
      <c r="T1314" s="81"/>
      <c r="U1314" s="81"/>
      <c r="V1314" s="94"/>
      <c r="W1314" s="94"/>
    </row>
    <row r="1315" spans="1:23" ht="21" customHeight="1">
      <c r="A1315">
        <f>Table4[[#This Row],[Column1]]</f>
        <v>0</v>
      </c>
      <c r="B1315">
        <f>Table4[[#This Row],[Column2]]</f>
        <v>0</v>
      </c>
      <c r="C1315" s="81"/>
      <c r="D1315" s="81"/>
      <c r="E1315" s="81"/>
      <c r="F1315" s="81"/>
      <c r="G1315" s="81"/>
      <c r="H1315" s="81"/>
      <c r="I1315" s="81"/>
      <c r="J1315" s="81"/>
      <c r="K1315" s="81"/>
      <c r="L1315" s="81"/>
      <c r="M1315" s="81"/>
      <c r="N1315" s="81"/>
      <c r="O1315" s="81"/>
      <c r="P1315" s="81"/>
      <c r="Q1315" s="81"/>
      <c r="R1315" s="81"/>
      <c r="S1315" s="81"/>
      <c r="T1315" s="81"/>
      <c r="U1315" s="81"/>
      <c r="V1315" s="94"/>
      <c r="W1315" s="94"/>
    </row>
    <row r="1316" spans="1:23" ht="21" customHeight="1">
      <c r="A1316">
        <f>Table4[[#This Row],[Column1]]</f>
        <v>0</v>
      </c>
      <c r="B1316">
        <f>Table4[[#This Row],[Column2]]</f>
        <v>0</v>
      </c>
      <c r="C1316" s="81"/>
      <c r="D1316" s="81"/>
      <c r="E1316" s="81"/>
      <c r="F1316" s="81"/>
      <c r="G1316" s="81"/>
      <c r="H1316" s="81"/>
      <c r="I1316" s="81"/>
      <c r="J1316" s="81"/>
      <c r="K1316" s="81"/>
      <c r="L1316" s="81"/>
      <c r="M1316" s="81"/>
      <c r="N1316" s="81"/>
      <c r="O1316" s="81"/>
      <c r="P1316" s="81"/>
      <c r="Q1316" s="81"/>
      <c r="R1316" s="81"/>
      <c r="S1316" s="81"/>
      <c r="T1316" s="81"/>
      <c r="U1316" s="81"/>
      <c r="V1316" s="94"/>
      <c r="W1316" s="94"/>
    </row>
    <row r="1317" spans="1:23" ht="21" customHeight="1">
      <c r="A1317">
        <f>Table4[[#This Row],[Column1]]</f>
        <v>0</v>
      </c>
      <c r="B1317">
        <f>Table4[[#This Row],[Column2]]</f>
        <v>0</v>
      </c>
      <c r="C1317" s="81"/>
      <c r="D1317" s="81"/>
      <c r="E1317" s="81"/>
      <c r="F1317" s="81"/>
      <c r="G1317" s="81"/>
      <c r="H1317" s="81"/>
      <c r="I1317" s="81"/>
      <c r="J1317" s="81"/>
      <c r="K1317" s="81"/>
      <c r="L1317" s="81"/>
      <c r="M1317" s="81"/>
      <c r="N1317" s="81"/>
      <c r="O1317" s="81"/>
      <c r="P1317" s="81"/>
      <c r="Q1317" s="81"/>
      <c r="R1317" s="81"/>
      <c r="S1317" s="81"/>
      <c r="T1317" s="81"/>
      <c r="U1317" s="81"/>
      <c r="V1317" s="94"/>
      <c r="W1317" s="94"/>
    </row>
    <row r="1318" spans="1:23" ht="21" customHeight="1">
      <c r="A1318">
        <f>Table4[[#This Row],[Column1]]</f>
        <v>0</v>
      </c>
      <c r="B1318">
        <f>Table4[[#This Row],[Column2]]</f>
        <v>0</v>
      </c>
      <c r="C1318" s="81"/>
      <c r="D1318" s="81"/>
      <c r="E1318" s="81"/>
      <c r="F1318" s="81"/>
      <c r="G1318" s="81"/>
      <c r="H1318" s="81"/>
      <c r="I1318" s="81"/>
      <c r="J1318" s="81"/>
      <c r="K1318" s="81"/>
      <c r="L1318" s="81"/>
      <c r="M1318" s="81"/>
      <c r="N1318" s="81"/>
      <c r="O1318" s="81"/>
      <c r="P1318" s="81"/>
      <c r="Q1318" s="81"/>
      <c r="R1318" s="81"/>
      <c r="S1318" s="81"/>
      <c r="T1318" s="81"/>
      <c r="U1318" s="81"/>
      <c r="V1318" s="94"/>
      <c r="W1318" s="94"/>
    </row>
    <row r="1319" spans="1:23" ht="21" customHeight="1">
      <c r="A1319">
        <f>Table4[[#This Row],[Column1]]</f>
        <v>0</v>
      </c>
      <c r="B1319">
        <f>Table4[[#This Row],[Column2]]</f>
        <v>0</v>
      </c>
      <c r="C1319" s="81"/>
      <c r="D1319" s="81"/>
      <c r="E1319" s="81"/>
      <c r="F1319" s="81"/>
      <c r="G1319" s="81"/>
      <c r="H1319" s="81"/>
      <c r="I1319" s="81"/>
      <c r="J1319" s="81"/>
      <c r="K1319" s="81"/>
      <c r="L1319" s="81"/>
      <c r="M1319" s="81"/>
      <c r="N1319" s="81"/>
      <c r="O1319" s="81"/>
      <c r="P1319" s="81"/>
      <c r="Q1319" s="81"/>
      <c r="R1319" s="81"/>
      <c r="S1319" s="81"/>
      <c r="T1319" s="81"/>
      <c r="U1319" s="81"/>
      <c r="V1319" s="94"/>
      <c r="W1319" s="94"/>
    </row>
    <row r="1320" spans="1:23" ht="21" customHeight="1">
      <c r="A1320">
        <f>Table4[[#This Row],[Column1]]</f>
        <v>0</v>
      </c>
      <c r="B1320">
        <f>Table4[[#This Row],[Column2]]</f>
        <v>0</v>
      </c>
      <c r="C1320" s="81"/>
      <c r="D1320" s="81"/>
      <c r="E1320" s="81"/>
      <c r="F1320" s="81"/>
      <c r="G1320" s="81"/>
      <c r="H1320" s="81"/>
      <c r="I1320" s="81"/>
      <c r="J1320" s="81"/>
      <c r="K1320" s="81"/>
      <c r="L1320" s="81"/>
      <c r="M1320" s="81"/>
      <c r="N1320" s="81"/>
      <c r="O1320" s="81"/>
      <c r="P1320" s="81"/>
      <c r="Q1320" s="81"/>
      <c r="R1320" s="81"/>
      <c r="S1320" s="81"/>
      <c r="T1320" s="81"/>
      <c r="U1320" s="81"/>
      <c r="V1320" s="94"/>
      <c r="W1320" s="94"/>
    </row>
    <row r="1321" spans="1:23" ht="21" customHeight="1">
      <c r="A1321">
        <f>Table4[[#This Row],[Column1]]</f>
        <v>0</v>
      </c>
      <c r="B1321">
        <f>Table4[[#This Row],[Column2]]</f>
        <v>0</v>
      </c>
      <c r="C1321" s="81"/>
      <c r="D1321" s="81"/>
      <c r="E1321" s="81"/>
      <c r="F1321" s="81"/>
      <c r="G1321" s="81"/>
      <c r="H1321" s="81"/>
      <c r="I1321" s="81"/>
      <c r="J1321" s="81"/>
      <c r="K1321" s="81"/>
      <c r="L1321" s="81"/>
      <c r="M1321" s="81"/>
      <c r="N1321" s="81"/>
      <c r="O1321" s="81"/>
      <c r="P1321" s="81"/>
      <c r="Q1321" s="81"/>
      <c r="R1321" s="81"/>
      <c r="S1321" s="81"/>
      <c r="T1321" s="81"/>
      <c r="U1321" s="81"/>
      <c r="V1321" s="94"/>
      <c r="W1321" s="94"/>
    </row>
    <row r="1322" spans="1:23" ht="21" customHeight="1">
      <c r="A1322">
        <f>Table4[[#This Row],[Column1]]</f>
        <v>0</v>
      </c>
      <c r="B1322">
        <f>Table4[[#This Row],[Column2]]</f>
        <v>0</v>
      </c>
      <c r="C1322" s="81"/>
      <c r="D1322" s="81"/>
      <c r="E1322" s="81"/>
      <c r="F1322" s="81"/>
      <c r="G1322" s="81"/>
      <c r="H1322" s="81"/>
      <c r="I1322" s="81"/>
      <c r="J1322" s="81"/>
      <c r="K1322" s="81"/>
      <c r="L1322" s="81"/>
      <c r="M1322" s="81"/>
      <c r="N1322" s="81"/>
      <c r="O1322" s="81"/>
      <c r="P1322" s="81"/>
      <c r="Q1322" s="81"/>
      <c r="R1322" s="81"/>
      <c r="S1322" s="81"/>
      <c r="T1322" s="81"/>
      <c r="U1322" s="81"/>
      <c r="V1322" s="94"/>
      <c r="W1322" s="94"/>
    </row>
    <row r="1323" spans="1:23" ht="21" customHeight="1">
      <c r="A1323">
        <f>Table4[[#This Row],[Column1]]</f>
        <v>0</v>
      </c>
      <c r="B1323">
        <f>Table4[[#This Row],[Column2]]</f>
        <v>0</v>
      </c>
      <c r="C1323" s="81"/>
      <c r="D1323" s="81"/>
      <c r="E1323" s="81"/>
      <c r="F1323" s="81"/>
      <c r="G1323" s="81"/>
      <c r="H1323" s="81"/>
      <c r="I1323" s="81"/>
      <c r="J1323" s="81"/>
      <c r="K1323" s="81"/>
      <c r="L1323" s="81"/>
      <c r="M1323" s="81"/>
      <c r="N1323" s="81"/>
      <c r="O1323" s="81"/>
      <c r="P1323" s="81"/>
      <c r="Q1323" s="81"/>
      <c r="R1323" s="81"/>
      <c r="S1323" s="81"/>
      <c r="T1323" s="81"/>
      <c r="U1323" s="81"/>
      <c r="V1323" s="94"/>
      <c r="W1323" s="94"/>
    </row>
    <row r="1324" spans="1:23" ht="21" customHeight="1">
      <c r="A1324">
        <f>Table4[[#This Row],[Column1]]</f>
        <v>0</v>
      </c>
      <c r="B1324">
        <f>Table4[[#This Row],[Column2]]</f>
        <v>0</v>
      </c>
      <c r="C1324" s="81"/>
      <c r="D1324" s="81"/>
      <c r="E1324" s="81"/>
      <c r="F1324" s="81"/>
      <c r="G1324" s="81"/>
      <c r="H1324" s="81"/>
      <c r="I1324" s="81"/>
      <c r="J1324" s="81"/>
      <c r="K1324" s="81"/>
      <c r="L1324" s="81"/>
      <c r="M1324" s="81"/>
      <c r="N1324" s="81"/>
      <c r="O1324" s="81"/>
      <c r="P1324" s="81"/>
      <c r="Q1324" s="81"/>
      <c r="R1324" s="81"/>
      <c r="S1324" s="81"/>
      <c r="T1324" s="81"/>
      <c r="U1324" s="81"/>
      <c r="V1324" s="94"/>
      <c r="W1324" s="94"/>
    </row>
    <row r="1325" spans="1:23" ht="21" customHeight="1">
      <c r="A1325">
        <f>Table4[[#This Row],[Column1]]</f>
        <v>0</v>
      </c>
      <c r="B1325">
        <f>Table4[[#This Row],[Column2]]</f>
        <v>0</v>
      </c>
      <c r="C1325" s="81"/>
      <c r="D1325" s="81"/>
      <c r="E1325" s="81"/>
      <c r="F1325" s="81"/>
      <c r="G1325" s="81"/>
      <c r="H1325" s="81"/>
      <c r="I1325" s="81"/>
      <c r="J1325" s="81"/>
      <c r="K1325" s="81"/>
      <c r="L1325" s="81"/>
      <c r="M1325" s="81"/>
      <c r="N1325" s="81"/>
      <c r="O1325" s="81"/>
      <c r="P1325" s="81"/>
      <c r="Q1325" s="81"/>
      <c r="R1325" s="81"/>
      <c r="S1325" s="81"/>
      <c r="T1325" s="81"/>
      <c r="U1325" s="81"/>
      <c r="V1325" s="94"/>
      <c r="W1325" s="94"/>
    </row>
    <row r="1326" spans="1:23" ht="21" customHeight="1">
      <c r="A1326">
        <f>Table4[[#This Row],[Column1]]</f>
        <v>0</v>
      </c>
      <c r="B1326">
        <f>Table4[[#This Row],[Column2]]</f>
        <v>0</v>
      </c>
      <c r="C1326" s="81"/>
      <c r="D1326" s="81"/>
      <c r="E1326" s="81"/>
      <c r="F1326" s="81"/>
      <c r="G1326" s="81"/>
      <c r="H1326" s="81"/>
      <c r="I1326" s="81"/>
      <c r="J1326" s="81"/>
      <c r="K1326" s="81"/>
      <c r="L1326" s="81"/>
      <c r="M1326" s="81"/>
      <c r="N1326" s="81"/>
      <c r="O1326" s="81"/>
      <c r="P1326" s="81"/>
      <c r="Q1326" s="81"/>
      <c r="R1326" s="81"/>
      <c r="S1326" s="81"/>
      <c r="T1326" s="81"/>
      <c r="U1326" s="81"/>
      <c r="V1326" s="94"/>
      <c r="W1326" s="94"/>
    </row>
    <row r="1327" spans="1:23" ht="21" customHeight="1">
      <c r="A1327">
        <f>Table4[[#This Row],[Column1]]</f>
        <v>0</v>
      </c>
      <c r="B1327">
        <f>Table4[[#This Row],[Column2]]</f>
        <v>0</v>
      </c>
      <c r="C1327" s="81"/>
      <c r="D1327" s="81"/>
      <c r="E1327" s="81"/>
      <c r="F1327" s="81"/>
      <c r="G1327" s="81"/>
      <c r="H1327" s="81"/>
      <c r="I1327" s="81"/>
      <c r="J1327" s="81"/>
      <c r="K1327" s="81"/>
      <c r="L1327" s="81"/>
      <c r="M1327" s="81"/>
      <c r="N1327" s="81"/>
      <c r="O1327" s="81"/>
      <c r="P1327" s="81"/>
      <c r="Q1327" s="81"/>
      <c r="R1327" s="81"/>
      <c r="S1327" s="81"/>
      <c r="T1327" s="81"/>
      <c r="U1327" s="81"/>
      <c r="V1327" s="94"/>
      <c r="W1327" s="94"/>
    </row>
    <row r="1328" spans="1:23" ht="21" customHeight="1">
      <c r="A1328">
        <f>Table4[[#This Row],[Column1]]</f>
        <v>0</v>
      </c>
      <c r="B1328">
        <f>Table4[[#This Row],[Column2]]</f>
        <v>0</v>
      </c>
      <c r="C1328" s="81"/>
      <c r="D1328" s="81"/>
      <c r="E1328" s="81"/>
      <c r="F1328" s="81"/>
      <c r="G1328" s="81"/>
      <c r="H1328" s="81"/>
      <c r="I1328" s="81"/>
      <c r="J1328" s="81"/>
      <c r="K1328" s="81"/>
      <c r="L1328" s="81"/>
      <c r="M1328" s="81"/>
      <c r="N1328" s="81"/>
      <c r="O1328" s="81"/>
      <c r="P1328" s="81"/>
      <c r="Q1328" s="81"/>
      <c r="R1328" s="81"/>
      <c r="S1328" s="81"/>
      <c r="T1328" s="81"/>
      <c r="U1328" s="81"/>
      <c r="V1328" s="94"/>
      <c r="W1328" s="94"/>
    </row>
    <row r="1329" spans="1:23" ht="21" customHeight="1">
      <c r="A1329">
        <f>Table4[[#This Row],[Column1]]</f>
        <v>0</v>
      </c>
      <c r="B1329">
        <f>Table4[[#This Row],[Column2]]</f>
        <v>0</v>
      </c>
      <c r="C1329" s="81"/>
      <c r="D1329" s="81"/>
      <c r="E1329" s="81"/>
      <c r="F1329" s="81"/>
      <c r="G1329" s="81"/>
      <c r="H1329" s="81"/>
      <c r="I1329" s="81"/>
      <c r="J1329" s="81"/>
      <c r="K1329" s="81"/>
      <c r="L1329" s="81"/>
      <c r="M1329" s="81"/>
      <c r="N1329" s="81"/>
      <c r="O1329" s="81"/>
      <c r="P1329" s="81"/>
      <c r="Q1329" s="81"/>
      <c r="R1329" s="81"/>
      <c r="S1329" s="81"/>
      <c r="T1329" s="81"/>
      <c r="U1329" s="81"/>
      <c r="V1329" s="94"/>
      <c r="W1329" s="94"/>
    </row>
    <row r="1330" spans="1:23" ht="21" customHeight="1">
      <c r="A1330">
        <f>Table4[[#This Row],[Column1]]</f>
        <v>0</v>
      </c>
      <c r="B1330">
        <f>Table4[[#This Row],[Column2]]</f>
        <v>0</v>
      </c>
      <c r="C1330" s="81"/>
      <c r="D1330" s="81"/>
      <c r="E1330" s="81"/>
      <c r="F1330" s="81"/>
      <c r="G1330" s="81"/>
      <c r="H1330" s="81"/>
      <c r="I1330" s="81"/>
      <c r="J1330" s="81"/>
      <c r="K1330" s="81"/>
      <c r="L1330" s="81"/>
      <c r="M1330" s="81"/>
      <c r="N1330" s="81"/>
      <c r="O1330" s="81"/>
      <c r="P1330" s="81"/>
      <c r="Q1330" s="81"/>
      <c r="R1330" s="81"/>
      <c r="S1330" s="81"/>
      <c r="T1330" s="81"/>
      <c r="U1330" s="81"/>
      <c r="V1330" s="94"/>
      <c r="W1330" s="94"/>
    </row>
    <row r="1331" spans="1:23" ht="21" customHeight="1">
      <c r="A1331">
        <f>Table4[[#This Row],[Column1]]</f>
        <v>0</v>
      </c>
      <c r="B1331">
        <f>Table4[[#This Row],[Column2]]</f>
        <v>0</v>
      </c>
      <c r="C1331" s="81"/>
      <c r="D1331" s="81"/>
      <c r="E1331" s="81"/>
      <c r="F1331" s="81"/>
      <c r="G1331" s="81"/>
      <c r="H1331" s="81"/>
      <c r="I1331" s="81"/>
      <c r="J1331" s="81"/>
      <c r="K1331" s="81"/>
      <c r="L1331" s="81"/>
      <c r="M1331" s="81"/>
      <c r="N1331" s="81"/>
      <c r="O1331" s="81"/>
      <c r="P1331" s="81"/>
      <c r="Q1331" s="81"/>
      <c r="R1331" s="81"/>
      <c r="S1331" s="81"/>
      <c r="T1331" s="81"/>
      <c r="U1331" s="81"/>
      <c r="V1331" s="94"/>
      <c r="W1331" s="94"/>
    </row>
    <row r="1332" spans="1:23" ht="21" customHeight="1">
      <c r="A1332">
        <f>Table4[[#This Row],[Column1]]</f>
        <v>0</v>
      </c>
      <c r="B1332">
        <f>Table4[[#This Row],[Column2]]</f>
        <v>0</v>
      </c>
      <c r="C1332" s="81"/>
      <c r="D1332" s="81"/>
      <c r="E1332" s="81"/>
      <c r="F1332" s="81"/>
      <c r="G1332" s="81"/>
      <c r="H1332" s="81"/>
      <c r="I1332" s="81"/>
      <c r="J1332" s="81"/>
      <c r="K1332" s="81"/>
      <c r="L1332" s="81"/>
      <c r="M1332" s="81"/>
      <c r="N1332" s="81"/>
      <c r="O1332" s="81"/>
      <c r="P1332" s="81"/>
      <c r="Q1332" s="81"/>
      <c r="R1332" s="81"/>
      <c r="S1332" s="81"/>
      <c r="T1332" s="81"/>
      <c r="U1332" s="81"/>
      <c r="V1332" s="94"/>
      <c r="W1332" s="94"/>
    </row>
    <row r="1333" spans="1:23" ht="21" customHeight="1">
      <c r="A1333">
        <f>Table4[[#This Row],[Column1]]</f>
        <v>0</v>
      </c>
      <c r="B1333">
        <f>Table4[[#This Row],[Column2]]</f>
        <v>0</v>
      </c>
      <c r="C1333" s="81"/>
      <c r="D1333" s="81"/>
      <c r="E1333" s="81"/>
      <c r="F1333" s="81"/>
      <c r="G1333" s="81"/>
      <c r="H1333" s="81"/>
      <c r="I1333" s="81"/>
      <c r="J1333" s="81"/>
      <c r="K1333" s="81"/>
      <c r="L1333" s="81"/>
      <c r="M1333" s="81"/>
      <c r="N1333" s="81"/>
      <c r="O1333" s="81"/>
      <c r="P1333" s="81"/>
      <c r="Q1333" s="81"/>
      <c r="R1333" s="81"/>
      <c r="S1333" s="81"/>
      <c r="T1333" s="81"/>
      <c r="U1333" s="81"/>
      <c r="V1333" s="94"/>
      <c r="W1333" s="94"/>
    </row>
    <row r="1334" spans="1:23" ht="21" customHeight="1">
      <c r="A1334">
        <f>Table4[[#This Row],[Column1]]</f>
        <v>0</v>
      </c>
      <c r="B1334">
        <f>Table4[[#This Row],[Column2]]</f>
        <v>0</v>
      </c>
      <c r="C1334" s="81"/>
      <c r="D1334" s="81"/>
      <c r="E1334" s="81"/>
      <c r="F1334" s="81"/>
      <c r="G1334" s="81"/>
      <c r="H1334" s="81"/>
      <c r="I1334" s="81"/>
      <c r="J1334" s="81"/>
      <c r="K1334" s="81"/>
      <c r="L1334" s="81"/>
      <c r="M1334" s="81"/>
      <c r="N1334" s="81"/>
      <c r="O1334" s="81"/>
      <c r="P1334" s="81"/>
      <c r="Q1334" s="81"/>
      <c r="R1334" s="81"/>
      <c r="S1334" s="81"/>
      <c r="T1334" s="81"/>
      <c r="U1334" s="81"/>
      <c r="V1334" s="94"/>
      <c r="W1334" s="94"/>
    </row>
    <row r="1335" spans="1:23" ht="21" customHeight="1">
      <c r="A1335">
        <f>Table4[[#This Row],[Column1]]</f>
        <v>0</v>
      </c>
      <c r="B1335">
        <f>Table4[[#This Row],[Column2]]</f>
        <v>0</v>
      </c>
      <c r="C1335" s="81"/>
      <c r="D1335" s="81"/>
      <c r="E1335" s="81"/>
      <c r="F1335" s="81"/>
      <c r="G1335" s="81"/>
      <c r="H1335" s="81"/>
      <c r="I1335" s="81"/>
      <c r="J1335" s="81"/>
      <c r="K1335" s="81"/>
      <c r="L1335" s="81"/>
      <c r="M1335" s="81"/>
      <c r="N1335" s="81"/>
      <c r="O1335" s="81"/>
      <c r="P1335" s="81"/>
      <c r="Q1335" s="81"/>
      <c r="R1335" s="81"/>
      <c r="S1335" s="81"/>
      <c r="T1335" s="81"/>
      <c r="U1335" s="81"/>
      <c r="V1335" s="94"/>
      <c r="W1335" s="94"/>
    </row>
    <row r="1336" spans="1:23" ht="21" customHeight="1">
      <c r="A1336">
        <f>Table4[[#This Row],[Column1]]</f>
        <v>0</v>
      </c>
      <c r="B1336">
        <f>Table4[[#This Row],[Column2]]</f>
        <v>0</v>
      </c>
      <c r="C1336" s="81"/>
      <c r="D1336" s="81"/>
      <c r="E1336" s="81"/>
      <c r="F1336" s="81"/>
      <c r="G1336" s="81"/>
      <c r="H1336" s="81"/>
      <c r="I1336" s="81"/>
      <c r="J1336" s="81"/>
      <c r="K1336" s="81"/>
      <c r="L1336" s="81"/>
      <c r="M1336" s="81"/>
      <c r="N1336" s="81"/>
      <c r="O1336" s="81"/>
      <c r="P1336" s="81"/>
      <c r="Q1336" s="81"/>
      <c r="R1336" s="81"/>
      <c r="S1336" s="81"/>
      <c r="T1336" s="81"/>
      <c r="U1336" s="81"/>
      <c r="V1336" s="94"/>
      <c r="W1336" s="94"/>
    </row>
    <row r="1337" spans="1:23" ht="21" customHeight="1">
      <c r="A1337">
        <f>Table4[[#This Row],[Column1]]</f>
        <v>0</v>
      </c>
      <c r="B1337">
        <f>Table4[[#This Row],[Column2]]</f>
        <v>0</v>
      </c>
      <c r="C1337" s="81"/>
      <c r="D1337" s="81"/>
      <c r="E1337" s="81"/>
      <c r="F1337" s="81"/>
      <c r="G1337" s="81"/>
      <c r="H1337" s="81"/>
      <c r="I1337" s="81"/>
      <c r="J1337" s="81"/>
      <c r="K1337" s="81"/>
      <c r="L1337" s="81"/>
      <c r="M1337" s="81"/>
      <c r="N1337" s="81"/>
      <c r="O1337" s="81"/>
      <c r="P1337" s="81"/>
      <c r="Q1337" s="81"/>
      <c r="R1337" s="81"/>
      <c r="S1337" s="81"/>
      <c r="T1337" s="81"/>
      <c r="U1337" s="81"/>
      <c r="V1337" s="94"/>
      <c r="W1337" s="94"/>
    </row>
    <row r="1338" spans="1:23" ht="21" customHeight="1">
      <c r="A1338">
        <f>Table4[[#This Row],[Column1]]</f>
        <v>0</v>
      </c>
      <c r="B1338">
        <f>Table4[[#This Row],[Column2]]</f>
        <v>0</v>
      </c>
      <c r="C1338" s="81"/>
      <c r="D1338" s="81"/>
      <c r="E1338" s="81"/>
      <c r="F1338" s="81"/>
      <c r="G1338" s="81"/>
      <c r="H1338" s="81"/>
      <c r="I1338" s="81"/>
      <c r="J1338" s="81"/>
      <c r="K1338" s="81"/>
      <c r="L1338" s="81"/>
      <c r="M1338" s="81"/>
      <c r="N1338" s="81"/>
      <c r="O1338" s="81"/>
      <c r="P1338" s="81"/>
      <c r="Q1338" s="81"/>
      <c r="R1338" s="81"/>
      <c r="S1338" s="81"/>
      <c r="T1338" s="81"/>
      <c r="U1338" s="81"/>
      <c r="V1338" s="94"/>
      <c r="W1338" s="94"/>
    </row>
    <row r="1339" spans="1:23" ht="21" customHeight="1">
      <c r="A1339">
        <f>Table4[[#This Row],[Column1]]</f>
        <v>0</v>
      </c>
      <c r="B1339">
        <f>Table4[[#This Row],[Column2]]</f>
        <v>0</v>
      </c>
      <c r="C1339" s="81"/>
      <c r="D1339" s="81"/>
      <c r="E1339" s="81"/>
      <c r="F1339" s="81"/>
      <c r="G1339" s="81"/>
      <c r="H1339" s="81"/>
      <c r="I1339" s="81"/>
      <c r="J1339" s="81"/>
      <c r="K1339" s="81"/>
      <c r="L1339" s="81"/>
      <c r="M1339" s="81"/>
      <c r="N1339" s="81"/>
      <c r="O1339" s="81"/>
      <c r="P1339" s="81"/>
      <c r="Q1339" s="81"/>
      <c r="R1339" s="81"/>
      <c r="S1339" s="81"/>
      <c r="T1339" s="81"/>
      <c r="U1339" s="81"/>
      <c r="V1339" s="94"/>
      <c r="W1339" s="94"/>
    </row>
    <row r="1340" spans="1:23" ht="21" customHeight="1">
      <c r="A1340">
        <f>Table4[[#This Row],[Column1]]</f>
        <v>0</v>
      </c>
      <c r="B1340">
        <f>Table4[[#This Row],[Column2]]</f>
        <v>0</v>
      </c>
      <c r="C1340" s="81"/>
      <c r="D1340" s="81"/>
      <c r="E1340" s="81"/>
      <c r="F1340" s="81"/>
      <c r="G1340" s="81"/>
      <c r="H1340" s="81"/>
      <c r="I1340" s="81"/>
      <c r="J1340" s="81"/>
      <c r="K1340" s="81"/>
      <c r="L1340" s="81"/>
      <c r="M1340" s="81"/>
      <c r="N1340" s="81"/>
      <c r="O1340" s="81"/>
      <c r="P1340" s="81"/>
      <c r="Q1340" s="81"/>
      <c r="R1340" s="81"/>
      <c r="S1340" s="81"/>
      <c r="T1340" s="81"/>
      <c r="U1340" s="81"/>
      <c r="V1340" s="94"/>
      <c r="W1340" s="94"/>
    </row>
    <row r="1341" spans="1:23" ht="21" customHeight="1">
      <c r="A1341">
        <f>Table4[[#This Row],[Column1]]</f>
        <v>0</v>
      </c>
      <c r="B1341">
        <f>Table4[[#This Row],[Column2]]</f>
        <v>0</v>
      </c>
      <c r="C1341" s="81"/>
      <c r="D1341" s="81"/>
      <c r="E1341" s="81"/>
      <c r="F1341" s="81"/>
      <c r="G1341" s="81"/>
      <c r="H1341" s="81"/>
      <c r="I1341" s="81"/>
      <c r="J1341" s="81"/>
      <c r="K1341" s="81"/>
      <c r="L1341" s="81"/>
      <c r="M1341" s="81"/>
      <c r="N1341" s="81"/>
      <c r="O1341" s="81"/>
      <c r="P1341" s="81"/>
      <c r="Q1341" s="81"/>
      <c r="R1341" s="81"/>
      <c r="S1341" s="81"/>
      <c r="T1341" s="81"/>
      <c r="U1341" s="81"/>
      <c r="V1341" s="94"/>
      <c r="W1341" s="94"/>
    </row>
    <row r="1342" spans="1:23" ht="21" customHeight="1">
      <c r="A1342">
        <f>Table4[[#This Row],[Column1]]</f>
        <v>0</v>
      </c>
      <c r="B1342">
        <f>Table4[[#This Row],[Column2]]</f>
        <v>0</v>
      </c>
      <c r="C1342" s="81"/>
      <c r="D1342" s="81"/>
      <c r="E1342" s="81"/>
      <c r="F1342" s="81"/>
      <c r="G1342" s="81"/>
      <c r="H1342" s="81"/>
      <c r="I1342" s="81"/>
      <c r="J1342" s="81"/>
      <c r="K1342" s="81"/>
      <c r="L1342" s="81"/>
      <c r="M1342" s="81"/>
      <c r="N1342" s="81"/>
      <c r="O1342" s="81"/>
      <c r="P1342" s="81"/>
      <c r="Q1342" s="81"/>
      <c r="R1342" s="81"/>
      <c r="S1342" s="81"/>
      <c r="T1342" s="81"/>
      <c r="U1342" s="81"/>
      <c r="V1342" s="94"/>
      <c r="W1342" s="94"/>
    </row>
    <row r="1343" spans="1:23" ht="21" customHeight="1">
      <c r="A1343">
        <f>Table4[[#This Row],[Column1]]</f>
        <v>0</v>
      </c>
      <c r="B1343">
        <f>Table4[[#This Row],[Column2]]</f>
        <v>0</v>
      </c>
      <c r="C1343" s="81"/>
      <c r="D1343" s="81"/>
      <c r="E1343" s="81"/>
      <c r="F1343" s="81"/>
      <c r="G1343" s="81"/>
      <c r="H1343" s="81"/>
      <c r="I1343" s="81"/>
      <c r="J1343" s="81"/>
      <c r="K1343" s="81"/>
      <c r="L1343" s="81"/>
      <c r="M1343" s="81"/>
      <c r="N1343" s="81"/>
      <c r="O1343" s="81"/>
      <c r="P1343" s="81"/>
      <c r="Q1343" s="81"/>
      <c r="R1343" s="81"/>
      <c r="S1343" s="81"/>
      <c r="T1343" s="81"/>
      <c r="U1343" s="81"/>
      <c r="V1343" s="94"/>
      <c r="W1343" s="94"/>
    </row>
    <row r="1344" spans="1:23" ht="21" customHeight="1">
      <c r="A1344">
        <f>Table4[[#This Row],[Column1]]</f>
        <v>0</v>
      </c>
      <c r="B1344">
        <f>Table4[[#This Row],[Column2]]</f>
        <v>0</v>
      </c>
      <c r="C1344" s="81"/>
      <c r="D1344" s="81"/>
      <c r="E1344" s="81"/>
      <c r="F1344" s="81"/>
      <c r="G1344" s="81"/>
      <c r="H1344" s="81"/>
      <c r="I1344" s="81"/>
      <c r="J1344" s="81"/>
      <c r="K1344" s="81"/>
      <c r="L1344" s="81"/>
      <c r="M1344" s="81"/>
      <c r="N1344" s="81"/>
      <c r="O1344" s="81"/>
      <c r="P1344" s="81"/>
      <c r="Q1344" s="81"/>
      <c r="R1344" s="81"/>
      <c r="S1344" s="81"/>
      <c r="T1344" s="81"/>
      <c r="U1344" s="81"/>
      <c r="V1344" s="94"/>
      <c r="W1344" s="94"/>
    </row>
    <row r="1345" spans="1:23" ht="21" customHeight="1">
      <c r="A1345">
        <f>Table4[[#This Row],[Column1]]</f>
        <v>0</v>
      </c>
      <c r="B1345">
        <f>Table4[[#This Row],[Column2]]</f>
        <v>0</v>
      </c>
      <c r="C1345" s="81"/>
      <c r="D1345" s="81"/>
      <c r="E1345" s="81"/>
      <c r="F1345" s="81"/>
      <c r="G1345" s="81"/>
      <c r="H1345" s="81"/>
      <c r="I1345" s="81"/>
      <c r="J1345" s="81"/>
      <c r="K1345" s="81"/>
      <c r="L1345" s="81"/>
      <c r="M1345" s="81"/>
      <c r="N1345" s="81"/>
      <c r="O1345" s="81"/>
      <c r="P1345" s="81"/>
      <c r="Q1345" s="81"/>
      <c r="R1345" s="81"/>
      <c r="S1345" s="81"/>
      <c r="T1345" s="81"/>
      <c r="U1345" s="81"/>
      <c r="V1345" s="94"/>
      <c r="W1345" s="94"/>
    </row>
    <row r="1346" spans="1:23" ht="21" customHeight="1">
      <c r="A1346">
        <f>Table4[[#This Row],[Column1]]</f>
        <v>0</v>
      </c>
      <c r="B1346">
        <f>Table4[[#This Row],[Column2]]</f>
        <v>0</v>
      </c>
      <c r="C1346" s="81"/>
      <c r="D1346" s="81"/>
      <c r="E1346" s="81"/>
      <c r="F1346" s="81"/>
      <c r="G1346" s="81"/>
      <c r="H1346" s="81"/>
      <c r="I1346" s="81"/>
      <c r="J1346" s="81"/>
      <c r="K1346" s="81"/>
      <c r="L1346" s="81"/>
      <c r="M1346" s="81"/>
      <c r="N1346" s="81"/>
      <c r="O1346" s="81"/>
      <c r="P1346" s="81"/>
      <c r="Q1346" s="81"/>
      <c r="R1346" s="81"/>
      <c r="S1346" s="81"/>
      <c r="T1346" s="81"/>
      <c r="U1346" s="81"/>
      <c r="V1346" s="94"/>
      <c r="W1346" s="94"/>
    </row>
    <row r="1347" spans="1:23" ht="21" customHeight="1">
      <c r="A1347">
        <f>Table4[[#This Row],[Column1]]</f>
        <v>0</v>
      </c>
      <c r="B1347">
        <f>Table4[[#This Row],[Column2]]</f>
        <v>0</v>
      </c>
      <c r="C1347" s="81"/>
      <c r="D1347" s="81"/>
      <c r="E1347" s="81"/>
      <c r="F1347" s="81"/>
      <c r="G1347" s="81"/>
      <c r="H1347" s="81"/>
      <c r="I1347" s="81"/>
      <c r="J1347" s="81"/>
      <c r="K1347" s="81"/>
      <c r="L1347" s="81"/>
      <c r="M1347" s="81"/>
      <c r="N1347" s="81"/>
      <c r="O1347" s="81"/>
      <c r="P1347" s="81"/>
      <c r="Q1347" s="81"/>
      <c r="R1347" s="81"/>
      <c r="S1347" s="81"/>
      <c r="T1347" s="81"/>
      <c r="U1347" s="81"/>
      <c r="V1347" s="94"/>
      <c r="W1347" s="94"/>
    </row>
    <row r="1348" spans="1:23" ht="21" customHeight="1">
      <c r="A1348">
        <f>Table4[[#This Row],[Column1]]</f>
        <v>0</v>
      </c>
      <c r="B1348">
        <f>Table4[[#This Row],[Column2]]</f>
        <v>0</v>
      </c>
      <c r="C1348" s="81"/>
      <c r="D1348" s="81"/>
      <c r="E1348" s="81"/>
      <c r="F1348" s="81"/>
      <c r="G1348" s="81"/>
      <c r="H1348" s="81"/>
      <c r="I1348" s="81"/>
      <c r="J1348" s="81"/>
      <c r="K1348" s="81"/>
      <c r="L1348" s="81"/>
      <c r="M1348" s="81"/>
      <c r="N1348" s="81"/>
      <c r="O1348" s="81"/>
      <c r="P1348" s="81"/>
      <c r="Q1348" s="81"/>
      <c r="R1348" s="81"/>
      <c r="S1348" s="81"/>
      <c r="T1348" s="81"/>
      <c r="U1348" s="81"/>
      <c r="V1348" s="94"/>
      <c r="W1348" s="94"/>
    </row>
    <row r="1349" spans="1:23" ht="21" customHeight="1">
      <c r="A1349">
        <f>Table4[[#This Row],[Column1]]</f>
        <v>0</v>
      </c>
      <c r="B1349">
        <f>Table4[[#This Row],[Column2]]</f>
        <v>0</v>
      </c>
      <c r="C1349" s="81"/>
      <c r="D1349" s="81"/>
      <c r="E1349" s="81"/>
      <c r="F1349" s="81"/>
      <c r="G1349" s="81"/>
      <c r="H1349" s="81"/>
      <c r="I1349" s="81"/>
      <c r="J1349" s="81"/>
      <c r="K1349" s="81"/>
      <c r="L1349" s="81"/>
      <c r="M1349" s="81"/>
      <c r="N1349" s="81"/>
      <c r="O1349" s="81"/>
      <c r="P1349" s="81"/>
      <c r="Q1349" s="81"/>
      <c r="R1349" s="81"/>
      <c r="S1349" s="81"/>
      <c r="T1349" s="81"/>
      <c r="U1349" s="81"/>
      <c r="V1349" s="94"/>
      <c r="W1349" s="94"/>
    </row>
    <row r="1350" spans="1:23" ht="21" customHeight="1">
      <c r="A1350">
        <f>Table4[[#This Row],[Column1]]</f>
        <v>0</v>
      </c>
      <c r="B1350">
        <f>Table4[[#This Row],[Column2]]</f>
        <v>0</v>
      </c>
      <c r="C1350" s="81"/>
      <c r="D1350" s="81"/>
      <c r="E1350" s="81"/>
      <c r="F1350" s="81"/>
      <c r="G1350" s="81"/>
      <c r="H1350" s="81"/>
      <c r="I1350" s="81"/>
      <c r="J1350" s="81"/>
      <c r="K1350" s="81"/>
      <c r="L1350" s="81"/>
      <c r="M1350" s="81"/>
      <c r="N1350" s="81"/>
      <c r="O1350" s="81"/>
      <c r="P1350" s="81"/>
      <c r="Q1350" s="81"/>
      <c r="R1350" s="81"/>
      <c r="S1350" s="81"/>
      <c r="T1350" s="81"/>
      <c r="U1350" s="81"/>
      <c r="V1350" s="94"/>
      <c r="W1350" s="94"/>
    </row>
    <row r="1351" spans="1:23" ht="21" customHeight="1">
      <c r="A1351">
        <f>Table4[[#This Row],[Column1]]</f>
        <v>0</v>
      </c>
      <c r="B1351">
        <f>Table4[[#This Row],[Column2]]</f>
        <v>0</v>
      </c>
      <c r="C1351" s="81"/>
      <c r="D1351" s="81"/>
      <c r="E1351" s="81"/>
      <c r="F1351" s="81"/>
      <c r="G1351" s="81"/>
      <c r="H1351" s="81"/>
      <c r="I1351" s="81"/>
      <c r="J1351" s="81"/>
      <c r="K1351" s="81"/>
      <c r="L1351" s="81"/>
      <c r="M1351" s="81"/>
      <c r="N1351" s="81"/>
      <c r="O1351" s="81"/>
      <c r="P1351" s="81"/>
      <c r="Q1351" s="81"/>
      <c r="R1351" s="81"/>
      <c r="S1351" s="81"/>
      <c r="T1351" s="81"/>
      <c r="U1351" s="81"/>
      <c r="V1351" s="94"/>
      <c r="W1351" s="94"/>
    </row>
    <row r="1352" spans="1:23" ht="21" customHeight="1">
      <c r="A1352">
        <f>Table4[[#This Row],[Column1]]</f>
        <v>0</v>
      </c>
      <c r="B1352">
        <f>Table4[[#This Row],[Column2]]</f>
        <v>0</v>
      </c>
      <c r="C1352" s="81"/>
      <c r="D1352" s="81"/>
      <c r="E1352" s="81"/>
      <c r="F1352" s="81"/>
      <c r="G1352" s="81"/>
      <c r="H1352" s="81"/>
      <c r="I1352" s="81"/>
      <c r="J1352" s="81"/>
      <c r="K1352" s="81"/>
      <c r="L1352" s="81"/>
      <c r="M1352" s="81"/>
      <c r="N1352" s="81"/>
      <c r="O1352" s="81"/>
      <c r="P1352" s="81"/>
      <c r="Q1352" s="81"/>
      <c r="R1352" s="81"/>
      <c r="S1352" s="81"/>
      <c r="T1352" s="81"/>
      <c r="U1352" s="81"/>
      <c r="V1352" s="94"/>
      <c r="W1352" s="94"/>
    </row>
    <row r="1353" spans="1:23" ht="21" customHeight="1">
      <c r="A1353">
        <f>Table4[[#This Row],[Column1]]</f>
        <v>0</v>
      </c>
      <c r="B1353">
        <f>Table4[[#This Row],[Column2]]</f>
        <v>0</v>
      </c>
      <c r="C1353" s="81"/>
      <c r="D1353" s="81"/>
      <c r="E1353" s="81"/>
      <c r="F1353" s="81"/>
      <c r="G1353" s="81"/>
      <c r="H1353" s="81"/>
      <c r="I1353" s="81"/>
      <c r="J1353" s="81"/>
      <c r="K1353" s="81"/>
      <c r="L1353" s="81"/>
      <c r="M1353" s="81"/>
      <c r="N1353" s="81"/>
      <c r="O1353" s="81"/>
      <c r="P1353" s="81"/>
      <c r="Q1353" s="81"/>
      <c r="R1353" s="81"/>
      <c r="S1353" s="81"/>
      <c r="T1353" s="81"/>
      <c r="U1353" s="81"/>
      <c r="V1353" s="94"/>
      <c r="W1353" s="94"/>
    </row>
    <row r="1354" spans="1:23" ht="21" customHeight="1">
      <c r="A1354">
        <f>Table4[[#This Row],[Column1]]</f>
        <v>0</v>
      </c>
      <c r="B1354">
        <f>Table4[[#This Row],[Column2]]</f>
        <v>0</v>
      </c>
      <c r="C1354" s="81"/>
      <c r="D1354" s="81"/>
      <c r="E1354" s="81"/>
      <c r="F1354" s="81"/>
      <c r="G1354" s="81"/>
      <c r="H1354" s="81"/>
      <c r="I1354" s="81"/>
      <c r="J1354" s="81"/>
      <c r="K1354" s="81"/>
      <c r="L1354" s="81"/>
      <c r="M1354" s="81"/>
      <c r="N1354" s="81"/>
      <c r="O1354" s="81"/>
      <c r="P1354" s="81"/>
      <c r="Q1354" s="81"/>
      <c r="R1354" s="81"/>
      <c r="S1354" s="81"/>
      <c r="T1354" s="81"/>
      <c r="U1354" s="81"/>
      <c r="V1354" s="94"/>
      <c r="W1354" s="94"/>
    </row>
    <row r="1355" spans="1:23" ht="21" customHeight="1">
      <c r="A1355">
        <f>Table4[[#This Row],[Column1]]</f>
        <v>0</v>
      </c>
      <c r="B1355">
        <f>Table4[[#This Row],[Column2]]</f>
        <v>0</v>
      </c>
      <c r="C1355" s="81"/>
      <c r="D1355" s="81"/>
      <c r="E1355" s="81"/>
      <c r="F1355" s="81"/>
      <c r="G1355" s="81"/>
      <c r="H1355" s="81"/>
      <c r="I1355" s="81"/>
      <c r="J1355" s="81"/>
      <c r="K1355" s="81"/>
      <c r="L1355" s="81"/>
      <c r="M1355" s="81"/>
      <c r="N1355" s="81"/>
      <c r="O1355" s="81"/>
      <c r="P1355" s="81"/>
      <c r="Q1355" s="81"/>
      <c r="R1355" s="81"/>
      <c r="S1355" s="81"/>
      <c r="T1355" s="81"/>
      <c r="U1355" s="81"/>
      <c r="V1355" s="94"/>
      <c r="W1355" s="94"/>
    </row>
    <row r="1356" spans="1:23" ht="21" customHeight="1">
      <c r="A1356">
        <f>Table4[[#This Row],[Column1]]</f>
        <v>0</v>
      </c>
      <c r="B1356">
        <f>Table4[[#This Row],[Column2]]</f>
        <v>0</v>
      </c>
      <c r="C1356" s="81"/>
      <c r="D1356" s="81"/>
      <c r="E1356" s="81"/>
      <c r="F1356" s="81"/>
      <c r="G1356" s="81"/>
      <c r="H1356" s="81"/>
      <c r="I1356" s="81"/>
      <c r="J1356" s="81"/>
      <c r="K1356" s="81"/>
      <c r="L1356" s="81"/>
      <c r="M1356" s="81"/>
      <c r="N1356" s="81"/>
      <c r="O1356" s="81"/>
      <c r="P1356" s="81"/>
      <c r="Q1356" s="81"/>
      <c r="R1356" s="81"/>
      <c r="S1356" s="81"/>
      <c r="T1356" s="81"/>
      <c r="U1356" s="81"/>
      <c r="V1356" s="94"/>
      <c r="W1356" s="94"/>
    </row>
    <row r="1357" spans="1:23" ht="21" customHeight="1">
      <c r="A1357">
        <f>Table4[[#This Row],[Column1]]</f>
        <v>0</v>
      </c>
      <c r="B1357">
        <f>Table4[[#This Row],[Column2]]</f>
        <v>0</v>
      </c>
      <c r="C1357" s="81"/>
      <c r="D1357" s="81"/>
      <c r="E1357" s="81"/>
      <c r="F1357" s="81"/>
      <c r="G1357" s="81"/>
      <c r="H1357" s="81"/>
      <c r="I1357" s="81"/>
      <c r="J1357" s="81"/>
      <c r="K1357" s="81"/>
      <c r="L1357" s="81"/>
      <c r="M1357" s="81"/>
      <c r="N1357" s="81"/>
      <c r="O1357" s="81"/>
      <c r="P1357" s="81"/>
      <c r="Q1357" s="81"/>
      <c r="R1357" s="81"/>
      <c r="S1357" s="81"/>
      <c r="T1357" s="81"/>
      <c r="U1357" s="81"/>
      <c r="V1357" s="94"/>
      <c r="W1357" s="94"/>
    </row>
    <row r="1358" spans="1:23" ht="21" customHeight="1">
      <c r="A1358">
        <f>Table4[[#This Row],[Column1]]</f>
        <v>0</v>
      </c>
      <c r="B1358">
        <f>Table4[[#This Row],[Column2]]</f>
        <v>0</v>
      </c>
      <c r="C1358" s="81"/>
      <c r="D1358" s="81"/>
      <c r="E1358" s="81"/>
      <c r="F1358" s="81"/>
      <c r="G1358" s="81"/>
      <c r="H1358" s="81"/>
      <c r="I1358" s="81"/>
      <c r="J1358" s="81"/>
      <c r="K1358" s="81"/>
      <c r="L1358" s="81"/>
      <c r="M1358" s="81"/>
      <c r="N1358" s="81"/>
      <c r="O1358" s="81"/>
      <c r="P1358" s="81"/>
      <c r="Q1358" s="81"/>
      <c r="R1358" s="81"/>
      <c r="S1358" s="81"/>
      <c r="T1358" s="81"/>
      <c r="U1358" s="81"/>
      <c r="V1358" s="94"/>
      <c r="W1358" s="94"/>
    </row>
    <row r="1359" spans="1:23" ht="21" customHeight="1">
      <c r="A1359">
        <f>Table4[[#This Row],[Column1]]</f>
        <v>0</v>
      </c>
      <c r="B1359">
        <f>Table4[[#This Row],[Column2]]</f>
        <v>0</v>
      </c>
      <c r="C1359" s="81"/>
      <c r="D1359" s="81"/>
      <c r="E1359" s="81"/>
      <c r="F1359" s="81"/>
      <c r="G1359" s="81"/>
      <c r="H1359" s="81"/>
      <c r="I1359" s="81"/>
      <c r="J1359" s="81"/>
      <c r="K1359" s="81"/>
      <c r="L1359" s="81"/>
      <c r="M1359" s="81"/>
      <c r="N1359" s="81"/>
      <c r="O1359" s="81"/>
      <c r="P1359" s="81"/>
      <c r="Q1359" s="81"/>
      <c r="R1359" s="81"/>
      <c r="S1359" s="81"/>
      <c r="T1359" s="81"/>
      <c r="U1359" s="81"/>
      <c r="V1359" s="94"/>
      <c r="W1359" s="94"/>
    </row>
    <row r="1360" spans="1:23" ht="21" customHeight="1">
      <c r="A1360">
        <f>Table4[[#This Row],[Column1]]</f>
        <v>0</v>
      </c>
      <c r="B1360">
        <f>Table4[[#This Row],[Column2]]</f>
        <v>0</v>
      </c>
      <c r="C1360" s="81"/>
      <c r="D1360" s="81"/>
      <c r="E1360" s="81"/>
      <c r="F1360" s="81"/>
      <c r="G1360" s="81"/>
      <c r="H1360" s="81"/>
      <c r="I1360" s="81"/>
      <c r="J1360" s="81"/>
      <c r="K1360" s="81"/>
      <c r="L1360" s="81"/>
      <c r="M1360" s="81"/>
      <c r="N1360" s="81"/>
      <c r="O1360" s="81"/>
      <c r="P1360" s="81"/>
      <c r="Q1360" s="81"/>
      <c r="R1360" s="81"/>
      <c r="S1360" s="81"/>
      <c r="T1360" s="81"/>
      <c r="U1360" s="81"/>
      <c r="V1360" s="94"/>
      <c r="W1360" s="94"/>
    </row>
    <row r="1361" spans="1:23" ht="21" customHeight="1">
      <c r="A1361">
        <f>Table4[[#This Row],[Column1]]</f>
        <v>0</v>
      </c>
      <c r="B1361">
        <f>Table4[[#This Row],[Column2]]</f>
        <v>0</v>
      </c>
      <c r="C1361" s="81"/>
      <c r="D1361" s="81"/>
      <c r="E1361" s="81"/>
      <c r="F1361" s="81"/>
      <c r="G1361" s="81"/>
      <c r="H1361" s="81"/>
      <c r="I1361" s="81"/>
      <c r="J1361" s="81"/>
      <c r="K1361" s="81"/>
      <c r="L1361" s="81"/>
      <c r="M1361" s="81"/>
      <c r="N1361" s="81"/>
      <c r="O1361" s="81"/>
      <c r="P1361" s="81"/>
      <c r="Q1361" s="81"/>
      <c r="R1361" s="81"/>
      <c r="S1361" s="81"/>
      <c r="T1361" s="81"/>
      <c r="U1361" s="81"/>
      <c r="V1361" s="94"/>
      <c r="W1361" s="94"/>
    </row>
    <row r="1362" spans="1:23" ht="21" customHeight="1">
      <c r="A1362">
        <f>Table4[[#This Row],[Column1]]</f>
        <v>0</v>
      </c>
      <c r="B1362">
        <f>Table4[[#This Row],[Column2]]</f>
        <v>0</v>
      </c>
      <c r="C1362" s="81"/>
      <c r="D1362" s="81"/>
      <c r="E1362" s="81"/>
      <c r="F1362" s="81"/>
      <c r="G1362" s="81"/>
      <c r="H1362" s="81"/>
      <c r="I1362" s="81"/>
      <c r="J1362" s="81"/>
      <c r="K1362" s="81"/>
      <c r="L1362" s="81"/>
      <c r="M1362" s="81"/>
      <c r="N1362" s="81"/>
      <c r="O1362" s="81"/>
      <c r="P1362" s="81"/>
      <c r="Q1362" s="81"/>
      <c r="R1362" s="81"/>
      <c r="S1362" s="81"/>
      <c r="T1362" s="81"/>
      <c r="U1362" s="81"/>
      <c r="V1362" s="94"/>
      <c r="W1362" s="94"/>
    </row>
    <row r="1363" spans="1:23" ht="21" customHeight="1">
      <c r="A1363">
        <f>Table4[[#This Row],[Column1]]</f>
        <v>0</v>
      </c>
      <c r="B1363">
        <f>Table4[[#This Row],[Column2]]</f>
        <v>0</v>
      </c>
      <c r="C1363" s="81"/>
      <c r="D1363" s="81"/>
      <c r="E1363" s="81"/>
      <c r="F1363" s="81"/>
      <c r="G1363" s="81"/>
      <c r="H1363" s="81"/>
      <c r="I1363" s="81"/>
      <c r="J1363" s="81"/>
      <c r="K1363" s="81"/>
      <c r="L1363" s="81"/>
      <c r="M1363" s="81"/>
      <c r="N1363" s="81"/>
      <c r="O1363" s="81"/>
      <c r="P1363" s="81"/>
      <c r="Q1363" s="81"/>
      <c r="R1363" s="81"/>
      <c r="S1363" s="81"/>
      <c r="T1363" s="81"/>
      <c r="U1363" s="81"/>
      <c r="V1363" s="94"/>
      <c r="W1363" s="94"/>
    </row>
    <row r="1364" spans="1:23" ht="21" customHeight="1">
      <c r="A1364">
        <f>Table4[[#This Row],[Column1]]</f>
        <v>0</v>
      </c>
      <c r="B1364">
        <f>Table4[[#This Row],[Column2]]</f>
        <v>0</v>
      </c>
      <c r="C1364" s="81"/>
      <c r="D1364" s="81"/>
      <c r="E1364" s="81"/>
      <c r="F1364" s="81"/>
      <c r="G1364" s="81"/>
      <c r="H1364" s="81"/>
      <c r="I1364" s="81"/>
      <c r="J1364" s="81"/>
      <c r="K1364" s="81"/>
      <c r="L1364" s="81"/>
      <c r="M1364" s="81"/>
      <c r="N1364" s="81"/>
      <c r="O1364" s="81"/>
      <c r="P1364" s="81"/>
      <c r="Q1364" s="81"/>
      <c r="R1364" s="81"/>
      <c r="S1364" s="81"/>
      <c r="T1364" s="81"/>
      <c r="U1364" s="81"/>
      <c r="V1364" s="94"/>
      <c r="W1364" s="94"/>
    </row>
    <row r="1365" spans="1:23" ht="21" customHeight="1">
      <c r="A1365">
        <f>Table4[[#This Row],[Column1]]</f>
        <v>0</v>
      </c>
      <c r="B1365">
        <f>Table4[[#This Row],[Column2]]</f>
        <v>0</v>
      </c>
      <c r="C1365" s="81"/>
      <c r="D1365" s="81"/>
      <c r="E1365" s="81"/>
      <c r="F1365" s="81"/>
      <c r="G1365" s="81"/>
      <c r="H1365" s="81"/>
      <c r="I1365" s="81"/>
      <c r="J1365" s="81"/>
      <c r="K1365" s="81"/>
      <c r="L1365" s="81"/>
      <c r="M1365" s="81"/>
      <c r="N1365" s="81"/>
      <c r="O1365" s="81"/>
      <c r="P1365" s="81"/>
      <c r="Q1365" s="81"/>
      <c r="R1365" s="81"/>
      <c r="S1365" s="81"/>
      <c r="T1365" s="81"/>
      <c r="U1365" s="81"/>
      <c r="V1365" s="94"/>
      <c r="W1365" s="94"/>
    </row>
    <row r="1366" spans="1:23" ht="21" customHeight="1">
      <c r="A1366">
        <f>Table4[[#This Row],[Column1]]</f>
        <v>0</v>
      </c>
      <c r="B1366">
        <f>Table4[[#This Row],[Column2]]</f>
        <v>0</v>
      </c>
      <c r="C1366" s="81"/>
      <c r="D1366" s="81"/>
      <c r="E1366" s="81"/>
      <c r="F1366" s="81"/>
      <c r="G1366" s="81"/>
      <c r="H1366" s="81"/>
      <c r="I1366" s="81"/>
      <c r="J1366" s="81"/>
      <c r="K1366" s="81"/>
      <c r="L1366" s="81"/>
      <c r="M1366" s="81"/>
      <c r="N1366" s="81"/>
      <c r="O1366" s="81"/>
      <c r="P1366" s="81"/>
      <c r="Q1366" s="81"/>
      <c r="R1366" s="81"/>
      <c r="S1366" s="81"/>
      <c r="T1366" s="81"/>
      <c r="U1366" s="81"/>
      <c r="V1366" s="94"/>
      <c r="W1366" s="94"/>
    </row>
    <row r="1367" spans="1:23" ht="21" customHeight="1">
      <c r="A1367">
        <f>Table4[[#This Row],[Column1]]</f>
        <v>0</v>
      </c>
      <c r="B1367">
        <f>Table4[[#This Row],[Column2]]</f>
        <v>0</v>
      </c>
      <c r="C1367" s="81"/>
      <c r="D1367" s="81"/>
      <c r="E1367" s="81"/>
      <c r="F1367" s="81"/>
      <c r="G1367" s="81"/>
      <c r="H1367" s="81"/>
      <c r="I1367" s="81"/>
      <c r="J1367" s="81"/>
      <c r="K1367" s="81"/>
      <c r="L1367" s="81"/>
      <c r="M1367" s="81"/>
      <c r="N1367" s="81"/>
      <c r="O1367" s="81"/>
      <c r="P1367" s="81"/>
      <c r="Q1367" s="81"/>
      <c r="R1367" s="81"/>
      <c r="S1367" s="81"/>
      <c r="T1367" s="81"/>
      <c r="U1367" s="81"/>
      <c r="V1367" s="94"/>
      <c r="W1367" s="94"/>
    </row>
    <row r="1368" spans="1:23" ht="21" customHeight="1">
      <c r="A1368">
        <f>Table4[[#This Row],[Column1]]</f>
        <v>0</v>
      </c>
      <c r="B1368">
        <f>Table4[[#This Row],[Column2]]</f>
        <v>0</v>
      </c>
      <c r="C1368" s="81"/>
      <c r="D1368" s="81"/>
      <c r="E1368" s="81"/>
      <c r="F1368" s="81"/>
      <c r="G1368" s="81"/>
      <c r="H1368" s="81"/>
      <c r="I1368" s="81"/>
      <c r="J1368" s="81"/>
      <c r="K1368" s="81"/>
      <c r="L1368" s="81"/>
      <c r="M1368" s="81"/>
      <c r="N1368" s="81"/>
      <c r="O1368" s="81"/>
      <c r="P1368" s="81"/>
      <c r="Q1368" s="81"/>
      <c r="R1368" s="81"/>
      <c r="S1368" s="81"/>
      <c r="T1368" s="81"/>
      <c r="U1368" s="81"/>
      <c r="V1368" s="94"/>
      <c r="W1368" s="94"/>
    </row>
    <row r="1369" spans="1:23" ht="21" customHeight="1">
      <c r="A1369">
        <f>Table4[[#This Row],[Column1]]</f>
        <v>0</v>
      </c>
      <c r="B1369">
        <f>Table4[[#This Row],[Column2]]</f>
        <v>0</v>
      </c>
      <c r="C1369" s="81"/>
      <c r="D1369" s="81"/>
      <c r="E1369" s="81"/>
      <c r="F1369" s="81"/>
      <c r="G1369" s="81"/>
      <c r="H1369" s="81"/>
      <c r="I1369" s="81"/>
      <c r="J1369" s="81"/>
      <c r="K1369" s="81"/>
      <c r="L1369" s="81"/>
      <c r="M1369" s="81"/>
      <c r="N1369" s="81"/>
      <c r="O1369" s="81"/>
      <c r="P1369" s="81"/>
      <c r="Q1369" s="81"/>
      <c r="R1369" s="81"/>
      <c r="S1369" s="81"/>
      <c r="T1369" s="81"/>
      <c r="U1369" s="81"/>
      <c r="V1369" s="94"/>
      <c r="W1369" s="94"/>
    </row>
    <row r="1370" spans="1:23" ht="21" customHeight="1">
      <c r="A1370">
        <f>Table4[[#This Row],[Column1]]</f>
        <v>0</v>
      </c>
      <c r="B1370">
        <f>Table4[[#This Row],[Column2]]</f>
        <v>0</v>
      </c>
      <c r="C1370" s="81"/>
      <c r="D1370" s="81"/>
      <c r="E1370" s="81"/>
      <c r="F1370" s="81"/>
      <c r="G1370" s="81"/>
      <c r="H1370" s="81"/>
      <c r="I1370" s="81"/>
      <c r="J1370" s="81"/>
      <c r="K1370" s="81"/>
      <c r="L1370" s="81"/>
      <c r="M1370" s="81"/>
      <c r="N1370" s="81"/>
      <c r="O1370" s="81"/>
      <c r="P1370" s="81"/>
      <c r="Q1370" s="81"/>
      <c r="R1370" s="81"/>
      <c r="S1370" s="81"/>
      <c r="T1370" s="81"/>
      <c r="U1370" s="81"/>
      <c r="V1370" s="94"/>
      <c r="W1370" s="94"/>
    </row>
    <row r="1371" spans="1:23" ht="21" customHeight="1">
      <c r="A1371">
        <f>Table4[[#This Row],[Column1]]</f>
        <v>0</v>
      </c>
      <c r="B1371">
        <f>Table4[[#This Row],[Column2]]</f>
        <v>0</v>
      </c>
      <c r="C1371" s="81"/>
      <c r="D1371" s="81"/>
      <c r="E1371" s="81"/>
      <c r="F1371" s="81"/>
      <c r="G1371" s="81"/>
      <c r="H1371" s="81"/>
      <c r="I1371" s="81"/>
      <c r="J1371" s="81"/>
      <c r="K1371" s="81"/>
      <c r="L1371" s="81"/>
      <c r="M1371" s="81"/>
      <c r="N1371" s="81"/>
      <c r="O1371" s="81"/>
      <c r="P1371" s="81"/>
      <c r="Q1371" s="81"/>
      <c r="R1371" s="81"/>
      <c r="S1371" s="81"/>
      <c r="T1371" s="81"/>
      <c r="U1371" s="81"/>
      <c r="V1371" s="94"/>
      <c r="W1371" s="94"/>
    </row>
    <row r="1372" spans="1:23" ht="21" customHeight="1">
      <c r="A1372">
        <f>Table4[[#This Row],[Column1]]</f>
        <v>0</v>
      </c>
      <c r="B1372">
        <f>Table4[[#This Row],[Column2]]</f>
        <v>0</v>
      </c>
      <c r="C1372" s="81"/>
      <c r="D1372" s="81"/>
      <c r="E1372" s="81"/>
      <c r="F1372" s="81"/>
      <c r="G1372" s="81"/>
      <c r="H1372" s="81"/>
      <c r="I1372" s="81"/>
      <c r="J1372" s="81"/>
      <c r="K1372" s="81"/>
      <c r="L1372" s="81"/>
      <c r="M1372" s="81"/>
      <c r="N1372" s="81"/>
      <c r="O1372" s="81"/>
      <c r="P1372" s="81"/>
      <c r="Q1372" s="81"/>
      <c r="R1372" s="81"/>
      <c r="S1372" s="81"/>
      <c r="T1372" s="81"/>
      <c r="U1372" s="81"/>
      <c r="V1372" s="94"/>
      <c r="W1372" s="94"/>
    </row>
    <row r="1373" spans="1:23" ht="21" customHeight="1">
      <c r="A1373">
        <f>Table4[[#This Row],[Column1]]</f>
        <v>0</v>
      </c>
      <c r="B1373">
        <f>Table4[[#This Row],[Column2]]</f>
        <v>0</v>
      </c>
      <c r="C1373" s="81"/>
      <c r="D1373" s="81"/>
      <c r="E1373" s="81"/>
      <c r="F1373" s="81"/>
      <c r="G1373" s="81"/>
      <c r="H1373" s="81"/>
      <c r="I1373" s="81"/>
      <c r="J1373" s="81"/>
      <c r="K1373" s="81"/>
      <c r="L1373" s="81"/>
      <c r="M1373" s="81"/>
      <c r="N1373" s="81"/>
      <c r="O1373" s="81"/>
      <c r="P1373" s="81"/>
      <c r="Q1373" s="81"/>
      <c r="R1373" s="81"/>
      <c r="S1373" s="81"/>
      <c r="T1373" s="81"/>
      <c r="U1373" s="81"/>
      <c r="V1373" s="94"/>
      <c r="W1373" s="94"/>
    </row>
    <row r="1374" spans="1:23" ht="21" customHeight="1">
      <c r="A1374">
        <f>Table4[[#This Row],[Column1]]</f>
        <v>0</v>
      </c>
      <c r="B1374">
        <f>Table4[[#This Row],[Column2]]</f>
        <v>0</v>
      </c>
      <c r="C1374" s="81"/>
      <c r="D1374" s="81"/>
      <c r="E1374" s="81"/>
      <c r="F1374" s="81"/>
      <c r="G1374" s="81"/>
      <c r="H1374" s="81"/>
      <c r="I1374" s="81"/>
      <c r="J1374" s="81"/>
      <c r="K1374" s="81"/>
      <c r="L1374" s="81"/>
      <c r="M1374" s="81"/>
      <c r="N1374" s="81"/>
      <c r="O1374" s="81"/>
      <c r="P1374" s="81"/>
      <c r="Q1374" s="81"/>
      <c r="R1374" s="81"/>
      <c r="S1374" s="81"/>
      <c r="T1374" s="81"/>
      <c r="U1374" s="81"/>
      <c r="V1374" s="94"/>
      <c r="W1374" s="94"/>
    </row>
    <row r="1375" spans="1:23" ht="21" customHeight="1">
      <c r="A1375">
        <f>Table4[[#This Row],[Column1]]</f>
        <v>0</v>
      </c>
      <c r="B1375">
        <f>Table4[[#This Row],[Column2]]</f>
        <v>0</v>
      </c>
      <c r="C1375" s="81"/>
      <c r="D1375" s="81"/>
      <c r="E1375" s="81"/>
      <c r="F1375" s="81"/>
      <c r="G1375" s="81"/>
      <c r="H1375" s="81"/>
      <c r="I1375" s="81"/>
      <c r="J1375" s="81"/>
      <c r="K1375" s="81"/>
      <c r="L1375" s="81"/>
      <c r="M1375" s="81"/>
      <c r="N1375" s="81"/>
      <c r="O1375" s="81"/>
      <c r="P1375" s="81"/>
      <c r="Q1375" s="81"/>
      <c r="R1375" s="81"/>
      <c r="S1375" s="81"/>
      <c r="T1375" s="81"/>
      <c r="U1375" s="81"/>
      <c r="V1375" s="94"/>
      <c r="W1375" s="94"/>
    </row>
    <row r="1376" spans="1:23" ht="21" customHeight="1">
      <c r="A1376">
        <f>Table4[[#This Row],[Column1]]</f>
        <v>0</v>
      </c>
      <c r="B1376">
        <f>Table4[[#This Row],[Column2]]</f>
        <v>0</v>
      </c>
      <c r="C1376" s="81"/>
      <c r="D1376" s="81"/>
      <c r="E1376" s="81"/>
      <c r="F1376" s="81"/>
      <c r="G1376" s="81"/>
      <c r="H1376" s="81"/>
      <c r="I1376" s="81"/>
      <c r="J1376" s="81"/>
      <c r="K1376" s="81"/>
      <c r="L1376" s="81"/>
      <c r="M1376" s="81"/>
      <c r="N1376" s="81"/>
      <c r="O1376" s="81"/>
      <c r="P1376" s="81"/>
      <c r="Q1376" s="81"/>
      <c r="R1376" s="81"/>
      <c r="S1376" s="81"/>
      <c r="T1376" s="81"/>
      <c r="U1376" s="81"/>
      <c r="V1376" s="94"/>
      <c r="W1376" s="94"/>
    </row>
    <row r="1377" spans="1:23" ht="21" customHeight="1">
      <c r="A1377">
        <f>Table4[[#This Row],[Column1]]</f>
        <v>0</v>
      </c>
      <c r="B1377">
        <f>Table4[[#This Row],[Column2]]</f>
        <v>0</v>
      </c>
      <c r="C1377" s="81"/>
      <c r="D1377" s="81"/>
      <c r="E1377" s="81"/>
      <c r="F1377" s="81"/>
      <c r="G1377" s="81"/>
      <c r="H1377" s="81"/>
      <c r="I1377" s="81"/>
      <c r="J1377" s="81"/>
      <c r="K1377" s="81"/>
      <c r="L1377" s="81"/>
      <c r="M1377" s="81"/>
      <c r="N1377" s="81"/>
      <c r="O1377" s="81"/>
      <c r="P1377" s="81"/>
      <c r="Q1377" s="81"/>
      <c r="R1377" s="81"/>
      <c r="S1377" s="81"/>
      <c r="T1377" s="81"/>
      <c r="U1377" s="81"/>
      <c r="V1377" s="94"/>
      <c r="W1377" s="94"/>
    </row>
    <row r="1378" spans="1:23" ht="21" customHeight="1">
      <c r="A1378">
        <f>Table4[[#This Row],[Column1]]</f>
        <v>0</v>
      </c>
      <c r="B1378">
        <f>Table4[[#This Row],[Column2]]</f>
        <v>0</v>
      </c>
      <c r="C1378" s="81"/>
      <c r="D1378" s="81"/>
      <c r="E1378" s="81"/>
      <c r="F1378" s="81"/>
      <c r="G1378" s="81"/>
      <c r="H1378" s="81"/>
      <c r="I1378" s="81"/>
      <c r="J1378" s="81"/>
      <c r="K1378" s="81"/>
      <c r="L1378" s="81"/>
      <c r="M1378" s="81"/>
      <c r="N1378" s="81"/>
      <c r="O1378" s="81"/>
      <c r="P1378" s="81"/>
      <c r="Q1378" s="81"/>
      <c r="R1378" s="81"/>
      <c r="S1378" s="81"/>
      <c r="T1378" s="81"/>
      <c r="U1378" s="81"/>
      <c r="V1378" s="94"/>
      <c r="W1378" s="94"/>
    </row>
    <row r="1379" spans="1:23" ht="21" customHeight="1">
      <c r="A1379">
        <f>Table4[[#This Row],[Column1]]</f>
        <v>0</v>
      </c>
      <c r="B1379">
        <f>Table4[[#This Row],[Column2]]</f>
        <v>0</v>
      </c>
      <c r="C1379" s="81"/>
      <c r="D1379" s="81"/>
      <c r="E1379" s="81"/>
      <c r="F1379" s="81"/>
      <c r="G1379" s="81"/>
      <c r="H1379" s="81"/>
      <c r="I1379" s="81"/>
      <c r="J1379" s="81"/>
      <c r="K1379" s="81"/>
      <c r="L1379" s="81"/>
      <c r="M1379" s="81"/>
      <c r="N1379" s="81"/>
      <c r="O1379" s="81"/>
      <c r="P1379" s="81"/>
      <c r="Q1379" s="81"/>
      <c r="R1379" s="81"/>
      <c r="S1379" s="81"/>
      <c r="T1379" s="81"/>
      <c r="U1379" s="81"/>
      <c r="V1379" s="94"/>
      <c r="W1379" s="94"/>
    </row>
    <row r="1380" spans="1:23" ht="21" customHeight="1">
      <c r="A1380">
        <f>Table4[[#This Row],[Column1]]</f>
        <v>0</v>
      </c>
      <c r="B1380">
        <f>Table4[[#This Row],[Column2]]</f>
        <v>0</v>
      </c>
      <c r="C1380" s="81"/>
      <c r="D1380" s="81"/>
      <c r="E1380" s="81"/>
      <c r="F1380" s="81"/>
      <c r="G1380" s="81"/>
      <c r="H1380" s="81"/>
      <c r="I1380" s="81"/>
      <c r="J1380" s="81"/>
      <c r="K1380" s="81"/>
      <c r="L1380" s="81"/>
      <c r="M1380" s="81"/>
      <c r="N1380" s="81"/>
      <c r="O1380" s="81"/>
      <c r="P1380" s="81"/>
      <c r="Q1380" s="81"/>
      <c r="R1380" s="81"/>
      <c r="S1380" s="81"/>
      <c r="T1380" s="81"/>
      <c r="U1380" s="81"/>
      <c r="V1380" s="94"/>
      <c r="W1380" s="94"/>
    </row>
    <row r="1381" spans="1:23" ht="21" customHeight="1">
      <c r="A1381">
        <f>Table4[[#This Row],[Column1]]</f>
        <v>0</v>
      </c>
      <c r="B1381">
        <f>Table4[[#This Row],[Column2]]</f>
        <v>0</v>
      </c>
      <c r="C1381" s="81"/>
      <c r="D1381" s="81"/>
      <c r="E1381" s="81"/>
      <c r="F1381" s="81"/>
      <c r="G1381" s="81"/>
      <c r="H1381" s="81"/>
      <c r="I1381" s="81"/>
      <c r="J1381" s="81"/>
      <c r="K1381" s="81"/>
      <c r="L1381" s="81"/>
      <c r="M1381" s="81"/>
      <c r="N1381" s="81"/>
      <c r="O1381" s="81"/>
      <c r="P1381" s="81"/>
      <c r="Q1381" s="81"/>
      <c r="R1381" s="81"/>
      <c r="S1381" s="81"/>
      <c r="T1381" s="81"/>
      <c r="U1381" s="81"/>
      <c r="V1381" s="94"/>
      <c r="W1381" s="94"/>
    </row>
    <row r="1382" spans="1:23" ht="21" customHeight="1">
      <c r="A1382">
        <f>Table4[[#This Row],[Column1]]</f>
        <v>0</v>
      </c>
      <c r="B1382">
        <f>Table4[[#This Row],[Column2]]</f>
        <v>0</v>
      </c>
      <c r="C1382" s="81"/>
      <c r="D1382" s="81"/>
      <c r="E1382" s="81"/>
      <c r="F1382" s="81"/>
      <c r="G1382" s="81"/>
      <c r="H1382" s="81"/>
      <c r="I1382" s="81"/>
      <c r="J1382" s="81"/>
      <c r="K1382" s="81"/>
      <c r="L1382" s="81"/>
      <c r="M1382" s="81"/>
      <c r="N1382" s="81"/>
      <c r="O1382" s="81"/>
      <c r="P1382" s="81"/>
      <c r="Q1382" s="81"/>
      <c r="R1382" s="81"/>
      <c r="S1382" s="81"/>
      <c r="T1382" s="81"/>
      <c r="U1382" s="81"/>
      <c r="V1382" s="94"/>
      <c r="W1382" s="94"/>
    </row>
    <row r="1383" spans="1:23" ht="21" customHeight="1">
      <c r="A1383">
        <f>Table4[[#This Row],[Column1]]</f>
        <v>0</v>
      </c>
      <c r="B1383">
        <f>Table4[[#This Row],[Column2]]</f>
        <v>0</v>
      </c>
      <c r="C1383" s="81"/>
      <c r="D1383" s="81"/>
      <c r="E1383" s="81"/>
      <c r="F1383" s="81"/>
      <c r="G1383" s="81"/>
      <c r="H1383" s="81"/>
      <c r="I1383" s="81"/>
      <c r="J1383" s="81"/>
      <c r="K1383" s="81"/>
      <c r="L1383" s="81"/>
      <c r="M1383" s="81"/>
      <c r="N1383" s="81"/>
      <c r="O1383" s="81"/>
      <c r="P1383" s="81"/>
      <c r="Q1383" s="81"/>
      <c r="R1383" s="81"/>
      <c r="S1383" s="81"/>
      <c r="T1383" s="81"/>
      <c r="U1383" s="81"/>
      <c r="V1383" s="94"/>
      <c r="W1383" s="94"/>
    </row>
    <row r="1384" spans="1:23" ht="21" customHeight="1">
      <c r="A1384">
        <f>Table4[[#This Row],[Column1]]</f>
        <v>0</v>
      </c>
      <c r="B1384">
        <f>Table4[[#This Row],[Column2]]</f>
        <v>0</v>
      </c>
      <c r="C1384" s="81"/>
      <c r="D1384" s="81"/>
      <c r="E1384" s="81"/>
      <c r="F1384" s="81"/>
      <c r="G1384" s="81"/>
      <c r="H1384" s="81"/>
      <c r="I1384" s="81"/>
      <c r="J1384" s="81"/>
      <c r="K1384" s="81"/>
      <c r="L1384" s="81"/>
      <c r="M1384" s="81"/>
      <c r="N1384" s="81"/>
      <c r="O1384" s="81"/>
      <c r="P1384" s="81"/>
      <c r="Q1384" s="81"/>
      <c r="R1384" s="81"/>
      <c r="S1384" s="81"/>
      <c r="T1384" s="81"/>
      <c r="U1384" s="81"/>
      <c r="V1384" s="94"/>
      <c r="W1384" s="94"/>
    </row>
    <row r="1385" spans="1:23" ht="21" customHeight="1">
      <c r="A1385">
        <f>Table4[[#This Row],[Column1]]</f>
        <v>0</v>
      </c>
      <c r="B1385">
        <f>Table4[[#This Row],[Column2]]</f>
        <v>0</v>
      </c>
      <c r="C1385" s="81"/>
      <c r="D1385" s="81"/>
      <c r="E1385" s="81"/>
      <c r="F1385" s="81"/>
      <c r="G1385" s="81"/>
      <c r="H1385" s="81"/>
      <c r="I1385" s="81"/>
      <c r="J1385" s="81"/>
      <c r="K1385" s="81"/>
      <c r="L1385" s="81"/>
      <c r="M1385" s="81"/>
      <c r="N1385" s="81"/>
      <c r="O1385" s="81"/>
      <c r="P1385" s="81"/>
      <c r="Q1385" s="81"/>
      <c r="R1385" s="81"/>
      <c r="S1385" s="81"/>
      <c r="T1385" s="81"/>
      <c r="U1385" s="81"/>
      <c r="V1385" s="94"/>
      <c r="W1385" s="94"/>
    </row>
    <row r="1386" spans="1:23" ht="21" customHeight="1">
      <c r="A1386">
        <f>Table4[[#This Row],[Column1]]</f>
        <v>0</v>
      </c>
      <c r="B1386">
        <f>Table4[[#This Row],[Column2]]</f>
        <v>0</v>
      </c>
      <c r="C1386" s="81"/>
      <c r="D1386" s="81"/>
      <c r="E1386" s="81"/>
      <c r="F1386" s="81"/>
      <c r="G1386" s="81"/>
      <c r="H1386" s="81"/>
      <c r="I1386" s="81"/>
      <c r="J1386" s="81"/>
      <c r="K1386" s="81"/>
      <c r="L1386" s="81"/>
      <c r="M1386" s="81"/>
      <c r="N1386" s="81"/>
      <c r="O1386" s="81"/>
      <c r="P1386" s="81"/>
      <c r="Q1386" s="81"/>
      <c r="R1386" s="81"/>
      <c r="S1386" s="81"/>
      <c r="T1386" s="81"/>
      <c r="U1386" s="81"/>
      <c r="V1386" s="94"/>
      <c r="W1386" s="94"/>
    </row>
    <row r="1387" spans="1:23" ht="21" customHeight="1">
      <c r="A1387">
        <f>Table4[[#This Row],[Column1]]</f>
        <v>0</v>
      </c>
      <c r="B1387">
        <f>Table4[[#This Row],[Column2]]</f>
        <v>0</v>
      </c>
      <c r="C1387" s="81"/>
      <c r="D1387" s="81"/>
      <c r="E1387" s="81"/>
      <c r="F1387" s="81"/>
      <c r="G1387" s="81"/>
      <c r="H1387" s="81"/>
      <c r="I1387" s="81"/>
      <c r="J1387" s="81"/>
      <c r="K1387" s="81"/>
      <c r="L1387" s="81"/>
      <c r="M1387" s="81"/>
      <c r="N1387" s="81"/>
      <c r="O1387" s="81"/>
      <c r="P1387" s="81"/>
      <c r="Q1387" s="81"/>
      <c r="R1387" s="81"/>
      <c r="S1387" s="81"/>
      <c r="T1387" s="81"/>
      <c r="U1387" s="81"/>
      <c r="V1387" s="94"/>
      <c r="W1387" s="94"/>
    </row>
    <row r="1388" spans="1:23" ht="21" customHeight="1">
      <c r="A1388">
        <f>Table4[[#This Row],[Column1]]</f>
        <v>0</v>
      </c>
      <c r="B1388">
        <f>Table4[[#This Row],[Column2]]</f>
        <v>0</v>
      </c>
      <c r="C1388" s="81"/>
      <c r="D1388" s="81"/>
      <c r="E1388" s="81"/>
      <c r="F1388" s="81"/>
      <c r="G1388" s="81"/>
      <c r="H1388" s="81"/>
      <c r="I1388" s="81"/>
      <c r="J1388" s="81"/>
      <c r="K1388" s="81"/>
      <c r="L1388" s="81"/>
      <c r="M1388" s="81"/>
      <c r="N1388" s="81"/>
      <c r="O1388" s="81"/>
      <c r="P1388" s="81"/>
      <c r="Q1388" s="81"/>
      <c r="R1388" s="81"/>
      <c r="S1388" s="81"/>
      <c r="T1388" s="81"/>
      <c r="U1388" s="81"/>
      <c r="V1388" s="94"/>
      <c r="W1388" s="94"/>
    </row>
    <row r="1389" spans="1:23" ht="21" customHeight="1">
      <c r="A1389">
        <f>Table4[[#This Row],[Column1]]</f>
        <v>0</v>
      </c>
      <c r="B1389">
        <f>Table4[[#This Row],[Column2]]</f>
        <v>0</v>
      </c>
      <c r="C1389" s="81"/>
      <c r="D1389" s="81"/>
      <c r="E1389" s="81"/>
      <c r="F1389" s="81"/>
      <c r="G1389" s="81"/>
      <c r="H1389" s="81"/>
      <c r="I1389" s="81"/>
      <c r="J1389" s="81"/>
      <c r="K1389" s="81"/>
      <c r="L1389" s="81"/>
      <c r="M1389" s="81"/>
      <c r="N1389" s="81"/>
      <c r="O1389" s="81"/>
      <c r="P1389" s="81"/>
      <c r="Q1389" s="81"/>
      <c r="R1389" s="81"/>
      <c r="S1389" s="81"/>
      <c r="T1389" s="81"/>
      <c r="U1389" s="81"/>
      <c r="V1389" s="94"/>
      <c r="W1389" s="94"/>
    </row>
    <row r="1390" spans="1:23" ht="21" customHeight="1">
      <c r="A1390">
        <f>Table4[[#This Row],[Column1]]</f>
        <v>0</v>
      </c>
      <c r="B1390">
        <f>Table4[[#This Row],[Column2]]</f>
        <v>0</v>
      </c>
      <c r="C1390" s="81"/>
      <c r="D1390" s="81"/>
      <c r="E1390" s="81"/>
      <c r="F1390" s="81"/>
      <c r="G1390" s="81"/>
      <c r="H1390" s="81"/>
      <c r="I1390" s="81"/>
      <c r="J1390" s="81"/>
      <c r="K1390" s="81"/>
      <c r="L1390" s="81"/>
      <c r="M1390" s="81"/>
      <c r="N1390" s="81"/>
      <c r="O1390" s="81"/>
      <c r="P1390" s="81"/>
      <c r="Q1390" s="81"/>
      <c r="R1390" s="81"/>
      <c r="S1390" s="81"/>
      <c r="T1390" s="81"/>
      <c r="U1390" s="81"/>
      <c r="V1390" s="94"/>
      <c r="W1390" s="94"/>
    </row>
    <row r="1391" spans="1:23" ht="21" customHeight="1">
      <c r="A1391">
        <f>Table4[[#This Row],[Column1]]</f>
        <v>0</v>
      </c>
      <c r="B1391">
        <f>Table4[[#This Row],[Column2]]</f>
        <v>0</v>
      </c>
      <c r="C1391" s="81"/>
      <c r="D1391" s="81"/>
      <c r="E1391" s="81"/>
      <c r="F1391" s="81"/>
      <c r="G1391" s="81"/>
      <c r="H1391" s="81"/>
      <c r="I1391" s="81"/>
      <c r="J1391" s="81"/>
      <c r="K1391" s="81"/>
      <c r="L1391" s="81"/>
      <c r="M1391" s="81"/>
      <c r="N1391" s="81"/>
      <c r="O1391" s="81"/>
      <c r="P1391" s="81"/>
      <c r="Q1391" s="81"/>
      <c r="R1391" s="81"/>
      <c r="S1391" s="81"/>
      <c r="T1391" s="81"/>
      <c r="U1391" s="81"/>
      <c r="V1391" s="94"/>
      <c r="W1391" s="94"/>
    </row>
    <row r="1392" spans="1:23" ht="21" customHeight="1">
      <c r="A1392">
        <f>Table4[[#This Row],[Column1]]</f>
        <v>0</v>
      </c>
      <c r="B1392">
        <f>Table4[[#This Row],[Column2]]</f>
        <v>0</v>
      </c>
      <c r="C1392" s="81"/>
      <c r="D1392" s="81"/>
      <c r="E1392" s="81"/>
      <c r="F1392" s="81"/>
      <c r="G1392" s="81"/>
      <c r="H1392" s="81"/>
      <c r="I1392" s="81"/>
      <c r="J1392" s="81"/>
      <c r="K1392" s="81"/>
      <c r="L1392" s="81"/>
      <c r="M1392" s="81"/>
      <c r="N1392" s="81"/>
      <c r="O1392" s="81"/>
      <c r="P1392" s="81"/>
      <c r="Q1392" s="81"/>
      <c r="R1392" s="81"/>
      <c r="S1392" s="81"/>
      <c r="T1392" s="81"/>
      <c r="U1392" s="81"/>
      <c r="V1392" s="94"/>
      <c r="W1392" s="94"/>
    </row>
    <row r="1393" spans="1:23" ht="21" customHeight="1">
      <c r="A1393">
        <f>Table4[[#This Row],[Column1]]</f>
        <v>0</v>
      </c>
      <c r="B1393">
        <f>Table4[[#This Row],[Column2]]</f>
        <v>0</v>
      </c>
      <c r="C1393" s="81"/>
      <c r="D1393" s="81"/>
      <c r="E1393" s="81"/>
      <c r="F1393" s="81"/>
      <c r="G1393" s="81"/>
      <c r="H1393" s="81"/>
      <c r="I1393" s="81"/>
      <c r="J1393" s="81"/>
      <c r="K1393" s="81"/>
      <c r="L1393" s="81"/>
      <c r="M1393" s="81"/>
      <c r="N1393" s="81"/>
      <c r="O1393" s="81"/>
      <c r="P1393" s="81"/>
      <c r="Q1393" s="81"/>
      <c r="R1393" s="81"/>
      <c r="S1393" s="81"/>
      <c r="T1393" s="81"/>
      <c r="U1393" s="81"/>
      <c r="V1393" s="94"/>
      <c r="W1393" s="94"/>
    </row>
    <row r="1394" spans="1:23" ht="21" customHeight="1">
      <c r="A1394">
        <f>Table4[[#This Row],[Column1]]</f>
        <v>0</v>
      </c>
      <c r="B1394">
        <f>Table4[[#This Row],[Column2]]</f>
        <v>0</v>
      </c>
      <c r="C1394" s="81"/>
      <c r="D1394" s="81"/>
      <c r="E1394" s="81"/>
      <c r="F1394" s="81"/>
      <c r="G1394" s="81"/>
      <c r="H1394" s="81"/>
      <c r="I1394" s="81"/>
      <c r="J1394" s="81"/>
      <c r="K1394" s="81"/>
      <c r="L1394" s="81"/>
      <c r="M1394" s="81"/>
      <c r="N1394" s="81"/>
      <c r="O1394" s="81"/>
      <c r="P1394" s="81"/>
      <c r="Q1394" s="81"/>
      <c r="R1394" s="81"/>
      <c r="S1394" s="81"/>
      <c r="T1394" s="81"/>
      <c r="U1394" s="81"/>
      <c r="V1394" s="94"/>
      <c r="W1394" s="94"/>
    </row>
    <row r="1395" spans="1:23" ht="21" customHeight="1">
      <c r="A1395">
        <f>Table4[[#This Row],[Column1]]</f>
        <v>0</v>
      </c>
      <c r="B1395">
        <f>Table4[[#This Row],[Column2]]</f>
        <v>0</v>
      </c>
      <c r="C1395" s="81"/>
      <c r="D1395" s="81"/>
      <c r="E1395" s="81"/>
      <c r="F1395" s="81"/>
      <c r="G1395" s="81"/>
      <c r="H1395" s="81"/>
      <c r="I1395" s="81"/>
      <c r="J1395" s="81"/>
      <c r="K1395" s="81"/>
      <c r="L1395" s="81"/>
      <c r="M1395" s="81"/>
      <c r="N1395" s="81"/>
      <c r="O1395" s="81"/>
      <c r="P1395" s="81"/>
      <c r="Q1395" s="81"/>
      <c r="R1395" s="81"/>
      <c r="S1395" s="81"/>
      <c r="T1395" s="81"/>
      <c r="U1395" s="81"/>
      <c r="V1395" s="94"/>
      <c r="W1395" s="94"/>
    </row>
    <row r="1396" spans="1:23" ht="21" customHeight="1">
      <c r="A1396">
        <f>Table4[[#This Row],[Column1]]</f>
        <v>0</v>
      </c>
      <c r="B1396">
        <f>Table4[[#This Row],[Column2]]</f>
        <v>0</v>
      </c>
      <c r="C1396" s="81"/>
      <c r="D1396" s="81"/>
      <c r="E1396" s="81"/>
      <c r="F1396" s="81"/>
      <c r="G1396" s="81"/>
      <c r="H1396" s="81"/>
      <c r="I1396" s="81"/>
      <c r="J1396" s="81"/>
      <c r="K1396" s="81"/>
      <c r="L1396" s="81"/>
      <c r="M1396" s="81"/>
      <c r="N1396" s="81"/>
      <c r="O1396" s="81"/>
      <c r="P1396" s="81"/>
      <c r="Q1396" s="81"/>
      <c r="R1396" s="81"/>
      <c r="S1396" s="81"/>
      <c r="T1396" s="81"/>
      <c r="U1396" s="81"/>
      <c r="V1396" s="94"/>
      <c r="W1396" s="94"/>
    </row>
    <row r="1397" spans="1:23" ht="21" customHeight="1">
      <c r="A1397">
        <f>Table4[[#This Row],[Column1]]</f>
        <v>0</v>
      </c>
      <c r="B1397">
        <f>Table4[[#This Row],[Column2]]</f>
        <v>0</v>
      </c>
      <c r="C1397" s="81"/>
      <c r="D1397" s="81"/>
      <c r="E1397" s="81"/>
      <c r="F1397" s="81"/>
      <c r="G1397" s="81"/>
      <c r="H1397" s="81"/>
      <c r="I1397" s="81"/>
      <c r="J1397" s="81"/>
      <c r="K1397" s="81"/>
      <c r="L1397" s="81"/>
      <c r="M1397" s="81"/>
      <c r="N1397" s="81"/>
      <c r="O1397" s="81"/>
      <c r="P1397" s="81"/>
      <c r="Q1397" s="81"/>
      <c r="R1397" s="81"/>
      <c r="S1397" s="81"/>
      <c r="T1397" s="81"/>
      <c r="U1397" s="81"/>
      <c r="V1397" s="94"/>
      <c r="W1397" s="94"/>
    </row>
    <row r="1398" spans="1:23" ht="21" customHeight="1">
      <c r="A1398">
        <f>Table4[[#This Row],[Column1]]</f>
        <v>0</v>
      </c>
      <c r="B1398">
        <f>Table4[[#This Row],[Column2]]</f>
        <v>0</v>
      </c>
      <c r="C1398" s="81"/>
      <c r="D1398" s="81"/>
      <c r="E1398" s="81"/>
      <c r="F1398" s="81"/>
      <c r="G1398" s="81"/>
      <c r="H1398" s="81"/>
      <c r="I1398" s="81"/>
      <c r="J1398" s="81"/>
      <c r="K1398" s="81"/>
      <c r="L1398" s="81"/>
      <c r="M1398" s="81"/>
      <c r="N1398" s="81"/>
      <c r="O1398" s="81"/>
      <c r="P1398" s="81"/>
      <c r="Q1398" s="81"/>
      <c r="R1398" s="81"/>
      <c r="S1398" s="81"/>
      <c r="T1398" s="81"/>
      <c r="U1398" s="81"/>
      <c r="V1398" s="94"/>
      <c r="W1398" s="94"/>
    </row>
    <row r="1399" spans="1:23" ht="21" customHeight="1">
      <c r="A1399">
        <f>Table4[[#This Row],[Column1]]</f>
        <v>0</v>
      </c>
      <c r="B1399">
        <f>Table4[[#This Row],[Column2]]</f>
        <v>0</v>
      </c>
      <c r="C1399" s="81"/>
      <c r="D1399" s="81"/>
      <c r="E1399" s="81"/>
      <c r="F1399" s="81"/>
      <c r="G1399" s="81"/>
      <c r="H1399" s="81"/>
      <c r="I1399" s="81"/>
      <c r="J1399" s="81"/>
      <c r="K1399" s="81"/>
      <c r="L1399" s="81"/>
      <c r="M1399" s="81"/>
      <c r="N1399" s="81"/>
      <c r="O1399" s="81"/>
      <c r="P1399" s="81"/>
      <c r="Q1399" s="81"/>
      <c r="R1399" s="81"/>
      <c r="S1399" s="81"/>
      <c r="T1399" s="81"/>
      <c r="U1399" s="81"/>
      <c r="V1399" s="94"/>
      <c r="W1399" s="94"/>
    </row>
    <row r="1400" spans="1:23" ht="21" customHeight="1">
      <c r="A1400">
        <f>Table4[[#This Row],[Column1]]</f>
        <v>0</v>
      </c>
      <c r="B1400">
        <f>Table4[[#This Row],[Column2]]</f>
        <v>0</v>
      </c>
      <c r="C1400" s="81"/>
      <c r="D1400" s="81"/>
      <c r="E1400" s="81"/>
      <c r="F1400" s="81"/>
      <c r="G1400" s="81"/>
      <c r="H1400" s="81"/>
      <c r="I1400" s="81"/>
      <c r="J1400" s="81"/>
      <c r="K1400" s="81"/>
      <c r="L1400" s="81"/>
      <c r="M1400" s="81"/>
      <c r="N1400" s="81"/>
      <c r="O1400" s="81"/>
      <c r="P1400" s="81"/>
      <c r="Q1400" s="81"/>
      <c r="R1400" s="81"/>
      <c r="S1400" s="81"/>
      <c r="T1400" s="81"/>
      <c r="U1400" s="81"/>
      <c r="V1400" s="94"/>
      <c r="W1400" s="94"/>
    </row>
    <row r="1401" spans="1:23" ht="21" customHeight="1">
      <c r="A1401">
        <f>Table4[[#This Row],[Column1]]</f>
        <v>0</v>
      </c>
      <c r="B1401">
        <f>Table4[[#This Row],[Column2]]</f>
        <v>0</v>
      </c>
      <c r="C1401" s="81"/>
      <c r="D1401" s="81"/>
      <c r="E1401" s="81"/>
      <c r="F1401" s="81"/>
      <c r="G1401" s="81"/>
      <c r="H1401" s="81"/>
      <c r="I1401" s="81"/>
      <c r="J1401" s="81"/>
      <c r="K1401" s="81"/>
      <c r="L1401" s="81"/>
      <c r="M1401" s="81"/>
      <c r="N1401" s="81"/>
      <c r="O1401" s="81"/>
      <c r="P1401" s="81"/>
      <c r="Q1401" s="81"/>
      <c r="R1401" s="81"/>
      <c r="S1401" s="81"/>
      <c r="T1401" s="81"/>
      <c r="U1401" s="81"/>
      <c r="V1401" s="94"/>
      <c r="W1401" s="94"/>
    </row>
    <row r="1402" spans="1:23" ht="21" customHeight="1">
      <c r="A1402">
        <f>Table4[[#This Row],[Column1]]</f>
        <v>0</v>
      </c>
      <c r="B1402">
        <f>Table4[[#This Row],[Column2]]</f>
        <v>0</v>
      </c>
      <c r="C1402" s="81"/>
      <c r="D1402" s="81"/>
      <c r="E1402" s="81"/>
      <c r="F1402" s="81"/>
      <c r="G1402" s="81"/>
      <c r="H1402" s="81"/>
      <c r="I1402" s="81"/>
      <c r="J1402" s="81"/>
      <c r="K1402" s="81"/>
      <c r="L1402" s="81"/>
      <c r="M1402" s="81"/>
      <c r="N1402" s="81"/>
      <c r="O1402" s="81"/>
      <c r="P1402" s="81"/>
      <c r="Q1402" s="81"/>
      <c r="R1402" s="81"/>
      <c r="S1402" s="81"/>
      <c r="T1402" s="81"/>
      <c r="U1402" s="81"/>
      <c r="V1402" s="94"/>
      <c r="W1402" s="94"/>
    </row>
    <row r="1403" spans="1:23" ht="21" customHeight="1">
      <c r="A1403">
        <f>Table4[[#This Row],[Column1]]</f>
        <v>0</v>
      </c>
      <c r="B1403">
        <f>Table4[[#This Row],[Column2]]</f>
        <v>0</v>
      </c>
      <c r="C1403" s="81"/>
      <c r="D1403" s="81"/>
      <c r="E1403" s="81"/>
      <c r="F1403" s="81"/>
      <c r="G1403" s="81"/>
      <c r="H1403" s="81"/>
      <c r="I1403" s="81"/>
      <c r="J1403" s="81"/>
      <c r="K1403" s="81"/>
      <c r="L1403" s="81"/>
      <c r="M1403" s="81"/>
      <c r="N1403" s="81"/>
      <c r="O1403" s="81"/>
      <c r="P1403" s="81"/>
      <c r="Q1403" s="81"/>
      <c r="R1403" s="81"/>
      <c r="S1403" s="81"/>
      <c r="T1403" s="81"/>
      <c r="U1403" s="81"/>
      <c r="V1403" s="94"/>
      <c r="W1403" s="94"/>
    </row>
    <row r="1404" spans="1:23" ht="21" customHeight="1">
      <c r="A1404">
        <f>Table4[[#This Row],[Column1]]</f>
        <v>0</v>
      </c>
      <c r="B1404">
        <f>Table4[[#This Row],[Column2]]</f>
        <v>0</v>
      </c>
      <c r="C1404" s="81"/>
      <c r="D1404" s="81"/>
      <c r="E1404" s="81"/>
      <c r="F1404" s="81"/>
      <c r="G1404" s="81"/>
      <c r="H1404" s="81"/>
      <c r="I1404" s="81"/>
      <c r="J1404" s="81"/>
      <c r="K1404" s="81"/>
      <c r="L1404" s="81"/>
      <c r="M1404" s="81"/>
      <c r="N1404" s="81"/>
      <c r="O1404" s="81"/>
      <c r="P1404" s="81"/>
      <c r="Q1404" s="81"/>
      <c r="R1404" s="81"/>
      <c r="S1404" s="81"/>
      <c r="T1404" s="81"/>
      <c r="U1404" s="81"/>
      <c r="V1404" s="94"/>
      <c r="W1404" s="94"/>
    </row>
    <row r="1405" spans="1:23" ht="21" customHeight="1">
      <c r="A1405">
        <f>Table4[[#This Row],[Column1]]</f>
        <v>0</v>
      </c>
      <c r="B1405">
        <f>Table4[[#This Row],[Column2]]</f>
        <v>0</v>
      </c>
      <c r="C1405" s="81"/>
      <c r="D1405" s="81"/>
      <c r="E1405" s="81"/>
      <c r="F1405" s="81"/>
      <c r="G1405" s="81"/>
      <c r="H1405" s="81"/>
      <c r="I1405" s="81"/>
      <c r="J1405" s="81"/>
      <c r="K1405" s="81"/>
      <c r="L1405" s="81"/>
      <c r="M1405" s="81"/>
      <c r="N1405" s="81"/>
      <c r="O1405" s="81"/>
      <c r="P1405" s="81"/>
      <c r="Q1405" s="81"/>
      <c r="R1405" s="81"/>
      <c r="S1405" s="81"/>
      <c r="T1405" s="81"/>
      <c r="U1405" s="81"/>
      <c r="V1405" s="94"/>
      <c r="W1405" s="94"/>
    </row>
    <row r="1406" spans="1:23" ht="21" customHeight="1">
      <c r="A1406">
        <f>Table4[[#This Row],[Column1]]</f>
        <v>0</v>
      </c>
      <c r="B1406">
        <f>Table4[[#This Row],[Column2]]</f>
        <v>0</v>
      </c>
      <c r="C1406" s="81"/>
      <c r="D1406" s="81"/>
      <c r="E1406" s="81"/>
      <c r="F1406" s="81"/>
      <c r="G1406" s="81"/>
      <c r="H1406" s="81"/>
      <c r="I1406" s="81"/>
      <c r="J1406" s="81"/>
      <c r="K1406" s="81"/>
      <c r="L1406" s="81"/>
      <c r="M1406" s="81"/>
      <c r="N1406" s="81"/>
      <c r="O1406" s="81"/>
      <c r="P1406" s="81"/>
      <c r="Q1406" s="81"/>
      <c r="R1406" s="81"/>
      <c r="S1406" s="81"/>
      <c r="T1406" s="81"/>
      <c r="U1406" s="81"/>
      <c r="V1406" s="94"/>
      <c r="W1406" s="94"/>
    </row>
    <row r="1407" spans="1:23" ht="21" customHeight="1">
      <c r="A1407">
        <f>Table4[[#This Row],[Column1]]</f>
        <v>0</v>
      </c>
      <c r="B1407">
        <f>Table4[[#This Row],[Column2]]</f>
        <v>0</v>
      </c>
      <c r="C1407" s="81"/>
      <c r="D1407" s="81"/>
      <c r="E1407" s="81"/>
      <c r="F1407" s="81"/>
      <c r="G1407" s="81"/>
      <c r="H1407" s="81"/>
      <c r="I1407" s="81"/>
      <c r="J1407" s="81"/>
      <c r="K1407" s="81"/>
      <c r="L1407" s="81"/>
      <c r="M1407" s="81"/>
      <c r="N1407" s="81"/>
      <c r="O1407" s="81"/>
      <c r="P1407" s="81"/>
      <c r="Q1407" s="81"/>
      <c r="R1407" s="81"/>
      <c r="S1407" s="81"/>
      <c r="T1407" s="81"/>
      <c r="U1407" s="81"/>
      <c r="V1407" s="94"/>
      <c r="W1407" s="94"/>
    </row>
    <row r="1408" spans="1:23" ht="21" customHeight="1">
      <c r="A1408">
        <f>Table4[[#This Row],[Column1]]</f>
        <v>0</v>
      </c>
      <c r="B1408">
        <f>Table4[[#This Row],[Column2]]</f>
        <v>0</v>
      </c>
      <c r="C1408" s="81"/>
      <c r="D1408" s="81"/>
      <c r="E1408" s="81"/>
      <c r="F1408" s="81"/>
      <c r="G1408" s="81"/>
      <c r="H1408" s="81"/>
      <c r="I1408" s="81"/>
      <c r="J1408" s="81"/>
      <c r="K1408" s="81"/>
      <c r="L1408" s="81"/>
      <c r="M1408" s="81"/>
      <c r="N1408" s="81"/>
      <c r="O1408" s="81"/>
      <c r="P1408" s="81"/>
      <c r="Q1408" s="81"/>
      <c r="R1408" s="81"/>
      <c r="S1408" s="81"/>
      <c r="T1408" s="81"/>
      <c r="U1408" s="81"/>
      <c r="V1408" s="94"/>
      <c r="W1408" s="94"/>
    </row>
    <row r="1409" spans="1:23" ht="21" customHeight="1">
      <c r="A1409">
        <f>Table4[[#This Row],[Column1]]</f>
        <v>0</v>
      </c>
      <c r="B1409">
        <f>Table4[[#This Row],[Column2]]</f>
        <v>0</v>
      </c>
      <c r="C1409" s="81"/>
      <c r="D1409" s="81"/>
      <c r="E1409" s="81"/>
      <c r="F1409" s="81"/>
      <c r="G1409" s="81"/>
      <c r="H1409" s="81"/>
      <c r="I1409" s="81"/>
      <c r="J1409" s="81"/>
      <c r="K1409" s="81"/>
      <c r="L1409" s="81"/>
      <c r="M1409" s="81"/>
      <c r="N1409" s="81"/>
      <c r="O1409" s="81"/>
      <c r="P1409" s="81"/>
      <c r="Q1409" s="81"/>
      <c r="R1409" s="81"/>
      <c r="S1409" s="81"/>
      <c r="T1409" s="81"/>
      <c r="U1409" s="81"/>
      <c r="V1409" s="94"/>
      <c r="W1409" s="94"/>
    </row>
    <row r="1410" spans="1:23" ht="21" customHeight="1">
      <c r="A1410">
        <f>Table4[[#This Row],[Column1]]</f>
        <v>0</v>
      </c>
      <c r="B1410">
        <f>Table4[[#This Row],[Column2]]</f>
        <v>0</v>
      </c>
      <c r="C1410" s="81"/>
      <c r="D1410" s="81"/>
      <c r="E1410" s="81"/>
      <c r="F1410" s="81"/>
      <c r="G1410" s="81"/>
      <c r="H1410" s="81"/>
      <c r="I1410" s="81"/>
      <c r="J1410" s="81"/>
      <c r="K1410" s="81"/>
      <c r="L1410" s="81"/>
      <c r="M1410" s="81"/>
      <c r="N1410" s="81"/>
      <c r="O1410" s="81"/>
      <c r="P1410" s="81"/>
      <c r="Q1410" s="81"/>
      <c r="R1410" s="81"/>
      <c r="S1410" s="81"/>
      <c r="T1410" s="81"/>
      <c r="U1410" s="81"/>
      <c r="V1410" s="94"/>
      <c r="W1410" s="94"/>
    </row>
    <row r="1411" spans="1:23" ht="21" customHeight="1">
      <c r="A1411">
        <f>Table4[[#This Row],[Column1]]</f>
        <v>0</v>
      </c>
      <c r="B1411">
        <f>Table4[[#This Row],[Column2]]</f>
        <v>0</v>
      </c>
      <c r="C1411" s="81"/>
      <c r="D1411" s="81"/>
      <c r="E1411" s="81"/>
      <c r="F1411" s="81"/>
      <c r="G1411" s="81"/>
      <c r="H1411" s="81"/>
      <c r="I1411" s="81"/>
      <c r="J1411" s="81"/>
      <c r="K1411" s="81"/>
      <c r="L1411" s="81"/>
      <c r="M1411" s="81"/>
      <c r="N1411" s="81"/>
      <c r="O1411" s="81"/>
      <c r="P1411" s="81"/>
      <c r="Q1411" s="81"/>
      <c r="R1411" s="81"/>
      <c r="S1411" s="81"/>
      <c r="T1411" s="81"/>
      <c r="U1411" s="81"/>
      <c r="V1411" s="94"/>
      <c r="W1411" s="94"/>
    </row>
    <row r="1412" spans="1:23" ht="21" customHeight="1">
      <c r="A1412">
        <f>Table4[[#This Row],[Column1]]</f>
        <v>0</v>
      </c>
      <c r="B1412">
        <f>Table4[[#This Row],[Column2]]</f>
        <v>0</v>
      </c>
      <c r="C1412" s="81"/>
      <c r="D1412" s="81"/>
      <c r="E1412" s="81"/>
      <c r="F1412" s="81"/>
      <c r="G1412" s="81"/>
      <c r="H1412" s="81"/>
      <c r="I1412" s="81"/>
      <c r="J1412" s="81"/>
      <c r="K1412" s="81"/>
      <c r="L1412" s="81"/>
      <c r="M1412" s="81"/>
      <c r="N1412" s="81"/>
      <c r="O1412" s="81"/>
      <c r="P1412" s="81"/>
      <c r="Q1412" s="81"/>
      <c r="R1412" s="81"/>
      <c r="S1412" s="81"/>
      <c r="T1412" s="81"/>
      <c r="U1412" s="81"/>
      <c r="V1412" s="94"/>
      <c r="W1412" s="94"/>
    </row>
    <row r="1413" spans="1:23" ht="21" customHeight="1">
      <c r="A1413">
        <f>Table4[[#This Row],[Column1]]</f>
        <v>0</v>
      </c>
      <c r="B1413">
        <f>Table4[[#This Row],[Column2]]</f>
        <v>0</v>
      </c>
      <c r="C1413" s="81"/>
      <c r="D1413" s="81"/>
      <c r="E1413" s="81"/>
      <c r="F1413" s="81"/>
      <c r="G1413" s="81"/>
      <c r="H1413" s="81"/>
      <c r="I1413" s="81"/>
      <c r="J1413" s="81"/>
      <c r="K1413" s="81"/>
      <c r="L1413" s="81"/>
      <c r="M1413" s="81"/>
      <c r="N1413" s="81"/>
      <c r="O1413" s="81"/>
      <c r="P1413" s="81"/>
      <c r="Q1413" s="81"/>
      <c r="R1413" s="81"/>
      <c r="S1413" s="81"/>
      <c r="T1413" s="81"/>
      <c r="U1413" s="81"/>
      <c r="V1413" s="94"/>
      <c r="W1413" s="94"/>
    </row>
    <row r="1414" spans="1:23" ht="21" customHeight="1">
      <c r="A1414">
        <f>Table4[[#This Row],[Column1]]</f>
        <v>0</v>
      </c>
      <c r="B1414">
        <f>Table4[[#This Row],[Column2]]</f>
        <v>0</v>
      </c>
      <c r="C1414" s="81"/>
      <c r="D1414" s="81"/>
      <c r="E1414" s="81"/>
      <c r="F1414" s="81"/>
      <c r="G1414" s="81"/>
      <c r="H1414" s="81"/>
      <c r="I1414" s="81"/>
      <c r="J1414" s="81"/>
      <c r="K1414" s="81"/>
      <c r="L1414" s="81"/>
      <c r="M1414" s="81"/>
      <c r="N1414" s="81"/>
      <c r="O1414" s="81"/>
      <c r="P1414" s="81"/>
      <c r="Q1414" s="81"/>
      <c r="R1414" s="81"/>
      <c r="S1414" s="81"/>
      <c r="T1414" s="81"/>
      <c r="U1414" s="81"/>
      <c r="V1414" s="94"/>
      <c r="W1414" s="94"/>
    </row>
    <row r="1415" spans="1:23" ht="21" customHeight="1">
      <c r="A1415">
        <f>Table4[[#This Row],[Column1]]</f>
        <v>0</v>
      </c>
      <c r="B1415">
        <f>Table4[[#This Row],[Column2]]</f>
        <v>0</v>
      </c>
      <c r="C1415" s="81"/>
      <c r="D1415" s="81"/>
      <c r="E1415" s="81"/>
      <c r="F1415" s="81"/>
      <c r="G1415" s="81"/>
      <c r="H1415" s="81"/>
      <c r="I1415" s="81"/>
      <c r="J1415" s="81"/>
      <c r="K1415" s="81"/>
      <c r="L1415" s="81"/>
      <c r="M1415" s="81"/>
      <c r="N1415" s="81"/>
      <c r="O1415" s="81"/>
      <c r="P1415" s="81"/>
      <c r="Q1415" s="81"/>
      <c r="R1415" s="81"/>
      <c r="S1415" s="81"/>
      <c r="T1415" s="81"/>
      <c r="U1415" s="81"/>
      <c r="V1415" s="94"/>
      <c r="W1415" s="94"/>
    </row>
    <row r="1416" spans="1:23" ht="21" customHeight="1">
      <c r="A1416">
        <f>Table4[[#This Row],[Column1]]</f>
        <v>0</v>
      </c>
      <c r="B1416">
        <f>Table4[[#This Row],[Column2]]</f>
        <v>0</v>
      </c>
      <c r="C1416" s="81"/>
      <c r="D1416" s="81"/>
      <c r="E1416" s="81"/>
      <c r="F1416" s="81"/>
      <c r="G1416" s="81"/>
      <c r="H1416" s="81"/>
      <c r="I1416" s="81"/>
      <c r="J1416" s="81"/>
      <c r="K1416" s="81"/>
      <c r="L1416" s="81"/>
      <c r="M1416" s="81"/>
      <c r="N1416" s="81"/>
      <c r="O1416" s="81"/>
      <c r="P1416" s="81"/>
      <c r="Q1416" s="81"/>
      <c r="R1416" s="81"/>
      <c r="S1416" s="81"/>
      <c r="T1416" s="81"/>
      <c r="U1416" s="81"/>
      <c r="V1416" s="94"/>
      <c r="W1416" s="94"/>
    </row>
    <row r="1417" spans="1:23" ht="21" customHeight="1">
      <c r="A1417">
        <f>Table4[[#This Row],[Column1]]</f>
        <v>0</v>
      </c>
      <c r="B1417">
        <f>Table4[[#This Row],[Column2]]</f>
        <v>0</v>
      </c>
      <c r="C1417" s="81"/>
      <c r="D1417" s="81"/>
      <c r="E1417" s="81"/>
      <c r="F1417" s="81"/>
      <c r="G1417" s="81"/>
      <c r="H1417" s="81"/>
      <c r="I1417" s="81"/>
      <c r="J1417" s="81"/>
      <c r="K1417" s="81"/>
      <c r="L1417" s="81"/>
      <c r="M1417" s="81"/>
      <c r="N1417" s="81"/>
      <c r="O1417" s="81"/>
      <c r="P1417" s="81"/>
      <c r="Q1417" s="81"/>
      <c r="R1417" s="81"/>
      <c r="S1417" s="81"/>
      <c r="T1417" s="81"/>
      <c r="U1417" s="81"/>
      <c r="V1417" s="94"/>
      <c r="W1417" s="94"/>
    </row>
    <row r="1418" spans="1:23" ht="21" customHeight="1">
      <c r="A1418">
        <f>Table4[[#This Row],[Column1]]</f>
        <v>0</v>
      </c>
      <c r="B1418">
        <f>Table4[[#This Row],[Column2]]</f>
        <v>0</v>
      </c>
      <c r="C1418" s="81"/>
      <c r="D1418" s="81"/>
      <c r="E1418" s="81"/>
      <c r="F1418" s="81"/>
      <c r="G1418" s="81"/>
      <c r="H1418" s="81"/>
      <c r="I1418" s="81"/>
      <c r="J1418" s="81"/>
      <c r="K1418" s="81"/>
      <c r="L1418" s="81"/>
      <c r="M1418" s="81"/>
      <c r="N1418" s="81"/>
      <c r="O1418" s="81"/>
      <c r="P1418" s="81"/>
      <c r="Q1418" s="81"/>
      <c r="R1418" s="81"/>
      <c r="S1418" s="81"/>
      <c r="T1418" s="81"/>
      <c r="U1418" s="81"/>
      <c r="V1418" s="94"/>
      <c r="W1418" s="94"/>
    </row>
    <row r="1419" spans="1:23" ht="21" customHeight="1">
      <c r="A1419">
        <f>Table4[[#This Row],[Column1]]</f>
        <v>0</v>
      </c>
      <c r="B1419">
        <f>Table4[[#This Row],[Column2]]</f>
        <v>0</v>
      </c>
      <c r="C1419" s="81"/>
      <c r="D1419" s="81"/>
      <c r="E1419" s="81"/>
      <c r="F1419" s="81"/>
      <c r="G1419" s="81"/>
      <c r="H1419" s="81"/>
      <c r="I1419" s="81"/>
      <c r="J1419" s="81"/>
      <c r="K1419" s="81"/>
      <c r="L1419" s="81"/>
      <c r="M1419" s="81"/>
      <c r="N1419" s="81"/>
      <c r="O1419" s="81"/>
      <c r="P1419" s="81"/>
      <c r="Q1419" s="81"/>
      <c r="R1419" s="81"/>
      <c r="S1419" s="81"/>
      <c r="T1419" s="81"/>
      <c r="U1419" s="81"/>
      <c r="V1419" s="94"/>
      <c r="W1419" s="94"/>
    </row>
    <row r="1420" spans="1:23" ht="21" customHeight="1">
      <c r="A1420">
        <f>Table4[[#This Row],[Column1]]</f>
        <v>0</v>
      </c>
      <c r="B1420">
        <f>Table4[[#This Row],[Column2]]</f>
        <v>0</v>
      </c>
      <c r="C1420" s="81"/>
      <c r="D1420" s="81"/>
      <c r="E1420" s="81"/>
      <c r="F1420" s="81"/>
      <c r="G1420" s="81"/>
      <c r="H1420" s="81"/>
      <c r="I1420" s="81"/>
      <c r="J1420" s="81"/>
      <c r="K1420" s="81"/>
      <c r="L1420" s="81"/>
      <c r="M1420" s="81"/>
      <c r="N1420" s="81"/>
      <c r="O1420" s="81"/>
      <c r="P1420" s="81"/>
      <c r="Q1420" s="81"/>
      <c r="R1420" s="81"/>
      <c r="S1420" s="81"/>
      <c r="T1420" s="81"/>
      <c r="U1420" s="81"/>
      <c r="V1420" s="94"/>
      <c r="W1420" s="94"/>
    </row>
    <row r="1421" spans="1:23" ht="21" customHeight="1">
      <c r="A1421">
        <f>Table4[[#This Row],[Column1]]</f>
        <v>0</v>
      </c>
      <c r="B1421">
        <f>Table4[[#This Row],[Column2]]</f>
        <v>0</v>
      </c>
      <c r="C1421" s="81"/>
      <c r="D1421" s="81"/>
      <c r="E1421" s="81"/>
      <c r="F1421" s="81"/>
      <c r="G1421" s="81"/>
      <c r="H1421" s="81"/>
      <c r="I1421" s="81"/>
      <c r="J1421" s="81"/>
      <c r="K1421" s="81"/>
      <c r="L1421" s="81"/>
      <c r="M1421" s="81"/>
      <c r="N1421" s="81"/>
      <c r="O1421" s="81"/>
      <c r="P1421" s="81"/>
      <c r="Q1421" s="81"/>
      <c r="R1421" s="81"/>
      <c r="S1421" s="81"/>
      <c r="T1421" s="81"/>
      <c r="U1421" s="81"/>
      <c r="V1421" s="94"/>
      <c r="W1421" s="94"/>
    </row>
    <row r="1422" spans="1:23" ht="21" customHeight="1">
      <c r="A1422">
        <f>Table4[[#This Row],[Column1]]</f>
        <v>0</v>
      </c>
      <c r="B1422">
        <f>Table4[[#This Row],[Column2]]</f>
        <v>0</v>
      </c>
      <c r="C1422" s="81"/>
      <c r="D1422" s="81"/>
      <c r="E1422" s="81"/>
      <c r="F1422" s="81"/>
      <c r="G1422" s="81"/>
      <c r="H1422" s="81"/>
      <c r="I1422" s="81"/>
      <c r="J1422" s="81"/>
      <c r="K1422" s="81"/>
      <c r="L1422" s="81"/>
      <c r="M1422" s="81"/>
      <c r="N1422" s="81"/>
      <c r="O1422" s="81"/>
      <c r="P1422" s="81"/>
      <c r="Q1422" s="81"/>
      <c r="R1422" s="81"/>
      <c r="S1422" s="81"/>
      <c r="T1422" s="81"/>
      <c r="U1422" s="81"/>
      <c r="V1422" s="94"/>
      <c r="W1422" s="94"/>
    </row>
    <row r="1423" spans="1:23" ht="21" customHeight="1">
      <c r="A1423">
        <f>Table4[[#This Row],[Column1]]</f>
        <v>0</v>
      </c>
      <c r="B1423">
        <f>Table4[[#This Row],[Column2]]</f>
        <v>0</v>
      </c>
      <c r="C1423" s="81"/>
      <c r="D1423" s="81"/>
      <c r="E1423" s="81"/>
      <c r="F1423" s="81"/>
      <c r="G1423" s="81"/>
      <c r="H1423" s="81"/>
      <c r="I1423" s="81"/>
      <c r="J1423" s="81"/>
      <c r="K1423" s="81"/>
      <c r="L1423" s="81"/>
      <c r="M1423" s="81"/>
      <c r="N1423" s="81"/>
      <c r="O1423" s="81"/>
      <c r="P1423" s="81"/>
      <c r="Q1423" s="81"/>
      <c r="R1423" s="81"/>
      <c r="S1423" s="81"/>
      <c r="T1423" s="81"/>
      <c r="U1423" s="81"/>
      <c r="V1423" s="94"/>
      <c r="W1423" s="94"/>
    </row>
    <row r="1424" spans="1:23" ht="21" customHeight="1">
      <c r="A1424">
        <f>Table4[[#This Row],[Column1]]</f>
        <v>0</v>
      </c>
      <c r="B1424">
        <f>Table4[[#This Row],[Column2]]</f>
        <v>0</v>
      </c>
      <c r="C1424" s="81"/>
      <c r="D1424" s="81"/>
      <c r="E1424" s="81"/>
      <c r="F1424" s="81"/>
      <c r="G1424" s="81"/>
      <c r="H1424" s="81"/>
      <c r="I1424" s="81"/>
      <c r="J1424" s="81"/>
      <c r="K1424" s="81"/>
      <c r="L1424" s="81"/>
      <c r="M1424" s="81"/>
      <c r="N1424" s="81"/>
      <c r="O1424" s="81"/>
      <c r="P1424" s="81"/>
      <c r="Q1424" s="81"/>
      <c r="R1424" s="81"/>
      <c r="S1424" s="81"/>
      <c r="T1424" s="81"/>
      <c r="U1424" s="81"/>
      <c r="V1424" s="94"/>
      <c r="W1424" s="94"/>
    </row>
    <row r="1425" spans="1:23" ht="21" customHeight="1">
      <c r="A1425">
        <f>Table4[[#This Row],[Column1]]</f>
        <v>0</v>
      </c>
      <c r="B1425">
        <f>Table4[[#This Row],[Column2]]</f>
        <v>0</v>
      </c>
      <c r="C1425" s="81"/>
      <c r="D1425" s="81"/>
      <c r="E1425" s="81"/>
      <c r="F1425" s="81"/>
      <c r="G1425" s="81"/>
      <c r="H1425" s="81"/>
      <c r="I1425" s="81"/>
      <c r="J1425" s="81"/>
      <c r="K1425" s="81"/>
      <c r="L1425" s="81"/>
      <c r="M1425" s="81"/>
      <c r="N1425" s="81"/>
      <c r="O1425" s="81"/>
      <c r="P1425" s="81"/>
      <c r="Q1425" s="81"/>
      <c r="R1425" s="81"/>
      <c r="S1425" s="81"/>
      <c r="T1425" s="81"/>
      <c r="U1425" s="81"/>
      <c r="V1425" s="94"/>
      <c r="W1425" s="94"/>
    </row>
    <row r="1426" spans="1:23" ht="21" customHeight="1">
      <c r="A1426">
        <f>Table4[[#This Row],[Column1]]</f>
        <v>0</v>
      </c>
      <c r="B1426">
        <f>Table4[[#This Row],[Column2]]</f>
        <v>0</v>
      </c>
      <c r="C1426" s="81"/>
      <c r="D1426" s="81"/>
      <c r="E1426" s="81"/>
      <c r="F1426" s="81"/>
      <c r="G1426" s="81"/>
      <c r="H1426" s="81"/>
      <c r="I1426" s="81"/>
      <c r="J1426" s="81"/>
      <c r="K1426" s="81"/>
      <c r="L1426" s="81"/>
      <c r="M1426" s="81"/>
      <c r="N1426" s="81"/>
      <c r="O1426" s="81"/>
      <c r="P1426" s="81"/>
      <c r="Q1426" s="81"/>
      <c r="R1426" s="81"/>
      <c r="S1426" s="81"/>
      <c r="T1426" s="81"/>
      <c r="U1426" s="81"/>
      <c r="V1426" s="94"/>
      <c r="W1426" s="94"/>
    </row>
    <row r="1427" spans="1:23" ht="21" customHeight="1">
      <c r="A1427">
        <f>Table4[[#This Row],[Column1]]</f>
        <v>0</v>
      </c>
      <c r="B1427">
        <f>Table4[[#This Row],[Column2]]</f>
        <v>0</v>
      </c>
      <c r="C1427" s="81"/>
      <c r="D1427" s="81"/>
      <c r="E1427" s="81"/>
      <c r="F1427" s="81"/>
      <c r="G1427" s="81"/>
      <c r="H1427" s="81"/>
      <c r="I1427" s="81"/>
      <c r="J1427" s="81"/>
      <c r="K1427" s="81"/>
      <c r="L1427" s="81"/>
      <c r="M1427" s="81"/>
      <c r="N1427" s="81"/>
      <c r="O1427" s="81"/>
      <c r="P1427" s="81"/>
      <c r="Q1427" s="81"/>
      <c r="R1427" s="81"/>
      <c r="S1427" s="81"/>
      <c r="T1427" s="81"/>
      <c r="U1427" s="81"/>
      <c r="V1427" s="94"/>
      <c r="W1427" s="94"/>
    </row>
    <row r="1428" spans="1:23" ht="21" customHeight="1">
      <c r="A1428">
        <f>Table4[[#This Row],[Column1]]</f>
        <v>0</v>
      </c>
      <c r="B1428">
        <f>Table4[[#This Row],[Column2]]</f>
        <v>0</v>
      </c>
      <c r="C1428" s="81"/>
      <c r="D1428" s="81"/>
      <c r="E1428" s="81"/>
      <c r="F1428" s="81"/>
      <c r="G1428" s="81"/>
      <c r="H1428" s="81"/>
      <c r="I1428" s="81"/>
      <c r="J1428" s="81"/>
      <c r="K1428" s="81"/>
      <c r="L1428" s="81"/>
      <c r="M1428" s="81"/>
      <c r="N1428" s="81"/>
      <c r="O1428" s="81"/>
      <c r="P1428" s="81"/>
      <c r="Q1428" s="81"/>
      <c r="R1428" s="81"/>
      <c r="S1428" s="81"/>
      <c r="T1428" s="81"/>
      <c r="U1428" s="81"/>
      <c r="V1428" s="94"/>
      <c r="W1428" s="94"/>
    </row>
    <row r="1429" spans="1:23" ht="21" customHeight="1">
      <c r="A1429">
        <f>Table4[[#This Row],[Column1]]</f>
        <v>0</v>
      </c>
      <c r="B1429">
        <f>Table4[[#This Row],[Column2]]</f>
        <v>0</v>
      </c>
      <c r="C1429" s="81"/>
      <c r="D1429" s="81"/>
      <c r="E1429" s="81"/>
      <c r="F1429" s="81"/>
      <c r="G1429" s="81"/>
      <c r="H1429" s="81"/>
      <c r="I1429" s="81"/>
      <c r="J1429" s="81"/>
      <c r="K1429" s="81"/>
      <c r="L1429" s="81"/>
      <c r="M1429" s="81"/>
      <c r="N1429" s="81"/>
      <c r="O1429" s="81"/>
      <c r="P1429" s="81"/>
      <c r="Q1429" s="81"/>
      <c r="R1429" s="81"/>
      <c r="S1429" s="81"/>
      <c r="T1429" s="81"/>
      <c r="U1429" s="81"/>
      <c r="V1429" s="94"/>
      <c r="W1429" s="94"/>
    </row>
    <row r="1430" spans="1:23" ht="21" customHeight="1">
      <c r="A1430">
        <f>Table4[[#This Row],[Column1]]</f>
        <v>0</v>
      </c>
      <c r="B1430">
        <f>Table4[[#This Row],[Column2]]</f>
        <v>0</v>
      </c>
      <c r="C1430" s="81"/>
      <c r="D1430" s="81"/>
      <c r="E1430" s="81"/>
      <c r="F1430" s="81"/>
      <c r="G1430" s="81"/>
      <c r="H1430" s="81"/>
      <c r="I1430" s="81"/>
      <c r="J1430" s="81"/>
      <c r="K1430" s="81"/>
      <c r="L1430" s="81"/>
      <c r="M1430" s="81"/>
      <c r="N1430" s="81"/>
      <c r="O1430" s="81"/>
      <c r="P1430" s="81"/>
      <c r="Q1430" s="81"/>
      <c r="R1430" s="81"/>
      <c r="S1430" s="81"/>
      <c r="T1430" s="81"/>
      <c r="U1430" s="81"/>
      <c r="V1430" s="94"/>
      <c r="W1430" s="94"/>
    </row>
    <row r="1431" spans="1:23" ht="21" customHeight="1">
      <c r="A1431">
        <f>Table4[[#This Row],[Column1]]</f>
        <v>0</v>
      </c>
      <c r="B1431">
        <f>Table4[[#This Row],[Column2]]</f>
        <v>0</v>
      </c>
      <c r="C1431" s="81"/>
      <c r="D1431" s="81"/>
      <c r="E1431" s="81"/>
      <c r="F1431" s="81"/>
      <c r="G1431" s="81"/>
      <c r="H1431" s="81"/>
      <c r="I1431" s="81"/>
      <c r="J1431" s="81"/>
      <c r="K1431" s="81"/>
      <c r="L1431" s="81"/>
      <c r="M1431" s="81"/>
      <c r="N1431" s="81"/>
      <c r="O1431" s="81"/>
      <c r="P1431" s="81"/>
      <c r="Q1431" s="81"/>
      <c r="R1431" s="81"/>
      <c r="S1431" s="81"/>
      <c r="T1431" s="81"/>
      <c r="U1431" s="81"/>
      <c r="V1431" s="94"/>
      <c r="W1431" s="94"/>
    </row>
    <row r="1432" spans="1:23" ht="21" customHeight="1">
      <c r="A1432">
        <f>Table4[[#This Row],[Column1]]</f>
        <v>0</v>
      </c>
      <c r="B1432">
        <f>Table4[[#This Row],[Column2]]</f>
        <v>0</v>
      </c>
      <c r="C1432" s="81"/>
      <c r="D1432" s="81"/>
      <c r="E1432" s="81"/>
      <c r="F1432" s="81"/>
      <c r="G1432" s="81"/>
      <c r="H1432" s="81"/>
      <c r="I1432" s="81"/>
      <c r="J1432" s="81"/>
      <c r="K1432" s="81"/>
      <c r="L1432" s="81"/>
      <c r="M1432" s="81"/>
      <c r="N1432" s="81"/>
      <c r="O1432" s="81"/>
      <c r="P1432" s="81"/>
      <c r="Q1432" s="81"/>
      <c r="R1432" s="81"/>
      <c r="S1432" s="81"/>
      <c r="T1432" s="81"/>
      <c r="U1432" s="81"/>
      <c r="V1432" s="94"/>
      <c r="W1432" s="94"/>
    </row>
    <row r="1433" spans="1:23" ht="21" customHeight="1">
      <c r="A1433">
        <f>Table4[[#This Row],[Column1]]</f>
        <v>0</v>
      </c>
      <c r="B1433">
        <f>Table4[[#This Row],[Column2]]</f>
        <v>0</v>
      </c>
      <c r="C1433" s="81"/>
      <c r="D1433" s="81"/>
      <c r="E1433" s="81"/>
      <c r="F1433" s="81"/>
      <c r="G1433" s="81"/>
      <c r="H1433" s="81"/>
      <c r="I1433" s="81"/>
      <c r="J1433" s="81"/>
      <c r="K1433" s="81"/>
      <c r="L1433" s="81"/>
      <c r="M1433" s="81"/>
      <c r="N1433" s="81"/>
      <c r="O1433" s="81"/>
      <c r="P1433" s="81"/>
      <c r="Q1433" s="81"/>
      <c r="R1433" s="81"/>
      <c r="S1433" s="81"/>
      <c r="T1433" s="81"/>
      <c r="U1433" s="81"/>
      <c r="V1433" s="94"/>
      <c r="W1433" s="94"/>
    </row>
    <row r="1434" spans="1:23" ht="21" customHeight="1">
      <c r="A1434">
        <f>Table4[[#This Row],[Column1]]</f>
        <v>0</v>
      </c>
      <c r="B1434">
        <f>Table4[[#This Row],[Column2]]</f>
        <v>0</v>
      </c>
      <c r="C1434" s="81"/>
      <c r="D1434" s="81"/>
      <c r="E1434" s="81"/>
      <c r="F1434" s="81"/>
      <c r="G1434" s="81"/>
      <c r="H1434" s="81"/>
      <c r="I1434" s="81"/>
      <c r="J1434" s="81"/>
      <c r="K1434" s="81"/>
      <c r="L1434" s="81"/>
      <c r="M1434" s="81"/>
      <c r="N1434" s="81"/>
      <c r="O1434" s="81"/>
      <c r="P1434" s="81"/>
      <c r="Q1434" s="81"/>
      <c r="R1434" s="81"/>
      <c r="S1434" s="81"/>
      <c r="T1434" s="81"/>
      <c r="U1434" s="81"/>
      <c r="V1434" s="94"/>
      <c r="W1434" s="94"/>
    </row>
    <row r="1435" spans="1:23" ht="21" customHeight="1">
      <c r="A1435">
        <f>Table4[[#This Row],[Column1]]</f>
        <v>0</v>
      </c>
      <c r="B1435">
        <f>Table4[[#This Row],[Column2]]</f>
        <v>0</v>
      </c>
      <c r="C1435" s="81"/>
      <c r="D1435" s="81"/>
      <c r="E1435" s="81"/>
      <c r="F1435" s="81"/>
      <c r="G1435" s="81"/>
      <c r="H1435" s="81"/>
      <c r="I1435" s="81"/>
      <c r="J1435" s="81"/>
      <c r="K1435" s="81"/>
      <c r="L1435" s="81"/>
      <c r="M1435" s="81"/>
      <c r="N1435" s="81"/>
      <c r="O1435" s="81"/>
      <c r="P1435" s="81"/>
      <c r="Q1435" s="81"/>
      <c r="R1435" s="81"/>
      <c r="S1435" s="81"/>
      <c r="T1435" s="81"/>
      <c r="U1435" s="81"/>
      <c r="V1435" s="94"/>
      <c r="W1435" s="94"/>
    </row>
    <row r="1436" spans="1:23" ht="21" customHeight="1">
      <c r="A1436">
        <f>Table4[[#This Row],[Column1]]</f>
        <v>0</v>
      </c>
      <c r="B1436">
        <f>Table4[[#This Row],[Column2]]</f>
        <v>0</v>
      </c>
      <c r="C1436" s="81"/>
      <c r="D1436" s="81"/>
      <c r="E1436" s="81"/>
      <c r="F1436" s="81"/>
      <c r="G1436" s="81"/>
      <c r="H1436" s="81"/>
      <c r="I1436" s="81"/>
      <c r="J1436" s="81"/>
      <c r="K1436" s="81"/>
      <c r="L1436" s="81"/>
      <c r="M1436" s="81"/>
      <c r="N1436" s="81"/>
      <c r="O1436" s="81"/>
      <c r="P1436" s="81"/>
      <c r="Q1436" s="81"/>
      <c r="R1436" s="81"/>
      <c r="S1436" s="81"/>
      <c r="T1436" s="81"/>
      <c r="U1436" s="81"/>
      <c r="V1436" s="94"/>
      <c r="W1436" s="94"/>
    </row>
    <row r="1437" spans="1:23" ht="21" customHeight="1">
      <c r="A1437">
        <f>Table4[[#This Row],[Column1]]</f>
        <v>0</v>
      </c>
      <c r="B1437">
        <f>Table4[[#This Row],[Column2]]</f>
        <v>0</v>
      </c>
      <c r="C1437" s="81"/>
      <c r="D1437" s="81"/>
      <c r="E1437" s="81"/>
      <c r="F1437" s="81"/>
      <c r="G1437" s="81"/>
      <c r="H1437" s="81"/>
      <c r="I1437" s="81"/>
      <c r="J1437" s="81"/>
      <c r="K1437" s="81"/>
      <c r="L1437" s="81"/>
      <c r="M1437" s="81"/>
      <c r="N1437" s="81"/>
      <c r="O1437" s="81"/>
      <c r="P1437" s="81"/>
      <c r="Q1437" s="81"/>
      <c r="R1437" s="81"/>
      <c r="S1437" s="81"/>
      <c r="T1437" s="81"/>
      <c r="U1437" s="81"/>
      <c r="V1437" s="94"/>
      <c r="W1437" s="94"/>
    </row>
    <row r="1438" spans="1:23" ht="21" customHeight="1">
      <c r="A1438">
        <f>Table4[[#This Row],[Column1]]</f>
        <v>0</v>
      </c>
      <c r="B1438">
        <f>Table4[[#This Row],[Column2]]</f>
        <v>0</v>
      </c>
      <c r="C1438" s="81"/>
      <c r="D1438" s="81"/>
      <c r="E1438" s="81"/>
      <c r="F1438" s="81"/>
      <c r="G1438" s="81"/>
      <c r="H1438" s="81"/>
      <c r="I1438" s="81"/>
      <c r="J1438" s="81"/>
      <c r="K1438" s="81"/>
      <c r="L1438" s="81"/>
      <c r="M1438" s="81"/>
      <c r="N1438" s="81"/>
      <c r="O1438" s="81"/>
      <c r="P1438" s="81"/>
      <c r="Q1438" s="81"/>
      <c r="R1438" s="81"/>
      <c r="S1438" s="81"/>
      <c r="T1438" s="81"/>
      <c r="U1438" s="81"/>
      <c r="V1438" s="94"/>
      <c r="W1438" s="94"/>
    </row>
    <row r="1439" spans="1:23" ht="21" customHeight="1">
      <c r="A1439">
        <f>Table4[[#This Row],[Column1]]</f>
        <v>0</v>
      </c>
      <c r="B1439">
        <f>Table4[[#This Row],[Column2]]</f>
        <v>0</v>
      </c>
      <c r="C1439" s="81"/>
      <c r="D1439" s="81"/>
      <c r="E1439" s="81"/>
      <c r="F1439" s="81"/>
      <c r="G1439" s="81"/>
      <c r="H1439" s="81"/>
      <c r="I1439" s="81"/>
      <c r="J1439" s="81"/>
      <c r="K1439" s="81"/>
      <c r="L1439" s="81"/>
      <c r="M1439" s="81"/>
      <c r="N1439" s="81"/>
      <c r="O1439" s="81"/>
      <c r="P1439" s="81"/>
      <c r="Q1439" s="81"/>
      <c r="R1439" s="81"/>
      <c r="S1439" s="81"/>
      <c r="T1439" s="81"/>
      <c r="U1439" s="81"/>
      <c r="V1439" s="94"/>
      <c r="W1439" s="94"/>
    </row>
    <row r="1440" spans="1:23" ht="21" customHeight="1">
      <c r="A1440">
        <f>Table4[[#This Row],[Column1]]</f>
        <v>0</v>
      </c>
      <c r="B1440">
        <f>Table4[[#This Row],[Column2]]</f>
        <v>0</v>
      </c>
      <c r="C1440" s="81"/>
      <c r="D1440" s="81"/>
      <c r="E1440" s="81"/>
      <c r="F1440" s="81"/>
      <c r="G1440" s="81"/>
      <c r="H1440" s="81"/>
      <c r="I1440" s="81"/>
      <c r="J1440" s="81"/>
      <c r="K1440" s="81"/>
      <c r="L1440" s="81"/>
      <c r="M1440" s="81"/>
      <c r="N1440" s="81"/>
      <c r="O1440" s="81"/>
      <c r="P1440" s="81"/>
      <c r="Q1440" s="81"/>
      <c r="R1440" s="81"/>
      <c r="S1440" s="81"/>
      <c r="T1440" s="81"/>
      <c r="U1440" s="81"/>
      <c r="V1440" s="94"/>
      <c r="W1440" s="94"/>
    </row>
    <row r="1441" spans="1:23" ht="21" customHeight="1">
      <c r="A1441">
        <f>Table4[[#This Row],[Column1]]</f>
        <v>0</v>
      </c>
      <c r="B1441">
        <f>Table4[[#This Row],[Column2]]</f>
        <v>0</v>
      </c>
      <c r="C1441" s="81"/>
      <c r="D1441" s="81"/>
      <c r="E1441" s="81"/>
      <c r="F1441" s="81"/>
      <c r="G1441" s="81"/>
      <c r="H1441" s="81"/>
      <c r="I1441" s="81"/>
      <c r="J1441" s="81"/>
      <c r="K1441" s="81"/>
      <c r="L1441" s="81"/>
      <c r="M1441" s="81"/>
      <c r="N1441" s="81"/>
      <c r="O1441" s="81"/>
      <c r="P1441" s="81"/>
      <c r="Q1441" s="81"/>
      <c r="R1441" s="81"/>
      <c r="S1441" s="81"/>
      <c r="T1441" s="81"/>
      <c r="U1441" s="81"/>
      <c r="V1441" s="94"/>
      <c r="W1441" s="94"/>
    </row>
    <row r="1442" spans="1:23" ht="21" customHeight="1">
      <c r="A1442">
        <f>Table4[[#This Row],[Column1]]</f>
        <v>0</v>
      </c>
      <c r="B1442">
        <f>Table4[[#This Row],[Column2]]</f>
        <v>0</v>
      </c>
      <c r="C1442" s="81"/>
      <c r="D1442" s="81"/>
      <c r="E1442" s="81"/>
      <c r="F1442" s="81"/>
      <c r="G1442" s="81"/>
      <c r="H1442" s="81"/>
      <c r="I1442" s="81"/>
      <c r="J1442" s="81"/>
      <c r="K1442" s="81"/>
      <c r="L1442" s="81"/>
      <c r="M1442" s="81"/>
      <c r="N1442" s="81"/>
      <c r="O1442" s="81"/>
      <c r="P1442" s="81"/>
      <c r="Q1442" s="81"/>
      <c r="R1442" s="81"/>
      <c r="S1442" s="81"/>
      <c r="T1442" s="81"/>
      <c r="U1442" s="81"/>
      <c r="V1442" s="94"/>
      <c r="W1442" s="94"/>
    </row>
    <row r="1443" spans="1:23" ht="21" customHeight="1">
      <c r="A1443">
        <f>Table4[[#This Row],[Column1]]</f>
        <v>0</v>
      </c>
      <c r="B1443">
        <f>Table4[[#This Row],[Column2]]</f>
        <v>0</v>
      </c>
      <c r="C1443" s="81"/>
      <c r="D1443" s="81"/>
      <c r="E1443" s="81"/>
      <c r="F1443" s="81"/>
      <c r="G1443" s="81"/>
      <c r="H1443" s="81"/>
      <c r="I1443" s="81"/>
      <c r="J1443" s="81"/>
      <c r="K1443" s="81"/>
      <c r="L1443" s="81"/>
      <c r="M1443" s="81"/>
      <c r="N1443" s="81"/>
      <c r="O1443" s="81"/>
      <c r="P1443" s="81"/>
      <c r="Q1443" s="81"/>
      <c r="R1443" s="81"/>
      <c r="S1443" s="81"/>
      <c r="T1443" s="81"/>
      <c r="U1443" s="81"/>
      <c r="V1443" s="94"/>
      <c r="W1443" s="94"/>
    </row>
    <row r="1444" spans="1:23" ht="21" customHeight="1">
      <c r="A1444">
        <f>Table4[[#This Row],[Column1]]</f>
        <v>0</v>
      </c>
      <c r="B1444">
        <f>Table4[[#This Row],[Column2]]</f>
        <v>0</v>
      </c>
      <c r="C1444" s="81"/>
      <c r="D1444" s="81"/>
      <c r="E1444" s="81"/>
      <c r="F1444" s="81"/>
      <c r="G1444" s="81"/>
      <c r="H1444" s="81"/>
      <c r="I1444" s="81"/>
      <c r="J1444" s="81"/>
      <c r="K1444" s="81"/>
      <c r="L1444" s="81"/>
      <c r="M1444" s="81"/>
      <c r="N1444" s="81"/>
      <c r="O1444" s="81"/>
      <c r="P1444" s="81"/>
      <c r="Q1444" s="81"/>
      <c r="R1444" s="81"/>
      <c r="S1444" s="81"/>
      <c r="T1444" s="81"/>
      <c r="U1444" s="81"/>
      <c r="V1444" s="94"/>
      <c r="W1444" s="94"/>
    </row>
    <row r="1445" spans="1:23" ht="21" customHeight="1">
      <c r="A1445">
        <f>Table4[[#This Row],[Column1]]</f>
        <v>0</v>
      </c>
      <c r="B1445">
        <f>Table4[[#This Row],[Column2]]</f>
        <v>0</v>
      </c>
      <c r="C1445" s="81"/>
      <c r="D1445" s="81"/>
      <c r="E1445" s="81"/>
      <c r="F1445" s="81"/>
      <c r="G1445" s="81"/>
      <c r="H1445" s="81"/>
      <c r="I1445" s="81"/>
      <c r="J1445" s="81"/>
      <c r="K1445" s="81"/>
      <c r="L1445" s="81"/>
      <c r="M1445" s="81"/>
      <c r="N1445" s="81"/>
      <c r="O1445" s="81"/>
      <c r="P1445" s="81"/>
      <c r="Q1445" s="81"/>
      <c r="R1445" s="81"/>
      <c r="S1445" s="81"/>
      <c r="T1445" s="81"/>
      <c r="U1445" s="81"/>
      <c r="V1445" s="94"/>
      <c r="W1445" s="94"/>
    </row>
    <row r="1446" spans="1:23" ht="21" customHeight="1">
      <c r="A1446">
        <f>Table4[[#This Row],[Column1]]</f>
        <v>0</v>
      </c>
      <c r="B1446">
        <f>Table4[[#This Row],[Column2]]</f>
        <v>0</v>
      </c>
      <c r="C1446" s="81"/>
      <c r="D1446" s="81"/>
      <c r="E1446" s="81"/>
      <c r="F1446" s="81"/>
      <c r="G1446" s="81"/>
      <c r="H1446" s="81"/>
      <c r="I1446" s="81"/>
      <c r="J1446" s="81"/>
      <c r="K1446" s="81"/>
      <c r="L1446" s="81"/>
      <c r="M1446" s="81"/>
      <c r="N1446" s="81"/>
      <c r="O1446" s="81"/>
      <c r="P1446" s="81"/>
      <c r="Q1446" s="81"/>
      <c r="R1446" s="81"/>
      <c r="S1446" s="81"/>
      <c r="T1446" s="81"/>
      <c r="U1446" s="81"/>
      <c r="V1446" s="94"/>
      <c r="W1446" s="94"/>
    </row>
    <row r="1447" spans="1:23" ht="21" customHeight="1">
      <c r="A1447">
        <f>Table4[[#This Row],[Column1]]</f>
        <v>0</v>
      </c>
      <c r="B1447">
        <f>Table4[[#This Row],[Column2]]</f>
        <v>0</v>
      </c>
      <c r="C1447" s="81"/>
      <c r="D1447" s="81"/>
      <c r="E1447" s="81"/>
      <c r="F1447" s="81"/>
      <c r="G1447" s="81"/>
      <c r="H1447" s="81"/>
      <c r="I1447" s="81"/>
      <c r="J1447" s="81"/>
      <c r="K1447" s="81"/>
      <c r="L1447" s="81"/>
      <c r="M1447" s="81"/>
      <c r="N1447" s="81"/>
      <c r="O1447" s="81"/>
      <c r="P1447" s="81"/>
      <c r="Q1447" s="81"/>
      <c r="R1447" s="81"/>
      <c r="S1447" s="81"/>
      <c r="T1447" s="81"/>
      <c r="U1447" s="81"/>
      <c r="V1447" s="94"/>
      <c r="W1447" s="94"/>
    </row>
    <row r="1448" spans="1:23" ht="21" customHeight="1">
      <c r="A1448">
        <f>Table4[[#This Row],[Column1]]</f>
        <v>0</v>
      </c>
      <c r="B1448">
        <f>Table4[[#This Row],[Column2]]</f>
        <v>0</v>
      </c>
      <c r="C1448" s="81"/>
      <c r="D1448" s="81"/>
      <c r="E1448" s="81"/>
      <c r="F1448" s="81"/>
      <c r="G1448" s="81"/>
      <c r="H1448" s="81"/>
      <c r="I1448" s="81"/>
      <c r="J1448" s="81"/>
      <c r="K1448" s="81"/>
      <c r="L1448" s="81"/>
      <c r="M1448" s="81"/>
      <c r="N1448" s="81"/>
      <c r="O1448" s="81"/>
      <c r="P1448" s="81"/>
      <c r="Q1448" s="81"/>
      <c r="R1448" s="81"/>
      <c r="S1448" s="81"/>
      <c r="T1448" s="81"/>
      <c r="U1448" s="81"/>
      <c r="V1448" s="94"/>
      <c r="W1448" s="94"/>
    </row>
    <row r="1449" spans="1:23" ht="21" customHeight="1">
      <c r="A1449">
        <f>Table4[[#This Row],[Column1]]</f>
        <v>0</v>
      </c>
      <c r="B1449">
        <f>Table4[[#This Row],[Column2]]</f>
        <v>0</v>
      </c>
      <c r="C1449" s="81"/>
      <c r="D1449" s="81"/>
      <c r="E1449" s="81"/>
      <c r="F1449" s="81"/>
      <c r="G1449" s="81"/>
      <c r="H1449" s="81"/>
      <c r="I1449" s="81"/>
      <c r="J1449" s="81"/>
      <c r="K1449" s="81"/>
      <c r="L1449" s="81"/>
      <c r="M1449" s="81"/>
      <c r="N1449" s="81"/>
      <c r="O1449" s="81"/>
      <c r="P1449" s="81"/>
      <c r="Q1449" s="81"/>
      <c r="R1449" s="81"/>
      <c r="S1449" s="81"/>
      <c r="T1449" s="81"/>
      <c r="U1449" s="81"/>
      <c r="V1449" s="94"/>
      <c r="W1449" s="94"/>
    </row>
    <row r="1450" spans="1:23" ht="21" customHeight="1">
      <c r="A1450">
        <f>Table4[[#This Row],[Column1]]</f>
        <v>0</v>
      </c>
      <c r="B1450">
        <f>Table4[[#This Row],[Column2]]</f>
        <v>0</v>
      </c>
      <c r="C1450" s="81"/>
      <c r="D1450" s="81"/>
      <c r="E1450" s="81"/>
      <c r="F1450" s="81"/>
      <c r="G1450" s="81"/>
      <c r="H1450" s="81"/>
      <c r="I1450" s="81"/>
      <c r="J1450" s="81"/>
      <c r="K1450" s="81"/>
      <c r="L1450" s="81"/>
      <c r="M1450" s="81"/>
      <c r="N1450" s="81"/>
      <c r="O1450" s="81"/>
      <c r="P1450" s="81"/>
      <c r="Q1450" s="81"/>
      <c r="R1450" s="81"/>
      <c r="S1450" s="81"/>
      <c r="T1450" s="81"/>
      <c r="U1450" s="81"/>
      <c r="V1450" s="94"/>
      <c r="W1450" s="94"/>
    </row>
    <row r="1451" spans="1:23" ht="21" customHeight="1">
      <c r="A1451">
        <f>Table4[[#This Row],[Column1]]</f>
        <v>0</v>
      </c>
      <c r="B1451">
        <f>Table4[[#This Row],[Column2]]</f>
        <v>0</v>
      </c>
      <c r="C1451" s="81"/>
      <c r="D1451" s="81"/>
      <c r="E1451" s="81"/>
      <c r="F1451" s="81"/>
      <c r="G1451" s="81"/>
      <c r="H1451" s="81"/>
      <c r="I1451" s="81"/>
      <c r="J1451" s="81"/>
      <c r="K1451" s="81"/>
      <c r="L1451" s="81"/>
      <c r="M1451" s="81"/>
      <c r="N1451" s="81"/>
      <c r="O1451" s="81"/>
      <c r="P1451" s="81"/>
      <c r="Q1451" s="81"/>
      <c r="R1451" s="81"/>
      <c r="S1451" s="81"/>
      <c r="T1451" s="81"/>
      <c r="U1451" s="81"/>
      <c r="V1451" s="94"/>
      <c r="W1451" s="94"/>
    </row>
    <row r="1452" spans="1:23" ht="21" customHeight="1">
      <c r="A1452">
        <f>Table4[[#This Row],[Column1]]</f>
        <v>0</v>
      </c>
      <c r="B1452">
        <f>Table4[[#This Row],[Column2]]</f>
        <v>0</v>
      </c>
      <c r="C1452" s="81"/>
      <c r="D1452" s="81"/>
      <c r="E1452" s="81"/>
      <c r="F1452" s="81"/>
      <c r="G1452" s="81"/>
      <c r="H1452" s="81"/>
      <c r="I1452" s="81"/>
      <c r="J1452" s="81"/>
      <c r="K1452" s="81"/>
      <c r="L1452" s="81"/>
      <c r="M1452" s="81"/>
      <c r="N1452" s="81"/>
      <c r="O1452" s="81"/>
      <c r="P1452" s="81"/>
      <c r="Q1452" s="81"/>
      <c r="R1452" s="81"/>
      <c r="S1452" s="81"/>
      <c r="T1452" s="81"/>
      <c r="U1452" s="81"/>
      <c r="V1452" s="94"/>
      <c r="W1452" s="94"/>
    </row>
    <row r="1453" spans="1:23" ht="21" customHeight="1">
      <c r="A1453">
        <f>Table4[[#This Row],[Column1]]</f>
        <v>0</v>
      </c>
      <c r="B1453">
        <f>Table4[[#This Row],[Column2]]</f>
        <v>0</v>
      </c>
      <c r="C1453" s="81"/>
      <c r="D1453" s="81"/>
      <c r="E1453" s="81"/>
      <c r="F1453" s="81"/>
      <c r="G1453" s="81"/>
      <c r="H1453" s="81"/>
      <c r="I1453" s="81"/>
      <c r="J1453" s="81"/>
      <c r="K1453" s="81"/>
      <c r="L1453" s="81"/>
      <c r="M1453" s="81"/>
      <c r="N1453" s="81"/>
      <c r="O1453" s="81"/>
      <c r="P1453" s="81"/>
      <c r="Q1453" s="81"/>
      <c r="R1453" s="81"/>
      <c r="S1453" s="81"/>
      <c r="T1453" s="81"/>
      <c r="U1453" s="81"/>
      <c r="V1453" s="94"/>
      <c r="W1453" s="94"/>
    </row>
    <row r="1454" spans="1:23" ht="21" customHeight="1">
      <c r="A1454">
        <f>Table4[[#This Row],[Column1]]</f>
        <v>0</v>
      </c>
      <c r="B1454">
        <f>Table4[[#This Row],[Column2]]</f>
        <v>0</v>
      </c>
      <c r="C1454" s="81"/>
      <c r="D1454" s="81"/>
      <c r="E1454" s="81"/>
      <c r="F1454" s="81"/>
      <c r="G1454" s="81"/>
      <c r="H1454" s="81"/>
      <c r="I1454" s="81"/>
      <c r="J1454" s="81"/>
      <c r="K1454" s="81"/>
      <c r="L1454" s="81"/>
      <c r="M1454" s="81"/>
      <c r="N1454" s="81"/>
      <c r="O1454" s="81"/>
      <c r="P1454" s="81"/>
      <c r="Q1454" s="81"/>
      <c r="R1454" s="81"/>
      <c r="S1454" s="81"/>
      <c r="T1454" s="81"/>
      <c r="U1454" s="81"/>
      <c r="V1454" s="94"/>
      <c r="W1454" s="94"/>
    </row>
    <row r="1455" spans="1:23" ht="21" customHeight="1">
      <c r="A1455">
        <f>Table4[[#This Row],[Column1]]</f>
        <v>0</v>
      </c>
      <c r="B1455">
        <f>Table4[[#This Row],[Column2]]</f>
        <v>0</v>
      </c>
      <c r="C1455" s="81"/>
      <c r="D1455" s="81"/>
      <c r="E1455" s="81"/>
      <c r="F1455" s="81"/>
      <c r="G1455" s="81"/>
      <c r="H1455" s="81"/>
      <c r="I1455" s="81"/>
      <c r="J1455" s="81"/>
      <c r="K1455" s="81"/>
      <c r="L1455" s="81"/>
      <c r="M1455" s="81"/>
      <c r="N1455" s="81"/>
      <c r="O1455" s="81"/>
      <c r="P1455" s="81"/>
      <c r="Q1455" s="81"/>
      <c r="R1455" s="81"/>
      <c r="S1455" s="81"/>
      <c r="T1455" s="81"/>
      <c r="U1455" s="81"/>
      <c r="V1455" s="94"/>
      <c r="W1455" s="94"/>
    </row>
    <row r="1456" spans="1:23" ht="21" customHeight="1">
      <c r="A1456">
        <f>Table4[[#This Row],[Column1]]</f>
        <v>0</v>
      </c>
      <c r="B1456">
        <f>Table4[[#This Row],[Column2]]</f>
        <v>0</v>
      </c>
      <c r="C1456" s="81"/>
      <c r="D1456" s="81"/>
      <c r="E1456" s="81"/>
      <c r="F1456" s="81"/>
      <c r="G1456" s="81"/>
      <c r="H1456" s="81"/>
      <c r="I1456" s="81"/>
      <c r="J1456" s="81"/>
      <c r="K1456" s="81"/>
      <c r="L1456" s="81"/>
      <c r="M1456" s="81"/>
      <c r="N1456" s="81"/>
      <c r="O1456" s="81"/>
      <c r="P1456" s="81"/>
      <c r="Q1456" s="81"/>
      <c r="R1456" s="81"/>
      <c r="S1456" s="81"/>
      <c r="T1456" s="81"/>
      <c r="U1456" s="81"/>
      <c r="V1456" s="94"/>
      <c r="W1456" s="94"/>
    </row>
    <row r="1457" spans="1:23" ht="21" customHeight="1">
      <c r="A1457">
        <f>Table4[[#This Row],[Column1]]</f>
        <v>0</v>
      </c>
      <c r="B1457">
        <f>Table4[[#This Row],[Column2]]</f>
        <v>0</v>
      </c>
      <c r="C1457" s="81"/>
      <c r="D1457" s="81"/>
      <c r="E1457" s="81"/>
      <c r="F1457" s="81"/>
      <c r="G1457" s="81"/>
      <c r="H1457" s="81"/>
      <c r="I1457" s="81"/>
      <c r="J1457" s="81"/>
      <c r="K1457" s="81"/>
      <c r="L1457" s="81"/>
      <c r="M1457" s="81"/>
      <c r="N1457" s="81"/>
      <c r="O1457" s="81"/>
      <c r="P1457" s="81"/>
      <c r="Q1457" s="81"/>
      <c r="R1457" s="81"/>
      <c r="S1457" s="81"/>
      <c r="T1457" s="81"/>
      <c r="U1457" s="81"/>
      <c r="V1457" s="94"/>
      <c r="W1457" s="94"/>
    </row>
    <row r="1458" spans="1:23" ht="21" customHeight="1">
      <c r="A1458">
        <f>Table4[[#This Row],[Column1]]</f>
        <v>0</v>
      </c>
      <c r="B1458">
        <f>Table4[[#This Row],[Column2]]</f>
        <v>0</v>
      </c>
      <c r="C1458" s="81"/>
      <c r="D1458" s="81"/>
      <c r="E1458" s="81"/>
      <c r="F1458" s="81"/>
      <c r="G1458" s="81"/>
      <c r="H1458" s="81"/>
      <c r="I1458" s="81"/>
      <c r="J1458" s="81"/>
      <c r="K1458" s="81"/>
      <c r="L1458" s="81"/>
      <c r="M1458" s="81"/>
      <c r="N1458" s="81"/>
      <c r="O1458" s="81"/>
      <c r="P1458" s="81"/>
      <c r="Q1458" s="81"/>
      <c r="R1458" s="81"/>
      <c r="S1458" s="81"/>
      <c r="T1458" s="81"/>
      <c r="U1458" s="81"/>
      <c r="V1458" s="94"/>
      <c r="W1458" s="94"/>
    </row>
    <row r="1459" spans="1:23" ht="21" customHeight="1">
      <c r="A1459">
        <f>Table4[[#This Row],[Column1]]</f>
        <v>0</v>
      </c>
      <c r="B1459">
        <f>Table4[[#This Row],[Column2]]</f>
        <v>0</v>
      </c>
      <c r="C1459" s="81"/>
      <c r="D1459" s="81"/>
      <c r="E1459" s="81"/>
      <c r="F1459" s="81"/>
      <c r="G1459" s="81"/>
      <c r="H1459" s="81"/>
      <c r="I1459" s="81"/>
      <c r="J1459" s="81"/>
      <c r="K1459" s="81"/>
      <c r="L1459" s="81"/>
      <c r="M1459" s="81"/>
      <c r="N1459" s="81"/>
      <c r="O1459" s="81"/>
      <c r="P1459" s="81"/>
      <c r="Q1459" s="81"/>
      <c r="R1459" s="81"/>
      <c r="S1459" s="81"/>
      <c r="T1459" s="81"/>
      <c r="U1459" s="81"/>
      <c r="V1459" s="94"/>
      <c r="W1459" s="94"/>
    </row>
    <row r="1460" spans="1:23" ht="21" customHeight="1">
      <c r="A1460">
        <f>Table4[[#This Row],[Column1]]</f>
        <v>0</v>
      </c>
      <c r="B1460">
        <f>Table4[[#This Row],[Column2]]</f>
        <v>0</v>
      </c>
      <c r="C1460" s="81"/>
      <c r="D1460" s="81"/>
      <c r="E1460" s="81"/>
      <c r="F1460" s="81"/>
      <c r="G1460" s="81"/>
      <c r="H1460" s="81"/>
      <c r="I1460" s="81"/>
      <c r="J1460" s="81"/>
      <c r="K1460" s="81"/>
      <c r="L1460" s="81"/>
      <c r="M1460" s="81"/>
      <c r="N1460" s="81"/>
      <c r="O1460" s="81"/>
      <c r="P1460" s="81"/>
      <c r="Q1460" s="81"/>
      <c r="R1460" s="81"/>
      <c r="S1460" s="81"/>
      <c r="T1460" s="81"/>
      <c r="U1460" s="81"/>
      <c r="V1460" s="94"/>
      <c r="W1460" s="94"/>
    </row>
    <row r="1461" spans="1:23" ht="21" customHeight="1">
      <c r="A1461">
        <f>Table4[[#This Row],[Column1]]</f>
        <v>0</v>
      </c>
      <c r="B1461">
        <f>Table4[[#This Row],[Column2]]</f>
        <v>0</v>
      </c>
      <c r="C1461" s="81"/>
      <c r="D1461" s="81"/>
      <c r="E1461" s="81"/>
      <c r="F1461" s="81"/>
      <c r="G1461" s="81"/>
      <c r="H1461" s="81"/>
      <c r="I1461" s="81"/>
      <c r="J1461" s="81"/>
      <c r="K1461" s="81"/>
      <c r="L1461" s="81"/>
      <c r="M1461" s="81"/>
      <c r="N1461" s="81"/>
      <c r="O1461" s="81"/>
      <c r="P1461" s="81"/>
      <c r="Q1461" s="81"/>
      <c r="R1461" s="81"/>
      <c r="S1461" s="81"/>
      <c r="T1461" s="81"/>
      <c r="U1461" s="81"/>
      <c r="V1461" s="94"/>
      <c r="W1461" s="94"/>
    </row>
    <row r="1462" spans="1:23" ht="21" customHeight="1">
      <c r="A1462">
        <f>Table4[[#This Row],[Column1]]</f>
        <v>0</v>
      </c>
      <c r="B1462">
        <f>Table4[[#This Row],[Column2]]</f>
        <v>0</v>
      </c>
      <c r="C1462" s="81"/>
      <c r="D1462" s="81"/>
      <c r="E1462" s="81"/>
      <c r="F1462" s="81"/>
      <c r="G1462" s="81"/>
      <c r="H1462" s="81"/>
      <c r="I1462" s="81"/>
      <c r="J1462" s="81"/>
      <c r="K1462" s="81"/>
      <c r="L1462" s="81"/>
      <c r="M1462" s="81"/>
      <c r="N1462" s="81"/>
      <c r="O1462" s="81"/>
      <c r="P1462" s="81"/>
      <c r="Q1462" s="81"/>
      <c r="R1462" s="81"/>
      <c r="S1462" s="81"/>
      <c r="T1462" s="81"/>
      <c r="U1462" s="81"/>
      <c r="V1462" s="94"/>
      <c r="W1462" s="94"/>
    </row>
    <row r="1463" spans="1:23" ht="21" customHeight="1">
      <c r="A1463">
        <f>Table4[[#This Row],[Column1]]</f>
        <v>0</v>
      </c>
      <c r="B1463">
        <f>Table4[[#This Row],[Column2]]</f>
        <v>0</v>
      </c>
      <c r="C1463" s="81"/>
      <c r="D1463" s="81"/>
      <c r="E1463" s="81"/>
      <c r="F1463" s="81"/>
      <c r="G1463" s="81"/>
      <c r="H1463" s="81"/>
      <c r="I1463" s="81"/>
      <c r="J1463" s="81"/>
      <c r="K1463" s="81"/>
      <c r="L1463" s="81"/>
      <c r="M1463" s="81"/>
      <c r="N1463" s="81"/>
      <c r="O1463" s="81"/>
      <c r="P1463" s="81"/>
      <c r="Q1463" s="81"/>
      <c r="R1463" s="81"/>
      <c r="S1463" s="81"/>
      <c r="T1463" s="81"/>
      <c r="U1463" s="81"/>
      <c r="V1463" s="94"/>
      <c r="W1463" s="94"/>
    </row>
    <row r="1464" spans="1:23" ht="21" customHeight="1">
      <c r="A1464">
        <f>Table4[[#This Row],[Column1]]</f>
        <v>0</v>
      </c>
      <c r="B1464">
        <f>Table4[[#This Row],[Column2]]</f>
        <v>0</v>
      </c>
      <c r="C1464" s="81"/>
      <c r="D1464" s="81"/>
      <c r="E1464" s="81"/>
      <c r="F1464" s="81"/>
      <c r="G1464" s="81"/>
      <c r="H1464" s="81"/>
      <c r="I1464" s="81"/>
      <c r="J1464" s="81"/>
      <c r="K1464" s="81"/>
      <c r="L1464" s="81"/>
      <c r="M1464" s="81"/>
      <c r="N1464" s="81"/>
      <c r="O1464" s="81"/>
      <c r="P1464" s="81"/>
      <c r="Q1464" s="81"/>
      <c r="R1464" s="81"/>
      <c r="S1464" s="81"/>
      <c r="T1464" s="81"/>
      <c r="U1464" s="81"/>
      <c r="V1464" s="94"/>
      <c r="W1464" s="94"/>
    </row>
    <row r="1465" spans="1:23" ht="21" customHeight="1">
      <c r="A1465">
        <f>Table4[[#This Row],[Column1]]</f>
        <v>0</v>
      </c>
      <c r="B1465">
        <f>Table4[[#This Row],[Column2]]</f>
        <v>0</v>
      </c>
      <c r="C1465" s="81"/>
      <c r="D1465" s="81"/>
      <c r="E1465" s="81"/>
      <c r="F1465" s="81"/>
      <c r="G1465" s="81"/>
      <c r="H1465" s="81"/>
      <c r="I1465" s="81"/>
      <c r="J1465" s="81"/>
      <c r="K1465" s="81"/>
      <c r="L1465" s="81"/>
      <c r="M1465" s="81"/>
      <c r="N1465" s="81"/>
      <c r="O1465" s="81"/>
      <c r="P1465" s="81"/>
      <c r="Q1465" s="81"/>
      <c r="R1465" s="81"/>
      <c r="S1465" s="81"/>
      <c r="T1465" s="81"/>
      <c r="U1465" s="81"/>
      <c r="V1465" s="94"/>
      <c r="W1465" s="94"/>
    </row>
    <row r="1466" spans="1:23" ht="21" customHeight="1">
      <c r="A1466">
        <f>Table4[[#This Row],[Column1]]</f>
        <v>0</v>
      </c>
      <c r="B1466">
        <f>Table4[[#This Row],[Column2]]</f>
        <v>0</v>
      </c>
      <c r="C1466" s="81"/>
      <c r="D1466" s="81"/>
      <c r="E1466" s="81"/>
      <c r="F1466" s="81"/>
      <c r="G1466" s="81"/>
      <c r="H1466" s="81"/>
      <c r="I1466" s="81"/>
      <c r="J1466" s="81"/>
      <c r="K1466" s="81"/>
      <c r="L1466" s="81"/>
      <c r="M1466" s="81"/>
      <c r="N1466" s="81"/>
      <c r="O1466" s="81"/>
      <c r="P1466" s="81"/>
      <c r="Q1466" s="81"/>
      <c r="R1466" s="81"/>
      <c r="S1466" s="81"/>
      <c r="T1466" s="81"/>
      <c r="U1466" s="81"/>
      <c r="V1466" s="94"/>
      <c r="W1466" s="94"/>
    </row>
    <row r="1467" spans="1:23" ht="21" customHeight="1">
      <c r="A1467">
        <f>Table4[[#This Row],[Column1]]</f>
        <v>0</v>
      </c>
      <c r="B1467">
        <f>Table4[[#This Row],[Column2]]</f>
        <v>0</v>
      </c>
      <c r="C1467" s="81"/>
      <c r="D1467" s="81"/>
      <c r="E1467" s="81"/>
      <c r="F1467" s="81"/>
      <c r="G1467" s="81"/>
      <c r="H1467" s="81"/>
      <c r="I1467" s="81"/>
      <c r="J1467" s="81"/>
      <c r="K1467" s="81"/>
      <c r="L1467" s="81"/>
      <c r="M1467" s="81"/>
      <c r="N1467" s="81"/>
      <c r="O1467" s="81"/>
      <c r="P1467" s="81"/>
      <c r="Q1467" s="81"/>
      <c r="R1467" s="81"/>
      <c r="S1467" s="81"/>
      <c r="T1467" s="81"/>
      <c r="U1467" s="81"/>
      <c r="V1467" s="94"/>
      <c r="W1467" s="94"/>
    </row>
    <row r="1468" spans="1:23" ht="21" customHeight="1">
      <c r="A1468">
        <f>Table4[[#This Row],[Column1]]</f>
        <v>0</v>
      </c>
      <c r="B1468">
        <f>Table4[[#This Row],[Column2]]</f>
        <v>0</v>
      </c>
      <c r="C1468" s="81"/>
      <c r="D1468" s="81"/>
      <c r="E1468" s="81"/>
      <c r="F1468" s="81"/>
      <c r="G1468" s="81"/>
      <c r="H1468" s="81"/>
      <c r="I1468" s="81"/>
      <c r="J1468" s="81"/>
      <c r="K1468" s="81"/>
      <c r="L1468" s="81"/>
      <c r="M1468" s="81"/>
      <c r="N1468" s="81"/>
      <c r="O1468" s="81"/>
      <c r="P1468" s="81"/>
      <c r="Q1468" s="81"/>
      <c r="R1468" s="81"/>
      <c r="S1468" s="81"/>
      <c r="T1468" s="81"/>
      <c r="U1468" s="81"/>
      <c r="V1468" s="94"/>
      <c r="W1468" s="94"/>
    </row>
    <row r="1469" spans="1:23" ht="21" customHeight="1">
      <c r="A1469">
        <f>Table4[[#This Row],[Column1]]</f>
        <v>0</v>
      </c>
      <c r="B1469">
        <f>Table4[[#This Row],[Column2]]</f>
        <v>0</v>
      </c>
      <c r="C1469" s="81"/>
      <c r="D1469" s="81"/>
      <c r="E1469" s="81"/>
      <c r="F1469" s="81"/>
      <c r="G1469" s="81"/>
      <c r="H1469" s="81"/>
      <c r="I1469" s="81"/>
      <c r="J1469" s="81"/>
      <c r="K1469" s="81"/>
      <c r="L1469" s="81"/>
      <c r="M1469" s="81"/>
      <c r="N1469" s="81"/>
      <c r="O1469" s="81"/>
      <c r="P1469" s="81"/>
      <c r="Q1469" s="81"/>
      <c r="R1469" s="81"/>
      <c r="S1469" s="81"/>
      <c r="T1469" s="81"/>
      <c r="U1469" s="81"/>
      <c r="V1469" s="94"/>
      <c r="W1469" s="94"/>
    </row>
    <row r="1470" spans="1:23" ht="21" customHeight="1">
      <c r="A1470">
        <f>Table4[[#This Row],[Column1]]</f>
        <v>0</v>
      </c>
      <c r="B1470">
        <f>Table4[[#This Row],[Column2]]</f>
        <v>0</v>
      </c>
      <c r="C1470" s="81"/>
      <c r="D1470" s="81"/>
      <c r="E1470" s="81"/>
      <c r="F1470" s="81"/>
      <c r="G1470" s="81"/>
      <c r="H1470" s="81"/>
      <c r="I1470" s="81"/>
      <c r="J1470" s="81"/>
      <c r="K1470" s="81"/>
      <c r="L1470" s="81"/>
      <c r="M1470" s="81"/>
      <c r="N1470" s="81"/>
      <c r="O1470" s="81"/>
      <c r="P1470" s="81"/>
      <c r="Q1470" s="81"/>
      <c r="R1470" s="81"/>
      <c r="S1470" s="81"/>
      <c r="T1470" s="81"/>
      <c r="U1470" s="81"/>
      <c r="V1470" s="94"/>
      <c r="W1470" s="94"/>
    </row>
    <row r="1471" spans="1:23" ht="21" customHeight="1">
      <c r="A1471">
        <f>Table4[[#This Row],[Column1]]</f>
        <v>0</v>
      </c>
      <c r="B1471">
        <f>Table4[[#This Row],[Column2]]</f>
        <v>0</v>
      </c>
      <c r="C1471" s="81"/>
      <c r="D1471" s="81"/>
      <c r="E1471" s="81"/>
      <c r="F1471" s="81"/>
      <c r="G1471" s="81"/>
      <c r="H1471" s="81"/>
      <c r="I1471" s="81"/>
      <c r="J1471" s="81"/>
      <c r="K1471" s="81"/>
      <c r="L1471" s="81"/>
      <c r="M1471" s="81"/>
      <c r="N1471" s="81"/>
      <c r="O1471" s="81"/>
      <c r="P1471" s="81"/>
      <c r="Q1471" s="81"/>
      <c r="R1471" s="81"/>
      <c r="S1471" s="81"/>
      <c r="T1471" s="81"/>
      <c r="U1471" s="81"/>
      <c r="V1471" s="94"/>
      <c r="W1471" s="94"/>
    </row>
    <row r="1472" spans="1:23" ht="21" customHeight="1">
      <c r="A1472">
        <f>Table4[[#This Row],[Column1]]</f>
        <v>0</v>
      </c>
      <c r="B1472">
        <f>Table4[[#This Row],[Column2]]</f>
        <v>0</v>
      </c>
      <c r="C1472" s="81"/>
      <c r="D1472" s="81"/>
      <c r="E1472" s="81"/>
      <c r="F1472" s="81"/>
      <c r="G1472" s="81"/>
      <c r="H1472" s="81"/>
      <c r="I1472" s="81"/>
      <c r="J1472" s="81"/>
      <c r="K1472" s="81"/>
      <c r="L1472" s="81"/>
      <c r="M1472" s="81"/>
      <c r="N1472" s="81"/>
      <c r="O1472" s="81"/>
      <c r="P1472" s="81"/>
      <c r="Q1472" s="81"/>
      <c r="R1472" s="81"/>
      <c r="S1472" s="81"/>
      <c r="T1472" s="81"/>
      <c r="U1472" s="81"/>
      <c r="V1472" s="94"/>
      <c r="W1472" s="94"/>
    </row>
    <row r="1473" spans="1:23" ht="21" customHeight="1">
      <c r="A1473">
        <f>Table4[[#This Row],[Column1]]</f>
        <v>0</v>
      </c>
      <c r="B1473">
        <f>Table4[[#This Row],[Column2]]</f>
        <v>0</v>
      </c>
      <c r="C1473" s="81"/>
      <c r="D1473" s="81"/>
      <c r="E1473" s="81"/>
      <c r="F1473" s="81"/>
      <c r="G1473" s="81"/>
      <c r="H1473" s="81"/>
      <c r="I1473" s="81"/>
      <c r="J1473" s="81"/>
      <c r="K1473" s="81"/>
      <c r="L1473" s="81"/>
      <c r="M1473" s="81"/>
      <c r="N1473" s="81"/>
      <c r="O1473" s="81"/>
      <c r="P1473" s="81"/>
      <c r="Q1473" s="81"/>
      <c r="R1473" s="81"/>
      <c r="S1473" s="81"/>
      <c r="T1473" s="81"/>
      <c r="U1473" s="81"/>
      <c r="V1473" s="94"/>
      <c r="W1473" s="94"/>
    </row>
    <row r="1474" spans="1:23" ht="21" customHeight="1">
      <c r="A1474">
        <f>Table4[[#This Row],[Column1]]</f>
        <v>0</v>
      </c>
      <c r="B1474">
        <f>Table4[[#This Row],[Column2]]</f>
        <v>0</v>
      </c>
      <c r="C1474" s="81"/>
      <c r="D1474" s="81"/>
      <c r="E1474" s="81"/>
      <c r="F1474" s="81"/>
      <c r="G1474" s="81"/>
      <c r="H1474" s="81"/>
      <c r="I1474" s="81"/>
      <c r="J1474" s="81"/>
      <c r="K1474" s="81"/>
      <c r="L1474" s="81"/>
      <c r="M1474" s="81"/>
      <c r="N1474" s="81"/>
      <c r="O1474" s="81"/>
      <c r="P1474" s="81"/>
      <c r="Q1474" s="81"/>
      <c r="R1474" s="81"/>
      <c r="S1474" s="81"/>
      <c r="T1474" s="81"/>
      <c r="U1474" s="81"/>
      <c r="V1474" s="94"/>
      <c r="W1474" s="94"/>
    </row>
    <row r="1475" spans="1:23" ht="21" customHeight="1">
      <c r="A1475">
        <f>Table4[[#This Row],[Column1]]</f>
        <v>0</v>
      </c>
      <c r="B1475">
        <f>Table4[[#This Row],[Column2]]</f>
        <v>0</v>
      </c>
      <c r="C1475" s="81"/>
      <c r="D1475" s="81"/>
      <c r="E1475" s="81"/>
      <c r="F1475" s="81"/>
      <c r="G1475" s="81"/>
      <c r="H1475" s="81"/>
      <c r="I1475" s="81"/>
      <c r="J1475" s="81"/>
      <c r="K1475" s="81"/>
      <c r="L1475" s="81"/>
      <c r="M1475" s="81"/>
      <c r="N1475" s="81"/>
      <c r="O1475" s="81"/>
      <c r="P1475" s="81"/>
      <c r="Q1475" s="81"/>
      <c r="R1475" s="81"/>
      <c r="S1475" s="81"/>
      <c r="T1475" s="81"/>
      <c r="U1475" s="81"/>
      <c r="V1475" s="94"/>
      <c r="W1475" s="94"/>
    </row>
    <row r="1476" spans="1:23" ht="21" customHeight="1">
      <c r="A1476">
        <f>Table4[[#This Row],[Column1]]</f>
        <v>0</v>
      </c>
      <c r="B1476">
        <f>Table4[[#This Row],[Column2]]</f>
        <v>0</v>
      </c>
      <c r="C1476" s="81"/>
      <c r="D1476" s="81"/>
      <c r="E1476" s="81"/>
      <c r="F1476" s="81"/>
      <c r="G1476" s="81"/>
      <c r="H1476" s="81"/>
      <c r="I1476" s="81"/>
      <c r="J1476" s="81"/>
      <c r="K1476" s="81"/>
      <c r="L1476" s="81"/>
      <c r="M1476" s="81"/>
      <c r="N1476" s="81"/>
      <c r="O1476" s="81"/>
      <c r="P1476" s="81"/>
      <c r="Q1476" s="81"/>
      <c r="R1476" s="81"/>
      <c r="S1476" s="81"/>
      <c r="T1476" s="81"/>
      <c r="U1476" s="81"/>
      <c r="V1476" s="94"/>
      <c r="W1476" s="94"/>
    </row>
    <row r="1477" spans="1:23" ht="21" customHeight="1">
      <c r="A1477">
        <f>Table4[[#This Row],[Column1]]</f>
        <v>0</v>
      </c>
      <c r="B1477">
        <f>Table4[[#This Row],[Column2]]</f>
        <v>0</v>
      </c>
      <c r="C1477" s="81"/>
      <c r="D1477" s="81"/>
      <c r="E1477" s="81"/>
      <c r="F1477" s="81"/>
      <c r="G1477" s="81"/>
      <c r="H1477" s="81"/>
      <c r="I1477" s="81"/>
      <c r="J1477" s="81"/>
      <c r="K1477" s="81"/>
      <c r="L1477" s="81"/>
      <c r="M1477" s="81"/>
      <c r="N1477" s="81"/>
      <c r="O1477" s="81"/>
      <c r="P1477" s="81"/>
      <c r="Q1477" s="81"/>
      <c r="R1477" s="81"/>
      <c r="S1477" s="81"/>
      <c r="T1477" s="81"/>
      <c r="U1477" s="81"/>
      <c r="V1477" s="94"/>
      <c r="W1477" s="94"/>
    </row>
    <row r="1478" spans="1:23" ht="21" customHeight="1">
      <c r="A1478">
        <f>Table4[[#This Row],[Column1]]</f>
        <v>0</v>
      </c>
      <c r="B1478">
        <f>Table4[[#This Row],[Column2]]</f>
        <v>0</v>
      </c>
      <c r="C1478" s="81"/>
      <c r="D1478" s="81"/>
      <c r="E1478" s="81"/>
      <c r="F1478" s="81"/>
      <c r="G1478" s="81"/>
      <c r="H1478" s="81"/>
      <c r="I1478" s="81"/>
      <c r="J1478" s="81"/>
      <c r="K1478" s="81"/>
      <c r="L1478" s="81"/>
      <c r="M1478" s="81"/>
      <c r="N1478" s="81"/>
      <c r="O1478" s="81"/>
      <c r="P1478" s="81"/>
      <c r="Q1478" s="81"/>
      <c r="R1478" s="81"/>
      <c r="S1478" s="81"/>
      <c r="T1478" s="81"/>
      <c r="U1478" s="81"/>
      <c r="V1478" s="94"/>
      <c r="W1478" s="94"/>
    </row>
    <row r="1479" spans="1:23" ht="21" customHeight="1">
      <c r="A1479">
        <f>Table4[[#This Row],[Column1]]</f>
        <v>0</v>
      </c>
      <c r="B1479">
        <f>Table4[[#This Row],[Column2]]</f>
        <v>0</v>
      </c>
      <c r="C1479" s="81"/>
      <c r="D1479" s="81"/>
      <c r="E1479" s="81"/>
      <c r="F1479" s="81"/>
      <c r="G1479" s="81"/>
      <c r="H1479" s="81"/>
      <c r="I1479" s="81"/>
      <c r="J1479" s="81"/>
      <c r="K1479" s="81"/>
      <c r="L1479" s="81"/>
      <c r="M1479" s="81"/>
      <c r="N1479" s="81"/>
      <c r="O1479" s="81"/>
      <c r="P1479" s="81"/>
      <c r="Q1479" s="81"/>
      <c r="R1479" s="81"/>
      <c r="S1479" s="81"/>
      <c r="T1479" s="81"/>
      <c r="U1479" s="81"/>
      <c r="V1479" s="94"/>
      <c r="W1479" s="94"/>
    </row>
    <row r="1480" spans="1:23" ht="21" customHeight="1">
      <c r="A1480">
        <f>Table4[[#This Row],[Column1]]</f>
        <v>0</v>
      </c>
      <c r="B1480">
        <f>Table4[[#This Row],[Column2]]</f>
        <v>0</v>
      </c>
      <c r="C1480" s="81"/>
      <c r="D1480" s="81"/>
      <c r="E1480" s="81"/>
      <c r="F1480" s="81"/>
      <c r="G1480" s="81"/>
      <c r="H1480" s="81"/>
      <c r="I1480" s="81"/>
      <c r="J1480" s="81"/>
      <c r="K1480" s="81"/>
      <c r="L1480" s="81"/>
      <c r="M1480" s="81"/>
      <c r="N1480" s="81"/>
      <c r="O1480" s="81"/>
      <c r="P1480" s="81"/>
      <c r="Q1480" s="81"/>
      <c r="R1480" s="81"/>
      <c r="S1480" s="81"/>
      <c r="T1480" s="81"/>
      <c r="U1480" s="81"/>
      <c r="V1480" s="94"/>
      <c r="W1480" s="94"/>
    </row>
    <row r="1481" spans="1:23" ht="21" customHeight="1">
      <c r="A1481">
        <f>Table4[[#This Row],[Column1]]</f>
        <v>0</v>
      </c>
      <c r="B1481">
        <f>Table4[[#This Row],[Column2]]</f>
        <v>0</v>
      </c>
      <c r="C1481" s="81"/>
      <c r="D1481" s="81"/>
      <c r="E1481" s="81"/>
      <c r="F1481" s="81"/>
      <c r="G1481" s="81"/>
      <c r="H1481" s="81"/>
      <c r="I1481" s="81"/>
      <c r="J1481" s="81"/>
      <c r="K1481" s="81"/>
      <c r="L1481" s="81"/>
      <c r="M1481" s="81"/>
      <c r="N1481" s="81"/>
      <c r="O1481" s="81"/>
      <c r="P1481" s="81"/>
      <c r="Q1481" s="81"/>
      <c r="R1481" s="81"/>
      <c r="S1481" s="81"/>
      <c r="T1481" s="81"/>
      <c r="U1481" s="81"/>
      <c r="V1481" s="94"/>
      <c r="W1481" s="94"/>
    </row>
    <row r="1482" spans="1:23" ht="21" customHeight="1">
      <c r="A1482">
        <f>Table4[[#This Row],[Column1]]</f>
        <v>0</v>
      </c>
      <c r="B1482">
        <f>Table4[[#This Row],[Column2]]</f>
        <v>0</v>
      </c>
      <c r="C1482" s="81"/>
      <c r="D1482" s="81"/>
      <c r="E1482" s="81"/>
      <c r="F1482" s="81"/>
      <c r="G1482" s="81"/>
      <c r="H1482" s="81"/>
      <c r="I1482" s="81"/>
      <c r="J1482" s="81"/>
      <c r="K1482" s="81"/>
      <c r="L1482" s="81"/>
      <c r="M1482" s="81"/>
      <c r="N1482" s="81"/>
      <c r="O1482" s="81"/>
      <c r="P1482" s="81"/>
      <c r="Q1482" s="81"/>
      <c r="R1482" s="81"/>
      <c r="S1482" s="81"/>
      <c r="T1482" s="81"/>
      <c r="U1482" s="81"/>
      <c r="V1482" s="94"/>
      <c r="W1482" s="94"/>
    </row>
    <row r="1483" spans="1:23" ht="21" customHeight="1">
      <c r="A1483">
        <f>Table4[[#This Row],[Column1]]</f>
        <v>0</v>
      </c>
      <c r="B1483">
        <f>Table4[[#This Row],[Column2]]</f>
        <v>0</v>
      </c>
      <c r="C1483" s="81"/>
      <c r="D1483" s="81"/>
      <c r="E1483" s="81"/>
      <c r="F1483" s="81"/>
      <c r="G1483" s="81"/>
      <c r="H1483" s="81"/>
      <c r="I1483" s="81"/>
      <c r="J1483" s="81"/>
      <c r="K1483" s="81"/>
      <c r="L1483" s="81"/>
      <c r="M1483" s="81"/>
      <c r="N1483" s="81"/>
      <c r="O1483" s="81"/>
      <c r="P1483" s="81"/>
      <c r="Q1483" s="81"/>
      <c r="R1483" s="81"/>
      <c r="S1483" s="81"/>
      <c r="T1483" s="81"/>
      <c r="U1483" s="81"/>
      <c r="V1483" s="94"/>
      <c r="W1483" s="94"/>
    </row>
    <row r="1484" spans="1:23" ht="21" customHeight="1">
      <c r="A1484">
        <f>Table4[[#This Row],[Column1]]</f>
        <v>0</v>
      </c>
      <c r="B1484">
        <f>Table4[[#This Row],[Column2]]</f>
        <v>0</v>
      </c>
      <c r="C1484" s="81"/>
      <c r="D1484" s="81"/>
      <c r="E1484" s="81"/>
      <c r="F1484" s="81"/>
      <c r="G1484" s="81"/>
      <c r="H1484" s="81"/>
      <c r="I1484" s="81"/>
      <c r="J1484" s="81"/>
      <c r="K1484" s="81"/>
      <c r="L1484" s="81"/>
      <c r="M1484" s="81"/>
      <c r="N1484" s="81"/>
      <c r="O1484" s="81"/>
      <c r="P1484" s="81"/>
      <c r="Q1484" s="81"/>
      <c r="R1484" s="81"/>
      <c r="S1484" s="81"/>
      <c r="T1484" s="81"/>
      <c r="U1484" s="81"/>
      <c r="V1484" s="94"/>
      <c r="W1484" s="94"/>
    </row>
    <row r="1485" spans="1:23" ht="21" customHeight="1">
      <c r="A1485">
        <f>Table4[[#This Row],[Column1]]</f>
        <v>0</v>
      </c>
      <c r="B1485">
        <f>Table4[[#This Row],[Column2]]</f>
        <v>0</v>
      </c>
      <c r="C1485" s="81"/>
      <c r="D1485" s="81"/>
      <c r="E1485" s="81"/>
      <c r="F1485" s="81"/>
      <c r="G1485" s="81"/>
      <c r="H1485" s="81"/>
      <c r="I1485" s="81"/>
      <c r="J1485" s="81"/>
      <c r="K1485" s="81"/>
      <c r="L1485" s="81"/>
      <c r="M1485" s="81"/>
      <c r="N1485" s="81"/>
      <c r="O1485" s="81"/>
      <c r="P1485" s="81"/>
      <c r="Q1485" s="81"/>
      <c r="R1485" s="81"/>
      <c r="S1485" s="81"/>
      <c r="T1485" s="81"/>
      <c r="U1485" s="81"/>
      <c r="V1485" s="94"/>
      <c r="W1485" s="94"/>
    </row>
    <row r="1486" spans="1:23" ht="21" customHeight="1">
      <c r="A1486">
        <f>Table4[[#This Row],[Column1]]</f>
        <v>0</v>
      </c>
      <c r="B1486">
        <f>Table4[[#This Row],[Column2]]</f>
        <v>0</v>
      </c>
      <c r="C1486" s="81"/>
      <c r="D1486" s="81"/>
      <c r="E1486" s="81"/>
      <c r="F1486" s="81"/>
      <c r="G1486" s="81"/>
      <c r="H1486" s="81"/>
      <c r="I1486" s="81"/>
      <c r="J1486" s="81"/>
      <c r="K1486" s="81"/>
      <c r="L1486" s="81"/>
      <c r="M1486" s="81"/>
      <c r="N1486" s="81"/>
      <c r="O1486" s="81"/>
      <c r="P1486" s="81"/>
      <c r="Q1486" s="81"/>
      <c r="R1486" s="81"/>
      <c r="S1486" s="81"/>
      <c r="T1486" s="81"/>
      <c r="U1486" s="81"/>
      <c r="V1486" s="94"/>
      <c r="W1486" s="94"/>
    </row>
    <row r="1487" spans="1:23" ht="21" customHeight="1">
      <c r="A1487">
        <f>Table4[[#This Row],[Column1]]</f>
        <v>0</v>
      </c>
      <c r="B1487">
        <f>Table4[[#This Row],[Column2]]</f>
        <v>0</v>
      </c>
      <c r="C1487" s="81"/>
      <c r="D1487" s="81"/>
      <c r="E1487" s="81"/>
      <c r="F1487" s="81"/>
      <c r="G1487" s="81"/>
      <c r="H1487" s="81"/>
      <c r="I1487" s="81"/>
      <c r="J1487" s="81"/>
      <c r="K1487" s="81"/>
      <c r="L1487" s="81"/>
      <c r="M1487" s="81"/>
      <c r="N1487" s="81"/>
      <c r="O1487" s="81"/>
      <c r="P1487" s="81"/>
      <c r="Q1487" s="81"/>
      <c r="R1487" s="81"/>
      <c r="S1487" s="81"/>
      <c r="T1487" s="81"/>
      <c r="U1487" s="81"/>
      <c r="V1487" s="94"/>
      <c r="W1487" s="94"/>
    </row>
    <row r="1488" spans="1:23" ht="21" customHeight="1">
      <c r="A1488">
        <f>Table4[[#This Row],[Column1]]</f>
        <v>0</v>
      </c>
      <c r="B1488">
        <f>Table4[[#This Row],[Column2]]</f>
        <v>0</v>
      </c>
      <c r="C1488" s="81"/>
      <c r="D1488" s="81"/>
      <c r="E1488" s="81"/>
      <c r="F1488" s="81"/>
      <c r="G1488" s="81"/>
      <c r="H1488" s="81"/>
      <c r="I1488" s="81"/>
      <c r="J1488" s="81"/>
      <c r="K1488" s="81"/>
      <c r="L1488" s="81"/>
      <c r="M1488" s="81"/>
      <c r="N1488" s="81"/>
      <c r="O1488" s="81"/>
      <c r="P1488" s="81"/>
      <c r="Q1488" s="81"/>
      <c r="R1488" s="81"/>
      <c r="S1488" s="81"/>
      <c r="T1488" s="81"/>
      <c r="U1488" s="81"/>
      <c r="V1488" s="94"/>
      <c r="W1488" s="94"/>
    </row>
    <row r="1489" spans="1:23" ht="21" customHeight="1">
      <c r="A1489">
        <f>Table4[[#This Row],[Column1]]</f>
        <v>0</v>
      </c>
      <c r="B1489">
        <f>Table4[[#This Row],[Column2]]</f>
        <v>0</v>
      </c>
      <c r="C1489" s="81"/>
      <c r="D1489" s="81"/>
      <c r="E1489" s="81"/>
      <c r="F1489" s="81"/>
      <c r="G1489" s="81"/>
      <c r="H1489" s="81"/>
      <c r="I1489" s="81"/>
      <c r="J1489" s="81"/>
      <c r="K1489" s="81"/>
      <c r="L1489" s="81"/>
      <c r="M1489" s="81"/>
      <c r="N1489" s="81"/>
      <c r="O1489" s="81"/>
      <c r="P1489" s="81"/>
      <c r="Q1489" s="81"/>
      <c r="R1489" s="81"/>
      <c r="S1489" s="81"/>
      <c r="T1489" s="81"/>
      <c r="U1489" s="81"/>
      <c r="V1489" s="94"/>
      <c r="W1489" s="94"/>
    </row>
    <row r="1490" spans="1:23" ht="21" customHeight="1">
      <c r="A1490">
        <f>Table4[[#This Row],[Column1]]</f>
        <v>0</v>
      </c>
      <c r="B1490">
        <f>Table4[[#This Row],[Column2]]</f>
        <v>0</v>
      </c>
      <c r="C1490" s="81"/>
      <c r="D1490" s="81"/>
      <c r="E1490" s="81"/>
      <c r="F1490" s="81"/>
      <c r="G1490" s="81"/>
      <c r="H1490" s="81"/>
      <c r="I1490" s="81"/>
      <c r="J1490" s="81"/>
      <c r="K1490" s="81"/>
      <c r="L1490" s="81"/>
      <c r="M1490" s="81"/>
      <c r="N1490" s="81"/>
      <c r="O1490" s="81"/>
      <c r="P1490" s="81"/>
      <c r="Q1490" s="81"/>
      <c r="R1490" s="81"/>
      <c r="S1490" s="81"/>
      <c r="T1490" s="81"/>
      <c r="U1490" s="81"/>
      <c r="V1490" s="94"/>
      <c r="W1490" s="94"/>
    </row>
    <row r="1491" spans="1:23" ht="21" customHeight="1">
      <c r="A1491">
        <f>Table4[[#This Row],[Column1]]</f>
        <v>0</v>
      </c>
      <c r="B1491">
        <f>Table4[[#This Row],[Column2]]</f>
        <v>0</v>
      </c>
      <c r="C1491" s="81"/>
      <c r="D1491" s="81"/>
      <c r="E1491" s="81"/>
      <c r="F1491" s="81"/>
      <c r="G1491" s="81"/>
      <c r="H1491" s="81"/>
      <c r="I1491" s="81"/>
      <c r="J1491" s="81"/>
      <c r="K1491" s="81"/>
      <c r="L1491" s="81"/>
      <c r="M1491" s="81"/>
      <c r="N1491" s="81"/>
      <c r="O1491" s="81"/>
      <c r="P1491" s="81"/>
      <c r="Q1491" s="81"/>
      <c r="R1491" s="81"/>
      <c r="S1491" s="81"/>
      <c r="T1491" s="81"/>
      <c r="U1491" s="81"/>
      <c r="V1491" s="94"/>
      <c r="W1491" s="94"/>
    </row>
    <row r="1492" spans="1:23" ht="21" customHeight="1">
      <c r="A1492">
        <f>Table4[[#This Row],[Column1]]</f>
        <v>0</v>
      </c>
      <c r="B1492">
        <f>Table4[[#This Row],[Column2]]</f>
        <v>0</v>
      </c>
      <c r="C1492" s="81"/>
      <c r="D1492" s="81"/>
      <c r="E1492" s="81"/>
      <c r="F1492" s="81"/>
      <c r="G1492" s="81"/>
      <c r="H1492" s="81"/>
      <c r="I1492" s="81"/>
      <c r="J1492" s="81"/>
      <c r="K1492" s="81"/>
      <c r="L1492" s="81"/>
      <c r="M1492" s="81"/>
      <c r="N1492" s="81"/>
      <c r="O1492" s="81"/>
      <c r="P1492" s="81"/>
      <c r="Q1492" s="81"/>
      <c r="R1492" s="81"/>
      <c r="S1492" s="81"/>
      <c r="T1492" s="81"/>
      <c r="U1492" s="81"/>
      <c r="V1492" s="94"/>
      <c r="W1492" s="94"/>
    </row>
    <row r="1493" spans="1:23" ht="21" customHeight="1">
      <c r="A1493">
        <f>Table4[[#This Row],[Column1]]</f>
        <v>0</v>
      </c>
      <c r="B1493">
        <f>Table4[[#This Row],[Column2]]</f>
        <v>0</v>
      </c>
      <c r="C1493" s="81"/>
      <c r="D1493" s="81"/>
      <c r="E1493" s="81"/>
      <c r="F1493" s="81"/>
      <c r="G1493" s="81"/>
      <c r="H1493" s="81"/>
      <c r="I1493" s="81"/>
      <c r="J1493" s="81"/>
      <c r="K1493" s="81"/>
      <c r="L1493" s="81"/>
      <c r="M1493" s="81"/>
      <c r="N1493" s="81"/>
      <c r="O1493" s="81"/>
      <c r="P1493" s="81"/>
      <c r="Q1493" s="81"/>
      <c r="R1493" s="81"/>
      <c r="S1493" s="81"/>
      <c r="T1493" s="81"/>
      <c r="U1493" s="81"/>
      <c r="V1493" s="94"/>
      <c r="W1493" s="94"/>
    </row>
    <row r="1494" spans="1:23" ht="21" customHeight="1">
      <c r="A1494">
        <f>Table4[[#This Row],[Column1]]</f>
        <v>0</v>
      </c>
      <c r="B1494">
        <f>Table4[[#This Row],[Column2]]</f>
        <v>0</v>
      </c>
      <c r="C1494" s="81"/>
      <c r="D1494" s="81"/>
      <c r="E1494" s="81"/>
      <c r="F1494" s="81"/>
      <c r="G1494" s="81"/>
      <c r="H1494" s="81"/>
      <c r="I1494" s="81"/>
      <c r="J1494" s="81"/>
      <c r="K1494" s="81"/>
      <c r="L1494" s="81"/>
      <c r="M1494" s="81"/>
      <c r="N1494" s="81"/>
      <c r="O1494" s="81"/>
      <c r="P1494" s="81"/>
      <c r="Q1494" s="81"/>
      <c r="R1494" s="81"/>
      <c r="S1494" s="81"/>
      <c r="T1494" s="81"/>
      <c r="U1494" s="81"/>
      <c r="V1494" s="94"/>
      <c r="W1494" s="94"/>
    </row>
    <row r="1495" spans="1:23" ht="21" customHeight="1">
      <c r="A1495">
        <f>Table4[[#This Row],[Column1]]</f>
        <v>0</v>
      </c>
      <c r="B1495">
        <f>Table4[[#This Row],[Column2]]</f>
        <v>0</v>
      </c>
      <c r="C1495" s="81"/>
      <c r="D1495" s="81"/>
      <c r="E1495" s="81"/>
      <c r="F1495" s="81"/>
      <c r="G1495" s="81"/>
      <c r="H1495" s="81"/>
      <c r="I1495" s="81"/>
      <c r="J1495" s="81"/>
      <c r="K1495" s="81"/>
      <c r="L1495" s="81"/>
      <c r="M1495" s="81"/>
      <c r="N1495" s="81"/>
      <c r="O1495" s="81"/>
      <c r="P1495" s="81"/>
      <c r="Q1495" s="81"/>
      <c r="R1495" s="81"/>
      <c r="S1495" s="81"/>
      <c r="T1495" s="81"/>
      <c r="U1495" s="81"/>
      <c r="V1495" s="94"/>
      <c r="W1495" s="94"/>
    </row>
    <row r="1496" spans="1:23" ht="21" customHeight="1">
      <c r="A1496">
        <f>Table4[[#This Row],[Column1]]</f>
        <v>0</v>
      </c>
      <c r="B1496">
        <f>Table4[[#This Row],[Column2]]</f>
        <v>0</v>
      </c>
      <c r="C1496" s="81"/>
      <c r="D1496" s="81"/>
      <c r="E1496" s="81"/>
      <c r="F1496" s="81"/>
      <c r="G1496" s="81"/>
      <c r="H1496" s="81"/>
      <c r="I1496" s="81"/>
      <c r="J1496" s="81"/>
      <c r="K1496" s="81"/>
      <c r="L1496" s="81"/>
      <c r="M1496" s="81"/>
      <c r="N1496" s="81"/>
      <c r="O1496" s="81"/>
      <c r="P1496" s="81"/>
      <c r="Q1496" s="81"/>
      <c r="R1496" s="81"/>
      <c r="S1496" s="81"/>
      <c r="T1496" s="81"/>
      <c r="U1496" s="81"/>
      <c r="V1496" s="94"/>
      <c r="W1496" s="94"/>
    </row>
    <row r="1497" spans="1:23" ht="21" customHeight="1">
      <c r="A1497">
        <f>Table4[[#This Row],[Column1]]</f>
        <v>0</v>
      </c>
      <c r="B1497">
        <f>Table4[[#This Row],[Column2]]</f>
        <v>0</v>
      </c>
      <c r="C1497" s="81"/>
      <c r="D1497" s="81"/>
      <c r="E1497" s="81"/>
      <c r="F1497" s="81"/>
      <c r="G1497" s="81"/>
      <c r="H1497" s="81"/>
      <c r="I1497" s="81"/>
      <c r="J1497" s="81"/>
      <c r="K1497" s="81"/>
      <c r="L1497" s="81"/>
      <c r="M1497" s="81"/>
      <c r="N1497" s="81"/>
      <c r="O1497" s="81"/>
      <c r="P1497" s="81"/>
      <c r="Q1497" s="81"/>
      <c r="R1497" s="81"/>
      <c r="S1497" s="81"/>
      <c r="T1497" s="81"/>
      <c r="U1497" s="81"/>
      <c r="V1497" s="94"/>
      <c r="W1497" s="94"/>
    </row>
    <row r="1498" spans="1:23" ht="21" customHeight="1">
      <c r="A1498">
        <f>Table4[[#This Row],[Column1]]</f>
        <v>0</v>
      </c>
      <c r="B1498">
        <f>Table4[[#This Row],[Column2]]</f>
        <v>0</v>
      </c>
      <c r="C1498" s="81"/>
      <c r="D1498" s="81"/>
      <c r="E1498" s="81"/>
      <c r="F1498" s="81"/>
      <c r="G1498" s="81"/>
      <c r="H1498" s="81"/>
      <c r="I1498" s="81"/>
      <c r="J1498" s="81"/>
      <c r="K1498" s="81"/>
      <c r="L1498" s="81"/>
      <c r="M1498" s="81"/>
      <c r="N1498" s="81"/>
      <c r="O1498" s="81"/>
      <c r="P1498" s="81"/>
      <c r="Q1498" s="81"/>
      <c r="R1498" s="81"/>
      <c r="S1498" s="81"/>
      <c r="T1498" s="81"/>
      <c r="U1498" s="81"/>
      <c r="V1498" s="94"/>
      <c r="W1498" s="94"/>
    </row>
    <row r="1499" spans="1:23" ht="21" customHeight="1">
      <c r="A1499">
        <f>Table4[[#This Row],[Column1]]</f>
        <v>0</v>
      </c>
      <c r="B1499">
        <f>Table4[[#This Row],[Column2]]</f>
        <v>0</v>
      </c>
      <c r="C1499" s="81"/>
      <c r="D1499" s="81"/>
      <c r="E1499" s="81"/>
      <c r="F1499" s="81"/>
      <c r="G1499" s="81"/>
      <c r="H1499" s="81"/>
      <c r="I1499" s="81"/>
      <c r="J1499" s="81"/>
      <c r="K1499" s="81"/>
      <c r="L1499" s="81"/>
      <c r="M1499" s="81"/>
      <c r="N1499" s="81"/>
      <c r="O1499" s="81"/>
      <c r="P1499" s="81"/>
      <c r="Q1499" s="81"/>
      <c r="R1499" s="81"/>
      <c r="S1499" s="81"/>
      <c r="T1499" s="81"/>
      <c r="U1499" s="81"/>
      <c r="V1499" s="94"/>
      <c r="W1499" s="94"/>
    </row>
    <row r="1500" spans="1:23" ht="21" customHeight="1">
      <c r="A1500">
        <f>Table4[[#This Row],[Column1]]</f>
        <v>0</v>
      </c>
      <c r="B1500">
        <f>Table4[[#This Row],[Column2]]</f>
        <v>0</v>
      </c>
      <c r="C1500" s="81"/>
      <c r="D1500" s="81"/>
      <c r="E1500" s="81"/>
      <c r="F1500" s="81"/>
      <c r="G1500" s="81"/>
      <c r="H1500" s="81"/>
      <c r="I1500" s="81"/>
      <c r="J1500" s="81"/>
      <c r="K1500" s="81"/>
      <c r="L1500" s="81"/>
      <c r="M1500" s="81"/>
      <c r="N1500" s="81"/>
      <c r="O1500" s="81"/>
      <c r="P1500" s="81"/>
      <c r="Q1500" s="81"/>
      <c r="R1500" s="81"/>
      <c r="S1500" s="81"/>
      <c r="T1500" s="81"/>
      <c r="U1500" s="81"/>
      <c r="V1500" s="94"/>
      <c r="W1500" s="94"/>
    </row>
    <row r="1501" spans="1:23" ht="21" customHeight="1">
      <c r="A1501">
        <f>Table4[[#This Row],[Column1]]</f>
        <v>0</v>
      </c>
      <c r="B1501">
        <f>Table4[[#This Row],[Column2]]</f>
        <v>0</v>
      </c>
      <c r="C1501" s="81"/>
      <c r="D1501" s="81"/>
      <c r="E1501" s="81"/>
      <c r="F1501" s="81"/>
      <c r="G1501" s="81"/>
      <c r="H1501" s="81"/>
      <c r="I1501" s="81"/>
      <c r="J1501" s="81"/>
      <c r="K1501" s="81"/>
      <c r="L1501" s="81"/>
      <c r="M1501" s="81"/>
      <c r="N1501" s="81"/>
      <c r="O1501" s="81"/>
      <c r="P1501" s="81"/>
      <c r="Q1501" s="81"/>
      <c r="R1501" s="81"/>
      <c r="S1501" s="81"/>
      <c r="T1501" s="81"/>
      <c r="U1501" s="81"/>
      <c r="V1501" s="94"/>
      <c r="W1501" s="94"/>
    </row>
    <row r="1502" spans="1:23" ht="21" customHeight="1">
      <c r="A1502">
        <f>Table4[[#This Row],[Column1]]</f>
        <v>0</v>
      </c>
      <c r="B1502">
        <f>Table4[[#This Row],[Column2]]</f>
        <v>0</v>
      </c>
      <c r="C1502" s="81"/>
      <c r="D1502" s="81"/>
      <c r="E1502" s="81"/>
      <c r="F1502" s="81"/>
      <c r="G1502" s="81"/>
      <c r="H1502" s="81"/>
      <c r="I1502" s="81"/>
      <c r="J1502" s="81"/>
      <c r="K1502" s="81"/>
      <c r="L1502" s="81"/>
      <c r="M1502" s="81"/>
      <c r="N1502" s="81"/>
      <c r="O1502" s="81"/>
      <c r="P1502" s="81"/>
      <c r="Q1502" s="81"/>
      <c r="R1502" s="81"/>
      <c r="S1502" s="81"/>
      <c r="T1502" s="81"/>
      <c r="U1502" s="81"/>
      <c r="V1502" s="94"/>
      <c r="W1502" s="94"/>
    </row>
    <row r="1503" spans="1:23" ht="21" customHeight="1">
      <c r="A1503">
        <f>Table4[[#This Row],[Column1]]</f>
        <v>0</v>
      </c>
      <c r="B1503">
        <f>Table4[[#This Row],[Column2]]</f>
        <v>0</v>
      </c>
      <c r="C1503" s="81"/>
      <c r="D1503" s="81"/>
      <c r="E1503" s="81"/>
      <c r="F1503" s="81"/>
      <c r="G1503" s="81"/>
      <c r="H1503" s="81"/>
      <c r="I1503" s="81"/>
      <c r="J1503" s="81"/>
      <c r="K1503" s="81"/>
      <c r="L1503" s="81"/>
      <c r="M1503" s="81"/>
      <c r="N1503" s="81"/>
      <c r="O1503" s="81"/>
      <c r="P1503" s="81"/>
      <c r="Q1503" s="81"/>
      <c r="R1503" s="81"/>
      <c r="S1503" s="81"/>
      <c r="T1503" s="81"/>
      <c r="U1503" s="81"/>
      <c r="V1503" s="94"/>
      <c r="W1503" s="94"/>
    </row>
    <row r="1504" spans="1:23" ht="21" customHeight="1">
      <c r="A1504">
        <f>Table4[[#This Row],[Column1]]</f>
        <v>0</v>
      </c>
      <c r="B1504">
        <f>Table4[[#This Row],[Column2]]</f>
        <v>0</v>
      </c>
      <c r="C1504" s="81"/>
      <c r="D1504" s="81"/>
      <c r="E1504" s="81"/>
      <c r="F1504" s="81"/>
      <c r="G1504" s="81"/>
      <c r="H1504" s="81"/>
      <c r="I1504" s="81"/>
      <c r="J1504" s="81"/>
      <c r="K1504" s="81"/>
      <c r="L1504" s="81"/>
      <c r="M1504" s="81"/>
      <c r="N1504" s="81"/>
      <c r="O1504" s="81"/>
      <c r="P1504" s="81"/>
      <c r="Q1504" s="81"/>
      <c r="R1504" s="81"/>
      <c r="S1504" s="81"/>
      <c r="T1504" s="81"/>
      <c r="U1504" s="81"/>
      <c r="V1504" s="94"/>
      <c r="W1504" s="94"/>
    </row>
    <row r="1505" spans="1:23" ht="21" customHeight="1">
      <c r="A1505">
        <f>Table4[[#This Row],[Column1]]</f>
        <v>0</v>
      </c>
      <c r="B1505">
        <f>Table4[[#This Row],[Column2]]</f>
        <v>0</v>
      </c>
      <c r="C1505" s="81"/>
      <c r="D1505" s="81"/>
      <c r="E1505" s="81"/>
      <c r="F1505" s="81"/>
      <c r="G1505" s="81"/>
      <c r="H1505" s="81"/>
      <c r="I1505" s="81"/>
      <c r="J1505" s="81"/>
      <c r="K1505" s="81"/>
      <c r="L1505" s="81"/>
      <c r="M1505" s="81"/>
      <c r="N1505" s="81"/>
      <c r="O1505" s="81"/>
      <c r="P1505" s="81"/>
      <c r="Q1505" s="81"/>
      <c r="R1505" s="81"/>
      <c r="S1505" s="81"/>
      <c r="T1505" s="81"/>
      <c r="U1505" s="81"/>
      <c r="V1505" s="94"/>
      <c r="W1505" s="94"/>
    </row>
    <row r="1506" spans="1:23" ht="21" customHeight="1">
      <c r="A1506">
        <f>Table4[[#This Row],[Column1]]</f>
        <v>0</v>
      </c>
      <c r="B1506">
        <f>Table4[[#This Row],[Column2]]</f>
        <v>0</v>
      </c>
      <c r="C1506" s="81"/>
      <c r="D1506" s="81"/>
      <c r="E1506" s="81"/>
      <c r="F1506" s="81"/>
      <c r="G1506" s="81"/>
      <c r="H1506" s="81"/>
      <c r="I1506" s="81"/>
      <c r="J1506" s="81"/>
      <c r="K1506" s="81"/>
      <c r="L1506" s="81"/>
      <c r="M1506" s="81"/>
      <c r="N1506" s="81"/>
      <c r="O1506" s="81"/>
      <c r="P1506" s="81"/>
      <c r="Q1506" s="81"/>
      <c r="R1506" s="81"/>
      <c r="S1506" s="81"/>
      <c r="T1506" s="81"/>
      <c r="U1506" s="81"/>
      <c r="V1506" s="94"/>
      <c r="W1506" s="94"/>
    </row>
    <row r="1507" spans="1:23" ht="21" customHeight="1">
      <c r="A1507">
        <f>Table4[[#This Row],[Column1]]</f>
        <v>0</v>
      </c>
      <c r="B1507">
        <f>Table4[[#This Row],[Column2]]</f>
        <v>0</v>
      </c>
      <c r="C1507" s="81"/>
      <c r="D1507" s="81"/>
      <c r="E1507" s="81"/>
      <c r="F1507" s="81"/>
      <c r="G1507" s="81"/>
      <c r="H1507" s="81"/>
      <c r="I1507" s="81"/>
      <c r="J1507" s="81"/>
      <c r="K1507" s="81"/>
      <c r="L1507" s="81"/>
      <c r="M1507" s="81"/>
      <c r="N1507" s="81"/>
      <c r="O1507" s="81"/>
      <c r="P1507" s="81"/>
      <c r="Q1507" s="81"/>
      <c r="R1507" s="81"/>
      <c r="S1507" s="81"/>
      <c r="T1507" s="81"/>
      <c r="U1507" s="81"/>
      <c r="V1507" s="94"/>
      <c r="W1507" s="94"/>
    </row>
    <row r="1508" spans="1:23" ht="21" customHeight="1">
      <c r="A1508">
        <f>Table4[[#This Row],[Column1]]</f>
        <v>0</v>
      </c>
      <c r="B1508">
        <f>Table4[[#This Row],[Column2]]</f>
        <v>0</v>
      </c>
      <c r="C1508" s="81"/>
      <c r="D1508" s="81"/>
      <c r="E1508" s="81"/>
      <c r="F1508" s="81"/>
      <c r="G1508" s="81"/>
      <c r="H1508" s="81"/>
      <c r="I1508" s="81"/>
      <c r="J1508" s="81"/>
      <c r="K1508" s="81"/>
      <c r="L1508" s="81"/>
      <c r="M1508" s="81"/>
      <c r="N1508" s="81"/>
      <c r="O1508" s="81"/>
      <c r="P1508" s="81"/>
      <c r="Q1508" s="81"/>
      <c r="R1508" s="81"/>
      <c r="S1508" s="81"/>
      <c r="T1508" s="81"/>
      <c r="U1508" s="81"/>
      <c r="V1508" s="94"/>
      <c r="W1508" s="94"/>
    </row>
    <row r="1509" spans="1:23" ht="21" customHeight="1">
      <c r="A1509">
        <f>Table4[[#This Row],[Column1]]</f>
        <v>0</v>
      </c>
      <c r="B1509">
        <f>Table4[[#This Row],[Column2]]</f>
        <v>0</v>
      </c>
      <c r="C1509" s="81"/>
      <c r="D1509" s="81"/>
      <c r="E1509" s="81"/>
      <c r="F1509" s="81"/>
      <c r="G1509" s="81"/>
      <c r="H1509" s="81"/>
      <c r="I1509" s="81"/>
      <c r="J1509" s="81"/>
      <c r="K1509" s="81"/>
      <c r="L1509" s="81"/>
      <c r="M1509" s="81"/>
      <c r="N1509" s="81"/>
      <c r="O1509" s="81"/>
      <c r="P1509" s="81"/>
      <c r="Q1509" s="81"/>
      <c r="R1509" s="81"/>
      <c r="S1509" s="81"/>
      <c r="T1509" s="81"/>
      <c r="U1509" s="81"/>
      <c r="V1509" s="94"/>
      <c r="W1509" s="94"/>
    </row>
    <row r="1510" spans="1:23" ht="21" customHeight="1">
      <c r="A1510">
        <f>Table4[[#This Row],[Column1]]</f>
        <v>0</v>
      </c>
      <c r="B1510">
        <f>Table4[[#This Row],[Column2]]</f>
        <v>0</v>
      </c>
      <c r="C1510" s="81"/>
      <c r="D1510" s="81"/>
      <c r="E1510" s="81"/>
      <c r="F1510" s="81"/>
      <c r="G1510" s="81"/>
      <c r="H1510" s="81"/>
      <c r="I1510" s="81"/>
      <c r="J1510" s="81"/>
      <c r="K1510" s="81"/>
      <c r="L1510" s="81"/>
      <c r="M1510" s="81"/>
      <c r="N1510" s="81"/>
      <c r="O1510" s="81"/>
      <c r="P1510" s="81"/>
      <c r="Q1510" s="81"/>
      <c r="R1510" s="81"/>
      <c r="S1510" s="81"/>
      <c r="T1510" s="81"/>
      <c r="U1510" s="81"/>
      <c r="V1510" s="94"/>
      <c r="W1510" s="94"/>
    </row>
    <row r="1511" spans="1:23" ht="21" customHeight="1">
      <c r="A1511">
        <f>Table4[[#This Row],[Column1]]</f>
        <v>0</v>
      </c>
      <c r="B1511">
        <f>Table4[[#This Row],[Column2]]</f>
        <v>0</v>
      </c>
      <c r="C1511" s="81"/>
      <c r="D1511" s="81"/>
      <c r="E1511" s="81"/>
      <c r="F1511" s="81"/>
      <c r="G1511" s="81"/>
      <c r="H1511" s="81"/>
      <c r="I1511" s="81"/>
      <c r="J1511" s="81"/>
      <c r="K1511" s="81"/>
      <c r="L1511" s="81"/>
      <c r="M1511" s="81"/>
      <c r="N1511" s="81"/>
      <c r="O1511" s="81"/>
      <c r="P1511" s="81"/>
      <c r="Q1511" s="81"/>
      <c r="R1511" s="81"/>
      <c r="S1511" s="81"/>
      <c r="T1511" s="81"/>
      <c r="U1511" s="81"/>
      <c r="V1511" s="94"/>
      <c r="W1511" s="94"/>
    </row>
    <row r="1512" spans="1:23" ht="21" customHeight="1">
      <c r="A1512">
        <f>Table4[[#This Row],[Column1]]</f>
        <v>0</v>
      </c>
      <c r="B1512">
        <f>Table4[[#This Row],[Column2]]</f>
        <v>0</v>
      </c>
      <c r="C1512" s="81"/>
      <c r="D1512" s="81"/>
      <c r="E1512" s="81"/>
      <c r="F1512" s="81"/>
      <c r="G1512" s="81"/>
      <c r="H1512" s="81"/>
      <c r="I1512" s="81"/>
      <c r="J1512" s="81"/>
      <c r="K1512" s="81"/>
      <c r="L1512" s="81"/>
      <c r="M1512" s="81"/>
      <c r="N1512" s="81"/>
      <c r="O1512" s="81"/>
      <c r="P1512" s="81"/>
      <c r="Q1512" s="81"/>
      <c r="R1512" s="81"/>
      <c r="S1512" s="81"/>
      <c r="T1512" s="81"/>
      <c r="U1512" s="81"/>
      <c r="V1512" s="94"/>
      <c r="W1512" s="94"/>
    </row>
    <row r="1513" spans="1:23" ht="21" customHeight="1">
      <c r="A1513">
        <f>Table4[[#This Row],[Column1]]</f>
        <v>0</v>
      </c>
      <c r="B1513">
        <f>Table4[[#This Row],[Column2]]</f>
        <v>0</v>
      </c>
      <c r="C1513" s="81"/>
      <c r="D1513" s="81"/>
      <c r="E1513" s="81"/>
      <c r="F1513" s="81"/>
      <c r="G1513" s="81"/>
      <c r="H1513" s="81"/>
      <c r="I1513" s="81"/>
      <c r="J1513" s="81"/>
      <c r="K1513" s="81"/>
      <c r="L1513" s="81"/>
      <c r="M1513" s="81"/>
      <c r="N1513" s="81"/>
      <c r="O1513" s="81"/>
      <c r="P1513" s="81"/>
      <c r="Q1513" s="81"/>
      <c r="R1513" s="81"/>
      <c r="S1513" s="81"/>
      <c r="T1513" s="81"/>
      <c r="U1513" s="81"/>
      <c r="V1513" s="94"/>
      <c r="W1513" s="94"/>
    </row>
    <row r="1514" spans="1:23" ht="21" customHeight="1">
      <c r="A1514">
        <f>Table4[[#This Row],[Column1]]</f>
        <v>0</v>
      </c>
      <c r="B1514">
        <f>Table4[[#This Row],[Column2]]</f>
        <v>0</v>
      </c>
      <c r="C1514" s="81"/>
      <c r="D1514" s="81"/>
      <c r="E1514" s="81"/>
      <c r="F1514" s="81"/>
      <c r="G1514" s="81"/>
      <c r="H1514" s="81"/>
      <c r="I1514" s="81"/>
      <c r="J1514" s="81"/>
      <c r="K1514" s="81"/>
      <c r="L1514" s="81"/>
      <c r="M1514" s="81"/>
      <c r="N1514" s="81"/>
      <c r="O1514" s="81"/>
      <c r="P1514" s="81"/>
      <c r="Q1514" s="81"/>
      <c r="R1514" s="81"/>
      <c r="S1514" s="81"/>
      <c r="T1514" s="81"/>
      <c r="U1514" s="81"/>
      <c r="V1514" s="94"/>
      <c r="W1514" s="94"/>
    </row>
    <row r="1515" spans="1:23" ht="21" customHeight="1">
      <c r="A1515">
        <f>Table4[[#This Row],[Column1]]</f>
        <v>0</v>
      </c>
      <c r="B1515">
        <f>Table4[[#This Row],[Column2]]</f>
        <v>0</v>
      </c>
      <c r="C1515" s="81"/>
      <c r="D1515" s="81"/>
      <c r="E1515" s="81"/>
      <c r="F1515" s="81"/>
      <c r="G1515" s="81"/>
      <c r="H1515" s="81"/>
      <c r="I1515" s="81"/>
      <c r="J1515" s="81"/>
      <c r="K1515" s="81"/>
      <c r="L1515" s="81"/>
      <c r="M1515" s="81"/>
      <c r="N1515" s="81"/>
      <c r="O1515" s="81"/>
      <c r="P1515" s="81"/>
      <c r="Q1515" s="81"/>
      <c r="R1515" s="81"/>
      <c r="S1515" s="81"/>
      <c r="T1515" s="81"/>
      <c r="U1515" s="81"/>
      <c r="V1515" s="94"/>
      <c r="W1515" s="94"/>
    </row>
    <row r="1516" spans="1:23" ht="21" customHeight="1">
      <c r="A1516">
        <f>Table4[[#This Row],[Column1]]</f>
        <v>0</v>
      </c>
      <c r="B1516">
        <f>Table4[[#This Row],[Column2]]</f>
        <v>0</v>
      </c>
      <c r="C1516" s="81"/>
      <c r="D1516" s="81"/>
      <c r="E1516" s="81"/>
      <c r="F1516" s="81"/>
      <c r="G1516" s="81"/>
      <c r="H1516" s="81"/>
      <c r="I1516" s="81"/>
      <c r="J1516" s="81"/>
      <c r="K1516" s="81"/>
      <c r="L1516" s="81"/>
      <c r="M1516" s="81"/>
      <c r="N1516" s="81"/>
      <c r="O1516" s="81"/>
      <c r="P1516" s="81"/>
      <c r="Q1516" s="81"/>
      <c r="R1516" s="81"/>
      <c r="S1516" s="81"/>
      <c r="T1516" s="81"/>
      <c r="U1516" s="81"/>
      <c r="V1516" s="94"/>
      <c r="W1516" s="94"/>
    </row>
    <row r="1517" spans="1:23" ht="21" customHeight="1">
      <c r="A1517">
        <f>Table4[[#This Row],[Column1]]</f>
        <v>0</v>
      </c>
      <c r="B1517">
        <f>Table4[[#This Row],[Column2]]</f>
        <v>0</v>
      </c>
      <c r="C1517" s="81"/>
      <c r="D1517" s="81"/>
      <c r="E1517" s="81"/>
      <c r="F1517" s="81"/>
      <c r="G1517" s="81"/>
      <c r="H1517" s="81"/>
      <c r="I1517" s="81"/>
      <c r="J1517" s="81"/>
      <c r="K1517" s="81"/>
      <c r="L1517" s="81"/>
      <c r="M1517" s="81"/>
      <c r="N1517" s="81"/>
      <c r="O1517" s="81"/>
      <c r="P1517" s="81"/>
      <c r="Q1517" s="81"/>
      <c r="R1517" s="81"/>
      <c r="S1517" s="81"/>
      <c r="T1517" s="81"/>
      <c r="U1517" s="81"/>
      <c r="V1517" s="94"/>
      <c r="W1517" s="94"/>
    </row>
    <row r="1518" spans="1:23" ht="21" customHeight="1">
      <c r="A1518">
        <f>Table4[[#This Row],[Column1]]</f>
        <v>0</v>
      </c>
      <c r="B1518">
        <f>Table4[[#This Row],[Column2]]</f>
        <v>0</v>
      </c>
      <c r="C1518" s="81"/>
      <c r="D1518" s="81"/>
      <c r="E1518" s="81"/>
      <c r="F1518" s="81"/>
      <c r="G1518" s="81"/>
      <c r="H1518" s="81"/>
      <c r="I1518" s="81"/>
      <c r="J1518" s="81"/>
      <c r="K1518" s="81"/>
      <c r="L1518" s="81"/>
      <c r="M1518" s="81"/>
      <c r="N1518" s="81"/>
      <c r="O1518" s="81"/>
      <c r="P1518" s="81"/>
      <c r="Q1518" s="81"/>
      <c r="R1518" s="81"/>
      <c r="S1518" s="81"/>
      <c r="T1518" s="81"/>
      <c r="U1518" s="81"/>
      <c r="V1518" s="94"/>
      <c r="W1518" s="94"/>
    </row>
    <row r="1519" spans="1:23" ht="21" customHeight="1">
      <c r="A1519">
        <f>Table4[[#This Row],[Column1]]</f>
        <v>0</v>
      </c>
      <c r="B1519">
        <f>Table4[[#This Row],[Column2]]</f>
        <v>0</v>
      </c>
      <c r="C1519" s="81"/>
      <c r="D1519" s="81"/>
      <c r="E1519" s="81"/>
      <c r="F1519" s="81"/>
      <c r="G1519" s="81"/>
      <c r="H1519" s="81"/>
      <c r="I1519" s="81"/>
      <c r="J1519" s="81"/>
      <c r="K1519" s="81"/>
      <c r="L1519" s="81"/>
      <c r="M1519" s="81"/>
      <c r="N1519" s="81"/>
      <c r="O1519" s="81"/>
      <c r="P1519" s="81"/>
      <c r="Q1519" s="81"/>
      <c r="R1519" s="81"/>
      <c r="S1519" s="81"/>
      <c r="T1519" s="81"/>
      <c r="U1519" s="81"/>
      <c r="V1519" s="94"/>
      <c r="W1519" s="94"/>
    </row>
    <row r="1520" spans="1:23" ht="21" customHeight="1">
      <c r="A1520">
        <f>Table4[[#This Row],[Column1]]</f>
        <v>0</v>
      </c>
      <c r="B1520">
        <f>Table4[[#This Row],[Column2]]</f>
        <v>0</v>
      </c>
      <c r="C1520" s="81"/>
      <c r="D1520" s="81"/>
      <c r="E1520" s="81"/>
      <c r="F1520" s="81"/>
      <c r="G1520" s="81"/>
      <c r="H1520" s="81"/>
      <c r="I1520" s="81"/>
      <c r="J1520" s="81"/>
      <c r="K1520" s="81"/>
      <c r="L1520" s="81"/>
      <c r="M1520" s="81"/>
      <c r="N1520" s="81"/>
      <c r="O1520" s="81"/>
      <c r="P1520" s="81"/>
      <c r="Q1520" s="81"/>
      <c r="R1520" s="81"/>
      <c r="S1520" s="81"/>
      <c r="T1520" s="81"/>
      <c r="U1520" s="81"/>
      <c r="V1520" s="94"/>
      <c r="W1520" s="94"/>
    </row>
    <row r="1521" spans="1:23" ht="21" customHeight="1">
      <c r="A1521">
        <f>Table4[[#This Row],[Column1]]</f>
        <v>0</v>
      </c>
      <c r="B1521">
        <f>Table4[[#This Row],[Column2]]</f>
        <v>0</v>
      </c>
      <c r="C1521" s="81"/>
      <c r="D1521" s="81"/>
      <c r="E1521" s="81"/>
      <c r="F1521" s="81"/>
      <c r="G1521" s="81"/>
      <c r="H1521" s="81"/>
      <c r="I1521" s="81"/>
      <c r="J1521" s="81"/>
      <c r="K1521" s="81"/>
      <c r="L1521" s="81"/>
      <c r="M1521" s="81"/>
      <c r="N1521" s="81"/>
      <c r="O1521" s="81"/>
      <c r="P1521" s="81"/>
      <c r="Q1521" s="81"/>
      <c r="R1521" s="81"/>
      <c r="S1521" s="81"/>
      <c r="T1521" s="81"/>
      <c r="U1521" s="81"/>
      <c r="V1521" s="94"/>
      <c r="W1521" s="94"/>
    </row>
    <row r="1522" spans="1:23" ht="21" customHeight="1">
      <c r="A1522">
        <f>Table4[[#This Row],[Column1]]</f>
        <v>0</v>
      </c>
      <c r="B1522">
        <f>Table4[[#This Row],[Column2]]</f>
        <v>0</v>
      </c>
      <c r="C1522" s="81"/>
      <c r="D1522" s="81"/>
      <c r="E1522" s="81"/>
      <c r="F1522" s="81"/>
      <c r="G1522" s="81"/>
      <c r="H1522" s="81"/>
      <c r="I1522" s="81"/>
      <c r="J1522" s="81"/>
      <c r="K1522" s="81"/>
      <c r="L1522" s="81"/>
      <c r="M1522" s="81"/>
      <c r="N1522" s="81"/>
      <c r="O1522" s="81"/>
      <c r="P1522" s="81"/>
      <c r="Q1522" s="81"/>
      <c r="R1522" s="81"/>
      <c r="S1522" s="81"/>
      <c r="T1522" s="81"/>
      <c r="U1522" s="81"/>
      <c r="V1522" s="94"/>
      <c r="W1522" s="94"/>
    </row>
    <row r="1523" spans="1:23" ht="21" customHeight="1">
      <c r="A1523">
        <f>Table4[[#This Row],[Column1]]</f>
        <v>0</v>
      </c>
      <c r="B1523">
        <f>Table4[[#This Row],[Column2]]</f>
        <v>0</v>
      </c>
      <c r="C1523" s="81"/>
      <c r="D1523" s="81"/>
      <c r="E1523" s="81"/>
      <c r="F1523" s="81"/>
      <c r="G1523" s="81"/>
      <c r="H1523" s="81"/>
      <c r="I1523" s="81"/>
      <c r="J1523" s="81"/>
      <c r="K1523" s="81"/>
      <c r="L1523" s="81"/>
      <c r="M1523" s="81"/>
      <c r="N1523" s="81"/>
      <c r="O1523" s="81"/>
      <c r="P1523" s="81"/>
      <c r="Q1523" s="81"/>
      <c r="R1523" s="81"/>
      <c r="S1523" s="81"/>
      <c r="T1523" s="81"/>
      <c r="U1523" s="81"/>
      <c r="V1523" s="94"/>
      <c r="W1523" s="94"/>
    </row>
    <row r="1524" spans="1:23" ht="21" customHeight="1">
      <c r="A1524">
        <f>Table4[[#This Row],[Column1]]</f>
        <v>0</v>
      </c>
      <c r="B1524">
        <f>Table4[[#This Row],[Column2]]</f>
        <v>0</v>
      </c>
      <c r="C1524" s="81"/>
      <c r="D1524" s="81"/>
      <c r="E1524" s="81"/>
      <c r="F1524" s="81"/>
      <c r="G1524" s="81"/>
      <c r="H1524" s="81"/>
      <c r="I1524" s="81"/>
      <c r="J1524" s="81"/>
      <c r="K1524" s="81"/>
      <c r="L1524" s="81"/>
      <c r="M1524" s="81"/>
      <c r="N1524" s="81"/>
      <c r="O1524" s="81"/>
      <c r="P1524" s="81"/>
      <c r="Q1524" s="81"/>
      <c r="R1524" s="81"/>
      <c r="S1524" s="81"/>
      <c r="T1524" s="81"/>
      <c r="U1524" s="81"/>
      <c r="V1524" s="94"/>
      <c r="W1524" s="94"/>
    </row>
    <row r="1525" spans="1:23" ht="21" customHeight="1">
      <c r="A1525">
        <f>Table4[[#This Row],[Column1]]</f>
        <v>0</v>
      </c>
      <c r="B1525">
        <f>Table4[[#This Row],[Column2]]</f>
        <v>0</v>
      </c>
      <c r="C1525" s="81"/>
      <c r="D1525" s="81"/>
      <c r="E1525" s="81"/>
      <c r="F1525" s="81"/>
      <c r="G1525" s="81"/>
      <c r="H1525" s="81"/>
      <c r="I1525" s="81"/>
      <c r="J1525" s="81"/>
      <c r="K1525" s="81"/>
      <c r="L1525" s="81"/>
      <c r="M1525" s="81"/>
      <c r="N1525" s="81"/>
      <c r="O1525" s="81"/>
      <c r="P1525" s="81"/>
      <c r="Q1525" s="81"/>
      <c r="R1525" s="81"/>
      <c r="S1525" s="81"/>
      <c r="T1525" s="81"/>
      <c r="U1525" s="81"/>
      <c r="V1525" s="94"/>
      <c r="W1525" s="94"/>
    </row>
    <row r="1526" spans="1:23" ht="21" customHeight="1">
      <c r="A1526">
        <f>Table4[[#This Row],[Column1]]</f>
        <v>0</v>
      </c>
      <c r="B1526">
        <f>Table4[[#This Row],[Column2]]</f>
        <v>0</v>
      </c>
      <c r="C1526" s="81"/>
      <c r="D1526" s="81"/>
      <c r="E1526" s="81"/>
      <c r="F1526" s="81"/>
      <c r="G1526" s="81"/>
      <c r="H1526" s="81"/>
      <c r="I1526" s="81"/>
      <c r="J1526" s="81"/>
      <c r="K1526" s="81"/>
      <c r="L1526" s="81"/>
      <c r="M1526" s="81"/>
      <c r="N1526" s="81"/>
      <c r="O1526" s="81"/>
      <c r="P1526" s="81"/>
      <c r="Q1526" s="81"/>
      <c r="R1526" s="81"/>
      <c r="S1526" s="81"/>
      <c r="T1526" s="81"/>
      <c r="U1526" s="81"/>
      <c r="V1526" s="94"/>
      <c r="W1526" s="94"/>
    </row>
    <row r="1527" spans="1:23" ht="21" customHeight="1">
      <c r="A1527">
        <f>Table4[[#This Row],[Column1]]</f>
        <v>0</v>
      </c>
      <c r="B1527">
        <f>Table4[[#This Row],[Column2]]</f>
        <v>0</v>
      </c>
      <c r="C1527" s="81"/>
      <c r="D1527" s="81"/>
      <c r="E1527" s="81"/>
      <c r="F1527" s="81"/>
      <c r="G1527" s="81"/>
      <c r="H1527" s="81"/>
      <c r="I1527" s="81"/>
      <c r="J1527" s="81"/>
      <c r="K1527" s="81"/>
      <c r="L1527" s="81"/>
      <c r="M1527" s="81"/>
      <c r="N1527" s="81"/>
      <c r="O1527" s="81"/>
      <c r="P1527" s="81"/>
      <c r="Q1527" s="81"/>
      <c r="R1527" s="81"/>
      <c r="S1527" s="81"/>
      <c r="T1527" s="81"/>
      <c r="U1527" s="81"/>
      <c r="V1527" s="94"/>
      <c r="W1527" s="94"/>
    </row>
    <row r="1528" spans="1:23" ht="21" customHeight="1">
      <c r="A1528">
        <f>Table4[[#This Row],[Column1]]</f>
        <v>0</v>
      </c>
      <c r="B1528">
        <f>Table4[[#This Row],[Column2]]</f>
        <v>0</v>
      </c>
      <c r="C1528" s="81"/>
      <c r="D1528" s="81"/>
      <c r="E1528" s="81"/>
      <c r="F1528" s="81"/>
      <c r="G1528" s="81"/>
      <c r="H1528" s="81"/>
      <c r="I1528" s="81"/>
      <c r="J1528" s="81"/>
      <c r="K1528" s="81"/>
      <c r="L1528" s="81"/>
      <c r="M1528" s="81"/>
      <c r="N1528" s="81"/>
      <c r="O1528" s="81"/>
      <c r="P1528" s="81"/>
      <c r="Q1528" s="81"/>
      <c r="R1528" s="81"/>
      <c r="S1528" s="81"/>
      <c r="T1528" s="81"/>
      <c r="U1528" s="81"/>
      <c r="V1528" s="94"/>
      <c r="W1528" s="94"/>
    </row>
    <row r="1529" spans="1:23" ht="21" customHeight="1">
      <c r="A1529">
        <f>Table4[[#This Row],[Column1]]</f>
        <v>0</v>
      </c>
      <c r="B1529">
        <f>Table4[[#This Row],[Column2]]</f>
        <v>0</v>
      </c>
      <c r="C1529" s="81"/>
      <c r="D1529" s="81"/>
      <c r="E1529" s="81"/>
      <c r="F1529" s="81"/>
      <c r="G1529" s="81"/>
      <c r="H1529" s="81"/>
      <c r="I1529" s="81"/>
      <c r="J1529" s="81"/>
      <c r="K1529" s="81"/>
      <c r="L1529" s="81"/>
      <c r="M1529" s="81"/>
      <c r="N1529" s="81"/>
      <c r="O1529" s="81"/>
      <c r="P1529" s="81"/>
      <c r="Q1529" s="81"/>
      <c r="R1529" s="81"/>
      <c r="S1529" s="81"/>
      <c r="T1529" s="81"/>
      <c r="U1529" s="81"/>
      <c r="V1529" s="94"/>
      <c r="W1529" s="94"/>
    </row>
    <row r="1530" spans="1:23" ht="21" customHeight="1">
      <c r="A1530">
        <f>Table4[[#This Row],[Column1]]</f>
        <v>0</v>
      </c>
      <c r="B1530">
        <f>Table4[[#This Row],[Column2]]</f>
        <v>0</v>
      </c>
      <c r="C1530" s="81"/>
      <c r="D1530" s="81"/>
      <c r="E1530" s="81"/>
      <c r="F1530" s="81"/>
      <c r="G1530" s="81"/>
      <c r="H1530" s="81"/>
      <c r="I1530" s="81"/>
      <c r="J1530" s="81"/>
      <c r="K1530" s="81"/>
      <c r="L1530" s="81"/>
      <c r="M1530" s="81"/>
      <c r="N1530" s="81"/>
      <c r="O1530" s="81"/>
      <c r="P1530" s="81"/>
      <c r="Q1530" s="81"/>
      <c r="R1530" s="81"/>
      <c r="S1530" s="81"/>
      <c r="T1530" s="81"/>
      <c r="U1530" s="81"/>
      <c r="V1530" s="94"/>
      <c r="W1530" s="94"/>
    </row>
    <row r="1531" spans="1:23" ht="21" customHeight="1">
      <c r="A1531">
        <f>Table4[[#This Row],[Column1]]</f>
        <v>0</v>
      </c>
      <c r="B1531">
        <f>Table4[[#This Row],[Column2]]</f>
        <v>0</v>
      </c>
      <c r="C1531" s="81"/>
      <c r="D1531" s="81"/>
      <c r="E1531" s="81"/>
      <c r="F1531" s="81"/>
      <c r="G1531" s="81"/>
      <c r="H1531" s="81"/>
      <c r="I1531" s="81"/>
      <c r="J1531" s="81"/>
      <c r="K1531" s="81"/>
      <c r="L1531" s="81"/>
      <c r="M1531" s="81"/>
      <c r="N1531" s="81"/>
      <c r="O1531" s="81"/>
      <c r="P1531" s="81"/>
      <c r="Q1531" s="81"/>
      <c r="R1531" s="81"/>
      <c r="S1531" s="81"/>
      <c r="T1531" s="81"/>
      <c r="U1531" s="81"/>
      <c r="V1531" s="94"/>
      <c r="W1531" s="94"/>
    </row>
    <row r="1532" spans="1:23" ht="21" customHeight="1">
      <c r="A1532">
        <f>Table4[[#This Row],[Column1]]</f>
        <v>0</v>
      </c>
      <c r="B1532">
        <f>Table4[[#This Row],[Column2]]</f>
        <v>0</v>
      </c>
      <c r="C1532" s="81"/>
      <c r="D1532" s="81"/>
      <c r="E1532" s="81"/>
      <c r="F1532" s="81"/>
      <c r="G1532" s="81"/>
      <c r="H1532" s="81"/>
      <c r="I1532" s="81"/>
      <c r="J1532" s="81"/>
      <c r="K1532" s="81"/>
      <c r="L1532" s="81"/>
      <c r="M1532" s="81"/>
      <c r="N1532" s="81"/>
      <c r="O1532" s="81"/>
      <c r="P1532" s="81"/>
      <c r="Q1532" s="81"/>
      <c r="R1532" s="81"/>
      <c r="S1532" s="81"/>
      <c r="T1532" s="81"/>
      <c r="U1532" s="81"/>
      <c r="V1532" s="94"/>
      <c r="W1532" s="94"/>
    </row>
    <row r="1533" spans="1:23" ht="21" customHeight="1">
      <c r="A1533">
        <f>Table4[[#This Row],[Column1]]</f>
        <v>0</v>
      </c>
      <c r="B1533">
        <f>Table4[[#This Row],[Column2]]</f>
        <v>0</v>
      </c>
      <c r="C1533" s="81"/>
      <c r="D1533" s="81"/>
      <c r="E1533" s="81"/>
      <c r="F1533" s="81"/>
      <c r="G1533" s="81"/>
      <c r="H1533" s="81"/>
      <c r="I1533" s="81"/>
      <c r="J1533" s="81"/>
      <c r="K1533" s="81"/>
      <c r="L1533" s="81"/>
      <c r="M1533" s="81"/>
      <c r="N1533" s="81"/>
      <c r="O1533" s="81"/>
      <c r="P1533" s="81"/>
      <c r="Q1533" s="81"/>
      <c r="R1533" s="81"/>
      <c r="S1533" s="81"/>
      <c r="T1533" s="81"/>
      <c r="U1533" s="81"/>
      <c r="V1533" s="94"/>
      <c r="W1533" s="94"/>
    </row>
    <row r="1534" spans="1:23" ht="21" customHeight="1">
      <c r="A1534">
        <f>Table4[[#This Row],[Column1]]</f>
        <v>0</v>
      </c>
      <c r="B1534">
        <f>Table4[[#This Row],[Column2]]</f>
        <v>0</v>
      </c>
      <c r="C1534" s="81"/>
      <c r="D1534" s="81"/>
      <c r="E1534" s="81"/>
      <c r="F1534" s="81"/>
      <c r="G1534" s="81"/>
      <c r="H1534" s="81"/>
      <c r="I1534" s="81"/>
      <c r="J1534" s="81"/>
      <c r="K1534" s="81"/>
      <c r="L1534" s="81"/>
      <c r="M1534" s="81"/>
      <c r="N1534" s="81"/>
      <c r="O1534" s="81"/>
      <c r="P1534" s="81"/>
      <c r="Q1534" s="81"/>
      <c r="R1534" s="81"/>
      <c r="S1534" s="81"/>
      <c r="T1534" s="81"/>
      <c r="U1534" s="81"/>
      <c r="V1534" s="94"/>
      <c r="W1534" s="94"/>
    </row>
    <row r="1535" spans="1:23" ht="21" customHeight="1">
      <c r="A1535">
        <f>Table4[[#This Row],[Column1]]</f>
        <v>0</v>
      </c>
      <c r="B1535">
        <f>Table4[[#This Row],[Column2]]</f>
        <v>0</v>
      </c>
      <c r="C1535" s="81"/>
      <c r="D1535" s="81"/>
      <c r="E1535" s="81"/>
      <c r="F1535" s="81"/>
      <c r="G1535" s="81"/>
      <c r="H1535" s="81"/>
      <c r="I1535" s="81"/>
      <c r="J1535" s="81"/>
      <c r="K1535" s="81"/>
      <c r="L1535" s="81"/>
      <c r="M1535" s="81"/>
      <c r="N1535" s="81"/>
      <c r="O1535" s="81"/>
      <c r="P1535" s="81"/>
      <c r="Q1535" s="81"/>
      <c r="R1535" s="81"/>
      <c r="S1535" s="81"/>
      <c r="T1535" s="81"/>
      <c r="U1535" s="81"/>
      <c r="V1535" s="94"/>
      <c r="W1535" s="94"/>
    </row>
    <row r="1536" spans="1:23" ht="21" customHeight="1">
      <c r="A1536">
        <f>Table4[[#This Row],[Column1]]</f>
        <v>0</v>
      </c>
      <c r="B1536">
        <f>Table4[[#This Row],[Column2]]</f>
        <v>0</v>
      </c>
      <c r="C1536" s="81"/>
      <c r="D1536" s="81"/>
      <c r="E1536" s="81"/>
      <c r="F1536" s="81"/>
      <c r="G1536" s="81"/>
      <c r="H1536" s="81"/>
      <c r="I1536" s="81"/>
      <c r="J1536" s="81"/>
      <c r="K1536" s="81"/>
      <c r="L1536" s="81"/>
      <c r="M1536" s="81"/>
      <c r="N1536" s="81"/>
      <c r="O1536" s="81"/>
      <c r="P1536" s="81"/>
      <c r="Q1536" s="81"/>
      <c r="R1536" s="81"/>
      <c r="S1536" s="81"/>
      <c r="T1536" s="81"/>
      <c r="U1536" s="81"/>
      <c r="V1536" s="94"/>
      <c r="W1536" s="94"/>
    </row>
    <row r="1537" spans="1:23" ht="21" customHeight="1">
      <c r="A1537">
        <f>Table4[[#This Row],[Column1]]</f>
        <v>0</v>
      </c>
      <c r="B1537">
        <f>Table4[[#This Row],[Column2]]</f>
        <v>0</v>
      </c>
      <c r="C1537" s="81"/>
      <c r="D1537" s="81"/>
      <c r="E1537" s="81"/>
      <c r="F1537" s="81"/>
      <c r="G1537" s="81"/>
      <c r="H1537" s="81"/>
      <c r="I1537" s="81"/>
      <c r="J1537" s="81"/>
      <c r="K1537" s="81"/>
      <c r="L1537" s="81"/>
      <c r="M1537" s="81"/>
      <c r="N1537" s="81"/>
      <c r="O1537" s="81"/>
      <c r="P1537" s="81"/>
      <c r="Q1537" s="81"/>
      <c r="R1537" s="81"/>
      <c r="S1537" s="81"/>
      <c r="T1537" s="81"/>
      <c r="U1537" s="81"/>
      <c r="V1537" s="94"/>
      <c r="W1537" s="94"/>
    </row>
    <row r="1538" spans="1:23" ht="21" customHeight="1">
      <c r="A1538">
        <f>Table4[[#This Row],[Column1]]</f>
        <v>0</v>
      </c>
      <c r="B1538">
        <f>Table4[[#This Row],[Column2]]</f>
        <v>0</v>
      </c>
      <c r="C1538" s="81"/>
      <c r="D1538" s="81"/>
      <c r="E1538" s="81"/>
      <c r="F1538" s="81"/>
      <c r="G1538" s="81"/>
      <c r="H1538" s="81"/>
      <c r="I1538" s="81"/>
      <c r="J1538" s="81"/>
      <c r="K1538" s="81"/>
      <c r="L1538" s="81"/>
      <c r="M1538" s="81"/>
      <c r="N1538" s="81"/>
      <c r="O1538" s="81"/>
      <c r="P1538" s="81"/>
      <c r="Q1538" s="81"/>
      <c r="R1538" s="81"/>
      <c r="S1538" s="81"/>
      <c r="T1538" s="81"/>
      <c r="U1538" s="81"/>
      <c r="V1538" s="94"/>
      <c r="W1538" s="94"/>
    </row>
    <row r="1539" spans="1:23" ht="21" customHeight="1">
      <c r="A1539">
        <f>Table4[[#This Row],[Column1]]</f>
        <v>0</v>
      </c>
      <c r="B1539">
        <f>Table4[[#This Row],[Column2]]</f>
        <v>0</v>
      </c>
      <c r="C1539" s="81"/>
      <c r="D1539" s="81"/>
      <c r="E1539" s="81"/>
      <c r="F1539" s="81"/>
      <c r="G1539" s="81"/>
      <c r="H1539" s="81"/>
      <c r="I1539" s="81"/>
      <c r="J1539" s="81"/>
      <c r="K1539" s="81"/>
      <c r="L1539" s="81"/>
      <c r="M1539" s="81"/>
      <c r="N1539" s="81"/>
      <c r="O1539" s="81"/>
      <c r="P1539" s="81"/>
      <c r="Q1539" s="81"/>
      <c r="R1539" s="81"/>
      <c r="S1539" s="81"/>
      <c r="T1539" s="81"/>
      <c r="U1539" s="81"/>
      <c r="V1539" s="94"/>
      <c r="W1539" s="94"/>
    </row>
    <row r="1540" spans="1:23" ht="21" customHeight="1">
      <c r="A1540">
        <f>Table4[[#This Row],[Column1]]</f>
        <v>0</v>
      </c>
      <c r="B1540">
        <f>Table4[[#This Row],[Column2]]</f>
        <v>0</v>
      </c>
      <c r="C1540" s="81"/>
      <c r="D1540" s="81"/>
      <c r="E1540" s="81"/>
      <c r="F1540" s="81"/>
      <c r="G1540" s="81"/>
      <c r="H1540" s="81"/>
      <c r="I1540" s="81"/>
      <c r="J1540" s="81"/>
      <c r="K1540" s="81"/>
      <c r="L1540" s="81"/>
      <c r="M1540" s="81"/>
      <c r="N1540" s="81"/>
      <c r="O1540" s="81"/>
      <c r="P1540" s="81"/>
      <c r="Q1540" s="81"/>
      <c r="R1540" s="81"/>
      <c r="S1540" s="81"/>
      <c r="T1540" s="81"/>
      <c r="U1540" s="81"/>
      <c r="V1540" s="94"/>
      <c r="W1540" s="94"/>
    </row>
    <row r="1541" spans="1:23" ht="21" customHeight="1">
      <c r="A1541">
        <f>Table4[[#This Row],[Column1]]</f>
        <v>0</v>
      </c>
      <c r="B1541">
        <f>Table4[[#This Row],[Column2]]</f>
        <v>0</v>
      </c>
      <c r="C1541" s="81"/>
      <c r="D1541" s="81"/>
      <c r="E1541" s="81"/>
      <c r="F1541" s="81"/>
      <c r="G1541" s="81"/>
      <c r="H1541" s="81"/>
      <c r="I1541" s="81"/>
      <c r="J1541" s="81"/>
      <c r="K1541" s="81"/>
      <c r="L1541" s="81"/>
      <c r="M1541" s="81"/>
      <c r="N1541" s="81"/>
      <c r="O1541" s="81"/>
      <c r="P1541" s="81"/>
      <c r="Q1541" s="81"/>
      <c r="R1541" s="81"/>
      <c r="S1541" s="81"/>
      <c r="T1541" s="81"/>
      <c r="U1541" s="81"/>
      <c r="V1541" s="94"/>
      <c r="W1541" s="94"/>
    </row>
    <row r="1542" spans="1:23" ht="21" customHeight="1">
      <c r="A1542">
        <f>Table4[[#This Row],[Column1]]</f>
        <v>0</v>
      </c>
      <c r="B1542">
        <f>Table4[[#This Row],[Column2]]</f>
        <v>0</v>
      </c>
      <c r="C1542" s="81"/>
      <c r="D1542" s="81"/>
      <c r="E1542" s="81"/>
      <c r="F1542" s="81"/>
      <c r="G1542" s="81"/>
      <c r="H1542" s="81"/>
      <c r="I1542" s="81"/>
      <c r="J1542" s="81"/>
      <c r="K1542" s="81"/>
      <c r="L1542" s="81"/>
      <c r="M1542" s="81"/>
      <c r="N1542" s="81"/>
      <c r="O1542" s="81"/>
      <c r="P1542" s="81"/>
      <c r="Q1542" s="81"/>
      <c r="R1542" s="81"/>
      <c r="S1542" s="81"/>
      <c r="T1542" s="81"/>
      <c r="U1542" s="81"/>
      <c r="V1542" s="94"/>
      <c r="W1542" s="94"/>
    </row>
    <row r="1543" spans="1:23" ht="21" customHeight="1">
      <c r="A1543">
        <f>Table4[[#This Row],[Column1]]</f>
        <v>0</v>
      </c>
      <c r="B1543">
        <f>Table4[[#This Row],[Column2]]</f>
        <v>0</v>
      </c>
      <c r="C1543" s="81"/>
      <c r="D1543" s="81"/>
      <c r="E1543" s="81"/>
      <c r="F1543" s="81"/>
      <c r="G1543" s="81"/>
      <c r="H1543" s="81"/>
      <c r="I1543" s="81"/>
      <c r="J1543" s="81"/>
      <c r="K1543" s="81"/>
      <c r="L1543" s="81"/>
      <c r="M1543" s="81"/>
      <c r="N1543" s="81"/>
      <c r="O1543" s="81"/>
      <c r="P1543" s="81"/>
      <c r="Q1543" s="81"/>
      <c r="R1543" s="81"/>
      <c r="S1543" s="81"/>
      <c r="T1543" s="81"/>
      <c r="U1543" s="81"/>
      <c r="V1543" s="94"/>
      <c r="W1543" s="94"/>
    </row>
    <row r="1544" spans="1:23" ht="21" customHeight="1">
      <c r="A1544">
        <f>Table4[[#This Row],[Column1]]</f>
        <v>0</v>
      </c>
      <c r="B1544">
        <f>Table4[[#This Row],[Column2]]</f>
        <v>0</v>
      </c>
      <c r="C1544" s="81"/>
      <c r="D1544" s="81"/>
      <c r="E1544" s="81"/>
      <c r="F1544" s="81"/>
      <c r="G1544" s="81"/>
      <c r="H1544" s="81"/>
      <c r="I1544" s="81"/>
      <c r="J1544" s="81"/>
      <c r="K1544" s="81"/>
      <c r="L1544" s="81"/>
      <c r="M1544" s="81"/>
      <c r="N1544" s="81"/>
      <c r="O1544" s="81"/>
      <c r="P1544" s="81"/>
      <c r="Q1544" s="81"/>
      <c r="R1544" s="81"/>
      <c r="S1544" s="81"/>
      <c r="T1544" s="81"/>
      <c r="U1544" s="81"/>
      <c r="V1544" s="94"/>
      <c r="W1544" s="94"/>
    </row>
    <row r="1545" spans="1:23" ht="21" customHeight="1">
      <c r="A1545">
        <f>Table4[[#This Row],[Column1]]</f>
        <v>0</v>
      </c>
      <c r="B1545">
        <f>Table4[[#This Row],[Column2]]</f>
        <v>0</v>
      </c>
      <c r="C1545" s="81"/>
      <c r="D1545" s="81"/>
      <c r="E1545" s="81"/>
      <c r="F1545" s="81"/>
      <c r="G1545" s="81"/>
      <c r="H1545" s="81"/>
      <c r="I1545" s="81"/>
      <c r="J1545" s="81"/>
      <c r="K1545" s="81"/>
      <c r="L1545" s="81"/>
      <c r="M1545" s="81"/>
      <c r="N1545" s="81"/>
      <c r="O1545" s="81"/>
      <c r="P1545" s="81"/>
      <c r="Q1545" s="81"/>
      <c r="R1545" s="81"/>
      <c r="S1545" s="81"/>
      <c r="T1545" s="81"/>
      <c r="U1545" s="81"/>
      <c r="V1545" s="94"/>
      <c r="W1545" s="94"/>
    </row>
    <row r="1546" spans="1:23" ht="21" customHeight="1">
      <c r="A1546">
        <f>Table4[[#This Row],[Column1]]</f>
        <v>0</v>
      </c>
      <c r="B1546">
        <f>Table4[[#This Row],[Column2]]</f>
        <v>0</v>
      </c>
      <c r="C1546" s="81"/>
      <c r="D1546" s="81"/>
      <c r="E1546" s="81"/>
      <c r="F1546" s="81"/>
      <c r="G1546" s="81"/>
      <c r="H1546" s="81"/>
      <c r="I1546" s="81"/>
      <c r="J1546" s="81"/>
      <c r="K1546" s="81"/>
      <c r="L1546" s="81"/>
      <c r="M1546" s="81"/>
      <c r="N1546" s="81"/>
      <c r="O1546" s="81"/>
      <c r="P1546" s="81"/>
      <c r="Q1546" s="81"/>
      <c r="R1546" s="81"/>
      <c r="S1546" s="81"/>
      <c r="T1546" s="81"/>
      <c r="U1546" s="81"/>
      <c r="V1546" s="94"/>
      <c r="W1546" s="94"/>
    </row>
    <row r="1547" spans="1:23" ht="21" customHeight="1">
      <c r="A1547">
        <f>Table4[[#This Row],[Column1]]</f>
        <v>0</v>
      </c>
      <c r="B1547">
        <f>Table4[[#This Row],[Column2]]</f>
        <v>0</v>
      </c>
      <c r="C1547" s="81"/>
      <c r="D1547" s="81"/>
      <c r="E1547" s="81"/>
      <c r="F1547" s="81"/>
      <c r="G1547" s="81"/>
      <c r="H1547" s="81"/>
      <c r="I1547" s="81"/>
      <c r="J1547" s="81"/>
      <c r="K1547" s="81"/>
      <c r="L1547" s="81"/>
      <c r="M1547" s="81"/>
      <c r="N1547" s="81"/>
      <c r="O1547" s="81"/>
      <c r="P1547" s="81"/>
      <c r="Q1547" s="81"/>
      <c r="R1547" s="81"/>
      <c r="S1547" s="81"/>
      <c r="T1547" s="81"/>
      <c r="U1547" s="81"/>
      <c r="V1547" s="94"/>
      <c r="W1547" s="94"/>
    </row>
    <row r="1548" spans="1:23" ht="21" customHeight="1">
      <c r="A1548">
        <f>Table4[[#This Row],[Column1]]</f>
        <v>0</v>
      </c>
      <c r="B1548">
        <f>Table4[[#This Row],[Column2]]</f>
        <v>0</v>
      </c>
      <c r="C1548" s="81"/>
      <c r="D1548" s="81"/>
      <c r="E1548" s="81"/>
      <c r="F1548" s="81"/>
      <c r="G1548" s="81"/>
      <c r="H1548" s="81"/>
      <c r="I1548" s="81"/>
      <c r="J1548" s="81"/>
      <c r="K1548" s="81"/>
      <c r="L1548" s="81"/>
      <c r="M1548" s="81"/>
      <c r="N1548" s="81"/>
      <c r="O1548" s="81"/>
      <c r="P1548" s="81"/>
      <c r="Q1548" s="81"/>
      <c r="R1548" s="81"/>
      <c r="S1548" s="81"/>
      <c r="T1548" s="81"/>
      <c r="U1548" s="81"/>
      <c r="V1548" s="94"/>
      <c r="W1548" s="94"/>
    </row>
    <row r="1549" spans="1:23" ht="21" customHeight="1">
      <c r="A1549">
        <f>Table4[[#This Row],[Column1]]</f>
        <v>0</v>
      </c>
      <c r="B1549">
        <f>Table4[[#This Row],[Column2]]</f>
        <v>0</v>
      </c>
      <c r="C1549" s="81"/>
      <c r="D1549" s="81"/>
      <c r="E1549" s="81"/>
      <c r="F1549" s="81"/>
      <c r="G1549" s="81"/>
      <c r="H1549" s="81"/>
      <c r="I1549" s="81"/>
      <c r="J1549" s="81"/>
      <c r="K1549" s="81"/>
      <c r="L1549" s="81"/>
      <c r="M1549" s="81"/>
      <c r="N1549" s="81"/>
      <c r="O1549" s="81"/>
      <c r="P1549" s="81"/>
      <c r="Q1549" s="81"/>
      <c r="R1549" s="81"/>
      <c r="S1549" s="81"/>
      <c r="T1549" s="81"/>
      <c r="U1549" s="81"/>
      <c r="V1549" s="94"/>
      <c r="W1549" s="94"/>
    </row>
    <row r="1550" spans="1:23" ht="21" customHeight="1">
      <c r="A1550">
        <f>Table4[[#This Row],[Column1]]</f>
        <v>0</v>
      </c>
      <c r="B1550">
        <f>Table4[[#This Row],[Column2]]</f>
        <v>0</v>
      </c>
      <c r="C1550" s="81"/>
      <c r="D1550" s="81"/>
      <c r="E1550" s="81"/>
      <c r="F1550" s="81"/>
      <c r="G1550" s="81"/>
      <c r="H1550" s="81"/>
      <c r="I1550" s="81"/>
      <c r="J1550" s="81"/>
      <c r="K1550" s="81"/>
      <c r="L1550" s="81"/>
      <c r="M1550" s="81"/>
      <c r="N1550" s="81"/>
      <c r="O1550" s="81"/>
      <c r="P1550" s="81"/>
      <c r="Q1550" s="81"/>
      <c r="R1550" s="81"/>
      <c r="S1550" s="81"/>
      <c r="T1550" s="81"/>
      <c r="U1550" s="81"/>
      <c r="V1550" s="94"/>
      <c r="W1550" s="94"/>
    </row>
    <row r="1551" spans="1:23" ht="21" customHeight="1">
      <c r="A1551">
        <f>Table4[[#This Row],[Column1]]</f>
        <v>0</v>
      </c>
      <c r="B1551">
        <f>Table4[[#This Row],[Column2]]</f>
        <v>0</v>
      </c>
      <c r="C1551" s="81"/>
      <c r="D1551" s="81"/>
      <c r="E1551" s="81"/>
      <c r="F1551" s="81"/>
      <c r="G1551" s="81"/>
      <c r="H1551" s="81"/>
      <c r="I1551" s="81"/>
      <c r="J1551" s="81"/>
      <c r="K1551" s="81"/>
      <c r="L1551" s="81"/>
      <c r="M1551" s="81"/>
      <c r="N1551" s="81"/>
      <c r="O1551" s="81"/>
      <c r="P1551" s="81"/>
      <c r="Q1551" s="81"/>
      <c r="R1551" s="81"/>
      <c r="S1551" s="81"/>
      <c r="T1551" s="81"/>
      <c r="U1551" s="81"/>
      <c r="V1551" s="94"/>
      <c r="W1551" s="94"/>
    </row>
    <row r="1552" spans="1:23" ht="21" customHeight="1">
      <c r="A1552">
        <f>Table4[[#This Row],[Column1]]</f>
        <v>0</v>
      </c>
      <c r="B1552">
        <f>Table4[[#This Row],[Column2]]</f>
        <v>0</v>
      </c>
      <c r="C1552" s="81"/>
      <c r="D1552" s="81"/>
      <c r="E1552" s="81"/>
      <c r="F1552" s="81"/>
      <c r="G1552" s="81"/>
      <c r="H1552" s="81"/>
      <c r="I1552" s="81"/>
      <c r="J1552" s="81"/>
      <c r="K1552" s="81"/>
      <c r="L1552" s="81"/>
      <c r="M1552" s="81"/>
      <c r="N1552" s="81"/>
      <c r="O1552" s="81"/>
      <c r="P1552" s="81"/>
      <c r="Q1552" s="81"/>
      <c r="R1552" s="81"/>
      <c r="S1552" s="81"/>
      <c r="T1552" s="81"/>
      <c r="U1552" s="81"/>
      <c r="V1552" s="94"/>
      <c r="W1552" s="94"/>
    </row>
    <row r="1553" spans="1:23" ht="21" customHeight="1">
      <c r="A1553">
        <f>Table4[[#This Row],[Column1]]</f>
        <v>0</v>
      </c>
      <c r="B1553">
        <f>Table4[[#This Row],[Column2]]</f>
        <v>0</v>
      </c>
      <c r="C1553" s="81"/>
      <c r="D1553" s="81"/>
      <c r="E1553" s="81"/>
      <c r="F1553" s="81"/>
      <c r="G1553" s="81"/>
      <c r="H1553" s="81"/>
      <c r="I1553" s="81"/>
      <c r="J1553" s="81"/>
      <c r="K1553" s="81"/>
      <c r="L1553" s="81"/>
      <c r="M1553" s="81"/>
      <c r="N1553" s="81"/>
      <c r="O1553" s="81"/>
      <c r="P1553" s="81"/>
      <c r="Q1553" s="81"/>
      <c r="R1553" s="81"/>
      <c r="S1553" s="81"/>
      <c r="T1553" s="81"/>
      <c r="U1553" s="81"/>
      <c r="V1553" s="94"/>
      <c r="W1553" s="94"/>
    </row>
    <row r="1554" spans="1:23" ht="21" customHeight="1">
      <c r="A1554">
        <f>Table4[[#This Row],[Column1]]</f>
        <v>0</v>
      </c>
      <c r="B1554">
        <f>Table4[[#This Row],[Column2]]</f>
        <v>0</v>
      </c>
      <c r="C1554" s="81"/>
      <c r="D1554" s="81"/>
      <c r="E1554" s="81"/>
      <c r="F1554" s="81"/>
      <c r="G1554" s="81"/>
      <c r="H1554" s="81"/>
      <c r="I1554" s="81"/>
      <c r="J1554" s="81"/>
      <c r="K1554" s="81"/>
      <c r="L1554" s="81"/>
      <c r="M1554" s="81"/>
      <c r="N1554" s="81"/>
      <c r="O1554" s="81"/>
      <c r="P1554" s="81"/>
      <c r="Q1554" s="81"/>
      <c r="R1554" s="81"/>
      <c r="S1554" s="81"/>
      <c r="T1554" s="81"/>
      <c r="U1554" s="81"/>
      <c r="V1554" s="94"/>
      <c r="W1554" s="94"/>
    </row>
    <row r="1555" spans="1:23" ht="21" customHeight="1">
      <c r="A1555">
        <f>Table4[[#This Row],[Column1]]</f>
        <v>0</v>
      </c>
      <c r="B1555">
        <f>Table4[[#This Row],[Column2]]</f>
        <v>0</v>
      </c>
      <c r="C1555" s="81"/>
      <c r="D1555" s="81"/>
      <c r="E1555" s="81"/>
      <c r="F1555" s="81"/>
      <c r="G1555" s="81"/>
      <c r="H1555" s="81"/>
      <c r="I1555" s="81"/>
      <c r="J1555" s="81"/>
      <c r="K1555" s="81"/>
      <c r="L1555" s="81"/>
      <c r="M1555" s="81"/>
      <c r="N1555" s="81"/>
      <c r="O1555" s="81"/>
      <c r="P1555" s="81"/>
      <c r="Q1555" s="81"/>
      <c r="R1555" s="81"/>
      <c r="S1555" s="81"/>
      <c r="T1555" s="81"/>
      <c r="U1555" s="81"/>
      <c r="V1555" s="94"/>
      <c r="W1555" s="94"/>
    </row>
    <row r="1556" spans="1:23" ht="21" customHeight="1">
      <c r="A1556">
        <f>Table4[[#This Row],[Column1]]</f>
        <v>0</v>
      </c>
      <c r="B1556">
        <f>Table4[[#This Row],[Column2]]</f>
        <v>0</v>
      </c>
      <c r="C1556" s="81"/>
      <c r="D1556" s="81"/>
      <c r="E1556" s="81"/>
      <c r="F1556" s="81"/>
      <c r="G1556" s="81"/>
      <c r="H1556" s="81"/>
      <c r="I1556" s="81"/>
      <c r="J1556" s="81"/>
      <c r="K1556" s="81"/>
      <c r="L1556" s="81"/>
      <c r="M1556" s="81"/>
      <c r="N1556" s="81"/>
      <c r="O1556" s="81"/>
      <c r="P1556" s="81"/>
      <c r="Q1556" s="81"/>
      <c r="R1556" s="81"/>
      <c r="S1556" s="81"/>
      <c r="T1556" s="81"/>
      <c r="U1556" s="81"/>
      <c r="V1556" s="94"/>
      <c r="W1556" s="94"/>
    </row>
    <row r="1557" spans="1:23" ht="21" customHeight="1">
      <c r="A1557">
        <f>Table4[[#This Row],[Column1]]</f>
        <v>0</v>
      </c>
      <c r="B1557">
        <f>Table4[[#This Row],[Column2]]</f>
        <v>0</v>
      </c>
      <c r="C1557" s="81"/>
      <c r="D1557" s="81"/>
      <c r="E1557" s="81"/>
      <c r="F1557" s="81"/>
      <c r="G1557" s="81"/>
      <c r="H1557" s="81"/>
      <c r="I1557" s="81"/>
      <c r="J1557" s="81"/>
      <c r="K1557" s="81"/>
      <c r="L1557" s="81"/>
      <c r="M1557" s="81"/>
      <c r="N1557" s="81"/>
      <c r="O1557" s="81"/>
      <c r="P1557" s="81"/>
      <c r="Q1557" s="81"/>
      <c r="R1557" s="81"/>
      <c r="S1557" s="81"/>
      <c r="T1557" s="81"/>
      <c r="U1557" s="81"/>
      <c r="V1557" s="94"/>
      <c r="W1557" s="94"/>
    </row>
    <row r="1558" spans="1:23" ht="21" customHeight="1">
      <c r="A1558">
        <f>Table4[[#This Row],[Column1]]</f>
        <v>0</v>
      </c>
      <c r="B1558">
        <f>Table4[[#This Row],[Column2]]</f>
        <v>0</v>
      </c>
      <c r="C1558" s="81"/>
      <c r="D1558" s="81"/>
      <c r="E1558" s="81"/>
      <c r="F1558" s="81"/>
      <c r="G1558" s="81"/>
      <c r="H1558" s="81"/>
      <c r="I1558" s="81"/>
      <c r="J1558" s="81"/>
      <c r="K1558" s="81"/>
      <c r="L1558" s="81"/>
      <c r="M1558" s="81"/>
      <c r="N1558" s="81"/>
      <c r="O1558" s="81"/>
      <c r="P1558" s="81"/>
      <c r="Q1558" s="81"/>
      <c r="R1558" s="81"/>
      <c r="S1558" s="81"/>
      <c r="T1558" s="81"/>
      <c r="U1558" s="81"/>
      <c r="V1558" s="94"/>
      <c r="W1558" s="94"/>
    </row>
    <row r="1559" spans="1:23" ht="21" customHeight="1">
      <c r="A1559">
        <f>Table4[[#This Row],[Column1]]</f>
        <v>0</v>
      </c>
      <c r="B1559">
        <f>Table4[[#This Row],[Column2]]</f>
        <v>0</v>
      </c>
      <c r="C1559" s="81"/>
      <c r="D1559" s="81"/>
      <c r="E1559" s="81"/>
      <c r="F1559" s="81"/>
      <c r="G1559" s="81"/>
      <c r="H1559" s="81"/>
      <c r="I1559" s="81"/>
      <c r="J1559" s="81"/>
      <c r="K1559" s="81"/>
      <c r="L1559" s="81"/>
      <c r="M1559" s="81"/>
      <c r="N1559" s="81"/>
      <c r="O1559" s="81"/>
      <c r="P1559" s="81"/>
      <c r="Q1559" s="81"/>
      <c r="R1559" s="81"/>
      <c r="S1559" s="81"/>
      <c r="T1559" s="81"/>
      <c r="U1559" s="81"/>
      <c r="V1559" s="94"/>
      <c r="W1559" s="94"/>
    </row>
    <row r="1560" spans="1:23" ht="21" customHeight="1">
      <c r="A1560">
        <f>Table4[[#This Row],[Column1]]</f>
        <v>0</v>
      </c>
      <c r="B1560">
        <f>Table4[[#This Row],[Column2]]</f>
        <v>0</v>
      </c>
      <c r="C1560" s="81"/>
      <c r="D1560" s="81"/>
      <c r="E1560" s="81"/>
      <c r="F1560" s="81"/>
      <c r="G1560" s="81"/>
      <c r="H1560" s="81"/>
      <c r="I1560" s="81"/>
      <c r="J1560" s="81"/>
      <c r="K1560" s="81"/>
      <c r="L1560" s="81"/>
      <c r="M1560" s="81"/>
      <c r="N1560" s="81"/>
      <c r="O1560" s="81"/>
      <c r="P1560" s="81"/>
      <c r="Q1560" s="81"/>
      <c r="R1560" s="81"/>
      <c r="S1560" s="81"/>
      <c r="T1560" s="81"/>
      <c r="U1560" s="81"/>
      <c r="V1560" s="94"/>
      <c r="W1560" s="94"/>
    </row>
    <row r="1561" spans="1:23" ht="21" customHeight="1">
      <c r="A1561">
        <f>Table4[[#This Row],[Column1]]</f>
        <v>0</v>
      </c>
      <c r="B1561">
        <f>Table4[[#This Row],[Column2]]</f>
        <v>0</v>
      </c>
      <c r="C1561" s="81"/>
      <c r="D1561" s="81"/>
      <c r="E1561" s="81"/>
      <c r="F1561" s="81"/>
      <c r="G1561" s="81"/>
      <c r="H1561" s="81"/>
      <c r="I1561" s="81"/>
      <c r="J1561" s="81"/>
      <c r="K1561" s="81"/>
      <c r="L1561" s="81"/>
      <c r="M1561" s="81"/>
      <c r="N1561" s="81"/>
      <c r="O1561" s="81"/>
      <c r="P1561" s="81"/>
      <c r="Q1561" s="81"/>
      <c r="R1561" s="81"/>
      <c r="S1561" s="81"/>
      <c r="T1561" s="81"/>
      <c r="U1561" s="81"/>
      <c r="V1561" s="94"/>
      <c r="W1561" s="94"/>
    </row>
    <row r="1562" spans="1:23" ht="21" customHeight="1">
      <c r="A1562">
        <f>Table4[[#This Row],[Column1]]</f>
        <v>0</v>
      </c>
      <c r="B1562">
        <f>Table4[[#This Row],[Column2]]</f>
        <v>0</v>
      </c>
      <c r="C1562" s="81"/>
      <c r="D1562" s="81"/>
      <c r="E1562" s="81"/>
      <c r="F1562" s="81"/>
      <c r="G1562" s="81"/>
      <c r="H1562" s="81"/>
      <c r="I1562" s="81"/>
      <c r="J1562" s="81"/>
      <c r="K1562" s="81"/>
      <c r="L1562" s="81"/>
      <c r="M1562" s="81"/>
      <c r="N1562" s="81"/>
      <c r="O1562" s="81"/>
      <c r="P1562" s="81"/>
      <c r="Q1562" s="81"/>
      <c r="R1562" s="81"/>
      <c r="S1562" s="81"/>
      <c r="T1562" s="81"/>
      <c r="U1562" s="81"/>
      <c r="V1562" s="94"/>
      <c r="W1562" s="94"/>
    </row>
    <row r="1563" spans="1:23" ht="21" customHeight="1">
      <c r="A1563">
        <f>Table4[[#This Row],[Column1]]</f>
        <v>0</v>
      </c>
      <c r="B1563">
        <f>Table4[[#This Row],[Column2]]</f>
        <v>0</v>
      </c>
      <c r="C1563" s="81"/>
      <c r="D1563" s="81"/>
      <c r="E1563" s="81"/>
      <c r="F1563" s="81"/>
      <c r="G1563" s="81"/>
      <c r="H1563" s="81"/>
      <c r="I1563" s="81"/>
      <c r="J1563" s="81"/>
      <c r="K1563" s="81"/>
      <c r="L1563" s="81"/>
      <c r="M1563" s="81"/>
      <c r="N1563" s="81"/>
      <c r="O1563" s="81"/>
      <c r="P1563" s="81"/>
      <c r="Q1563" s="81"/>
      <c r="R1563" s="81"/>
      <c r="S1563" s="81"/>
      <c r="T1563" s="81"/>
      <c r="U1563" s="81"/>
      <c r="V1563" s="94"/>
      <c r="W1563" s="94"/>
    </row>
    <row r="1564" spans="1:23" ht="21" customHeight="1">
      <c r="A1564">
        <f>Table4[[#This Row],[Column1]]</f>
        <v>0</v>
      </c>
      <c r="B1564">
        <f>Table4[[#This Row],[Column2]]</f>
        <v>0</v>
      </c>
      <c r="C1564" s="81"/>
      <c r="D1564" s="81"/>
      <c r="E1564" s="81"/>
      <c r="F1564" s="81"/>
      <c r="G1564" s="81"/>
      <c r="H1564" s="81"/>
      <c r="I1564" s="81"/>
      <c r="J1564" s="81"/>
      <c r="K1564" s="81"/>
      <c r="L1564" s="81"/>
      <c r="M1564" s="81"/>
      <c r="N1564" s="81"/>
      <c r="O1564" s="81"/>
      <c r="P1564" s="81"/>
      <c r="Q1564" s="81"/>
      <c r="R1564" s="81"/>
      <c r="S1564" s="81"/>
      <c r="T1564" s="81"/>
      <c r="U1564" s="81"/>
      <c r="V1564" s="94"/>
      <c r="W1564" s="94"/>
    </row>
    <row r="1565" spans="1:23" ht="21" customHeight="1">
      <c r="A1565">
        <f>Table4[[#This Row],[Column1]]</f>
        <v>0</v>
      </c>
      <c r="B1565">
        <f>Table4[[#This Row],[Column2]]</f>
        <v>0</v>
      </c>
      <c r="C1565" s="81"/>
      <c r="D1565" s="81"/>
      <c r="E1565" s="81"/>
      <c r="F1565" s="81"/>
      <c r="G1565" s="81"/>
      <c r="H1565" s="81"/>
      <c r="I1565" s="81"/>
      <c r="J1565" s="81"/>
      <c r="K1565" s="81"/>
      <c r="L1565" s="81"/>
      <c r="M1565" s="81"/>
      <c r="N1565" s="81"/>
      <c r="O1565" s="81"/>
      <c r="P1565" s="81"/>
      <c r="Q1565" s="81"/>
      <c r="R1565" s="81"/>
      <c r="S1565" s="81"/>
      <c r="T1565" s="81"/>
      <c r="U1565" s="81"/>
      <c r="V1565" s="94"/>
      <c r="W1565" s="94"/>
    </row>
    <row r="1566" spans="1:23" ht="21" customHeight="1">
      <c r="A1566">
        <f>Table4[[#This Row],[Column1]]</f>
        <v>0</v>
      </c>
      <c r="B1566">
        <f>Table4[[#This Row],[Column2]]</f>
        <v>0</v>
      </c>
      <c r="C1566" s="81"/>
      <c r="D1566" s="81"/>
      <c r="E1566" s="81"/>
      <c r="F1566" s="81"/>
      <c r="G1566" s="81"/>
      <c r="H1566" s="81"/>
      <c r="I1566" s="81"/>
      <c r="J1566" s="81"/>
      <c r="K1566" s="81"/>
      <c r="L1566" s="81"/>
      <c r="M1566" s="81"/>
      <c r="N1566" s="81"/>
      <c r="O1566" s="81"/>
      <c r="P1566" s="81"/>
      <c r="Q1566" s="81"/>
      <c r="R1566" s="81"/>
      <c r="S1566" s="81"/>
      <c r="T1566" s="81"/>
      <c r="U1566" s="81"/>
      <c r="V1566" s="94"/>
      <c r="W1566" s="94"/>
    </row>
    <row r="1567" spans="1:23" ht="21" customHeight="1">
      <c r="A1567">
        <f>Table4[[#This Row],[Column1]]</f>
        <v>0</v>
      </c>
      <c r="B1567">
        <f>Table4[[#This Row],[Column2]]</f>
        <v>0</v>
      </c>
      <c r="C1567" s="81"/>
      <c r="D1567" s="81"/>
      <c r="E1567" s="81"/>
      <c r="F1567" s="81"/>
      <c r="G1567" s="81"/>
      <c r="H1567" s="81"/>
      <c r="I1567" s="81"/>
      <c r="J1567" s="81"/>
      <c r="K1567" s="81"/>
      <c r="L1567" s="81"/>
      <c r="M1567" s="81"/>
      <c r="N1567" s="81"/>
      <c r="O1567" s="81"/>
      <c r="P1567" s="81"/>
      <c r="Q1567" s="81"/>
      <c r="R1567" s="81"/>
      <c r="S1567" s="81"/>
      <c r="T1567" s="81"/>
      <c r="U1567" s="81"/>
      <c r="V1567" s="94"/>
      <c r="W1567" s="94"/>
    </row>
    <row r="1568" spans="1:23" ht="21" customHeight="1">
      <c r="A1568">
        <f>Table4[[#This Row],[Column1]]</f>
        <v>0</v>
      </c>
      <c r="B1568">
        <f>Table4[[#This Row],[Column2]]</f>
        <v>0</v>
      </c>
      <c r="C1568" s="81"/>
      <c r="D1568" s="81"/>
      <c r="E1568" s="81"/>
      <c r="F1568" s="81"/>
      <c r="G1568" s="81"/>
      <c r="H1568" s="81"/>
      <c r="I1568" s="81"/>
      <c r="J1568" s="81"/>
      <c r="K1568" s="81"/>
      <c r="L1568" s="81"/>
      <c r="M1568" s="81"/>
      <c r="N1568" s="81"/>
      <c r="O1568" s="81"/>
      <c r="P1568" s="81"/>
      <c r="Q1568" s="81"/>
      <c r="R1568" s="81"/>
      <c r="S1568" s="81"/>
      <c r="T1568" s="81"/>
      <c r="U1568" s="81"/>
      <c r="V1568" s="94"/>
      <c r="W1568" s="94"/>
    </row>
    <row r="1569" spans="1:23" ht="21" customHeight="1">
      <c r="A1569">
        <f>Table4[[#This Row],[Column1]]</f>
        <v>0</v>
      </c>
      <c r="B1569">
        <f>Table4[[#This Row],[Column2]]</f>
        <v>0</v>
      </c>
      <c r="C1569" s="81"/>
      <c r="D1569" s="81"/>
      <c r="E1569" s="81"/>
      <c r="F1569" s="81"/>
      <c r="G1569" s="81"/>
      <c r="H1569" s="81"/>
      <c r="I1569" s="81"/>
      <c r="J1569" s="81"/>
      <c r="K1569" s="81"/>
      <c r="L1569" s="81"/>
      <c r="M1569" s="81"/>
      <c r="N1569" s="81"/>
      <c r="O1569" s="81"/>
      <c r="P1569" s="81"/>
      <c r="Q1569" s="81"/>
      <c r="R1569" s="81"/>
      <c r="S1569" s="81"/>
      <c r="T1569" s="81"/>
      <c r="U1569" s="81"/>
      <c r="V1569" s="94"/>
      <c r="W1569" s="94"/>
    </row>
    <row r="1570" spans="1:23" ht="21" customHeight="1">
      <c r="A1570">
        <f>Table4[[#This Row],[Column1]]</f>
        <v>0</v>
      </c>
      <c r="B1570">
        <f>Table4[[#This Row],[Column2]]</f>
        <v>0</v>
      </c>
      <c r="C1570" s="81"/>
      <c r="D1570" s="81"/>
      <c r="E1570" s="81"/>
      <c r="F1570" s="81"/>
      <c r="G1570" s="81"/>
      <c r="H1570" s="81"/>
      <c r="I1570" s="81"/>
      <c r="J1570" s="81"/>
      <c r="K1570" s="81"/>
      <c r="L1570" s="81"/>
      <c r="M1570" s="81"/>
      <c r="N1570" s="81"/>
      <c r="O1570" s="81"/>
      <c r="P1570" s="81"/>
      <c r="Q1570" s="81"/>
      <c r="R1570" s="81"/>
      <c r="S1570" s="81"/>
      <c r="T1570" s="81"/>
      <c r="U1570" s="81"/>
      <c r="V1570" s="94"/>
      <c r="W1570" s="94"/>
    </row>
    <row r="1571" spans="1:23" ht="21" customHeight="1">
      <c r="A1571">
        <f>Table4[[#This Row],[Column1]]</f>
        <v>0</v>
      </c>
      <c r="B1571">
        <f>Table4[[#This Row],[Column2]]</f>
        <v>0</v>
      </c>
      <c r="C1571" s="81"/>
      <c r="D1571" s="81"/>
      <c r="E1571" s="81"/>
      <c r="F1571" s="81"/>
      <c r="G1571" s="81"/>
      <c r="H1571" s="81"/>
      <c r="I1571" s="81"/>
      <c r="J1571" s="81"/>
      <c r="K1571" s="81"/>
      <c r="L1571" s="81"/>
      <c r="M1571" s="81"/>
      <c r="N1571" s="81"/>
      <c r="O1571" s="81"/>
      <c r="P1571" s="81"/>
      <c r="Q1571" s="81"/>
      <c r="R1571" s="81"/>
      <c r="S1571" s="81"/>
      <c r="T1571" s="81"/>
      <c r="U1571" s="81"/>
      <c r="V1571" s="94"/>
      <c r="W1571" s="94"/>
    </row>
    <row r="1572" spans="1:23" ht="21" customHeight="1">
      <c r="A1572">
        <f>Table4[[#This Row],[Column1]]</f>
        <v>0</v>
      </c>
      <c r="B1572">
        <f>Table4[[#This Row],[Column2]]</f>
        <v>0</v>
      </c>
      <c r="C1572" s="81"/>
      <c r="D1572" s="81"/>
      <c r="E1572" s="81"/>
      <c r="F1572" s="81"/>
      <c r="G1572" s="81"/>
      <c r="H1572" s="81"/>
      <c r="I1572" s="81"/>
      <c r="J1572" s="81"/>
      <c r="K1572" s="81"/>
      <c r="L1572" s="81"/>
      <c r="M1572" s="81"/>
      <c r="N1572" s="81"/>
      <c r="O1572" s="81"/>
      <c r="P1572" s="81"/>
      <c r="Q1572" s="81"/>
      <c r="R1572" s="81"/>
      <c r="S1572" s="81"/>
      <c r="T1572" s="81"/>
      <c r="U1572" s="81"/>
      <c r="V1572" s="94"/>
      <c r="W1572" s="94"/>
    </row>
    <row r="1573" spans="1:23" ht="21" customHeight="1">
      <c r="A1573">
        <f>Table4[[#This Row],[Column1]]</f>
        <v>0</v>
      </c>
      <c r="B1573">
        <f>Table4[[#This Row],[Column2]]</f>
        <v>0</v>
      </c>
      <c r="C1573" s="81"/>
      <c r="D1573" s="81"/>
      <c r="E1573" s="81"/>
      <c r="F1573" s="81"/>
      <c r="G1573" s="81"/>
      <c r="H1573" s="81"/>
      <c r="I1573" s="81"/>
      <c r="J1573" s="81"/>
      <c r="K1573" s="81"/>
      <c r="L1573" s="81"/>
      <c r="M1573" s="81"/>
      <c r="N1573" s="81"/>
      <c r="O1573" s="81"/>
      <c r="P1573" s="81"/>
      <c r="Q1573" s="81"/>
      <c r="R1573" s="81"/>
      <c r="S1573" s="81"/>
      <c r="T1573" s="81"/>
      <c r="U1573" s="81"/>
      <c r="V1573" s="94"/>
      <c r="W1573" s="94"/>
    </row>
    <row r="1574" spans="1:23" ht="21" customHeight="1">
      <c r="A1574">
        <f>Table4[[#This Row],[Column1]]</f>
        <v>0</v>
      </c>
      <c r="B1574">
        <f>Table4[[#This Row],[Column2]]</f>
        <v>0</v>
      </c>
      <c r="C1574" s="81"/>
      <c r="D1574" s="81"/>
      <c r="E1574" s="81"/>
      <c r="F1574" s="81"/>
      <c r="G1574" s="81"/>
      <c r="H1574" s="81"/>
      <c r="I1574" s="81"/>
      <c r="J1574" s="81"/>
      <c r="K1574" s="81"/>
      <c r="L1574" s="81"/>
      <c r="M1574" s="81"/>
      <c r="N1574" s="81"/>
      <c r="O1574" s="81"/>
      <c r="P1574" s="81"/>
      <c r="Q1574" s="81"/>
      <c r="R1574" s="81"/>
      <c r="S1574" s="81"/>
      <c r="T1574" s="81"/>
      <c r="U1574" s="81"/>
      <c r="V1574" s="94"/>
      <c r="W1574" s="94"/>
    </row>
    <row r="1575" spans="1:23" ht="21" customHeight="1">
      <c r="A1575">
        <f>Table4[[#This Row],[Column1]]</f>
        <v>0</v>
      </c>
      <c r="B1575">
        <f>Table4[[#This Row],[Column2]]</f>
        <v>0</v>
      </c>
      <c r="C1575" s="81"/>
      <c r="D1575" s="81"/>
      <c r="E1575" s="81"/>
      <c r="F1575" s="81"/>
      <c r="G1575" s="81"/>
      <c r="H1575" s="81"/>
      <c r="I1575" s="81"/>
      <c r="J1575" s="81"/>
      <c r="K1575" s="81"/>
      <c r="L1575" s="81"/>
      <c r="M1575" s="81"/>
      <c r="N1575" s="81"/>
      <c r="O1575" s="81"/>
      <c r="P1575" s="81"/>
      <c r="Q1575" s="81"/>
      <c r="R1575" s="81"/>
      <c r="S1575" s="81"/>
      <c r="T1575" s="81"/>
      <c r="U1575" s="81"/>
      <c r="V1575" s="94"/>
      <c r="W1575" s="94"/>
    </row>
    <row r="1576" spans="1:23" ht="21" customHeight="1">
      <c r="A1576">
        <f>Table4[[#This Row],[Column1]]</f>
        <v>0</v>
      </c>
      <c r="B1576">
        <f>Table4[[#This Row],[Column2]]</f>
        <v>0</v>
      </c>
      <c r="C1576" s="81"/>
      <c r="D1576" s="81"/>
      <c r="E1576" s="81"/>
      <c r="F1576" s="81"/>
      <c r="G1576" s="81"/>
      <c r="H1576" s="81"/>
      <c r="I1576" s="81"/>
      <c r="J1576" s="81"/>
      <c r="K1576" s="81"/>
      <c r="L1576" s="81"/>
      <c r="M1576" s="81"/>
      <c r="N1576" s="81"/>
      <c r="O1576" s="81"/>
      <c r="P1576" s="81"/>
      <c r="Q1576" s="81"/>
      <c r="R1576" s="81"/>
      <c r="S1576" s="81"/>
      <c r="T1576" s="81"/>
      <c r="U1576" s="81"/>
      <c r="V1576" s="94"/>
      <c r="W1576" s="94"/>
    </row>
    <row r="1577" spans="1:23" ht="21" customHeight="1">
      <c r="A1577">
        <f>Table4[[#This Row],[Column1]]</f>
        <v>0</v>
      </c>
      <c r="B1577">
        <f>Table4[[#This Row],[Column2]]</f>
        <v>0</v>
      </c>
      <c r="C1577" s="81"/>
      <c r="D1577" s="81"/>
      <c r="E1577" s="81"/>
      <c r="F1577" s="81"/>
      <c r="G1577" s="81"/>
      <c r="H1577" s="81"/>
      <c r="I1577" s="81"/>
      <c r="J1577" s="81"/>
      <c r="K1577" s="81"/>
      <c r="L1577" s="81"/>
      <c r="M1577" s="81"/>
      <c r="N1577" s="81"/>
      <c r="O1577" s="81"/>
      <c r="P1577" s="81"/>
      <c r="Q1577" s="81"/>
      <c r="R1577" s="81"/>
      <c r="S1577" s="81"/>
      <c r="T1577" s="81"/>
      <c r="U1577" s="81"/>
      <c r="V1577" s="94"/>
      <c r="W1577" s="94"/>
    </row>
    <row r="1578" spans="1:23" ht="21" customHeight="1">
      <c r="A1578">
        <f>Table4[[#This Row],[Column1]]</f>
        <v>0</v>
      </c>
      <c r="B1578">
        <f>Table4[[#This Row],[Column2]]</f>
        <v>0</v>
      </c>
      <c r="C1578" s="81"/>
      <c r="D1578" s="81"/>
      <c r="E1578" s="81"/>
      <c r="F1578" s="81"/>
      <c r="G1578" s="81"/>
      <c r="H1578" s="81"/>
      <c r="I1578" s="81"/>
      <c r="J1578" s="81"/>
      <c r="K1578" s="81"/>
      <c r="L1578" s="81"/>
      <c r="M1578" s="81"/>
      <c r="N1578" s="81"/>
      <c r="O1578" s="81"/>
      <c r="P1578" s="81"/>
      <c r="Q1578" s="81"/>
      <c r="R1578" s="81"/>
      <c r="S1578" s="81"/>
      <c r="T1578" s="81"/>
      <c r="U1578" s="81"/>
      <c r="V1578" s="94"/>
      <c r="W1578" s="94"/>
    </row>
    <row r="1579" spans="1:23" ht="21" customHeight="1">
      <c r="A1579">
        <f>Table4[[#This Row],[Column1]]</f>
        <v>0</v>
      </c>
      <c r="B1579">
        <f>Table4[[#This Row],[Column2]]</f>
        <v>0</v>
      </c>
      <c r="C1579" s="81"/>
      <c r="D1579" s="81"/>
      <c r="E1579" s="81"/>
      <c r="F1579" s="81"/>
      <c r="G1579" s="81"/>
      <c r="H1579" s="81"/>
      <c r="I1579" s="81"/>
      <c r="J1579" s="81"/>
      <c r="K1579" s="81"/>
      <c r="L1579" s="81"/>
      <c r="M1579" s="81"/>
      <c r="N1579" s="81"/>
      <c r="O1579" s="81"/>
      <c r="P1579" s="81"/>
      <c r="Q1579" s="81"/>
      <c r="R1579" s="81"/>
      <c r="S1579" s="81"/>
      <c r="T1579" s="81"/>
      <c r="U1579" s="81"/>
      <c r="V1579" s="94"/>
      <c r="W1579" s="94"/>
    </row>
    <row r="1580" spans="1:23" ht="21" customHeight="1">
      <c r="A1580">
        <f>Table4[[#This Row],[Column1]]</f>
        <v>0</v>
      </c>
      <c r="B1580">
        <f>Table4[[#This Row],[Column2]]</f>
        <v>0</v>
      </c>
      <c r="C1580" s="81"/>
      <c r="D1580" s="81"/>
      <c r="E1580" s="81"/>
      <c r="F1580" s="81"/>
      <c r="G1580" s="81"/>
      <c r="H1580" s="81"/>
      <c r="I1580" s="81"/>
      <c r="J1580" s="81"/>
      <c r="K1580" s="81"/>
      <c r="L1580" s="81"/>
      <c r="M1580" s="81"/>
      <c r="N1580" s="81"/>
      <c r="O1580" s="81"/>
      <c r="P1580" s="81"/>
      <c r="Q1580" s="81"/>
      <c r="R1580" s="81"/>
      <c r="S1580" s="81"/>
      <c r="T1580" s="81"/>
      <c r="U1580" s="81"/>
      <c r="V1580" s="94"/>
      <c r="W1580" s="94"/>
    </row>
    <row r="1581" spans="1:23" ht="21" customHeight="1">
      <c r="A1581">
        <f>Table4[[#This Row],[Column1]]</f>
        <v>0</v>
      </c>
      <c r="B1581">
        <f>Table4[[#This Row],[Column2]]</f>
        <v>0</v>
      </c>
      <c r="C1581" s="81"/>
      <c r="D1581" s="81"/>
      <c r="E1581" s="81"/>
      <c r="F1581" s="81"/>
      <c r="G1581" s="81"/>
      <c r="H1581" s="81"/>
      <c r="I1581" s="81"/>
      <c r="J1581" s="81"/>
      <c r="K1581" s="81"/>
      <c r="L1581" s="81"/>
      <c r="M1581" s="81"/>
      <c r="N1581" s="81"/>
      <c r="O1581" s="81"/>
      <c r="P1581" s="81"/>
      <c r="Q1581" s="81"/>
      <c r="R1581" s="81"/>
      <c r="S1581" s="81"/>
      <c r="T1581" s="81"/>
      <c r="U1581" s="81"/>
      <c r="V1581" s="94"/>
      <c r="W1581" s="94"/>
    </row>
    <row r="1582" spans="1:23" ht="21" customHeight="1">
      <c r="A1582">
        <f>Table4[[#This Row],[Column1]]</f>
        <v>0</v>
      </c>
      <c r="B1582">
        <f>Table4[[#This Row],[Column2]]</f>
        <v>0</v>
      </c>
      <c r="C1582" s="81"/>
      <c r="D1582" s="81"/>
      <c r="E1582" s="81"/>
      <c r="F1582" s="81"/>
      <c r="G1582" s="81"/>
      <c r="H1582" s="81"/>
      <c r="I1582" s="81"/>
      <c r="J1582" s="81"/>
      <c r="K1582" s="81"/>
      <c r="L1582" s="81"/>
      <c r="M1582" s="81"/>
      <c r="N1582" s="81"/>
      <c r="O1582" s="81"/>
      <c r="P1582" s="81"/>
      <c r="Q1582" s="81"/>
      <c r="R1582" s="81"/>
      <c r="S1582" s="81"/>
      <c r="T1582" s="81"/>
      <c r="U1582" s="81"/>
      <c r="V1582" s="94"/>
      <c r="W1582" s="94"/>
    </row>
    <row r="1583" spans="1:23" ht="21" customHeight="1">
      <c r="A1583">
        <f>Table4[[#This Row],[Column1]]</f>
        <v>0</v>
      </c>
      <c r="B1583">
        <f>Table4[[#This Row],[Column2]]</f>
        <v>0</v>
      </c>
      <c r="C1583" s="81"/>
      <c r="D1583" s="81"/>
      <c r="E1583" s="81"/>
      <c r="F1583" s="81"/>
      <c r="G1583" s="81"/>
      <c r="H1583" s="81"/>
      <c r="I1583" s="81"/>
      <c r="J1583" s="81"/>
      <c r="K1583" s="81"/>
      <c r="L1583" s="81"/>
      <c r="M1583" s="81"/>
      <c r="N1583" s="81"/>
      <c r="O1583" s="81"/>
      <c r="P1583" s="81"/>
      <c r="Q1583" s="81"/>
      <c r="R1583" s="81"/>
      <c r="S1583" s="81"/>
      <c r="T1583" s="81"/>
      <c r="U1583" s="81"/>
      <c r="V1583" s="94"/>
      <c r="W1583" s="94"/>
    </row>
    <row r="1584" spans="1:23" ht="21" customHeight="1">
      <c r="A1584">
        <f>Table4[[#This Row],[Column1]]</f>
        <v>0</v>
      </c>
      <c r="B1584">
        <f>Table4[[#This Row],[Column2]]</f>
        <v>0</v>
      </c>
      <c r="C1584" s="81"/>
      <c r="D1584" s="81"/>
      <c r="E1584" s="81"/>
      <c r="F1584" s="81"/>
      <c r="G1584" s="81"/>
      <c r="H1584" s="81"/>
      <c r="I1584" s="81"/>
      <c r="J1584" s="81"/>
      <c r="K1584" s="81"/>
      <c r="L1584" s="81"/>
      <c r="M1584" s="81"/>
      <c r="N1584" s="81"/>
      <c r="O1584" s="81"/>
      <c r="P1584" s="81"/>
      <c r="Q1584" s="81"/>
      <c r="R1584" s="81"/>
      <c r="S1584" s="81"/>
      <c r="T1584" s="81"/>
      <c r="U1584" s="81"/>
      <c r="V1584" s="94"/>
      <c r="W1584" s="94"/>
    </row>
    <row r="1585" spans="1:23" ht="21" customHeight="1">
      <c r="A1585">
        <f>Table4[[#This Row],[Column1]]</f>
        <v>0</v>
      </c>
      <c r="B1585">
        <f>Table4[[#This Row],[Column2]]</f>
        <v>0</v>
      </c>
      <c r="C1585" s="81"/>
      <c r="D1585" s="81"/>
      <c r="E1585" s="81"/>
      <c r="F1585" s="81"/>
      <c r="G1585" s="81"/>
      <c r="H1585" s="81"/>
      <c r="I1585" s="81"/>
      <c r="J1585" s="81"/>
      <c r="K1585" s="81"/>
      <c r="L1585" s="81"/>
      <c r="M1585" s="81"/>
      <c r="N1585" s="81"/>
      <c r="O1585" s="81"/>
      <c r="P1585" s="81"/>
      <c r="Q1585" s="81"/>
      <c r="R1585" s="81"/>
      <c r="S1585" s="81"/>
      <c r="T1585" s="81"/>
      <c r="U1585" s="81"/>
      <c r="V1585" s="94"/>
      <c r="W1585" s="94"/>
    </row>
    <row r="1586" spans="1:23" ht="21" customHeight="1">
      <c r="A1586">
        <f>Table4[[#This Row],[Column1]]</f>
        <v>0</v>
      </c>
      <c r="B1586">
        <f>Table4[[#This Row],[Column2]]</f>
        <v>0</v>
      </c>
      <c r="C1586" s="81"/>
      <c r="D1586" s="81"/>
      <c r="E1586" s="81"/>
      <c r="F1586" s="81"/>
      <c r="G1586" s="81"/>
      <c r="H1586" s="81"/>
      <c r="I1586" s="81"/>
      <c r="J1586" s="81"/>
      <c r="K1586" s="81"/>
      <c r="L1586" s="81"/>
      <c r="M1586" s="81"/>
      <c r="N1586" s="81"/>
      <c r="O1586" s="81"/>
      <c r="P1586" s="81"/>
      <c r="Q1586" s="81"/>
      <c r="R1586" s="81"/>
      <c r="S1586" s="81"/>
      <c r="T1586" s="81"/>
      <c r="U1586" s="81"/>
      <c r="V1586" s="94"/>
      <c r="W1586" s="94"/>
    </row>
    <row r="1587" spans="1:23" ht="21" customHeight="1">
      <c r="A1587">
        <f>Table4[[#This Row],[Column1]]</f>
        <v>0</v>
      </c>
      <c r="B1587">
        <f>Table4[[#This Row],[Column2]]</f>
        <v>0</v>
      </c>
      <c r="C1587" s="81"/>
      <c r="D1587" s="81"/>
      <c r="E1587" s="81"/>
      <c r="F1587" s="81"/>
      <c r="G1587" s="81"/>
      <c r="H1587" s="81"/>
      <c r="I1587" s="81"/>
      <c r="J1587" s="81"/>
      <c r="K1587" s="81"/>
      <c r="L1587" s="81"/>
      <c r="M1587" s="81"/>
      <c r="N1587" s="81"/>
      <c r="O1587" s="81"/>
      <c r="P1587" s="81"/>
      <c r="Q1587" s="81"/>
      <c r="R1587" s="81"/>
      <c r="S1587" s="81"/>
      <c r="T1587" s="81"/>
      <c r="U1587" s="81"/>
      <c r="V1587" s="94"/>
      <c r="W1587" s="94"/>
    </row>
    <row r="1588" spans="1:23" ht="21" customHeight="1">
      <c r="A1588">
        <f>Table4[[#This Row],[Column1]]</f>
        <v>0</v>
      </c>
      <c r="B1588">
        <f>Table4[[#This Row],[Column2]]</f>
        <v>0</v>
      </c>
      <c r="C1588" s="81"/>
      <c r="D1588" s="81"/>
      <c r="E1588" s="81"/>
      <c r="F1588" s="81"/>
      <c r="G1588" s="81"/>
      <c r="H1588" s="81"/>
      <c r="I1588" s="81"/>
      <c r="J1588" s="81"/>
      <c r="K1588" s="81"/>
      <c r="L1588" s="81"/>
      <c r="M1588" s="81"/>
      <c r="N1588" s="81"/>
      <c r="O1588" s="81"/>
      <c r="P1588" s="81"/>
      <c r="Q1588" s="81"/>
      <c r="R1588" s="81"/>
      <c r="S1588" s="81"/>
      <c r="T1588" s="81"/>
      <c r="U1588" s="81"/>
      <c r="V1588" s="94"/>
      <c r="W1588" s="94"/>
    </row>
    <row r="1589" spans="1:23" ht="21" customHeight="1">
      <c r="A1589">
        <f>Table4[[#This Row],[Column1]]</f>
        <v>0</v>
      </c>
      <c r="B1589">
        <f>Table4[[#This Row],[Column2]]</f>
        <v>0</v>
      </c>
      <c r="C1589" s="81"/>
      <c r="D1589" s="81"/>
      <c r="E1589" s="81"/>
      <c r="F1589" s="81"/>
      <c r="G1589" s="81"/>
      <c r="H1589" s="81"/>
      <c r="I1589" s="81"/>
      <c r="J1589" s="81"/>
      <c r="K1589" s="81"/>
      <c r="L1589" s="81"/>
      <c r="M1589" s="81"/>
      <c r="N1589" s="81"/>
      <c r="O1589" s="81"/>
      <c r="P1589" s="81"/>
      <c r="Q1589" s="81"/>
      <c r="R1589" s="81"/>
      <c r="S1589" s="81"/>
      <c r="T1589" s="81"/>
      <c r="U1589" s="81"/>
      <c r="V1589" s="94"/>
      <c r="W1589" s="94"/>
    </row>
    <row r="1590" spans="1:23" ht="21" customHeight="1">
      <c r="A1590">
        <f>Table4[[#This Row],[Column1]]</f>
        <v>0</v>
      </c>
      <c r="B1590">
        <f>Table4[[#This Row],[Column2]]</f>
        <v>0</v>
      </c>
      <c r="C1590" s="81"/>
      <c r="D1590" s="81"/>
      <c r="E1590" s="81"/>
      <c r="F1590" s="81"/>
      <c r="G1590" s="81"/>
      <c r="H1590" s="81"/>
      <c r="I1590" s="81"/>
      <c r="J1590" s="81"/>
      <c r="K1590" s="81"/>
      <c r="L1590" s="81"/>
      <c r="M1590" s="81"/>
      <c r="N1590" s="81"/>
      <c r="O1590" s="81"/>
      <c r="P1590" s="81"/>
      <c r="Q1590" s="81"/>
      <c r="R1590" s="81"/>
      <c r="S1590" s="81"/>
      <c r="T1590" s="81"/>
      <c r="U1590" s="81"/>
      <c r="V1590" s="94"/>
      <c r="W1590" s="94"/>
    </row>
    <row r="1591" spans="1:23" ht="21" customHeight="1">
      <c r="A1591">
        <f>Table4[[#This Row],[Column1]]</f>
        <v>0</v>
      </c>
      <c r="B1591">
        <f>Table4[[#This Row],[Column2]]</f>
        <v>0</v>
      </c>
      <c r="C1591" s="81"/>
      <c r="D1591" s="81"/>
      <c r="E1591" s="81"/>
      <c r="F1591" s="81"/>
      <c r="G1591" s="81"/>
      <c r="H1591" s="81"/>
      <c r="I1591" s="81"/>
      <c r="J1591" s="81"/>
      <c r="K1591" s="81"/>
      <c r="L1591" s="81"/>
      <c r="M1591" s="81"/>
      <c r="N1591" s="81"/>
      <c r="O1591" s="81"/>
      <c r="P1591" s="81"/>
      <c r="Q1591" s="81"/>
      <c r="R1591" s="81"/>
      <c r="S1591" s="81"/>
      <c r="T1591" s="81"/>
      <c r="U1591" s="81"/>
      <c r="V1591" s="94"/>
      <c r="W1591" s="94"/>
    </row>
    <row r="1592" spans="1:23" ht="21" customHeight="1">
      <c r="A1592">
        <f>Table4[[#This Row],[Column1]]</f>
        <v>0</v>
      </c>
      <c r="B1592">
        <f>Table4[[#This Row],[Column2]]</f>
        <v>0</v>
      </c>
      <c r="C1592" s="81"/>
      <c r="D1592" s="81"/>
      <c r="E1592" s="81"/>
      <c r="F1592" s="81"/>
      <c r="G1592" s="81"/>
      <c r="H1592" s="81"/>
      <c r="I1592" s="81"/>
      <c r="J1592" s="81"/>
      <c r="K1592" s="81"/>
      <c r="L1592" s="81"/>
      <c r="M1592" s="81"/>
      <c r="N1592" s="81"/>
      <c r="O1592" s="81"/>
      <c r="P1592" s="81"/>
      <c r="Q1592" s="81"/>
      <c r="R1592" s="81"/>
      <c r="S1592" s="81"/>
      <c r="T1592" s="81"/>
      <c r="U1592" s="81"/>
      <c r="V1592" s="94"/>
      <c r="W1592" s="94"/>
    </row>
    <row r="1593" spans="1:23" ht="21" customHeight="1">
      <c r="A1593">
        <f>Table4[[#This Row],[Column1]]</f>
        <v>0</v>
      </c>
      <c r="B1593">
        <f>Table4[[#This Row],[Column2]]</f>
        <v>0</v>
      </c>
      <c r="C1593" s="81"/>
      <c r="D1593" s="81"/>
      <c r="E1593" s="81"/>
      <c r="F1593" s="81"/>
      <c r="G1593" s="81"/>
      <c r="H1593" s="81"/>
      <c r="I1593" s="81"/>
      <c r="J1593" s="81"/>
      <c r="K1593" s="81"/>
      <c r="L1593" s="81"/>
      <c r="M1593" s="81"/>
      <c r="N1593" s="81"/>
      <c r="O1593" s="81"/>
      <c r="P1593" s="81"/>
      <c r="Q1593" s="81"/>
      <c r="R1593" s="81"/>
      <c r="S1593" s="81"/>
      <c r="T1593" s="81"/>
      <c r="U1593" s="81"/>
      <c r="V1593" s="94"/>
      <c r="W1593" s="94"/>
    </row>
    <row r="1594" spans="1:23" ht="21" customHeight="1">
      <c r="A1594">
        <f>Table4[[#This Row],[Column1]]</f>
        <v>0</v>
      </c>
      <c r="B1594">
        <f>Table4[[#This Row],[Column2]]</f>
        <v>0</v>
      </c>
      <c r="C1594" s="81"/>
      <c r="D1594" s="81"/>
      <c r="E1594" s="81"/>
      <c r="F1594" s="81"/>
      <c r="G1594" s="81"/>
      <c r="H1594" s="81"/>
      <c r="I1594" s="81"/>
      <c r="J1594" s="81"/>
      <c r="K1594" s="81"/>
      <c r="L1594" s="81"/>
      <c r="M1594" s="81"/>
      <c r="N1594" s="81"/>
      <c r="O1594" s="81"/>
      <c r="P1594" s="81"/>
      <c r="Q1594" s="81"/>
      <c r="R1594" s="81"/>
      <c r="S1594" s="81"/>
      <c r="T1594" s="81"/>
      <c r="U1594" s="81"/>
      <c r="V1594" s="94"/>
      <c r="W1594" s="94"/>
    </row>
    <row r="1595" spans="1:23" ht="21" customHeight="1">
      <c r="A1595">
        <f>Table4[[#This Row],[Column1]]</f>
        <v>0</v>
      </c>
      <c r="B1595">
        <f>Table4[[#This Row],[Column2]]</f>
        <v>0</v>
      </c>
      <c r="C1595" s="81"/>
      <c r="D1595" s="81"/>
      <c r="E1595" s="81"/>
      <c r="F1595" s="81"/>
      <c r="G1595" s="81"/>
      <c r="H1595" s="81"/>
      <c r="I1595" s="81"/>
      <c r="J1595" s="81"/>
      <c r="K1595" s="81"/>
      <c r="L1595" s="81"/>
      <c r="M1595" s="81"/>
      <c r="N1595" s="81"/>
      <c r="O1595" s="81"/>
      <c r="P1595" s="81"/>
      <c r="Q1595" s="81"/>
      <c r="R1595" s="81"/>
      <c r="S1595" s="81"/>
      <c r="T1595" s="81"/>
      <c r="U1595" s="81"/>
      <c r="V1595" s="94"/>
      <c r="W1595" s="94"/>
    </row>
    <row r="1596" spans="1:23" ht="21" customHeight="1">
      <c r="A1596">
        <f>Table4[[#This Row],[Column1]]</f>
        <v>0</v>
      </c>
      <c r="B1596">
        <f>Table4[[#This Row],[Column2]]</f>
        <v>0</v>
      </c>
      <c r="C1596" s="81"/>
      <c r="D1596" s="81"/>
      <c r="E1596" s="81"/>
      <c r="F1596" s="81"/>
      <c r="G1596" s="81"/>
      <c r="H1596" s="81"/>
      <c r="I1596" s="81"/>
      <c r="J1596" s="81"/>
      <c r="K1596" s="81"/>
      <c r="L1596" s="81"/>
      <c r="M1596" s="81"/>
      <c r="N1596" s="81"/>
      <c r="O1596" s="81"/>
      <c r="P1596" s="81"/>
      <c r="Q1596" s="81"/>
      <c r="R1596" s="81"/>
      <c r="S1596" s="81"/>
      <c r="T1596" s="81"/>
      <c r="U1596" s="81"/>
      <c r="V1596" s="94"/>
      <c r="W1596" s="94"/>
    </row>
    <row r="1597" spans="1:23" ht="21" customHeight="1">
      <c r="A1597">
        <f>Table4[[#This Row],[Column1]]</f>
        <v>0</v>
      </c>
      <c r="B1597">
        <f>Table4[[#This Row],[Column2]]</f>
        <v>0</v>
      </c>
      <c r="C1597" s="81"/>
      <c r="D1597" s="81"/>
      <c r="E1597" s="81"/>
      <c r="F1597" s="81"/>
      <c r="G1597" s="81"/>
      <c r="H1597" s="81"/>
      <c r="I1597" s="81"/>
      <c r="J1597" s="81"/>
      <c r="K1597" s="81"/>
      <c r="L1597" s="81"/>
      <c r="M1597" s="81"/>
      <c r="N1597" s="81"/>
      <c r="O1597" s="81"/>
      <c r="P1597" s="81"/>
      <c r="Q1597" s="81"/>
      <c r="R1597" s="81"/>
      <c r="S1597" s="81"/>
      <c r="T1597" s="81"/>
      <c r="U1597" s="81"/>
      <c r="V1597" s="94"/>
      <c r="W1597" s="94"/>
    </row>
    <row r="1598" spans="1:23" ht="21" customHeight="1">
      <c r="A1598">
        <f>Table4[[#This Row],[Column1]]</f>
        <v>0</v>
      </c>
      <c r="B1598">
        <f>Table4[[#This Row],[Column2]]</f>
        <v>0</v>
      </c>
      <c r="C1598" s="81"/>
      <c r="D1598" s="81"/>
      <c r="E1598" s="81"/>
      <c r="F1598" s="81"/>
      <c r="G1598" s="81"/>
      <c r="H1598" s="81"/>
      <c r="I1598" s="81"/>
      <c r="J1598" s="81"/>
      <c r="K1598" s="81"/>
      <c r="L1598" s="81"/>
      <c r="M1598" s="81"/>
      <c r="N1598" s="81"/>
      <c r="O1598" s="81"/>
      <c r="P1598" s="81"/>
      <c r="Q1598" s="81"/>
      <c r="R1598" s="81"/>
      <c r="S1598" s="81"/>
      <c r="T1598" s="81"/>
      <c r="U1598" s="81"/>
      <c r="V1598" s="94"/>
      <c r="W1598" s="94"/>
    </row>
    <row r="1599" spans="1:23" ht="21" customHeight="1">
      <c r="A1599">
        <f>Table4[[#This Row],[Column1]]</f>
        <v>0</v>
      </c>
      <c r="B1599">
        <f>Table4[[#This Row],[Column2]]</f>
        <v>0</v>
      </c>
      <c r="C1599" s="81"/>
      <c r="D1599" s="81"/>
      <c r="E1599" s="81"/>
      <c r="F1599" s="81"/>
      <c r="G1599" s="81"/>
      <c r="H1599" s="81"/>
      <c r="I1599" s="81"/>
      <c r="J1599" s="81"/>
      <c r="K1599" s="81"/>
      <c r="L1599" s="81"/>
      <c r="M1599" s="81"/>
      <c r="N1599" s="81"/>
      <c r="O1599" s="81"/>
      <c r="P1599" s="81"/>
      <c r="Q1599" s="81"/>
      <c r="R1599" s="81"/>
      <c r="S1599" s="81"/>
      <c r="T1599" s="81"/>
      <c r="U1599" s="81"/>
      <c r="V1599" s="94"/>
      <c r="W1599" s="94"/>
    </row>
    <row r="1600" spans="1:23" ht="21" customHeight="1">
      <c r="A1600">
        <f>Table4[[#This Row],[Column1]]</f>
        <v>0</v>
      </c>
      <c r="B1600">
        <f>Table4[[#This Row],[Column2]]</f>
        <v>0</v>
      </c>
      <c r="C1600" s="81"/>
      <c r="D1600" s="81"/>
      <c r="E1600" s="81"/>
      <c r="F1600" s="81"/>
      <c r="G1600" s="81"/>
      <c r="H1600" s="81"/>
      <c r="I1600" s="81"/>
      <c r="J1600" s="81"/>
      <c r="K1600" s="81"/>
      <c r="L1600" s="81"/>
      <c r="M1600" s="81"/>
      <c r="N1600" s="81"/>
      <c r="O1600" s="81"/>
      <c r="P1600" s="81"/>
      <c r="Q1600" s="81"/>
      <c r="R1600" s="81"/>
      <c r="S1600" s="81"/>
      <c r="T1600" s="81"/>
      <c r="U1600" s="81"/>
      <c r="V1600" s="94"/>
      <c r="W1600" s="94"/>
    </row>
    <row r="1601" spans="1:23" ht="21" customHeight="1">
      <c r="A1601">
        <f>Table4[[#This Row],[Column1]]</f>
        <v>0</v>
      </c>
      <c r="B1601">
        <f>Table4[[#This Row],[Column2]]</f>
        <v>0</v>
      </c>
      <c r="C1601" s="81"/>
      <c r="D1601" s="81"/>
      <c r="E1601" s="81"/>
      <c r="F1601" s="81"/>
      <c r="G1601" s="81"/>
      <c r="H1601" s="81"/>
      <c r="I1601" s="81"/>
      <c r="J1601" s="81"/>
      <c r="K1601" s="81"/>
      <c r="L1601" s="81"/>
      <c r="M1601" s="81"/>
      <c r="N1601" s="81"/>
      <c r="O1601" s="81"/>
      <c r="P1601" s="81"/>
      <c r="Q1601" s="81"/>
      <c r="R1601" s="81"/>
      <c r="S1601" s="81"/>
      <c r="T1601" s="81"/>
      <c r="U1601" s="81"/>
      <c r="V1601" s="94"/>
      <c r="W1601" s="94"/>
    </row>
    <row r="1602" spans="1:23" ht="21" customHeight="1">
      <c r="A1602">
        <f>Table4[[#This Row],[Column1]]</f>
        <v>0</v>
      </c>
      <c r="B1602">
        <f>Table4[[#This Row],[Column2]]</f>
        <v>0</v>
      </c>
      <c r="C1602" s="81"/>
      <c r="D1602" s="81"/>
      <c r="E1602" s="81"/>
      <c r="F1602" s="81"/>
      <c r="G1602" s="81"/>
      <c r="H1602" s="81"/>
      <c r="I1602" s="81"/>
      <c r="J1602" s="81"/>
      <c r="K1602" s="81"/>
      <c r="L1602" s="81"/>
      <c r="M1602" s="81"/>
      <c r="N1602" s="81"/>
      <c r="O1602" s="81"/>
      <c r="P1602" s="81"/>
      <c r="Q1602" s="81"/>
      <c r="R1602" s="81"/>
      <c r="S1602" s="81"/>
      <c r="T1602" s="81"/>
      <c r="U1602" s="81"/>
      <c r="V1602" s="94"/>
      <c r="W1602" s="94"/>
    </row>
    <row r="1603" spans="1:23" ht="21" customHeight="1">
      <c r="A1603">
        <f>Table4[[#This Row],[Column1]]</f>
        <v>0</v>
      </c>
      <c r="B1603">
        <f>Table4[[#This Row],[Column2]]</f>
        <v>0</v>
      </c>
      <c r="C1603" s="81"/>
      <c r="D1603" s="81"/>
      <c r="E1603" s="81"/>
      <c r="F1603" s="81"/>
      <c r="G1603" s="81"/>
      <c r="H1603" s="81"/>
      <c r="I1603" s="81"/>
      <c r="J1603" s="81"/>
      <c r="K1603" s="81"/>
      <c r="L1603" s="81"/>
      <c r="M1603" s="81"/>
      <c r="N1603" s="81"/>
      <c r="O1603" s="81"/>
      <c r="P1603" s="81"/>
      <c r="Q1603" s="81"/>
      <c r="R1603" s="81"/>
      <c r="S1603" s="81"/>
      <c r="T1603" s="81"/>
      <c r="U1603" s="81"/>
      <c r="V1603" s="94"/>
      <c r="W1603" s="94"/>
    </row>
    <row r="1604" spans="1:23" ht="21" customHeight="1">
      <c r="A1604">
        <f>Table4[[#This Row],[Column1]]</f>
        <v>0</v>
      </c>
      <c r="B1604">
        <f>Table4[[#This Row],[Column2]]</f>
        <v>0</v>
      </c>
      <c r="C1604" s="81"/>
      <c r="D1604" s="81"/>
      <c r="E1604" s="81"/>
      <c r="F1604" s="81"/>
      <c r="G1604" s="81"/>
      <c r="H1604" s="81"/>
      <c r="I1604" s="81"/>
      <c r="J1604" s="81"/>
      <c r="K1604" s="81"/>
      <c r="L1604" s="81"/>
      <c r="M1604" s="81"/>
      <c r="N1604" s="81"/>
      <c r="O1604" s="81"/>
      <c r="P1604" s="81"/>
      <c r="Q1604" s="81"/>
      <c r="R1604" s="81"/>
      <c r="S1604" s="81"/>
      <c r="T1604" s="81"/>
      <c r="U1604" s="81"/>
      <c r="V1604" s="94"/>
      <c r="W1604" s="94"/>
    </row>
    <row r="1605" spans="1:23" ht="21" customHeight="1">
      <c r="A1605">
        <f>Table4[[#This Row],[Column1]]</f>
        <v>0</v>
      </c>
      <c r="B1605">
        <f>Table4[[#This Row],[Column2]]</f>
        <v>0</v>
      </c>
      <c r="C1605" s="81"/>
      <c r="D1605" s="81"/>
      <c r="E1605" s="81"/>
      <c r="F1605" s="81"/>
      <c r="G1605" s="81"/>
      <c r="H1605" s="81"/>
      <c r="I1605" s="81"/>
      <c r="J1605" s="81"/>
      <c r="K1605" s="81"/>
      <c r="L1605" s="81"/>
      <c r="M1605" s="81"/>
      <c r="N1605" s="81"/>
      <c r="O1605" s="81"/>
      <c r="P1605" s="81"/>
      <c r="Q1605" s="81"/>
      <c r="R1605" s="81"/>
      <c r="S1605" s="81"/>
      <c r="T1605" s="81"/>
      <c r="U1605" s="81"/>
      <c r="V1605" s="94"/>
      <c r="W1605" s="94"/>
    </row>
    <row r="1606" spans="1:23" ht="21" customHeight="1">
      <c r="A1606">
        <f>Table4[[#This Row],[Column1]]</f>
        <v>0</v>
      </c>
      <c r="B1606">
        <f>Table4[[#This Row],[Column2]]</f>
        <v>0</v>
      </c>
      <c r="C1606" s="81"/>
      <c r="D1606" s="81"/>
      <c r="E1606" s="81"/>
      <c r="F1606" s="81"/>
      <c r="G1606" s="81"/>
      <c r="H1606" s="81"/>
      <c r="I1606" s="81"/>
      <c r="J1606" s="81"/>
      <c r="K1606" s="81"/>
      <c r="L1606" s="81"/>
      <c r="M1606" s="81"/>
      <c r="N1606" s="81"/>
      <c r="O1606" s="81"/>
      <c r="P1606" s="81"/>
      <c r="Q1606" s="81"/>
      <c r="R1606" s="81"/>
      <c r="S1606" s="81"/>
      <c r="T1606" s="81"/>
      <c r="U1606" s="81"/>
      <c r="V1606" s="94"/>
      <c r="W1606" s="94"/>
    </row>
    <row r="1607" spans="1:23" ht="21" customHeight="1">
      <c r="A1607">
        <f>Table4[[#This Row],[Column1]]</f>
        <v>0</v>
      </c>
      <c r="B1607">
        <f>Table4[[#This Row],[Column2]]</f>
        <v>0</v>
      </c>
      <c r="C1607" s="81"/>
      <c r="D1607" s="81"/>
      <c r="E1607" s="81"/>
      <c r="F1607" s="81"/>
      <c r="G1607" s="81"/>
      <c r="H1607" s="81"/>
      <c r="I1607" s="81"/>
      <c r="J1607" s="81"/>
      <c r="K1607" s="81"/>
      <c r="L1607" s="81"/>
      <c r="M1607" s="81"/>
      <c r="N1607" s="81"/>
      <c r="O1607" s="81"/>
      <c r="P1607" s="81"/>
      <c r="Q1607" s="81"/>
      <c r="R1607" s="81"/>
      <c r="S1607" s="81"/>
      <c r="T1607" s="81"/>
      <c r="U1607" s="81"/>
      <c r="V1607" s="94"/>
      <c r="W1607" s="94"/>
    </row>
    <row r="1608" spans="1:23" ht="21" customHeight="1">
      <c r="A1608">
        <f>Table4[[#This Row],[Column1]]</f>
        <v>0</v>
      </c>
      <c r="B1608">
        <f>Table4[[#This Row],[Column2]]</f>
        <v>0</v>
      </c>
      <c r="C1608" s="81"/>
      <c r="D1608" s="81"/>
      <c r="E1608" s="81"/>
      <c r="F1608" s="81"/>
      <c r="G1608" s="81"/>
      <c r="H1608" s="81"/>
      <c r="I1608" s="81"/>
      <c r="J1608" s="81"/>
      <c r="K1608" s="81"/>
      <c r="L1608" s="81"/>
      <c r="M1608" s="81"/>
      <c r="N1608" s="81"/>
      <c r="O1608" s="81"/>
      <c r="P1608" s="81"/>
      <c r="Q1608" s="81"/>
      <c r="R1608" s="81"/>
      <c r="S1608" s="81"/>
      <c r="T1608" s="81"/>
      <c r="U1608" s="81"/>
      <c r="V1608" s="94"/>
      <c r="W1608" s="94"/>
    </row>
    <row r="1609" spans="1:23" ht="21" customHeight="1">
      <c r="A1609">
        <f>Table4[[#This Row],[Column1]]</f>
        <v>0</v>
      </c>
      <c r="B1609">
        <f>Table4[[#This Row],[Column2]]</f>
        <v>0</v>
      </c>
      <c r="C1609" s="81"/>
      <c r="D1609" s="81"/>
      <c r="E1609" s="81"/>
      <c r="F1609" s="81"/>
      <c r="G1609" s="81"/>
      <c r="H1609" s="81"/>
      <c r="I1609" s="81"/>
      <c r="J1609" s="81"/>
      <c r="K1609" s="81"/>
      <c r="L1609" s="81"/>
      <c r="M1609" s="81"/>
      <c r="N1609" s="81"/>
      <c r="O1609" s="81"/>
      <c r="P1609" s="81"/>
      <c r="Q1609" s="81"/>
      <c r="R1609" s="81"/>
      <c r="S1609" s="81"/>
      <c r="T1609" s="81"/>
      <c r="U1609" s="81"/>
      <c r="V1609" s="94"/>
      <c r="W1609" s="94"/>
    </row>
    <row r="1610" spans="1:23" ht="21" customHeight="1">
      <c r="A1610">
        <f>Table4[[#This Row],[Column1]]</f>
        <v>0</v>
      </c>
      <c r="B1610">
        <f>Table4[[#This Row],[Column2]]</f>
        <v>0</v>
      </c>
      <c r="C1610" s="81"/>
      <c r="D1610" s="81"/>
      <c r="E1610" s="81"/>
      <c r="F1610" s="81"/>
      <c r="G1610" s="81"/>
      <c r="H1610" s="81"/>
      <c r="I1610" s="81"/>
      <c r="J1610" s="81"/>
      <c r="K1610" s="81"/>
      <c r="L1610" s="81"/>
      <c r="M1610" s="81"/>
      <c r="N1610" s="81"/>
      <c r="O1610" s="81"/>
      <c r="P1610" s="81"/>
      <c r="Q1610" s="81"/>
      <c r="R1610" s="81"/>
      <c r="S1610" s="81"/>
      <c r="T1610" s="81"/>
      <c r="U1610" s="81"/>
      <c r="V1610" s="94"/>
      <c r="W1610" s="94"/>
    </row>
    <row r="1611" spans="1:23" ht="21" customHeight="1">
      <c r="A1611">
        <f>Table4[[#This Row],[Column1]]</f>
        <v>0</v>
      </c>
      <c r="B1611">
        <f>Table4[[#This Row],[Column2]]</f>
        <v>0</v>
      </c>
      <c r="C1611" s="81"/>
      <c r="D1611" s="81"/>
      <c r="E1611" s="81"/>
      <c r="F1611" s="81"/>
      <c r="G1611" s="81"/>
      <c r="H1611" s="81"/>
      <c r="I1611" s="81"/>
      <c r="J1611" s="81"/>
      <c r="K1611" s="81"/>
      <c r="L1611" s="81"/>
      <c r="M1611" s="81"/>
      <c r="N1611" s="81"/>
      <c r="O1611" s="81"/>
      <c r="P1611" s="81"/>
      <c r="Q1611" s="81"/>
      <c r="R1611" s="81"/>
      <c r="S1611" s="81"/>
      <c r="T1611" s="81"/>
      <c r="U1611" s="81"/>
      <c r="V1611" s="94"/>
      <c r="W1611" s="94"/>
    </row>
    <row r="1612" spans="1:23" ht="21" customHeight="1">
      <c r="A1612">
        <f>Table4[[#This Row],[Column1]]</f>
        <v>0</v>
      </c>
      <c r="B1612">
        <f>Table4[[#This Row],[Column2]]</f>
        <v>0</v>
      </c>
      <c r="C1612" s="81"/>
      <c r="D1612" s="81"/>
      <c r="E1612" s="81"/>
      <c r="F1612" s="81"/>
      <c r="G1612" s="81"/>
      <c r="H1612" s="81"/>
      <c r="I1612" s="81"/>
      <c r="J1612" s="81"/>
      <c r="K1612" s="81"/>
      <c r="L1612" s="81"/>
      <c r="M1612" s="81"/>
      <c r="N1612" s="81"/>
      <c r="O1612" s="81"/>
      <c r="P1612" s="81"/>
      <c r="Q1612" s="81"/>
      <c r="R1612" s="81"/>
      <c r="S1612" s="81"/>
      <c r="T1612" s="81"/>
      <c r="U1612" s="81"/>
      <c r="V1612" s="94"/>
      <c r="W1612" s="94"/>
    </row>
    <row r="1613" spans="1:23" ht="21" customHeight="1">
      <c r="A1613">
        <f>Table4[[#This Row],[Column1]]</f>
        <v>0</v>
      </c>
      <c r="B1613">
        <f>Table4[[#This Row],[Column2]]</f>
        <v>0</v>
      </c>
      <c r="C1613" s="81"/>
      <c r="D1613" s="81"/>
      <c r="E1613" s="81"/>
      <c r="F1613" s="81"/>
      <c r="G1613" s="81"/>
      <c r="H1613" s="81"/>
      <c r="I1613" s="81"/>
      <c r="J1613" s="81"/>
      <c r="K1613" s="81"/>
      <c r="L1613" s="81"/>
      <c r="M1613" s="81"/>
      <c r="N1613" s="81"/>
      <c r="O1613" s="81"/>
      <c r="P1613" s="81"/>
      <c r="Q1613" s="81"/>
      <c r="R1613" s="81"/>
      <c r="S1613" s="81"/>
      <c r="T1613" s="81"/>
      <c r="U1613" s="81"/>
      <c r="V1613" s="94"/>
      <c r="W1613" s="94"/>
    </row>
    <row r="1614" spans="1:23" ht="21" customHeight="1">
      <c r="A1614">
        <f>Table4[[#This Row],[Column1]]</f>
        <v>0</v>
      </c>
      <c r="B1614">
        <f>Table4[[#This Row],[Column2]]</f>
        <v>0</v>
      </c>
      <c r="C1614" s="81"/>
      <c r="D1614" s="81"/>
      <c r="E1614" s="81"/>
      <c r="F1614" s="81"/>
      <c r="G1614" s="81"/>
      <c r="H1614" s="81"/>
      <c r="I1614" s="81"/>
      <c r="J1614" s="81"/>
      <c r="K1614" s="81"/>
      <c r="L1614" s="81"/>
      <c r="M1614" s="81"/>
      <c r="N1614" s="81"/>
      <c r="O1614" s="81"/>
      <c r="P1614" s="81"/>
      <c r="Q1614" s="81"/>
      <c r="R1614" s="81"/>
      <c r="S1614" s="81"/>
      <c r="T1614" s="81"/>
      <c r="U1614" s="81"/>
      <c r="V1614" s="94"/>
      <c r="W1614" s="94"/>
    </row>
    <row r="1615" spans="1:23" ht="21" customHeight="1">
      <c r="A1615">
        <f>Table4[[#This Row],[Column1]]</f>
        <v>0</v>
      </c>
      <c r="B1615">
        <f>Table4[[#This Row],[Column2]]</f>
        <v>0</v>
      </c>
      <c r="C1615" s="81"/>
      <c r="D1615" s="81"/>
      <c r="E1615" s="81"/>
      <c r="F1615" s="81"/>
      <c r="G1615" s="81"/>
      <c r="H1615" s="81"/>
      <c r="I1615" s="81"/>
      <c r="J1615" s="81"/>
      <c r="K1615" s="81"/>
      <c r="L1615" s="81"/>
      <c r="M1615" s="81"/>
      <c r="N1615" s="81"/>
      <c r="O1615" s="81"/>
      <c r="P1615" s="81"/>
      <c r="Q1615" s="81"/>
      <c r="R1615" s="81"/>
      <c r="S1615" s="81"/>
      <c r="T1615" s="81"/>
      <c r="U1615" s="81"/>
      <c r="V1615" s="94"/>
      <c r="W1615" s="94"/>
    </row>
    <row r="1616" spans="1:23" ht="21" customHeight="1">
      <c r="A1616">
        <f>Table4[[#This Row],[Column1]]</f>
        <v>0</v>
      </c>
      <c r="B1616">
        <f>Table4[[#This Row],[Column2]]</f>
        <v>0</v>
      </c>
      <c r="C1616" s="81"/>
      <c r="D1616" s="81"/>
      <c r="E1616" s="81"/>
      <c r="F1616" s="81"/>
      <c r="G1616" s="81"/>
      <c r="H1616" s="81"/>
      <c r="I1616" s="81"/>
      <c r="J1616" s="81"/>
      <c r="K1616" s="81"/>
      <c r="L1616" s="81"/>
      <c r="M1616" s="81"/>
      <c r="N1616" s="81"/>
      <c r="O1616" s="81"/>
      <c r="P1616" s="81"/>
      <c r="Q1616" s="81"/>
      <c r="R1616" s="81"/>
      <c r="S1616" s="81"/>
      <c r="T1616" s="81"/>
      <c r="U1616" s="81"/>
      <c r="V1616" s="94"/>
      <c r="W1616" s="94"/>
    </row>
    <row r="1617" spans="1:23" ht="21" customHeight="1">
      <c r="A1617">
        <f>Table4[[#This Row],[Column1]]</f>
        <v>0</v>
      </c>
      <c r="B1617">
        <f>Table4[[#This Row],[Column2]]</f>
        <v>0</v>
      </c>
      <c r="C1617" s="81"/>
      <c r="D1617" s="81"/>
      <c r="E1617" s="81"/>
      <c r="F1617" s="81"/>
      <c r="G1617" s="81"/>
      <c r="H1617" s="81"/>
      <c r="I1617" s="81"/>
      <c r="J1617" s="81"/>
      <c r="K1617" s="81"/>
      <c r="L1617" s="81"/>
      <c r="M1617" s="81"/>
      <c r="N1617" s="81"/>
      <c r="O1617" s="81"/>
      <c r="P1617" s="81"/>
      <c r="Q1617" s="81"/>
      <c r="R1617" s="81"/>
      <c r="S1617" s="81"/>
      <c r="T1617" s="81"/>
      <c r="U1617" s="81"/>
      <c r="V1617" s="94"/>
      <c r="W1617" s="94"/>
    </row>
    <row r="1618" spans="1:23" ht="21" customHeight="1">
      <c r="A1618">
        <f>Table4[[#This Row],[Column1]]</f>
        <v>0</v>
      </c>
      <c r="B1618">
        <f>Table4[[#This Row],[Column2]]</f>
        <v>0</v>
      </c>
      <c r="C1618" s="81"/>
      <c r="D1618" s="81"/>
      <c r="E1618" s="81"/>
      <c r="F1618" s="81"/>
      <c r="G1618" s="81"/>
      <c r="H1618" s="81"/>
      <c r="I1618" s="81"/>
      <c r="J1618" s="81"/>
      <c r="K1618" s="81"/>
      <c r="L1618" s="81"/>
      <c r="M1618" s="81"/>
      <c r="N1618" s="81"/>
      <c r="O1618" s="81"/>
      <c r="P1618" s="81"/>
      <c r="Q1618" s="81"/>
      <c r="R1618" s="81"/>
      <c r="S1618" s="81"/>
      <c r="T1618" s="81"/>
      <c r="U1618" s="81"/>
      <c r="V1618" s="94"/>
      <c r="W1618" s="94"/>
    </row>
    <row r="1619" spans="1:23" ht="21" customHeight="1">
      <c r="A1619">
        <f>Table4[[#This Row],[Column1]]</f>
        <v>0</v>
      </c>
      <c r="B1619">
        <f>Table4[[#This Row],[Column2]]</f>
        <v>0</v>
      </c>
      <c r="C1619" s="81"/>
      <c r="D1619" s="81"/>
      <c r="E1619" s="81"/>
      <c r="F1619" s="81"/>
      <c r="G1619" s="81"/>
      <c r="H1619" s="81"/>
      <c r="I1619" s="81"/>
      <c r="J1619" s="81"/>
      <c r="K1619" s="81"/>
      <c r="L1619" s="81"/>
      <c r="M1619" s="81"/>
      <c r="N1619" s="81"/>
      <c r="O1619" s="81"/>
      <c r="P1619" s="81"/>
      <c r="Q1619" s="81"/>
      <c r="R1619" s="81"/>
      <c r="S1619" s="81"/>
      <c r="T1619" s="81"/>
      <c r="U1619" s="81"/>
      <c r="V1619" s="94"/>
      <c r="W1619" s="94"/>
    </row>
    <row r="1620" spans="1:23" ht="21" customHeight="1">
      <c r="A1620">
        <f>Table4[[#This Row],[Column1]]</f>
        <v>0</v>
      </c>
      <c r="B1620">
        <f>Table4[[#This Row],[Column2]]</f>
        <v>0</v>
      </c>
      <c r="C1620" s="81"/>
      <c r="D1620" s="81"/>
      <c r="E1620" s="81"/>
      <c r="F1620" s="81"/>
      <c r="G1620" s="81"/>
      <c r="H1620" s="81"/>
      <c r="I1620" s="81"/>
      <c r="J1620" s="81"/>
      <c r="K1620" s="81"/>
      <c r="L1620" s="81"/>
      <c r="M1620" s="81"/>
      <c r="N1620" s="81"/>
      <c r="O1620" s="81"/>
      <c r="P1620" s="81"/>
      <c r="Q1620" s="81"/>
      <c r="R1620" s="81"/>
      <c r="S1620" s="81"/>
      <c r="T1620" s="81"/>
      <c r="U1620" s="81"/>
      <c r="V1620" s="94"/>
      <c r="W1620" s="94"/>
    </row>
    <row r="1621" spans="1:23" ht="21" customHeight="1">
      <c r="A1621">
        <f>Table4[[#This Row],[Column1]]</f>
        <v>0</v>
      </c>
      <c r="B1621">
        <f>Table4[[#This Row],[Column2]]</f>
        <v>0</v>
      </c>
      <c r="C1621" s="81"/>
      <c r="D1621" s="81"/>
      <c r="E1621" s="81"/>
      <c r="F1621" s="81"/>
      <c r="G1621" s="81"/>
      <c r="H1621" s="81"/>
      <c r="I1621" s="81"/>
      <c r="J1621" s="81"/>
      <c r="K1621" s="81"/>
      <c r="L1621" s="81"/>
      <c r="M1621" s="81"/>
      <c r="N1621" s="81"/>
      <c r="O1621" s="81"/>
      <c r="P1621" s="81"/>
      <c r="Q1621" s="81"/>
      <c r="R1621" s="81"/>
      <c r="S1621" s="81"/>
      <c r="T1621" s="81"/>
      <c r="U1621" s="81"/>
      <c r="V1621" s="94"/>
      <c r="W1621" s="94"/>
    </row>
    <row r="1622" spans="1:23" ht="21" customHeight="1">
      <c r="A1622">
        <f>Table4[[#This Row],[Column1]]</f>
        <v>0</v>
      </c>
      <c r="B1622">
        <f>Table4[[#This Row],[Column2]]</f>
        <v>0</v>
      </c>
      <c r="C1622" s="81"/>
      <c r="D1622" s="81"/>
      <c r="E1622" s="81"/>
      <c r="F1622" s="81"/>
      <c r="G1622" s="81"/>
      <c r="H1622" s="81"/>
      <c r="I1622" s="81"/>
      <c r="J1622" s="81"/>
      <c r="K1622" s="81"/>
      <c r="L1622" s="81"/>
      <c r="M1622" s="81"/>
      <c r="N1622" s="81"/>
      <c r="O1622" s="81"/>
      <c r="P1622" s="81"/>
      <c r="Q1622" s="81"/>
      <c r="R1622" s="81"/>
      <c r="S1622" s="81"/>
      <c r="T1622" s="81"/>
      <c r="U1622" s="81"/>
      <c r="V1622" s="94"/>
      <c r="W1622" s="94"/>
    </row>
    <row r="1623" spans="1:23" ht="21" customHeight="1">
      <c r="A1623">
        <f>Table4[[#This Row],[Column1]]</f>
        <v>0</v>
      </c>
      <c r="B1623">
        <f>Table4[[#This Row],[Column2]]</f>
        <v>0</v>
      </c>
      <c r="C1623" s="81"/>
      <c r="D1623" s="81"/>
      <c r="E1623" s="81"/>
      <c r="F1623" s="81"/>
      <c r="G1623" s="81"/>
      <c r="H1623" s="81"/>
      <c r="I1623" s="81"/>
      <c r="J1623" s="81"/>
      <c r="K1623" s="81"/>
      <c r="L1623" s="81"/>
      <c r="M1623" s="81"/>
      <c r="N1623" s="81"/>
      <c r="O1623" s="81"/>
      <c r="P1623" s="81"/>
      <c r="Q1623" s="81"/>
      <c r="R1623" s="81"/>
      <c r="S1623" s="81"/>
      <c r="T1623" s="81"/>
      <c r="U1623" s="81"/>
      <c r="V1623" s="94"/>
      <c r="W1623" s="94"/>
    </row>
    <row r="1624" spans="1:23" ht="21" customHeight="1">
      <c r="A1624">
        <f>Table4[[#This Row],[Column1]]</f>
        <v>0</v>
      </c>
      <c r="B1624">
        <f>Table4[[#This Row],[Column2]]</f>
        <v>0</v>
      </c>
      <c r="C1624" s="81"/>
      <c r="D1624" s="81"/>
      <c r="E1624" s="81"/>
      <c r="F1624" s="81"/>
      <c r="G1624" s="81"/>
      <c r="H1624" s="81"/>
      <c r="I1624" s="81"/>
      <c r="J1624" s="81"/>
      <c r="K1624" s="81"/>
      <c r="L1624" s="81"/>
      <c r="M1624" s="81"/>
      <c r="N1624" s="81"/>
      <c r="O1624" s="81"/>
      <c r="P1624" s="81"/>
      <c r="Q1624" s="81"/>
      <c r="R1624" s="81"/>
      <c r="S1624" s="81"/>
      <c r="T1624" s="81"/>
      <c r="U1624" s="81"/>
      <c r="V1624" s="94"/>
      <c r="W1624" s="94"/>
    </row>
    <row r="1625" spans="1:23" ht="21" customHeight="1">
      <c r="A1625">
        <f>Table4[[#This Row],[Column1]]</f>
        <v>0</v>
      </c>
      <c r="B1625">
        <f>Table4[[#This Row],[Column2]]</f>
        <v>0</v>
      </c>
      <c r="C1625" s="81"/>
      <c r="D1625" s="81"/>
      <c r="E1625" s="81"/>
      <c r="F1625" s="81"/>
      <c r="G1625" s="81"/>
      <c r="H1625" s="81"/>
      <c r="I1625" s="81"/>
      <c r="J1625" s="81"/>
      <c r="K1625" s="81"/>
      <c r="L1625" s="81"/>
      <c r="M1625" s="81"/>
      <c r="N1625" s="81"/>
      <c r="O1625" s="81"/>
      <c r="P1625" s="81"/>
      <c r="Q1625" s="81"/>
      <c r="R1625" s="81"/>
      <c r="S1625" s="81"/>
      <c r="T1625" s="81"/>
      <c r="U1625" s="81"/>
      <c r="V1625" s="94"/>
      <c r="W1625" s="94"/>
    </row>
    <row r="1626" spans="1:23" ht="21" customHeight="1">
      <c r="A1626">
        <f>Table4[[#This Row],[Column1]]</f>
        <v>0</v>
      </c>
      <c r="B1626">
        <f>Table4[[#This Row],[Column2]]</f>
        <v>0</v>
      </c>
      <c r="C1626" s="81"/>
      <c r="D1626" s="81"/>
      <c r="E1626" s="81"/>
      <c r="F1626" s="81"/>
      <c r="G1626" s="81"/>
      <c r="H1626" s="81"/>
      <c r="I1626" s="81"/>
      <c r="J1626" s="81"/>
      <c r="K1626" s="81"/>
      <c r="L1626" s="81"/>
      <c r="M1626" s="81"/>
      <c r="N1626" s="81"/>
      <c r="O1626" s="81"/>
      <c r="P1626" s="81"/>
      <c r="Q1626" s="81"/>
      <c r="R1626" s="81"/>
      <c r="S1626" s="81"/>
      <c r="T1626" s="81"/>
      <c r="U1626" s="81"/>
      <c r="V1626" s="94"/>
      <c r="W1626" s="94"/>
    </row>
    <row r="1627" spans="1:23" ht="21" customHeight="1">
      <c r="A1627">
        <f>Table4[[#This Row],[Column1]]</f>
        <v>0</v>
      </c>
      <c r="B1627">
        <f>Table4[[#This Row],[Column2]]</f>
        <v>0</v>
      </c>
      <c r="C1627" s="81"/>
      <c r="D1627" s="81"/>
      <c r="E1627" s="81"/>
      <c r="F1627" s="81"/>
      <c r="G1627" s="81"/>
      <c r="H1627" s="81"/>
      <c r="I1627" s="81"/>
      <c r="J1627" s="81"/>
      <c r="K1627" s="81"/>
      <c r="L1627" s="81"/>
      <c r="M1627" s="81"/>
      <c r="N1627" s="81"/>
      <c r="O1627" s="81"/>
      <c r="P1627" s="81"/>
      <c r="Q1627" s="81"/>
      <c r="R1627" s="81"/>
      <c r="S1627" s="81"/>
      <c r="T1627" s="81"/>
      <c r="U1627" s="81"/>
      <c r="V1627" s="94"/>
      <c r="W1627" s="94"/>
    </row>
    <row r="1628" spans="1:23" ht="21" customHeight="1">
      <c r="A1628">
        <f>Table4[[#This Row],[Column1]]</f>
        <v>0</v>
      </c>
      <c r="B1628">
        <f>Table4[[#This Row],[Column2]]</f>
        <v>0</v>
      </c>
      <c r="C1628" s="81"/>
      <c r="D1628" s="81"/>
      <c r="E1628" s="81"/>
      <c r="F1628" s="81"/>
      <c r="G1628" s="81"/>
      <c r="H1628" s="81"/>
      <c r="I1628" s="81"/>
      <c r="J1628" s="81"/>
      <c r="K1628" s="81"/>
      <c r="L1628" s="81"/>
      <c r="M1628" s="81"/>
      <c r="N1628" s="81"/>
      <c r="O1628" s="81"/>
      <c r="P1628" s="81"/>
      <c r="Q1628" s="81"/>
      <c r="R1628" s="81"/>
      <c r="S1628" s="81"/>
      <c r="T1628" s="81"/>
      <c r="U1628" s="81"/>
      <c r="V1628" s="94"/>
      <c r="W1628" s="94"/>
    </row>
    <row r="1629" spans="1:23" ht="21" customHeight="1">
      <c r="A1629">
        <f>Table4[[#This Row],[Column1]]</f>
        <v>0</v>
      </c>
      <c r="B1629">
        <f>Table4[[#This Row],[Column2]]</f>
        <v>0</v>
      </c>
      <c r="C1629" s="81"/>
      <c r="D1629" s="81"/>
      <c r="E1629" s="81"/>
      <c r="F1629" s="81"/>
      <c r="G1629" s="81"/>
      <c r="H1629" s="81"/>
      <c r="I1629" s="81"/>
      <c r="J1629" s="81"/>
      <c r="K1629" s="81"/>
      <c r="L1629" s="81"/>
      <c r="M1629" s="81"/>
      <c r="N1629" s="81"/>
      <c r="O1629" s="81"/>
      <c r="P1629" s="81"/>
      <c r="Q1629" s="81"/>
      <c r="R1629" s="81"/>
      <c r="S1629" s="81"/>
      <c r="T1629" s="81"/>
      <c r="U1629" s="81"/>
      <c r="V1629" s="94"/>
      <c r="W1629" s="94"/>
    </row>
    <row r="1630" spans="1:23" ht="21" customHeight="1">
      <c r="A1630">
        <f>Table4[[#This Row],[Column1]]</f>
        <v>0</v>
      </c>
      <c r="B1630">
        <f>Table4[[#This Row],[Column2]]</f>
        <v>0</v>
      </c>
      <c r="C1630" s="81"/>
      <c r="D1630" s="81"/>
      <c r="E1630" s="81"/>
      <c r="F1630" s="81"/>
      <c r="G1630" s="81"/>
      <c r="H1630" s="81"/>
      <c r="I1630" s="81"/>
      <c r="J1630" s="81"/>
      <c r="K1630" s="81"/>
      <c r="L1630" s="81"/>
      <c r="M1630" s="81"/>
      <c r="N1630" s="81"/>
      <c r="O1630" s="81"/>
      <c r="P1630" s="81"/>
      <c r="Q1630" s="81"/>
      <c r="R1630" s="81"/>
      <c r="S1630" s="81"/>
      <c r="T1630" s="81"/>
      <c r="U1630" s="81"/>
      <c r="V1630" s="94"/>
      <c r="W1630" s="94"/>
    </row>
    <row r="1631" spans="1:23" ht="21" customHeight="1">
      <c r="A1631">
        <f>Table4[[#This Row],[Column1]]</f>
        <v>0</v>
      </c>
      <c r="B1631">
        <f>Table4[[#This Row],[Column2]]</f>
        <v>0</v>
      </c>
      <c r="C1631" s="81"/>
      <c r="D1631" s="81"/>
      <c r="E1631" s="81"/>
      <c r="F1631" s="81"/>
      <c r="G1631" s="81"/>
      <c r="H1631" s="81"/>
      <c r="I1631" s="81"/>
      <c r="J1631" s="81"/>
      <c r="K1631" s="81"/>
      <c r="L1631" s="81"/>
      <c r="M1631" s="81"/>
      <c r="N1631" s="81"/>
      <c r="O1631" s="81"/>
      <c r="P1631" s="81"/>
      <c r="Q1631" s="81"/>
      <c r="R1631" s="81"/>
      <c r="S1631" s="81"/>
      <c r="T1631" s="81"/>
      <c r="U1631" s="81"/>
      <c r="V1631" s="94"/>
      <c r="W1631" s="94"/>
    </row>
    <row r="1632" spans="1:23" ht="21" customHeight="1">
      <c r="A1632">
        <f>Table4[[#This Row],[Column1]]</f>
        <v>0</v>
      </c>
      <c r="B1632">
        <f>Table4[[#This Row],[Column2]]</f>
        <v>0</v>
      </c>
      <c r="C1632" s="81"/>
      <c r="D1632" s="81"/>
      <c r="E1632" s="81"/>
      <c r="F1632" s="81"/>
      <c r="G1632" s="81"/>
      <c r="H1632" s="81"/>
      <c r="I1632" s="81"/>
      <c r="J1632" s="81"/>
      <c r="K1632" s="81"/>
      <c r="L1632" s="81"/>
      <c r="M1632" s="81"/>
      <c r="N1632" s="81"/>
      <c r="O1632" s="81"/>
      <c r="P1632" s="81"/>
      <c r="Q1632" s="81"/>
      <c r="R1632" s="81"/>
      <c r="S1632" s="81"/>
      <c r="T1632" s="81"/>
      <c r="U1632" s="81"/>
      <c r="V1632" s="94"/>
      <c r="W1632" s="94"/>
    </row>
    <row r="1633" spans="1:23" ht="21" customHeight="1">
      <c r="A1633">
        <f>Table4[[#This Row],[Column1]]</f>
        <v>0</v>
      </c>
      <c r="B1633">
        <f>Table4[[#This Row],[Column2]]</f>
        <v>0</v>
      </c>
      <c r="C1633" s="81"/>
      <c r="D1633" s="81"/>
      <c r="E1633" s="81"/>
      <c r="F1633" s="81"/>
      <c r="G1633" s="81"/>
      <c r="H1633" s="81"/>
      <c r="I1633" s="81"/>
      <c r="J1633" s="81"/>
      <c r="K1633" s="81"/>
      <c r="L1633" s="81"/>
      <c r="M1633" s="81"/>
      <c r="N1633" s="81"/>
      <c r="O1633" s="81"/>
      <c r="P1633" s="81"/>
      <c r="Q1633" s="81"/>
      <c r="R1633" s="81"/>
      <c r="S1633" s="81"/>
      <c r="T1633" s="81"/>
      <c r="U1633" s="81"/>
      <c r="V1633" s="94"/>
      <c r="W1633" s="94"/>
    </row>
    <row r="1634" spans="1:23" ht="21" customHeight="1">
      <c r="A1634">
        <f>Table4[[#This Row],[Column1]]</f>
        <v>0</v>
      </c>
      <c r="B1634">
        <f>Table4[[#This Row],[Column2]]</f>
        <v>0</v>
      </c>
      <c r="C1634" s="81"/>
      <c r="D1634" s="81"/>
      <c r="E1634" s="81"/>
      <c r="F1634" s="81"/>
      <c r="G1634" s="81"/>
      <c r="H1634" s="81"/>
      <c r="I1634" s="81"/>
      <c r="J1634" s="81"/>
      <c r="K1634" s="81"/>
      <c r="L1634" s="81"/>
      <c r="M1634" s="81"/>
      <c r="N1634" s="81"/>
      <c r="O1634" s="81"/>
      <c r="P1634" s="81"/>
      <c r="Q1634" s="81"/>
      <c r="R1634" s="81"/>
      <c r="S1634" s="81"/>
      <c r="T1634" s="81"/>
      <c r="U1634" s="81"/>
      <c r="V1634" s="94"/>
      <c r="W1634" s="94"/>
    </row>
    <row r="1635" spans="1:23" ht="21" customHeight="1">
      <c r="A1635">
        <f>Table4[[#This Row],[Column1]]</f>
        <v>0</v>
      </c>
      <c r="B1635">
        <f>Table4[[#This Row],[Column2]]</f>
        <v>0</v>
      </c>
      <c r="C1635" s="81"/>
      <c r="D1635" s="81"/>
      <c r="E1635" s="81"/>
      <c r="F1635" s="81"/>
      <c r="G1635" s="81"/>
      <c r="H1635" s="81"/>
      <c r="I1635" s="81"/>
      <c r="J1635" s="81"/>
      <c r="K1635" s="81"/>
      <c r="L1635" s="81"/>
      <c r="M1635" s="81"/>
      <c r="N1635" s="81"/>
      <c r="O1635" s="81"/>
      <c r="P1635" s="81"/>
      <c r="Q1635" s="81"/>
      <c r="R1635" s="81"/>
      <c r="S1635" s="81"/>
      <c r="T1635" s="81"/>
      <c r="U1635" s="81"/>
      <c r="V1635" s="94"/>
      <c r="W1635" s="94"/>
    </row>
    <row r="1636" spans="1:23" ht="21" customHeight="1">
      <c r="A1636">
        <f>Table4[[#This Row],[Column1]]</f>
        <v>0</v>
      </c>
      <c r="B1636">
        <f>Table4[[#This Row],[Column2]]</f>
        <v>0</v>
      </c>
      <c r="C1636" s="81"/>
      <c r="D1636" s="81"/>
      <c r="E1636" s="81"/>
      <c r="F1636" s="81"/>
      <c r="G1636" s="81"/>
      <c r="H1636" s="81"/>
      <c r="I1636" s="81"/>
      <c r="J1636" s="81"/>
      <c r="K1636" s="81"/>
      <c r="L1636" s="81"/>
      <c r="M1636" s="81"/>
      <c r="N1636" s="81"/>
      <c r="O1636" s="81"/>
      <c r="P1636" s="81"/>
      <c r="Q1636" s="81"/>
      <c r="R1636" s="81"/>
      <c r="S1636" s="81"/>
      <c r="T1636" s="81"/>
      <c r="U1636" s="81"/>
      <c r="V1636" s="94"/>
      <c r="W1636" s="94"/>
    </row>
    <row r="1637" spans="1:23" ht="21" customHeight="1">
      <c r="A1637">
        <f>Table4[[#This Row],[Column1]]</f>
        <v>0</v>
      </c>
      <c r="B1637">
        <f>Table4[[#This Row],[Column2]]</f>
        <v>0</v>
      </c>
      <c r="C1637" s="81"/>
      <c r="D1637" s="81"/>
      <c r="E1637" s="81"/>
      <c r="F1637" s="81"/>
      <c r="G1637" s="81"/>
      <c r="H1637" s="81"/>
      <c r="I1637" s="81"/>
      <c r="J1637" s="81"/>
      <c r="K1637" s="81"/>
      <c r="L1637" s="81"/>
      <c r="M1637" s="81"/>
      <c r="N1637" s="81"/>
      <c r="O1637" s="81"/>
      <c r="P1637" s="81"/>
      <c r="Q1637" s="81"/>
      <c r="R1637" s="81"/>
      <c r="S1637" s="81"/>
      <c r="T1637" s="81"/>
      <c r="U1637" s="81"/>
      <c r="V1637" s="94"/>
      <c r="W1637" s="94"/>
    </row>
    <row r="1638" spans="1:23" ht="21" customHeight="1">
      <c r="A1638">
        <f>Table4[[#This Row],[Column1]]</f>
        <v>0</v>
      </c>
      <c r="B1638">
        <f>Table4[[#This Row],[Column2]]</f>
        <v>0</v>
      </c>
      <c r="C1638" s="81"/>
      <c r="D1638" s="81"/>
      <c r="E1638" s="81"/>
      <c r="F1638" s="81"/>
      <c r="G1638" s="81"/>
      <c r="H1638" s="81"/>
      <c r="I1638" s="81"/>
      <c r="J1638" s="81"/>
      <c r="K1638" s="81"/>
      <c r="L1638" s="81"/>
      <c r="M1638" s="81"/>
      <c r="N1638" s="81"/>
      <c r="O1638" s="81"/>
      <c r="P1638" s="81"/>
      <c r="Q1638" s="81"/>
      <c r="R1638" s="81"/>
      <c r="S1638" s="81"/>
      <c r="T1638" s="81"/>
      <c r="U1638" s="81"/>
      <c r="V1638" s="94"/>
      <c r="W1638" s="94"/>
    </row>
    <row r="1639" spans="1:23" ht="21" customHeight="1">
      <c r="A1639">
        <f>Table4[[#This Row],[Column1]]</f>
        <v>0</v>
      </c>
      <c r="B1639">
        <f>Table4[[#This Row],[Column2]]</f>
        <v>0</v>
      </c>
      <c r="C1639" s="81"/>
      <c r="D1639" s="81"/>
      <c r="E1639" s="81"/>
      <c r="F1639" s="81"/>
      <c r="G1639" s="81"/>
      <c r="H1639" s="81"/>
      <c r="I1639" s="81"/>
      <c r="J1639" s="81"/>
      <c r="K1639" s="81"/>
      <c r="L1639" s="81"/>
      <c r="M1639" s="81"/>
      <c r="N1639" s="81"/>
      <c r="O1639" s="81"/>
      <c r="P1639" s="81"/>
      <c r="Q1639" s="81"/>
      <c r="R1639" s="81"/>
      <c r="S1639" s="81"/>
      <c r="T1639" s="81"/>
      <c r="U1639" s="81"/>
      <c r="V1639" s="94"/>
      <c r="W1639" s="94"/>
    </row>
    <row r="1640" spans="1:23" ht="21" customHeight="1">
      <c r="A1640">
        <f>Table4[[#This Row],[Column1]]</f>
        <v>0</v>
      </c>
      <c r="B1640">
        <f>Table4[[#This Row],[Column2]]</f>
        <v>0</v>
      </c>
      <c r="C1640" s="81"/>
      <c r="D1640" s="81"/>
      <c r="E1640" s="81"/>
      <c r="F1640" s="81"/>
      <c r="G1640" s="81"/>
      <c r="H1640" s="81"/>
      <c r="I1640" s="81"/>
      <c r="J1640" s="81"/>
      <c r="K1640" s="81"/>
      <c r="L1640" s="81"/>
      <c r="M1640" s="81"/>
      <c r="N1640" s="81"/>
      <c r="O1640" s="81"/>
      <c r="P1640" s="81"/>
      <c r="Q1640" s="81"/>
      <c r="R1640" s="81"/>
      <c r="S1640" s="81"/>
      <c r="T1640" s="81"/>
      <c r="U1640" s="81"/>
      <c r="V1640" s="94"/>
      <c r="W1640" s="94"/>
    </row>
    <row r="1641" spans="1:23" ht="21" customHeight="1">
      <c r="A1641">
        <f>Table4[[#This Row],[Column1]]</f>
        <v>0</v>
      </c>
      <c r="B1641">
        <f>Table4[[#This Row],[Column2]]</f>
        <v>0</v>
      </c>
      <c r="C1641" s="81"/>
      <c r="D1641" s="81"/>
      <c r="E1641" s="81"/>
      <c r="F1641" s="81"/>
      <c r="G1641" s="81"/>
      <c r="H1641" s="81"/>
      <c r="I1641" s="81"/>
      <c r="J1641" s="81"/>
      <c r="K1641" s="81"/>
      <c r="L1641" s="81"/>
      <c r="M1641" s="81"/>
      <c r="N1641" s="81"/>
      <c r="O1641" s="81"/>
      <c r="P1641" s="81"/>
      <c r="Q1641" s="81"/>
      <c r="R1641" s="81"/>
      <c r="S1641" s="81"/>
      <c r="T1641" s="81"/>
      <c r="U1641" s="81"/>
      <c r="V1641" s="94"/>
      <c r="W1641" s="94"/>
    </row>
    <row r="1642" spans="1:23" ht="21" customHeight="1">
      <c r="A1642">
        <f>Table4[[#This Row],[Column1]]</f>
        <v>0</v>
      </c>
      <c r="B1642">
        <f>Table4[[#This Row],[Column2]]</f>
        <v>0</v>
      </c>
      <c r="C1642" s="81"/>
      <c r="D1642" s="81"/>
      <c r="E1642" s="81"/>
      <c r="F1642" s="81"/>
      <c r="G1642" s="81"/>
      <c r="H1642" s="81"/>
      <c r="I1642" s="81"/>
      <c r="J1642" s="81"/>
      <c r="K1642" s="81"/>
      <c r="L1642" s="81"/>
      <c r="M1642" s="81"/>
      <c r="N1642" s="81"/>
      <c r="O1642" s="81"/>
      <c r="P1642" s="81"/>
      <c r="Q1642" s="81"/>
      <c r="R1642" s="81"/>
      <c r="S1642" s="81"/>
      <c r="T1642" s="81"/>
      <c r="U1642" s="81"/>
      <c r="V1642" s="94"/>
      <c r="W1642" s="94"/>
    </row>
    <row r="1643" spans="1:23" ht="21" customHeight="1">
      <c r="A1643">
        <f>Table4[[#This Row],[Column1]]</f>
        <v>0</v>
      </c>
      <c r="B1643">
        <f>Table4[[#This Row],[Column2]]</f>
        <v>0</v>
      </c>
      <c r="C1643" s="81"/>
      <c r="D1643" s="81"/>
      <c r="E1643" s="81"/>
      <c r="F1643" s="81"/>
      <c r="G1643" s="81"/>
      <c r="H1643" s="81"/>
      <c r="I1643" s="81"/>
      <c r="J1643" s="81"/>
      <c r="K1643" s="81"/>
      <c r="L1643" s="81"/>
      <c r="M1643" s="81"/>
      <c r="N1643" s="81"/>
      <c r="O1643" s="81"/>
      <c r="P1643" s="81"/>
      <c r="Q1643" s="81"/>
      <c r="R1643" s="81"/>
      <c r="S1643" s="81"/>
      <c r="T1643" s="81"/>
      <c r="U1643" s="81"/>
      <c r="V1643" s="94"/>
      <c r="W1643" s="94"/>
    </row>
    <row r="1644" spans="1:23" ht="21" customHeight="1">
      <c r="A1644">
        <f>Table4[[#This Row],[Column1]]</f>
        <v>0</v>
      </c>
      <c r="B1644">
        <f>Table4[[#This Row],[Column2]]</f>
        <v>0</v>
      </c>
      <c r="C1644" s="81"/>
      <c r="D1644" s="81"/>
      <c r="E1644" s="81"/>
      <c r="F1644" s="81"/>
      <c r="G1644" s="81"/>
      <c r="H1644" s="81"/>
      <c r="I1644" s="81"/>
      <c r="J1644" s="81"/>
      <c r="K1644" s="81"/>
      <c r="L1644" s="81"/>
      <c r="M1644" s="81"/>
      <c r="N1644" s="81"/>
      <c r="O1644" s="81"/>
      <c r="P1644" s="81"/>
      <c r="Q1644" s="81"/>
      <c r="R1644" s="81"/>
      <c r="S1644" s="81"/>
      <c r="T1644" s="81"/>
      <c r="U1644" s="81"/>
      <c r="V1644" s="94"/>
      <c r="W1644" s="94"/>
    </row>
    <row r="1645" spans="1:23" ht="21" customHeight="1">
      <c r="A1645">
        <f>Table4[[#This Row],[Column1]]</f>
        <v>0</v>
      </c>
      <c r="B1645">
        <f>Table4[[#This Row],[Column2]]</f>
        <v>0</v>
      </c>
      <c r="C1645" s="81"/>
      <c r="D1645" s="81"/>
      <c r="E1645" s="81"/>
      <c r="F1645" s="81"/>
      <c r="G1645" s="81"/>
      <c r="H1645" s="81"/>
      <c r="I1645" s="81"/>
      <c r="J1645" s="81"/>
      <c r="K1645" s="81"/>
      <c r="L1645" s="81"/>
      <c r="M1645" s="81"/>
      <c r="N1645" s="81"/>
      <c r="O1645" s="81"/>
      <c r="P1645" s="81"/>
      <c r="Q1645" s="81"/>
      <c r="R1645" s="81"/>
      <c r="S1645" s="81"/>
      <c r="T1645" s="81"/>
      <c r="U1645" s="81"/>
      <c r="V1645" s="94"/>
      <c r="W1645" s="94"/>
    </row>
    <row r="1646" spans="1:23" ht="21" customHeight="1">
      <c r="A1646">
        <f>Table4[[#This Row],[Column1]]</f>
        <v>0</v>
      </c>
      <c r="B1646">
        <f>Table4[[#This Row],[Column2]]</f>
        <v>0</v>
      </c>
      <c r="C1646" s="81"/>
      <c r="D1646" s="81"/>
      <c r="E1646" s="81"/>
      <c r="F1646" s="81"/>
      <c r="G1646" s="81"/>
      <c r="H1646" s="81"/>
      <c r="I1646" s="81"/>
      <c r="J1646" s="81"/>
      <c r="K1646" s="81"/>
      <c r="L1646" s="81"/>
      <c r="M1646" s="81"/>
      <c r="N1646" s="81"/>
      <c r="O1646" s="81"/>
      <c r="P1646" s="81"/>
      <c r="Q1646" s="81"/>
      <c r="R1646" s="81"/>
      <c r="S1646" s="81"/>
      <c r="T1646" s="81"/>
      <c r="U1646" s="81"/>
      <c r="V1646" s="94"/>
      <c r="W1646" s="94"/>
    </row>
    <row r="1647" spans="1:23" ht="21" customHeight="1">
      <c r="A1647">
        <f>Table4[[#This Row],[Column1]]</f>
        <v>0</v>
      </c>
      <c r="B1647">
        <f>Table4[[#This Row],[Column2]]</f>
        <v>0</v>
      </c>
      <c r="C1647" s="81"/>
      <c r="D1647" s="81"/>
      <c r="E1647" s="81"/>
      <c r="F1647" s="81"/>
      <c r="G1647" s="81"/>
      <c r="H1647" s="81"/>
      <c r="I1647" s="81"/>
      <c r="J1647" s="81"/>
      <c r="K1647" s="81"/>
      <c r="L1647" s="81"/>
      <c r="M1647" s="81"/>
      <c r="N1647" s="81"/>
      <c r="O1647" s="81"/>
      <c r="P1647" s="81"/>
      <c r="Q1647" s="81"/>
      <c r="R1647" s="81"/>
      <c r="S1647" s="81"/>
      <c r="T1647" s="81"/>
      <c r="U1647" s="81"/>
      <c r="V1647" s="94"/>
      <c r="W1647" s="94"/>
    </row>
    <row r="1648" spans="1:23" ht="21" customHeight="1">
      <c r="A1648">
        <f>Table4[[#This Row],[Column1]]</f>
        <v>0</v>
      </c>
      <c r="B1648">
        <f>Table4[[#This Row],[Column2]]</f>
        <v>0</v>
      </c>
      <c r="C1648" s="81"/>
      <c r="D1648" s="81"/>
      <c r="E1648" s="81"/>
      <c r="F1648" s="81"/>
      <c r="G1648" s="81"/>
      <c r="H1648" s="81"/>
      <c r="I1648" s="81"/>
      <c r="J1648" s="81"/>
      <c r="K1648" s="81"/>
      <c r="L1648" s="81"/>
      <c r="M1648" s="81"/>
      <c r="N1648" s="81"/>
      <c r="O1648" s="81"/>
      <c r="P1648" s="81"/>
      <c r="Q1648" s="81"/>
      <c r="R1648" s="81"/>
      <c r="S1648" s="81"/>
      <c r="T1648" s="81"/>
      <c r="U1648" s="81"/>
      <c r="V1648" s="94"/>
      <c r="W1648" s="94"/>
    </row>
    <row r="1649" spans="1:23" ht="21" customHeight="1">
      <c r="A1649">
        <f>Table4[[#This Row],[Column1]]</f>
        <v>0</v>
      </c>
      <c r="B1649">
        <f>Table4[[#This Row],[Column2]]</f>
        <v>0</v>
      </c>
      <c r="C1649" s="81"/>
      <c r="D1649" s="81"/>
      <c r="E1649" s="81"/>
      <c r="F1649" s="81"/>
      <c r="G1649" s="81"/>
      <c r="H1649" s="81"/>
      <c r="I1649" s="81"/>
      <c r="J1649" s="81"/>
      <c r="K1649" s="81"/>
      <c r="L1649" s="81"/>
      <c r="M1649" s="81"/>
      <c r="N1649" s="81"/>
      <c r="O1649" s="81"/>
      <c r="P1649" s="81"/>
      <c r="Q1649" s="81"/>
      <c r="R1649" s="81"/>
      <c r="S1649" s="81"/>
      <c r="T1649" s="81"/>
      <c r="U1649" s="81"/>
      <c r="V1649" s="94"/>
      <c r="W1649" s="94"/>
    </row>
    <row r="1650" spans="1:23" ht="21" customHeight="1">
      <c r="A1650">
        <f>Table4[[#This Row],[Column1]]</f>
        <v>0</v>
      </c>
      <c r="B1650">
        <f>Table4[[#This Row],[Column2]]</f>
        <v>0</v>
      </c>
      <c r="C1650" s="81"/>
      <c r="D1650" s="81"/>
      <c r="E1650" s="81"/>
      <c r="F1650" s="81"/>
      <c r="G1650" s="81"/>
      <c r="H1650" s="81"/>
      <c r="I1650" s="81"/>
      <c r="J1650" s="81"/>
      <c r="K1650" s="81"/>
      <c r="L1650" s="81"/>
      <c r="M1650" s="81"/>
      <c r="N1650" s="81"/>
      <c r="O1650" s="81"/>
      <c r="P1650" s="81"/>
      <c r="Q1650" s="81"/>
      <c r="R1650" s="81"/>
      <c r="S1650" s="81"/>
      <c r="T1650" s="81"/>
      <c r="U1650" s="81"/>
      <c r="V1650" s="94"/>
      <c r="W1650" s="94"/>
    </row>
    <row r="1651" spans="1:23" ht="21" customHeight="1">
      <c r="A1651">
        <f>Table4[[#This Row],[Column1]]</f>
        <v>0</v>
      </c>
      <c r="B1651">
        <f>Table4[[#This Row],[Column2]]</f>
        <v>0</v>
      </c>
      <c r="C1651" s="81"/>
      <c r="D1651" s="81"/>
      <c r="E1651" s="81"/>
      <c r="F1651" s="81"/>
      <c r="G1651" s="81"/>
      <c r="H1651" s="81"/>
      <c r="I1651" s="81"/>
      <c r="J1651" s="81"/>
      <c r="K1651" s="81"/>
      <c r="L1651" s="81"/>
      <c r="M1651" s="81"/>
      <c r="N1651" s="81"/>
      <c r="O1651" s="81"/>
      <c r="P1651" s="81"/>
      <c r="Q1651" s="81"/>
      <c r="R1651" s="81"/>
      <c r="S1651" s="81"/>
      <c r="T1651" s="81"/>
      <c r="U1651" s="81"/>
      <c r="V1651" s="94"/>
      <c r="W1651" s="94"/>
    </row>
    <row r="1652" spans="1:23" ht="21" customHeight="1">
      <c r="A1652">
        <f>Table4[[#This Row],[Column1]]</f>
        <v>0</v>
      </c>
      <c r="B1652">
        <f>Table4[[#This Row],[Column2]]</f>
        <v>0</v>
      </c>
      <c r="C1652" s="81"/>
      <c r="D1652" s="81"/>
      <c r="E1652" s="81"/>
      <c r="F1652" s="81"/>
      <c r="G1652" s="81"/>
      <c r="H1652" s="81"/>
      <c r="I1652" s="81"/>
      <c r="J1652" s="81"/>
      <c r="K1652" s="81"/>
      <c r="L1652" s="81"/>
      <c r="M1652" s="81"/>
      <c r="N1652" s="81"/>
      <c r="O1652" s="81"/>
      <c r="P1652" s="81"/>
      <c r="Q1652" s="81"/>
      <c r="R1652" s="81"/>
      <c r="S1652" s="81"/>
      <c r="T1652" s="81"/>
      <c r="U1652" s="81"/>
      <c r="V1652" s="94"/>
      <c r="W1652" s="94"/>
    </row>
    <row r="1653" spans="1:23" ht="21" customHeight="1">
      <c r="A1653">
        <f>Table4[[#This Row],[Column1]]</f>
        <v>0</v>
      </c>
      <c r="B1653">
        <f>Table4[[#This Row],[Column2]]</f>
        <v>0</v>
      </c>
      <c r="C1653" s="81"/>
      <c r="D1653" s="81"/>
      <c r="E1653" s="81"/>
      <c r="F1653" s="81"/>
      <c r="G1653" s="81"/>
      <c r="H1653" s="81"/>
      <c r="I1653" s="81"/>
      <c r="J1653" s="81"/>
      <c r="K1653" s="81"/>
      <c r="L1653" s="81"/>
      <c r="M1653" s="81"/>
      <c r="N1653" s="81"/>
      <c r="O1653" s="81"/>
      <c r="P1653" s="81"/>
      <c r="Q1653" s="81"/>
      <c r="R1653" s="81"/>
      <c r="S1653" s="81"/>
      <c r="T1653" s="81"/>
      <c r="U1653" s="81"/>
      <c r="V1653" s="94"/>
      <c r="W1653" s="94"/>
    </row>
    <row r="1654" spans="1:23" ht="21" customHeight="1">
      <c r="A1654">
        <f>Table4[[#This Row],[Column1]]</f>
        <v>0</v>
      </c>
      <c r="B1654">
        <f>Table4[[#This Row],[Column2]]</f>
        <v>0</v>
      </c>
      <c r="C1654" s="81"/>
      <c r="D1654" s="81"/>
      <c r="E1654" s="81"/>
      <c r="F1654" s="81"/>
      <c r="G1654" s="81"/>
      <c r="H1654" s="81"/>
      <c r="I1654" s="81"/>
      <c r="J1654" s="81"/>
      <c r="K1654" s="81"/>
      <c r="L1654" s="81"/>
      <c r="M1654" s="81"/>
      <c r="N1654" s="81"/>
      <c r="O1654" s="81"/>
      <c r="P1654" s="81"/>
      <c r="Q1654" s="81"/>
      <c r="R1654" s="81"/>
      <c r="S1654" s="81"/>
      <c r="T1654" s="81"/>
      <c r="U1654" s="81"/>
      <c r="V1654" s="94"/>
      <c r="W1654" s="94"/>
    </row>
    <row r="1655" spans="1:23" ht="21" customHeight="1">
      <c r="A1655">
        <f>Table4[[#This Row],[Column1]]</f>
        <v>0</v>
      </c>
      <c r="B1655">
        <f>Table4[[#This Row],[Column2]]</f>
        <v>0</v>
      </c>
      <c r="C1655" s="81"/>
      <c r="D1655" s="81"/>
      <c r="E1655" s="81"/>
      <c r="F1655" s="81"/>
      <c r="G1655" s="81"/>
      <c r="H1655" s="81"/>
      <c r="I1655" s="81"/>
      <c r="J1655" s="81"/>
      <c r="K1655" s="81"/>
      <c r="L1655" s="81"/>
      <c r="M1655" s="81"/>
      <c r="N1655" s="81"/>
      <c r="O1655" s="81"/>
      <c r="P1655" s="81"/>
      <c r="Q1655" s="81"/>
      <c r="R1655" s="81"/>
      <c r="S1655" s="81"/>
      <c r="T1655" s="81"/>
      <c r="U1655" s="81"/>
      <c r="V1655" s="94"/>
      <c r="W1655" s="94"/>
    </row>
    <row r="1656" spans="1:23" ht="21" customHeight="1">
      <c r="A1656">
        <f>Table4[[#This Row],[Column1]]</f>
        <v>0</v>
      </c>
      <c r="B1656">
        <f>Table4[[#This Row],[Column2]]</f>
        <v>0</v>
      </c>
      <c r="C1656" s="81"/>
      <c r="D1656" s="81"/>
      <c r="E1656" s="81"/>
      <c r="F1656" s="81"/>
      <c r="G1656" s="81"/>
      <c r="H1656" s="81"/>
      <c r="I1656" s="81"/>
      <c r="J1656" s="81"/>
      <c r="K1656" s="81"/>
      <c r="L1656" s="81"/>
      <c r="M1656" s="81"/>
      <c r="N1656" s="81"/>
      <c r="O1656" s="81"/>
      <c r="P1656" s="81"/>
      <c r="Q1656" s="81"/>
      <c r="R1656" s="81"/>
      <c r="S1656" s="81"/>
      <c r="T1656" s="81"/>
      <c r="U1656" s="81"/>
      <c r="V1656" s="94"/>
      <c r="W1656" s="94"/>
    </row>
    <row r="1657" spans="1:23" ht="21" customHeight="1">
      <c r="A1657">
        <f>Table4[[#This Row],[Column1]]</f>
        <v>0</v>
      </c>
      <c r="B1657">
        <f>Table4[[#This Row],[Column2]]</f>
        <v>0</v>
      </c>
      <c r="C1657" s="81"/>
      <c r="D1657" s="81"/>
      <c r="E1657" s="81"/>
      <c r="F1657" s="81"/>
      <c r="G1657" s="81"/>
      <c r="H1657" s="81"/>
      <c r="I1657" s="81"/>
      <c r="J1657" s="81"/>
      <c r="K1657" s="81"/>
      <c r="L1657" s="81"/>
      <c r="M1657" s="81"/>
      <c r="N1657" s="81"/>
      <c r="O1657" s="81"/>
      <c r="P1657" s="81"/>
      <c r="Q1657" s="81"/>
      <c r="R1657" s="81"/>
      <c r="S1657" s="81"/>
      <c r="T1657" s="81"/>
      <c r="U1657" s="81"/>
      <c r="V1657" s="94"/>
      <c r="W1657" s="94"/>
    </row>
    <row r="1658" spans="1:23" ht="21" customHeight="1">
      <c r="A1658">
        <f>Table4[[#This Row],[Column1]]</f>
        <v>0</v>
      </c>
      <c r="B1658">
        <f>Table4[[#This Row],[Column2]]</f>
        <v>0</v>
      </c>
      <c r="C1658" s="81"/>
      <c r="D1658" s="81"/>
      <c r="E1658" s="81"/>
      <c r="F1658" s="81"/>
      <c r="G1658" s="81"/>
      <c r="H1658" s="81"/>
      <c r="I1658" s="81"/>
      <c r="J1658" s="81"/>
      <c r="K1658" s="81"/>
      <c r="L1658" s="81"/>
      <c r="M1658" s="81"/>
      <c r="N1658" s="81"/>
      <c r="O1658" s="81"/>
      <c r="P1658" s="81"/>
      <c r="Q1658" s="81"/>
      <c r="R1658" s="81"/>
      <c r="S1658" s="81"/>
      <c r="T1658" s="81"/>
      <c r="U1658" s="81"/>
      <c r="V1658" s="94"/>
      <c r="W1658" s="94"/>
    </row>
    <row r="1659" spans="1:23" ht="21" customHeight="1">
      <c r="A1659">
        <f>Table4[[#This Row],[Column1]]</f>
        <v>0</v>
      </c>
      <c r="B1659">
        <f>Table4[[#This Row],[Column2]]</f>
        <v>0</v>
      </c>
      <c r="C1659" s="81"/>
      <c r="D1659" s="81"/>
      <c r="E1659" s="81"/>
      <c r="F1659" s="81"/>
      <c r="G1659" s="81"/>
      <c r="H1659" s="81"/>
      <c r="I1659" s="81"/>
      <c r="J1659" s="81"/>
      <c r="K1659" s="81"/>
      <c r="L1659" s="81"/>
      <c r="M1659" s="81"/>
      <c r="N1659" s="81"/>
      <c r="O1659" s="81"/>
      <c r="P1659" s="81"/>
      <c r="Q1659" s="81"/>
      <c r="R1659" s="81"/>
      <c r="S1659" s="81"/>
      <c r="T1659" s="81"/>
      <c r="U1659" s="81"/>
      <c r="V1659" s="94"/>
      <c r="W1659" s="94"/>
    </row>
    <row r="1660" spans="1:23" ht="21" customHeight="1">
      <c r="A1660">
        <f>Table4[[#This Row],[Column1]]</f>
        <v>0</v>
      </c>
      <c r="B1660">
        <f>Table4[[#This Row],[Column2]]</f>
        <v>0</v>
      </c>
      <c r="C1660" s="81"/>
      <c r="D1660" s="81"/>
      <c r="E1660" s="81"/>
      <c r="F1660" s="81"/>
      <c r="G1660" s="81"/>
      <c r="H1660" s="81"/>
      <c r="I1660" s="81"/>
      <c r="J1660" s="81"/>
      <c r="K1660" s="81"/>
      <c r="L1660" s="81"/>
      <c r="M1660" s="81"/>
      <c r="N1660" s="81"/>
      <c r="O1660" s="81"/>
      <c r="P1660" s="81"/>
      <c r="Q1660" s="81"/>
      <c r="R1660" s="81"/>
      <c r="S1660" s="81"/>
      <c r="T1660" s="81"/>
      <c r="U1660" s="81"/>
      <c r="V1660" s="94"/>
      <c r="W1660" s="94"/>
    </row>
    <row r="1661" spans="1:23" ht="21" customHeight="1">
      <c r="A1661">
        <f>Table4[[#This Row],[Column1]]</f>
        <v>0</v>
      </c>
      <c r="B1661">
        <f>Table4[[#This Row],[Column2]]</f>
        <v>0</v>
      </c>
      <c r="C1661" s="81"/>
      <c r="D1661" s="81"/>
      <c r="E1661" s="81"/>
      <c r="F1661" s="81"/>
      <c r="G1661" s="81"/>
      <c r="H1661" s="81"/>
      <c r="I1661" s="81"/>
      <c r="J1661" s="81"/>
      <c r="K1661" s="81"/>
      <c r="L1661" s="81"/>
      <c r="M1661" s="81"/>
      <c r="N1661" s="81"/>
      <c r="O1661" s="81"/>
      <c r="P1661" s="81"/>
      <c r="Q1661" s="81"/>
      <c r="R1661" s="81"/>
      <c r="S1661" s="81"/>
      <c r="T1661" s="81"/>
      <c r="U1661" s="81"/>
      <c r="V1661" s="94"/>
      <c r="W1661" s="94"/>
    </row>
    <row r="1662" spans="1:23" ht="21" customHeight="1">
      <c r="A1662">
        <f>Table4[[#This Row],[Column1]]</f>
        <v>0</v>
      </c>
      <c r="B1662">
        <f>Table4[[#This Row],[Column2]]</f>
        <v>0</v>
      </c>
      <c r="C1662" s="81"/>
      <c r="D1662" s="81"/>
      <c r="E1662" s="81"/>
      <c r="F1662" s="81"/>
      <c r="G1662" s="81"/>
      <c r="H1662" s="81"/>
      <c r="I1662" s="81"/>
      <c r="J1662" s="81"/>
      <c r="K1662" s="81"/>
      <c r="L1662" s="81"/>
      <c r="M1662" s="81"/>
      <c r="N1662" s="81"/>
      <c r="O1662" s="81"/>
      <c r="P1662" s="81"/>
      <c r="Q1662" s="81"/>
      <c r="R1662" s="81"/>
      <c r="S1662" s="81"/>
      <c r="T1662" s="81"/>
      <c r="U1662" s="81"/>
      <c r="V1662" s="94"/>
      <c r="W1662" s="94"/>
    </row>
    <row r="1663" spans="1:23" ht="21" customHeight="1">
      <c r="A1663">
        <f>Table4[[#This Row],[Column1]]</f>
        <v>0</v>
      </c>
      <c r="B1663">
        <f>Table4[[#This Row],[Column2]]</f>
        <v>0</v>
      </c>
      <c r="C1663" s="81"/>
      <c r="D1663" s="81"/>
      <c r="E1663" s="81"/>
      <c r="F1663" s="81"/>
      <c r="G1663" s="81"/>
      <c r="H1663" s="81"/>
      <c r="I1663" s="81"/>
      <c r="J1663" s="81"/>
      <c r="K1663" s="81"/>
      <c r="L1663" s="81"/>
      <c r="M1663" s="81"/>
      <c r="N1663" s="81"/>
      <c r="O1663" s="81"/>
      <c r="P1663" s="81"/>
      <c r="Q1663" s="81"/>
      <c r="R1663" s="81"/>
      <c r="S1663" s="81"/>
      <c r="T1663" s="81"/>
      <c r="U1663" s="81"/>
      <c r="V1663" s="94"/>
      <c r="W1663" s="94"/>
    </row>
    <row r="1664" spans="1:23" ht="21" customHeight="1">
      <c r="A1664">
        <f>Table4[[#This Row],[Column1]]</f>
        <v>0</v>
      </c>
      <c r="B1664">
        <f>Table4[[#This Row],[Column2]]</f>
        <v>0</v>
      </c>
      <c r="C1664" s="81"/>
      <c r="D1664" s="81"/>
      <c r="E1664" s="81"/>
      <c r="F1664" s="81"/>
      <c r="G1664" s="81"/>
      <c r="H1664" s="81"/>
      <c r="I1664" s="81"/>
      <c r="J1664" s="81"/>
      <c r="K1664" s="81"/>
      <c r="L1664" s="81"/>
      <c r="M1664" s="81"/>
      <c r="N1664" s="81"/>
      <c r="O1664" s="81"/>
      <c r="P1664" s="81"/>
      <c r="Q1664" s="81"/>
      <c r="R1664" s="81"/>
      <c r="S1664" s="81"/>
      <c r="T1664" s="81"/>
      <c r="U1664" s="81"/>
      <c r="V1664" s="94"/>
      <c r="W1664" s="94"/>
    </row>
    <row r="1665" spans="1:23" ht="21" customHeight="1">
      <c r="A1665">
        <f>Table4[[#This Row],[Column1]]</f>
        <v>0</v>
      </c>
      <c r="B1665">
        <f>Table4[[#This Row],[Column2]]</f>
        <v>0</v>
      </c>
      <c r="C1665" s="81"/>
      <c r="D1665" s="81"/>
      <c r="E1665" s="81"/>
      <c r="F1665" s="81"/>
      <c r="G1665" s="81"/>
      <c r="H1665" s="81"/>
      <c r="I1665" s="81"/>
      <c r="J1665" s="81"/>
      <c r="K1665" s="81"/>
      <c r="L1665" s="81"/>
      <c r="M1665" s="81"/>
      <c r="N1665" s="81"/>
      <c r="O1665" s="81"/>
      <c r="P1665" s="81"/>
      <c r="Q1665" s="81"/>
      <c r="R1665" s="81"/>
      <c r="S1665" s="81"/>
      <c r="T1665" s="81"/>
      <c r="U1665" s="81"/>
      <c r="V1665" s="94"/>
      <c r="W1665" s="94"/>
    </row>
    <row r="1666" spans="1:23" ht="21" customHeight="1">
      <c r="A1666">
        <f>Table4[[#This Row],[Column1]]</f>
        <v>0</v>
      </c>
      <c r="B1666">
        <f>Table4[[#This Row],[Column2]]</f>
        <v>0</v>
      </c>
      <c r="C1666" s="81"/>
      <c r="D1666" s="81"/>
      <c r="E1666" s="81"/>
      <c r="F1666" s="81"/>
      <c r="G1666" s="81"/>
      <c r="H1666" s="81"/>
      <c r="I1666" s="81"/>
      <c r="J1666" s="81"/>
      <c r="K1666" s="81"/>
      <c r="L1666" s="81"/>
      <c r="M1666" s="81"/>
      <c r="N1666" s="81"/>
      <c r="O1666" s="81"/>
      <c r="P1666" s="81"/>
      <c r="Q1666" s="81"/>
      <c r="R1666" s="81"/>
      <c r="S1666" s="81"/>
      <c r="T1666" s="81"/>
      <c r="U1666" s="81"/>
      <c r="V1666" s="94"/>
      <c r="W1666" s="94"/>
    </row>
    <row r="1667" spans="1:23" ht="21" customHeight="1">
      <c r="A1667">
        <f>Table4[[#This Row],[Column1]]</f>
        <v>0</v>
      </c>
      <c r="B1667">
        <f>Table4[[#This Row],[Column2]]</f>
        <v>0</v>
      </c>
      <c r="C1667" s="81"/>
      <c r="D1667" s="81"/>
      <c r="E1667" s="81"/>
      <c r="F1667" s="81"/>
      <c r="G1667" s="81"/>
      <c r="H1667" s="81"/>
      <c r="I1667" s="81"/>
      <c r="J1667" s="81"/>
      <c r="K1667" s="81"/>
      <c r="L1667" s="81"/>
      <c r="M1667" s="81"/>
      <c r="N1667" s="81"/>
      <c r="O1667" s="81"/>
      <c r="P1667" s="81"/>
      <c r="Q1667" s="81"/>
      <c r="R1667" s="81"/>
      <c r="S1667" s="81"/>
      <c r="T1667" s="81"/>
      <c r="U1667" s="81"/>
      <c r="V1667" s="94"/>
      <c r="W1667" s="94"/>
    </row>
    <row r="1668" spans="1:23" ht="21" customHeight="1">
      <c r="A1668">
        <f>Table4[[#This Row],[Column1]]</f>
        <v>0</v>
      </c>
      <c r="B1668">
        <f>Table4[[#This Row],[Column2]]</f>
        <v>0</v>
      </c>
      <c r="C1668" s="81"/>
      <c r="D1668" s="81"/>
      <c r="E1668" s="81"/>
      <c r="F1668" s="81"/>
      <c r="G1668" s="81"/>
      <c r="H1668" s="81"/>
      <c r="I1668" s="81"/>
      <c r="J1668" s="81"/>
      <c r="K1668" s="81"/>
      <c r="L1668" s="81"/>
      <c r="M1668" s="81"/>
      <c r="N1668" s="81"/>
      <c r="O1668" s="81"/>
      <c r="P1668" s="81"/>
      <c r="Q1668" s="81"/>
      <c r="R1668" s="81"/>
      <c r="S1668" s="81"/>
      <c r="T1668" s="81"/>
      <c r="U1668" s="81"/>
      <c r="V1668" s="94"/>
      <c r="W1668" s="94"/>
    </row>
    <row r="1669" spans="1:23" ht="21" customHeight="1">
      <c r="A1669">
        <f>Table4[[#This Row],[Column1]]</f>
        <v>0</v>
      </c>
      <c r="B1669">
        <f>Table4[[#This Row],[Column2]]</f>
        <v>0</v>
      </c>
      <c r="C1669" s="81"/>
      <c r="D1669" s="81"/>
      <c r="E1669" s="81"/>
      <c r="F1669" s="81"/>
      <c r="G1669" s="81"/>
      <c r="H1669" s="81"/>
      <c r="I1669" s="81"/>
      <c r="J1669" s="81"/>
      <c r="K1669" s="81"/>
      <c r="L1669" s="81"/>
      <c r="M1669" s="81"/>
      <c r="N1669" s="81"/>
      <c r="O1669" s="81"/>
      <c r="P1669" s="81"/>
      <c r="Q1669" s="81"/>
      <c r="R1669" s="81"/>
      <c r="S1669" s="81"/>
      <c r="T1669" s="81"/>
      <c r="U1669" s="81"/>
      <c r="V1669" s="94"/>
      <c r="W1669" s="94"/>
    </row>
    <row r="1670" spans="1:23" ht="21" customHeight="1">
      <c r="A1670">
        <f>Table4[[#This Row],[Column1]]</f>
        <v>0</v>
      </c>
      <c r="B1670">
        <f>Table4[[#This Row],[Column2]]</f>
        <v>0</v>
      </c>
      <c r="C1670" s="81"/>
      <c r="D1670" s="81"/>
      <c r="E1670" s="81"/>
      <c r="F1670" s="81"/>
      <c r="G1670" s="81"/>
      <c r="H1670" s="81"/>
      <c r="I1670" s="81"/>
      <c r="J1670" s="81"/>
      <c r="K1670" s="81"/>
      <c r="L1670" s="81"/>
      <c r="M1670" s="81"/>
      <c r="N1670" s="81"/>
      <c r="O1670" s="81"/>
      <c r="P1670" s="81"/>
      <c r="Q1670" s="81"/>
      <c r="R1670" s="81"/>
      <c r="S1670" s="81"/>
      <c r="T1670" s="81"/>
      <c r="U1670" s="81"/>
      <c r="V1670" s="94"/>
      <c r="W1670" s="94"/>
    </row>
    <row r="1671" spans="1:23" ht="21" customHeight="1">
      <c r="A1671">
        <f>Table4[[#This Row],[Column1]]</f>
        <v>0</v>
      </c>
      <c r="B1671">
        <f>Table4[[#This Row],[Column2]]</f>
        <v>0</v>
      </c>
      <c r="C1671" s="81"/>
      <c r="D1671" s="81"/>
      <c r="E1671" s="81"/>
      <c r="F1671" s="81"/>
      <c r="G1671" s="81"/>
      <c r="H1671" s="81"/>
      <c r="I1671" s="81"/>
      <c r="J1671" s="81"/>
      <c r="K1671" s="81"/>
      <c r="L1671" s="81"/>
      <c r="M1671" s="81"/>
      <c r="N1671" s="81"/>
      <c r="O1671" s="81"/>
      <c r="P1671" s="81"/>
      <c r="Q1671" s="81"/>
      <c r="R1671" s="81"/>
      <c r="S1671" s="81"/>
      <c r="T1671" s="81"/>
      <c r="U1671" s="81"/>
      <c r="V1671" s="94"/>
      <c r="W1671" s="94"/>
    </row>
    <row r="1672" spans="1:23" ht="21" customHeight="1">
      <c r="A1672">
        <f>Table4[[#This Row],[Column1]]</f>
        <v>0</v>
      </c>
      <c r="B1672">
        <f>Table4[[#This Row],[Column2]]</f>
        <v>0</v>
      </c>
      <c r="C1672" s="81"/>
      <c r="D1672" s="81"/>
      <c r="E1672" s="81"/>
      <c r="F1672" s="81"/>
      <c r="G1672" s="81"/>
      <c r="H1672" s="81"/>
      <c r="I1672" s="81"/>
      <c r="J1672" s="81"/>
      <c r="K1672" s="81"/>
      <c r="L1672" s="81"/>
      <c r="M1672" s="81"/>
      <c r="N1672" s="81"/>
      <c r="O1672" s="81"/>
      <c r="P1672" s="81"/>
      <c r="Q1672" s="81"/>
      <c r="R1672" s="81"/>
      <c r="S1672" s="81"/>
      <c r="T1672" s="81"/>
      <c r="U1672" s="81"/>
      <c r="V1672" s="94"/>
      <c r="W1672" s="94"/>
    </row>
    <row r="1673" spans="1:23" ht="21" customHeight="1">
      <c r="A1673">
        <f>Table4[[#This Row],[Column1]]</f>
        <v>0</v>
      </c>
      <c r="B1673">
        <f>Table4[[#This Row],[Column2]]</f>
        <v>0</v>
      </c>
      <c r="C1673" s="81"/>
      <c r="D1673" s="81"/>
      <c r="E1673" s="81"/>
      <c r="F1673" s="81"/>
      <c r="G1673" s="81"/>
      <c r="H1673" s="81"/>
      <c r="I1673" s="81"/>
      <c r="J1673" s="81"/>
      <c r="K1673" s="81"/>
      <c r="L1673" s="81"/>
      <c r="M1673" s="81"/>
      <c r="N1673" s="81"/>
      <c r="O1673" s="81"/>
      <c r="P1673" s="81"/>
      <c r="Q1673" s="81"/>
      <c r="R1673" s="81"/>
      <c r="S1673" s="81"/>
      <c r="T1673" s="81"/>
      <c r="U1673" s="81"/>
      <c r="V1673" s="94"/>
      <c r="W1673" s="94"/>
    </row>
    <row r="1674" spans="1:23" ht="21" customHeight="1">
      <c r="A1674">
        <f>Table4[[#This Row],[Column1]]</f>
        <v>0</v>
      </c>
      <c r="B1674">
        <f>Table4[[#This Row],[Column2]]</f>
        <v>0</v>
      </c>
      <c r="C1674" s="81"/>
      <c r="D1674" s="81"/>
      <c r="E1674" s="81"/>
      <c r="F1674" s="81"/>
      <c r="G1674" s="81"/>
      <c r="H1674" s="81"/>
      <c r="I1674" s="81"/>
      <c r="J1674" s="81"/>
      <c r="K1674" s="81"/>
      <c r="L1674" s="81"/>
      <c r="M1674" s="81"/>
      <c r="N1674" s="81"/>
      <c r="O1674" s="81"/>
      <c r="P1674" s="81"/>
      <c r="Q1674" s="81"/>
      <c r="R1674" s="81"/>
      <c r="S1674" s="81"/>
      <c r="T1674" s="81"/>
      <c r="U1674" s="81"/>
      <c r="V1674" s="94"/>
      <c r="W1674" s="94"/>
    </row>
    <row r="1675" spans="1:23" ht="21" customHeight="1">
      <c r="A1675">
        <f>Table4[[#This Row],[Column1]]</f>
        <v>0</v>
      </c>
      <c r="B1675">
        <f>Table4[[#This Row],[Column2]]</f>
        <v>0</v>
      </c>
      <c r="C1675" s="81"/>
      <c r="D1675" s="81"/>
      <c r="E1675" s="81"/>
      <c r="F1675" s="81"/>
      <c r="G1675" s="81"/>
      <c r="H1675" s="81"/>
      <c r="I1675" s="81"/>
      <c r="J1675" s="81"/>
      <c r="K1675" s="81"/>
      <c r="L1675" s="81"/>
      <c r="M1675" s="81"/>
      <c r="N1675" s="81"/>
      <c r="O1675" s="81"/>
      <c r="P1675" s="81"/>
      <c r="Q1675" s="81"/>
      <c r="R1675" s="81"/>
      <c r="S1675" s="81"/>
      <c r="T1675" s="81"/>
      <c r="U1675" s="81"/>
      <c r="V1675" s="94"/>
      <c r="W1675" s="94"/>
    </row>
    <row r="1676" spans="1:23" ht="21" customHeight="1">
      <c r="A1676">
        <f>Table4[[#This Row],[Column1]]</f>
        <v>0</v>
      </c>
      <c r="B1676">
        <f>Table4[[#This Row],[Column2]]</f>
        <v>0</v>
      </c>
      <c r="C1676" s="81"/>
      <c r="D1676" s="81"/>
      <c r="E1676" s="81"/>
      <c r="F1676" s="81"/>
      <c r="G1676" s="81"/>
      <c r="H1676" s="81"/>
      <c r="I1676" s="81"/>
      <c r="J1676" s="81"/>
      <c r="K1676" s="81"/>
      <c r="L1676" s="81"/>
      <c r="M1676" s="81"/>
      <c r="N1676" s="81"/>
      <c r="O1676" s="81"/>
      <c r="P1676" s="81"/>
      <c r="Q1676" s="81"/>
      <c r="R1676" s="81"/>
      <c r="S1676" s="81"/>
      <c r="T1676" s="81"/>
      <c r="U1676" s="81"/>
      <c r="V1676" s="94"/>
      <c r="W1676" s="94"/>
    </row>
    <row r="1677" spans="1:23" ht="21" customHeight="1">
      <c r="A1677">
        <f>Table4[[#This Row],[Column1]]</f>
        <v>0</v>
      </c>
      <c r="B1677">
        <f>Table4[[#This Row],[Column2]]</f>
        <v>0</v>
      </c>
      <c r="C1677" s="81"/>
      <c r="D1677" s="81"/>
      <c r="E1677" s="81"/>
      <c r="F1677" s="81"/>
      <c r="G1677" s="81"/>
      <c r="H1677" s="81"/>
      <c r="I1677" s="81"/>
      <c r="J1677" s="81"/>
      <c r="K1677" s="81"/>
      <c r="L1677" s="81"/>
      <c r="M1677" s="81"/>
      <c r="N1677" s="81"/>
      <c r="O1677" s="81"/>
      <c r="P1677" s="81"/>
      <c r="Q1677" s="81"/>
      <c r="R1677" s="81"/>
      <c r="S1677" s="81"/>
      <c r="T1677" s="81"/>
      <c r="U1677" s="81"/>
      <c r="V1677" s="94"/>
      <c r="W1677" s="94"/>
    </row>
    <row r="1678" spans="1:23" ht="21" customHeight="1">
      <c r="A1678">
        <f>Table4[[#This Row],[Column1]]</f>
        <v>0</v>
      </c>
      <c r="B1678">
        <f>Table4[[#This Row],[Column2]]</f>
        <v>0</v>
      </c>
      <c r="C1678" s="81"/>
      <c r="D1678" s="81"/>
      <c r="E1678" s="81"/>
      <c r="F1678" s="81"/>
      <c r="G1678" s="81"/>
      <c r="H1678" s="81"/>
      <c r="I1678" s="81"/>
      <c r="J1678" s="81"/>
      <c r="K1678" s="81"/>
      <c r="L1678" s="81"/>
      <c r="M1678" s="81"/>
      <c r="N1678" s="81"/>
      <c r="O1678" s="81"/>
      <c r="P1678" s="81"/>
      <c r="Q1678" s="81"/>
      <c r="R1678" s="81"/>
      <c r="S1678" s="81"/>
      <c r="T1678" s="81"/>
      <c r="U1678" s="81"/>
      <c r="V1678" s="94"/>
      <c r="W1678" s="94"/>
    </row>
    <row r="1679" spans="1:23" ht="21" customHeight="1">
      <c r="A1679">
        <f>Table4[[#This Row],[Column1]]</f>
        <v>0</v>
      </c>
      <c r="B1679">
        <f>Table4[[#This Row],[Column2]]</f>
        <v>0</v>
      </c>
      <c r="C1679" s="81"/>
      <c r="D1679" s="81"/>
      <c r="E1679" s="81"/>
      <c r="F1679" s="81"/>
      <c r="G1679" s="81"/>
      <c r="H1679" s="81"/>
      <c r="I1679" s="81"/>
      <c r="J1679" s="81"/>
      <c r="K1679" s="81"/>
      <c r="L1679" s="81"/>
      <c r="M1679" s="81"/>
      <c r="N1679" s="81"/>
      <c r="O1679" s="81"/>
      <c r="P1679" s="81"/>
      <c r="Q1679" s="81"/>
      <c r="R1679" s="81"/>
      <c r="S1679" s="81"/>
      <c r="T1679" s="81"/>
      <c r="U1679" s="81"/>
      <c r="V1679" s="94"/>
      <c r="W1679" s="94"/>
    </row>
    <row r="1680" spans="1:23" ht="21" customHeight="1">
      <c r="A1680">
        <f>Table4[[#This Row],[Column1]]</f>
        <v>0</v>
      </c>
      <c r="B1680">
        <f>Table4[[#This Row],[Column2]]</f>
        <v>0</v>
      </c>
      <c r="C1680" s="81"/>
      <c r="D1680" s="81"/>
      <c r="E1680" s="81"/>
      <c r="F1680" s="81"/>
      <c r="G1680" s="81"/>
      <c r="H1680" s="81"/>
      <c r="I1680" s="81"/>
      <c r="J1680" s="81"/>
      <c r="K1680" s="81"/>
      <c r="L1680" s="81"/>
      <c r="M1680" s="81"/>
      <c r="N1680" s="81"/>
      <c r="O1680" s="81"/>
      <c r="P1680" s="81"/>
      <c r="Q1680" s="81"/>
      <c r="R1680" s="81"/>
      <c r="S1680" s="81"/>
      <c r="T1680" s="81"/>
      <c r="U1680" s="81"/>
      <c r="V1680" s="94"/>
      <c r="W1680" s="94"/>
    </row>
    <row r="1681" spans="1:23" ht="21" customHeight="1">
      <c r="A1681">
        <f>Table4[[#This Row],[Column1]]</f>
        <v>0</v>
      </c>
      <c r="B1681">
        <f>Table4[[#This Row],[Column2]]</f>
        <v>0</v>
      </c>
      <c r="C1681" s="81"/>
      <c r="D1681" s="81"/>
      <c r="E1681" s="81"/>
      <c r="F1681" s="81"/>
      <c r="G1681" s="81"/>
      <c r="H1681" s="81"/>
      <c r="I1681" s="81"/>
      <c r="J1681" s="81"/>
      <c r="K1681" s="81"/>
      <c r="L1681" s="81"/>
      <c r="M1681" s="81"/>
      <c r="N1681" s="81"/>
      <c r="O1681" s="81"/>
      <c r="P1681" s="81"/>
      <c r="Q1681" s="81"/>
      <c r="R1681" s="81"/>
      <c r="S1681" s="81"/>
      <c r="T1681" s="81"/>
      <c r="U1681" s="81"/>
      <c r="V1681" s="94"/>
      <c r="W1681" s="94"/>
    </row>
    <row r="1682" spans="1:23" ht="21" customHeight="1">
      <c r="A1682">
        <f>Table4[[#This Row],[Column1]]</f>
        <v>0</v>
      </c>
      <c r="B1682">
        <f>Table4[[#This Row],[Column2]]</f>
        <v>0</v>
      </c>
      <c r="C1682" s="81"/>
      <c r="D1682" s="81"/>
      <c r="E1682" s="81"/>
      <c r="F1682" s="81"/>
      <c r="G1682" s="81"/>
      <c r="H1682" s="81"/>
      <c r="I1682" s="81"/>
      <c r="J1682" s="81"/>
      <c r="K1682" s="81"/>
      <c r="L1682" s="81"/>
      <c r="M1682" s="81"/>
      <c r="N1682" s="81"/>
      <c r="O1682" s="81"/>
      <c r="P1682" s="81"/>
      <c r="Q1682" s="81"/>
      <c r="R1682" s="81"/>
      <c r="S1682" s="81"/>
      <c r="T1682" s="81"/>
      <c r="U1682" s="81"/>
      <c r="V1682" s="94"/>
      <c r="W1682" s="94"/>
    </row>
    <row r="1683" spans="1:23" ht="21" customHeight="1">
      <c r="A1683">
        <f>Table4[[#This Row],[Column1]]</f>
        <v>0</v>
      </c>
      <c r="B1683">
        <f>Table4[[#This Row],[Column2]]</f>
        <v>0</v>
      </c>
      <c r="C1683" s="81"/>
      <c r="D1683" s="81"/>
      <c r="E1683" s="81"/>
      <c r="F1683" s="81"/>
      <c r="G1683" s="81"/>
      <c r="H1683" s="81"/>
      <c r="I1683" s="81"/>
      <c r="J1683" s="81"/>
      <c r="K1683" s="81"/>
      <c r="L1683" s="81"/>
      <c r="M1683" s="81"/>
      <c r="N1683" s="81"/>
      <c r="O1683" s="81"/>
      <c r="P1683" s="81"/>
      <c r="Q1683" s="81"/>
      <c r="R1683" s="81"/>
      <c r="S1683" s="81"/>
      <c r="T1683" s="81"/>
      <c r="U1683" s="81"/>
      <c r="V1683" s="94"/>
      <c r="W1683" s="94"/>
    </row>
    <row r="1684" spans="1:23" ht="21" customHeight="1">
      <c r="A1684">
        <f>Table4[[#This Row],[Column1]]</f>
        <v>0</v>
      </c>
      <c r="B1684">
        <f>Table4[[#This Row],[Column2]]</f>
        <v>0</v>
      </c>
      <c r="C1684" s="81"/>
      <c r="D1684" s="81"/>
      <c r="E1684" s="81"/>
      <c r="F1684" s="81"/>
      <c r="G1684" s="81"/>
      <c r="H1684" s="81"/>
      <c r="I1684" s="81"/>
      <c r="J1684" s="81"/>
      <c r="K1684" s="81"/>
      <c r="L1684" s="81"/>
      <c r="M1684" s="81"/>
      <c r="N1684" s="81"/>
      <c r="O1684" s="81"/>
      <c r="P1684" s="81"/>
      <c r="Q1684" s="81"/>
      <c r="R1684" s="81"/>
      <c r="S1684" s="81"/>
      <c r="T1684" s="81"/>
      <c r="U1684" s="81"/>
      <c r="V1684" s="94"/>
      <c r="W1684" s="94"/>
    </row>
    <row r="1685" spans="1:23" ht="21" customHeight="1">
      <c r="A1685">
        <f>Table4[[#This Row],[Column1]]</f>
        <v>0</v>
      </c>
      <c r="B1685">
        <f>Table4[[#This Row],[Column2]]</f>
        <v>0</v>
      </c>
      <c r="C1685" s="81"/>
      <c r="D1685" s="81"/>
      <c r="E1685" s="81"/>
      <c r="F1685" s="81"/>
      <c r="G1685" s="81"/>
      <c r="H1685" s="81"/>
      <c r="I1685" s="81"/>
      <c r="J1685" s="81"/>
      <c r="K1685" s="81"/>
      <c r="L1685" s="81"/>
      <c r="M1685" s="81"/>
      <c r="N1685" s="81"/>
      <c r="O1685" s="81"/>
      <c r="P1685" s="81"/>
      <c r="Q1685" s="81"/>
      <c r="R1685" s="81"/>
      <c r="S1685" s="81"/>
      <c r="T1685" s="81"/>
      <c r="U1685" s="81"/>
      <c r="V1685" s="94"/>
      <c r="W1685" s="94"/>
    </row>
    <row r="1686" spans="1:23" ht="21" customHeight="1">
      <c r="A1686">
        <f>Table4[[#This Row],[Column1]]</f>
        <v>0</v>
      </c>
      <c r="B1686">
        <f>Table4[[#This Row],[Column2]]</f>
        <v>0</v>
      </c>
      <c r="C1686" s="81"/>
      <c r="D1686" s="81"/>
      <c r="E1686" s="81"/>
      <c r="F1686" s="81"/>
      <c r="G1686" s="81"/>
      <c r="H1686" s="81"/>
      <c r="I1686" s="81"/>
      <c r="J1686" s="81"/>
      <c r="K1686" s="81"/>
      <c r="L1686" s="81"/>
      <c r="M1686" s="81"/>
      <c r="N1686" s="81"/>
      <c r="O1686" s="81"/>
      <c r="P1686" s="81"/>
      <c r="Q1686" s="81"/>
      <c r="R1686" s="81"/>
      <c r="S1686" s="81"/>
      <c r="T1686" s="81"/>
      <c r="U1686" s="81"/>
      <c r="V1686" s="94"/>
      <c r="W1686" s="94"/>
    </row>
    <row r="1687" spans="1:23" ht="21" customHeight="1">
      <c r="A1687">
        <f>Table4[[#This Row],[Column1]]</f>
        <v>0</v>
      </c>
      <c r="B1687">
        <f>Table4[[#This Row],[Column2]]</f>
        <v>0</v>
      </c>
      <c r="C1687" s="81"/>
      <c r="D1687" s="81"/>
      <c r="E1687" s="81"/>
      <c r="F1687" s="81"/>
      <c r="G1687" s="81"/>
      <c r="H1687" s="81"/>
      <c r="I1687" s="81"/>
      <c r="J1687" s="81"/>
      <c r="K1687" s="81"/>
      <c r="L1687" s="81"/>
      <c r="M1687" s="81"/>
      <c r="N1687" s="81"/>
      <c r="O1687" s="81"/>
      <c r="P1687" s="81"/>
      <c r="Q1687" s="81"/>
      <c r="R1687" s="81"/>
      <c r="S1687" s="81"/>
      <c r="T1687" s="81"/>
      <c r="U1687" s="81"/>
      <c r="V1687" s="94"/>
      <c r="W1687" s="94"/>
    </row>
    <row r="1688" spans="1:23" ht="21" customHeight="1">
      <c r="A1688">
        <f>Table4[[#This Row],[Column1]]</f>
        <v>0</v>
      </c>
      <c r="B1688">
        <f>Table4[[#This Row],[Column2]]</f>
        <v>0</v>
      </c>
      <c r="C1688" s="81"/>
      <c r="D1688" s="81"/>
      <c r="E1688" s="81"/>
      <c r="F1688" s="81"/>
      <c r="G1688" s="81"/>
      <c r="H1688" s="81"/>
      <c r="I1688" s="81"/>
      <c r="J1688" s="81"/>
      <c r="K1688" s="81"/>
      <c r="L1688" s="81"/>
      <c r="M1688" s="81"/>
      <c r="N1688" s="81"/>
      <c r="O1688" s="81"/>
      <c r="P1688" s="81"/>
      <c r="Q1688" s="81"/>
      <c r="R1688" s="81"/>
      <c r="S1688" s="81"/>
      <c r="T1688" s="81"/>
      <c r="U1688" s="81"/>
      <c r="V1688" s="94"/>
      <c r="W1688" s="94"/>
    </row>
    <row r="1689" spans="1:23" ht="21" customHeight="1">
      <c r="A1689">
        <f>Table4[[#This Row],[Column1]]</f>
        <v>0</v>
      </c>
      <c r="B1689">
        <f>Table4[[#This Row],[Column2]]</f>
        <v>0</v>
      </c>
      <c r="C1689" s="81"/>
      <c r="D1689" s="81"/>
      <c r="E1689" s="81"/>
      <c r="F1689" s="81"/>
      <c r="G1689" s="81"/>
      <c r="H1689" s="81"/>
      <c r="I1689" s="81"/>
      <c r="J1689" s="81"/>
      <c r="K1689" s="81"/>
      <c r="L1689" s="81"/>
      <c r="M1689" s="81"/>
      <c r="N1689" s="81"/>
      <c r="O1689" s="81"/>
      <c r="P1689" s="81"/>
      <c r="Q1689" s="81"/>
      <c r="R1689" s="81"/>
      <c r="S1689" s="81"/>
      <c r="T1689" s="81"/>
      <c r="U1689" s="81"/>
      <c r="V1689" s="94"/>
      <c r="W1689" s="94"/>
    </row>
    <row r="1690" spans="1:23" ht="21" customHeight="1">
      <c r="A1690">
        <f>Table4[[#This Row],[Column1]]</f>
        <v>0</v>
      </c>
      <c r="B1690">
        <f>Table4[[#This Row],[Column2]]</f>
        <v>0</v>
      </c>
      <c r="C1690" s="81"/>
      <c r="D1690" s="81"/>
      <c r="E1690" s="81"/>
      <c r="F1690" s="81"/>
      <c r="G1690" s="81"/>
      <c r="H1690" s="81"/>
      <c r="I1690" s="81"/>
      <c r="J1690" s="81"/>
      <c r="K1690" s="81"/>
      <c r="L1690" s="81"/>
      <c r="M1690" s="81"/>
      <c r="N1690" s="81"/>
      <c r="O1690" s="81"/>
      <c r="P1690" s="81"/>
      <c r="Q1690" s="81"/>
      <c r="R1690" s="81"/>
      <c r="S1690" s="81"/>
      <c r="T1690" s="81"/>
      <c r="U1690" s="81"/>
      <c r="V1690" s="94"/>
      <c r="W1690" s="94"/>
    </row>
    <row r="1691" spans="1:23" ht="21" customHeight="1">
      <c r="A1691">
        <f>Table4[[#This Row],[Column1]]</f>
        <v>0</v>
      </c>
      <c r="B1691">
        <f>Table4[[#This Row],[Column2]]</f>
        <v>0</v>
      </c>
      <c r="C1691" s="81"/>
      <c r="D1691" s="81"/>
      <c r="E1691" s="81"/>
      <c r="F1691" s="81"/>
      <c r="G1691" s="81"/>
      <c r="H1691" s="81"/>
      <c r="I1691" s="81"/>
      <c r="J1691" s="81"/>
      <c r="K1691" s="81"/>
      <c r="L1691" s="81"/>
      <c r="M1691" s="81"/>
      <c r="N1691" s="81"/>
      <c r="O1691" s="81"/>
      <c r="P1691" s="81"/>
      <c r="Q1691" s="81"/>
      <c r="R1691" s="81"/>
      <c r="S1691" s="81"/>
      <c r="T1691" s="81"/>
      <c r="U1691" s="81"/>
      <c r="V1691" s="94"/>
      <c r="W1691" s="94"/>
    </row>
    <row r="1692" spans="1:23" ht="21" customHeight="1">
      <c r="A1692">
        <f>Table4[[#This Row],[Column1]]</f>
        <v>0</v>
      </c>
      <c r="B1692">
        <f>Table4[[#This Row],[Column2]]</f>
        <v>0</v>
      </c>
      <c r="C1692" s="81"/>
      <c r="D1692" s="81"/>
      <c r="E1692" s="81"/>
      <c r="F1692" s="81"/>
      <c r="G1692" s="81"/>
      <c r="H1692" s="81"/>
      <c r="I1692" s="81"/>
      <c r="J1692" s="81"/>
      <c r="K1692" s="81"/>
      <c r="L1692" s="81"/>
      <c r="M1692" s="81"/>
      <c r="N1692" s="81"/>
      <c r="O1692" s="81"/>
      <c r="P1692" s="81"/>
      <c r="Q1692" s="81"/>
      <c r="R1692" s="81"/>
      <c r="S1692" s="81"/>
      <c r="T1692" s="81"/>
      <c r="U1692" s="81"/>
      <c r="V1692" s="94"/>
      <c r="W1692" s="94"/>
    </row>
    <row r="1693" spans="1:23" ht="21" customHeight="1">
      <c r="A1693">
        <f>Table4[[#This Row],[Column1]]</f>
        <v>0</v>
      </c>
      <c r="B1693">
        <f>Table4[[#This Row],[Column2]]</f>
        <v>0</v>
      </c>
      <c r="C1693" s="81"/>
      <c r="D1693" s="81"/>
      <c r="E1693" s="81"/>
      <c r="F1693" s="81"/>
      <c r="G1693" s="81"/>
      <c r="H1693" s="81"/>
      <c r="I1693" s="81"/>
      <c r="J1693" s="81"/>
      <c r="K1693" s="81"/>
      <c r="L1693" s="81"/>
      <c r="M1693" s="81"/>
      <c r="N1693" s="81"/>
      <c r="O1693" s="81"/>
      <c r="P1693" s="81"/>
      <c r="Q1693" s="81"/>
      <c r="R1693" s="81"/>
      <c r="S1693" s="81"/>
      <c r="T1693" s="81"/>
      <c r="U1693" s="81"/>
      <c r="V1693" s="94"/>
      <c r="W1693" s="94"/>
    </row>
    <row r="1694" spans="1:23" ht="21" customHeight="1">
      <c r="A1694">
        <f>Table4[[#This Row],[Column1]]</f>
        <v>0</v>
      </c>
      <c r="B1694">
        <f>Table4[[#This Row],[Column2]]</f>
        <v>0</v>
      </c>
      <c r="C1694" s="81"/>
      <c r="D1694" s="81"/>
      <c r="E1694" s="81"/>
      <c r="F1694" s="81"/>
      <c r="G1694" s="81"/>
      <c r="H1694" s="81"/>
      <c r="I1694" s="81"/>
      <c r="J1694" s="81"/>
      <c r="K1694" s="81"/>
      <c r="L1694" s="81"/>
      <c r="M1694" s="81"/>
      <c r="N1694" s="81"/>
      <c r="O1694" s="81"/>
      <c r="P1694" s="81"/>
      <c r="Q1694" s="81"/>
      <c r="R1694" s="81"/>
      <c r="S1694" s="81"/>
      <c r="T1694" s="81"/>
      <c r="U1694" s="81"/>
      <c r="V1694" s="94"/>
      <c r="W1694" s="94"/>
    </row>
    <row r="1695" spans="1:23" ht="21" customHeight="1">
      <c r="A1695">
        <f>Table4[[#This Row],[Column1]]</f>
        <v>0</v>
      </c>
      <c r="B1695">
        <f>Table4[[#This Row],[Column2]]</f>
        <v>0</v>
      </c>
      <c r="C1695" s="81"/>
      <c r="D1695" s="81"/>
      <c r="E1695" s="81"/>
      <c r="F1695" s="81"/>
      <c r="G1695" s="81"/>
      <c r="H1695" s="81"/>
      <c r="I1695" s="81"/>
      <c r="J1695" s="81"/>
      <c r="K1695" s="81"/>
      <c r="L1695" s="81"/>
      <c r="M1695" s="81"/>
      <c r="N1695" s="81"/>
      <c r="O1695" s="81"/>
      <c r="P1695" s="81"/>
      <c r="Q1695" s="81"/>
      <c r="R1695" s="81"/>
      <c r="S1695" s="81"/>
      <c r="T1695" s="81"/>
      <c r="U1695" s="81"/>
      <c r="V1695" s="94"/>
      <c r="W1695" s="94"/>
    </row>
    <row r="1696" spans="1:23" ht="21" customHeight="1">
      <c r="A1696">
        <f>Table4[[#This Row],[Column1]]</f>
        <v>0</v>
      </c>
      <c r="B1696">
        <f>Table4[[#This Row],[Column2]]</f>
        <v>0</v>
      </c>
      <c r="C1696" s="81"/>
      <c r="D1696" s="81"/>
      <c r="E1696" s="81"/>
      <c r="F1696" s="81"/>
      <c r="G1696" s="81"/>
      <c r="H1696" s="81"/>
      <c r="I1696" s="81"/>
      <c r="J1696" s="81"/>
      <c r="K1696" s="81"/>
      <c r="L1696" s="81"/>
      <c r="M1696" s="81"/>
      <c r="N1696" s="81"/>
      <c r="O1696" s="81"/>
      <c r="P1696" s="81"/>
      <c r="Q1696" s="81"/>
      <c r="R1696" s="81"/>
      <c r="S1696" s="81"/>
      <c r="T1696" s="81"/>
      <c r="U1696" s="81"/>
      <c r="V1696" s="94"/>
      <c r="W1696" s="94"/>
    </row>
    <row r="1697" spans="1:23" ht="21" customHeight="1">
      <c r="A1697">
        <f>Table4[[#This Row],[Column1]]</f>
        <v>0</v>
      </c>
      <c r="B1697">
        <f>Table4[[#This Row],[Column2]]</f>
        <v>0</v>
      </c>
      <c r="C1697" s="81"/>
      <c r="D1697" s="81"/>
      <c r="E1697" s="81"/>
      <c r="F1697" s="81"/>
      <c r="G1697" s="81"/>
      <c r="H1697" s="81"/>
      <c r="I1697" s="81"/>
      <c r="J1697" s="81"/>
      <c r="K1697" s="81"/>
      <c r="L1697" s="81"/>
      <c r="M1697" s="81"/>
      <c r="N1697" s="81"/>
      <c r="O1697" s="81"/>
      <c r="P1697" s="81"/>
      <c r="Q1697" s="81"/>
      <c r="R1697" s="81"/>
      <c r="S1697" s="81"/>
      <c r="T1697" s="81"/>
      <c r="U1697" s="81"/>
      <c r="V1697" s="94"/>
      <c r="W1697" s="94"/>
    </row>
    <row r="1698" spans="1:23" ht="21" customHeight="1">
      <c r="A1698">
        <f>Table4[[#This Row],[Column1]]</f>
        <v>0</v>
      </c>
      <c r="B1698">
        <f>Table4[[#This Row],[Column2]]</f>
        <v>0</v>
      </c>
      <c r="C1698" s="81"/>
      <c r="D1698" s="81"/>
      <c r="E1698" s="81"/>
      <c r="F1698" s="81"/>
      <c r="G1698" s="81"/>
      <c r="H1698" s="81"/>
      <c r="I1698" s="81"/>
      <c r="J1698" s="81"/>
      <c r="K1698" s="81"/>
      <c r="L1698" s="81"/>
      <c r="M1698" s="81"/>
      <c r="N1698" s="81"/>
      <c r="O1698" s="81"/>
      <c r="P1698" s="81"/>
      <c r="Q1698" s="81"/>
      <c r="R1698" s="81"/>
      <c r="S1698" s="81"/>
      <c r="T1698" s="81"/>
      <c r="U1698" s="81"/>
      <c r="V1698" s="94"/>
      <c r="W1698" s="94"/>
    </row>
    <row r="1699" spans="1:23" ht="21" customHeight="1">
      <c r="A1699">
        <f>Table4[[#This Row],[Column1]]</f>
        <v>0</v>
      </c>
      <c r="B1699">
        <f>Table4[[#This Row],[Column2]]</f>
        <v>0</v>
      </c>
      <c r="C1699" s="81"/>
      <c r="D1699" s="81"/>
      <c r="E1699" s="81"/>
      <c r="F1699" s="81"/>
      <c r="G1699" s="81"/>
      <c r="H1699" s="81"/>
      <c r="I1699" s="81"/>
      <c r="J1699" s="81"/>
      <c r="K1699" s="81"/>
      <c r="L1699" s="81"/>
      <c r="M1699" s="81"/>
      <c r="N1699" s="81"/>
      <c r="O1699" s="81"/>
      <c r="P1699" s="81"/>
      <c r="Q1699" s="81"/>
      <c r="R1699" s="81"/>
      <c r="S1699" s="81"/>
      <c r="T1699" s="81"/>
      <c r="U1699" s="81"/>
      <c r="V1699" s="94"/>
      <c r="W1699" s="94"/>
    </row>
    <row r="1700" spans="1:23" ht="21" customHeight="1">
      <c r="A1700">
        <f>Table4[[#This Row],[Column1]]</f>
        <v>0</v>
      </c>
      <c r="B1700">
        <f>Table4[[#This Row],[Column2]]</f>
        <v>0</v>
      </c>
      <c r="C1700" s="81"/>
      <c r="D1700" s="81"/>
      <c r="E1700" s="81"/>
      <c r="F1700" s="81"/>
      <c r="G1700" s="81"/>
      <c r="H1700" s="81"/>
      <c r="I1700" s="81"/>
      <c r="J1700" s="81"/>
      <c r="K1700" s="81"/>
      <c r="L1700" s="81"/>
      <c r="M1700" s="81"/>
      <c r="N1700" s="81"/>
      <c r="O1700" s="81"/>
      <c r="P1700" s="81"/>
      <c r="Q1700" s="81"/>
      <c r="R1700" s="81"/>
      <c r="S1700" s="81"/>
      <c r="T1700" s="81"/>
      <c r="U1700" s="81"/>
      <c r="V1700" s="94"/>
      <c r="W1700" s="94"/>
    </row>
    <row r="1701" spans="1:23" ht="21" customHeight="1">
      <c r="A1701">
        <f>Table4[[#This Row],[Column1]]</f>
        <v>0</v>
      </c>
      <c r="B1701">
        <f>Table4[[#This Row],[Column2]]</f>
        <v>0</v>
      </c>
      <c r="C1701" s="81"/>
      <c r="D1701" s="81"/>
      <c r="E1701" s="81"/>
      <c r="F1701" s="81"/>
      <c r="G1701" s="81"/>
      <c r="H1701" s="81"/>
      <c r="I1701" s="81"/>
      <c r="J1701" s="81"/>
      <c r="K1701" s="81"/>
      <c r="L1701" s="81"/>
      <c r="M1701" s="81"/>
      <c r="N1701" s="81"/>
      <c r="O1701" s="81"/>
      <c r="P1701" s="81"/>
      <c r="Q1701" s="81"/>
      <c r="R1701" s="81"/>
      <c r="S1701" s="81"/>
      <c r="T1701" s="81"/>
      <c r="U1701" s="81"/>
      <c r="V1701" s="94"/>
      <c r="W1701" s="94"/>
    </row>
    <row r="1702" spans="1:23" ht="21" customHeight="1">
      <c r="A1702">
        <f>Table4[[#This Row],[Column1]]</f>
        <v>0</v>
      </c>
      <c r="B1702">
        <f>Table4[[#This Row],[Column2]]</f>
        <v>0</v>
      </c>
      <c r="C1702" s="81"/>
      <c r="D1702" s="81"/>
      <c r="E1702" s="81"/>
      <c r="F1702" s="81"/>
      <c r="G1702" s="81"/>
      <c r="H1702" s="81"/>
      <c r="I1702" s="81"/>
      <c r="J1702" s="81"/>
      <c r="K1702" s="81"/>
      <c r="L1702" s="81"/>
      <c r="M1702" s="81"/>
      <c r="N1702" s="81"/>
      <c r="O1702" s="81"/>
      <c r="P1702" s="81"/>
      <c r="Q1702" s="81"/>
      <c r="R1702" s="81"/>
      <c r="S1702" s="81"/>
      <c r="T1702" s="81"/>
      <c r="U1702" s="81"/>
      <c r="V1702" s="94"/>
      <c r="W1702" s="94"/>
    </row>
    <row r="1703" spans="1:23" ht="21" customHeight="1">
      <c r="A1703">
        <f>Table4[[#This Row],[Column1]]</f>
        <v>0</v>
      </c>
      <c r="B1703">
        <f>Table4[[#This Row],[Column2]]</f>
        <v>0</v>
      </c>
      <c r="C1703" s="81"/>
      <c r="D1703" s="81"/>
      <c r="E1703" s="81"/>
      <c r="F1703" s="81"/>
      <c r="G1703" s="81"/>
      <c r="H1703" s="81"/>
      <c r="I1703" s="81"/>
      <c r="J1703" s="81"/>
      <c r="K1703" s="81"/>
      <c r="L1703" s="81"/>
      <c r="M1703" s="81"/>
      <c r="N1703" s="81"/>
      <c r="O1703" s="81"/>
      <c r="P1703" s="81"/>
      <c r="Q1703" s="81"/>
      <c r="R1703" s="81"/>
      <c r="S1703" s="81"/>
      <c r="T1703" s="81"/>
      <c r="U1703" s="81"/>
      <c r="V1703" s="94"/>
      <c r="W1703" s="94"/>
    </row>
    <row r="1704" spans="1:23" ht="21" customHeight="1">
      <c r="A1704">
        <f>Table4[[#This Row],[Column1]]</f>
        <v>0</v>
      </c>
      <c r="B1704">
        <f>Table4[[#This Row],[Column2]]</f>
        <v>0</v>
      </c>
      <c r="C1704" s="81"/>
      <c r="D1704" s="81"/>
      <c r="E1704" s="81"/>
      <c r="F1704" s="81"/>
      <c r="G1704" s="81"/>
      <c r="H1704" s="81"/>
      <c r="I1704" s="81"/>
      <c r="J1704" s="81"/>
      <c r="K1704" s="81"/>
      <c r="L1704" s="81"/>
      <c r="M1704" s="81"/>
      <c r="N1704" s="81"/>
      <c r="O1704" s="81"/>
      <c r="P1704" s="81"/>
      <c r="Q1704" s="81"/>
      <c r="R1704" s="81"/>
      <c r="S1704" s="81"/>
      <c r="T1704" s="81"/>
      <c r="U1704" s="81"/>
      <c r="V1704" s="94"/>
      <c r="W1704" s="94"/>
    </row>
    <row r="1705" spans="1:23" ht="21" customHeight="1">
      <c r="A1705">
        <f>Table4[[#This Row],[Column1]]</f>
        <v>0</v>
      </c>
      <c r="B1705">
        <f>Table4[[#This Row],[Column2]]</f>
        <v>0</v>
      </c>
      <c r="C1705" s="81"/>
      <c r="D1705" s="81"/>
      <c r="E1705" s="81"/>
      <c r="F1705" s="81"/>
      <c r="G1705" s="81"/>
      <c r="H1705" s="81"/>
      <c r="I1705" s="81"/>
      <c r="J1705" s="81"/>
      <c r="K1705" s="81"/>
      <c r="L1705" s="81"/>
      <c r="M1705" s="81"/>
      <c r="N1705" s="81"/>
      <c r="O1705" s="81"/>
      <c r="P1705" s="81"/>
      <c r="Q1705" s="81"/>
      <c r="R1705" s="81"/>
      <c r="S1705" s="81"/>
      <c r="T1705" s="81"/>
      <c r="U1705" s="81"/>
      <c r="V1705" s="94"/>
      <c r="W1705" s="94"/>
    </row>
    <row r="1706" spans="1:23" ht="21" customHeight="1">
      <c r="A1706">
        <f>Table4[[#This Row],[Column1]]</f>
        <v>0</v>
      </c>
      <c r="B1706">
        <f>Table4[[#This Row],[Column2]]</f>
        <v>0</v>
      </c>
      <c r="C1706" s="81"/>
      <c r="D1706" s="81"/>
      <c r="E1706" s="81"/>
      <c r="F1706" s="81"/>
      <c r="G1706" s="81"/>
      <c r="H1706" s="81"/>
      <c r="I1706" s="81"/>
      <c r="J1706" s="81"/>
      <c r="K1706" s="81"/>
      <c r="L1706" s="81"/>
      <c r="M1706" s="81"/>
      <c r="N1706" s="81"/>
      <c r="O1706" s="81"/>
      <c r="P1706" s="81"/>
      <c r="Q1706" s="81"/>
      <c r="R1706" s="81"/>
      <c r="S1706" s="81"/>
      <c r="T1706" s="81"/>
      <c r="U1706" s="81"/>
      <c r="V1706" s="94"/>
      <c r="W1706" s="94"/>
    </row>
    <row r="1707" spans="1:23" ht="21" customHeight="1">
      <c r="A1707">
        <f>Table4[[#This Row],[Column1]]</f>
        <v>0</v>
      </c>
      <c r="B1707">
        <f>Table4[[#This Row],[Column2]]</f>
        <v>0</v>
      </c>
      <c r="C1707" s="81"/>
      <c r="D1707" s="81"/>
      <c r="E1707" s="81"/>
      <c r="F1707" s="81"/>
      <c r="G1707" s="81"/>
      <c r="H1707" s="81"/>
      <c r="I1707" s="81"/>
      <c r="J1707" s="81"/>
      <c r="K1707" s="81"/>
      <c r="L1707" s="81"/>
      <c r="M1707" s="81"/>
      <c r="N1707" s="81"/>
      <c r="O1707" s="81"/>
      <c r="P1707" s="81"/>
      <c r="Q1707" s="81"/>
      <c r="R1707" s="81"/>
      <c r="S1707" s="81"/>
      <c r="T1707" s="81"/>
      <c r="U1707" s="81"/>
      <c r="V1707" s="94"/>
      <c r="W1707" s="94"/>
    </row>
    <row r="1708" spans="1:23" ht="21" customHeight="1">
      <c r="A1708">
        <f>Table4[[#This Row],[Column1]]</f>
        <v>0</v>
      </c>
      <c r="B1708">
        <f>Table4[[#This Row],[Column2]]</f>
        <v>0</v>
      </c>
      <c r="C1708" s="81"/>
      <c r="D1708" s="81"/>
      <c r="E1708" s="81"/>
      <c r="F1708" s="81"/>
      <c r="G1708" s="81"/>
      <c r="H1708" s="81"/>
      <c r="I1708" s="81"/>
      <c r="J1708" s="81"/>
      <c r="K1708" s="81"/>
      <c r="L1708" s="81"/>
      <c r="M1708" s="81"/>
      <c r="N1708" s="81"/>
      <c r="O1708" s="81"/>
      <c r="P1708" s="81"/>
      <c r="Q1708" s="81"/>
      <c r="R1708" s="81"/>
      <c r="S1708" s="81"/>
      <c r="T1708" s="81"/>
      <c r="U1708" s="81"/>
      <c r="V1708" s="94"/>
      <c r="W1708" s="94"/>
    </row>
    <row r="1709" spans="1:23" ht="21" customHeight="1">
      <c r="A1709">
        <f>Table4[[#This Row],[Column1]]</f>
        <v>0</v>
      </c>
      <c r="B1709">
        <f>Table4[[#This Row],[Column2]]</f>
        <v>0</v>
      </c>
      <c r="C1709" s="81"/>
      <c r="D1709" s="81"/>
      <c r="E1709" s="81"/>
      <c r="F1709" s="81"/>
      <c r="G1709" s="81"/>
      <c r="H1709" s="81"/>
      <c r="I1709" s="81"/>
      <c r="J1709" s="81"/>
      <c r="K1709" s="81"/>
      <c r="L1709" s="81"/>
      <c r="M1709" s="81"/>
      <c r="N1709" s="81"/>
      <c r="O1709" s="81"/>
      <c r="P1709" s="81"/>
      <c r="Q1709" s="81"/>
      <c r="R1709" s="81"/>
      <c r="S1709" s="81"/>
      <c r="T1709" s="81"/>
      <c r="U1709" s="81"/>
      <c r="V1709" s="94"/>
      <c r="W1709" s="94"/>
    </row>
    <row r="1710" spans="1:23" ht="21" customHeight="1">
      <c r="A1710">
        <f>Table4[[#This Row],[Column1]]</f>
        <v>0</v>
      </c>
      <c r="B1710">
        <f>Table4[[#This Row],[Column2]]</f>
        <v>0</v>
      </c>
      <c r="C1710" s="81"/>
      <c r="D1710" s="81"/>
      <c r="E1710" s="81"/>
      <c r="F1710" s="81"/>
      <c r="G1710" s="81"/>
      <c r="H1710" s="81"/>
      <c r="I1710" s="81"/>
      <c r="J1710" s="81"/>
      <c r="K1710" s="81"/>
      <c r="L1710" s="81"/>
      <c r="M1710" s="81"/>
      <c r="N1710" s="81"/>
      <c r="O1710" s="81"/>
      <c r="P1710" s="81"/>
      <c r="Q1710" s="81"/>
      <c r="R1710" s="81"/>
      <c r="S1710" s="81"/>
      <c r="T1710" s="81"/>
      <c r="U1710" s="81"/>
      <c r="V1710" s="94"/>
      <c r="W1710" s="94"/>
    </row>
    <row r="1711" spans="1:23" ht="21" customHeight="1">
      <c r="A1711">
        <f>Table4[[#This Row],[Column1]]</f>
        <v>0</v>
      </c>
      <c r="B1711">
        <f>Table4[[#This Row],[Column2]]</f>
        <v>0</v>
      </c>
      <c r="C1711" s="81"/>
      <c r="D1711" s="81"/>
      <c r="E1711" s="81"/>
      <c r="F1711" s="81"/>
      <c r="G1711" s="81"/>
      <c r="H1711" s="81"/>
      <c r="I1711" s="81"/>
      <c r="J1711" s="81"/>
      <c r="K1711" s="81"/>
      <c r="L1711" s="81"/>
      <c r="M1711" s="81"/>
      <c r="N1711" s="81"/>
      <c r="O1711" s="81"/>
      <c r="P1711" s="81"/>
      <c r="Q1711" s="81"/>
      <c r="R1711" s="81"/>
      <c r="S1711" s="81"/>
      <c r="T1711" s="81"/>
      <c r="U1711" s="81"/>
      <c r="V1711" s="94"/>
      <c r="W1711" s="94"/>
    </row>
    <row r="1712" spans="1:23" ht="21" customHeight="1">
      <c r="A1712">
        <f>Table4[[#This Row],[Column1]]</f>
        <v>0</v>
      </c>
      <c r="B1712">
        <f>Table4[[#This Row],[Column2]]</f>
        <v>0</v>
      </c>
      <c r="C1712" s="81"/>
      <c r="D1712" s="81"/>
      <c r="E1712" s="81"/>
      <c r="F1712" s="81"/>
      <c r="G1712" s="81"/>
      <c r="H1712" s="81"/>
      <c r="I1712" s="81"/>
      <c r="J1712" s="81"/>
      <c r="K1712" s="81"/>
      <c r="L1712" s="81"/>
      <c r="M1712" s="81"/>
      <c r="N1712" s="81"/>
      <c r="O1712" s="81"/>
      <c r="P1712" s="81"/>
      <c r="Q1712" s="81"/>
      <c r="R1712" s="81"/>
      <c r="S1712" s="81"/>
      <c r="T1712" s="81"/>
      <c r="U1712" s="81"/>
      <c r="V1712" s="94"/>
      <c r="W1712" s="94"/>
    </row>
    <row r="1713" spans="1:23" ht="21" customHeight="1">
      <c r="A1713">
        <f>Table4[[#This Row],[Column1]]</f>
        <v>0</v>
      </c>
      <c r="B1713">
        <f>Table4[[#This Row],[Column2]]</f>
        <v>0</v>
      </c>
      <c r="C1713" s="81"/>
      <c r="D1713" s="81"/>
      <c r="E1713" s="81"/>
      <c r="F1713" s="81"/>
      <c r="G1713" s="81"/>
      <c r="H1713" s="81"/>
      <c r="I1713" s="81"/>
      <c r="J1713" s="81"/>
      <c r="K1713" s="81"/>
      <c r="L1713" s="81"/>
      <c r="M1713" s="81"/>
      <c r="N1713" s="81"/>
      <c r="O1713" s="81"/>
      <c r="P1713" s="81"/>
      <c r="Q1713" s="81"/>
      <c r="R1713" s="81"/>
      <c r="S1713" s="81"/>
      <c r="T1713" s="81"/>
      <c r="U1713" s="81"/>
      <c r="V1713" s="94"/>
      <c r="W1713" s="94"/>
    </row>
    <row r="1714" spans="1:23" ht="21" customHeight="1">
      <c r="A1714">
        <f>Table4[[#This Row],[Column1]]</f>
        <v>0</v>
      </c>
      <c r="B1714">
        <f>Table4[[#This Row],[Column2]]</f>
        <v>0</v>
      </c>
      <c r="C1714" s="81"/>
      <c r="D1714" s="81"/>
      <c r="E1714" s="81"/>
      <c r="F1714" s="81"/>
      <c r="G1714" s="81"/>
      <c r="H1714" s="81"/>
      <c r="I1714" s="81"/>
      <c r="J1714" s="81"/>
      <c r="K1714" s="81"/>
      <c r="L1714" s="81"/>
      <c r="M1714" s="81"/>
      <c r="N1714" s="81"/>
      <c r="O1714" s="81"/>
      <c r="P1714" s="81"/>
      <c r="Q1714" s="81"/>
      <c r="R1714" s="81"/>
      <c r="S1714" s="81"/>
      <c r="T1714" s="81"/>
      <c r="U1714" s="81"/>
      <c r="V1714" s="94"/>
      <c r="W1714" s="94"/>
    </row>
    <row r="1715" spans="1:23" ht="21" customHeight="1">
      <c r="A1715">
        <f>Table4[[#This Row],[Column1]]</f>
        <v>0</v>
      </c>
      <c r="B1715">
        <f>Table4[[#This Row],[Column2]]</f>
        <v>0</v>
      </c>
      <c r="C1715" s="81"/>
      <c r="D1715" s="81"/>
      <c r="E1715" s="81"/>
      <c r="F1715" s="81"/>
      <c r="G1715" s="81"/>
      <c r="H1715" s="81"/>
      <c r="I1715" s="81"/>
      <c r="J1715" s="81"/>
      <c r="K1715" s="81"/>
      <c r="L1715" s="81"/>
      <c r="M1715" s="81"/>
      <c r="N1715" s="81"/>
      <c r="O1715" s="81"/>
      <c r="P1715" s="81"/>
      <c r="Q1715" s="81"/>
      <c r="R1715" s="81"/>
      <c r="S1715" s="81"/>
      <c r="T1715" s="81"/>
      <c r="U1715" s="81"/>
      <c r="V1715" s="94"/>
      <c r="W1715" s="94"/>
    </row>
    <row r="1716" spans="1:23" ht="21" customHeight="1">
      <c r="A1716">
        <f>Table4[[#This Row],[Column1]]</f>
        <v>0</v>
      </c>
      <c r="B1716">
        <f>Table4[[#This Row],[Column2]]</f>
        <v>0</v>
      </c>
      <c r="C1716" s="81"/>
      <c r="D1716" s="81"/>
      <c r="E1716" s="81"/>
      <c r="F1716" s="81"/>
      <c r="G1716" s="81"/>
      <c r="H1716" s="81"/>
      <c r="I1716" s="81"/>
      <c r="J1716" s="81"/>
      <c r="K1716" s="81"/>
      <c r="L1716" s="81"/>
      <c r="M1716" s="81"/>
      <c r="N1716" s="81"/>
      <c r="O1716" s="81"/>
      <c r="P1716" s="81"/>
      <c r="Q1716" s="81"/>
      <c r="R1716" s="81"/>
      <c r="S1716" s="81"/>
      <c r="T1716" s="81"/>
      <c r="U1716" s="81"/>
      <c r="V1716" s="94"/>
      <c r="W1716" s="94"/>
    </row>
    <row r="1717" spans="1:23" ht="21" customHeight="1">
      <c r="A1717">
        <f>Table4[[#This Row],[Column1]]</f>
        <v>0</v>
      </c>
      <c r="B1717">
        <f>Table4[[#This Row],[Column2]]</f>
        <v>0</v>
      </c>
      <c r="C1717" s="81"/>
      <c r="D1717" s="81"/>
      <c r="E1717" s="81"/>
      <c r="F1717" s="81"/>
      <c r="G1717" s="81"/>
      <c r="H1717" s="81"/>
      <c r="I1717" s="81"/>
      <c r="J1717" s="81"/>
      <c r="K1717" s="81"/>
      <c r="L1717" s="81"/>
      <c r="M1717" s="81"/>
      <c r="N1717" s="81"/>
      <c r="O1717" s="81"/>
      <c r="P1717" s="81"/>
      <c r="Q1717" s="81"/>
      <c r="R1717" s="81"/>
      <c r="S1717" s="81"/>
      <c r="T1717" s="81"/>
      <c r="U1717" s="81"/>
      <c r="V1717" s="94"/>
      <c r="W1717" s="94"/>
    </row>
    <row r="1718" spans="1:23" ht="21" customHeight="1">
      <c r="A1718">
        <f>Table4[[#This Row],[Column1]]</f>
        <v>0</v>
      </c>
      <c r="B1718">
        <f>Table4[[#This Row],[Column2]]</f>
        <v>0</v>
      </c>
      <c r="C1718" s="81"/>
      <c r="D1718" s="81"/>
      <c r="E1718" s="81"/>
      <c r="F1718" s="81"/>
      <c r="G1718" s="81"/>
      <c r="H1718" s="81"/>
      <c r="I1718" s="81"/>
      <c r="J1718" s="81"/>
      <c r="K1718" s="81"/>
      <c r="L1718" s="81"/>
      <c r="M1718" s="81"/>
      <c r="N1718" s="81"/>
      <c r="O1718" s="81"/>
      <c r="P1718" s="81"/>
      <c r="Q1718" s="81"/>
      <c r="R1718" s="81"/>
      <c r="S1718" s="81"/>
      <c r="T1718" s="81"/>
      <c r="U1718" s="81"/>
      <c r="V1718" s="94"/>
      <c r="W1718" s="94"/>
    </row>
    <row r="1719" spans="1:23" ht="21" customHeight="1">
      <c r="A1719">
        <f>Table4[[#This Row],[Column1]]</f>
        <v>0</v>
      </c>
      <c r="B1719">
        <f>Table4[[#This Row],[Column2]]</f>
        <v>0</v>
      </c>
      <c r="C1719" s="81"/>
      <c r="D1719" s="81"/>
      <c r="E1719" s="81"/>
      <c r="F1719" s="81"/>
      <c r="G1719" s="81"/>
      <c r="H1719" s="81"/>
      <c r="I1719" s="81"/>
      <c r="J1719" s="81"/>
      <c r="K1719" s="81"/>
      <c r="L1719" s="81"/>
      <c r="M1719" s="81"/>
      <c r="N1719" s="81"/>
      <c r="O1719" s="81"/>
      <c r="P1719" s="81"/>
      <c r="Q1719" s="81"/>
      <c r="R1719" s="81"/>
      <c r="S1719" s="81"/>
      <c r="T1719" s="81"/>
      <c r="U1719" s="81"/>
      <c r="V1719" s="94"/>
      <c r="W1719" s="94"/>
    </row>
    <row r="1720" spans="1:23" ht="21" customHeight="1">
      <c r="A1720">
        <f>Table4[[#This Row],[Column1]]</f>
        <v>0</v>
      </c>
      <c r="B1720">
        <f>Table4[[#This Row],[Column2]]</f>
        <v>0</v>
      </c>
      <c r="C1720" s="81"/>
      <c r="D1720" s="81"/>
      <c r="E1720" s="81"/>
      <c r="F1720" s="81"/>
      <c r="G1720" s="81"/>
      <c r="H1720" s="81"/>
      <c r="I1720" s="81"/>
      <c r="J1720" s="81"/>
      <c r="K1720" s="81"/>
      <c r="L1720" s="81"/>
      <c r="M1720" s="81"/>
      <c r="N1720" s="81"/>
      <c r="O1720" s="81"/>
      <c r="P1720" s="81"/>
      <c r="Q1720" s="81"/>
      <c r="R1720" s="81"/>
      <c r="S1720" s="81"/>
      <c r="T1720" s="81"/>
      <c r="U1720" s="81"/>
      <c r="V1720" s="94"/>
      <c r="W1720" s="94"/>
    </row>
    <row r="1721" spans="1:23" ht="21" customHeight="1">
      <c r="A1721">
        <f>Table4[[#This Row],[Column1]]</f>
        <v>0</v>
      </c>
      <c r="B1721">
        <f>Table4[[#This Row],[Column2]]</f>
        <v>0</v>
      </c>
      <c r="C1721" s="81"/>
      <c r="D1721" s="81"/>
      <c r="E1721" s="81"/>
      <c r="F1721" s="81"/>
      <c r="G1721" s="81"/>
      <c r="H1721" s="81"/>
      <c r="I1721" s="81"/>
      <c r="J1721" s="81"/>
      <c r="K1721" s="81"/>
      <c r="L1721" s="81"/>
      <c r="M1721" s="81"/>
      <c r="N1721" s="81"/>
      <c r="O1721" s="81"/>
      <c r="P1721" s="81"/>
      <c r="Q1721" s="81"/>
      <c r="R1721" s="81"/>
      <c r="S1721" s="81"/>
      <c r="T1721" s="81"/>
      <c r="U1721" s="81"/>
      <c r="V1721" s="94"/>
      <c r="W1721" s="94"/>
    </row>
    <row r="1722" spans="1:23" ht="21" customHeight="1">
      <c r="A1722">
        <f>Table4[[#This Row],[Column1]]</f>
        <v>0</v>
      </c>
      <c r="B1722">
        <f>Table4[[#This Row],[Column2]]</f>
        <v>0</v>
      </c>
      <c r="C1722" s="81"/>
      <c r="D1722" s="81"/>
      <c r="E1722" s="81"/>
      <c r="F1722" s="81"/>
      <c r="G1722" s="81"/>
      <c r="H1722" s="81"/>
      <c r="I1722" s="81"/>
      <c r="J1722" s="81"/>
      <c r="K1722" s="81"/>
      <c r="L1722" s="81"/>
      <c r="M1722" s="81"/>
      <c r="N1722" s="81"/>
      <c r="O1722" s="81"/>
      <c r="P1722" s="81"/>
      <c r="Q1722" s="81"/>
      <c r="R1722" s="81"/>
      <c r="S1722" s="81"/>
      <c r="T1722" s="81"/>
      <c r="U1722" s="81"/>
      <c r="V1722" s="94"/>
      <c r="W1722" s="94"/>
    </row>
    <row r="1723" spans="1:23" ht="21" customHeight="1">
      <c r="A1723">
        <f>Table4[[#This Row],[Column1]]</f>
        <v>0</v>
      </c>
      <c r="B1723">
        <f>Table4[[#This Row],[Column2]]</f>
        <v>0</v>
      </c>
      <c r="C1723" s="81"/>
      <c r="D1723" s="81"/>
      <c r="E1723" s="81"/>
      <c r="F1723" s="81"/>
      <c r="G1723" s="81"/>
      <c r="H1723" s="81"/>
      <c r="I1723" s="81"/>
      <c r="J1723" s="81"/>
      <c r="K1723" s="81"/>
      <c r="L1723" s="81"/>
      <c r="M1723" s="81"/>
      <c r="N1723" s="81"/>
      <c r="O1723" s="81"/>
      <c r="P1723" s="81"/>
      <c r="Q1723" s="81"/>
      <c r="R1723" s="81"/>
      <c r="S1723" s="81"/>
      <c r="T1723" s="81"/>
      <c r="U1723" s="81"/>
      <c r="V1723" s="94"/>
      <c r="W1723" s="94"/>
    </row>
    <row r="1724" spans="1:23" ht="21" customHeight="1">
      <c r="A1724">
        <f>Table4[[#This Row],[Column1]]</f>
        <v>0</v>
      </c>
      <c r="B1724">
        <f>Table4[[#This Row],[Column2]]</f>
        <v>0</v>
      </c>
      <c r="C1724" s="81"/>
      <c r="D1724" s="81"/>
      <c r="E1724" s="81"/>
      <c r="F1724" s="81"/>
      <c r="G1724" s="81"/>
      <c r="H1724" s="81"/>
      <c r="I1724" s="81"/>
      <c r="J1724" s="81"/>
      <c r="K1724" s="81"/>
      <c r="L1724" s="81"/>
      <c r="M1724" s="81"/>
      <c r="N1724" s="81"/>
      <c r="O1724" s="81"/>
      <c r="P1724" s="81"/>
      <c r="Q1724" s="81"/>
      <c r="R1724" s="81"/>
      <c r="S1724" s="81"/>
      <c r="T1724" s="81"/>
      <c r="U1724" s="81"/>
      <c r="V1724" s="94"/>
      <c r="W1724" s="94"/>
    </row>
    <row r="1725" spans="1:23" ht="21" customHeight="1">
      <c r="A1725">
        <f>Table4[[#This Row],[Column1]]</f>
        <v>0</v>
      </c>
      <c r="B1725">
        <f>Table4[[#This Row],[Column2]]</f>
        <v>0</v>
      </c>
      <c r="C1725" s="81"/>
      <c r="D1725" s="81"/>
      <c r="E1725" s="81"/>
      <c r="F1725" s="81"/>
      <c r="G1725" s="81"/>
      <c r="H1725" s="81"/>
      <c r="I1725" s="81"/>
      <c r="J1725" s="81"/>
      <c r="K1725" s="81"/>
      <c r="L1725" s="81"/>
      <c r="M1725" s="81"/>
      <c r="N1725" s="81"/>
      <c r="O1725" s="81"/>
      <c r="P1725" s="81"/>
      <c r="Q1725" s="81"/>
      <c r="R1725" s="81"/>
      <c r="S1725" s="81"/>
      <c r="T1725" s="81"/>
      <c r="U1725" s="81"/>
      <c r="V1725" s="94"/>
      <c r="W1725" s="94"/>
    </row>
    <row r="1726" spans="1:23" ht="21" customHeight="1">
      <c r="A1726">
        <f>Table4[[#This Row],[Column1]]</f>
        <v>0</v>
      </c>
      <c r="B1726">
        <f>Table4[[#This Row],[Column2]]</f>
        <v>0</v>
      </c>
      <c r="C1726" s="81"/>
      <c r="D1726" s="81"/>
      <c r="E1726" s="81"/>
      <c r="F1726" s="81"/>
      <c r="G1726" s="81"/>
      <c r="H1726" s="81"/>
      <c r="I1726" s="81"/>
      <c r="J1726" s="81"/>
      <c r="K1726" s="81"/>
      <c r="L1726" s="81"/>
      <c r="M1726" s="81"/>
      <c r="N1726" s="81"/>
      <c r="O1726" s="81"/>
      <c r="P1726" s="81"/>
      <c r="Q1726" s="81"/>
      <c r="R1726" s="81"/>
      <c r="S1726" s="81"/>
      <c r="T1726" s="81"/>
      <c r="U1726" s="81"/>
      <c r="V1726" s="94"/>
      <c r="W1726" s="94"/>
    </row>
    <row r="1727" spans="1:23" ht="21" customHeight="1">
      <c r="A1727">
        <f>Table4[[#This Row],[Column1]]</f>
        <v>0</v>
      </c>
      <c r="B1727">
        <f>Table4[[#This Row],[Column2]]</f>
        <v>0</v>
      </c>
      <c r="C1727" s="81"/>
      <c r="D1727" s="81"/>
      <c r="E1727" s="81"/>
      <c r="F1727" s="81"/>
      <c r="G1727" s="81"/>
      <c r="H1727" s="81"/>
      <c r="I1727" s="81"/>
      <c r="J1727" s="81"/>
      <c r="K1727" s="81"/>
      <c r="L1727" s="81"/>
      <c r="M1727" s="81"/>
      <c r="N1727" s="81"/>
      <c r="O1727" s="81"/>
      <c r="P1727" s="81"/>
      <c r="Q1727" s="81"/>
      <c r="R1727" s="81"/>
      <c r="S1727" s="81"/>
      <c r="T1727" s="81"/>
      <c r="U1727" s="81"/>
      <c r="V1727" s="94"/>
      <c r="W1727" s="94"/>
    </row>
    <row r="1728" spans="1:23" ht="21" customHeight="1">
      <c r="A1728">
        <f>Table4[[#This Row],[Column1]]</f>
        <v>0</v>
      </c>
      <c r="B1728">
        <f>Table4[[#This Row],[Column2]]</f>
        <v>0</v>
      </c>
      <c r="C1728" s="81"/>
      <c r="D1728" s="81"/>
      <c r="E1728" s="81"/>
      <c r="F1728" s="81"/>
      <c r="G1728" s="81"/>
      <c r="H1728" s="81"/>
      <c r="I1728" s="81"/>
      <c r="J1728" s="81"/>
      <c r="K1728" s="81"/>
      <c r="L1728" s="81"/>
      <c r="M1728" s="81"/>
      <c r="N1728" s="81"/>
      <c r="O1728" s="81"/>
      <c r="P1728" s="81"/>
      <c r="Q1728" s="81"/>
      <c r="R1728" s="81"/>
      <c r="S1728" s="81"/>
      <c r="T1728" s="81"/>
      <c r="U1728" s="81"/>
      <c r="V1728" s="94"/>
      <c r="W1728" s="94"/>
    </row>
    <row r="1729" spans="1:23" ht="21" customHeight="1">
      <c r="A1729">
        <f>Table4[[#This Row],[Column1]]</f>
        <v>0</v>
      </c>
      <c r="B1729">
        <f>Table4[[#This Row],[Column2]]</f>
        <v>0</v>
      </c>
      <c r="C1729" s="81"/>
      <c r="D1729" s="81"/>
      <c r="E1729" s="81"/>
      <c r="F1729" s="81"/>
      <c r="G1729" s="81"/>
      <c r="H1729" s="81"/>
      <c r="I1729" s="81"/>
      <c r="J1729" s="81"/>
      <c r="K1729" s="81"/>
      <c r="L1729" s="81"/>
      <c r="M1729" s="81"/>
      <c r="N1729" s="81"/>
      <c r="O1729" s="81"/>
      <c r="P1729" s="81"/>
      <c r="Q1729" s="81"/>
      <c r="R1729" s="81"/>
      <c r="S1729" s="81"/>
      <c r="T1729" s="81"/>
      <c r="U1729" s="81"/>
      <c r="V1729" s="94"/>
      <c r="W1729" s="94"/>
    </row>
    <row r="1730" spans="1:23" ht="21" customHeight="1">
      <c r="A1730">
        <f>Table4[[#This Row],[Column1]]</f>
        <v>0</v>
      </c>
      <c r="B1730">
        <f>Table4[[#This Row],[Column2]]</f>
        <v>0</v>
      </c>
      <c r="C1730" s="81"/>
      <c r="D1730" s="81"/>
      <c r="E1730" s="81"/>
      <c r="F1730" s="81"/>
      <c r="G1730" s="81"/>
      <c r="H1730" s="81"/>
      <c r="I1730" s="81"/>
      <c r="J1730" s="81"/>
      <c r="K1730" s="81"/>
      <c r="L1730" s="81"/>
      <c r="M1730" s="81"/>
      <c r="N1730" s="81"/>
      <c r="O1730" s="81"/>
      <c r="P1730" s="81"/>
      <c r="Q1730" s="81"/>
      <c r="R1730" s="81"/>
      <c r="S1730" s="81"/>
      <c r="T1730" s="81"/>
      <c r="U1730" s="81"/>
      <c r="V1730" s="94"/>
      <c r="W1730" s="94"/>
    </row>
    <row r="1731" spans="1:23" ht="21" customHeight="1">
      <c r="A1731">
        <f>Table4[[#This Row],[Column1]]</f>
        <v>0</v>
      </c>
      <c r="B1731">
        <f>Table4[[#This Row],[Column2]]</f>
        <v>0</v>
      </c>
      <c r="C1731" s="81"/>
      <c r="D1731" s="81"/>
      <c r="E1731" s="81"/>
      <c r="F1731" s="81"/>
      <c r="G1731" s="81"/>
      <c r="H1731" s="81"/>
      <c r="I1731" s="81"/>
      <c r="J1731" s="81"/>
      <c r="K1731" s="81"/>
      <c r="L1731" s="81"/>
      <c r="M1731" s="81"/>
      <c r="N1731" s="81"/>
      <c r="O1731" s="81"/>
      <c r="P1731" s="81"/>
      <c r="Q1731" s="81"/>
      <c r="R1731" s="81"/>
      <c r="S1731" s="81"/>
      <c r="T1731" s="81"/>
      <c r="U1731" s="81"/>
      <c r="V1731" s="94"/>
      <c r="W1731" s="94"/>
    </row>
    <row r="1732" spans="1:23" ht="21" customHeight="1">
      <c r="A1732">
        <f>Table4[[#This Row],[Column1]]</f>
        <v>0</v>
      </c>
      <c r="B1732">
        <f>Table4[[#This Row],[Column2]]</f>
        <v>0</v>
      </c>
      <c r="C1732" s="81"/>
      <c r="D1732" s="81"/>
      <c r="E1732" s="81"/>
      <c r="F1732" s="81"/>
      <c r="G1732" s="81"/>
      <c r="H1732" s="81"/>
      <c r="I1732" s="81"/>
      <c r="J1732" s="81"/>
      <c r="K1732" s="81"/>
      <c r="L1732" s="81"/>
      <c r="M1732" s="81"/>
      <c r="N1732" s="81"/>
      <c r="O1732" s="81"/>
      <c r="P1732" s="81"/>
      <c r="Q1732" s="81"/>
      <c r="R1732" s="81"/>
      <c r="S1732" s="81"/>
      <c r="T1732" s="81"/>
      <c r="U1732" s="81"/>
      <c r="V1732" s="94"/>
      <c r="W1732" s="94"/>
    </row>
    <row r="1733" spans="1:23" ht="21" customHeight="1">
      <c r="A1733">
        <f>Table4[[#This Row],[Column1]]</f>
        <v>0</v>
      </c>
      <c r="B1733">
        <f>Table4[[#This Row],[Column2]]</f>
        <v>0</v>
      </c>
      <c r="C1733" s="81"/>
      <c r="D1733" s="81"/>
      <c r="E1733" s="81"/>
      <c r="F1733" s="81"/>
      <c r="G1733" s="81"/>
      <c r="H1733" s="81"/>
      <c r="I1733" s="81"/>
      <c r="J1733" s="81"/>
      <c r="K1733" s="81"/>
      <c r="L1733" s="81"/>
      <c r="M1733" s="81"/>
      <c r="N1733" s="81"/>
      <c r="O1733" s="81"/>
      <c r="P1733" s="81"/>
      <c r="Q1733" s="81"/>
      <c r="R1733" s="81"/>
      <c r="S1733" s="81"/>
      <c r="T1733" s="81"/>
      <c r="U1733" s="81"/>
      <c r="V1733" s="94"/>
      <c r="W1733" s="94"/>
    </row>
    <row r="1734" spans="1:23" ht="21" customHeight="1">
      <c r="A1734">
        <f>Table4[[#This Row],[Column1]]</f>
        <v>0</v>
      </c>
      <c r="B1734">
        <f>Table4[[#This Row],[Column2]]</f>
        <v>0</v>
      </c>
      <c r="C1734" s="81"/>
      <c r="D1734" s="81"/>
      <c r="E1734" s="81"/>
      <c r="F1734" s="81"/>
      <c r="G1734" s="81"/>
      <c r="H1734" s="81"/>
      <c r="I1734" s="81"/>
      <c r="J1734" s="81"/>
      <c r="K1734" s="81"/>
      <c r="L1734" s="81"/>
      <c r="M1734" s="81"/>
      <c r="N1734" s="81"/>
      <c r="O1734" s="81"/>
      <c r="P1734" s="81"/>
      <c r="Q1734" s="81"/>
      <c r="R1734" s="81"/>
      <c r="S1734" s="81"/>
      <c r="T1734" s="81"/>
      <c r="U1734" s="81"/>
      <c r="V1734" s="94"/>
      <c r="W1734" s="94"/>
    </row>
    <row r="1735" spans="1:23" ht="21" customHeight="1">
      <c r="A1735">
        <f>Table4[[#This Row],[Column1]]</f>
        <v>0</v>
      </c>
      <c r="B1735">
        <f>Table4[[#This Row],[Column2]]</f>
        <v>0</v>
      </c>
      <c r="C1735" s="81"/>
      <c r="D1735" s="81"/>
      <c r="E1735" s="81"/>
      <c r="F1735" s="81"/>
      <c r="G1735" s="81"/>
      <c r="H1735" s="81"/>
      <c r="I1735" s="81"/>
      <c r="J1735" s="81"/>
      <c r="K1735" s="81"/>
      <c r="L1735" s="81"/>
      <c r="M1735" s="81"/>
      <c r="N1735" s="81"/>
      <c r="O1735" s="81"/>
      <c r="P1735" s="81"/>
      <c r="Q1735" s="81"/>
      <c r="R1735" s="81"/>
      <c r="S1735" s="81"/>
      <c r="T1735" s="81"/>
      <c r="U1735" s="81"/>
      <c r="V1735" s="94"/>
      <c r="W1735" s="94"/>
    </row>
    <row r="1736" spans="1:23" ht="21" customHeight="1">
      <c r="A1736">
        <f>Table4[[#This Row],[Column1]]</f>
        <v>0</v>
      </c>
      <c r="B1736">
        <f>Table4[[#This Row],[Column2]]</f>
        <v>0</v>
      </c>
      <c r="C1736" s="81"/>
      <c r="D1736" s="81"/>
      <c r="E1736" s="81"/>
      <c r="F1736" s="81"/>
      <c r="G1736" s="81"/>
      <c r="H1736" s="81"/>
      <c r="I1736" s="81"/>
      <c r="J1736" s="81"/>
      <c r="K1736" s="81"/>
      <c r="L1736" s="81"/>
      <c r="M1736" s="81"/>
      <c r="N1736" s="81"/>
      <c r="O1736" s="81"/>
      <c r="P1736" s="81"/>
      <c r="Q1736" s="81"/>
      <c r="R1736" s="81"/>
      <c r="S1736" s="81"/>
      <c r="T1736" s="81"/>
      <c r="U1736" s="81"/>
      <c r="V1736" s="94"/>
      <c r="W1736" s="94"/>
    </row>
    <row r="1737" spans="1:23" ht="21" customHeight="1">
      <c r="A1737">
        <f>Table4[[#This Row],[Column1]]</f>
        <v>0</v>
      </c>
      <c r="B1737">
        <f>Table4[[#This Row],[Column2]]</f>
        <v>0</v>
      </c>
      <c r="C1737" s="81"/>
      <c r="D1737" s="81"/>
      <c r="E1737" s="81"/>
      <c r="F1737" s="81"/>
      <c r="G1737" s="81"/>
      <c r="H1737" s="81"/>
      <c r="I1737" s="81"/>
      <c r="J1737" s="81"/>
      <c r="K1737" s="81"/>
      <c r="L1737" s="81"/>
      <c r="M1737" s="81"/>
      <c r="N1737" s="81"/>
      <c r="O1737" s="81"/>
      <c r="P1737" s="81"/>
      <c r="Q1737" s="81"/>
      <c r="R1737" s="81"/>
      <c r="S1737" s="81"/>
      <c r="T1737" s="81"/>
      <c r="U1737" s="81"/>
      <c r="V1737" s="94"/>
      <c r="W1737" s="94"/>
    </row>
    <row r="1738" spans="1:23" ht="21" customHeight="1">
      <c r="A1738">
        <f>Table4[[#This Row],[Column1]]</f>
        <v>0</v>
      </c>
      <c r="B1738">
        <f>Table4[[#This Row],[Column2]]</f>
        <v>0</v>
      </c>
      <c r="C1738" s="81"/>
      <c r="D1738" s="81"/>
      <c r="E1738" s="81"/>
      <c r="F1738" s="81"/>
      <c r="G1738" s="81"/>
      <c r="H1738" s="81"/>
      <c r="I1738" s="81"/>
      <c r="J1738" s="81"/>
      <c r="K1738" s="81"/>
      <c r="L1738" s="81"/>
      <c r="M1738" s="81"/>
      <c r="N1738" s="81"/>
      <c r="O1738" s="81"/>
      <c r="P1738" s="81"/>
      <c r="Q1738" s="81"/>
      <c r="R1738" s="81"/>
      <c r="S1738" s="81"/>
      <c r="T1738" s="81"/>
      <c r="U1738" s="81"/>
      <c r="V1738" s="94"/>
      <c r="W1738" s="94"/>
    </row>
    <row r="1739" spans="1:23" ht="21" customHeight="1">
      <c r="A1739">
        <f>Table4[[#This Row],[Column1]]</f>
        <v>0</v>
      </c>
      <c r="B1739">
        <f>Table4[[#This Row],[Column2]]</f>
        <v>0</v>
      </c>
      <c r="C1739" s="81"/>
      <c r="D1739" s="81"/>
      <c r="E1739" s="81"/>
      <c r="F1739" s="81"/>
      <c r="G1739" s="81"/>
      <c r="H1739" s="81"/>
      <c r="I1739" s="81"/>
      <c r="J1739" s="81"/>
      <c r="K1739" s="81"/>
      <c r="L1739" s="81"/>
      <c r="M1739" s="81"/>
      <c r="N1739" s="81"/>
      <c r="O1739" s="81"/>
      <c r="P1739" s="81"/>
      <c r="Q1739" s="81"/>
      <c r="R1739" s="81"/>
      <c r="S1739" s="81"/>
      <c r="T1739" s="81"/>
      <c r="U1739" s="81"/>
      <c r="V1739" s="94"/>
      <c r="W1739" s="94"/>
    </row>
    <row r="1740" spans="1:23" ht="21" customHeight="1">
      <c r="A1740">
        <f>Table4[[#This Row],[Column1]]</f>
        <v>0</v>
      </c>
      <c r="B1740">
        <f>Table4[[#This Row],[Column2]]</f>
        <v>0</v>
      </c>
      <c r="C1740" s="81"/>
      <c r="D1740" s="81"/>
      <c r="E1740" s="81"/>
      <c r="F1740" s="81"/>
      <c r="G1740" s="81"/>
      <c r="H1740" s="81"/>
      <c r="I1740" s="81"/>
      <c r="J1740" s="81"/>
      <c r="K1740" s="81"/>
      <c r="L1740" s="81"/>
      <c r="M1740" s="81"/>
      <c r="N1740" s="81"/>
      <c r="O1740" s="81"/>
      <c r="P1740" s="81"/>
      <c r="Q1740" s="81"/>
      <c r="R1740" s="81"/>
      <c r="S1740" s="81"/>
      <c r="T1740" s="81"/>
      <c r="U1740" s="81"/>
      <c r="V1740" s="94"/>
      <c r="W1740" s="94"/>
    </row>
    <row r="1741" spans="1:23" ht="21" customHeight="1">
      <c r="A1741">
        <f>Table4[[#This Row],[Column1]]</f>
        <v>0</v>
      </c>
      <c r="B1741">
        <f>Table4[[#This Row],[Column2]]</f>
        <v>0</v>
      </c>
      <c r="C1741" s="81"/>
      <c r="D1741" s="81"/>
      <c r="E1741" s="81"/>
      <c r="F1741" s="81"/>
      <c r="G1741" s="81"/>
      <c r="H1741" s="81"/>
      <c r="I1741" s="81"/>
      <c r="J1741" s="81"/>
      <c r="K1741" s="81"/>
      <c r="L1741" s="81"/>
      <c r="M1741" s="81"/>
      <c r="N1741" s="81"/>
      <c r="O1741" s="81"/>
      <c r="P1741" s="81"/>
      <c r="Q1741" s="81"/>
      <c r="R1741" s="81"/>
      <c r="S1741" s="81"/>
      <c r="T1741" s="81"/>
      <c r="U1741" s="81"/>
      <c r="V1741" s="94"/>
      <c r="W1741" s="94"/>
    </row>
    <row r="1742" spans="1:23" ht="21" customHeight="1">
      <c r="A1742">
        <f>Table4[[#This Row],[Column1]]</f>
        <v>0</v>
      </c>
      <c r="B1742">
        <f>Table4[[#This Row],[Column2]]</f>
        <v>0</v>
      </c>
      <c r="C1742" s="81"/>
      <c r="D1742" s="81"/>
      <c r="E1742" s="81"/>
      <c r="F1742" s="81"/>
      <c r="G1742" s="81"/>
      <c r="H1742" s="81"/>
      <c r="I1742" s="81"/>
      <c r="J1742" s="81"/>
      <c r="K1742" s="81"/>
      <c r="L1742" s="81"/>
      <c r="M1742" s="81"/>
      <c r="N1742" s="81"/>
      <c r="O1742" s="81"/>
      <c r="P1742" s="81"/>
      <c r="Q1742" s="81"/>
      <c r="R1742" s="81"/>
      <c r="S1742" s="81"/>
      <c r="T1742" s="81"/>
      <c r="U1742" s="81"/>
      <c r="V1742" s="94"/>
      <c r="W1742" s="94"/>
    </row>
    <row r="1743" spans="1:23" ht="21" customHeight="1">
      <c r="A1743">
        <f>Table4[[#This Row],[Column1]]</f>
        <v>0</v>
      </c>
      <c r="B1743">
        <f>Table4[[#This Row],[Column2]]</f>
        <v>0</v>
      </c>
      <c r="C1743" s="81"/>
      <c r="D1743" s="81"/>
      <c r="E1743" s="81"/>
      <c r="F1743" s="81"/>
      <c r="G1743" s="81"/>
      <c r="H1743" s="81"/>
      <c r="I1743" s="81"/>
      <c r="J1743" s="81"/>
      <c r="K1743" s="81"/>
      <c r="L1743" s="81"/>
      <c r="M1743" s="81"/>
      <c r="N1743" s="81"/>
      <c r="O1743" s="81"/>
      <c r="P1743" s="81"/>
      <c r="Q1743" s="81"/>
      <c r="R1743" s="81"/>
      <c r="S1743" s="81"/>
      <c r="T1743" s="81"/>
      <c r="U1743" s="81"/>
      <c r="V1743" s="94"/>
      <c r="W1743" s="94"/>
    </row>
    <row r="1744" spans="1:23" ht="21" customHeight="1">
      <c r="A1744">
        <f>Table4[[#This Row],[Column1]]</f>
        <v>0</v>
      </c>
      <c r="B1744">
        <f>Table4[[#This Row],[Column2]]</f>
        <v>0</v>
      </c>
      <c r="C1744" s="81"/>
      <c r="D1744" s="81"/>
      <c r="E1744" s="81"/>
      <c r="F1744" s="81"/>
      <c r="G1744" s="81"/>
      <c r="H1744" s="81"/>
      <c r="I1744" s="81"/>
      <c r="J1744" s="81"/>
      <c r="K1744" s="81"/>
      <c r="L1744" s="81"/>
      <c r="M1744" s="81"/>
      <c r="N1744" s="81"/>
      <c r="O1744" s="81"/>
      <c r="P1744" s="81"/>
      <c r="Q1744" s="81"/>
      <c r="R1744" s="81"/>
      <c r="S1744" s="81"/>
      <c r="T1744" s="81"/>
      <c r="U1744" s="81"/>
      <c r="V1744" s="94"/>
      <c r="W1744" s="94"/>
    </row>
    <row r="1745" spans="1:23" ht="21" customHeight="1">
      <c r="A1745">
        <f>Table4[[#This Row],[Column1]]</f>
        <v>0</v>
      </c>
      <c r="B1745">
        <f>Table4[[#This Row],[Column2]]</f>
        <v>0</v>
      </c>
      <c r="C1745" s="81"/>
      <c r="D1745" s="81"/>
      <c r="E1745" s="81"/>
      <c r="F1745" s="81"/>
      <c r="G1745" s="81"/>
      <c r="H1745" s="81"/>
      <c r="I1745" s="81"/>
      <c r="J1745" s="81"/>
      <c r="K1745" s="81"/>
      <c r="L1745" s="81"/>
      <c r="M1745" s="81"/>
      <c r="N1745" s="81"/>
      <c r="O1745" s="81"/>
      <c r="P1745" s="81"/>
      <c r="Q1745" s="81"/>
      <c r="R1745" s="81"/>
      <c r="S1745" s="81"/>
      <c r="T1745" s="81"/>
      <c r="U1745" s="81"/>
      <c r="V1745" s="94"/>
      <c r="W1745" s="94"/>
    </row>
    <row r="1746" spans="1:23" ht="21" customHeight="1">
      <c r="A1746">
        <f>Table4[[#This Row],[Column1]]</f>
        <v>0</v>
      </c>
      <c r="B1746">
        <f>Table4[[#This Row],[Column2]]</f>
        <v>0</v>
      </c>
      <c r="C1746" s="81"/>
      <c r="D1746" s="81"/>
      <c r="E1746" s="81"/>
      <c r="F1746" s="81"/>
      <c r="G1746" s="81"/>
      <c r="H1746" s="81"/>
      <c r="I1746" s="81"/>
      <c r="J1746" s="81"/>
      <c r="K1746" s="81"/>
      <c r="L1746" s="81"/>
      <c r="M1746" s="81"/>
      <c r="N1746" s="81"/>
      <c r="O1746" s="81"/>
      <c r="P1746" s="81"/>
      <c r="Q1746" s="81"/>
      <c r="R1746" s="81"/>
      <c r="S1746" s="81"/>
      <c r="T1746" s="81"/>
      <c r="U1746" s="81"/>
      <c r="V1746" s="94"/>
      <c r="W1746" s="94"/>
    </row>
    <row r="1747" spans="1:23" ht="21" customHeight="1">
      <c r="A1747">
        <f>Table4[[#This Row],[Column1]]</f>
        <v>0</v>
      </c>
      <c r="B1747">
        <f>Table4[[#This Row],[Column2]]</f>
        <v>0</v>
      </c>
      <c r="C1747" s="81"/>
      <c r="D1747" s="81"/>
      <c r="E1747" s="81"/>
      <c r="F1747" s="81"/>
      <c r="G1747" s="81"/>
      <c r="H1747" s="81"/>
      <c r="I1747" s="81"/>
      <c r="J1747" s="81"/>
      <c r="K1747" s="81"/>
      <c r="L1747" s="81"/>
      <c r="M1747" s="81"/>
      <c r="N1747" s="81"/>
      <c r="O1747" s="81"/>
      <c r="P1747" s="81"/>
      <c r="Q1747" s="81"/>
      <c r="R1747" s="81"/>
      <c r="S1747" s="81"/>
      <c r="T1747" s="81"/>
      <c r="U1747" s="81"/>
      <c r="V1747" s="94"/>
      <c r="W1747" s="94"/>
    </row>
    <row r="1748" spans="1:23" ht="21" customHeight="1">
      <c r="A1748">
        <f>Table4[[#This Row],[Column1]]</f>
        <v>0</v>
      </c>
      <c r="B1748">
        <f>Table4[[#This Row],[Column2]]</f>
        <v>0</v>
      </c>
      <c r="C1748" s="81"/>
      <c r="D1748" s="81"/>
      <c r="E1748" s="81"/>
      <c r="F1748" s="81"/>
      <c r="G1748" s="81"/>
      <c r="H1748" s="81"/>
      <c r="I1748" s="81"/>
      <c r="J1748" s="81"/>
      <c r="K1748" s="81"/>
      <c r="L1748" s="81"/>
      <c r="M1748" s="81"/>
      <c r="N1748" s="81"/>
      <c r="O1748" s="81"/>
      <c r="P1748" s="81"/>
      <c r="Q1748" s="81"/>
      <c r="R1748" s="81"/>
      <c r="S1748" s="81"/>
      <c r="T1748" s="81"/>
      <c r="U1748" s="81"/>
      <c r="V1748" s="94"/>
      <c r="W1748" s="94"/>
    </row>
    <row r="1749" spans="1:23" ht="21" customHeight="1">
      <c r="A1749">
        <f>Table4[[#This Row],[Column1]]</f>
        <v>0</v>
      </c>
      <c r="B1749">
        <f>Table4[[#This Row],[Column2]]</f>
        <v>0</v>
      </c>
      <c r="C1749" s="81"/>
      <c r="D1749" s="81"/>
      <c r="E1749" s="81"/>
      <c r="F1749" s="81"/>
      <c r="G1749" s="81"/>
      <c r="H1749" s="81"/>
      <c r="I1749" s="81"/>
      <c r="J1749" s="81"/>
      <c r="K1749" s="81"/>
      <c r="L1749" s="81"/>
      <c r="M1749" s="81"/>
      <c r="N1749" s="81"/>
      <c r="O1749" s="81"/>
      <c r="P1749" s="81"/>
      <c r="Q1749" s="81"/>
      <c r="R1749" s="81"/>
      <c r="S1749" s="81"/>
      <c r="T1749" s="81"/>
      <c r="U1749" s="81"/>
      <c r="V1749" s="94"/>
      <c r="W1749" s="94"/>
    </row>
    <row r="1750" spans="1:23" ht="21" customHeight="1">
      <c r="A1750">
        <f>Table4[[#This Row],[Column1]]</f>
        <v>0</v>
      </c>
      <c r="B1750">
        <f>Table4[[#This Row],[Column2]]</f>
        <v>0</v>
      </c>
      <c r="C1750" s="81"/>
      <c r="D1750" s="81"/>
      <c r="E1750" s="81"/>
      <c r="F1750" s="81"/>
      <c r="G1750" s="81"/>
      <c r="H1750" s="81"/>
      <c r="I1750" s="81"/>
      <c r="J1750" s="81"/>
      <c r="K1750" s="81"/>
      <c r="L1750" s="81"/>
      <c r="M1750" s="81"/>
      <c r="N1750" s="81"/>
      <c r="O1750" s="81"/>
      <c r="P1750" s="81"/>
      <c r="Q1750" s="81"/>
      <c r="R1750" s="81"/>
      <c r="S1750" s="81"/>
      <c r="T1750" s="81"/>
      <c r="U1750" s="81"/>
      <c r="V1750" s="94"/>
      <c r="W1750" s="94"/>
    </row>
    <row r="1751" spans="1:23" ht="21" customHeight="1">
      <c r="A1751">
        <f>Table4[[#This Row],[Column1]]</f>
        <v>0</v>
      </c>
      <c r="B1751">
        <f>Table4[[#This Row],[Column2]]</f>
        <v>0</v>
      </c>
      <c r="C1751" s="81"/>
      <c r="D1751" s="81"/>
      <c r="E1751" s="81"/>
      <c r="F1751" s="81"/>
      <c r="G1751" s="81"/>
      <c r="H1751" s="81"/>
      <c r="I1751" s="81"/>
      <c r="J1751" s="81"/>
      <c r="K1751" s="81"/>
      <c r="L1751" s="81"/>
      <c r="M1751" s="81"/>
      <c r="N1751" s="81"/>
      <c r="O1751" s="81"/>
      <c r="P1751" s="81"/>
      <c r="Q1751" s="81"/>
      <c r="R1751" s="81"/>
      <c r="S1751" s="81"/>
      <c r="T1751" s="81"/>
      <c r="U1751" s="81"/>
      <c r="V1751" s="94"/>
      <c r="W1751" s="94"/>
    </row>
    <row r="1752" spans="1:23" ht="21" customHeight="1">
      <c r="A1752">
        <f>Table4[[#This Row],[Column1]]</f>
        <v>0</v>
      </c>
      <c r="B1752">
        <f>Table4[[#This Row],[Column2]]</f>
        <v>0</v>
      </c>
      <c r="C1752" s="81"/>
      <c r="D1752" s="81"/>
      <c r="E1752" s="81"/>
      <c r="F1752" s="81"/>
      <c r="G1752" s="81"/>
      <c r="H1752" s="81"/>
      <c r="I1752" s="81"/>
      <c r="J1752" s="81"/>
      <c r="K1752" s="81"/>
      <c r="L1752" s="81"/>
      <c r="M1752" s="81"/>
      <c r="N1752" s="81"/>
      <c r="O1752" s="81"/>
      <c r="P1752" s="81"/>
      <c r="Q1752" s="81"/>
      <c r="R1752" s="81"/>
      <c r="S1752" s="81"/>
      <c r="T1752" s="81"/>
      <c r="U1752" s="81"/>
      <c r="V1752" s="94"/>
      <c r="W1752" s="94"/>
    </row>
    <row r="1753" spans="1:23" ht="21" customHeight="1">
      <c r="A1753">
        <f>Table4[[#This Row],[Column1]]</f>
        <v>0</v>
      </c>
      <c r="B1753">
        <f>Table4[[#This Row],[Column2]]</f>
        <v>0</v>
      </c>
      <c r="C1753" s="81"/>
      <c r="D1753" s="81"/>
      <c r="E1753" s="81"/>
      <c r="F1753" s="81"/>
      <c r="G1753" s="81"/>
      <c r="H1753" s="81"/>
      <c r="I1753" s="81"/>
      <c r="J1753" s="81"/>
      <c r="K1753" s="81"/>
      <c r="L1753" s="81"/>
      <c r="M1753" s="81"/>
      <c r="N1753" s="81"/>
      <c r="O1753" s="81"/>
      <c r="P1753" s="81"/>
      <c r="Q1753" s="81"/>
      <c r="R1753" s="81"/>
      <c r="S1753" s="81"/>
      <c r="T1753" s="81"/>
      <c r="U1753" s="81"/>
      <c r="V1753" s="94"/>
      <c r="W1753" s="94"/>
    </row>
    <row r="1754" spans="1:23" ht="21" customHeight="1">
      <c r="A1754">
        <f>Table4[[#This Row],[Column1]]</f>
        <v>0</v>
      </c>
      <c r="B1754">
        <f>Table4[[#This Row],[Column2]]</f>
        <v>0</v>
      </c>
      <c r="C1754" s="81"/>
      <c r="D1754" s="81"/>
      <c r="E1754" s="81"/>
      <c r="F1754" s="81"/>
      <c r="G1754" s="81"/>
      <c r="H1754" s="81"/>
      <c r="I1754" s="81"/>
      <c r="J1754" s="81"/>
      <c r="K1754" s="81"/>
      <c r="L1754" s="81"/>
      <c r="M1754" s="81"/>
      <c r="N1754" s="81"/>
      <c r="O1754" s="81"/>
      <c r="P1754" s="81"/>
      <c r="Q1754" s="81"/>
      <c r="R1754" s="81"/>
      <c r="S1754" s="81"/>
      <c r="T1754" s="81"/>
      <c r="U1754" s="81"/>
      <c r="V1754" s="94"/>
      <c r="W1754" s="94"/>
    </row>
    <row r="1755" spans="1:23" ht="21" customHeight="1">
      <c r="A1755">
        <f>Table4[[#This Row],[Column1]]</f>
        <v>0</v>
      </c>
      <c r="B1755">
        <f>Table4[[#This Row],[Column2]]</f>
        <v>0</v>
      </c>
      <c r="C1755" s="81"/>
      <c r="D1755" s="81"/>
      <c r="E1755" s="81"/>
      <c r="F1755" s="81"/>
      <c r="G1755" s="81"/>
      <c r="H1755" s="81"/>
      <c r="I1755" s="81"/>
      <c r="J1755" s="81"/>
      <c r="K1755" s="81"/>
      <c r="L1755" s="81"/>
      <c r="M1755" s="81"/>
      <c r="N1755" s="81"/>
      <c r="O1755" s="81"/>
      <c r="P1755" s="81"/>
      <c r="Q1755" s="81"/>
      <c r="R1755" s="81"/>
      <c r="S1755" s="81"/>
      <c r="T1755" s="81"/>
      <c r="U1755" s="81"/>
      <c r="V1755" s="94"/>
      <c r="W1755" s="94"/>
    </row>
    <row r="1756" spans="1:23" ht="21" customHeight="1">
      <c r="A1756">
        <f>Table4[[#This Row],[Column1]]</f>
        <v>0</v>
      </c>
      <c r="B1756">
        <f>Table4[[#This Row],[Column2]]</f>
        <v>0</v>
      </c>
      <c r="C1756" s="81"/>
      <c r="D1756" s="81"/>
      <c r="E1756" s="81"/>
      <c r="F1756" s="81"/>
      <c r="G1756" s="81"/>
      <c r="H1756" s="81"/>
      <c r="I1756" s="81"/>
      <c r="J1756" s="81"/>
      <c r="K1756" s="81"/>
      <c r="L1756" s="81"/>
      <c r="M1756" s="81"/>
      <c r="N1756" s="81"/>
      <c r="O1756" s="81"/>
      <c r="P1756" s="81"/>
      <c r="Q1756" s="81"/>
      <c r="R1756" s="81"/>
      <c r="S1756" s="81"/>
      <c r="T1756" s="81"/>
      <c r="U1756" s="81"/>
      <c r="V1756" s="94"/>
      <c r="W1756" s="94"/>
    </row>
    <row r="1757" spans="1:23" ht="21" customHeight="1">
      <c r="A1757">
        <f>Table4[[#This Row],[Column1]]</f>
        <v>0</v>
      </c>
      <c r="B1757">
        <f>Table4[[#This Row],[Column2]]</f>
        <v>0</v>
      </c>
      <c r="C1757" s="81"/>
      <c r="D1757" s="81"/>
      <c r="E1757" s="81"/>
      <c r="F1757" s="81"/>
      <c r="G1757" s="81"/>
      <c r="H1757" s="81"/>
      <c r="I1757" s="81"/>
      <c r="J1757" s="81"/>
      <c r="K1757" s="81"/>
      <c r="L1757" s="81"/>
      <c r="M1757" s="81"/>
      <c r="N1757" s="81"/>
      <c r="O1757" s="81"/>
      <c r="P1757" s="81"/>
      <c r="Q1757" s="81"/>
      <c r="R1757" s="81"/>
      <c r="S1757" s="81"/>
      <c r="T1757" s="81"/>
      <c r="U1757" s="81"/>
      <c r="V1757" s="94"/>
      <c r="W1757" s="94"/>
    </row>
    <row r="1758" spans="1:23" ht="21" customHeight="1">
      <c r="A1758">
        <f>Table4[[#This Row],[Column1]]</f>
        <v>0</v>
      </c>
      <c r="B1758">
        <f>Table4[[#This Row],[Column2]]</f>
        <v>0</v>
      </c>
      <c r="C1758" s="81"/>
      <c r="D1758" s="81"/>
      <c r="E1758" s="81"/>
      <c r="F1758" s="81"/>
      <c r="G1758" s="81"/>
      <c r="H1758" s="81"/>
      <c r="I1758" s="81"/>
      <c r="J1758" s="81"/>
      <c r="K1758" s="81"/>
      <c r="L1758" s="81"/>
      <c r="M1758" s="81"/>
      <c r="N1758" s="81"/>
      <c r="O1758" s="81"/>
      <c r="P1758" s="81"/>
      <c r="Q1758" s="81"/>
      <c r="R1758" s="81"/>
      <c r="S1758" s="81"/>
      <c r="T1758" s="81"/>
      <c r="U1758" s="81"/>
      <c r="V1758" s="94"/>
      <c r="W1758" s="94"/>
    </row>
    <row r="1759" spans="1:23" ht="21" customHeight="1">
      <c r="A1759">
        <f>Table4[[#This Row],[Column1]]</f>
        <v>0</v>
      </c>
      <c r="B1759">
        <f>Table4[[#This Row],[Column2]]</f>
        <v>0</v>
      </c>
      <c r="C1759" s="81"/>
      <c r="D1759" s="81"/>
      <c r="E1759" s="81"/>
      <c r="F1759" s="81"/>
      <c r="G1759" s="81"/>
      <c r="H1759" s="81"/>
      <c r="I1759" s="81"/>
      <c r="J1759" s="81"/>
      <c r="K1759" s="81"/>
      <c r="L1759" s="81"/>
      <c r="M1759" s="81"/>
      <c r="N1759" s="81"/>
      <c r="O1759" s="81"/>
      <c r="P1759" s="81"/>
      <c r="Q1759" s="81"/>
      <c r="R1759" s="81"/>
      <c r="S1759" s="81"/>
      <c r="T1759" s="81"/>
      <c r="U1759" s="81"/>
      <c r="V1759" s="94"/>
      <c r="W1759" s="94"/>
    </row>
    <row r="1760" spans="1:23" ht="21" customHeight="1">
      <c r="A1760">
        <f>Table4[[#This Row],[Column1]]</f>
        <v>0</v>
      </c>
      <c r="B1760">
        <f>Table4[[#This Row],[Column2]]</f>
        <v>0</v>
      </c>
      <c r="C1760" s="81"/>
      <c r="D1760" s="81"/>
      <c r="E1760" s="81"/>
      <c r="F1760" s="81"/>
      <c r="G1760" s="81"/>
      <c r="H1760" s="81"/>
      <c r="I1760" s="81"/>
      <c r="J1760" s="81"/>
      <c r="K1760" s="81"/>
      <c r="L1760" s="81"/>
      <c r="M1760" s="81"/>
      <c r="N1760" s="81"/>
      <c r="O1760" s="81"/>
      <c r="P1760" s="81"/>
      <c r="Q1760" s="81"/>
      <c r="R1760" s="81"/>
      <c r="S1760" s="81"/>
      <c r="T1760" s="81"/>
      <c r="U1760" s="81"/>
      <c r="V1760" s="94"/>
      <c r="W1760" s="94"/>
    </row>
    <row r="1761" spans="1:23" ht="21" customHeight="1">
      <c r="A1761">
        <f>Table4[[#This Row],[Column1]]</f>
        <v>0</v>
      </c>
      <c r="B1761">
        <f>Table4[[#This Row],[Column2]]</f>
        <v>0</v>
      </c>
      <c r="C1761" s="81"/>
      <c r="D1761" s="81"/>
      <c r="E1761" s="81"/>
      <c r="F1761" s="81"/>
      <c r="G1761" s="81"/>
      <c r="H1761" s="81"/>
      <c r="I1761" s="81"/>
      <c r="J1761" s="81"/>
      <c r="K1761" s="81"/>
      <c r="L1761" s="81"/>
      <c r="M1761" s="81"/>
      <c r="N1761" s="81"/>
      <c r="O1761" s="81"/>
      <c r="P1761" s="81"/>
      <c r="Q1761" s="81"/>
      <c r="R1761" s="81"/>
      <c r="S1761" s="81"/>
      <c r="T1761" s="81"/>
      <c r="U1761" s="81"/>
      <c r="V1761" s="94"/>
      <c r="W1761" s="94"/>
    </row>
    <row r="1762" spans="1:23" ht="21" customHeight="1">
      <c r="A1762">
        <f>Table4[[#This Row],[Column1]]</f>
        <v>0</v>
      </c>
      <c r="B1762">
        <f>Table4[[#This Row],[Column2]]</f>
        <v>0</v>
      </c>
      <c r="C1762" s="81"/>
      <c r="D1762" s="81"/>
      <c r="E1762" s="81"/>
      <c r="F1762" s="81"/>
      <c r="G1762" s="81"/>
      <c r="H1762" s="81"/>
      <c r="I1762" s="81"/>
      <c r="J1762" s="81"/>
      <c r="K1762" s="81"/>
      <c r="L1762" s="81"/>
      <c r="M1762" s="81"/>
      <c r="N1762" s="81"/>
      <c r="O1762" s="81"/>
      <c r="P1762" s="81"/>
      <c r="Q1762" s="81"/>
      <c r="R1762" s="81"/>
      <c r="S1762" s="81"/>
      <c r="T1762" s="81"/>
      <c r="U1762" s="81"/>
      <c r="V1762" s="94"/>
      <c r="W1762" s="94"/>
    </row>
    <row r="1763" spans="1:23" ht="21" customHeight="1">
      <c r="A1763">
        <f>Table4[[#This Row],[Column1]]</f>
        <v>0</v>
      </c>
      <c r="B1763">
        <f>Table4[[#This Row],[Column2]]</f>
        <v>0</v>
      </c>
      <c r="C1763" s="81"/>
      <c r="D1763" s="81"/>
      <c r="E1763" s="81"/>
      <c r="F1763" s="81"/>
      <c r="G1763" s="81"/>
      <c r="H1763" s="81"/>
      <c r="I1763" s="81"/>
      <c r="J1763" s="81"/>
      <c r="K1763" s="81"/>
      <c r="L1763" s="81"/>
      <c r="M1763" s="81"/>
      <c r="N1763" s="81"/>
      <c r="O1763" s="81"/>
      <c r="P1763" s="81"/>
      <c r="Q1763" s="81"/>
      <c r="R1763" s="81"/>
      <c r="S1763" s="81"/>
      <c r="T1763" s="81"/>
      <c r="U1763" s="81"/>
      <c r="V1763" s="94"/>
      <c r="W1763" s="94"/>
    </row>
    <row r="1764" spans="1:23" ht="21" customHeight="1">
      <c r="A1764">
        <f>Table4[[#This Row],[Column1]]</f>
        <v>0</v>
      </c>
      <c r="B1764">
        <f>Table4[[#This Row],[Column2]]</f>
        <v>0</v>
      </c>
      <c r="C1764" s="81"/>
      <c r="D1764" s="81"/>
      <c r="E1764" s="81"/>
      <c r="F1764" s="81"/>
      <c r="G1764" s="81"/>
      <c r="H1764" s="81"/>
      <c r="I1764" s="81"/>
      <c r="J1764" s="81"/>
      <c r="K1764" s="81"/>
      <c r="L1764" s="81"/>
      <c r="M1764" s="81"/>
      <c r="N1764" s="81"/>
      <c r="O1764" s="81"/>
      <c r="P1764" s="81"/>
      <c r="Q1764" s="81"/>
      <c r="R1764" s="81"/>
      <c r="S1764" s="81"/>
      <c r="T1764" s="81"/>
      <c r="U1764" s="81"/>
      <c r="V1764" s="94"/>
      <c r="W1764" s="94"/>
    </row>
    <row r="1765" spans="1:23" ht="21" customHeight="1">
      <c r="A1765">
        <f>Table4[[#This Row],[Column1]]</f>
        <v>0</v>
      </c>
      <c r="B1765">
        <f>Table4[[#This Row],[Column2]]</f>
        <v>0</v>
      </c>
      <c r="C1765" s="81"/>
      <c r="D1765" s="81"/>
      <c r="E1765" s="81"/>
      <c r="F1765" s="81"/>
      <c r="G1765" s="81"/>
      <c r="H1765" s="81"/>
      <c r="I1765" s="81"/>
      <c r="J1765" s="81"/>
      <c r="K1765" s="81"/>
      <c r="L1765" s="81"/>
      <c r="M1765" s="81"/>
      <c r="N1765" s="81"/>
      <c r="O1765" s="81"/>
      <c r="P1765" s="81"/>
      <c r="Q1765" s="81"/>
      <c r="R1765" s="81"/>
      <c r="S1765" s="81"/>
      <c r="T1765" s="81"/>
      <c r="U1765" s="81"/>
      <c r="V1765" s="94"/>
      <c r="W1765" s="94"/>
    </row>
    <row r="1766" spans="1:23" ht="21" customHeight="1">
      <c r="A1766">
        <f>Table4[[#This Row],[Column1]]</f>
        <v>0</v>
      </c>
      <c r="B1766">
        <f>Table4[[#This Row],[Column2]]</f>
        <v>0</v>
      </c>
      <c r="C1766" s="81"/>
      <c r="D1766" s="81"/>
      <c r="E1766" s="81"/>
      <c r="F1766" s="81"/>
      <c r="G1766" s="81"/>
      <c r="H1766" s="81"/>
      <c r="I1766" s="81"/>
      <c r="J1766" s="81"/>
      <c r="K1766" s="81"/>
      <c r="L1766" s="81"/>
      <c r="M1766" s="81"/>
      <c r="N1766" s="81"/>
      <c r="O1766" s="81"/>
      <c r="P1766" s="81"/>
      <c r="Q1766" s="81"/>
      <c r="R1766" s="81"/>
      <c r="S1766" s="81"/>
      <c r="T1766" s="81"/>
      <c r="U1766" s="81"/>
      <c r="V1766" s="94"/>
      <c r="W1766" s="94"/>
    </row>
    <row r="1767" spans="1:23" ht="21" customHeight="1">
      <c r="A1767">
        <f>Table4[[#This Row],[Column1]]</f>
        <v>0</v>
      </c>
      <c r="B1767">
        <f>Table4[[#This Row],[Column2]]</f>
        <v>0</v>
      </c>
      <c r="C1767" s="81"/>
      <c r="D1767" s="81"/>
      <c r="E1767" s="81"/>
      <c r="F1767" s="81"/>
      <c r="G1767" s="81"/>
      <c r="H1767" s="81"/>
      <c r="I1767" s="81"/>
      <c r="J1767" s="81"/>
      <c r="K1767" s="81"/>
      <c r="L1767" s="81"/>
      <c r="M1767" s="81"/>
      <c r="N1767" s="81"/>
      <c r="O1767" s="81"/>
      <c r="P1767" s="81"/>
      <c r="Q1767" s="81"/>
      <c r="R1767" s="81"/>
      <c r="S1767" s="81"/>
      <c r="T1767" s="81"/>
      <c r="U1767" s="81"/>
      <c r="V1767" s="94"/>
      <c r="W1767" s="94"/>
    </row>
    <row r="1768" spans="1:23" ht="21" customHeight="1">
      <c r="A1768">
        <f>Table4[[#This Row],[Column1]]</f>
        <v>0</v>
      </c>
      <c r="B1768">
        <f>Table4[[#This Row],[Column2]]</f>
        <v>0</v>
      </c>
      <c r="C1768" s="81"/>
      <c r="D1768" s="81"/>
      <c r="E1768" s="81"/>
      <c r="F1768" s="81"/>
      <c r="G1768" s="81"/>
      <c r="H1768" s="81"/>
      <c r="I1768" s="81"/>
      <c r="J1768" s="81"/>
      <c r="K1768" s="81"/>
      <c r="L1768" s="81"/>
      <c r="M1768" s="81"/>
      <c r="N1768" s="81"/>
      <c r="O1768" s="81"/>
      <c r="P1768" s="81"/>
      <c r="Q1768" s="81"/>
      <c r="R1768" s="81"/>
      <c r="S1768" s="81"/>
      <c r="T1768" s="81"/>
      <c r="U1768" s="81"/>
      <c r="V1768" s="94"/>
      <c r="W1768" s="94"/>
    </row>
    <row r="1769" spans="1:23" ht="21" customHeight="1">
      <c r="A1769">
        <f>Table4[[#This Row],[Column1]]</f>
        <v>0</v>
      </c>
      <c r="B1769">
        <f>Table4[[#This Row],[Column2]]</f>
        <v>0</v>
      </c>
      <c r="C1769" s="81"/>
      <c r="D1769" s="81"/>
      <c r="E1769" s="81"/>
      <c r="F1769" s="81"/>
      <c r="G1769" s="81"/>
      <c r="H1769" s="81"/>
      <c r="I1769" s="81"/>
      <c r="J1769" s="81"/>
      <c r="K1769" s="81"/>
      <c r="L1769" s="81"/>
      <c r="M1769" s="81"/>
      <c r="N1769" s="81"/>
      <c r="O1769" s="81"/>
      <c r="P1769" s="81"/>
      <c r="Q1769" s="81"/>
      <c r="R1769" s="81"/>
      <c r="S1769" s="81"/>
      <c r="T1769" s="81"/>
      <c r="U1769" s="81"/>
      <c r="V1769" s="94"/>
      <c r="W1769" s="94"/>
    </row>
    <row r="1770" spans="1:23" ht="21" customHeight="1">
      <c r="A1770">
        <f>Table4[[#This Row],[Column1]]</f>
        <v>0</v>
      </c>
      <c r="B1770">
        <f>Table4[[#This Row],[Column2]]</f>
        <v>0</v>
      </c>
      <c r="C1770" s="81"/>
      <c r="D1770" s="81"/>
      <c r="E1770" s="81"/>
      <c r="F1770" s="81"/>
      <c r="G1770" s="81"/>
      <c r="H1770" s="81"/>
      <c r="I1770" s="81"/>
      <c r="J1770" s="81"/>
      <c r="K1770" s="81"/>
      <c r="L1770" s="81"/>
      <c r="M1770" s="81"/>
      <c r="N1770" s="81"/>
      <c r="O1770" s="81"/>
      <c r="P1770" s="81"/>
      <c r="Q1770" s="81"/>
      <c r="R1770" s="81"/>
      <c r="S1770" s="81"/>
      <c r="T1770" s="81"/>
      <c r="U1770" s="81"/>
      <c r="V1770" s="94"/>
      <c r="W1770" s="94"/>
    </row>
    <row r="1771" spans="1:23" ht="21" customHeight="1">
      <c r="A1771">
        <f>Table4[[#This Row],[Column1]]</f>
        <v>0</v>
      </c>
      <c r="B1771">
        <f>Table4[[#This Row],[Column2]]</f>
        <v>0</v>
      </c>
      <c r="C1771" s="81"/>
      <c r="D1771" s="81"/>
      <c r="E1771" s="81"/>
      <c r="F1771" s="81"/>
      <c r="G1771" s="81"/>
      <c r="H1771" s="81"/>
      <c r="I1771" s="81"/>
      <c r="J1771" s="81"/>
      <c r="K1771" s="81"/>
      <c r="L1771" s="81"/>
      <c r="M1771" s="81"/>
      <c r="N1771" s="81"/>
      <c r="O1771" s="81"/>
      <c r="P1771" s="81"/>
      <c r="Q1771" s="81"/>
      <c r="R1771" s="81"/>
      <c r="S1771" s="81"/>
      <c r="T1771" s="81"/>
      <c r="U1771" s="81"/>
      <c r="V1771" s="94"/>
      <c r="W1771" s="94"/>
    </row>
    <row r="1772" spans="1:23" ht="21" customHeight="1">
      <c r="A1772">
        <f>Table4[[#This Row],[Column1]]</f>
        <v>0</v>
      </c>
      <c r="B1772">
        <f>Table4[[#This Row],[Column2]]</f>
        <v>0</v>
      </c>
      <c r="C1772" s="81"/>
      <c r="D1772" s="81"/>
      <c r="E1772" s="81"/>
      <c r="F1772" s="81"/>
      <c r="G1772" s="81"/>
      <c r="H1772" s="81"/>
      <c r="I1772" s="81"/>
      <c r="J1772" s="81"/>
      <c r="K1772" s="81"/>
      <c r="L1772" s="81"/>
      <c r="M1772" s="81"/>
      <c r="N1772" s="81"/>
      <c r="O1772" s="81"/>
      <c r="P1772" s="81"/>
      <c r="Q1772" s="81"/>
      <c r="R1772" s="81"/>
      <c r="S1772" s="81"/>
      <c r="T1772" s="81"/>
      <c r="U1772" s="81"/>
      <c r="V1772" s="94"/>
      <c r="W1772" s="94"/>
    </row>
    <row r="1773" spans="1:23" ht="21" customHeight="1">
      <c r="A1773">
        <f>Table4[[#This Row],[Column1]]</f>
        <v>0</v>
      </c>
      <c r="B1773">
        <f>Table4[[#This Row],[Column2]]</f>
        <v>0</v>
      </c>
      <c r="C1773" s="81"/>
      <c r="D1773" s="81"/>
      <c r="E1773" s="81"/>
      <c r="F1773" s="81"/>
      <c r="G1773" s="81"/>
      <c r="H1773" s="81"/>
      <c r="I1773" s="81"/>
      <c r="J1773" s="81"/>
      <c r="K1773" s="81"/>
      <c r="L1773" s="81"/>
      <c r="M1773" s="81"/>
      <c r="N1773" s="81"/>
      <c r="O1773" s="81"/>
      <c r="P1773" s="81"/>
      <c r="Q1773" s="81"/>
      <c r="R1773" s="81"/>
      <c r="S1773" s="81"/>
      <c r="T1773" s="81"/>
      <c r="U1773" s="81"/>
      <c r="V1773" s="94"/>
      <c r="W1773" s="94"/>
    </row>
    <row r="1774" spans="1:23" ht="21" customHeight="1">
      <c r="A1774">
        <f>Table4[[#This Row],[Column1]]</f>
        <v>0</v>
      </c>
      <c r="B1774">
        <f>Table4[[#This Row],[Column2]]</f>
        <v>0</v>
      </c>
      <c r="C1774" s="81"/>
      <c r="D1774" s="81"/>
      <c r="E1774" s="81"/>
      <c r="F1774" s="81"/>
      <c r="G1774" s="81"/>
      <c r="H1774" s="81"/>
      <c r="I1774" s="81"/>
      <c r="J1774" s="81"/>
      <c r="K1774" s="81"/>
      <c r="L1774" s="81"/>
      <c r="M1774" s="81"/>
      <c r="N1774" s="81"/>
      <c r="O1774" s="81"/>
      <c r="P1774" s="81"/>
      <c r="Q1774" s="81"/>
      <c r="R1774" s="81"/>
      <c r="S1774" s="81"/>
      <c r="T1774" s="81"/>
      <c r="U1774" s="81"/>
      <c r="V1774" s="94"/>
      <c r="W1774" s="94"/>
    </row>
    <row r="1775" spans="1:23" ht="21" customHeight="1">
      <c r="A1775">
        <f>Table4[[#This Row],[Column1]]</f>
        <v>0</v>
      </c>
      <c r="B1775">
        <f>Table4[[#This Row],[Column2]]</f>
        <v>0</v>
      </c>
      <c r="C1775" s="81"/>
      <c r="D1775" s="81"/>
      <c r="E1775" s="81"/>
      <c r="F1775" s="81"/>
      <c r="G1775" s="81"/>
      <c r="H1775" s="81"/>
      <c r="I1775" s="81"/>
      <c r="J1775" s="81"/>
      <c r="K1775" s="81"/>
      <c r="L1775" s="81"/>
      <c r="M1775" s="81"/>
      <c r="N1775" s="81"/>
      <c r="O1775" s="81"/>
      <c r="P1775" s="81"/>
      <c r="Q1775" s="81"/>
      <c r="R1775" s="81"/>
      <c r="S1775" s="81"/>
      <c r="T1775" s="81"/>
      <c r="U1775" s="81"/>
      <c r="V1775" s="94"/>
      <c r="W1775" s="94"/>
    </row>
    <row r="1776" spans="1:23" ht="21" customHeight="1">
      <c r="A1776">
        <f>Table4[[#This Row],[Column1]]</f>
        <v>0</v>
      </c>
      <c r="B1776">
        <f>Table4[[#This Row],[Column2]]</f>
        <v>0</v>
      </c>
      <c r="C1776" s="81"/>
      <c r="D1776" s="81"/>
      <c r="E1776" s="81"/>
      <c r="F1776" s="81"/>
      <c r="G1776" s="81"/>
      <c r="H1776" s="81"/>
      <c r="I1776" s="81"/>
      <c r="J1776" s="81"/>
      <c r="K1776" s="81"/>
      <c r="L1776" s="81"/>
      <c r="M1776" s="81"/>
      <c r="N1776" s="81"/>
      <c r="O1776" s="81"/>
      <c r="P1776" s="81"/>
      <c r="Q1776" s="81"/>
      <c r="R1776" s="81"/>
      <c r="S1776" s="81"/>
      <c r="T1776" s="81"/>
      <c r="U1776" s="81"/>
      <c r="V1776" s="94"/>
      <c r="W1776" s="94"/>
    </row>
    <row r="1777" spans="1:23" ht="21" customHeight="1">
      <c r="A1777">
        <f>Table4[[#This Row],[Column1]]</f>
        <v>0</v>
      </c>
      <c r="B1777">
        <f>Table4[[#This Row],[Column2]]</f>
        <v>0</v>
      </c>
      <c r="C1777" s="81"/>
      <c r="D1777" s="81"/>
      <c r="E1777" s="81"/>
      <c r="F1777" s="81"/>
      <c r="G1777" s="81"/>
      <c r="H1777" s="81"/>
      <c r="I1777" s="81"/>
      <c r="J1777" s="81"/>
      <c r="K1777" s="81"/>
      <c r="L1777" s="81"/>
      <c r="M1777" s="81"/>
      <c r="N1777" s="81"/>
      <c r="O1777" s="81"/>
      <c r="P1777" s="81"/>
      <c r="Q1777" s="81"/>
      <c r="R1777" s="81"/>
      <c r="S1777" s="81"/>
      <c r="T1777" s="81"/>
      <c r="U1777" s="81"/>
      <c r="V1777" s="94"/>
      <c r="W1777" s="94"/>
    </row>
    <row r="1778" spans="1:23" ht="21" customHeight="1">
      <c r="A1778">
        <f>Table4[[#This Row],[Column1]]</f>
        <v>0</v>
      </c>
      <c r="B1778">
        <f>Table4[[#This Row],[Column2]]</f>
        <v>0</v>
      </c>
      <c r="C1778" s="81"/>
      <c r="D1778" s="81"/>
      <c r="E1778" s="81"/>
      <c r="F1778" s="81"/>
      <c r="G1778" s="81"/>
      <c r="H1778" s="81"/>
      <c r="I1778" s="81"/>
      <c r="J1778" s="81"/>
      <c r="K1778" s="81"/>
      <c r="L1778" s="81"/>
      <c r="M1778" s="81"/>
      <c r="N1778" s="81"/>
      <c r="O1778" s="81"/>
      <c r="P1778" s="81"/>
      <c r="Q1778" s="81"/>
      <c r="R1778" s="81"/>
      <c r="S1778" s="81"/>
      <c r="T1778" s="81"/>
      <c r="U1778" s="81"/>
      <c r="V1778" s="94"/>
      <c r="W1778" s="94"/>
    </row>
    <row r="1779" spans="1:23" ht="21" customHeight="1">
      <c r="A1779">
        <f>Table4[[#This Row],[Column1]]</f>
        <v>0</v>
      </c>
      <c r="B1779">
        <f>Table4[[#This Row],[Column2]]</f>
        <v>0</v>
      </c>
      <c r="C1779" s="81"/>
      <c r="D1779" s="81"/>
      <c r="E1779" s="81"/>
      <c r="F1779" s="81"/>
      <c r="G1779" s="81"/>
      <c r="H1779" s="81"/>
      <c r="I1779" s="81"/>
      <c r="J1779" s="81"/>
      <c r="K1779" s="81"/>
      <c r="L1779" s="81"/>
      <c r="M1779" s="81"/>
      <c r="N1779" s="81"/>
      <c r="O1779" s="81"/>
      <c r="P1779" s="81"/>
      <c r="Q1779" s="81"/>
      <c r="R1779" s="81"/>
      <c r="S1779" s="81"/>
      <c r="T1779" s="81"/>
      <c r="U1779" s="81"/>
      <c r="V1779" s="94"/>
      <c r="W1779" s="94"/>
    </row>
    <row r="1780" spans="1:23" ht="21" customHeight="1">
      <c r="A1780">
        <f>Table4[[#This Row],[Column1]]</f>
        <v>0</v>
      </c>
      <c r="B1780">
        <f>Table4[[#This Row],[Column2]]</f>
        <v>0</v>
      </c>
      <c r="C1780" s="81"/>
      <c r="D1780" s="81"/>
      <c r="E1780" s="81"/>
      <c r="F1780" s="81"/>
      <c r="G1780" s="81"/>
      <c r="H1780" s="81"/>
      <c r="I1780" s="81"/>
      <c r="J1780" s="81"/>
      <c r="K1780" s="81"/>
      <c r="L1780" s="81"/>
      <c r="M1780" s="81"/>
      <c r="N1780" s="81"/>
      <c r="O1780" s="81"/>
      <c r="P1780" s="81"/>
      <c r="Q1780" s="81"/>
      <c r="R1780" s="81"/>
      <c r="S1780" s="81"/>
      <c r="T1780" s="81"/>
      <c r="U1780" s="81"/>
      <c r="V1780" s="94"/>
      <c r="W1780" s="94"/>
    </row>
    <row r="1781" spans="1:23" ht="21" customHeight="1">
      <c r="A1781">
        <f>Table4[[#This Row],[Column1]]</f>
        <v>0</v>
      </c>
      <c r="B1781">
        <f>Table4[[#This Row],[Column2]]</f>
        <v>0</v>
      </c>
      <c r="C1781" s="81"/>
      <c r="D1781" s="81"/>
      <c r="E1781" s="81"/>
      <c r="F1781" s="81"/>
      <c r="G1781" s="81"/>
      <c r="H1781" s="81"/>
      <c r="I1781" s="81"/>
      <c r="J1781" s="81"/>
      <c r="K1781" s="81"/>
      <c r="L1781" s="81"/>
      <c r="M1781" s="81"/>
      <c r="N1781" s="81"/>
      <c r="O1781" s="81"/>
      <c r="P1781" s="81"/>
      <c r="Q1781" s="81"/>
      <c r="R1781" s="81"/>
      <c r="S1781" s="81"/>
      <c r="T1781" s="81"/>
      <c r="U1781" s="81"/>
      <c r="V1781" s="94"/>
      <c r="W1781" s="94"/>
    </row>
    <row r="1782" spans="1:23" ht="21" customHeight="1">
      <c r="A1782">
        <f>Table4[[#This Row],[Column1]]</f>
        <v>0</v>
      </c>
      <c r="B1782">
        <f>Table4[[#This Row],[Column2]]</f>
        <v>0</v>
      </c>
      <c r="C1782" s="81"/>
      <c r="D1782" s="81"/>
      <c r="E1782" s="81"/>
      <c r="F1782" s="81"/>
      <c r="G1782" s="81"/>
      <c r="H1782" s="81"/>
      <c r="I1782" s="81"/>
      <c r="J1782" s="81"/>
      <c r="K1782" s="81"/>
      <c r="L1782" s="81"/>
      <c r="M1782" s="81"/>
      <c r="N1782" s="81"/>
      <c r="O1782" s="81"/>
      <c r="P1782" s="81"/>
      <c r="Q1782" s="81"/>
      <c r="R1782" s="81"/>
      <c r="S1782" s="81"/>
      <c r="T1782" s="81"/>
      <c r="U1782" s="81"/>
      <c r="V1782" s="94"/>
      <c r="W1782" s="94"/>
    </row>
    <row r="1783" spans="1:23" ht="21" customHeight="1">
      <c r="A1783">
        <f>Table4[[#This Row],[Column1]]</f>
        <v>0</v>
      </c>
      <c r="B1783">
        <f>Table4[[#This Row],[Column2]]</f>
        <v>0</v>
      </c>
      <c r="C1783" s="81"/>
      <c r="D1783" s="81"/>
      <c r="E1783" s="81"/>
      <c r="F1783" s="81"/>
      <c r="G1783" s="81"/>
      <c r="H1783" s="81"/>
      <c r="I1783" s="81"/>
      <c r="J1783" s="81"/>
      <c r="K1783" s="81"/>
      <c r="L1783" s="81"/>
      <c r="M1783" s="81"/>
      <c r="N1783" s="81"/>
      <c r="O1783" s="81"/>
      <c r="P1783" s="81"/>
      <c r="Q1783" s="81"/>
      <c r="R1783" s="81"/>
      <c r="S1783" s="81"/>
      <c r="T1783" s="81"/>
      <c r="U1783" s="81"/>
      <c r="V1783" s="94"/>
      <c r="W1783" s="94"/>
    </row>
    <row r="1784" spans="1:23" ht="21" customHeight="1">
      <c r="A1784">
        <f>Table4[[#This Row],[Column1]]</f>
        <v>0</v>
      </c>
      <c r="B1784">
        <f>Table4[[#This Row],[Column2]]</f>
        <v>0</v>
      </c>
      <c r="C1784" s="81"/>
      <c r="D1784" s="81"/>
      <c r="E1784" s="81"/>
      <c r="F1784" s="81"/>
      <c r="G1784" s="81"/>
      <c r="H1784" s="81"/>
      <c r="I1784" s="81"/>
      <c r="J1784" s="81"/>
      <c r="K1784" s="81"/>
      <c r="L1784" s="81"/>
      <c r="M1784" s="81"/>
      <c r="N1784" s="81"/>
      <c r="O1784" s="81"/>
      <c r="P1784" s="81"/>
      <c r="Q1784" s="81"/>
      <c r="R1784" s="81"/>
      <c r="S1784" s="81"/>
      <c r="T1784" s="81"/>
      <c r="U1784" s="81"/>
      <c r="V1784" s="94"/>
      <c r="W1784" s="94"/>
    </row>
    <row r="1785" spans="1:23" ht="21" customHeight="1">
      <c r="A1785">
        <f>Table4[[#This Row],[Column1]]</f>
        <v>0</v>
      </c>
      <c r="B1785">
        <f>Table4[[#This Row],[Column2]]</f>
        <v>0</v>
      </c>
      <c r="C1785" s="81"/>
      <c r="D1785" s="81"/>
      <c r="E1785" s="81"/>
      <c r="F1785" s="81"/>
      <c r="G1785" s="81"/>
      <c r="H1785" s="81"/>
      <c r="I1785" s="81"/>
      <c r="J1785" s="81"/>
      <c r="K1785" s="81"/>
      <c r="L1785" s="81"/>
      <c r="M1785" s="81"/>
      <c r="N1785" s="81"/>
      <c r="O1785" s="81"/>
      <c r="P1785" s="81"/>
      <c r="Q1785" s="81"/>
      <c r="R1785" s="81"/>
      <c r="S1785" s="81"/>
      <c r="T1785" s="81"/>
      <c r="U1785" s="81"/>
      <c r="V1785" s="94"/>
      <c r="W1785" s="94"/>
    </row>
    <row r="1786" spans="1:23" ht="21" customHeight="1">
      <c r="A1786">
        <f>Table4[[#This Row],[Column1]]</f>
        <v>0</v>
      </c>
      <c r="B1786">
        <f>Table4[[#This Row],[Column2]]</f>
        <v>0</v>
      </c>
      <c r="C1786" s="81"/>
      <c r="D1786" s="81"/>
      <c r="E1786" s="81"/>
      <c r="F1786" s="81"/>
      <c r="G1786" s="81"/>
      <c r="H1786" s="81"/>
      <c r="I1786" s="81"/>
      <c r="J1786" s="81"/>
      <c r="K1786" s="81"/>
      <c r="L1786" s="81"/>
      <c r="M1786" s="81"/>
      <c r="N1786" s="81"/>
      <c r="O1786" s="81"/>
      <c r="P1786" s="81"/>
      <c r="Q1786" s="81"/>
      <c r="R1786" s="81"/>
      <c r="S1786" s="81"/>
      <c r="T1786" s="81"/>
      <c r="U1786" s="81"/>
      <c r="V1786" s="94"/>
      <c r="W1786" s="94"/>
    </row>
    <row r="1787" spans="1:23" ht="21" customHeight="1">
      <c r="A1787">
        <f>Table4[[#This Row],[Column1]]</f>
        <v>0</v>
      </c>
      <c r="B1787">
        <f>Table4[[#This Row],[Column2]]</f>
        <v>0</v>
      </c>
      <c r="C1787" s="81"/>
      <c r="D1787" s="81"/>
      <c r="E1787" s="81"/>
      <c r="F1787" s="81"/>
      <c r="G1787" s="81"/>
      <c r="H1787" s="81"/>
      <c r="I1787" s="81"/>
      <c r="J1787" s="81"/>
      <c r="K1787" s="81"/>
      <c r="L1787" s="81"/>
      <c r="M1787" s="81"/>
      <c r="N1787" s="81"/>
      <c r="O1787" s="81"/>
      <c r="P1787" s="81"/>
      <c r="Q1787" s="81"/>
      <c r="R1787" s="81"/>
      <c r="S1787" s="81"/>
      <c r="T1787" s="81"/>
      <c r="U1787" s="81"/>
      <c r="V1787" s="94"/>
      <c r="W1787" s="94"/>
    </row>
    <row r="1788" spans="1:23" ht="21" customHeight="1">
      <c r="A1788">
        <f>Table4[[#This Row],[Column1]]</f>
        <v>0</v>
      </c>
      <c r="B1788">
        <f>Table4[[#This Row],[Column2]]</f>
        <v>0</v>
      </c>
      <c r="C1788" s="81"/>
      <c r="D1788" s="81"/>
      <c r="E1788" s="81"/>
      <c r="F1788" s="81"/>
      <c r="G1788" s="81"/>
      <c r="H1788" s="81"/>
      <c r="I1788" s="81"/>
      <c r="J1788" s="81"/>
      <c r="K1788" s="81"/>
      <c r="L1788" s="81"/>
      <c r="M1788" s="81"/>
      <c r="N1788" s="81"/>
      <c r="O1788" s="81"/>
      <c r="P1788" s="81"/>
      <c r="Q1788" s="81"/>
      <c r="R1788" s="81"/>
      <c r="S1788" s="81"/>
      <c r="T1788" s="81"/>
      <c r="U1788" s="81"/>
      <c r="V1788" s="94"/>
      <c r="W1788" s="94"/>
    </row>
    <row r="1789" spans="1:23" ht="21" customHeight="1">
      <c r="A1789">
        <f>Table4[[#This Row],[Column1]]</f>
        <v>0</v>
      </c>
      <c r="B1789">
        <f>Table4[[#This Row],[Column2]]</f>
        <v>0</v>
      </c>
      <c r="C1789" s="81"/>
      <c r="D1789" s="81"/>
      <c r="E1789" s="81"/>
      <c r="F1789" s="81"/>
      <c r="G1789" s="81"/>
      <c r="H1789" s="81"/>
      <c r="I1789" s="81"/>
      <c r="J1789" s="81"/>
      <c r="K1789" s="81"/>
      <c r="L1789" s="81"/>
      <c r="M1789" s="81"/>
      <c r="N1789" s="81"/>
      <c r="O1789" s="81"/>
      <c r="P1789" s="81"/>
      <c r="Q1789" s="81"/>
      <c r="R1789" s="81"/>
      <c r="S1789" s="81"/>
      <c r="T1789" s="81"/>
      <c r="U1789" s="81"/>
      <c r="V1789" s="94"/>
      <c r="W1789" s="94"/>
    </row>
    <row r="1790" spans="1:23" ht="21" customHeight="1">
      <c r="A1790">
        <f>Table4[[#This Row],[Column1]]</f>
        <v>0</v>
      </c>
      <c r="B1790">
        <f>Table4[[#This Row],[Column2]]</f>
        <v>0</v>
      </c>
      <c r="C1790" s="81"/>
      <c r="D1790" s="81"/>
      <c r="E1790" s="81"/>
      <c r="F1790" s="81"/>
      <c r="G1790" s="81"/>
      <c r="H1790" s="81"/>
      <c r="I1790" s="81"/>
      <c r="J1790" s="81"/>
      <c r="K1790" s="81"/>
      <c r="L1790" s="81"/>
      <c r="M1790" s="81"/>
      <c r="N1790" s="81"/>
      <c r="O1790" s="81"/>
      <c r="P1790" s="81"/>
      <c r="Q1790" s="81"/>
      <c r="R1790" s="81"/>
      <c r="S1790" s="81"/>
      <c r="T1790" s="81"/>
      <c r="U1790" s="81"/>
      <c r="V1790" s="94"/>
      <c r="W1790" s="94"/>
    </row>
    <row r="1791" spans="1:23" ht="21" customHeight="1">
      <c r="A1791">
        <f>Table4[[#This Row],[Column1]]</f>
        <v>0</v>
      </c>
      <c r="B1791">
        <f>Table4[[#This Row],[Column2]]</f>
        <v>0</v>
      </c>
      <c r="C1791" s="81"/>
      <c r="D1791" s="81"/>
      <c r="E1791" s="81"/>
      <c r="F1791" s="81"/>
      <c r="G1791" s="81"/>
      <c r="H1791" s="81"/>
      <c r="I1791" s="81"/>
      <c r="J1791" s="81"/>
      <c r="K1791" s="81"/>
      <c r="L1791" s="81"/>
      <c r="M1791" s="81"/>
      <c r="N1791" s="81"/>
      <c r="O1791" s="81"/>
      <c r="P1791" s="81"/>
      <c r="Q1791" s="81"/>
      <c r="R1791" s="81"/>
      <c r="S1791" s="81"/>
      <c r="T1791" s="81"/>
      <c r="U1791" s="81"/>
      <c r="V1791" s="94"/>
      <c r="W1791" s="94"/>
    </row>
    <row r="1792" spans="1:23" ht="21" customHeight="1">
      <c r="A1792">
        <f>Table4[[#This Row],[Column1]]</f>
        <v>0</v>
      </c>
      <c r="B1792">
        <f>Table4[[#This Row],[Column2]]</f>
        <v>0</v>
      </c>
      <c r="C1792" s="81"/>
      <c r="D1792" s="81"/>
      <c r="E1792" s="81"/>
      <c r="F1792" s="81"/>
      <c r="G1792" s="81"/>
      <c r="H1792" s="81"/>
      <c r="I1792" s="81"/>
      <c r="J1792" s="81"/>
      <c r="K1792" s="81"/>
      <c r="L1792" s="81"/>
      <c r="M1792" s="81"/>
      <c r="N1792" s="81"/>
      <c r="O1792" s="81"/>
      <c r="P1792" s="81"/>
      <c r="Q1792" s="81"/>
      <c r="R1792" s="81"/>
      <c r="S1792" s="81"/>
      <c r="T1792" s="81"/>
      <c r="U1792" s="81"/>
      <c r="V1792" s="94"/>
      <c r="W1792" s="94"/>
    </row>
    <row r="1793" spans="1:23" ht="21" customHeight="1">
      <c r="A1793">
        <f>Table4[[#This Row],[Column1]]</f>
        <v>0</v>
      </c>
      <c r="B1793">
        <f>Table4[[#This Row],[Column2]]</f>
        <v>0</v>
      </c>
      <c r="C1793" s="81"/>
      <c r="D1793" s="81"/>
      <c r="E1793" s="81"/>
      <c r="F1793" s="81"/>
      <c r="G1793" s="81"/>
      <c r="H1793" s="81"/>
      <c r="I1793" s="81"/>
      <c r="J1793" s="81"/>
      <c r="K1793" s="81"/>
      <c r="L1793" s="81"/>
      <c r="M1793" s="81"/>
      <c r="N1793" s="81"/>
      <c r="O1793" s="81"/>
      <c r="P1793" s="81"/>
      <c r="Q1793" s="81"/>
      <c r="R1793" s="81"/>
      <c r="S1793" s="81"/>
      <c r="T1793" s="81"/>
      <c r="U1793" s="81"/>
      <c r="V1793" s="94"/>
      <c r="W1793" s="94"/>
    </row>
    <row r="1794" spans="1:23" ht="21" customHeight="1">
      <c r="A1794">
        <f>Table4[[#This Row],[Column1]]</f>
        <v>0</v>
      </c>
      <c r="B1794">
        <f>Table4[[#This Row],[Column2]]</f>
        <v>0</v>
      </c>
      <c r="C1794" s="81"/>
      <c r="D1794" s="81"/>
      <c r="E1794" s="81"/>
      <c r="F1794" s="81"/>
      <c r="G1794" s="81"/>
      <c r="H1794" s="81"/>
      <c r="I1794" s="81"/>
      <c r="J1794" s="81"/>
      <c r="K1794" s="81"/>
      <c r="L1794" s="81"/>
      <c r="M1794" s="81"/>
      <c r="N1794" s="81"/>
      <c r="O1794" s="81"/>
      <c r="P1794" s="81"/>
      <c r="Q1794" s="81"/>
      <c r="R1794" s="81"/>
      <c r="S1794" s="81"/>
      <c r="T1794" s="81"/>
      <c r="U1794" s="81"/>
      <c r="V1794" s="94"/>
      <c r="W1794" s="94"/>
    </row>
    <row r="1795" spans="1:23" ht="21" customHeight="1">
      <c r="A1795">
        <f>Table4[[#This Row],[Column1]]</f>
        <v>0</v>
      </c>
      <c r="B1795">
        <f>Table4[[#This Row],[Column2]]</f>
        <v>0</v>
      </c>
      <c r="C1795" s="81"/>
      <c r="D1795" s="81"/>
      <c r="E1795" s="81"/>
      <c r="F1795" s="81"/>
      <c r="G1795" s="81"/>
      <c r="H1795" s="81"/>
      <c r="I1795" s="81"/>
      <c r="J1795" s="81"/>
      <c r="K1795" s="81"/>
      <c r="L1795" s="81"/>
      <c r="M1795" s="81"/>
      <c r="N1795" s="81"/>
      <c r="O1795" s="81"/>
      <c r="P1795" s="81"/>
      <c r="Q1795" s="81"/>
      <c r="R1795" s="81"/>
      <c r="S1795" s="81"/>
      <c r="T1795" s="81"/>
      <c r="U1795" s="81"/>
      <c r="V1795" s="94"/>
      <c r="W1795" s="94"/>
    </row>
    <row r="1796" spans="1:23" ht="21" customHeight="1">
      <c r="A1796">
        <f>Table4[[#This Row],[Column1]]</f>
        <v>0</v>
      </c>
      <c r="B1796">
        <f>Table4[[#This Row],[Column2]]</f>
        <v>0</v>
      </c>
      <c r="C1796" s="81"/>
      <c r="D1796" s="81"/>
      <c r="E1796" s="81"/>
      <c r="F1796" s="81"/>
      <c r="G1796" s="81"/>
      <c r="H1796" s="81"/>
      <c r="I1796" s="81"/>
      <c r="J1796" s="81"/>
      <c r="K1796" s="81"/>
      <c r="L1796" s="81"/>
      <c r="M1796" s="81"/>
      <c r="N1796" s="81"/>
      <c r="O1796" s="81"/>
      <c r="P1796" s="81"/>
      <c r="Q1796" s="81"/>
      <c r="R1796" s="81"/>
      <c r="S1796" s="81"/>
      <c r="T1796" s="81"/>
      <c r="U1796" s="81"/>
      <c r="V1796" s="94"/>
      <c r="W1796" s="94"/>
    </row>
    <row r="1797" spans="1:23" ht="21" customHeight="1">
      <c r="A1797">
        <f>Table4[[#This Row],[Column1]]</f>
        <v>0</v>
      </c>
      <c r="B1797">
        <f>Table4[[#This Row],[Column2]]</f>
        <v>0</v>
      </c>
      <c r="C1797" s="81"/>
      <c r="D1797" s="81"/>
      <c r="E1797" s="81"/>
      <c r="F1797" s="81"/>
      <c r="G1797" s="81"/>
      <c r="H1797" s="81"/>
      <c r="I1797" s="81"/>
      <c r="J1797" s="81"/>
      <c r="K1797" s="81"/>
      <c r="L1797" s="81"/>
      <c r="M1797" s="81"/>
      <c r="N1797" s="81"/>
      <c r="O1797" s="81"/>
      <c r="P1797" s="81"/>
      <c r="Q1797" s="81"/>
      <c r="R1797" s="81"/>
      <c r="S1797" s="81"/>
      <c r="T1797" s="81"/>
      <c r="U1797" s="81"/>
      <c r="V1797" s="94"/>
      <c r="W1797" s="94"/>
    </row>
    <row r="1798" spans="1:23" ht="21" customHeight="1">
      <c r="A1798">
        <f>Table4[[#This Row],[Column1]]</f>
        <v>0</v>
      </c>
      <c r="B1798">
        <f>Table4[[#This Row],[Column2]]</f>
        <v>0</v>
      </c>
      <c r="C1798" s="81"/>
      <c r="D1798" s="81"/>
      <c r="E1798" s="81"/>
      <c r="F1798" s="81"/>
      <c r="G1798" s="81"/>
      <c r="H1798" s="81"/>
      <c r="I1798" s="81"/>
      <c r="J1798" s="81"/>
      <c r="K1798" s="81"/>
      <c r="L1798" s="81"/>
      <c r="M1798" s="81"/>
      <c r="N1798" s="81"/>
      <c r="O1798" s="81"/>
      <c r="P1798" s="81"/>
      <c r="Q1798" s="81"/>
      <c r="R1798" s="81"/>
      <c r="S1798" s="81"/>
      <c r="T1798" s="81"/>
      <c r="U1798" s="81"/>
      <c r="V1798" s="94"/>
      <c r="W1798" s="94"/>
    </row>
    <row r="1799" spans="1:23" ht="21" customHeight="1">
      <c r="A1799">
        <f>Table4[[#This Row],[Column1]]</f>
        <v>0</v>
      </c>
      <c r="B1799">
        <f>Table4[[#This Row],[Column2]]</f>
        <v>0</v>
      </c>
      <c r="C1799" s="81"/>
      <c r="D1799" s="81"/>
      <c r="E1799" s="81"/>
      <c r="F1799" s="81"/>
      <c r="G1799" s="81"/>
      <c r="H1799" s="81"/>
      <c r="I1799" s="81"/>
      <c r="J1799" s="81"/>
      <c r="K1799" s="81"/>
      <c r="L1799" s="81"/>
      <c r="M1799" s="81"/>
      <c r="N1799" s="81"/>
      <c r="O1799" s="81"/>
      <c r="P1799" s="81"/>
      <c r="Q1799" s="81"/>
      <c r="R1799" s="81"/>
      <c r="S1799" s="81"/>
      <c r="T1799" s="81"/>
      <c r="U1799" s="81"/>
      <c r="V1799" s="94"/>
      <c r="W1799" s="94"/>
    </row>
    <row r="1800" spans="1:23" ht="21" customHeight="1">
      <c r="A1800">
        <f>Table4[[#This Row],[Column1]]</f>
        <v>0</v>
      </c>
      <c r="B1800">
        <f>Table4[[#This Row],[Column2]]</f>
        <v>0</v>
      </c>
      <c r="C1800" s="81"/>
      <c r="D1800" s="81"/>
      <c r="E1800" s="81"/>
      <c r="F1800" s="81"/>
      <c r="G1800" s="81"/>
      <c r="H1800" s="81"/>
      <c r="I1800" s="81"/>
      <c r="J1800" s="81"/>
      <c r="K1800" s="81"/>
      <c r="L1800" s="81"/>
      <c r="M1800" s="81"/>
      <c r="N1800" s="81"/>
      <c r="O1800" s="81"/>
      <c r="P1800" s="81"/>
      <c r="Q1800" s="81"/>
      <c r="R1800" s="81"/>
      <c r="S1800" s="81"/>
      <c r="T1800" s="81"/>
      <c r="U1800" s="81"/>
      <c r="V1800" s="94"/>
      <c r="W1800" s="94"/>
    </row>
    <row r="1801" spans="1:23" ht="21" customHeight="1">
      <c r="A1801">
        <f>Table4[[#This Row],[Column1]]</f>
        <v>0</v>
      </c>
      <c r="B1801">
        <f>Table4[[#This Row],[Column2]]</f>
        <v>0</v>
      </c>
      <c r="C1801" s="81"/>
      <c r="D1801" s="81"/>
      <c r="E1801" s="81"/>
      <c r="F1801" s="81"/>
      <c r="G1801" s="81"/>
      <c r="H1801" s="81"/>
      <c r="I1801" s="81"/>
      <c r="J1801" s="81"/>
      <c r="K1801" s="81"/>
      <c r="L1801" s="81"/>
      <c r="M1801" s="81"/>
      <c r="N1801" s="81"/>
      <c r="O1801" s="81"/>
      <c r="P1801" s="81"/>
      <c r="Q1801" s="81"/>
      <c r="R1801" s="81"/>
      <c r="S1801" s="81"/>
      <c r="T1801" s="81"/>
      <c r="U1801" s="81"/>
      <c r="V1801" s="94"/>
      <c r="W1801" s="94"/>
    </row>
    <row r="1802" spans="1:23" ht="21" customHeight="1">
      <c r="A1802">
        <f>Table4[[#This Row],[Column1]]</f>
        <v>0</v>
      </c>
      <c r="B1802">
        <f>Table4[[#This Row],[Column2]]</f>
        <v>0</v>
      </c>
      <c r="C1802" s="81"/>
      <c r="D1802" s="81"/>
      <c r="E1802" s="81"/>
      <c r="F1802" s="81"/>
      <c r="G1802" s="81"/>
      <c r="H1802" s="81"/>
      <c r="I1802" s="81"/>
      <c r="J1802" s="81"/>
      <c r="K1802" s="81"/>
      <c r="L1802" s="81"/>
      <c r="M1802" s="81"/>
      <c r="N1802" s="81"/>
      <c r="O1802" s="81"/>
      <c r="P1802" s="81"/>
      <c r="Q1802" s="81"/>
      <c r="R1802" s="81"/>
      <c r="S1802" s="81"/>
      <c r="T1802" s="81"/>
      <c r="U1802" s="81"/>
      <c r="V1802" s="94"/>
      <c r="W1802" s="94"/>
    </row>
    <row r="1803" spans="1:23" ht="21" customHeight="1">
      <c r="A1803">
        <f>Table4[[#This Row],[Column1]]</f>
        <v>0</v>
      </c>
      <c r="B1803">
        <f>Table4[[#This Row],[Column2]]</f>
        <v>0</v>
      </c>
      <c r="C1803" s="81"/>
      <c r="D1803" s="81"/>
      <c r="E1803" s="81"/>
      <c r="F1803" s="81"/>
      <c r="G1803" s="81"/>
      <c r="H1803" s="81"/>
      <c r="I1803" s="81"/>
      <c r="J1803" s="81"/>
      <c r="K1803" s="81"/>
      <c r="L1803" s="81"/>
      <c r="M1803" s="81"/>
      <c r="N1803" s="81"/>
      <c r="O1803" s="81"/>
      <c r="P1803" s="81"/>
      <c r="Q1803" s="81"/>
      <c r="R1803" s="81"/>
      <c r="S1803" s="81"/>
      <c r="T1803" s="81"/>
      <c r="U1803" s="81"/>
      <c r="V1803" s="94"/>
      <c r="W1803" s="94"/>
    </row>
    <row r="1804" spans="1:23" ht="21" customHeight="1">
      <c r="A1804">
        <f>Table4[[#This Row],[Column1]]</f>
        <v>0</v>
      </c>
      <c r="B1804">
        <f>Table4[[#This Row],[Column2]]</f>
        <v>0</v>
      </c>
      <c r="C1804" s="81"/>
      <c r="D1804" s="81"/>
      <c r="E1804" s="81"/>
      <c r="F1804" s="81"/>
      <c r="G1804" s="81"/>
      <c r="H1804" s="81"/>
      <c r="I1804" s="81"/>
      <c r="J1804" s="81"/>
      <c r="K1804" s="81"/>
      <c r="L1804" s="81"/>
      <c r="M1804" s="81"/>
      <c r="N1804" s="81"/>
      <c r="O1804" s="81"/>
      <c r="P1804" s="81"/>
      <c r="Q1804" s="81"/>
      <c r="R1804" s="81"/>
      <c r="S1804" s="81"/>
      <c r="T1804" s="81"/>
      <c r="U1804" s="81"/>
      <c r="V1804" s="94"/>
      <c r="W1804" s="94"/>
    </row>
    <row r="1805" spans="1:23" ht="21" customHeight="1">
      <c r="A1805">
        <f>Table4[[#This Row],[Column1]]</f>
        <v>0</v>
      </c>
      <c r="B1805">
        <f>Table4[[#This Row],[Column2]]</f>
        <v>0</v>
      </c>
      <c r="C1805" s="81"/>
      <c r="D1805" s="81"/>
      <c r="E1805" s="81"/>
      <c r="F1805" s="81"/>
      <c r="G1805" s="81"/>
      <c r="H1805" s="81"/>
      <c r="I1805" s="81"/>
      <c r="J1805" s="81"/>
      <c r="K1805" s="81"/>
      <c r="L1805" s="81"/>
      <c r="M1805" s="81"/>
      <c r="N1805" s="81"/>
      <c r="O1805" s="81"/>
      <c r="P1805" s="81"/>
      <c r="Q1805" s="81"/>
      <c r="R1805" s="81"/>
      <c r="S1805" s="81"/>
      <c r="T1805" s="81"/>
      <c r="U1805" s="81"/>
      <c r="V1805" s="94"/>
      <c r="W1805" s="94"/>
    </row>
    <row r="1806" spans="1:23" ht="21" customHeight="1">
      <c r="A1806">
        <f>Table4[[#This Row],[Column1]]</f>
        <v>0</v>
      </c>
      <c r="B1806">
        <f>Table4[[#This Row],[Column2]]</f>
        <v>0</v>
      </c>
      <c r="C1806" s="81"/>
      <c r="D1806" s="81"/>
      <c r="E1806" s="81"/>
      <c r="F1806" s="81"/>
      <c r="G1806" s="81"/>
      <c r="H1806" s="81"/>
      <c r="I1806" s="81"/>
      <c r="J1806" s="81"/>
      <c r="K1806" s="81"/>
      <c r="L1806" s="81"/>
      <c r="M1806" s="81"/>
      <c r="N1806" s="81"/>
      <c r="O1806" s="81"/>
      <c r="P1806" s="81"/>
      <c r="Q1806" s="81"/>
      <c r="R1806" s="81"/>
      <c r="S1806" s="81"/>
      <c r="T1806" s="81"/>
      <c r="U1806" s="81"/>
      <c r="V1806" s="94"/>
      <c r="W1806" s="94"/>
    </row>
    <row r="1807" spans="1:23" ht="21" customHeight="1">
      <c r="A1807">
        <f>Table4[[#This Row],[Column1]]</f>
        <v>0</v>
      </c>
      <c r="B1807">
        <f>Table4[[#This Row],[Column2]]</f>
        <v>0</v>
      </c>
      <c r="C1807" s="81"/>
      <c r="D1807" s="81"/>
      <c r="E1807" s="81"/>
      <c r="F1807" s="81"/>
      <c r="G1807" s="81"/>
      <c r="H1807" s="81"/>
      <c r="I1807" s="81"/>
      <c r="J1807" s="81"/>
      <c r="K1807" s="81"/>
      <c r="L1807" s="81"/>
      <c r="M1807" s="81"/>
      <c r="N1807" s="81"/>
      <c r="O1807" s="81"/>
      <c r="P1807" s="81"/>
      <c r="Q1807" s="81"/>
      <c r="R1807" s="81"/>
      <c r="S1807" s="81"/>
      <c r="T1807" s="81"/>
      <c r="U1807" s="81"/>
      <c r="V1807" s="94"/>
      <c r="W1807" s="94"/>
    </row>
    <row r="1808" spans="1:23" ht="21" customHeight="1">
      <c r="A1808">
        <f>Table4[[#This Row],[Column1]]</f>
        <v>0</v>
      </c>
      <c r="B1808">
        <f>Table4[[#This Row],[Column2]]</f>
        <v>0</v>
      </c>
      <c r="C1808" s="81"/>
      <c r="D1808" s="81"/>
      <c r="E1808" s="81"/>
      <c r="F1808" s="81"/>
      <c r="G1808" s="81"/>
      <c r="H1808" s="81"/>
      <c r="I1808" s="81"/>
      <c r="J1808" s="81"/>
      <c r="K1808" s="81"/>
      <c r="L1808" s="81"/>
      <c r="M1808" s="81"/>
      <c r="N1808" s="81"/>
      <c r="O1808" s="81"/>
      <c r="P1808" s="81"/>
      <c r="Q1808" s="81"/>
      <c r="R1808" s="81"/>
      <c r="S1808" s="81"/>
      <c r="T1808" s="81"/>
      <c r="U1808" s="81"/>
      <c r="V1808" s="94"/>
      <c r="W1808" s="94"/>
    </row>
    <row r="1809" spans="1:23" ht="21" customHeight="1">
      <c r="A1809">
        <f>Table4[[#This Row],[Column1]]</f>
        <v>0</v>
      </c>
      <c r="B1809">
        <f>Table4[[#This Row],[Column2]]</f>
        <v>0</v>
      </c>
      <c r="C1809" s="81"/>
      <c r="D1809" s="81"/>
      <c r="E1809" s="81"/>
      <c r="F1809" s="81"/>
      <c r="G1809" s="81"/>
      <c r="H1809" s="81"/>
      <c r="I1809" s="81"/>
      <c r="J1809" s="81"/>
      <c r="K1809" s="81"/>
      <c r="L1809" s="81"/>
      <c r="M1809" s="81"/>
      <c r="N1809" s="81"/>
      <c r="O1809" s="81"/>
      <c r="P1809" s="81"/>
      <c r="Q1809" s="81"/>
      <c r="R1809" s="81"/>
      <c r="S1809" s="81"/>
      <c r="T1809" s="81"/>
      <c r="U1809" s="81"/>
      <c r="V1809" s="94"/>
      <c r="W1809" s="94"/>
    </row>
    <row r="1810" spans="1:23" ht="21" customHeight="1">
      <c r="A1810">
        <f>Table4[[#This Row],[Column1]]</f>
        <v>0</v>
      </c>
      <c r="B1810">
        <f>Table4[[#This Row],[Column2]]</f>
        <v>0</v>
      </c>
      <c r="C1810" s="81"/>
      <c r="D1810" s="81"/>
      <c r="E1810" s="81"/>
      <c r="F1810" s="81"/>
      <c r="G1810" s="81"/>
      <c r="H1810" s="81"/>
      <c r="I1810" s="81"/>
      <c r="J1810" s="81"/>
      <c r="K1810" s="81"/>
      <c r="L1810" s="81"/>
      <c r="M1810" s="81"/>
      <c r="N1810" s="81"/>
      <c r="O1810" s="81"/>
      <c r="P1810" s="81"/>
      <c r="Q1810" s="81"/>
      <c r="R1810" s="81"/>
      <c r="S1810" s="81"/>
      <c r="T1810" s="81"/>
      <c r="U1810" s="81"/>
      <c r="V1810" s="94"/>
      <c r="W1810" s="94"/>
    </row>
    <row r="1811" spans="1:23" ht="21" customHeight="1">
      <c r="A1811">
        <f>Table4[[#This Row],[Column1]]</f>
        <v>0</v>
      </c>
      <c r="B1811">
        <f>Table4[[#This Row],[Column2]]</f>
        <v>0</v>
      </c>
      <c r="C1811" s="81"/>
      <c r="D1811" s="81"/>
      <c r="E1811" s="81"/>
      <c r="F1811" s="81"/>
      <c r="G1811" s="81"/>
      <c r="H1811" s="81"/>
      <c r="I1811" s="81"/>
      <c r="J1811" s="81"/>
      <c r="K1811" s="81"/>
      <c r="L1811" s="81"/>
      <c r="M1811" s="81"/>
      <c r="N1811" s="81"/>
      <c r="O1811" s="81"/>
      <c r="P1811" s="81"/>
      <c r="Q1811" s="81"/>
      <c r="R1811" s="81"/>
      <c r="S1811" s="81"/>
      <c r="T1811" s="81"/>
      <c r="U1811" s="81"/>
      <c r="V1811" s="94"/>
      <c r="W1811" s="94"/>
    </row>
    <row r="1812" spans="1:23" ht="21" customHeight="1">
      <c r="A1812">
        <f>Table4[[#This Row],[Column1]]</f>
        <v>0</v>
      </c>
      <c r="B1812">
        <f>Table4[[#This Row],[Column2]]</f>
        <v>0</v>
      </c>
      <c r="C1812" s="81"/>
      <c r="D1812" s="81"/>
      <c r="E1812" s="81"/>
      <c r="F1812" s="81"/>
      <c r="G1812" s="81"/>
      <c r="H1812" s="81"/>
      <c r="I1812" s="81"/>
      <c r="J1812" s="81"/>
      <c r="K1812" s="81"/>
      <c r="L1812" s="81"/>
      <c r="M1812" s="81"/>
      <c r="N1812" s="81"/>
      <c r="O1812" s="81"/>
      <c r="P1812" s="81"/>
      <c r="Q1812" s="81"/>
      <c r="R1812" s="81"/>
      <c r="S1812" s="81"/>
      <c r="T1812" s="81"/>
      <c r="U1812" s="81"/>
      <c r="V1812" s="94"/>
      <c r="W1812" s="94"/>
    </row>
    <row r="1813" spans="1:23" ht="21" customHeight="1">
      <c r="A1813">
        <f>Table4[[#This Row],[Column1]]</f>
        <v>0</v>
      </c>
      <c r="B1813">
        <f>Table4[[#This Row],[Column2]]</f>
        <v>0</v>
      </c>
      <c r="C1813" s="81"/>
      <c r="D1813" s="81"/>
      <c r="E1813" s="81"/>
      <c r="F1813" s="81"/>
      <c r="G1813" s="81"/>
      <c r="H1813" s="81"/>
      <c r="I1813" s="81"/>
      <c r="J1813" s="81"/>
      <c r="K1813" s="81"/>
      <c r="L1813" s="81"/>
      <c r="M1813" s="81"/>
      <c r="N1813" s="81"/>
      <c r="O1813" s="81"/>
      <c r="P1813" s="81"/>
      <c r="Q1813" s="81"/>
      <c r="R1813" s="81"/>
      <c r="S1813" s="81"/>
      <c r="T1813" s="81"/>
      <c r="U1813" s="81"/>
      <c r="V1813" s="94"/>
      <c r="W1813" s="94"/>
    </row>
    <row r="1814" spans="1:23" ht="21" customHeight="1">
      <c r="A1814">
        <f>Table4[[#This Row],[Column1]]</f>
        <v>0</v>
      </c>
      <c r="B1814">
        <f>Table4[[#This Row],[Column2]]</f>
        <v>0</v>
      </c>
      <c r="C1814" s="81"/>
      <c r="D1814" s="81"/>
      <c r="E1814" s="81"/>
      <c r="F1814" s="81"/>
      <c r="G1814" s="81"/>
      <c r="H1814" s="81"/>
      <c r="I1814" s="81"/>
      <c r="J1814" s="81"/>
      <c r="K1814" s="81"/>
      <c r="L1814" s="81"/>
      <c r="M1814" s="81"/>
      <c r="N1814" s="81"/>
      <c r="O1814" s="81"/>
      <c r="P1814" s="81"/>
      <c r="Q1814" s="81"/>
      <c r="R1814" s="81"/>
      <c r="S1814" s="81"/>
      <c r="T1814" s="81"/>
      <c r="U1814" s="81"/>
      <c r="V1814" s="94"/>
      <c r="W1814" s="94"/>
    </row>
    <row r="1815" spans="1:23" ht="21" customHeight="1">
      <c r="A1815">
        <f>Table4[[#This Row],[Column1]]</f>
        <v>0</v>
      </c>
      <c r="B1815">
        <f>Table4[[#This Row],[Column2]]</f>
        <v>0</v>
      </c>
      <c r="C1815" s="81"/>
      <c r="D1815" s="81"/>
      <c r="E1815" s="81"/>
      <c r="F1815" s="81"/>
      <c r="G1815" s="81"/>
      <c r="H1815" s="81"/>
      <c r="I1815" s="81"/>
      <c r="J1815" s="81"/>
      <c r="K1815" s="81"/>
      <c r="L1815" s="81"/>
      <c r="M1815" s="81"/>
      <c r="N1815" s="81"/>
      <c r="O1815" s="81"/>
      <c r="P1815" s="81"/>
      <c r="Q1815" s="81"/>
      <c r="R1815" s="81"/>
      <c r="S1815" s="81"/>
      <c r="T1815" s="81"/>
      <c r="U1815" s="81"/>
      <c r="V1815" s="94"/>
      <c r="W1815" s="94"/>
    </row>
    <row r="1816" spans="1:23" ht="21" customHeight="1">
      <c r="A1816">
        <f>Table4[[#This Row],[Column1]]</f>
        <v>0</v>
      </c>
      <c r="B1816">
        <f>Table4[[#This Row],[Column2]]</f>
        <v>0</v>
      </c>
      <c r="C1816" s="81"/>
      <c r="D1816" s="81"/>
      <c r="E1816" s="81"/>
      <c r="F1816" s="81"/>
      <c r="G1816" s="81"/>
      <c r="H1816" s="81"/>
      <c r="I1816" s="81"/>
      <c r="J1816" s="81"/>
      <c r="K1816" s="81"/>
      <c r="L1816" s="81"/>
      <c r="M1816" s="81"/>
      <c r="N1816" s="81"/>
      <c r="O1816" s="81"/>
      <c r="P1816" s="81"/>
      <c r="Q1816" s="81"/>
      <c r="R1816" s="81"/>
      <c r="S1816" s="81"/>
      <c r="T1816" s="81"/>
      <c r="U1816" s="81"/>
      <c r="V1816" s="94"/>
      <c r="W1816" s="94"/>
    </row>
    <row r="1817" spans="1:23" ht="21" customHeight="1">
      <c r="A1817">
        <f>Table4[[#This Row],[Column1]]</f>
        <v>0</v>
      </c>
      <c r="B1817">
        <f>Table4[[#This Row],[Column2]]</f>
        <v>0</v>
      </c>
      <c r="C1817" s="81"/>
      <c r="D1817" s="81"/>
      <c r="E1817" s="81"/>
      <c r="F1817" s="81"/>
      <c r="G1817" s="81"/>
      <c r="H1817" s="81"/>
      <c r="I1817" s="81"/>
      <c r="J1817" s="81"/>
      <c r="K1817" s="81"/>
      <c r="L1817" s="81"/>
      <c r="M1817" s="81"/>
      <c r="N1817" s="81"/>
      <c r="O1817" s="81"/>
      <c r="P1817" s="81"/>
      <c r="Q1817" s="81"/>
      <c r="R1817" s="81"/>
      <c r="S1817" s="81"/>
      <c r="T1817" s="81"/>
      <c r="U1817" s="81"/>
      <c r="V1817" s="94"/>
      <c r="W1817" s="94"/>
    </row>
    <row r="1818" spans="1:23" ht="21" customHeight="1">
      <c r="A1818">
        <f>Table4[[#This Row],[Column1]]</f>
        <v>0</v>
      </c>
      <c r="B1818">
        <f>Table4[[#This Row],[Column2]]</f>
        <v>0</v>
      </c>
      <c r="C1818" s="81"/>
      <c r="D1818" s="81"/>
      <c r="E1818" s="81"/>
      <c r="F1818" s="81"/>
      <c r="G1818" s="81"/>
      <c r="H1818" s="81"/>
      <c r="I1818" s="81"/>
      <c r="J1818" s="81"/>
      <c r="K1818" s="81"/>
      <c r="L1818" s="81"/>
      <c r="M1818" s="81"/>
      <c r="N1818" s="81"/>
      <c r="O1818" s="81"/>
      <c r="P1818" s="81"/>
      <c r="Q1818" s="81"/>
      <c r="R1818" s="81"/>
      <c r="S1818" s="81"/>
      <c r="T1818" s="81"/>
      <c r="U1818" s="81"/>
      <c r="V1818" s="94"/>
      <c r="W1818" s="94"/>
    </row>
    <row r="1819" spans="1:23" ht="21" customHeight="1">
      <c r="A1819">
        <f>Table4[[#This Row],[Column1]]</f>
        <v>0</v>
      </c>
      <c r="B1819">
        <f>Table4[[#This Row],[Column2]]</f>
        <v>0</v>
      </c>
      <c r="C1819" s="81"/>
      <c r="D1819" s="81"/>
      <c r="E1819" s="81"/>
      <c r="F1819" s="81"/>
      <c r="G1819" s="81"/>
      <c r="H1819" s="81"/>
      <c r="I1819" s="81"/>
      <c r="J1819" s="81"/>
      <c r="K1819" s="81"/>
      <c r="L1819" s="81"/>
      <c r="M1819" s="81"/>
      <c r="N1819" s="81"/>
      <c r="O1819" s="81"/>
      <c r="P1819" s="81"/>
      <c r="Q1819" s="81"/>
      <c r="R1819" s="81"/>
      <c r="S1819" s="81"/>
      <c r="T1819" s="81"/>
      <c r="U1819" s="81"/>
      <c r="V1819" s="94"/>
      <c r="W1819" s="94"/>
    </row>
    <row r="1820" spans="1:23" ht="21" customHeight="1">
      <c r="A1820">
        <f>Table4[[#This Row],[Column1]]</f>
        <v>0</v>
      </c>
      <c r="B1820">
        <f>Table4[[#This Row],[Column2]]</f>
        <v>0</v>
      </c>
      <c r="C1820" s="81"/>
      <c r="D1820" s="81"/>
      <c r="E1820" s="81"/>
      <c r="F1820" s="81"/>
      <c r="G1820" s="81"/>
      <c r="H1820" s="81"/>
      <c r="I1820" s="81"/>
      <c r="J1820" s="81"/>
      <c r="K1820" s="81"/>
      <c r="L1820" s="81"/>
      <c r="M1820" s="81"/>
      <c r="N1820" s="81"/>
      <c r="O1820" s="81"/>
      <c r="P1820" s="81"/>
      <c r="Q1820" s="81"/>
      <c r="R1820" s="81"/>
      <c r="S1820" s="81"/>
      <c r="T1820" s="81"/>
      <c r="U1820" s="81"/>
      <c r="V1820" s="94"/>
      <c r="W1820" s="94"/>
    </row>
    <row r="1821" spans="1:23" ht="21" customHeight="1">
      <c r="A1821">
        <f>Table4[[#This Row],[Column1]]</f>
        <v>0</v>
      </c>
      <c r="B1821">
        <f>Table4[[#This Row],[Column2]]</f>
        <v>0</v>
      </c>
      <c r="C1821" s="81"/>
      <c r="D1821" s="81"/>
      <c r="E1821" s="81"/>
      <c r="F1821" s="81"/>
      <c r="G1821" s="81"/>
      <c r="H1821" s="81"/>
      <c r="I1821" s="81"/>
      <c r="J1821" s="81"/>
      <c r="K1821" s="81"/>
      <c r="L1821" s="81"/>
      <c r="M1821" s="81"/>
      <c r="N1821" s="81"/>
      <c r="O1821" s="81"/>
      <c r="P1821" s="81"/>
      <c r="Q1821" s="81"/>
      <c r="R1821" s="81"/>
      <c r="S1821" s="81"/>
      <c r="T1821" s="81"/>
      <c r="U1821" s="81"/>
      <c r="V1821" s="94"/>
      <c r="W1821" s="94"/>
    </row>
    <row r="1822" spans="1:23" ht="21" customHeight="1">
      <c r="A1822">
        <f>Table4[[#This Row],[Column1]]</f>
        <v>0</v>
      </c>
      <c r="B1822">
        <f>Table4[[#This Row],[Column2]]</f>
        <v>0</v>
      </c>
      <c r="C1822" s="81"/>
      <c r="D1822" s="81"/>
      <c r="E1822" s="81"/>
      <c r="F1822" s="81"/>
      <c r="G1822" s="81"/>
      <c r="H1822" s="81"/>
      <c r="I1822" s="81"/>
      <c r="J1822" s="81"/>
      <c r="K1822" s="81"/>
      <c r="L1822" s="81"/>
      <c r="M1822" s="81"/>
      <c r="N1822" s="81"/>
      <c r="O1822" s="81"/>
      <c r="P1822" s="81"/>
      <c r="Q1822" s="81"/>
      <c r="R1822" s="81"/>
      <c r="S1822" s="81"/>
      <c r="T1822" s="81"/>
      <c r="U1822" s="81"/>
      <c r="V1822" s="94"/>
      <c r="W1822" s="94"/>
    </row>
    <row r="1823" spans="1:23" ht="21" customHeight="1">
      <c r="A1823">
        <f>Table4[[#This Row],[Column1]]</f>
        <v>0</v>
      </c>
      <c r="B1823">
        <f>Table4[[#This Row],[Column2]]</f>
        <v>0</v>
      </c>
      <c r="C1823" s="81"/>
      <c r="D1823" s="81"/>
      <c r="E1823" s="81"/>
      <c r="F1823" s="81"/>
      <c r="G1823" s="81"/>
      <c r="H1823" s="81"/>
      <c r="I1823" s="81"/>
      <c r="J1823" s="81"/>
      <c r="K1823" s="81"/>
      <c r="L1823" s="81"/>
      <c r="M1823" s="81"/>
      <c r="N1823" s="81"/>
      <c r="O1823" s="81"/>
      <c r="P1823" s="81"/>
      <c r="Q1823" s="81"/>
      <c r="R1823" s="81"/>
      <c r="S1823" s="81"/>
      <c r="T1823" s="81"/>
      <c r="U1823" s="81"/>
      <c r="V1823" s="94"/>
      <c r="W1823" s="94"/>
    </row>
    <row r="1824" spans="1:23" ht="21" customHeight="1">
      <c r="A1824">
        <f>Table4[[#This Row],[Column1]]</f>
        <v>0</v>
      </c>
      <c r="B1824">
        <f>Table4[[#This Row],[Column2]]</f>
        <v>0</v>
      </c>
      <c r="C1824" s="81"/>
      <c r="D1824" s="81"/>
      <c r="E1824" s="81"/>
      <c r="F1824" s="81"/>
      <c r="G1824" s="81"/>
      <c r="H1824" s="81"/>
      <c r="I1824" s="81"/>
      <c r="J1824" s="81"/>
      <c r="K1824" s="81"/>
      <c r="L1824" s="81"/>
      <c r="M1824" s="81"/>
      <c r="N1824" s="81"/>
      <c r="O1824" s="81"/>
      <c r="P1824" s="81"/>
      <c r="Q1824" s="81"/>
      <c r="R1824" s="81"/>
      <c r="S1824" s="81"/>
      <c r="T1824" s="81"/>
      <c r="U1824" s="81"/>
      <c r="V1824" s="94"/>
      <c r="W1824" s="94"/>
    </row>
    <row r="1825" spans="1:23" ht="21" customHeight="1">
      <c r="A1825">
        <f>Table4[[#This Row],[Column1]]</f>
        <v>0</v>
      </c>
      <c r="B1825">
        <f>Table4[[#This Row],[Column2]]</f>
        <v>0</v>
      </c>
      <c r="C1825" s="81"/>
      <c r="D1825" s="81"/>
      <c r="E1825" s="81"/>
      <c r="F1825" s="81"/>
      <c r="G1825" s="81"/>
      <c r="H1825" s="81"/>
      <c r="I1825" s="81"/>
      <c r="J1825" s="81"/>
      <c r="K1825" s="81"/>
      <c r="L1825" s="81"/>
      <c r="M1825" s="81"/>
      <c r="N1825" s="81"/>
      <c r="O1825" s="81"/>
      <c r="P1825" s="81"/>
      <c r="Q1825" s="81"/>
      <c r="R1825" s="81"/>
      <c r="S1825" s="81"/>
      <c r="T1825" s="81"/>
      <c r="U1825" s="81"/>
      <c r="V1825" s="94"/>
      <c r="W1825" s="94"/>
    </row>
    <row r="1826" spans="1:23" ht="21" customHeight="1">
      <c r="A1826">
        <f>Table4[[#This Row],[Column1]]</f>
        <v>0</v>
      </c>
      <c r="B1826">
        <f>Table4[[#This Row],[Column2]]</f>
        <v>0</v>
      </c>
      <c r="C1826" s="81"/>
      <c r="D1826" s="81"/>
      <c r="E1826" s="81"/>
      <c r="F1826" s="81"/>
      <c r="G1826" s="81"/>
      <c r="H1826" s="81"/>
      <c r="I1826" s="81"/>
      <c r="J1826" s="81"/>
      <c r="K1826" s="81"/>
      <c r="L1826" s="81"/>
      <c r="M1826" s="81"/>
      <c r="N1826" s="81"/>
      <c r="O1826" s="81"/>
      <c r="P1826" s="81"/>
      <c r="Q1826" s="81"/>
      <c r="R1826" s="81"/>
      <c r="S1826" s="81"/>
      <c r="T1826" s="81"/>
      <c r="U1826" s="81"/>
      <c r="V1826" s="94"/>
      <c r="W1826" s="94"/>
    </row>
    <row r="1827" spans="1:23" ht="21" customHeight="1">
      <c r="A1827">
        <f>Table4[[#This Row],[Column1]]</f>
        <v>0</v>
      </c>
      <c r="B1827">
        <f>Table4[[#This Row],[Column2]]</f>
        <v>0</v>
      </c>
      <c r="C1827" s="81"/>
      <c r="D1827" s="81"/>
      <c r="E1827" s="81"/>
      <c r="F1827" s="81"/>
      <c r="G1827" s="81"/>
      <c r="H1827" s="81"/>
      <c r="I1827" s="81"/>
      <c r="J1827" s="81"/>
      <c r="K1827" s="81"/>
      <c r="L1827" s="81"/>
      <c r="M1827" s="81"/>
      <c r="N1827" s="81"/>
      <c r="O1827" s="81"/>
      <c r="P1827" s="81"/>
      <c r="Q1827" s="81"/>
      <c r="R1827" s="81"/>
      <c r="S1827" s="81"/>
      <c r="T1827" s="81"/>
      <c r="U1827" s="81"/>
      <c r="V1827" s="94"/>
      <c r="W1827" s="94"/>
    </row>
    <row r="1828" spans="1:23" ht="21" customHeight="1">
      <c r="A1828">
        <f>Table4[[#This Row],[Column1]]</f>
        <v>0</v>
      </c>
      <c r="B1828">
        <f>Table4[[#This Row],[Column2]]</f>
        <v>0</v>
      </c>
      <c r="C1828" s="81"/>
      <c r="D1828" s="81"/>
      <c r="E1828" s="81"/>
      <c r="F1828" s="81"/>
      <c r="G1828" s="81"/>
      <c r="H1828" s="81"/>
      <c r="I1828" s="81"/>
      <c r="J1828" s="81"/>
      <c r="K1828" s="81"/>
      <c r="L1828" s="81"/>
      <c r="M1828" s="81"/>
      <c r="N1828" s="81"/>
      <c r="O1828" s="81"/>
      <c r="P1828" s="81"/>
      <c r="Q1828" s="81"/>
      <c r="R1828" s="81"/>
      <c r="S1828" s="81"/>
      <c r="T1828" s="81"/>
      <c r="U1828" s="81"/>
      <c r="V1828" s="94"/>
      <c r="W1828" s="94"/>
    </row>
    <row r="1829" spans="1:23" ht="21" customHeight="1">
      <c r="A1829">
        <f>Table4[[#This Row],[Column1]]</f>
        <v>0</v>
      </c>
      <c r="B1829">
        <f>Table4[[#This Row],[Column2]]</f>
        <v>0</v>
      </c>
      <c r="C1829" s="81"/>
      <c r="D1829" s="81"/>
      <c r="E1829" s="81"/>
      <c r="F1829" s="81"/>
      <c r="G1829" s="81"/>
      <c r="H1829" s="81"/>
      <c r="I1829" s="81"/>
      <c r="J1829" s="81"/>
      <c r="K1829" s="81"/>
      <c r="L1829" s="81"/>
      <c r="M1829" s="81"/>
      <c r="N1829" s="81"/>
      <c r="O1829" s="81"/>
      <c r="P1829" s="81"/>
      <c r="Q1829" s="81"/>
      <c r="R1829" s="81"/>
      <c r="S1829" s="81"/>
      <c r="T1829" s="81"/>
      <c r="U1829" s="81"/>
      <c r="V1829" s="94"/>
      <c r="W1829" s="94"/>
    </row>
    <row r="1830" spans="1:23" ht="21" customHeight="1">
      <c r="A1830">
        <f>Table4[[#This Row],[Column1]]</f>
        <v>0</v>
      </c>
      <c r="B1830">
        <f>Table4[[#This Row],[Column2]]</f>
        <v>0</v>
      </c>
      <c r="C1830" s="81"/>
      <c r="D1830" s="81"/>
      <c r="E1830" s="81"/>
      <c r="F1830" s="81"/>
      <c r="G1830" s="81"/>
      <c r="H1830" s="81"/>
      <c r="I1830" s="81"/>
      <c r="J1830" s="81"/>
      <c r="K1830" s="81"/>
      <c r="L1830" s="81"/>
      <c r="M1830" s="81"/>
      <c r="N1830" s="81"/>
      <c r="O1830" s="81"/>
      <c r="P1830" s="81"/>
      <c r="Q1830" s="81"/>
      <c r="R1830" s="81"/>
      <c r="S1830" s="81"/>
      <c r="T1830" s="81"/>
      <c r="U1830" s="81"/>
      <c r="V1830" s="94"/>
      <c r="W1830" s="94"/>
    </row>
    <row r="1831" spans="1:23" ht="21" customHeight="1">
      <c r="A1831">
        <f>Table4[[#This Row],[Column1]]</f>
        <v>0</v>
      </c>
      <c r="B1831">
        <f>Table4[[#This Row],[Column2]]</f>
        <v>0</v>
      </c>
      <c r="C1831" s="81"/>
      <c r="D1831" s="81"/>
      <c r="E1831" s="81"/>
      <c r="F1831" s="81"/>
      <c r="G1831" s="81"/>
      <c r="H1831" s="81"/>
      <c r="I1831" s="81"/>
      <c r="J1831" s="81"/>
      <c r="K1831" s="81"/>
      <c r="L1831" s="81"/>
      <c r="M1831" s="81"/>
      <c r="N1831" s="81"/>
      <c r="O1831" s="81"/>
      <c r="P1831" s="81"/>
      <c r="Q1831" s="81"/>
      <c r="R1831" s="81"/>
      <c r="S1831" s="81"/>
      <c r="T1831" s="81"/>
      <c r="U1831" s="81"/>
      <c r="V1831" s="94"/>
      <c r="W1831" s="94"/>
    </row>
    <row r="1832" spans="1:23" ht="21" customHeight="1">
      <c r="A1832">
        <f>Table4[[#This Row],[Column1]]</f>
        <v>0</v>
      </c>
      <c r="B1832">
        <f>Table4[[#This Row],[Column2]]</f>
        <v>0</v>
      </c>
      <c r="C1832" s="81"/>
      <c r="D1832" s="81"/>
      <c r="E1832" s="81"/>
      <c r="F1832" s="81"/>
      <c r="G1832" s="81"/>
      <c r="H1832" s="81"/>
      <c r="I1832" s="81"/>
      <c r="J1832" s="81"/>
      <c r="K1832" s="81"/>
      <c r="L1832" s="81"/>
      <c r="M1832" s="81"/>
      <c r="N1832" s="81"/>
      <c r="O1832" s="81"/>
      <c r="P1832" s="81"/>
      <c r="Q1832" s="81"/>
      <c r="R1832" s="81"/>
      <c r="S1832" s="81"/>
      <c r="T1832" s="81"/>
      <c r="U1832" s="81"/>
      <c r="V1832" s="94"/>
      <c r="W1832" s="94"/>
    </row>
    <row r="1833" spans="1:23" ht="21" customHeight="1">
      <c r="A1833">
        <f>Table4[[#This Row],[Column1]]</f>
        <v>0</v>
      </c>
      <c r="B1833">
        <f>Table4[[#This Row],[Column2]]</f>
        <v>0</v>
      </c>
      <c r="C1833" s="81"/>
      <c r="D1833" s="81"/>
      <c r="E1833" s="81"/>
      <c r="F1833" s="81"/>
      <c r="G1833" s="81"/>
      <c r="H1833" s="81"/>
      <c r="I1833" s="81"/>
      <c r="J1833" s="81"/>
      <c r="K1833" s="81"/>
      <c r="L1833" s="81"/>
      <c r="M1833" s="81"/>
      <c r="N1833" s="81"/>
      <c r="O1833" s="81"/>
      <c r="P1833" s="81"/>
      <c r="Q1833" s="81"/>
      <c r="R1833" s="81"/>
      <c r="S1833" s="81"/>
      <c r="T1833" s="81"/>
      <c r="U1833" s="81"/>
      <c r="V1833" s="94"/>
      <c r="W1833" s="94"/>
    </row>
    <row r="1834" spans="1:23" ht="21" customHeight="1">
      <c r="A1834">
        <f>Table4[[#This Row],[Column1]]</f>
        <v>0</v>
      </c>
      <c r="B1834">
        <f>Table4[[#This Row],[Column2]]</f>
        <v>0</v>
      </c>
      <c r="C1834" s="81"/>
      <c r="D1834" s="81"/>
      <c r="E1834" s="81"/>
      <c r="F1834" s="81"/>
      <c r="G1834" s="81"/>
      <c r="H1834" s="81"/>
      <c r="I1834" s="81"/>
      <c r="J1834" s="81"/>
      <c r="K1834" s="81"/>
      <c r="L1834" s="81"/>
      <c r="M1834" s="81"/>
      <c r="N1834" s="81"/>
      <c r="O1834" s="81"/>
      <c r="P1834" s="81"/>
      <c r="Q1834" s="81"/>
      <c r="R1834" s="81"/>
      <c r="S1834" s="81"/>
      <c r="T1834" s="81"/>
      <c r="U1834" s="81"/>
      <c r="V1834" s="94"/>
      <c r="W1834" s="94"/>
    </row>
    <row r="1835" spans="1:23" ht="21" customHeight="1">
      <c r="A1835">
        <f>Table4[[#This Row],[Column1]]</f>
        <v>0</v>
      </c>
      <c r="B1835">
        <f>Table4[[#This Row],[Column2]]</f>
        <v>0</v>
      </c>
      <c r="C1835" s="81"/>
      <c r="D1835" s="81"/>
      <c r="E1835" s="81"/>
      <c r="F1835" s="81"/>
      <c r="G1835" s="81"/>
      <c r="H1835" s="81"/>
      <c r="I1835" s="81"/>
      <c r="J1835" s="81"/>
      <c r="K1835" s="81"/>
      <c r="L1835" s="81"/>
      <c r="M1835" s="81"/>
      <c r="N1835" s="81"/>
      <c r="O1835" s="81"/>
      <c r="P1835" s="81"/>
      <c r="Q1835" s="81"/>
      <c r="R1835" s="81"/>
      <c r="S1835" s="81"/>
      <c r="T1835" s="81"/>
      <c r="U1835" s="81"/>
      <c r="V1835" s="94"/>
      <c r="W1835" s="94"/>
    </row>
    <row r="1836" spans="1:23" ht="21" customHeight="1">
      <c r="A1836">
        <f>Table4[[#This Row],[Column1]]</f>
        <v>0</v>
      </c>
      <c r="B1836">
        <f>Table4[[#This Row],[Column2]]</f>
        <v>0</v>
      </c>
      <c r="C1836" s="81"/>
      <c r="D1836" s="81"/>
      <c r="E1836" s="81"/>
      <c r="F1836" s="81"/>
      <c r="G1836" s="81"/>
      <c r="H1836" s="81"/>
      <c r="I1836" s="81"/>
      <c r="J1836" s="81"/>
      <c r="K1836" s="81"/>
      <c r="L1836" s="81"/>
      <c r="M1836" s="81"/>
      <c r="N1836" s="81"/>
      <c r="O1836" s="81"/>
      <c r="P1836" s="81"/>
      <c r="Q1836" s="81"/>
      <c r="R1836" s="81"/>
      <c r="S1836" s="81"/>
      <c r="T1836" s="81"/>
      <c r="U1836" s="81"/>
      <c r="V1836" s="94"/>
      <c r="W1836" s="94"/>
    </row>
    <row r="1837" spans="1:23" ht="21" customHeight="1">
      <c r="A1837">
        <f>Table4[[#This Row],[Column1]]</f>
        <v>0</v>
      </c>
      <c r="B1837">
        <f>Table4[[#This Row],[Column2]]</f>
        <v>0</v>
      </c>
      <c r="C1837" s="81"/>
      <c r="D1837" s="81"/>
      <c r="E1837" s="81"/>
      <c r="F1837" s="81"/>
      <c r="G1837" s="81"/>
      <c r="H1837" s="81"/>
      <c r="I1837" s="81"/>
      <c r="J1837" s="81"/>
      <c r="K1837" s="81"/>
      <c r="L1837" s="81"/>
      <c r="M1837" s="81"/>
      <c r="N1837" s="81"/>
      <c r="O1837" s="81"/>
      <c r="P1837" s="81"/>
      <c r="Q1837" s="81"/>
      <c r="R1837" s="81"/>
      <c r="S1837" s="81"/>
      <c r="T1837" s="81"/>
      <c r="U1837" s="81"/>
      <c r="V1837" s="94"/>
      <c r="W1837" s="94"/>
    </row>
    <row r="1838" spans="1:23" ht="21" customHeight="1">
      <c r="A1838">
        <f>Table4[[#This Row],[Column1]]</f>
        <v>0</v>
      </c>
      <c r="B1838">
        <f>Table4[[#This Row],[Column2]]</f>
        <v>0</v>
      </c>
      <c r="C1838" s="81"/>
      <c r="D1838" s="81"/>
      <c r="E1838" s="81"/>
      <c r="F1838" s="81"/>
      <c r="G1838" s="81"/>
      <c r="H1838" s="81"/>
      <c r="I1838" s="81"/>
      <c r="J1838" s="81"/>
      <c r="K1838" s="81"/>
      <c r="L1838" s="81"/>
      <c r="M1838" s="81"/>
      <c r="N1838" s="81"/>
      <c r="O1838" s="81"/>
      <c r="P1838" s="81"/>
      <c r="Q1838" s="81"/>
      <c r="R1838" s="81"/>
      <c r="S1838" s="81"/>
      <c r="T1838" s="81"/>
      <c r="U1838" s="81"/>
      <c r="V1838" s="94"/>
      <c r="W1838" s="94"/>
    </row>
    <row r="1839" spans="1:23" ht="21" customHeight="1">
      <c r="A1839">
        <f>Table4[[#This Row],[Column1]]</f>
        <v>0</v>
      </c>
      <c r="B1839">
        <f>Table4[[#This Row],[Column2]]</f>
        <v>0</v>
      </c>
      <c r="C1839" s="81"/>
      <c r="D1839" s="81"/>
      <c r="E1839" s="81"/>
      <c r="F1839" s="81"/>
      <c r="G1839" s="81"/>
      <c r="H1839" s="81"/>
      <c r="I1839" s="81"/>
      <c r="J1839" s="81"/>
      <c r="K1839" s="81"/>
      <c r="L1839" s="81"/>
      <c r="M1839" s="81"/>
      <c r="N1839" s="81"/>
      <c r="O1839" s="81"/>
      <c r="P1839" s="81"/>
      <c r="Q1839" s="81"/>
      <c r="R1839" s="81"/>
      <c r="S1839" s="81"/>
      <c r="T1839" s="81"/>
      <c r="U1839" s="81"/>
      <c r="V1839" s="94"/>
      <c r="W1839" s="94"/>
    </row>
    <row r="1840" spans="1:23" ht="21" customHeight="1">
      <c r="A1840">
        <f>Table4[[#This Row],[Column1]]</f>
        <v>0</v>
      </c>
      <c r="B1840">
        <f>Table4[[#This Row],[Column2]]</f>
        <v>0</v>
      </c>
      <c r="C1840" s="81"/>
      <c r="D1840" s="81"/>
      <c r="E1840" s="81"/>
      <c r="F1840" s="81"/>
      <c r="G1840" s="81"/>
      <c r="H1840" s="81"/>
      <c r="I1840" s="81"/>
      <c r="J1840" s="81"/>
      <c r="K1840" s="81"/>
      <c r="L1840" s="81"/>
      <c r="M1840" s="81"/>
      <c r="N1840" s="81"/>
      <c r="O1840" s="81"/>
      <c r="P1840" s="81"/>
      <c r="Q1840" s="81"/>
      <c r="R1840" s="81"/>
      <c r="S1840" s="81"/>
      <c r="T1840" s="81"/>
      <c r="U1840" s="81"/>
      <c r="V1840" s="94"/>
      <c r="W1840" s="94"/>
    </row>
    <row r="1841" spans="1:23" ht="21" customHeight="1">
      <c r="A1841">
        <f>Table4[[#This Row],[Column1]]</f>
        <v>0</v>
      </c>
      <c r="B1841">
        <f>Table4[[#This Row],[Column2]]</f>
        <v>0</v>
      </c>
      <c r="C1841" s="81"/>
      <c r="D1841" s="81"/>
      <c r="E1841" s="81"/>
      <c r="F1841" s="81"/>
      <c r="G1841" s="81"/>
      <c r="H1841" s="81"/>
      <c r="I1841" s="81"/>
      <c r="J1841" s="81"/>
      <c r="K1841" s="81"/>
      <c r="L1841" s="81"/>
      <c r="M1841" s="81"/>
      <c r="N1841" s="81"/>
      <c r="O1841" s="81"/>
      <c r="P1841" s="81"/>
      <c r="Q1841" s="81"/>
      <c r="R1841" s="81"/>
      <c r="S1841" s="81"/>
      <c r="T1841" s="81"/>
      <c r="U1841" s="81"/>
      <c r="V1841" s="94"/>
      <c r="W1841" s="94"/>
    </row>
    <row r="1842" spans="1:23" ht="21" customHeight="1">
      <c r="A1842">
        <f>Table4[[#This Row],[Column1]]</f>
        <v>0</v>
      </c>
      <c r="B1842">
        <f>Table4[[#This Row],[Column2]]</f>
        <v>0</v>
      </c>
      <c r="C1842" s="81"/>
      <c r="D1842" s="81"/>
      <c r="E1842" s="81"/>
      <c r="F1842" s="81"/>
      <c r="G1842" s="81"/>
      <c r="H1842" s="81"/>
      <c r="I1842" s="81"/>
      <c r="J1842" s="81"/>
      <c r="K1842" s="81"/>
      <c r="L1842" s="81"/>
      <c r="M1842" s="81"/>
      <c r="N1842" s="81"/>
      <c r="O1842" s="81"/>
      <c r="P1842" s="81"/>
      <c r="Q1842" s="81"/>
      <c r="R1842" s="81"/>
      <c r="S1842" s="81"/>
      <c r="T1842" s="81"/>
      <c r="U1842" s="81"/>
      <c r="V1842" s="94"/>
      <c r="W1842" s="94"/>
    </row>
    <row r="1843" spans="1:23" ht="21" customHeight="1">
      <c r="A1843">
        <f>Table4[[#This Row],[Column1]]</f>
        <v>0</v>
      </c>
      <c r="B1843">
        <f>Table4[[#This Row],[Column2]]</f>
        <v>0</v>
      </c>
      <c r="C1843" s="81"/>
      <c r="D1843" s="81"/>
      <c r="E1843" s="81"/>
      <c r="F1843" s="81"/>
      <c r="G1843" s="81"/>
      <c r="H1843" s="81"/>
      <c r="I1843" s="81"/>
      <c r="J1843" s="81"/>
      <c r="K1843" s="81"/>
      <c r="L1843" s="81"/>
      <c r="M1843" s="81"/>
      <c r="N1843" s="81"/>
      <c r="O1843" s="81"/>
      <c r="P1843" s="81"/>
      <c r="Q1843" s="81"/>
      <c r="R1843" s="81"/>
      <c r="S1843" s="81"/>
      <c r="T1843" s="81"/>
      <c r="U1843" s="81"/>
      <c r="V1843" s="94"/>
      <c r="W1843" s="94"/>
    </row>
    <row r="1844" spans="1:23" ht="21" customHeight="1">
      <c r="A1844">
        <f>Table4[[#This Row],[Column1]]</f>
        <v>0</v>
      </c>
      <c r="B1844">
        <f>Table4[[#This Row],[Column2]]</f>
        <v>0</v>
      </c>
      <c r="C1844" s="81"/>
      <c r="D1844" s="81"/>
      <c r="E1844" s="81"/>
      <c r="F1844" s="81"/>
      <c r="G1844" s="81"/>
      <c r="H1844" s="81"/>
      <c r="I1844" s="81"/>
      <c r="J1844" s="81"/>
      <c r="K1844" s="81"/>
      <c r="L1844" s="81"/>
      <c r="M1844" s="81"/>
      <c r="N1844" s="81"/>
      <c r="O1844" s="81"/>
      <c r="P1844" s="81"/>
      <c r="Q1844" s="81"/>
      <c r="R1844" s="81"/>
      <c r="S1844" s="81"/>
      <c r="T1844" s="81"/>
      <c r="U1844" s="81"/>
      <c r="V1844" s="94"/>
      <c r="W1844" s="94"/>
    </row>
    <row r="1845" spans="1:23" ht="21" customHeight="1">
      <c r="A1845">
        <f>Table4[[#This Row],[Column1]]</f>
        <v>0</v>
      </c>
      <c r="B1845">
        <f>Table4[[#This Row],[Column2]]</f>
        <v>0</v>
      </c>
      <c r="C1845" s="81"/>
      <c r="D1845" s="81"/>
      <c r="E1845" s="81"/>
      <c r="F1845" s="81"/>
      <c r="G1845" s="81"/>
      <c r="H1845" s="81"/>
      <c r="I1845" s="81"/>
      <c r="J1845" s="81"/>
      <c r="K1845" s="81"/>
      <c r="L1845" s="81"/>
      <c r="M1845" s="81"/>
      <c r="N1845" s="81"/>
      <c r="O1845" s="81"/>
      <c r="P1845" s="81"/>
      <c r="Q1845" s="81"/>
      <c r="R1845" s="81"/>
      <c r="S1845" s="81"/>
      <c r="T1845" s="81"/>
      <c r="U1845" s="81"/>
      <c r="V1845" s="94"/>
      <c r="W1845" s="94"/>
    </row>
    <row r="1846" spans="1:23" ht="21" customHeight="1">
      <c r="A1846">
        <f>Table4[[#This Row],[Column1]]</f>
        <v>0</v>
      </c>
      <c r="B1846">
        <f>Table4[[#This Row],[Column2]]</f>
        <v>0</v>
      </c>
      <c r="C1846" s="81"/>
      <c r="D1846" s="81"/>
      <c r="E1846" s="81"/>
      <c r="F1846" s="81"/>
      <c r="G1846" s="81"/>
      <c r="H1846" s="81"/>
      <c r="I1846" s="81"/>
      <c r="J1846" s="81"/>
      <c r="K1846" s="81"/>
      <c r="L1846" s="81"/>
      <c r="M1846" s="81"/>
      <c r="N1846" s="81"/>
      <c r="O1846" s="81"/>
      <c r="P1846" s="81"/>
      <c r="Q1846" s="81"/>
      <c r="R1846" s="81"/>
      <c r="S1846" s="81"/>
      <c r="T1846" s="81"/>
      <c r="U1846" s="81"/>
      <c r="V1846" s="94"/>
      <c r="W1846" s="94"/>
    </row>
    <row r="1847" spans="1:23" ht="21" customHeight="1">
      <c r="A1847">
        <f>Table4[[#This Row],[Column1]]</f>
        <v>0</v>
      </c>
      <c r="B1847">
        <f>Table4[[#This Row],[Column2]]</f>
        <v>0</v>
      </c>
      <c r="C1847" s="81"/>
      <c r="D1847" s="81"/>
      <c r="E1847" s="81"/>
      <c r="F1847" s="81"/>
      <c r="G1847" s="81"/>
      <c r="H1847" s="81"/>
      <c r="I1847" s="81"/>
      <c r="J1847" s="81"/>
      <c r="K1847" s="81"/>
      <c r="L1847" s="81"/>
      <c r="M1847" s="81"/>
      <c r="N1847" s="81"/>
      <c r="O1847" s="81"/>
      <c r="P1847" s="81"/>
      <c r="Q1847" s="81"/>
      <c r="R1847" s="81"/>
      <c r="S1847" s="81"/>
      <c r="T1847" s="81"/>
      <c r="U1847" s="81"/>
      <c r="V1847" s="94"/>
      <c r="W1847" s="94"/>
    </row>
    <row r="1848" spans="1:23" ht="21" customHeight="1">
      <c r="A1848">
        <f>Table4[[#This Row],[Column1]]</f>
        <v>0</v>
      </c>
      <c r="B1848">
        <f>Table4[[#This Row],[Column2]]</f>
        <v>0</v>
      </c>
      <c r="C1848" s="81"/>
      <c r="D1848" s="81"/>
      <c r="E1848" s="81"/>
      <c r="F1848" s="81"/>
      <c r="G1848" s="81"/>
      <c r="H1848" s="81"/>
      <c r="I1848" s="81"/>
      <c r="J1848" s="81"/>
      <c r="K1848" s="81"/>
      <c r="L1848" s="81"/>
      <c r="M1848" s="81"/>
      <c r="N1848" s="81"/>
      <c r="O1848" s="81"/>
      <c r="P1848" s="81"/>
      <c r="Q1848" s="81"/>
      <c r="R1848" s="81"/>
      <c r="S1848" s="81"/>
      <c r="T1848" s="81"/>
      <c r="U1848" s="81"/>
      <c r="V1848" s="94"/>
      <c r="W1848" s="94"/>
    </row>
    <row r="1849" spans="1:23" ht="21" customHeight="1">
      <c r="A1849">
        <f>Table4[[#This Row],[Column1]]</f>
        <v>0</v>
      </c>
      <c r="B1849">
        <f>Table4[[#This Row],[Column2]]</f>
        <v>0</v>
      </c>
      <c r="C1849" s="81"/>
      <c r="D1849" s="81"/>
      <c r="E1849" s="81"/>
      <c r="F1849" s="81"/>
      <c r="G1849" s="81"/>
      <c r="H1849" s="81"/>
      <c r="I1849" s="81"/>
      <c r="J1849" s="81"/>
      <c r="K1849" s="81"/>
      <c r="L1849" s="81"/>
      <c r="M1849" s="81"/>
      <c r="N1849" s="81"/>
      <c r="O1849" s="81"/>
      <c r="P1849" s="81"/>
      <c r="Q1849" s="81"/>
      <c r="R1849" s="81"/>
      <c r="S1849" s="81"/>
      <c r="T1849" s="81"/>
      <c r="U1849" s="81"/>
      <c r="V1849" s="94"/>
      <c r="W1849" s="94"/>
    </row>
    <row r="1850" spans="1:23" ht="21" customHeight="1">
      <c r="A1850">
        <f>Table4[[#This Row],[Column1]]</f>
        <v>0</v>
      </c>
      <c r="B1850">
        <f>Table4[[#This Row],[Column2]]</f>
        <v>0</v>
      </c>
      <c r="C1850" s="81"/>
      <c r="D1850" s="81"/>
      <c r="E1850" s="81"/>
      <c r="F1850" s="81"/>
      <c r="G1850" s="81"/>
      <c r="H1850" s="81"/>
      <c r="I1850" s="81"/>
      <c r="J1850" s="81"/>
      <c r="K1850" s="81"/>
      <c r="L1850" s="81"/>
      <c r="M1850" s="81"/>
      <c r="N1850" s="81"/>
      <c r="O1850" s="81"/>
      <c r="P1850" s="81"/>
      <c r="Q1850" s="81"/>
      <c r="R1850" s="81"/>
      <c r="S1850" s="81"/>
      <c r="T1850" s="81"/>
      <c r="U1850" s="81"/>
      <c r="V1850" s="94"/>
      <c r="W1850" s="94"/>
    </row>
    <row r="1851" spans="1:23" ht="21" customHeight="1">
      <c r="A1851">
        <f>Table4[[#This Row],[Column1]]</f>
        <v>0</v>
      </c>
      <c r="B1851">
        <f>Table4[[#This Row],[Column2]]</f>
        <v>0</v>
      </c>
      <c r="C1851" s="81"/>
      <c r="D1851" s="81"/>
      <c r="E1851" s="81"/>
      <c r="F1851" s="81"/>
      <c r="G1851" s="81"/>
      <c r="H1851" s="81"/>
      <c r="I1851" s="81"/>
      <c r="J1851" s="81"/>
      <c r="K1851" s="81"/>
      <c r="L1851" s="81"/>
      <c r="M1851" s="81"/>
      <c r="N1851" s="81"/>
      <c r="O1851" s="81"/>
      <c r="P1851" s="81"/>
      <c r="Q1851" s="81"/>
      <c r="R1851" s="81"/>
      <c r="S1851" s="81"/>
      <c r="T1851" s="81"/>
      <c r="U1851" s="81"/>
      <c r="V1851" s="94"/>
      <c r="W1851" s="94"/>
    </row>
    <row r="1852" spans="1:23" ht="21" customHeight="1">
      <c r="A1852">
        <f>Table4[[#This Row],[Column1]]</f>
        <v>0</v>
      </c>
      <c r="B1852">
        <f>Table4[[#This Row],[Column2]]</f>
        <v>0</v>
      </c>
      <c r="C1852" s="81"/>
      <c r="D1852" s="81"/>
      <c r="E1852" s="81"/>
      <c r="F1852" s="81"/>
      <c r="G1852" s="81"/>
      <c r="H1852" s="81"/>
      <c r="I1852" s="81"/>
      <c r="J1852" s="81"/>
      <c r="K1852" s="81"/>
      <c r="L1852" s="81"/>
      <c r="M1852" s="81"/>
      <c r="N1852" s="81"/>
      <c r="O1852" s="81"/>
      <c r="P1852" s="81"/>
      <c r="Q1852" s="81"/>
      <c r="R1852" s="81"/>
      <c r="S1852" s="81"/>
      <c r="T1852" s="81"/>
      <c r="U1852" s="81"/>
      <c r="V1852" s="94"/>
      <c r="W1852" s="94"/>
    </row>
    <row r="1853" spans="1:23" ht="21" customHeight="1">
      <c r="A1853">
        <f>Table4[[#This Row],[Column1]]</f>
        <v>0</v>
      </c>
      <c r="B1853">
        <f>Table4[[#This Row],[Column2]]</f>
        <v>0</v>
      </c>
      <c r="C1853" s="81"/>
      <c r="D1853" s="81"/>
      <c r="E1853" s="81"/>
      <c r="F1853" s="81"/>
      <c r="G1853" s="81"/>
      <c r="H1853" s="81"/>
      <c r="I1853" s="81"/>
      <c r="J1853" s="81"/>
      <c r="K1853" s="81"/>
      <c r="L1853" s="81"/>
      <c r="M1853" s="81"/>
      <c r="N1853" s="81"/>
      <c r="O1853" s="81"/>
      <c r="P1853" s="81"/>
      <c r="Q1853" s="81"/>
      <c r="R1853" s="81"/>
      <c r="S1853" s="81"/>
      <c r="T1853" s="81"/>
      <c r="U1853" s="81"/>
      <c r="V1853" s="94"/>
      <c r="W1853" s="94"/>
    </row>
    <row r="1854" spans="1:23" ht="21" customHeight="1">
      <c r="A1854">
        <f>Table4[[#This Row],[Column1]]</f>
        <v>0</v>
      </c>
      <c r="B1854">
        <f>Table4[[#This Row],[Column2]]</f>
        <v>0</v>
      </c>
      <c r="C1854" s="81"/>
      <c r="D1854" s="81"/>
      <c r="E1854" s="81"/>
      <c r="F1854" s="81"/>
      <c r="G1854" s="81"/>
      <c r="H1854" s="81"/>
      <c r="I1854" s="81"/>
      <c r="J1854" s="81"/>
      <c r="K1854" s="81"/>
      <c r="L1854" s="81"/>
      <c r="M1854" s="81"/>
      <c r="N1854" s="81"/>
      <c r="O1854" s="81"/>
      <c r="P1854" s="81"/>
      <c r="Q1854" s="81"/>
      <c r="R1854" s="81"/>
      <c r="S1854" s="81"/>
      <c r="T1854" s="81"/>
      <c r="U1854" s="81"/>
      <c r="V1854" s="94"/>
      <c r="W1854" s="94"/>
    </row>
    <row r="1855" spans="1:23" ht="21" customHeight="1">
      <c r="A1855">
        <f>Table4[[#This Row],[Column1]]</f>
        <v>0</v>
      </c>
      <c r="B1855">
        <f>Table4[[#This Row],[Column2]]</f>
        <v>0</v>
      </c>
      <c r="C1855" s="81"/>
      <c r="D1855" s="81"/>
      <c r="E1855" s="81"/>
      <c r="F1855" s="81"/>
      <c r="G1855" s="81"/>
      <c r="H1855" s="81"/>
      <c r="I1855" s="81"/>
      <c r="J1855" s="81"/>
      <c r="K1855" s="81"/>
      <c r="L1855" s="81"/>
      <c r="M1855" s="81"/>
      <c r="N1855" s="81"/>
      <c r="O1855" s="81"/>
      <c r="P1855" s="81"/>
      <c r="Q1855" s="81"/>
      <c r="R1855" s="81"/>
      <c r="S1855" s="81"/>
      <c r="T1855" s="81"/>
      <c r="U1855" s="81"/>
      <c r="V1855" s="94"/>
      <c r="W1855" s="94"/>
    </row>
    <row r="1856" spans="1:23" ht="21" customHeight="1">
      <c r="A1856">
        <f>Table4[[#This Row],[Column1]]</f>
        <v>0</v>
      </c>
      <c r="B1856">
        <f>Table4[[#This Row],[Column2]]</f>
        <v>0</v>
      </c>
      <c r="C1856" s="81"/>
      <c r="D1856" s="81"/>
      <c r="E1856" s="81"/>
      <c r="F1856" s="81"/>
      <c r="G1856" s="81"/>
      <c r="H1856" s="81"/>
      <c r="I1856" s="81"/>
      <c r="J1856" s="81"/>
      <c r="K1856" s="81"/>
      <c r="L1856" s="81"/>
      <c r="M1856" s="81"/>
      <c r="N1856" s="81"/>
      <c r="O1856" s="81"/>
      <c r="P1856" s="81"/>
      <c r="Q1856" s="81"/>
      <c r="R1856" s="81"/>
      <c r="S1856" s="81"/>
      <c r="T1856" s="81"/>
      <c r="U1856" s="81"/>
      <c r="V1856" s="94"/>
      <c r="W1856" s="94"/>
    </row>
    <row r="1857" spans="1:23" ht="21" customHeight="1">
      <c r="A1857">
        <f>Table4[[#This Row],[Column1]]</f>
        <v>0</v>
      </c>
      <c r="B1857">
        <f>Table4[[#This Row],[Column2]]</f>
        <v>0</v>
      </c>
      <c r="C1857" s="81"/>
      <c r="D1857" s="81"/>
      <c r="E1857" s="81"/>
      <c r="F1857" s="81"/>
      <c r="G1857" s="81"/>
      <c r="H1857" s="81"/>
      <c r="I1857" s="81"/>
      <c r="J1857" s="81"/>
      <c r="K1857" s="81"/>
      <c r="L1857" s="81"/>
      <c r="M1857" s="81"/>
      <c r="N1857" s="81"/>
      <c r="O1857" s="81"/>
      <c r="P1857" s="81"/>
      <c r="Q1857" s="81"/>
      <c r="R1857" s="81"/>
      <c r="S1857" s="81"/>
      <c r="T1857" s="81"/>
      <c r="U1857" s="81"/>
      <c r="V1857" s="94"/>
      <c r="W1857" s="94"/>
    </row>
    <row r="1858" spans="1:23" ht="21" customHeight="1">
      <c r="A1858">
        <f>Table4[[#This Row],[Column1]]</f>
        <v>0</v>
      </c>
      <c r="B1858">
        <f>Table4[[#This Row],[Column2]]</f>
        <v>0</v>
      </c>
      <c r="C1858" s="81"/>
      <c r="D1858" s="81"/>
      <c r="E1858" s="81"/>
      <c r="F1858" s="81"/>
      <c r="G1858" s="81"/>
      <c r="H1858" s="81"/>
      <c r="I1858" s="81"/>
      <c r="J1858" s="81"/>
      <c r="K1858" s="81"/>
      <c r="L1858" s="81"/>
      <c r="M1858" s="81"/>
      <c r="N1858" s="81"/>
      <c r="O1858" s="81"/>
      <c r="P1858" s="81"/>
      <c r="Q1858" s="81"/>
      <c r="R1858" s="81"/>
      <c r="S1858" s="81"/>
      <c r="T1858" s="81"/>
      <c r="U1858" s="81"/>
      <c r="V1858" s="94"/>
      <c r="W1858" s="94"/>
    </row>
    <row r="1859" spans="1:23" ht="21" customHeight="1">
      <c r="A1859">
        <f>Table4[[#This Row],[Column1]]</f>
        <v>0</v>
      </c>
      <c r="B1859">
        <f>Table4[[#This Row],[Column2]]</f>
        <v>0</v>
      </c>
      <c r="C1859" s="81"/>
      <c r="D1859" s="81"/>
      <c r="E1859" s="81"/>
      <c r="F1859" s="81"/>
      <c r="G1859" s="81"/>
      <c r="H1859" s="81"/>
      <c r="I1859" s="81"/>
      <c r="J1859" s="81"/>
      <c r="K1859" s="81"/>
      <c r="L1859" s="81"/>
      <c r="M1859" s="81"/>
      <c r="N1859" s="81"/>
      <c r="O1859" s="81"/>
      <c r="P1859" s="81"/>
      <c r="Q1859" s="81"/>
      <c r="R1859" s="81"/>
      <c r="S1859" s="81"/>
      <c r="T1859" s="81"/>
      <c r="U1859" s="81"/>
      <c r="V1859" s="94"/>
      <c r="W1859" s="94"/>
    </row>
    <row r="1860" spans="1:23" ht="21" customHeight="1">
      <c r="A1860">
        <f>Table4[[#This Row],[Column1]]</f>
        <v>0</v>
      </c>
      <c r="B1860">
        <f>Table4[[#This Row],[Column2]]</f>
        <v>0</v>
      </c>
      <c r="C1860" s="81"/>
      <c r="D1860" s="81"/>
      <c r="E1860" s="81"/>
      <c r="F1860" s="81"/>
      <c r="G1860" s="81"/>
      <c r="H1860" s="81"/>
      <c r="I1860" s="81"/>
      <c r="J1860" s="81"/>
      <c r="K1860" s="81"/>
      <c r="L1860" s="81"/>
      <c r="M1860" s="81"/>
      <c r="N1860" s="81"/>
      <c r="O1860" s="81"/>
      <c r="P1860" s="81"/>
      <c r="Q1860" s="81"/>
      <c r="R1860" s="81"/>
      <c r="S1860" s="81"/>
      <c r="T1860" s="81"/>
      <c r="U1860" s="81"/>
      <c r="V1860" s="94"/>
      <c r="W1860" s="94"/>
    </row>
    <row r="1861" spans="1:23" ht="21" customHeight="1">
      <c r="A1861">
        <f>Table4[[#This Row],[Column1]]</f>
        <v>0</v>
      </c>
      <c r="B1861">
        <f>Table4[[#This Row],[Column2]]</f>
        <v>0</v>
      </c>
      <c r="C1861" s="81"/>
      <c r="D1861" s="81"/>
      <c r="E1861" s="81"/>
      <c r="F1861" s="81"/>
      <c r="G1861" s="81"/>
      <c r="H1861" s="81"/>
      <c r="I1861" s="81"/>
      <c r="J1861" s="81"/>
      <c r="K1861" s="81"/>
      <c r="L1861" s="81"/>
      <c r="M1861" s="81"/>
      <c r="N1861" s="81"/>
      <c r="O1861" s="81"/>
      <c r="P1861" s="81"/>
      <c r="Q1861" s="81"/>
      <c r="R1861" s="81"/>
      <c r="S1861" s="81"/>
      <c r="T1861" s="81"/>
      <c r="U1861" s="81"/>
      <c r="V1861" s="94"/>
      <c r="W1861" s="94"/>
    </row>
    <row r="1862" spans="1:23" ht="21" customHeight="1">
      <c r="A1862">
        <f>Table4[[#This Row],[Column1]]</f>
        <v>0</v>
      </c>
      <c r="B1862">
        <f>Table4[[#This Row],[Column2]]</f>
        <v>0</v>
      </c>
      <c r="C1862" s="81"/>
      <c r="D1862" s="81"/>
      <c r="E1862" s="81"/>
      <c r="F1862" s="81"/>
      <c r="G1862" s="81"/>
      <c r="H1862" s="81"/>
      <c r="I1862" s="81"/>
      <c r="J1862" s="81"/>
      <c r="K1862" s="81"/>
      <c r="L1862" s="81"/>
      <c r="M1862" s="81"/>
      <c r="N1862" s="81"/>
      <c r="O1862" s="81"/>
      <c r="P1862" s="81"/>
      <c r="Q1862" s="81"/>
      <c r="R1862" s="81"/>
      <c r="S1862" s="81"/>
      <c r="T1862" s="81"/>
      <c r="U1862" s="81"/>
      <c r="V1862" s="94"/>
      <c r="W1862" s="94"/>
    </row>
    <row r="1863" spans="1:23" ht="21" customHeight="1">
      <c r="A1863">
        <f>Table4[[#This Row],[Column1]]</f>
        <v>0</v>
      </c>
      <c r="B1863">
        <f>Table4[[#This Row],[Column2]]</f>
        <v>0</v>
      </c>
      <c r="C1863" s="81"/>
      <c r="D1863" s="81"/>
      <c r="E1863" s="81"/>
      <c r="F1863" s="81"/>
      <c r="G1863" s="81"/>
      <c r="H1863" s="81"/>
      <c r="I1863" s="81"/>
      <c r="J1863" s="81"/>
      <c r="K1863" s="81"/>
      <c r="L1863" s="81"/>
      <c r="M1863" s="81"/>
      <c r="N1863" s="81"/>
      <c r="O1863" s="81"/>
      <c r="P1863" s="81"/>
      <c r="Q1863" s="81"/>
      <c r="R1863" s="81"/>
      <c r="S1863" s="81"/>
      <c r="T1863" s="81"/>
      <c r="U1863" s="81"/>
      <c r="V1863" s="94"/>
      <c r="W1863" s="94"/>
    </row>
    <row r="1864" spans="1:23" ht="21" customHeight="1">
      <c r="A1864">
        <f>Table4[[#This Row],[Column1]]</f>
        <v>0</v>
      </c>
      <c r="B1864">
        <f>Table4[[#This Row],[Column2]]</f>
        <v>0</v>
      </c>
      <c r="C1864" s="81"/>
      <c r="D1864" s="81"/>
      <c r="E1864" s="81"/>
      <c r="F1864" s="81"/>
      <c r="G1864" s="81"/>
      <c r="H1864" s="81"/>
      <c r="I1864" s="81"/>
      <c r="J1864" s="81"/>
      <c r="K1864" s="81"/>
      <c r="L1864" s="81"/>
      <c r="M1864" s="81"/>
      <c r="N1864" s="81"/>
      <c r="O1864" s="81"/>
      <c r="P1864" s="81"/>
      <c r="Q1864" s="81"/>
      <c r="R1864" s="81"/>
      <c r="S1864" s="81"/>
      <c r="T1864" s="81"/>
      <c r="U1864" s="81"/>
      <c r="V1864" s="94"/>
      <c r="W1864" s="94"/>
    </row>
    <row r="1865" spans="1:23" ht="21" customHeight="1">
      <c r="A1865">
        <f>Table4[[#This Row],[Column1]]</f>
        <v>0</v>
      </c>
      <c r="B1865">
        <f>Table4[[#This Row],[Column2]]</f>
        <v>0</v>
      </c>
      <c r="C1865" s="81"/>
      <c r="D1865" s="81"/>
      <c r="E1865" s="81"/>
      <c r="F1865" s="81"/>
      <c r="G1865" s="81"/>
      <c r="H1865" s="81"/>
      <c r="I1865" s="81"/>
      <c r="J1865" s="81"/>
      <c r="K1865" s="81"/>
      <c r="L1865" s="81"/>
      <c r="M1865" s="81"/>
      <c r="N1865" s="81"/>
      <c r="O1865" s="81"/>
      <c r="P1865" s="81"/>
      <c r="Q1865" s="81"/>
      <c r="R1865" s="81"/>
      <c r="S1865" s="81"/>
      <c r="T1865" s="81"/>
      <c r="U1865" s="81"/>
      <c r="V1865" s="94"/>
      <c r="W1865" s="94"/>
    </row>
    <row r="1866" spans="1:23" ht="21" customHeight="1">
      <c r="A1866">
        <f>Table4[[#This Row],[Column1]]</f>
        <v>0</v>
      </c>
      <c r="B1866">
        <f>Table4[[#This Row],[Column2]]</f>
        <v>0</v>
      </c>
      <c r="C1866" s="81"/>
      <c r="D1866" s="81"/>
      <c r="E1866" s="81"/>
      <c r="F1866" s="81"/>
      <c r="G1866" s="81"/>
      <c r="H1866" s="81"/>
      <c r="I1866" s="81"/>
      <c r="J1866" s="81"/>
      <c r="K1866" s="81"/>
      <c r="L1866" s="81"/>
      <c r="M1866" s="81"/>
      <c r="N1866" s="81"/>
      <c r="O1866" s="81"/>
      <c r="P1866" s="81"/>
      <c r="Q1866" s="81"/>
      <c r="R1866" s="81"/>
      <c r="S1866" s="81"/>
      <c r="T1866" s="81"/>
      <c r="U1866" s="81"/>
      <c r="V1866" s="94"/>
      <c r="W1866" s="94"/>
    </row>
    <row r="1867" spans="1:23" ht="21" customHeight="1">
      <c r="A1867">
        <f>Table4[[#This Row],[Column1]]</f>
        <v>0</v>
      </c>
      <c r="B1867">
        <f>Table4[[#This Row],[Column2]]</f>
        <v>0</v>
      </c>
      <c r="C1867" s="81"/>
      <c r="D1867" s="81"/>
      <c r="E1867" s="81"/>
      <c r="F1867" s="81"/>
      <c r="G1867" s="81"/>
      <c r="H1867" s="81"/>
      <c r="I1867" s="81"/>
      <c r="J1867" s="81"/>
      <c r="K1867" s="81"/>
      <c r="L1867" s="81"/>
      <c r="M1867" s="81"/>
      <c r="N1867" s="81"/>
      <c r="O1867" s="81"/>
      <c r="P1867" s="81"/>
      <c r="Q1867" s="81"/>
      <c r="R1867" s="81"/>
      <c r="S1867" s="81"/>
      <c r="T1867" s="81"/>
      <c r="U1867" s="81"/>
      <c r="V1867" s="94"/>
      <c r="W1867" s="94"/>
    </row>
    <row r="1868" spans="1:23" ht="21" customHeight="1">
      <c r="A1868">
        <f>Table4[[#This Row],[Column1]]</f>
        <v>0</v>
      </c>
      <c r="B1868">
        <f>Table4[[#This Row],[Column2]]</f>
        <v>0</v>
      </c>
      <c r="C1868" s="81"/>
      <c r="D1868" s="81"/>
      <c r="E1868" s="81"/>
      <c r="F1868" s="81"/>
      <c r="G1868" s="81"/>
      <c r="H1868" s="81"/>
      <c r="I1868" s="81"/>
      <c r="J1868" s="81"/>
      <c r="K1868" s="81"/>
      <c r="L1868" s="81"/>
      <c r="M1868" s="81"/>
      <c r="N1868" s="81"/>
      <c r="O1868" s="81"/>
      <c r="P1868" s="81"/>
      <c r="Q1868" s="81"/>
      <c r="R1868" s="81"/>
      <c r="S1868" s="81"/>
      <c r="T1868" s="81"/>
      <c r="U1868" s="81"/>
      <c r="V1868" s="94"/>
      <c r="W1868" s="94"/>
    </row>
    <row r="1869" spans="1:23" ht="21" customHeight="1">
      <c r="A1869">
        <f>Table4[[#This Row],[Column1]]</f>
        <v>0</v>
      </c>
      <c r="B1869">
        <f>Table4[[#This Row],[Column2]]</f>
        <v>0</v>
      </c>
      <c r="C1869" s="81"/>
      <c r="D1869" s="81"/>
      <c r="E1869" s="81"/>
      <c r="F1869" s="81"/>
      <c r="G1869" s="81"/>
      <c r="H1869" s="81"/>
      <c r="I1869" s="81"/>
      <c r="J1869" s="81"/>
      <c r="K1869" s="81"/>
      <c r="L1869" s="81"/>
      <c r="M1869" s="81"/>
      <c r="N1869" s="81"/>
      <c r="O1869" s="81"/>
      <c r="P1869" s="81"/>
      <c r="Q1869" s="81"/>
      <c r="R1869" s="81"/>
      <c r="S1869" s="81"/>
      <c r="T1869" s="81"/>
      <c r="U1869" s="81"/>
      <c r="V1869" s="94"/>
      <c r="W1869" s="94"/>
    </row>
    <row r="1870" spans="1:23" ht="21" customHeight="1">
      <c r="A1870">
        <f>Table4[[#This Row],[Column1]]</f>
        <v>0</v>
      </c>
      <c r="B1870">
        <f>Table4[[#This Row],[Column2]]</f>
        <v>0</v>
      </c>
      <c r="C1870" s="81"/>
      <c r="D1870" s="81"/>
      <c r="E1870" s="81"/>
      <c r="F1870" s="81"/>
      <c r="G1870" s="81"/>
      <c r="H1870" s="81"/>
      <c r="I1870" s="81"/>
      <c r="J1870" s="81"/>
      <c r="K1870" s="81"/>
      <c r="L1870" s="81"/>
      <c r="M1870" s="81"/>
      <c r="N1870" s="81"/>
      <c r="O1870" s="81"/>
      <c r="P1870" s="81"/>
      <c r="Q1870" s="81"/>
      <c r="R1870" s="81"/>
      <c r="S1870" s="81"/>
      <c r="T1870" s="81"/>
      <c r="U1870" s="81"/>
      <c r="V1870" s="94"/>
      <c r="W1870" s="94"/>
    </row>
    <row r="1871" spans="1:23" ht="21" customHeight="1">
      <c r="A1871">
        <f>Table4[[#This Row],[Column1]]</f>
        <v>0</v>
      </c>
      <c r="B1871">
        <f>Table4[[#This Row],[Column2]]</f>
        <v>0</v>
      </c>
      <c r="C1871" s="81"/>
      <c r="D1871" s="81"/>
      <c r="E1871" s="81"/>
      <c r="F1871" s="81"/>
      <c r="G1871" s="81"/>
      <c r="H1871" s="81"/>
      <c r="I1871" s="81"/>
      <c r="J1871" s="81"/>
      <c r="K1871" s="81"/>
      <c r="L1871" s="81"/>
      <c r="M1871" s="81"/>
      <c r="N1871" s="81"/>
      <c r="O1871" s="81"/>
      <c r="P1871" s="81"/>
      <c r="Q1871" s="81"/>
      <c r="R1871" s="81"/>
      <c r="S1871" s="81"/>
      <c r="T1871" s="81"/>
      <c r="U1871" s="81"/>
      <c r="V1871" s="94"/>
      <c r="W1871" s="94"/>
    </row>
    <row r="1872" spans="1:23" ht="21" customHeight="1">
      <c r="A1872">
        <f>Table4[[#This Row],[Column1]]</f>
        <v>0</v>
      </c>
      <c r="B1872">
        <f>Table4[[#This Row],[Column2]]</f>
        <v>0</v>
      </c>
      <c r="C1872" s="81"/>
      <c r="D1872" s="81"/>
      <c r="E1872" s="81"/>
      <c r="F1872" s="81"/>
      <c r="G1872" s="81"/>
      <c r="H1872" s="81"/>
      <c r="I1872" s="81"/>
      <c r="J1872" s="81"/>
      <c r="K1872" s="81"/>
      <c r="L1872" s="81"/>
      <c r="M1872" s="81"/>
      <c r="N1872" s="81"/>
      <c r="O1872" s="81"/>
      <c r="P1872" s="81"/>
      <c r="Q1872" s="81"/>
      <c r="R1872" s="81"/>
      <c r="S1872" s="81"/>
      <c r="T1872" s="81"/>
      <c r="U1872" s="81"/>
      <c r="V1872" s="94"/>
      <c r="W1872" s="94"/>
    </row>
    <row r="1873" spans="1:23" ht="21" customHeight="1">
      <c r="A1873">
        <f>Table4[[#This Row],[Column1]]</f>
        <v>0</v>
      </c>
      <c r="B1873">
        <f>Table4[[#This Row],[Column2]]</f>
        <v>0</v>
      </c>
      <c r="C1873" s="81"/>
      <c r="D1873" s="81"/>
      <c r="E1873" s="81"/>
      <c r="F1873" s="81"/>
      <c r="G1873" s="81"/>
      <c r="H1873" s="81"/>
      <c r="I1873" s="81"/>
      <c r="J1873" s="81"/>
      <c r="K1873" s="81"/>
      <c r="L1873" s="81"/>
      <c r="M1873" s="81"/>
      <c r="N1873" s="81"/>
      <c r="O1873" s="81"/>
      <c r="P1873" s="81"/>
      <c r="Q1873" s="81"/>
      <c r="R1873" s="81"/>
      <c r="S1873" s="81"/>
      <c r="T1873" s="81"/>
      <c r="U1873" s="81"/>
      <c r="V1873" s="94"/>
      <c r="W1873" s="94"/>
    </row>
    <row r="1874" spans="1:23" ht="21" customHeight="1">
      <c r="A1874">
        <f>Table4[[#This Row],[Column1]]</f>
        <v>0</v>
      </c>
      <c r="B1874">
        <f>Table4[[#This Row],[Column2]]</f>
        <v>0</v>
      </c>
      <c r="C1874" s="81"/>
      <c r="D1874" s="81"/>
      <c r="E1874" s="81"/>
      <c r="F1874" s="81"/>
      <c r="G1874" s="81"/>
      <c r="H1874" s="81"/>
      <c r="I1874" s="81"/>
      <c r="J1874" s="81"/>
      <c r="K1874" s="81"/>
      <c r="L1874" s="81"/>
      <c r="M1874" s="81"/>
      <c r="N1874" s="81"/>
      <c r="O1874" s="81"/>
      <c r="P1874" s="81"/>
      <c r="Q1874" s="81"/>
      <c r="R1874" s="81"/>
      <c r="S1874" s="81"/>
      <c r="T1874" s="81"/>
      <c r="U1874" s="81"/>
      <c r="V1874" s="94"/>
      <c r="W1874" s="94"/>
    </row>
    <row r="1875" spans="1:23" ht="21" customHeight="1">
      <c r="A1875">
        <f>Table4[[#This Row],[Column1]]</f>
        <v>0</v>
      </c>
      <c r="B1875">
        <f>Table4[[#This Row],[Column2]]</f>
        <v>0</v>
      </c>
      <c r="C1875" s="81"/>
      <c r="D1875" s="81"/>
      <c r="E1875" s="81"/>
      <c r="F1875" s="81"/>
      <c r="G1875" s="81"/>
      <c r="H1875" s="81"/>
      <c r="I1875" s="81"/>
      <c r="J1875" s="81"/>
      <c r="K1875" s="81"/>
      <c r="L1875" s="81"/>
      <c r="M1875" s="81"/>
      <c r="N1875" s="81"/>
      <c r="O1875" s="81"/>
      <c r="P1875" s="81"/>
      <c r="Q1875" s="81"/>
      <c r="R1875" s="81"/>
      <c r="S1875" s="81"/>
      <c r="T1875" s="81"/>
      <c r="U1875" s="81"/>
      <c r="V1875" s="94"/>
      <c r="W1875" s="94"/>
    </row>
    <row r="1876" spans="1:23" ht="21" customHeight="1">
      <c r="A1876">
        <f>Table4[[#This Row],[Column1]]</f>
        <v>0</v>
      </c>
      <c r="B1876">
        <f>Table4[[#This Row],[Column2]]</f>
        <v>0</v>
      </c>
      <c r="C1876" s="81"/>
      <c r="D1876" s="81"/>
      <c r="E1876" s="81"/>
      <c r="F1876" s="81"/>
      <c r="G1876" s="81"/>
      <c r="H1876" s="81"/>
      <c r="I1876" s="81"/>
      <c r="J1876" s="81"/>
      <c r="K1876" s="81"/>
      <c r="L1876" s="81"/>
      <c r="M1876" s="81"/>
      <c r="N1876" s="81"/>
      <c r="O1876" s="81"/>
      <c r="P1876" s="81"/>
      <c r="Q1876" s="81"/>
      <c r="R1876" s="81"/>
      <c r="S1876" s="81"/>
      <c r="T1876" s="81"/>
      <c r="U1876" s="81"/>
      <c r="V1876" s="94"/>
      <c r="W1876" s="94"/>
    </row>
    <row r="1877" spans="1:23" ht="21" customHeight="1">
      <c r="A1877">
        <f>Table4[[#This Row],[Column1]]</f>
        <v>0</v>
      </c>
      <c r="B1877">
        <f>Table4[[#This Row],[Column2]]</f>
        <v>0</v>
      </c>
      <c r="C1877" s="81"/>
      <c r="D1877" s="81"/>
      <c r="E1877" s="81"/>
      <c r="F1877" s="81"/>
      <c r="G1877" s="81"/>
      <c r="H1877" s="81"/>
      <c r="I1877" s="81"/>
      <c r="J1877" s="81"/>
      <c r="K1877" s="81"/>
      <c r="L1877" s="81"/>
      <c r="M1877" s="81"/>
      <c r="N1877" s="81"/>
      <c r="O1877" s="81"/>
      <c r="P1877" s="81"/>
      <c r="Q1877" s="81"/>
      <c r="R1877" s="81"/>
      <c r="S1877" s="81"/>
      <c r="T1877" s="81"/>
      <c r="U1877" s="81"/>
      <c r="V1877" s="94"/>
      <c r="W1877" s="94"/>
    </row>
    <row r="1878" spans="1:23" ht="21" customHeight="1">
      <c r="A1878">
        <f>Table4[[#This Row],[Column1]]</f>
        <v>0</v>
      </c>
      <c r="B1878">
        <f>Table4[[#This Row],[Column2]]</f>
        <v>0</v>
      </c>
      <c r="C1878" s="81"/>
      <c r="D1878" s="81"/>
      <c r="E1878" s="81"/>
      <c r="F1878" s="81"/>
      <c r="G1878" s="81"/>
      <c r="H1878" s="81"/>
      <c r="I1878" s="81"/>
      <c r="J1878" s="81"/>
      <c r="K1878" s="81"/>
      <c r="L1878" s="81"/>
      <c r="M1878" s="81"/>
      <c r="N1878" s="81"/>
      <c r="O1878" s="81"/>
      <c r="P1878" s="81"/>
      <c r="Q1878" s="81"/>
      <c r="R1878" s="81"/>
      <c r="S1878" s="81"/>
      <c r="T1878" s="81"/>
      <c r="U1878" s="81"/>
      <c r="V1878" s="94"/>
      <c r="W1878" s="94"/>
    </row>
    <row r="1879" spans="1:23" ht="21" customHeight="1">
      <c r="A1879">
        <f>Table4[[#This Row],[Column1]]</f>
        <v>0</v>
      </c>
      <c r="B1879">
        <f>Table4[[#This Row],[Column2]]</f>
        <v>0</v>
      </c>
      <c r="C1879" s="81"/>
      <c r="D1879" s="81"/>
      <c r="E1879" s="81"/>
      <c r="F1879" s="81"/>
      <c r="G1879" s="81"/>
      <c r="H1879" s="81"/>
      <c r="I1879" s="81"/>
      <c r="J1879" s="81"/>
      <c r="K1879" s="81"/>
      <c r="L1879" s="81"/>
      <c r="M1879" s="81"/>
      <c r="N1879" s="81"/>
      <c r="O1879" s="81"/>
      <c r="P1879" s="81"/>
      <c r="Q1879" s="81"/>
      <c r="R1879" s="81"/>
      <c r="S1879" s="81"/>
      <c r="T1879" s="81"/>
      <c r="U1879" s="81"/>
      <c r="V1879" s="94"/>
      <c r="W1879" s="94"/>
    </row>
    <row r="1880" spans="1:23" ht="21" customHeight="1">
      <c r="A1880">
        <f>Table4[[#This Row],[Column1]]</f>
        <v>0</v>
      </c>
      <c r="B1880">
        <f>Table4[[#This Row],[Column2]]</f>
        <v>0</v>
      </c>
      <c r="C1880" s="81"/>
      <c r="D1880" s="81"/>
      <c r="E1880" s="81"/>
      <c r="F1880" s="81"/>
      <c r="G1880" s="81"/>
      <c r="H1880" s="81"/>
      <c r="I1880" s="81"/>
      <c r="J1880" s="81"/>
      <c r="K1880" s="81"/>
      <c r="L1880" s="81"/>
      <c r="M1880" s="81"/>
      <c r="N1880" s="81"/>
      <c r="O1880" s="81"/>
      <c r="P1880" s="81"/>
      <c r="Q1880" s="81"/>
      <c r="R1880" s="81"/>
      <c r="S1880" s="81"/>
      <c r="T1880" s="81"/>
      <c r="U1880" s="81"/>
      <c r="V1880" s="94"/>
      <c r="W1880" s="94"/>
    </row>
    <row r="1881" spans="1:23" ht="21" customHeight="1">
      <c r="A1881">
        <f>Table4[[#This Row],[Column1]]</f>
        <v>0</v>
      </c>
      <c r="B1881">
        <f>Table4[[#This Row],[Column2]]</f>
        <v>0</v>
      </c>
      <c r="C1881" s="81"/>
      <c r="D1881" s="81"/>
      <c r="E1881" s="81"/>
      <c r="F1881" s="81"/>
      <c r="G1881" s="81"/>
      <c r="H1881" s="81"/>
      <c r="I1881" s="81"/>
      <c r="J1881" s="81"/>
      <c r="K1881" s="81"/>
      <c r="L1881" s="81"/>
      <c r="M1881" s="81"/>
      <c r="N1881" s="81"/>
      <c r="O1881" s="81"/>
      <c r="P1881" s="81"/>
      <c r="Q1881" s="81"/>
      <c r="R1881" s="81"/>
      <c r="S1881" s="81"/>
      <c r="T1881" s="81"/>
      <c r="U1881" s="81"/>
      <c r="V1881" s="94"/>
      <c r="W1881" s="94"/>
    </row>
    <row r="1882" spans="1:23" ht="21" customHeight="1">
      <c r="A1882">
        <f>Table4[[#This Row],[Column1]]</f>
        <v>0</v>
      </c>
      <c r="B1882">
        <f>Table4[[#This Row],[Column2]]</f>
        <v>0</v>
      </c>
      <c r="C1882" s="81"/>
      <c r="D1882" s="81"/>
      <c r="E1882" s="81"/>
      <c r="F1882" s="81"/>
      <c r="G1882" s="81"/>
      <c r="H1882" s="81"/>
      <c r="I1882" s="81"/>
      <c r="J1882" s="81"/>
      <c r="K1882" s="81"/>
      <c r="L1882" s="81"/>
      <c r="M1882" s="81"/>
      <c r="N1882" s="81"/>
      <c r="O1882" s="81"/>
      <c r="P1882" s="81"/>
      <c r="Q1882" s="81"/>
      <c r="R1882" s="81"/>
      <c r="S1882" s="81"/>
      <c r="T1882" s="81"/>
      <c r="U1882" s="81"/>
      <c r="V1882" s="94"/>
      <c r="W1882" s="94"/>
    </row>
    <row r="1883" spans="1:23" ht="21" customHeight="1">
      <c r="A1883">
        <f>Table4[[#This Row],[Column1]]</f>
        <v>0</v>
      </c>
      <c r="B1883">
        <f>Table4[[#This Row],[Column2]]</f>
        <v>0</v>
      </c>
      <c r="C1883" s="81"/>
      <c r="D1883" s="81"/>
      <c r="E1883" s="81"/>
      <c r="F1883" s="81"/>
      <c r="G1883" s="81"/>
      <c r="H1883" s="81"/>
      <c r="I1883" s="81"/>
      <c r="J1883" s="81"/>
      <c r="K1883" s="81"/>
      <c r="L1883" s="81"/>
      <c r="M1883" s="81"/>
      <c r="N1883" s="81"/>
      <c r="O1883" s="81"/>
      <c r="P1883" s="81"/>
      <c r="Q1883" s="81"/>
      <c r="R1883" s="81"/>
      <c r="S1883" s="81"/>
      <c r="T1883" s="81"/>
      <c r="U1883" s="81"/>
      <c r="V1883" s="94"/>
      <c r="W1883" s="94"/>
    </row>
    <row r="1884" spans="1:23" ht="21" customHeight="1">
      <c r="A1884">
        <f>Table4[[#This Row],[Column1]]</f>
        <v>0</v>
      </c>
      <c r="B1884">
        <f>Table4[[#This Row],[Column2]]</f>
        <v>0</v>
      </c>
      <c r="C1884" s="81"/>
      <c r="D1884" s="81"/>
      <c r="E1884" s="81"/>
      <c r="F1884" s="81"/>
      <c r="G1884" s="81"/>
      <c r="H1884" s="81"/>
      <c r="I1884" s="81"/>
      <c r="J1884" s="81"/>
      <c r="K1884" s="81"/>
      <c r="L1884" s="81"/>
      <c r="M1884" s="81"/>
      <c r="N1884" s="81"/>
      <c r="O1884" s="81"/>
      <c r="P1884" s="81"/>
      <c r="Q1884" s="81"/>
      <c r="R1884" s="81"/>
      <c r="S1884" s="81"/>
      <c r="T1884" s="81"/>
      <c r="U1884" s="81"/>
      <c r="V1884" s="94"/>
      <c r="W1884" s="94"/>
    </row>
    <row r="1885" spans="1:23" ht="21" customHeight="1">
      <c r="A1885">
        <f>Table4[[#This Row],[Column1]]</f>
        <v>0</v>
      </c>
      <c r="B1885">
        <f>Table4[[#This Row],[Column2]]</f>
        <v>0</v>
      </c>
      <c r="C1885" s="81"/>
      <c r="D1885" s="81"/>
      <c r="E1885" s="81"/>
      <c r="F1885" s="81"/>
      <c r="G1885" s="81"/>
      <c r="H1885" s="81"/>
      <c r="I1885" s="81"/>
      <c r="J1885" s="81"/>
      <c r="K1885" s="81"/>
      <c r="L1885" s="81"/>
      <c r="M1885" s="81"/>
      <c r="N1885" s="81"/>
      <c r="O1885" s="81"/>
      <c r="P1885" s="81"/>
      <c r="Q1885" s="81"/>
      <c r="R1885" s="81"/>
      <c r="S1885" s="81"/>
      <c r="T1885" s="81"/>
      <c r="U1885" s="81"/>
      <c r="V1885" s="94"/>
      <c r="W1885" s="94"/>
    </row>
    <row r="1886" spans="1:23" ht="21" customHeight="1">
      <c r="A1886">
        <f>Table4[[#This Row],[Column1]]</f>
        <v>0</v>
      </c>
      <c r="B1886">
        <f>Table4[[#This Row],[Column2]]</f>
        <v>0</v>
      </c>
      <c r="C1886" s="81"/>
      <c r="D1886" s="81"/>
      <c r="E1886" s="81"/>
      <c r="F1886" s="81"/>
      <c r="G1886" s="81"/>
      <c r="H1886" s="81"/>
      <c r="I1886" s="81"/>
      <c r="J1886" s="81"/>
      <c r="K1886" s="81"/>
      <c r="L1886" s="81"/>
      <c r="M1886" s="81"/>
      <c r="N1886" s="81"/>
      <c r="O1886" s="81"/>
      <c r="P1886" s="81"/>
      <c r="Q1886" s="81"/>
      <c r="R1886" s="81"/>
      <c r="S1886" s="81"/>
      <c r="T1886" s="81"/>
      <c r="U1886" s="81"/>
      <c r="V1886" s="94"/>
      <c r="W1886" s="94"/>
    </row>
    <row r="1887" spans="1:23" ht="21" customHeight="1">
      <c r="A1887">
        <f>Table4[[#This Row],[Column1]]</f>
        <v>0</v>
      </c>
      <c r="B1887">
        <f>Table4[[#This Row],[Column2]]</f>
        <v>0</v>
      </c>
      <c r="C1887" s="81"/>
      <c r="D1887" s="81"/>
      <c r="E1887" s="81"/>
      <c r="F1887" s="81"/>
      <c r="G1887" s="81"/>
      <c r="H1887" s="81"/>
      <c r="I1887" s="81"/>
      <c r="J1887" s="81"/>
      <c r="K1887" s="81"/>
      <c r="L1887" s="81"/>
      <c r="M1887" s="81"/>
      <c r="N1887" s="81"/>
      <c r="O1887" s="81"/>
      <c r="P1887" s="81"/>
      <c r="Q1887" s="81"/>
      <c r="R1887" s="81"/>
      <c r="S1887" s="81"/>
      <c r="T1887" s="81"/>
      <c r="U1887" s="81"/>
      <c r="V1887" s="94"/>
      <c r="W1887" s="94"/>
    </row>
    <row r="1888" spans="1:23" ht="21" customHeight="1">
      <c r="A1888">
        <f>Table4[[#This Row],[Column1]]</f>
        <v>0</v>
      </c>
      <c r="B1888">
        <f>Table4[[#This Row],[Column2]]</f>
        <v>0</v>
      </c>
      <c r="C1888" s="81"/>
      <c r="D1888" s="81"/>
      <c r="E1888" s="81"/>
      <c r="F1888" s="81"/>
      <c r="G1888" s="81"/>
      <c r="H1888" s="81"/>
      <c r="I1888" s="81"/>
      <c r="J1888" s="81"/>
      <c r="K1888" s="81"/>
      <c r="L1888" s="81"/>
      <c r="M1888" s="81"/>
      <c r="N1888" s="81"/>
      <c r="O1888" s="81"/>
      <c r="P1888" s="81"/>
      <c r="Q1888" s="81"/>
      <c r="R1888" s="81"/>
      <c r="S1888" s="81"/>
      <c r="T1888" s="81"/>
      <c r="U1888" s="81"/>
      <c r="V1888" s="94"/>
      <c r="W1888" s="94"/>
    </row>
    <row r="1889" spans="1:23" ht="21" customHeight="1">
      <c r="A1889">
        <f>Table4[[#This Row],[Column1]]</f>
        <v>0</v>
      </c>
      <c r="B1889">
        <f>Table4[[#This Row],[Column2]]</f>
        <v>0</v>
      </c>
      <c r="C1889" s="81"/>
      <c r="D1889" s="81"/>
      <c r="E1889" s="81"/>
      <c r="F1889" s="81"/>
      <c r="G1889" s="81"/>
      <c r="H1889" s="81"/>
      <c r="I1889" s="81"/>
      <c r="J1889" s="81"/>
      <c r="K1889" s="81"/>
      <c r="L1889" s="81"/>
      <c r="M1889" s="81"/>
      <c r="N1889" s="81"/>
      <c r="O1889" s="81"/>
      <c r="P1889" s="81"/>
      <c r="Q1889" s="81"/>
      <c r="R1889" s="81"/>
      <c r="S1889" s="81"/>
      <c r="T1889" s="81"/>
      <c r="U1889" s="81"/>
      <c r="V1889" s="94"/>
      <c r="W1889" s="94"/>
    </row>
    <row r="1890" spans="1:23" ht="21" customHeight="1">
      <c r="A1890">
        <f>Table4[[#This Row],[Column1]]</f>
        <v>0</v>
      </c>
      <c r="B1890">
        <f>Table4[[#This Row],[Column2]]</f>
        <v>0</v>
      </c>
      <c r="C1890" s="81"/>
      <c r="D1890" s="81"/>
      <c r="E1890" s="81"/>
      <c r="F1890" s="81"/>
      <c r="G1890" s="81"/>
      <c r="H1890" s="81"/>
      <c r="I1890" s="81"/>
      <c r="J1890" s="81"/>
      <c r="K1890" s="81"/>
      <c r="L1890" s="81"/>
      <c r="M1890" s="81"/>
      <c r="N1890" s="81"/>
      <c r="O1890" s="81"/>
      <c r="P1890" s="81"/>
      <c r="Q1890" s="81"/>
      <c r="R1890" s="81"/>
      <c r="S1890" s="81"/>
      <c r="T1890" s="81"/>
      <c r="U1890" s="81"/>
      <c r="V1890" s="94"/>
      <c r="W1890" s="94"/>
    </row>
    <row r="1891" spans="1:23" ht="21" customHeight="1">
      <c r="A1891">
        <f>Table4[[#This Row],[Column1]]</f>
        <v>0</v>
      </c>
      <c r="B1891">
        <f>Table4[[#This Row],[Column2]]</f>
        <v>0</v>
      </c>
      <c r="C1891" s="81"/>
      <c r="D1891" s="81"/>
      <c r="E1891" s="81"/>
      <c r="F1891" s="81"/>
      <c r="G1891" s="81"/>
      <c r="H1891" s="81"/>
      <c r="I1891" s="81"/>
      <c r="J1891" s="81"/>
      <c r="K1891" s="81"/>
      <c r="L1891" s="81"/>
      <c r="M1891" s="81"/>
      <c r="N1891" s="81"/>
      <c r="O1891" s="81"/>
      <c r="P1891" s="81"/>
      <c r="Q1891" s="81"/>
      <c r="R1891" s="81"/>
      <c r="S1891" s="81"/>
      <c r="T1891" s="81"/>
      <c r="U1891" s="81"/>
      <c r="V1891" s="94"/>
      <c r="W1891" s="94"/>
    </row>
    <row r="1892" spans="1:23" ht="21" customHeight="1">
      <c r="A1892">
        <f>Table4[[#This Row],[Column1]]</f>
        <v>0</v>
      </c>
      <c r="B1892">
        <f>Table4[[#This Row],[Column2]]</f>
        <v>0</v>
      </c>
      <c r="C1892" s="81"/>
      <c r="D1892" s="81"/>
      <c r="E1892" s="81"/>
      <c r="F1892" s="81"/>
      <c r="G1892" s="81"/>
      <c r="H1892" s="81"/>
      <c r="I1892" s="81"/>
      <c r="J1892" s="81"/>
      <c r="K1892" s="81"/>
      <c r="L1892" s="81"/>
      <c r="M1892" s="81"/>
      <c r="N1892" s="81"/>
      <c r="O1892" s="81"/>
      <c r="P1892" s="81"/>
      <c r="Q1892" s="81"/>
      <c r="R1892" s="81"/>
      <c r="S1892" s="81"/>
      <c r="T1892" s="81"/>
      <c r="U1892" s="81"/>
      <c r="V1892" s="94"/>
      <c r="W1892" s="94"/>
    </row>
    <row r="1893" spans="1:23" ht="21" customHeight="1">
      <c r="A1893">
        <f>Table4[[#This Row],[Column1]]</f>
        <v>0</v>
      </c>
      <c r="B1893">
        <f>Table4[[#This Row],[Column2]]</f>
        <v>0</v>
      </c>
      <c r="C1893" s="81"/>
      <c r="D1893" s="81"/>
      <c r="E1893" s="81"/>
      <c r="F1893" s="81"/>
      <c r="G1893" s="81"/>
      <c r="H1893" s="81"/>
      <c r="I1893" s="81"/>
      <c r="J1893" s="81"/>
      <c r="K1893" s="81"/>
      <c r="L1893" s="81"/>
      <c r="M1893" s="81"/>
      <c r="N1893" s="81"/>
      <c r="O1893" s="81"/>
      <c r="P1893" s="81"/>
      <c r="Q1893" s="81"/>
      <c r="R1893" s="81"/>
      <c r="S1893" s="81"/>
      <c r="T1893" s="81"/>
      <c r="U1893" s="81"/>
      <c r="V1893" s="94"/>
      <c r="W1893" s="94"/>
    </row>
    <row r="1894" spans="1:23" ht="21" customHeight="1">
      <c r="A1894">
        <f>Table4[[#This Row],[Column1]]</f>
        <v>0</v>
      </c>
      <c r="B1894">
        <f>Table4[[#This Row],[Column2]]</f>
        <v>0</v>
      </c>
      <c r="C1894" s="81"/>
      <c r="D1894" s="81"/>
      <c r="E1894" s="81"/>
      <c r="F1894" s="81"/>
      <c r="G1894" s="81"/>
      <c r="H1894" s="81"/>
      <c r="I1894" s="81"/>
      <c r="J1894" s="81"/>
      <c r="K1894" s="81"/>
      <c r="L1894" s="81"/>
      <c r="M1894" s="81"/>
      <c r="N1894" s="81"/>
      <c r="O1894" s="81"/>
      <c r="P1894" s="81"/>
      <c r="Q1894" s="81"/>
      <c r="R1894" s="81"/>
      <c r="S1894" s="81"/>
      <c r="T1894" s="81"/>
      <c r="U1894" s="81"/>
      <c r="V1894" s="94"/>
      <c r="W1894" s="94"/>
    </row>
    <row r="1895" spans="1:23" ht="21" customHeight="1">
      <c r="A1895">
        <f>Table4[[#This Row],[Column1]]</f>
        <v>0</v>
      </c>
      <c r="B1895">
        <f>Table4[[#This Row],[Column2]]</f>
        <v>0</v>
      </c>
      <c r="C1895" s="81"/>
      <c r="D1895" s="81"/>
      <c r="E1895" s="81"/>
      <c r="F1895" s="81"/>
      <c r="G1895" s="81"/>
      <c r="H1895" s="81"/>
      <c r="I1895" s="81"/>
      <c r="J1895" s="81"/>
      <c r="K1895" s="81"/>
      <c r="L1895" s="81"/>
      <c r="M1895" s="81"/>
      <c r="N1895" s="81"/>
      <c r="O1895" s="81"/>
      <c r="P1895" s="81"/>
      <c r="Q1895" s="81"/>
      <c r="R1895" s="81"/>
      <c r="S1895" s="81"/>
      <c r="T1895" s="81"/>
      <c r="U1895" s="81"/>
      <c r="V1895" s="94"/>
      <c r="W1895" s="94"/>
    </row>
    <row r="1896" spans="1:23" ht="21" customHeight="1">
      <c r="A1896">
        <f>Table4[[#This Row],[Column1]]</f>
        <v>0</v>
      </c>
      <c r="B1896">
        <f>Table4[[#This Row],[Column2]]</f>
        <v>0</v>
      </c>
      <c r="C1896" s="81"/>
      <c r="D1896" s="81"/>
      <c r="E1896" s="81"/>
      <c r="F1896" s="81"/>
      <c r="G1896" s="81"/>
      <c r="H1896" s="81"/>
      <c r="I1896" s="81"/>
      <c r="J1896" s="81"/>
      <c r="K1896" s="81"/>
      <c r="L1896" s="81"/>
      <c r="M1896" s="81"/>
      <c r="N1896" s="81"/>
      <c r="O1896" s="81"/>
      <c r="P1896" s="81"/>
      <c r="Q1896" s="81"/>
      <c r="R1896" s="81"/>
      <c r="S1896" s="81"/>
      <c r="T1896" s="81"/>
      <c r="U1896" s="81"/>
      <c r="V1896" s="94"/>
      <c r="W1896" s="94"/>
    </row>
    <row r="1897" spans="1:23" ht="21" customHeight="1">
      <c r="A1897">
        <f>Table4[[#This Row],[Column1]]</f>
        <v>0</v>
      </c>
      <c r="B1897">
        <f>Table4[[#This Row],[Column2]]</f>
        <v>0</v>
      </c>
      <c r="C1897" s="81"/>
      <c r="D1897" s="81"/>
      <c r="E1897" s="81"/>
      <c r="F1897" s="81"/>
      <c r="G1897" s="81"/>
      <c r="H1897" s="81"/>
      <c r="I1897" s="81"/>
      <c r="J1897" s="81"/>
      <c r="K1897" s="81"/>
      <c r="L1897" s="81"/>
      <c r="M1897" s="81"/>
      <c r="N1897" s="81"/>
      <c r="O1897" s="81"/>
      <c r="P1897" s="81"/>
      <c r="Q1897" s="81"/>
      <c r="R1897" s="81"/>
      <c r="S1897" s="81"/>
      <c r="T1897" s="81"/>
      <c r="U1897" s="81"/>
      <c r="V1897" s="94"/>
      <c r="W1897" s="94"/>
    </row>
    <row r="1898" spans="1:23" ht="21" customHeight="1">
      <c r="A1898">
        <f>Table4[[#This Row],[Column1]]</f>
        <v>0</v>
      </c>
      <c r="B1898">
        <f>Table4[[#This Row],[Column2]]</f>
        <v>0</v>
      </c>
      <c r="C1898" s="81"/>
      <c r="D1898" s="81"/>
      <c r="E1898" s="81"/>
      <c r="F1898" s="81"/>
      <c r="G1898" s="81"/>
      <c r="H1898" s="81"/>
      <c r="I1898" s="81"/>
      <c r="J1898" s="81"/>
      <c r="K1898" s="81"/>
      <c r="L1898" s="81"/>
      <c r="M1898" s="81"/>
      <c r="N1898" s="81"/>
      <c r="O1898" s="81"/>
      <c r="P1898" s="81"/>
      <c r="Q1898" s="81"/>
      <c r="R1898" s="81"/>
      <c r="S1898" s="81"/>
      <c r="T1898" s="81"/>
      <c r="U1898" s="81"/>
      <c r="V1898" s="94"/>
      <c r="W1898" s="94"/>
    </row>
    <row r="1899" spans="1:23" ht="21" customHeight="1">
      <c r="A1899">
        <f>Table4[[#This Row],[Column1]]</f>
        <v>0</v>
      </c>
      <c r="B1899">
        <f>Table4[[#This Row],[Column2]]</f>
        <v>0</v>
      </c>
      <c r="C1899" s="81"/>
      <c r="D1899" s="81"/>
      <c r="E1899" s="81"/>
      <c r="F1899" s="81"/>
      <c r="G1899" s="81"/>
      <c r="H1899" s="81"/>
      <c r="I1899" s="81"/>
      <c r="J1899" s="81"/>
      <c r="K1899" s="81"/>
      <c r="L1899" s="81"/>
      <c r="M1899" s="81"/>
      <c r="N1899" s="81"/>
      <c r="O1899" s="81"/>
      <c r="P1899" s="81"/>
      <c r="Q1899" s="81"/>
      <c r="R1899" s="81"/>
      <c r="S1899" s="81"/>
      <c r="T1899" s="81"/>
      <c r="U1899" s="81"/>
      <c r="V1899" s="94"/>
      <c r="W1899" s="94"/>
    </row>
    <row r="1900" spans="1:23" ht="21" customHeight="1">
      <c r="A1900">
        <f>Table4[[#This Row],[Column1]]</f>
        <v>0</v>
      </c>
      <c r="B1900">
        <f>Table4[[#This Row],[Column2]]</f>
        <v>0</v>
      </c>
      <c r="C1900" s="81"/>
      <c r="D1900" s="81"/>
      <c r="E1900" s="81"/>
      <c r="F1900" s="81"/>
      <c r="G1900" s="81"/>
      <c r="H1900" s="81"/>
      <c r="I1900" s="81"/>
      <c r="J1900" s="81"/>
      <c r="K1900" s="81"/>
      <c r="L1900" s="81"/>
      <c r="M1900" s="81"/>
      <c r="N1900" s="81"/>
      <c r="O1900" s="81"/>
      <c r="P1900" s="81"/>
      <c r="Q1900" s="81"/>
      <c r="R1900" s="81"/>
      <c r="S1900" s="81"/>
      <c r="T1900" s="81"/>
      <c r="U1900" s="81"/>
      <c r="V1900" s="94"/>
      <c r="W1900" s="94"/>
    </row>
    <row r="1901" spans="1:23" ht="21" customHeight="1">
      <c r="A1901">
        <f>Table4[[#This Row],[Column1]]</f>
        <v>0</v>
      </c>
      <c r="B1901">
        <f>Table4[[#This Row],[Column2]]</f>
        <v>0</v>
      </c>
      <c r="C1901" s="81"/>
      <c r="D1901" s="81"/>
      <c r="E1901" s="81"/>
      <c r="F1901" s="81"/>
      <c r="G1901" s="81"/>
      <c r="H1901" s="81"/>
      <c r="I1901" s="81"/>
      <c r="J1901" s="81"/>
      <c r="K1901" s="81"/>
      <c r="L1901" s="81"/>
      <c r="M1901" s="81"/>
      <c r="N1901" s="81"/>
      <c r="O1901" s="81"/>
      <c r="P1901" s="81"/>
      <c r="Q1901" s="81"/>
      <c r="R1901" s="81"/>
      <c r="S1901" s="81"/>
      <c r="T1901" s="81"/>
      <c r="U1901" s="81"/>
      <c r="V1901" s="94"/>
      <c r="W1901" s="94"/>
    </row>
    <row r="1902" spans="1:23" ht="21" customHeight="1">
      <c r="A1902">
        <f>Table4[[#This Row],[Column1]]</f>
        <v>0</v>
      </c>
      <c r="B1902">
        <f>Table4[[#This Row],[Column2]]</f>
        <v>0</v>
      </c>
      <c r="C1902" s="81"/>
      <c r="D1902" s="81"/>
      <c r="E1902" s="81"/>
      <c r="F1902" s="81"/>
      <c r="G1902" s="81"/>
      <c r="H1902" s="81"/>
      <c r="I1902" s="81"/>
      <c r="J1902" s="81"/>
      <c r="K1902" s="81"/>
      <c r="L1902" s="81"/>
      <c r="M1902" s="81"/>
      <c r="N1902" s="81"/>
      <c r="O1902" s="81"/>
      <c r="P1902" s="81"/>
      <c r="Q1902" s="81"/>
      <c r="R1902" s="81"/>
      <c r="S1902" s="81"/>
      <c r="T1902" s="81"/>
      <c r="U1902" s="81"/>
      <c r="V1902" s="94"/>
      <c r="W1902" s="94"/>
    </row>
    <row r="1903" spans="1:23" ht="21" customHeight="1">
      <c r="A1903">
        <f>Table4[[#This Row],[Column1]]</f>
        <v>0</v>
      </c>
      <c r="B1903">
        <f>Table4[[#This Row],[Column2]]</f>
        <v>0</v>
      </c>
      <c r="C1903" s="81"/>
      <c r="D1903" s="81"/>
      <c r="E1903" s="81"/>
      <c r="F1903" s="81"/>
      <c r="G1903" s="81"/>
      <c r="H1903" s="81"/>
      <c r="I1903" s="81"/>
      <c r="J1903" s="81"/>
      <c r="K1903" s="81"/>
      <c r="L1903" s="81"/>
      <c r="M1903" s="81"/>
      <c r="N1903" s="81"/>
      <c r="O1903" s="81"/>
      <c r="P1903" s="81"/>
      <c r="Q1903" s="81"/>
      <c r="R1903" s="81"/>
      <c r="S1903" s="81"/>
      <c r="T1903" s="81"/>
      <c r="U1903" s="81"/>
      <c r="V1903" s="94"/>
      <c r="W1903" s="94"/>
    </row>
    <row r="1904" spans="1:23" ht="21" customHeight="1">
      <c r="A1904">
        <f>Table4[[#This Row],[Column1]]</f>
        <v>0</v>
      </c>
      <c r="B1904">
        <f>Table4[[#This Row],[Column2]]</f>
        <v>0</v>
      </c>
      <c r="C1904" s="81"/>
      <c r="D1904" s="81"/>
      <c r="E1904" s="81"/>
      <c r="F1904" s="81"/>
      <c r="G1904" s="81"/>
      <c r="H1904" s="81"/>
      <c r="I1904" s="81"/>
      <c r="J1904" s="81"/>
      <c r="K1904" s="81"/>
      <c r="L1904" s="81"/>
      <c r="M1904" s="81"/>
      <c r="N1904" s="81"/>
      <c r="O1904" s="81"/>
      <c r="P1904" s="81"/>
      <c r="Q1904" s="81"/>
      <c r="R1904" s="81"/>
      <c r="S1904" s="81"/>
      <c r="T1904" s="81"/>
      <c r="U1904" s="81"/>
      <c r="V1904" s="94"/>
      <c r="W1904" s="94"/>
    </row>
    <row r="1905" spans="1:23" ht="21" customHeight="1">
      <c r="A1905">
        <f>Table4[[#This Row],[Column1]]</f>
        <v>0</v>
      </c>
      <c r="B1905">
        <f>Table4[[#This Row],[Column2]]</f>
        <v>0</v>
      </c>
      <c r="C1905" s="81"/>
      <c r="D1905" s="81"/>
      <c r="E1905" s="81"/>
      <c r="F1905" s="81"/>
      <c r="G1905" s="81"/>
      <c r="H1905" s="81"/>
      <c r="I1905" s="81"/>
      <c r="J1905" s="81"/>
      <c r="K1905" s="81"/>
      <c r="L1905" s="81"/>
      <c r="M1905" s="81"/>
      <c r="N1905" s="81"/>
      <c r="O1905" s="81"/>
      <c r="P1905" s="81"/>
      <c r="Q1905" s="81"/>
      <c r="R1905" s="81"/>
      <c r="S1905" s="81"/>
      <c r="T1905" s="81"/>
      <c r="U1905" s="81"/>
      <c r="V1905" s="94"/>
      <c r="W1905" s="94"/>
    </row>
    <row r="1906" spans="1:23" ht="21" customHeight="1">
      <c r="A1906">
        <f>Table4[[#This Row],[Column1]]</f>
        <v>0</v>
      </c>
      <c r="B1906">
        <f>Table4[[#This Row],[Column2]]</f>
        <v>0</v>
      </c>
      <c r="C1906" s="81"/>
      <c r="D1906" s="81"/>
      <c r="E1906" s="81"/>
      <c r="F1906" s="81"/>
      <c r="G1906" s="81"/>
      <c r="H1906" s="81"/>
      <c r="I1906" s="81"/>
      <c r="J1906" s="81"/>
      <c r="K1906" s="81"/>
      <c r="L1906" s="81"/>
      <c r="M1906" s="81"/>
      <c r="N1906" s="81"/>
      <c r="O1906" s="81"/>
      <c r="P1906" s="81"/>
      <c r="Q1906" s="81"/>
      <c r="R1906" s="81"/>
      <c r="S1906" s="81"/>
      <c r="T1906" s="81"/>
      <c r="U1906" s="81"/>
      <c r="V1906" s="94"/>
      <c r="W1906" s="94"/>
    </row>
    <row r="1907" spans="1:23" ht="21" customHeight="1">
      <c r="A1907">
        <f>Table4[[#This Row],[Column1]]</f>
        <v>0</v>
      </c>
      <c r="B1907">
        <f>Table4[[#This Row],[Column2]]</f>
        <v>0</v>
      </c>
      <c r="C1907" s="81"/>
      <c r="D1907" s="81"/>
      <c r="E1907" s="81"/>
      <c r="F1907" s="81"/>
      <c r="G1907" s="81"/>
      <c r="H1907" s="81"/>
      <c r="I1907" s="81"/>
      <c r="J1907" s="81"/>
      <c r="K1907" s="81"/>
      <c r="L1907" s="81"/>
      <c r="M1907" s="81"/>
      <c r="N1907" s="81"/>
      <c r="O1907" s="81"/>
      <c r="P1907" s="81"/>
      <c r="Q1907" s="81"/>
      <c r="R1907" s="81"/>
      <c r="S1907" s="81"/>
      <c r="T1907" s="81"/>
      <c r="U1907" s="81"/>
      <c r="V1907" s="94"/>
      <c r="W1907" s="94"/>
    </row>
    <row r="1908" spans="1:23" ht="21" customHeight="1">
      <c r="A1908">
        <f>Table4[[#This Row],[Column1]]</f>
        <v>0</v>
      </c>
      <c r="B1908">
        <f>Table4[[#This Row],[Column2]]</f>
        <v>0</v>
      </c>
      <c r="C1908" s="81"/>
      <c r="D1908" s="81"/>
      <c r="E1908" s="81"/>
      <c r="F1908" s="81"/>
      <c r="G1908" s="81"/>
      <c r="H1908" s="81"/>
      <c r="I1908" s="81"/>
      <c r="J1908" s="81"/>
      <c r="K1908" s="81"/>
      <c r="L1908" s="81"/>
      <c r="M1908" s="81"/>
      <c r="N1908" s="81"/>
      <c r="O1908" s="81"/>
      <c r="P1908" s="81"/>
      <c r="Q1908" s="81"/>
      <c r="R1908" s="81"/>
      <c r="S1908" s="81"/>
      <c r="T1908" s="81"/>
      <c r="U1908" s="81"/>
      <c r="V1908" s="94"/>
      <c r="W1908" s="94"/>
    </row>
    <row r="1909" spans="1:23" ht="21" customHeight="1">
      <c r="A1909">
        <f>Table4[[#This Row],[Column1]]</f>
        <v>0</v>
      </c>
      <c r="B1909">
        <f>Table4[[#This Row],[Column2]]</f>
        <v>0</v>
      </c>
      <c r="C1909" s="81"/>
      <c r="D1909" s="81"/>
      <c r="E1909" s="81"/>
      <c r="F1909" s="81"/>
      <c r="G1909" s="81"/>
      <c r="H1909" s="81"/>
      <c r="I1909" s="81"/>
      <c r="J1909" s="81"/>
      <c r="K1909" s="81"/>
      <c r="L1909" s="81"/>
      <c r="M1909" s="81"/>
      <c r="N1909" s="81"/>
      <c r="O1909" s="81"/>
      <c r="P1909" s="81"/>
      <c r="Q1909" s="81"/>
      <c r="R1909" s="81"/>
      <c r="S1909" s="81"/>
      <c r="T1909" s="81"/>
      <c r="U1909" s="81"/>
      <c r="V1909" s="94"/>
      <c r="W1909" s="94"/>
    </row>
    <row r="1910" spans="1:23" ht="21" customHeight="1">
      <c r="A1910">
        <f>Table4[[#This Row],[Column1]]</f>
        <v>0</v>
      </c>
      <c r="B1910">
        <f>Table4[[#This Row],[Column2]]</f>
        <v>0</v>
      </c>
      <c r="C1910" s="81"/>
      <c r="D1910" s="81"/>
      <c r="E1910" s="81"/>
      <c r="F1910" s="81"/>
      <c r="G1910" s="81"/>
      <c r="H1910" s="81"/>
      <c r="I1910" s="81"/>
      <c r="J1910" s="81"/>
      <c r="K1910" s="81"/>
      <c r="L1910" s="81"/>
      <c r="M1910" s="81"/>
      <c r="N1910" s="81"/>
      <c r="O1910" s="81"/>
      <c r="P1910" s="81"/>
      <c r="Q1910" s="81"/>
      <c r="R1910" s="81"/>
      <c r="S1910" s="81"/>
      <c r="T1910" s="81"/>
      <c r="U1910" s="81"/>
      <c r="V1910" s="94"/>
      <c r="W1910" s="94"/>
    </row>
    <row r="1911" spans="1:23" ht="21" customHeight="1">
      <c r="A1911">
        <f>Table4[[#This Row],[Column1]]</f>
        <v>0</v>
      </c>
      <c r="B1911">
        <f>Table4[[#This Row],[Column2]]</f>
        <v>0</v>
      </c>
      <c r="C1911" s="81"/>
      <c r="D1911" s="81"/>
      <c r="E1911" s="81"/>
      <c r="F1911" s="81"/>
      <c r="G1911" s="81"/>
      <c r="H1911" s="81"/>
      <c r="I1911" s="81"/>
      <c r="J1911" s="81"/>
      <c r="K1911" s="81"/>
      <c r="L1911" s="81"/>
      <c r="M1911" s="81"/>
      <c r="N1911" s="81"/>
      <c r="O1911" s="81"/>
      <c r="P1911" s="81"/>
      <c r="Q1911" s="81"/>
      <c r="R1911" s="81"/>
      <c r="S1911" s="81"/>
      <c r="T1911" s="81"/>
      <c r="U1911" s="81"/>
      <c r="V1911" s="94"/>
      <c r="W1911" s="94"/>
    </row>
    <row r="1912" spans="1:23" ht="21" customHeight="1">
      <c r="A1912">
        <f>Table4[[#This Row],[Column1]]</f>
        <v>0</v>
      </c>
      <c r="B1912">
        <f>Table4[[#This Row],[Column2]]</f>
        <v>0</v>
      </c>
      <c r="C1912" s="81"/>
      <c r="D1912" s="81"/>
      <c r="E1912" s="81"/>
      <c r="F1912" s="81"/>
      <c r="G1912" s="81"/>
      <c r="H1912" s="81"/>
      <c r="I1912" s="81"/>
      <c r="J1912" s="81"/>
      <c r="K1912" s="81"/>
      <c r="L1912" s="81"/>
      <c r="M1912" s="81"/>
      <c r="N1912" s="81"/>
      <c r="O1912" s="81"/>
      <c r="P1912" s="81"/>
      <c r="Q1912" s="81"/>
      <c r="R1912" s="81"/>
      <c r="S1912" s="81"/>
      <c r="T1912" s="81"/>
      <c r="U1912" s="81"/>
      <c r="V1912" s="94"/>
      <c r="W1912" s="94"/>
    </row>
    <row r="1913" spans="1:23" ht="21" customHeight="1">
      <c r="A1913">
        <f>Table4[[#This Row],[Column1]]</f>
        <v>0</v>
      </c>
      <c r="B1913">
        <f>Table4[[#This Row],[Column2]]</f>
        <v>0</v>
      </c>
      <c r="C1913" s="81"/>
      <c r="D1913" s="81"/>
      <c r="E1913" s="81"/>
      <c r="F1913" s="81"/>
      <c r="G1913" s="81"/>
      <c r="H1913" s="81"/>
      <c r="I1913" s="81"/>
      <c r="J1913" s="81"/>
      <c r="K1913" s="81"/>
      <c r="L1913" s="81"/>
      <c r="M1913" s="81"/>
      <c r="N1913" s="81"/>
      <c r="O1913" s="81"/>
      <c r="P1913" s="81"/>
      <c r="Q1913" s="81"/>
      <c r="R1913" s="81"/>
      <c r="S1913" s="81"/>
      <c r="T1913" s="81"/>
      <c r="U1913" s="81"/>
      <c r="V1913" s="94"/>
      <c r="W1913" s="94"/>
    </row>
    <row r="1914" spans="1:23" ht="21" customHeight="1">
      <c r="A1914">
        <f>Table4[[#This Row],[Column1]]</f>
        <v>0</v>
      </c>
      <c r="B1914">
        <f>Table4[[#This Row],[Column2]]</f>
        <v>0</v>
      </c>
      <c r="C1914" s="81"/>
      <c r="D1914" s="81"/>
      <c r="E1914" s="81"/>
      <c r="F1914" s="81"/>
      <c r="G1914" s="81"/>
      <c r="H1914" s="81"/>
      <c r="I1914" s="81"/>
      <c r="J1914" s="81"/>
      <c r="K1914" s="81"/>
      <c r="L1914" s="81"/>
      <c r="M1914" s="81"/>
      <c r="N1914" s="81"/>
      <c r="O1914" s="81"/>
      <c r="P1914" s="81"/>
      <c r="Q1914" s="81"/>
      <c r="R1914" s="81"/>
      <c r="S1914" s="81"/>
      <c r="T1914" s="81"/>
      <c r="U1914" s="81"/>
      <c r="V1914" s="94"/>
      <c r="W1914" s="94"/>
    </row>
    <row r="1915" spans="1:23" ht="21" customHeight="1">
      <c r="A1915">
        <f>Table4[[#This Row],[Column1]]</f>
        <v>0</v>
      </c>
      <c r="B1915">
        <f>Table4[[#This Row],[Column2]]</f>
        <v>0</v>
      </c>
      <c r="C1915" s="81"/>
      <c r="D1915" s="81"/>
      <c r="E1915" s="81"/>
      <c r="F1915" s="81"/>
      <c r="G1915" s="81"/>
      <c r="H1915" s="81"/>
      <c r="I1915" s="81"/>
      <c r="J1915" s="81"/>
      <c r="K1915" s="81"/>
      <c r="L1915" s="81"/>
      <c r="M1915" s="81"/>
      <c r="N1915" s="81"/>
      <c r="O1915" s="81"/>
      <c r="P1915" s="81"/>
      <c r="Q1915" s="81"/>
      <c r="R1915" s="81"/>
      <c r="S1915" s="81"/>
      <c r="T1915" s="81"/>
      <c r="U1915" s="81"/>
      <c r="V1915" s="94"/>
      <c r="W1915" s="94"/>
    </row>
    <row r="1916" spans="1:23" ht="21" customHeight="1">
      <c r="A1916">
        <f>Table4[[#This Row],[Column1]]</f>
        <v>0</v>
      </c>
      <c r="B1916">
        <f>Table4[[#This Row],[Column2]]</f>
        <v>0</v>
      </c>
      <c r="C1916" s="81"/>
      <c r="D1916" s="81"/>
      <c r="E1916" s="81"/>
      <c r="F1916" s="81"/>
      <c r="G1916" s="81"/>
      <c r="H1916" s="81"/>
      <c r="I1916" s="81"/>
      <c r="J1916" s="81"/>
      <c r="K1916" s="81"/>
      <c r="L1916" s="81"/>
      <c r="M1916" s="81"/>
      <c r="N1916" s="81"/>
      <c r="O1916" s="81"/>
      <c r="P1916" s="81"/>
      <c r="Q1916" s="81"/>
      <c r="R1916" s="81"/>
      <c r="S1916" s="81"/>
      <c r="T1916" s="81"/>
      <c r="U1916" s="81"/>
      <c r="V1916" s="94"/>
      <c r="W1916" s="94"/>
    </row>
    <row r="1917" spans="1:23" ht="21" customHeight="1">
      <c r="A1917">
        <f>Table4[[#This Row],[Column1]]</f>
        <v>0</v>
      </c>
      <c r="B1917">
        <f>Table4[[#This Row],[Column2]]</f>
        <v>0</v>
      </c>
      <c r="C1917" s="81"/>
      <c r="D1917" s="81"/>
      <c r="E1917" s="81"/>
      <c r="F1917" s="81"/>
      <c r="G1917" s="81"/>
      <c r="H1917" s="81"/>
      <c r="I1917" s="81"/>
      <c r="J1917" s="81"/>
      <c r="K1917" s="81"/>
      <c r="L1917" s="81"/>
      <c r="M1917" s="81"/>
      <c r="N1917" s="81"/>
      <c r="O1917" s="81"/>
      <c r="P1917" s="81"/>
      <c r="Q1917" s="81"/>
      <c r="R1917" s="81"/>
      <c r="S1917" s="81"/>
      <c r="T1917" s="81"/>
      <c r="U1917" s="81"/>
      <c r="V1917" s="94"/>
      <c r="W1917" s="94"/>
    </row>
    <row r="1918" spans="1:23" ht="21" customHeight="1">
      <c r="A1918">
        <f>Table4[[#This Row],[Column1]]</f>
        <v>0</v>
      </c>
      <c r="B1918">
        <f>Table4[[#This Row],[Column2]]</f>
        <v>0</v>
      </c>
      <c r="C1918" s="81"/>
      <c r="D1918" s="81"/>
      <c r="E1918" s="81"/>
      <c r="F1918" s="81"/>
      <c r="G1918" s="81"/>
      <c r="H1918" s="81"/>
      <c r="I1918" s="81"/>
      <c r="J1918" s="81"/>
      <c r="K1918" s="81"/>
      <c r="L1918" s="81"/>
      <c r="M1918" s="81"/>
      <c r="N1918" s="81"/>
      <c r="O1918" s="81"/>
      <c r="P1918" s="81"/>
      <c r="Q1918" s="81"/>
      <c r="R1918" s="81"/>
      <c r="S1918" s="81"/>
      <c r="T1918" s="81"/>
      <c r="U1918" s="81"/>
      <c r="V1918" s="94"/>
      <c r="W1918" s="94"/>
    </row>
    <row r="1919" spans="1:23" ht="21" customHeight="1">
      <c r="A1919">
        <f>Table4[[#This Row],[Column1]]</f>
        <v>0</v>
      </c>
      <c r="B1919">
        <f>Table4[[#This Row],[Column2]]</f>
        <v>0</v>
      </c>
      <c r="C1919" s="81"/>
      <c r="D1919" s="81"/>
      <c r="E1919" s="81"/>
      <c r="F1919" s="81"/>
      <c r="G1919" s="81"/>
      <c r="H1919" s="81"/>
      <c r="I1919" s="81"/>
      <c r="J1919" s="81"/>
      <c r="K1919" s="81"/>
      <c r="L1919" s="81"/>
      <c r="M1919" s="81"/>
      <c r="N1919" s="81"/>
      <c r="O1919" s="81"/>
      <c r="P1919" s="81"/>
      <c r="Q1919" s="81"/>
      <c r="R1919" s="81"/>
      <c r="S1919" s="81"/>
      <c r="T1919" s="81"/>
      <c r="U1919" s="81"/>
      <c r="V1919" s="94"/>
      <c r="W1919" s="94"/>
    </row>
    <row r="1920" spans="1:23" ht="21" customHeight="1">
      <c r="A1920">
        <f>Table4[[#This Row],[Column1]]</f>
        <v>0</v>
      </c>
      <c r="B1920">
        <f>Table4[[#This Row],[Column2]]</f>
        <v>0</v>
      </c>
      <c r="C1920" s="81"/>
      <c r="D1920" s="81"/>
      <c r="E1920" s="81"/>
      <c r="F1920" s="81"/>
      <c r="G1920" s="81"/>
      <c r="H1920" s="81"/>
      <c r="I1920" s="81"/>
      <c r="J1920" s="81"/>
      <c r="K1920" s="81"/>
      <c r="L1920" s="81"/>
      <c r="M1920" s="81"/>
      <c r="N1920" s="81"/>
      <c r="O1920" s="81"/>
      <c r="P1920" s="81"/>
      <c r="Q1920" s="81"/>
      <c r="R1920" s="81"/>
      <c r="S1920" s="81"/>
      <c r="T1920" s="81"/>
      <c r="U1920" s="81"/>
      <c r="V1920" s="94"/>
      <c r="W1920" s="94"/>
    </row>
    <row r="1921" spans="1:23" ht="21" customHeight="1">
      <c r="A1921">
        <f>Table4[[#This Row],[Column1]]</f>
        <v>0</v>
      </c>
      <c r="B1921">
        <f>Table4[[#This Row],[Column2]]</f>
        <v>0</v>
      </c>
      <c r="C1921" s="81"/>
      <c r="D1921" s="81"/>
      <c r="E1921" s="81"/>
      <c r="F1921" s="81"/>
      <c r="G1921" s="81"/>
      <c r="H1921" s="81"/>
      <c r="I1921" s="81"/>
      <c r="J1921" s="81"/>
      <c r="K1921" s="81"/>
      <c r="L1921" s="81"/>
      <c r="M1921" s="81"/>
      <c r="N1921" s="81"/>
      <c r="O1921" s="81"/>
      <c r="P1921" s="81"/>
      <c r="Q1921" s="81"/>
      <c r="R1921" s="81"/>
      <c r="S1921" s="81"/>
      <c r="T1921" s="81"/>
      <c r="U1921" s="81"/>
      <c r="V1921" s="94"/>
      <c r="W1921" s="94"/>
    </row>
    <row r="1922" spans="1:23" ht="21" customHeight="1">
      <c r="A1922">
        <f>Table4[[#This Row],[Column1]]</f>
        <v>0</v>
      </c>
      <c r="B1922">
        <f>Table4[[#This Row],[Column2]]</f>
        <v>0</v>
      </c>
      <c r="C1922" s="81"/>
      <c r="D1922" s="81"/>
      <c r="E1922" s="81"/>
      <c r="F1922" s="81"/>
      <c r="G1922" s="81"/>
      <c r="H1922" s="81"/>
      <c r="I1922" s="81"/>
      <c r="J1922" s="81"/>
      <c r="K1922" s="81"/>
      <c r="L1922" s="81"/>
      <c r="M1922" s="81"/>
      <c r="N1922" s="81"/>
      <c r="O1922" s="81"/>
      <c r="P1922" s="81"/>
      <c r="Q1922" s="81"/>
      <c r="R1922" s="81"/>
      <c r="S1922" s="81"/>
      <c r="T1922" s="81"/>
      <c r="U1922" s="81"/>
      <c r="V1922" s="94"/>
      <c r="W1922" s="94"/>
    </row>
    <row r="1923" spans="1:23" ht="21" customHeight="1">
      <c r="A1923">
        <f>Table4[[#This Row],[Column1]]</f>
        <v>0</v>
      </c>
      <c r="B1923">
        <f>Table4[[#This Row],[Column2]]</f>
        <v>0</v>
      </c>
      <c r="C1923" s="81"/>
      <c r="D1923" s="81"/>
      <c r="E1923" s="81"/>
      <c r="F1923" s="81"/>
      <c r="G1923" s="81"/>
      <c r="H1923" s="81"/>
      <c r="I1923" s="81"/>
      <c r="J1923" s="81"/>
      <c r="K1923" s="81"/>
      <c r="L1923" s="81"/>
      <c r="M1923" s="81"/>
      <c r="N1923" s="81"/>
      <c r="O1923" s="81"/>
      <c r="P1923" s="81"/>
      <c r="Q1923" s="81"/>
      <c r="R1923" s="81"/>
      <c r="S1923" s="81"/>
      <c r="T1923" s="81"/>
      <c r="U1923" s="81"/>
      <c r="V1923" s="94"/>
      <c r="W1923" s="94"/>
    </row>
    <row r="1924" spans="1:23" ht="21" customHeight="1">
      <c r="A1924">
        <f>Table4[[#This Row],[Column1]]</f>
        <v>0</v>
      </c>
      <c r="B1924">
        <f>Table4[[#This Row],[Column2]]</f>
        <v>0</v>
      </c>
      <c r="C1924" s="81"/>
      <c r="D1924" s="81"/>
      <c r="E1924" s="81"/>
      <c r="F1924" s="81"/>
      <c r="G1924" s="81"/>
      <c r="H1924" s="81"/>
      <c r="I1924" s="81"/>
      <c r="J1924" s="81"/>
      <c r="K1924" s="81"/>
      <c r="L1924" s="81"/>
      <c r="M1924" s="81"/>
      <c r="N1924" s="81"/>
      <c r="O1924" s="81"/>
      <c r="P1924" s="81"/>
      <c r="Q1924" s="81"/>
      <c r="R1924" s="81"/>
      <c r="S1924" s="81"/>
      <c r="T1924" s="81"/>
      <c r="U1924" s="81"/>
      <c r="V1924" s="94"/>
      <c r="W1924" s="94"/>
    </row>
    <row r="1925" spans="1:23" ht="21" customHeight="1">
      <c r="A1925">
        <f>Table4[[#This Row],[Column1]]</f>
        <v>0</v>
      </c>
      <c r="B1925">
        <f>Table4[[#This Row],[Column2]]</f>
        <v>0</v>
      </c>
      <c r="C1925" s="81"/>
      <c r="D1925" s="81"/>
      <c r="E1925" s="81"/>
      <c r="F1925" s="81"/>
      <c r="G1925" s="81"/>
      <c r="H1925" s="81"/>
      <c r="I1925" s="81"/>
      <c r="J1925" s="81"/>
      <c r="K1925" s="81"/>
      <c r="L1925" s="81"/>
      <c r="M1925" s="81"/>
      <c r="N1925" s="81"/>
      <c r="O1925" s="81"/>
      <c r="P1925" s="81"/>
      <c r="Q1925" s="81"/>
      <c r="R1925" s="81"/>
      <c r="S1925" s="81"/>
      <c r="T1925" s="81"/>
      <c r="U1925" s="81"/>
      <c r="V1925" s="94"/>
      <c r="W1925" s="94"/>
    </row>
    <row r="1926" spans="1:23" ht="21" customHeight="1">
      <c r="A1926">
        <f>Table4[[#This Row],[Column1]]</f>
        <v>0</v>
      </c>
      <c r="B1926">
        <f>Table4[[#This Row],[Column2]]</f>
        <v>0</v>
      </c>
      <c r="C1926" s="81"/>
      <c r="D1926" s="81"/>
      <c r="E1926" s="81"/>
      <c r="F1926" s="81"/>
      <c r="G1926" s="81"/>
      <c r="H1926" s="81"/>
      <c r="I1926" s="81"/>
      <c r="J1926" s="81"/>
      <c r="K1926" s="81"/>
      <c r="L1926" s="81"/>
      <c r="M1926" s="81"/>
      <c r="N1926" s="81"/>
      <c r="O1926" s="81"/>
      <c r="P1926" s="81"/>
      <c r="Q1926" s="81"/>
      <c r="R1926" s="81"/>
      <c r="S1926" s="81"/>
      <c r="T1926" s="81"/>
      <c r="U1926" s="81"/>
      <c r="V1926" s="94"/>
      <c r="W1926" s="94"/>
    </row>
    <row r="1927" spans="1:23" ht="21" customHeight="1">
      <c r="A1927">
        <f>Table4[[#This Row],[Column1]]</f>
        <v>0</v>
      </c>
      <c r="B1927">
        <f>Table4[[#This Row],[Column2]]</f>
        <v>0</v>
      </c>
      <c r="C1927" s="81"/>
      <c r="D1927" s="81"/>
      <c r="E1927" s="81"/>
      <c r="F1927" s="81"/>
      <c r="G1927" s="81"/>
      <c r="H1927" s="81"/>
      <c r="I1927" s="81"/>
      <c r="J1927" s="81"/>
      <c r="K1927" s="81"/>
      <c r="L1927" s="81"/>
      <c r="M1927" s="81"/>
      <c r="N1927" s="81"/>
      <c r="O1927" s="81"/>
      <c r="P1927" s="81"/>
      <c r="Q1927" s="81"/>
      <c r="R1927" s="81"/>
      <c r="S1927" s="81"/>
      <c r="T1927" s="81"/>
      <c r="U1927" s="81"/>
      <c r="V1927" s="94"/>
      <c r="W1927" s="94"/>
    </row>
    <row r="1928" spans="1:23" ht="21" customHeight="1">
      <c r="A1928">
        <f>Table4[[#This Row],[Column1]]</f>
        <v>0</v>
      </c>
      <c r="B1928">
        <f>Table4[[#This Row],[Column2]]</f>
        <v>0</v>
      </c>
      <c r="C1928" s="81"/>
      <c r="D1928" s="81"/>
      <c r="E1928" s="81"/>
      <c r="F1928" s="81"/>
      <c r="G1928" s="81"/>
      <c r="H1928" s="81"/>
      <c r="I1928" s="81"/>
      <c r="J1928" s="81"/>
      <c r="K1928" s="81"/>
      <c r="L1928" s="81"/>
      <c r="M1928" s="81"/>
      <c r="N1928" s="81"/>
      <c r="O1928" s="81"/>
      <c r="P1928" s="81"/>
      <c r="Q1928" s="81"/>
      <c r="R1928" s="81"/>
      <c r="S1928" s="81"/>
      <c r="T1928" s="81"/>
      <c r="U1928" s="81"/>
      <c r="V1928" s="94"/>
      <c r="W1928" s="94"/>
    </row>
    <row r="1929" spans="1:23" ht="21" customHeight="1">
      <c r="A1929">
        <f>Table4[[#This Row],[Column1]]</f>
        <v>0</v>
      </c>
      <c r="B1929">
        <f>Table4[[#This Row],[Column2]]</f>
        <v>0</v>
      </c>
      <c r="C1929" s="81"/>
      <c r="D1929" s="81"/>
      <c r="E1929" s="81"/>
      <c r="F1929" s="81"/>
      <c r="G1929" s="81"/>
      <c r="H1929" s="81"/>
      <c r="I1929" s="81"/>
      <c r="J1929" s="81"/>
      <c r="K1929" s="81"/>
      <c r="L1929" s="81"/>
      <c r="M1929" s="81"/>
      <c r="N1929" s="81"/>
      <c r="O1929" s="81"/>
      <c r="P1929" s="81"/>
      <c r="Q1929" s="81"/>
      <c r="R1929" s="81"/>
      <c r="S1929" s="81"/>
      <c r="T1929" s="81"/>
      <c r="U1929" s="81"/>
      <c r="V1929" s="94"/>
      <c r="W1929" s="94"/>
    </row>
    <row r="1930" spans="1:23" ht="21" customHeight="1">
      <c r="A1930">
        <f>Table4[[#This Row],[Column1]]</f>
        <v>0</v>
      </c>
      <c r="B1930">
        <f>Table4[[#This Row],[Column2]]</f>
        <v>0</v>
      </c>
      <c r="C1930" s="81"/>
      <c r="D1930" s="81"/>
      <c r="E1930" s="81"/>
      <c r="F1930" s="81"/>
      <c r="G1930" s="81"/>
      <c r="H1930" s="81"/>
      <c r="I1930" s="81"/>
      <c r="J1930" s="81"/>
      <c r="K1930" s="81"/>
      <c r="L1930" s="81"/>
      <c r="M1930" s="81"/>
      <c r="N1930" s="81"/>
      <c r="O1930" s="81"/>
      <c r="P1930" s="81"/>
      <c r="Q1930" s="81"/>
      <c r="R1930" s="81"/>
      <c r="S1930" s="81"/>
      <c r="T1930" s="81"/>
      <c r="U1930" s="81"/>
      <c r="V1930" s="94"/>
      <c r="W1930" s="94"/>
    </row>
    <row r="1931" spans="1:23" ht="21" customHeight="1">
      <c r="A1931">
        <f>Table4[[#This Row],[Column1]]</f>
        <v>0</v>
      </c>
      <c r="B1931">
        <f>Table4[[#This Row],[Column2]]</f>
        <v>0</v>
      </c>
      <c r="C1931" s="81"/>
      <c r="D1931" s="81"/>
      <c r="E1931" s="81"/>
      <c r="F1931" s="81"/>
      <c r="G1931" s="81"/>
      <c r="H1931" s="81"/>
      <c r="I1931" s="81"/>
      <c r="J1931" s="81"/>
      <c r="K1931" s="81"/>
      <c r="L1931" s="81"/>
      <c r="M1931" s="81"/>
      <c r="N1931" s="81"/>
      <c r="O1931" s="81"/>
      <c r="P1931" s="81"/>
      <c r="Q1931" s="81"/>
      <c r="R1931" s="81"/>
      <c r="S1931" s="81"/>
      <c r="T1931" s="81"/>
      <c r="U1931" s="81"/>
      <c r="V1931" s="94"/>
      <c r="W1931" s="94"/>
    </row>
    <row r="1932" spans="1:23" ht="21" customHeight="1">
      <c r="A1932">
        <f>Table4[[#This Row],[Column1]]</f>
        <v>0</v>
      </c>
      <c r="B1932">
        <f>Table4[[#This Row],[Column2]]</f>
        <v>0</v>
      </c>
      <c r="C1932" s="81"/>
      <c r="D1932" s="81"/>
      <c r="E1932" s="81"/>
      <c r="F1932" s="81"/>
      <c r="G1932" s="81"/>
      <c r="H1932" s="81"/>
      <c r="I1932" s="81"/>
      <c r="J1932" s="81"/>
      <c r="K1932" s="81"/>
      <c r="L1932" s="81"/>
      <c r="M1932" s="81"/>
      <c r="N1932" s="81"/>
      <c r="O1932" s="81"/>
      <c r="P1932" s="81"/>
      <c r="Q1932" s="81"/>
      <c r="R1932" s="81"/>
      <c r="S1932" s="81"/>
      <c r="T1932" s="81"/>
      <c r="U1932" s="81"/>
      <c r="V1932" s="94"/>
      <c r="W1932" s="94"/>
    </row>
    <row r="1933" spans="1:23" ht="21" customHeight="1">
      <c r="A1933">
        <f>Table4[[#This Row],[Column1]]</f>
        <v>0</v>
      </c>
      <c r="B1933">
        <f>Table4[[#This Row],[Column2]]</f>
        <v>0</v>
      </c>
      <c r="C1933" s="81"/>
      <c r="D1933" s="81"/>
      <c r="E1933" s="81"/>
      <c r="F1933" s="81"/>
      <c r="G1933" s="81"/>
      <c r="H1933" s="81"/>
      <c r="I1933" s="81"/>
      <c r="J1933" s="81"/>
      <c r="K1933" s="81"/>
      <c r="L1933" s="81"/>
      <c r="M1933" s="81"/>
      <c r="N1933" s="81"/>
      <c r="O1933" s="81"/>
      <c r="P1933" s="81"/>
      <c r="Q1933" s="81"/>
      <c r="R1933" s="81"/>
      <c r="S1933" s="81"/>
      <c r="T1933" s="81"/>
      <c r="U1933" s="81"/>
      <c r="V1933" s="94"/>
      <c r="W1933" s="94"/>
    </row>
    <row r="1934" spans="1:23" ht="21" customHeight="1">
      <c r="A1934">
        <f>Table4[[#This Row],[Column1]]</f>
        <v>0</v>
      </c>
      <c r="B1934">
        <f>Table4[[#This Row],[Column2]]</f>
        <v>0</v>
      </c>
      <c r="C1934" s="81"/>
      <c r="D1934" s="81"/>
      <c r="E1934" s="81"/>
      <c r="F1934" s="81"/>
      <c r="G1934" s="81"/>
      <c r="H1934" s="81"/>
      <c r="I1934" s="81"/>
      <c r="J1934" s="81"/>
      <c r="K1934" s="81"/>
      <c r="L1934" s="81"/>
      <c r="M1934" s="81"/>
      <c r="N1934" s="81"/>
      <c r="O1934" s="81"/>
      <c r="P1934" s="81"/>
      <c r="Q1934" s="81"/>
      <c r="R1934" s="81"/>
      <c r="S1934" s="81"/>
      <c r="T1934" s="81"/>
      <c r="U1934" s="81"/>
      <c r="V1934" s="94"/>
      <c r="W1934" s="94"/>
    </row>
    <row r="1935" spans="1:23" ht="21" customHeight="1">
      <c r="A1935">
        <f>Table4[[#This Row],[Column1]]</f>
        <v>0</v>
      </c>
      <c r="B1935">
        <f>Table4[[#This Row],[Column2]]</f>
        <v>0</v>
      </c>
      <c r="C1935" s="81"/>
      <c r="D1935" s="81"/>
      <c r="E1935" s="81"/>
      <c r="F1935" s="81"/>
      <c r="G1935" s="81"/>
      <c r="H1935" s="81"/>
      <c r="I1935" s="81"/>
      <c r="J1935" s="81"/>
      <c r="K1935" s="81"/>
      <c r="L1935" s="81"/>
      <c r="M1935" s="81"/>
      <c r="N1935" s="81"/>
      <c r="O1935" s="81"/>
      <c r="P1935" s="81"/>
      <c r="Q1935" s="81"/>
      <c r="R1935" s="81"/>
      <c r="S1935" s="81"/>
      <c r="T1935" s="81"/>
      <c r="U1935" s="81"/>
      <c r="V1935" s="94"/>
      <c r="W1935" s="94"/>
    </row>
    <row r="1936" spans="1:23" ht="21" customHeight="1">
      <c r="A1936">
        <f>Table4[[#This Row],[Column1]]</f>
        <v>0</v>
      </c>
      <c r="B1936">
        <f>Table4[[#This Row],[Column2]]</f>
        <v>0</v>
      </c>
      <c r="C1936" s="81"/>
      <c r="D1936" s="81"/>
      <c r="E1936" s="81"/>
      <c r="F1936" s="81"/>
      <c r="G1936" s="81"/>
      <c r="H1936" s="81"/>
      <c r="I1936" s="81"/>
      <c r="J1936" s="81"/>
      <c r="K1936" s="81"/>
      <c r="L1936" s="81"/>
      <c r="M1936" s="81"/>
      <c r="N1936" s="81"/>
      <c r="O1936" s="81"/>
      <c r="P1936" s="81"/>
      <c r="Q1936" s="81"/>
      <c r="R1936" s="81"/>
      <c r="S1936" s="81"/>
      <c r="T1936" s="81"/>
      <c r="U1936" s="81"/>
      <c r="V1936" s="94"/>
      <c r="W1936" s="94"/>
    </row>
    <row r="1937" spans="1:23" ht="21" customHeight="1">
      <c r="A1937">
        <f>Table4[[#This Row],[Column1]]</f>
        <v>0</v>
      </c>
      <c r="B1937">
        <f>Table4[[#This Row],[Column2]]</f>
        <v>0</v>
      </c>
      <c r="C1937" s="81"/>
      <c r="D1937" s="81"/>
      <c r="E1937" s="81"/>
      <c r="F1937" s="81"/>
      <c r="G1937" s="81"/>
      <c r="H1937" s="81"/>
      <c r="I1937" s="81"/>
      <c r="J1937" s="81"/>
      <c r="K1937" s="81"/>
      <c r="L1937" s="81"/>
      <c r="M1937" s="81"/>
      <c r="N1937" s="81"/>
      <c r="O1937" s="81"/>
      <c r="P1937" s="81"/>
      <c r="Q1937" s="81"/>
      <c r="R1937" s="81"/>
      <c r="S1937" s="81"/>
      <c r="T1937" s="81"/>
      <c r="U1937" s="81"/>
      <c r="V1937" s="94"/>
      <c r="W1937" s="94"/>
    </row>
    <row r="1938" spans="1:23" ht="21" customHeight="1">
      <c r="A1938">
        <f>Table4[[#This Row],[Column1]]</f>
        <v>0</v>
      </c>
      <c r="B1938">
        <f>Table4[[#This Row],[Column2]]</f>
        <v>0</v>
      </c>
      <c r="C1938" s="81"/>
      <c r="D1938" s="81"/>
      <c r="E1938" s="81"/>
      <c r="F1938" s="81"/>
      <c r="G1938" s="81"/>
      <c r="H1938" s="81"/>
      <c r="I1938" s="81"/>
      <c r="J1938" s="81"/>
      <c r="K1938" s="81"/>
      <c r="L1938" s="81"/>
      <c r="M1938" s="81"/>
      <c r="N1938" s="81"/>
      <c r="O1938" s="81"/>
      <c r="P1938" s="81"/>
      <c r="Q1938" s="81"/>
      <c r="R1938" s="81"/>
      <c r="S1938" s="81"/>
      <c r="T1938" s="81"/>
      <c r="U1938" s="81"/>
      <c r="V1938" s="94"/>
      <c r="W1938" s="94"/>
    </row>
    <row r="1939" spans="1:23" ht="21" customHeight="1">
      <c r="A1939">
        <f>Table4[[#This Row],[Column1]]</f>
        <v>0</v>
      </c>
      <c r="B1939">
        <f>Table4[[#This Row],[Column2]]</f>
        <v>0</v>
      </c>
      <c r="C1939" s="81"/>
      <c r="D1939" s="81"/>
      <c r="E1939" s="81"/>
      <c r="F1939" s="81"/>
      <c r="G1939" s="81"/>
      <c r="H1939" s="81"/>
      <c r="I1939" s="81"/>
      <c r="J1939" s="81"/>
      <c r="K1939" s="81"/>
      <c r="L1939" s="81"/>
      <c r="M1939" s="81"/>
      <c r="N1939" s="81"/>
      <c r="O1939" s="81"/>
      <c r="P1939" s="81"/>
      <c r="Q1939" s="81"/>
      <c r="R1939" s="81"/>
      <c r="S1939" s="81"/>
      <c r="T1939" s="81"/>
      <c r="U1939" s="81"/>
      <c r="V1939" s="94"/>
      <c r="W1939" s="94"/>
    </row>
    <row r="1940" spans="1:23" ht="21" customHeight="1">
      <c r="A1940">
        <f>Table4[[#This Row],[Column1]]</f>
        <v>0</v>
      </c>
      <c r="B1940">
        <f>Table4[[#This Row],[Column2]]</f>
        <v>0</v>
      </c>
      <c r="C1940" s="81"/>
      <c r="D1940" s="81"/>
      <c r="E1940" s="81"/>
      <c r="F1940" s="81"/>
      <c r="G1940" s="81"/>
      <c r="H1940" s="81"/>
      <c r="I1940" s="81"/>
      <c r="J1940" s="81"/>
      <c r="K1940" s="81"/>
      <c r="L1940" s="81"/>
      <c r="M1940" s="81"/>
      <c r="N1940" s="81"/>
      <c r="O1940" s="81"/>
      <c r="P1940" s="81"/>
      <c r="Q1940" s="81"/>
      <c r="R1940" s="81"/>
      <c r="S1940" s="81"/>
      <c r="T1940" s="81"/>
      <c r="U1940" s="81"/>
      <c r="V1940" s="94"/>
      <c r="W1940" s="94"/>
    </row>
    <row r="1941" spans="1:23" ht="21" customHeight="1">
      <c r="A1941">
        <f>Table4[[#This Row],[Column1]]</f>
        <v>0</v>
      </c>
      <c r="B1941">
        <f>Table4[[#This Row],[Column2]]</f>
        <v>0</v>
      </c>
      <c r="C1941" s="81"/>
      <c r="D1941" s="81"/>
      <c r="E1941" s="81"/>
      <c r="F1941" s="81"/>
      <c r="G1941" s="81"/>
      <c r="H1941" s="81"/>
      <c r="I1941" s="81"/>
      <c r="J1941" s="81"/>
      <c r="K1941" s="81"/>
      <c r="L1941" s="81"/>
      <c r="M1941" s="81"/>
      <c r="N1941" s="81"/>
      <c r="O1941" s="81"/>
      <c r="P1941" s="81"/>
      <c r="Q1941" s="81"/>
      <c r="R1941" s="81"/>
      <c r="S1941" s="81"/>
      <c r="T1941" s="81"/>
      <c r="U1941" s="81"/>
      <c r="V1941" s="94"/>
      <c r="W1941" s="94"/>
    </row>
    <row r="1942" spans="1:23" ht="21" customHeight="1">
      <c r="A1942">
        <f>Table4[[#This Row],[Column1]]</f>
        <v>0</v>
      </c>
      <c r="B1942">
        <f>Table4[[#This Row],[Column2]]</f>
        <v>0</v>
      </c>
      <c r="C1942" s="81"/>
      <c r="D1942" s="81"/>
      <c r="E1942" s="81"/>
      <c r="F1942" s="81"/>
      <c r="G1942" s="81"/>
      <c r="H1942" s="81"/>
      <c r="I1942" s="81"/>
      <c r="J1942" s="81"/>
      <c r="K1942" s="81"/>
      <c r="L1942" s="81"/>
      <c r="M1942" s="81"/>
      <c r="N1942" s="81"/>
      <c r="O1942" s="81"/>
      <c r="P1942" s="81"/>
      <c r="Q1942" s="81"/>
      <c r="R1942" s="81"/>
      <c r="S1942" s="81"/>
      <c r="T1942" s="81"/>
      <c r="U1942" s="81"/>
      <c r="V1942" s="94"/>
      <c r="W1942" s="94"/>
    </row>
    <row r="1943" spans="1:23" ht="21" customHeight="1">
      <c r="A1943">
        <f>Table4[[#This Row],[Column1]]</f>
        <v>0</v>
      </c>
      <c r="B1943">
        <f>Table4[[#This Row],[Column2]]</f>
        <v>0</v>
      </c>
      <c r="C1943" s="81"/>
      <c r="D1943" s="81"/>
      <c r="E1943" s="81"/>
      <c r="F1943" s="81"/>
      <c r="G1943" s="81"/>
      <c r="H1943" s="81"/>
      <c r="I1943" s="81"/>
      <c r="J1943" s="81"/>
      <c r="K1943" s="81"/>
      <c r="L1943" s="81"/>
      <c r="M1943" s="81"/>
      <c r="N1943" s="81"/>
      <c r="O1943" s="81"/>
      <c r="P1943" s="81"/>
      <c r="Q1943" s="81"/>
      <c r="R1943" s="81"/>
      <c r="S1943" s="81"/>
      <c r="T1943" s="81"/>
      <c r="U1943" s="81"/>
      <c r="V1943" s="94"/>
      <c r="W1943" s="94"/>
    </row>
    <row r="1944" spans="1:23" ht="21" customHeight="1">
      <c r="A1944">
        <f>Table4[[#This Row],[Column1]]</f>
        <v>0</v>
      </c>
      <c r="B1944">
        <f>Table4[[#This Row],[Column2]]</f>
        <v>0</v>
      </c>
      <c r="C1944" s="81"/>
      <c r="D1944" s="81"/>
      <c r="E1944" s="81"/>
      <c r="F1944" s="81"/>
      <c r="G1944" s="81"/>
      <c r="H1944" s="81"/>
      <c r="I1944" s="81"/>
      <c r="J1944" s="81"/>
      <c r="K1944" s="81"/>
      <c r="L1944" s="81"/>
      <c r="M1944" s="81"/>
      <c r="N1944" s="81"/>
      <c r="O1944" s="81"/>
      <c r="P1944" s="81"/>
      <c r="Q1944" s="81"/>
      <c r="R1944" s="81"/>
      <c r="S1944" s="81"/>
      <c r="T1944" s="81"/>
      <c r="U1944" s="81"/>
      <c r="V1944" s="94"/>
      <c r="W1944" s="94"/>
    </row>
    <row r="1945" spans="1:23" ht="21" customHeight="1">
      <c r="A1945">
        <f>Table4[[#This Row],[Column1]]</f>
        <v>0</v>
      </c>
      <c r="B1945">
        <f>Table4[[#This Row],[Column2]]</f>
        <v>0</v>
      </c>
      <c r="C1945" s="81"/>
      <c r="D1945" s="81"/>
      <c r="E1945" s="81"/>
      <c r="F1945" s="81"/>
      <c r="G1945" s="81"/>
      <c r="H1945" s="81"/>
      <c r="I1945" s="81"/>
      <c r="J1945" s="81"/>
      <c r="K1945" s="81"/>
      <c r="L1945" s="81"/>
      <c r="M1945" s="81"/>
      <c r="N1945" s="81"/>
      <c r="O1945" s="81"/>
      <c r="P1945" s="81"/>
      <c r="Q1945" s="81"/>
      <c r="R1945" s="81"/>
      <c r="S1945" s="81"/>
      <c r="T1945" s="81"/>
      <c r="U1945" s="81"/>
      <c r="V1945" s="94"/>
      <c r="W1945" s="94"/>
    </row>
    <row r="1946" spans="1:23" ht="21" customHeight="1">
      <c r="A1946">
        <f>Table4[[#This Row],[Column1]]</f>
        <v>0</v>
      </c>
      <c r="B1946">
        <f>Table4[[#This Row],[Column2]]</f>
        <v>0</v>
      </c>
      <c r="C1946" s="81"/>
      <c r="D1946" s="81"/>
      <c r="E1946" s="81"/>
      <c r="F1946" s="81"/>
      <c r="G1946" s="81"/>
      <c r="H1946" s="81"/>
      <c r="I1946" s="81"/>
      <c r="J1946" s="81"/>
      <c r="K1946" s="81"/>
      <c r="L1946" s="81"/>
      <c r="M1946" s="81"/>
      <c r="N1946" s="81"/>
      <c r="O1946" s="81"/>
      <c r="P1946" s="81"/>
      <c r="Q1946" s="81"/>
      <c r="R1946" s="81"/>
      <c r="S1946" s="81"/>
      <c r="T1946" s="81"/>
      <c r="U1946" s="81"/>
      <c r="V1946" s="94"/>
      <c r="W1946" s="94"/>
    </row>
    <row r="1947" spans="1:23" ht="21" customHeight="1">
      <c r="A1947">
        <f>Table4[[#This Row],[Column1]]</f>
        <v>0</v>
      </c>
      <c r="B1947">
        <f>Table4[[#This Row],[Column2]]</f>
        <v>0</v>
      </c>
      <c r="C1947" s="81"/>
      <c r="D1947" s="81"/>
      <c r="E1947" s="81"/>
      <c r="F1947" s="81"/>
      <c r="G1947" s="81"/>
      <c r="H1947" s="81"/>
      <c r="I1947" s="81"/>
      <c r="J1947" s="81"/>
      <c r="K1947" s="81"/>
      <c r="L1947" s="81"/>
      <c r="M1947" s="81"/>
      <c r="N1947" s="81"/>
      <c r="O1947" s="81"/>
      <c r="P1947" s="81"/>
      <c r="Q1947" s="81"/>
      <c r="R1947" s="81"/>
      <c r="S1947" s="81"/>
      <c r="T1947" s="81"/>
      <c r="U1947" s="81"/>
      <c r="V1947" s="94"/>
      <c r="W1947" s="94"/>
    </row>
    <row r="1948" spans="1:23" ht="21" customHeight="1">
      <c r="A1948">
        <f>Table4[[#This Row],[Column1]]</f>
        <v>0</v>
      </c>
      <c r="B1948">
        <f>Table4[[#This Row],[Column2]]</f>
        <v>0</v>
      </c>
      <c r="C1948" s="81"/>
      <c r="D1948" s="81"/>
      <c r="E1948" s="81"/>
      <c r="F1948" s="81"/>
      <c r="G1948" s="81"/>
      <c r="H1948" s="81"/>
      <c r="I1948" s="81"/>
      <c r="J1948" s="81"/>
      <c r="K1948" s="81"/>
      <c r="L1948" s="81"/>
      <c r="M1948" s="81"/>
      <c r="N1948" s="81"/>
      <c r="O1948" s="81"/>
      <c r="P1948" s="81"/>
      <c r="Q1948" s="81"/>
      <c r="R1948" s="81"/>
      <c r="S1948" s="81"/>
      <c r="T1948" s="81"/>
      <c r="U1948" s="81"/>
      <c r="V1948" s="94"/>
      <c r="W1948" s="94"/>
    </row>
    <row r="1949" spans="1:23" ht="21" customHeight="1">
      <c r="A1949">
        <f>Table4[[#This Row],[Column1]]</f>
        <v>0</v>
      </c>
      <c r="B1949">
        <f>Table4[[#This Row],[Column2]]</f>
        <v>0</v>
      </c>
      <c r="C1949" s="81"/>
      <c r="D1949" s="81"/>
      <c r="E1949" s="81"/>
      <c r="F1949" s="81"/>
      <c r="G1949" s="81"/>
      <c r="H1949" s="81"/>
      <c r="I1949" s="81"/>
      <c r="J1949" s="81"/>
      <c r="K1949" s="81"/>
      <c r="L1949" s="81"/>
      <c r="M1949" s="81"/>
      <c r="N1949" s="81"/>
      <c r="O1949" s="81"/>
      <c r="P1949" s="81"/>
      <c r="Q1949" s="81"/>
      <c r="R1949" s="81"/>
      <c r="S1949" s="81"/>
      <c r="T1949" s="81"/>
      <c r="U1949" s="81"/>
      <c r="V1949" s="94"/>
      <c r="W1949" s="94"/>
    </row>
    <row r="1950" spans="1:23" ht="21" customHeight="1">
      <c r="A1950">
        <f>Table4[[#This Row],[Column1]]</f>
        <v>0</v>
      </c>
      <c r="B1950">
        <f>Table4[[#This Row],[Column2]]</f>
        <v>0</v>
      </c>
      <c r="C1950" s="81"/>
      <c r="D1950" s="81"/>
      <c r="E1950" s="81"/>
      <c r="F1950" s="81"/>
      <c r="G1950" s="81"/>
      <c r="H1950" s="81"/>
      <c r="I1950" s="81"/>
      <c r="J1950" s="81"/>
      <c r="K1950" s="81"/>
      <c r="L1950" s="81"/>
      <c r="M1950" s="81"/>
      <c r="N1950" s="81"/>
      <c r="O1950" s="81"/>
      <c r="P1950" s="81"/>
      <c r="Q1950" s="81"/>
      <c r="R1950" s="81"/>
      <c r="S1950" s="81"/>
      <c r="T1950" s="81"/>
      <c r="U1950" s="81"/>
      <c r="V1950" s="94"/>
      <c r="W1950" s="94"/>
    </row>
    <row r="1951" spans="1:23" ht="21" customHeight="1">
      <c r="A1951">
        <f>Table4[[#This Row],[Column1]]</f>
        <v>0</v>
      </c>
      <c r="B1951">
        <f>Table4[[#This Row],[Column2]]</f>
        <v>0</v>
      </c>
      <c r="C1951" s="81"/>
      <c r="D1951" s="81"/>
      <c r="E1951" s="81"/>
      <c r="F1951" s="81"/>
      <c r="G1951" s="81"/>
      <c r="H1951" s="81"/>
      <c r="I1951" s="81"/>
      <c r="J1951" s="81"/>
      <c r="K1951" s="81"/>
      <c r="L1951" s="81"/>
      <c r="M1951" s="81"/>
      <c r="N1951" s="81"/>
      <c r="O1951" s="81"/>
      <c r="P1951" s="81"/>
      <c r="Q1951" s="81"/>
      <c r="R1951" s="81"/>
      <c r="S1951" s="81"/>
      <c r="T1951" s="81"/>
      <c r="U1951" s="81"/>
      <c r="V1951" s="94"/>
      <c r="W1951" s="94"/>
    </row>
    <row r="1952" spans="1:23" ht="21" customHeight="1">
      <c r="A1952">
        <f>Table4[[#This Row],[Column1]]</f>
        <v>0</v>
      </c>
      <c r="B1952">
        <f>Table4[[#This Row],[Column2]]</f>
        <v>0</v>
      </c>
      <c r="C1952" s="81"/>
      <c r="D1952" s="81"/>
      <c r="E1952" s="81"/>
      <c r="F1952" s="81"/>
      <c r="G1952" s="81"/>
      <c r="H1952" s="81"/>
      <c r="I1952" s="81"/>
      <c r="J1952" s="81"/>
      <c r="K1952" s="81"/>
      <c r="L1952" s="81"/>
      <c r="M1952" s="81"/>
      <c r="N1952" s="81"/>
      <c r="O1952" s="81"/>
      <c r="P1952" s="81"/>
      <c r="Q1952" s="81"/>
      <c r="R1952" s="81"/>
      <c r="S1952" s="81"/>
      <c r="T1952" s="81"/>
      <c r="U1952" s="81"/>
      <c r="V1952" s="94"/>
      <c r="W1952" s="94"/>
    </row>
    <row r="1953" spans="1:23" ht="21" customHeight="1">
      <c r="A1953">
        <f>Table4[[#This Row],[Column1]]</f>
        <v>0</v>
      </c>
      <c r="B1953">
        <f>Table4[[#This Row],[Column2]]</f>
        <v>0</v>
      </c>
      <c r="C1953" s="81"/>
      <c r="D1953" s="81"/>
      <c r="E1953" s="81"/>
      <c r="F1953" s="81"/>
      <c r="G1953" s="81"/>
      <c r="H1953" s="81"/>
      <c r="I1953" s="81"/>
      <c r="J1953" s="81"/>
      <c r="K1953" s="81"/>
      <c r="L1953" s="81"/>
      <c r="M1953" s="81"/>
      <c r="N1953" s="81"/>
      <c r="O1953" s="81"/>
      <c r="P1953" s="81"/>
      <c r="Q1953" s="81"/>
      <c r="R1953" s="81"/>
      <c r="S1953" s="81"/>
      <c r="T1953" s="81"/>
      <c r="U1953" s="81"/>
      <c r="V1953" s="94"/>
      <c r="W1953" s="94"/>
    </row>
    <row r="1954" spans="1:23" ht="21" customHeight="1">
      <c r="A1954">
        <f>Table4[[#This Row],[Column1]]</f>
        <v>0</v>
      </c>
      <c r="B1954">
        <f>Table4[[#This Row],[Column2]]</f>
        <v>0</v>
      </c>
      <c r="C1954" s="81"/>
      <c r="D1954" s="81"/>
      <c r="E1954" s="81"/>
      <c r="F1954" s="81"/>
      <c r="G1954" s="81"/>
      <c r="H1954" s="81"/>
      <c r="I1954" s="81"/>
      <c r="J1954" s="81"/>
      <c r="K1954" s="81"/>
      <c r="L1954" s="81"/>
      <c r="M1954" s="81"/>
      <c r="N1954" s="81"/>
      <c r="O1954" s="81"/>
      <c r="P1954" s="81"/>
      <c r="Q1954" s="81"/>
      <c r="R1954" s="81"/>
      <c r="S1954" s="81"/>
      <c r="T1954" s="81"/>
      <c r="U1954" s="81"/>
      <c r="V1954" s="94"/>
      <c r="W1954" s="94"/>
    </row>
    <row r="1955" spans="1:23" ht="21" customHeight="1">
      <c r="A1955">
        <f>Table4[[#This Row],[Column1]]</f>
        <v>0</v>
      </c>
      <c r="B1955">
        <f>Table4[[#This Row],[Column2]]</f>
        <v>0</v>
      </c>
      <c r="C1955" s="81"/>
      <c r="D1955" s="81"/>
      <c r="E1955" s="81"/>
      <c r="F1955" s="81"/>
      <c r="G1955" s="81"/>
      <c r="H1955" s="81"/>
      <c r="I1955" s="81"/>
      <c r="J1955" s="81"/>
      <c r="K1955" s="81"/>
      <c r="L1955" s="81"/>
      <c r="M1955" s="81"/>
      <c r="N1955" s="81"/>
      <c r="O1955" s="81"/>
      <c r="P1955" s="81"/>
      <c r="Q1955" s="81"/>
      <c r="R1955" s="81"/>
      <c r="S1955" s="81"/>
      <c r="T1955" s="81"/>
      <c r="U1955" s="81"/>
      <c r="V1955" s="94"/>
      <c r="W1955" s="94"/>
    </row>
    <row r="1956" spans="1:23" ht="21" customHeight="1">
      <c r="A1956">
        <f>Table4[[#This Row],[Column1]]</f>
        <v>0</v>
      </c>
      <c r="B1956">
        <f>Table4[[#This Row],[Column2]]</f>
        <v>0</v>
      </c>
      <c r="C1956" s="81"/>
      <c r="D1956" s="81"/>
      <c r="E1956" s="81"/>
      <c r="F1956" s="81"/>
      <c r="G1956" s="81"/>
      <c r="H1956" s="81"/>
      <c r="I1956" s="81"/>
      <c r="J1956" s="81"/>
      <c r="K1956" s="81"/>
      <c r="L1956" s="81"/>
      <c r="M1956" s="81"/>
      <c r="N1956" s="81"/>
      <c r="O1956" s="81"/>
      <c r="P1956" s="81"/>
      <c r="Q1956" s="81"/>
      <c r="R1956" s="81"/>
      <c r="S1956" s="81"/>
      <c r="T1956" s="81"/>
      <c r="U1956" s="81"/>
      <c r="V1956" s="94"/>
      <c r="W1956" s="94"/>
    </row>
    <row r="1957" spans="1:23" ht="21" customHeight="1">
      <c r="A1957">
        <f>Table4[[#This Row],[Column1]]</f>
        <v>0</v>
      </c>
      <c r="B1957">
        <f>Table4[[#This Row],[Column2]]</f>
        <v>0</v>
      </c>
      <c r="C1957" s="81"/>
      <c r="D1957" s="81"/>
      <c r="E1957" s="81"/>
      <c r="F1957" s="81"/>
      <c r="G1957" s="81"/>
      <c r="H1957" s="81"/>
      <c r="I1957" s="81"/>
      <c r="J1957" s="81"/>
      <c r="K1957" s="81"/>
      <c r="L1957" s="81"/>
      <c r="M1957" s="81"/>
      <c r="N1957" s="81"/>
      <c r="O1957" s="81"/>
      <c r="P1957" s="81"/>
      <c r="Q1957" s="81"/>
      <c r="R1957" s="81"/>
      <c r="S1957" s="81"/>
      <c r="T1957" s="81"/>
      <c r="U1957" s="81"/>
      <c r="V1957" s="94"/>
      <c r="W1957" s="94"/>
    </row>
    <row r="1958" spans="1:23" ht="21" customHeight="1">
      <c r="A1958">
        <f>Table4[[#This Row],[Column1]]</f>
        <v>0</v>
      </c>
      <c r="B1958">
        <f>Table4[[#This Row],[Column2]]</f>
        <v>0</v>
      </c>
      <c r="C1958" s="81"/>
      <c r="D1958" s="81"/>
      <c r="E1958" s="81"/>
      <c r="F1958" s="81"/>
      <c r="G1958" s="81"/>
      <c r="H1958" s="81"/>
      <c r="I1958" s="81"/>
      <c r="J1958" s="81"/>
      <c r="K1958" s="81"/>
      <c r="L1958" s="81"/>
      <c r="M1958" s="81"/>
      <c r="N1958" s="81"/>
      <c r="O1958" s="81"/>
      <c r="P1958" s="81"/>
      <c r="Q1958" s="81"/>
      <c r="R1958" s="81"/>
      <c r="S1958" s="81"/>
      <c r="T1958" s="81"/>
      <c r="U1958" s="81"/>
      <c r="V1958" s="94"/>
      <c r="W1958" s="94"/>
    </row>
    <row r="1959" spans="1:23" ht="21" customHeight="1">
      <c r="A1959">
        <f>Table4[[#This Row],[Column1]]</f>
        <v>0</v>
      </c>
      <c r="B1959">
        <f>Table4[[#This Row],[Column2]]</f>
        <v>0</v>
      </c>
      <c r="C1959" s="81"/>
      <c r="D1959" s="81"/>
      <c r="E1959" s="81"/>
      <c r="F1959" s="81"/>
      <c r="G1959" s="81"/>
      <c r="H1959" s="81"/>
      <c r="I1959" s="81"/>
      <c r="J1959" s="81"/>
      <c r="K1959" s="81"/>
      <c r="L1959" s="81"/>
      <c r="M1959" s="81"/>
      <c r="N1959" s="81"/>
      <c r="O1959" s="81"/>
      <c r="P1959" s="81"/>
      <c r="Q1959" s="81"/>
      <c r="R1959" s="81"/>
      <c r="S1959" s="81"/>
      <c r="T1959" s="81"/>
      <c r="U1959" s="81"/>
      <c r="V1959" s="94"/>
      <c r="W1959" s="94"/>
    </row>
    <row r="1960" spans="1:23" ht="21" customHeight="1">
      <c r="A1960">
        <f>Table4[[#This Row],[Column1]]</f>
        <v>0</v>
      </c>
      <c r="B1960">
        <f>Table4[[#This Row],[Column2]]</f>
        <v>0</v>
      </c>
      <c r="C1960" s="81"/>
      <c r="D1960" s="81"/>
      <c r="E1960" s="81"/>
      <c r="F1960" s="81"/>
      <c r="G1960" s="81"/>
      <c r="H1960" s="81"/>
      <c r="I1960" s="81"/>
      <c r="J1960" s="81"/>
      <c r="K1960" s="81"/>
      <c r="L1960" s="81"/>
      <c r="M1960" s="81"/>
      <c r="N1960" s="81"/>
      <c r="O1960" s="81"/>
      <c r="P1960" s="81"/>
      <c r="Q1960" s="81"/>
      <c r="R1960" s="81"/>
      <c r="S1960" s="81"/>
      <c r="T1960" s="81"/>
      <c r="U1960" s="81"/>
      <c r="V1960" s="94"/>
      <c r="W1960" s="94"/>
    </row>
    <row r="1961" spans="1:23" ht="21" customHeight="1">
      <c r="A1961">
        <f>Table4[[#This Row],[Column1]]</f>
        <v>0</v>
      </c>
      <c r="B1961">
        <f>Table4[[#This Row],[Column2]]</f>
        <v>0</v>
      </c>
      <c r="C1961" s="81"/>
      <c r="D1961" s="81"/>
      <c r="E1961" s="81"/>
      <c r="F1961" s="81"/>
      <c r="G1961" s="81"/>
      <c r="H1961" s="81"/>
      <c r="I1961" s="81"/>
      <c r="J1961" s="81"/>
      <c r="K1961" s="81"/>
      <c r="L1961" s="81"/>
      <c r="M1961" s="81"/>
      <c r="N1961" s="81"/>
      <c r="O1961" s="81"/>
      <c r="P1961" s="81"/>
      <c r="Q1961" s="81"/>
      <c r="R1961" s="81"/>
      <c r="S1961" s="81"/>
      <c r="T1961" s="81"/>
      <c r="U1961" s="81"/>
      <c r="V1961" s="94"/>
      <c r="W1961" s="94"/>
    </row>
    <row r="1962" spans="1:23" ht="21" customHeight="1">
      <c r="A1962">
        <f>Table4[[#This Row],[Column1]]</f>
        <v>0</v>
      </c>
      <c r="B1962">
        <f>Table4[[#This Row],[Column2]]</f>
        <v>0</v>
      </c>
      <c r="C1962" s="81"/>
      <c r="D1962" s="81"/>
      <c r="E1962" s="81"/>
      <c r="F1962" s="81"/>
      <c r="G1962" s="81"/>
      <c r="H1962" s="81"/>
      <c r="I1962" s="81"/>
      <c r="J1962" s="81"/>
      <c r="K1962" s="81"/>
      <c r="L1962" s="81"/>
      <c r="M1962" s="81"/>
      <c r="N1962" s="81"/>
      <c r="O1962" s="81"/>
      <c r="P1962" s="81"/>
      <c r="Q1962" s="81"/>
      <c r="R1962" s="81"/>
      <c r="S1962" s="81"/>
      <c r="T1962" s="81"/>
      <c r="U1962" s="81"/>
      <c r="V1962" s="94"/>
      <c r="W1962" s="94"/>
    </row>
    <row r="1963" spans="1:23" ht="21" customHeight="1">
      <c r="A1963">
        <f>Table4[[#This Row],[Column1]]</f>
        <v>0</v>
      </c>
      <c r="B1963">
        <f>Table4[[#This Row],[Column2]]</f>
        <v>0</v>
      </c>
      <c r="C1963" s="81"/>
      <c r="D1963" s="81"/>
      <c r="E1963" s="81"/>
      <c r="F1963" s="81"/>
      <c r="G1963" s="81"/>
      <c r="H1963" s="81"/>
      <c r="I1963" s="81"/>
      <c r="J1963" s="81"/>
      <c r="K1963" s="81"/>
      <c r="L1963" s="81"/>
      <c r="M1963" s="81"/>
      <c r="N1963" s="81"/>
      <c r="O1963" s="81"/>
      <c r="P1963" s="81"/>
      <c r="Q1963" s="81"/>
      <c r="R1963" s="81"/>
      <c r="S1963" s="81"/>
      <c r="T1963" s="81"/>
      <c r="U1963" s="81"/>
      <c r="V1963" s="94"/>
      <c r="W1963" s="94"/>
    </row>
    <row r="1964" spans="1:23" ht="21" customHeight="1">
      <c r="A1964">
        <f>Table4[[#This Row],[Column1]]</f>
        <v>0</v>
      </c>
      <c r="B1964">
        <f>Table4[[#This Row],[Column2]]</f>
        <v>0</v>
      </c>
      <c r="C1964" s="81"/>
      <c r="D1964" s="81"/>
      <c r="E1964" s="81"/>
      <c r="F1964" s="81"/>
      <c r="G1964" s="81"/>
      <c r="H1964" s="81"/>
      <c r="I1964" s="81"/>
      <c r="J1964" s="81"/>
      <c r="K1964" s="81"/>
      <c r="L1964" s="81"/>
      <c r="M1964" s="81"/>
      <c r="N1964" s="81"/>
      <c r="O1964" s="81"/>
      <c r="P1964" s="81"/>
      <c r="Q1964" s="81"/>
      <c r="R1964" s="81"/>
      <c r="S1964" s="81"/>
      <c r="T1964" s="81"/>
      <c r="U1964" s="81"/>
      <c r="V1964" s="94"/>
      <c r="W1964" s="94"/>
    </row>
    <row r="1965" spans="1:23" ht="21" customHeight="1">
      <c r="A1965">
        <f>Table4[[#This Row],[Column1]]</f>
        <v>0</v>
      </c>
      <c r="B1965">
        <f>Table4[[#This Row],[Column2]]</f>
        <v>0</v>
      </c>
      <c r="C1965" s="81"/>
      <c r="D1965" s="81"/>
      <c r="E1965" s="81"/>
      <c r="F1965" s="81"/>
      <c r="G1965" s="81"/>
      <c r="H1965" s="81"/>
      <c r="I1965" s="81"/>
      <c r="J1965" s="81"/>
      <c r="K1965" s="81"/>
      <c r="L1965" s="81"/>
      <c r="M1965" s="81"/>
      <c r="N1965" s="81"/>
      <c r="O1965" s="81"/>
      <c r="P1965" s="81"/>
      <c r="Q1965" s="81"/>
      <c r="R1965" s="81"/>
      <c r="S1965" s="81"/>
      <c r="T1965" s="81"/>
      <c r="U1965" s="81"/>
      <c r="V1965" s="94"/>
      <c r="W1965" s="94"/>
    </row>
    <row r="1966" spans="1:23" ht="21" customHeight="1">
      <c r="A1966">
        <f>Table4[[#This Row],[Column1]]</f>
        <v>0</v>
      </c>
      <c r="B1966">
        <f>Table4[[#This Row],[Column2]]</f>
        <v>0</v>
      </c>
      <c r="C1966" s="81"/>
      <c r="D1966" s="81"/>
      <c r="E1966" s="81"/>
      <c r="F1966" s="81"/>
      <c r="G1966" s="81"/>
      <c r="H1966" s="81"/>
      <c r="I1966" s="81"/>
      <c r="J1966" s="81"/>
      <c r="K1966" s="81"/>
      <c r="L1966" s="81"/>
      <c r="M1966" s="81"/>
      <c r="N1966" s="81"/>
      <c r="O1966" s="81"/>
      <c r="P1966" s="81"/>
      <c r="Q1966" s="81"/>
      <c r="R1966" s="81"/>
      <c r="S1966" s="81"/>
      <c r="T1966" s="81"/>
      <c r="U1966" s="81"/>
      <c r="V1966" s="94"/>
      <c r="W1966" s="94"/>
    </row>
    <row r="1967" spans="1:23" ht="21" customHeight="1">
      <c r="A1967">
        <f>Table4[[#This Row],[Column1]]</f>
        <v>0</v>
      </c>
      <c r="B1967">
        <f>Table4[[#This Row],[Column2]]</f>
        <v>0</v>
      </c>
      <c r="C1967" s="81"/>
      <c r="D1967" s="81"/>
      <c r="E1967" s="81"/>
      <c r="F1967" s="81"/>
      <c r="G1967" s="81"/>
      <c r="H1967" s="81"/>
      <c r="I1967" s="81"/>
      <c r="J1967" s="81"/>
      <c r="K1967" s="81"/>
      <c r="L1967" s="81"/>
      <c r="M1967" s="81"/>
      <c r="N1967" s="81"/>
      <c r="O1967" s="81"/>
      <c r="P1967" s="81"/>
      <c r="Q1967" s="81"/>
      <c r="R1967" s="81"/>
      <c r="S1967" s="81"/>
      <c r="T1967" s="81"/>
      <c r="U1967" s="81"/>
      <c r="V1967" s="94"/>
      <c r="W1967" s="94"/>
    </row>
    <row r="1968" spans="1:23" ht="21" customHeight="1">
      <c r="A1968">
        <f>Table4[[#This Row],[Column1]]</f>
        <v>0</v>
      </c>
      <c r="B1968">
        <f>Table4[[#This Row],[Column2]]</f>
        <v>0</v>
      </c>
      <c r="C1968" s="81"/>
      <c r="D1968" s="81"/>
      <c r="E1968" s="81"/>
      <c r="F1968" s="81"/>
      <c r="G1968" s="81"/>
      <c r="H1968" s="81"/>
      <c r="I1968" s="81"/>
      <c r="J1968" s="81"/>
      <c r="K1968" s="81"/>
      <c r="L1968" s="81"/>
      <c r="M1968" s="81"/>
      <c r="N1968" s="81"/>
      <c r="O1968" s="81"/>
      <c r="P1968" s="81"/>
      <c r="Q1968" s="81"/>
      <c r="R1968" s="81"/>
      <c r="S1968" s="81"/>
      <c r="T1968" s="81"/>
      <c r="U1968" s="81"/>
      <c r="V1968" s="94"/>
      <c r="W1968" s="94"/>
    </row>
    <row r="1969" spans="1:23" ht="21" customHeight="1">
      <c r="A1969">
        <f>Table4[[#This Row],[Column1]]</f>
        <v>0</v>
      </c>
      <c r="B1969">
        <f>Table4[[#This Row],[Column2]]</f>
        <v>0</v>
      </c>
      <c r="C1969" s="81"/>
      <c r="D1969" s="81"/>
      <c r="E1969" s="81"/>
      <c r="F1969" s="81"/>
      <c r="G1969" s="81"/>
      <c r="H1969" s="81"/>
      <c r="I1969" s="81"/>
      <c r="J1969" s="81"/>
      <c r="K1969" s="81"/>
      <c r="L1969" s="81"/>
      <c r="M1969" s="81"/>
      <c r="N1969" s="81"/>
      <c r="O1969" s="81"/>
      <c r="P1969" s="81"/>
      <c r="Q1969" s="81"/>
      <c r="R1969" s="81"/>
      <c r="S1969" s="81"/>
      <c r="T1969" s="81"/>
      <c r="U1969" s="81"/>
      <c r="V1969" s="94"/>
      <c r="W1969" s="94"/>
    </row>
    <row r="1970" spans="1:23" ht="21" customHeight="1">
      <c r="A1970">
        <f>Table4[[#This Row],[Column1]]</f>
        <v>0</v>
      </c>
      <c r="B1970">
        <f>Table4[[#This Row],[Column2]]</f>
        <v>0</v>
      </c>
      <c r="C1970" s="81"/>
      <c r="D1970" s="81"/>
      <c r="E1970" s="81"/>
      <c r="F1970" s="81"/>
      <c r="G1970" s="81"/>
      <c r="H1970" s="81"/>
      <c r="I1970" s="81"/>
      <c r="J1970" s="81"/>
      <c r="K1970" s="81"/>
      <c r="L1970" s="81"/>
      <c r="M1970" s="81"/>
      <c r="N1970" s="81"/>
      <c r="O1970" s="81"/>
      <c r="P1970" s="81"/>
      <c r="Q1970" s="81"/>
      <c r="R1970" s="81"/>
      <c r="S1970" s="81"/>
      <c r="T1970" s="81"/>
      <c r="U1970" s="81"/>
      <c r="V1970" s="94"/>
      <c r="W1970" s="94"/>
    </row>
    <row r="1971" spans="1:23" ht="21" customHeight="1">
      <c r="A1971">
        <f>Table4[[#This Row],[Column1]]</f>
        <v>0</v>
      </c>
      <c r="B1971">
        <f>Table4[[#This Row],[Column2]]</f>
        <v>0</v>
      </c>
      <c r="C1971" s="81"/>
      <c r="D1971" s="81"/>
      <c r="E1971" s="81"/>
      <c r="F1971" s="81"/>
      <c r="G1971" s="81"/>
      <c r="H1971" s="81"/>
      <c r="I1971" s="81"/>
      <c r="J1971" s="81"/>
      <c r="K1971" s="81"/>
      <c r="L1971" s="81"/>
      <c r="M1971" s="81"/>
      <c r="N1971" s="81"/>
      <c r="O1971" s="81"/>
      <c r="P1971" s="81"/>
      <c r="Q1971" s="81"/>
      <c r="R1971" s="81"/>
      <c r="S1971" s="81"/>
      <c r="T1971" s="81"/>
      <c r="U1971" s="81"/>
      <c r="V1971" s="94"/>
      <c r="W1971" s="94"/>
    </row>
    <row r="1972" spans="1:23" ht="21" customHeight="1">
      <c r="A1972">
        <f>Table4[[#This Row],[Column1]]</f>
        <v>0</v>
      </c>
      <c r="B1972">
        <f>Table4[[#This Row],[Column2]]</f>
        <v>0</v>
      </c>
      <c r="C1972" s="81"/>
      <c r="D1972" s="81"/>
      <c r="E1972" s="81"/>
      <c r="F1972" s="81"/>
      <c r="G1972" s="81"/>
      <c r="H1972" s="81"/>
      <c r="I1972" s="81"/>
      <c r="J1972" s="81"/>
      <c r="K1972" s="81"/>
      <c r="L1972" s="81"/>
      <c r="M1972" s="81"/>
      <c r="N1972" s="81"/>
      <c r="O1972" s="81"/>
      <c r="P1972" s="81"/>
      <c r="Q1972" s="81"/>
      <c r="R1972" s="81"/>
      <c r="S1972" s="81"/>
      <c r="T1972" s="81"/>
      <c r="U1972" s="81"/>
      <c r="V1972" s="94"/>
      <c r="W1972" s="94"/>
    </row>
    <row r="1973" spans="1:23" ht="21" customHeight="1">
      <c r="A1973">
        <f>Table4[[#This Row],[Column1]]</f>
        <v>0</v>
      </c>
      <c r="B1973">
        <f>Table4[[#This Row],[Column2]]</f>
        <v>0</v>
      </c>
      <c r="C1973" s="81"/>
      <c r="D1973" s="81"/>
      <c r="E1973" s="81"/>
      <c r="F1973" s="81"/>
      <c r="G1973" s="81"/>
      <c r="H1973" s="81"/>
      <c r="I1973" s="81"/>
      <c r="J1973" s="81"/>
      <c r="K1973" s="81"/>
      <c r="L1973" s="81"/>
      <c r="M1973" s="81"/>
      <c r="N1973" s="81"/>
      <c r="O1973" s="81"/>
      <c r="P1973" s="81"/>
      <c r="Q1973" s="81"/>
      <c r="R1973" s="81"/>
      <c r="S1973" s="81"/>
      <c r="T1973" s="81"/>
      <c r="U1973" s="81"/>
      <c r="V1973" s="94"/>
      <c r="W1973" s="94"/>
    </row>
    <row r="1974" spans="1:23" ht="21" customHeight="1">
      <c r="A1974">
        <f>Table4[[#This Row],[Column1]]</f>
        <v>0</v>
      </c>
      <c r="B1974">
        <f>Table4[[#This Row],[Column2]]</f>
        <v>0</v>
      </c>
      <c r="C1974" s="81"/>
      <c r="D1974" s="81"/>
      <c r="E1974" s="81"/>
      <c r="F1974" s="81"/>
      <c r="G1974" s="81"/>
      <c r="H1974" s="81"/>
      <c r="I1974" s="81"/>
      <c r="J1974" s="81"/>
      <c r="K1974" s="81"/>
      <c r="L1974" s="81"/>
      <c r="M1974" s="81"/>
      <c r="N1974" s="81"/>
      <c r="O1974" s="81"/>
      <c r="P1974" s="81"/>
      <c r="Q1974" s="81"/>
      <c r="R1974" s="81"/>
      <c r="S1974" s="81"/>
      <c r="T1974" s="81"/>
      <c r="U1974" s="81"/>
      <c r="V1974" s="94"/>
      <c r="W1974" s="94"/>
    </row>
    <row r="1975" spans="1:23" ht="21" customHeight="1">
      <c r="A1975">
        <f>Table4[[#This Row],[Column1]]</f>
        <v>0</v>
      </c>
      <c r="B1975">
        <f>Table4[[#This Row],[Column2]]</f>
        <v>0</v>
      </c>
      <c r="C1975" s="81"/>
      <c r="D1975" s="81"/>
      <c r="E1975" s="81"/>
      <c r="F1975" s="81"/>
      <c r="G1975" s="81"/>
      <c r="H1975" s="81"/>
      <c r="I1975" s="81"/>
      <c r="J1975" s="81"/>
      <c r="K1975" s="81"/>
      <c r="L1975" s="81"/>
      <c r="M1975" s="81"/>
      <c r="N1975" s="81"/>
      <c r="O1975" s="81"/>
      <c r="P1975" s="81"/>
      <c r="Q1975" s="81"/>
      <c r="R1975" s="81"/>
      <c r="S1975" s="81"/>
      <c r="T1975" s="81"/>
      <c r="U1975" s="81"/>
      <c r="V1975" s="94"/>
      <c r="W1975" s="94"/>
    </row>
    <row r="1976" spans="1:23" ht="21" customHeight="1">
      <c r="A1976">
        <f>Table4[[#This Row],[Column1]]</f>
        <v>0</v>
      </c>
      <c r="B1976">
        <f>Table4[[#This Row],[Column2]]</f>
        <v>0</v>
      </c>
      <c r="C1976" s="81"/>
      <c r="D1976" s="81"/>
      <c r="E1976" s="81"/>
      <c r="F1976" s="81"/>
      <c r="G1976" s="81"/>
      <c r="H1976" s="81"/>
      <c r="I1976" s="81"/>
      <c r="J1976" s="81"/>
      <c r="K1976" s="81"/>
      <c r="L1976" s="81"/>
      <c r="M1976" s="81"/>
      <c r="N1976" s="81"/>
      <c r="O1976" s="81"/>
      <c r="P1976" s="81"/>
      <c r="Q1976" s="81"/>
      <c r="R1976" s="81"/>
      <c r="S1976" s="81"/>
      <c r="T1976" s="81"/>
      <c r="U1976" s="81"/>
      <c r="V1976" s="94"/>
      <c r="W1976" s="94"/>
    </row>
    <row r="1977" spans="1:23" ht="21" customHeight="1">
      <c r="A1977">
        <f>Table4[[#This Row],[Column1]]</f>
        <v>0</v>
      </c>
      <c r="B1977">
        <f>Table4[[#This Row],[Column2]]</f>
        <v>0</v>
      </c>
      <c r="C1977" s="81"/>
      <c r="D1977" s="81"/>
      <c r="E1977" s="81"/>
      <c r="F1977" s="81"/>
      <c r="G1977" s="81"/>
      <c r="H1977" s="81"/>
      <c r="I1977" s="81"/>
      <c r="J1977" s="81"/>
      <c r="K1977" s="81"/>
      <c r="L1977" s="81"/>
      <c r="M1977" s="81"/>
      <c r="N1977" s="81"/>
      <c r="O1977" s="81"/>
      <c r="P1977" s="81"/>
      <c r="Q1977" s="81"/>
      <c r="R1977" s="81"/>
      <c r="S1977" s="81"/>
      <c r="T1977" s="81"/>
      <c r="U1977" s="81"/>
      <c r="V1977" s="94"/>
      <c r="W1977" s="94"/>
    </row>
    <row r="1978" spans="1:23" ht="21" customHeight="1">
      <c r="A1978">
        <f>Table4[[#This Row],[Column1]]</f>
        <v>0</v>
      </c>
      <c r="B1978">
        <f>Table4[[#This Row],[Column2]]</f>
        <v>0</v>
      </c>
      <c r="C1978" s="81"/>
      <c r="D1978" s="81"/>
      <c r="E1978" s="81"/>
      <c r="F1978" s="81"/>
      <c r="G1978" s="81"/>
      <c r="H1978" s="81"/>
      <c r="I1978" s="81"/>
      <c r="J1978" s="81"/>
      <c r="K1978" s="81"/>
      <c r="L1978" s="81"/>
      <c r="M1978" s="81"/>
      <c r="N1978" s="81"/>
      <c r="O1978" s="81"/>
      <c r="P1978" s="81"/>
      <c r="Q1978" s="81"/>
      <c r="R1978" s="81"/>
      <c r="S1978" s="81"/>
      <c r="T1978" s="81"/>
      <c r="U1978" s="81"/>
      <c r="V1978" s="94"/>
      <c r="W1978" s="94"/>
    </row>
    <row r="1979" spans="1:23" ht="21" customHeight="1">
      <c r="A1979">
        <f>Table4[[#This Row],[Column1]]</f>
        <v>0</v>
      </c>
      <c r="B1979">
        <f>Table4[[#This Row],[Column2]]</f>
        <v>0</v>
      </c>
      <c r="C1979" s="81"/>
      <c r="D1979" s="81"/>
      <c r="E1979" s="81"/>
      <c r="F1979" s="81"/>
      <c r="G1979" s="81"/>
      <c r="H1979" s="81"/>
      <c r="I1979" s="81"/>
      <c r="J1979" s="81"/>
      <c r="K1979" s="81"/>
      <c r="L1979" s="81"/>
      <c r="M1979" s="81"/>
      <c r="N1979" s="81"/>
      <c r="O1979" s="81"/>
      <c r="P1979" s="81"/>
      <c r="Q1979" s="81"/>
      <c r="R1979" s="81"/>
      <c r="S1979" s="81"/>
      <c r="T1979" s="81"/>
      <c r="U1979" s="81"/>
      <c r="V1979" s="94"/>
      <c r="W1979" s="94"/>
    </row>
    <row r="1980" spans="1:23" ht="21" customHeight="1">
      <c r="A1980">
        <f>Table4[[#This Row],[Column1]]</f>
        <v>0</v>
      </c>
      <c r="B1980">
        <f>Table4[[#This Row],[Column2]]</f>
        <v>0</v>
      </c>
      <c r="C1980" s="81"/>
      <c r="D1980" s="81"/>
      <c r="E1980" s="81"/>
      <c r="F1980" s="81"/>
      <c r="G1980" s="81"/>
      <c r="H1980" s="81"/>
      <c r="I1980" s="81"/>
      <c r="J1980" s="81"/>
      <c r="K1980" s="81"/>
      <c r="L1980" s="81"/>
      <c r="M1980" s="81"/>
      <c r="N1980" s="81"/>
      <c r="O1980" s="81"/>
      <c r="P1980" s="81"/>
      <c r="Q1980" s="81"/>
      <c r="R1980" s="81"/>
      <c r="S1980" s="81"/>
      <c r="T1980" s="81"/>
      <c r="U1980" s="81"/>
      <c r="V1980" s="94"/>
      <c r="W1980" s="94"/>
    </row>
    <row r="1981" spans="1:23" ht="21" customHeight="1">
      <c r="A1981">
        <f>Table4[[#This Row],[Column1]]</f>
        <v>0</v>
      </c>
      <c r="B1981">
        <f>Table4[[#This Row],[Column2]]</f>
        <v>0</v>
      </c>
      <c r="C1981" s="81"/>
      <c r="D1981" s="81"/>
      <c r="E1981" s="81"/>
      <c r="F1981" s="81"/>
      <c r="G1981" s="81"/>
      <c r="H1981" s="81"/>
      <c r="I1981" s="81"/>
      <c r="J1981" s="81"/>
      <c r="K1981" s="81"/>
      <c r="L1981" s="81"/>
      <c r="M1981" s="81"/>
      <c r="N1981" s="81"/>
      <c r="O1981" s="81"/>
      <c r="P1981" s="81"/>
      <c r="Q1981" s="81"/>
      <c r="R1981" s="81"/>
      <c r="S1981" s="81"/>
      <c r="T1981" s="81"/>
      <c r="U1981" s="81"/>
      <c r="V1981" s="94"/>
      <c r="W1981" s="94"/>
    </row>
    <row r="1982" spans="1:23" ht="21" customHeight="1">
      <c r="A1982">
        <f>Table4[[#This Row],[Column1]]</f>
        <v>0</v>
      </c>
      <c r="B1982">
        <f>Table4[[#This Row],[Column2]]</f>
        <v>0</v>
      </c>
      <c r="C1982" s="81"/>
      <c r="D1982" s="81"/>
      <c r="E1982" s="81"/>
      <c r="F1982" s="81"/>
      <c r="G1982" s="81"/>
      <c r="H1982" s="81"/>
      <c r="I1982" s="81"/>
      <c r="J1982" s="81"/>
      <c r="K1982" s="81"/>
      <c r="L1982" s="81"/>
      <c r="M1982" s="81"/>
      <c r="N1982" s="81"/>
      <c r="O1982" s="81"/>
      <c r="P1982" s="81"/>
      <c r="Q1982" s="81"/>
      <c r="R1982" s="81"/>
      <c r="S1982" s="81"/>
      <c r="T1982" s="81"/>
      <c r="U1982" s="81"/>
      <c r="V1982" s="94"/>
      <c r="W1982" s="94"/>
    </row>
    <row r="1983" spans="1:23" ht="21" customHeight="1">
      <c r="A1983">
        <f>Table4[[#This Row],[Column1]]</f>
        <v>0</v>
      </c>
      <c r="B1983">
        <f>Table4[[#This Row],[Column2]]</f>
        <v>0</v>
      </c>
      <c r="C1983" s="81"/>
      <c r="D1983" s="81"/>
      <c r="E1983" s="81"/>
      <c r="F1983" s="81"/>
      <c r="G1983" s="81"/>
      <c r="H1983" s="81"/>
      <c r="I1983" s="81"/>
      <c r="J1983" s="81"/>
      <c r="K1983" s="81"/>
      <c r="L1983" s="81"/>
      <c r="M1983" s="81"/>
      <c r="N1983" s="81"/>
      <c r="O1983" s="81"/>
      <c r="P1983" s="81"/>
      <c r="Q1983" s="81"/>
      <c r="R1983" s="81"/>
      <c r="S1983" s="81"/>
      <c r="T1983" s="81"/>
      <c r="U1983" s="81"/>
      <c r="V1983" s="94"/>
      <c r="W1983" s="94"/>
    </row>
    <row r="1984" spans="1:23" ht="21" customHeight="1">
      <c r="A1984">
        <f>Table4[[#This Row],[Column1]]</f>
        <v>0</v>
      </c>
      <c r="B1984">
        <f>Table4[[#This Row],[Column2]]</f>
        <v>0</v>
      </c>
      <c r="C1984" s="81"/>
      <c r="D1984" s="81"/>
      <c r="E1984" s="81"/>
      <c r="F1984" s="81"/>
      <c r="G1984" s="81"/>
      <c r="H1984" s="81"/>
      <c r="I1984" s="81"/>
      <c r="J1984" s="81"/>
      <c r="K1984" s="81"/>
      <c r="L1984" s="81"/>
      <c r="M1984" s="81"/>
      <c r="N1984" s="81"/>
      <c r="O1984" s="81"/>
      <c r="P1984" s="81"/>
      <c r="Q1984" s="81"/>
      <c r="R1984" s="81"/>
      <c r="S1984" s="81"/>
      <c r="T1984" s="81"/>
      <c r="U1984" s="81"/>
      <c r="V1984" s="94"/>
      <c r="W1984" s="94"/>
    </row>
    <row r="1985" spans="1:23" ht="21" customHeight="1">
      <c r="A1985">
        <f>Table4[[#This Row],[Column1]]</f>
        <v>0</v>
      </c>
      <c r="B1985">
        <f>Table4[[#This Row],[Column2]]</f>
        <v>0</v>
      </c>
      <c r="C1985" s="81"/>
      <c r="D1985" s="81"/>
      <c r="E1985" s="81"/>
      <c r="F1985" s="81"/>
      <c r="G1985" s="81"/>
      <c r="H1985" s="81"/>
      <c r="I1985" s="81"/>
      <c r="J1985" s="81"/>
      <c r="K1985" s="81"/>
      <c r="L1985" s="81"/>
      <c r="M1985" s="81"/>
      <c r="N1985" s="81"/>
      <c r="O1985" s="81"/>
      <c r="P1985" s="81"/>
      <c r="Q1985" s="81"/>
      <c r="R1985" s="81"/>
      <c r="S1985" s="81"/>
      <c r="T1985" s="81"/>
      <c r="U1985" s="81"/>
      <c r="V1985" s="94"/>
      <c r="W1985" s="94"/>
    </row>
    <row r="1986" spans="1:23" ht="21" customHeight="1">
      <c r="A1986">
        <f>Table4[[#This Row],[Column1]]</f>
        <v>0</v>
      </c>
      <c r="B1986">
        <f>Table4[[#This Row],[Column2]]</f>
        <v>0</v>
      </c>
      <c r="C1986" s="81"/>
      <c r="D1986" s="81"/>
      <c r="E1986" s="81"/>
      <c r="F1986" s="81"/>
      <c r="G1986" s="81"/>
      <c r="H1986" s="81"/>
      <c r="I1986" s="81"/>
      <c r="J1986" s="81"/>
      <c r="K1986" s="81"/>
      <c r="L1986" s="81"/>
      <c r="M1986" s="81"/>
      <c r="N1986" s="81"/>
      <c r="O1986" s="81"/>
      <c r="P1986" s="81"/>
      <c r="Q1986" s="81"/>
      <c r="R1986" s="81"/>
      <c r="S1986" s="81"/>
      <c r="T1986" s="81"/>
      <c r="U1986" s="81"/>
      <c r="V1986" s="94"/>
      <c r="W1986" s="94"/>
    </row>
    <row r="1987" spans="1:23" ht="21" customHeight="1">
      <c r="A1987">
        <f>Table4[[#This Row],[Column1]]</f>
        <v>0</v>
      </c>
      <c r="B1987">
        <f>Table4[[#This Row],[Column2]]</f>
        <v>0</v>
      </c>
      <c r="C1987" s="81"/>
      <c r="D1987" s="81"/>
      <c r="E1987" s="81"/>
      <c r="F1987" s="81"/>
      <c r="G1987" s="81"/>
      <c r="H1987" s="81"/>
      <c r="I1987" s="81"/>
      <c r="J1987" s="81"/>
      <c r="K1987" s="81"/>
      <c r="L1987" s="81"/>
      <c r="M1987" s="81"/>
      <c r="N1987" s="81"/>
      <c r="O1987" s="81"/>
      <c r="P1987" s="81"/>
      <c r="Q1987" s="81"/>
      <c r="R1987" s="81"/>
      <c r="S1987" s="81"/>
      <c r="T1987" s="81"/>
      <c r="U1987" s="81"/>
      <c r="V1987" s="94"/>
      <c r="W1987" s="94"/>
    </row>
    <row r="1988" spans="1:23" ht="21" customHeight="1">
      <c r="A1988">
        <f>Table4[[#This Row],[Column1]]</f>
        <v>0</v>
      </c>
      <c r="B1988">
        <f>Table4[[#This Row],[Column2]]</f>
        <v>0</v>
      </c>
      <c r="C1988" s="81"/>
      <c r="D1988" s="81"/>
      <c r="E1988" s="81"/>
      <c r="F1988" s="81"/>
      <c r="G1988" s="81"/>
      <c r="H1988" s="81"/>
      <c r="I1988" s="81"/>
      <c r="J1988" s="81"/>
      <c r="K1988" s="81"/>
      <c r="L1988" s="81"/>
      <c r="M1988" s="81"/>
      <c r="N1988" s="81"/>
      <c r="O1988" s="81"/>
      <c r="P1988" s="81"/>
      <c r="Q1988" s="81"/>
      <c r="R1988" s="81"/>
      <c r="S1988" s="81"/>
      <c r="T1988" s="81"/>
      <c r="U1988" s="81"/>
      <c r="V1988" s="94"/>
      <c r="W1988" s="94"/>
    </row>
    <row r="1989" spans="1:23" ht="21" customHeight="1">
      <c r="A1989">
        <f>Table4[[#This Row],[Column1]]</f>
        <v>0</v>
      </c>
      <c r="B1989">
        <f>Table4[[#This Row],[Column2]]</f>
        <v>0</v>
      </c>
      <c r="C1989" s="81"/>
      <c r="D1989" s="81"/>
      <c r="E1989" s="81"/>
      <c r="F1989" s="81"/>
      <c r="G1989" s="81"/>
      <c r="H1989" s="81"/>
      <c r="I1989" s="81"/>
      <c r="J1989" s="81"/>
      <c r="K1989" s="81"/>
      <c r="L1989" s="81"/>
      <c r="M1989" s="81"/>
      <c r="N1989" s="81"/>
      <c r="O1989" s="81"/>
      <c r="P1989" s="81"/>
      <c r="Q1989" s="81"/>
      <c r="R1989" s="81"/>
      <c r="S1989" s="81"/>
      <c r="T1989" s="81"/>
      <c r="U1989" s="81"/>
      <c r="V1989" s="94"/>
      <c r="W1989" s="94"/>
    </row>
    <row r="1990" spans="1:23" ht="21" customHeight="1">
      <c r="A1990">
        <f>Table4[[#This Row],[Column1]]</f>
        <v>0</v>
      </c>
      <c r="B1990">
        <f>Table4[[#This Row],[Column2]]</f>
        <v>0</v>
      </c>
      <c r="C1990" s="81"/>
      <c r="D1990" s="81"/>
      <c r="E1990" s="81"/>
      <c r="F1990" s="81"/>
      <c r="G1990" s="81"/>
      <c r="H1990" s="81"/>
      <c r="I1990" s="81"/>
      <c r="J1990" s="81"/>
      <c r="K1990" s="81"/>
      <c r="L1990" s="81"/>
      <c r="M1990" s="81"/>
      <c r="N1990" s="81"/>
      <c r="O1990" s="81"/>
      <c r="P1990" s="81"/>
      <c r="Q1990" s="81"/>
      <c r="R1990" s="81"/>
      <c r="S1990" s="81"/>
      <c r="T1990" s="81"/>
      <c r="U1990" s="81"/>
      <c r="V1990" s="94"/>
      <c r="W1990" s="94"/>
    </row>
    <row r="1991" spans="1:23" ht="21" customHeight="1">
      <c r="A1991">
        <f>Table4[[#This Row],[Column1]]</f>
        <v>0</v>
      </c>
      <c r="B1991">
        <f>Table4[[#This Row],[Column2]]</f>
        <v>0</v>
      </c>
      <c r="C1991" s="81"/>
      <c r="D1991" s="81"/>
      <c r="E1991" s="81"/>
      <c r="F1991" s="81"/>
      <c r="G1991" s="81"/>
      <c r="H1991" s="81"/>
      <c r="I1991" s="81"/>
      <c r="J1991" s="81"/>
      <c r="K1991" s="81"/>
      <c r="L1991" s="81"/>
      <c r="M1991" s="81"/>
      <c r="N1991" s="81"/>
      <c r="O1991" s="81"/>
      <c r="P1991" s="81"/>
      <c r="Q1991" s="81"/>
      <c r="R1991" s="81"/>
      <c r="S1991" s="81"/>
      <c r="T1991" s="81"/>
      <c r="U1991" s="81"/>
      <c r="V1991" s="94"/>
      <c r="W1991" s="94"/>
    </row>
    <row r="1992" spans="1:23" ht="21" customHeight="1">
      <c r="A1992">
        <f>Table4[[#This Row],[Column1]]</f>
        <v>0</v>
      </c>
      <c r="B1992">
        <f>Table4[[#This Row],[Column2]]</f>
        <v>0</v>
      </c>
      <c r="C1992" s="81"/>
      <c r="D1992" s="81"/>
      <c r="E1992" s="81"/>
      <c r="F1992" s="81"/>
      <c r="G1992" s="81"/>
      <c r="H1992" s="81"/>
      <c r="I1992" s="81"/>
      <c r="J1992" s="81"/>
      <c r="K1992" s="81"/>
      <c r="L1992" s="81"/>
      <c r="M1992" s="81"/>
      <c r="N1992" s="81"/>
      <c r="O1992" s="81"/>
      <c r="P1992" s="81"/>
      <c r="Q1992" s="81"/>
      <c r="R1992" s="81"/>
      <c r="S1992" s="81"/>
      <c r="T1992" s="81"/>
      <c r="U1992" s="81"/>
      <c r="V1992" s="94"/>
      <c r="W1992" s="94"/>
    </row>
    <row r="1993" spans="1:23" ht="21" customHeight="1">
      <c r="A1993">
        <f>Table4[[#This Row],[Column1]]</f>
        <v>0</v>
      </c>
      <c r="B1993">
        <f>Table4[[#This Row],[Column2]]</f>
        <v>0</v>
      </c>
      <c r="C1993" s="81"/>
      <c r="D1993" s="81"/>
      <c r="E1993" s="81"/>
      <c r="F1993" s="81"/>
      <c r="G1993" s="81"/>
      <c r="H1993" s="81"/>
      <c r="I1993" s="81"/>
      <c r="J1993" s="81"/>
      <c r="K1993" s="81"/>
      <c r="L1993" s="81"/>
      <c r="M1993" s="81"/>
      <c r="N1993" s="81"/>
      <c r="O1993" s="81"/>
      <c r="P1993" s="81"/>
      <c r="Q1993" s="81"/>
      <c r="R1993" s="81"/>
      <c r="S1993" s="81"/>
      <c r="T1993" s="81"/>
      <c r="U1993" s="81"/>
      <c r="V1993" s="94"/>
      <c r="W1993" s="94"/>
    </row>
    <row r="1994" spans="1:23" ht="21" customHeight="1">
      <c r="A1994">
        <f>Table4[[#This Row],[Column1]]</f>
        <v>0</v>
      </c>
      <c r="B1994">
        <f>Table4[[#This Row],[Column2]]</f>
        <v>0</v>
      </c>
      <c r="C1994" s="81"/>
      <c r="D1994" s="81"/>
      <c r="E1994" s="81"/>
      <c r="F1994" s="81"/>
      <c r="G1994" s="81"/>
      <c r="H1994" s="81"/>
      <c r="I1994" s="81"/>
      <c r="J1994" s="81"/>
      <c r="K1994" s="81"/>
      <c r="L1994" s="81"/>
      <c r="M1994" s="81"/>
      <c r="N1994" s="81"/>
      <c r="O1994" s="81"/>
      <c r="P1994" s="81"/>
      <c r="Q1994" s="81"/>
      <c r="R1994" s="81"/>
      <c r="S1994" s="81"/>
      <c r="T1994" s="81"/>
      <c r="U1994" s="81"/>
      <c r="V1994" s="94"/>
      <c r="W1994" s="94"/>
    </row>
    <row r="1995" spans="1:23" ht="21" customHeight="1">
      <c r="A1995">
        <f>Table4[[#This Row],[Column1]]</f>
        <v>0</v>
      </c>
      <c r="B1995">
        <f>Table4[[#This Row],[Column2]]</f>
        <v>0</v>
      </c>
      <c r="C1995" s="81"/>
      <c r="D1995" s="81"/>
      <c r="E1995" s="81"/>
      <c r="F1995" s="81"/>
      <c r="G1995" s="81"/>
      <c r="H1995" s="81"/>
      <c r="I1995" s="81"/>
      <c r="J1995" s="81"/>
      <c r="K1995" s="81"/>
      <c r="L1995" s="81"/>
      <c r="M1995" s="81"/>
      <c r="N1995" s="81"/>
      <c r="O1995" s="81"/>
      <c r="P1995" s="81"/>
      <c r="Q1995" s="81"/>
      <c r="R1995" s="81"/>
      <c r="S1995" s="81"/>
      <c r="T1995" s="81"/>
      <c r="U1995" s="81"/>
      <c r="V1995" s="94"/>
      <c r="W1995" s="94"/>
    </row>
    <row r="1996" spans="1:23" ht="21" customHeight="1">
      <c r="A1996">
        <f>Table4[[#This Row],[Column1]]</f>
        <v>0</v>
      </c>
      <c r="B1996">
        <f>Table4[[#This Row],[Column2]]</f>
        <v>0</v>
      </c>
      <c r="C1996" s="81"/>
      <c r="D1996" s="81"/>
      <c r="E1996" s="81"/>
      <c r="F1996" s="81"/>
      <c r="G1996" s="81"/>
      <c r="H1996" s="81"/>
      <c r="I1996" s="81"/>
      <c r="J1996" s="81"/>
      <c r="K1996" s="81"/>
      <c r="L1996" s="81"/>
      <c r="M1996" s="81"/>
      <c r="N1996" s="81"/>
      <c r="O1996" s="81"/>
      <c r="P1996" s="81"/>
      <c r="Q1996" s="81"/>
      <c r="R1996" s="81"/>
      <c r="S1996" s="81"/>
      <c r="T1996" s="81"/>
      <c r="U1996" s="81"/>
      <c r="V1996" s="94"/>
      <c r="W1996" s="94"/>
    </row>
    <row r="1997" spans="1:23" ht="21" customHeight="1">
      <c r="A1997">
        <f>Table4[[#This Row],[Column1]]</f>
        <v>0</v>
      </c>
      <c r="B1997">
        <f>Table4[[#This Row],[Column2]]</f>
        <v>0</v>
      </c>
      <c r="C1997" s="81"/>
      <c r="D1997" s="81"/>
      <c r="E1997" s="81"/>
      <c r="F1997" s="81"/>
      <c r="G1997" s="81"/>
      <c r="H1997" s="81"/>
      <c r="I1997" s="81"/>
      <c r="J1997" s="81"/>
      <c r="K1997" s="81"/>
      <c r="L1997" s="81"/>
      <c r="M1997" s="81"/>
      <c r="N1997" s="81"/>
      <c r="O1997" s="81"/>
      <c r="P1997" s="81"/>
      <c r="Q1997" s="81"/>
      <c r="R1997" s="81"/>
      <c r="S1997" s="81"/>
      <c r="T1997" s="81"/>
      <c r="U1997" s="81"/>
      <c r="V1997" s="94"/>
      <c r="W1997" s="94"/>
    </row>
    <row r="1998" spans="1:23" ht="21" customHeight="1">
      <c r="A1998">
        <f>Table4[[#This Row],[Column1]]</f>
        <v>0</v>
      </c>
      <c r="B1998">
        <f>Table4[[#This Row],[Column2]]</f>
        <v>0</v>
      </c>
      <c r="C1998" s="81"/>
      <c r="D1998" s="81"/>
      <c r="E1998" s="81"/>
      <c r="F1998" s="81"/>
      <c r="G1998" s="81"/>
      <c r="H1998" s="81"/>
      <c r="I1998" s="81"/>
      <c r="J1998" s="81"/>
      <c r="K1998" s="81"/>
      <c r="L1998" s="81"/>
      <c r="M1998" s="81"/>
      <c r="N1998" s="81"/>
      <c r="O1998" s="81"/>
      <c r="P1998" s="81"/>
      <c r="Q1998" s="81"/>
      <c r="R1998" s="81"/>
      <c r="S1998" s="81"/>
      <c r="T1998" s="81"/>
      <c r="U1998" s="81"/>
      <c r="V1998" s="94"/>
      <c r="W1998" s="94"/>
    </row>
    <row r="1999" spans="1:23" ht="21" customHeight="1">
      <c r="A1999">
        <f>Table4[[#This Row],[Column1]]</f>
        <v>0</v>
      </c>
      <c r="B1999">
        <f>Table4[[#This Row],[Column2]]</f>
        <v>0</v>
      </c>
      <c r="C1999" s="81"/>
      <c r="D1999" s="81"/>
      <c r="E1999" s="81"/>
      <c r="F1999" s="81"/>
      <c r="G1999" s="81"/>
      <c r="H1999" s="81"/>
      <c r="I1999" s="81"/>
      <c r="J1999" s="81"/>
      <c r="K1999" s="81"/>
      <c r="L1999" s="81"/>
      <c r="M1999" s="81"/>
      <c r="N1999" s="81"/>
      <c r="O1999" s="81"/>
      <c r="P1999" s="81"/>
      <c r="Q1999" s="81"/>
      <c r="R1999" s="81"/>
      <c r="S1999" s="81"/>
      <c r="T1999" s="81"/>
      <c r="U1999" s="81"/>
      <c r="V1999" s="94"/>
      <c r="W1999" s="94"/>
    </row>
    <row r="2000" spans="1:23" ht="21" customHeight="1">
      <c r="A2000">
        <f>Table4[[#This Row],[Column1]]</f>
        <v>0</v>
      </c>
      <c r="B2000">
        <f>Table4[[#This Row],[Column2]]</f>
        <v>0</v>
      </c>
      <c r="C2000" s="81"/>
      <c r="D2000" s="81"/>
      <c r="E2000" s="81"/>
      <c r="F2000" s="81"/>
      <c r="G2000" s="81"/>
      <c r="H2000" s="81"/>
      <c r="I2000" s="81"/>
      <c r="J2000" s="81"/>
      <c r="K2000" s="81"/>
      <c r="L2000" s="81"/>
      <c r="M2000" s="81"/>
      <c r="N2000" s="81"/>
      <c r="O2000" s="81"/>
      <c r="P2000" s="81"/>
      <c r="Q2000" s="81"/>
      <c r="R2000" s="81"/>
      <c r="S2000" s="81"/>
      <c r="T2000" s="81"/>
      <c r="U2000" s="81"/>
      <c r="V2000" s="94"/>
      <c r="W2000" s="94"/>
    </row>
    <row r="2001" spans="1:23" ht="21" customHeight="1">
      <c r="A2001">
        <f>Table4[[#This Row],[Column1]]</f>
        <v>0</v>
      </c>
      <c r="B2001">
        <f>Table4[[#This Row],[Column2]]</f>
        <v>0</v>
      </c>
      <c r="C2001" s="81"/>
      <c r="D2001" s="81"/>
      <c r="E2001" s="81"/>
      <c r="F2001" s="81"/>
      <c r="G2001" s="81"/>
      <c r="H2001" s="81"/>
      <c r="I2001" s="81"/>
      <c r="J2001" s="81"/>
      <c r="K2001" s="81"/>
      <c r="L2001" s="81"/>
      <c r="M2001" s="81"/>
      <c r="N2001" s="81"/>
      <c r="O2001" s="81"/>
      <c r="P2001" s="81"/>
      <c r="Q2001" s="81"/>
      <c r="R2001" s="81"/>
      <c r="S2001" s="81"/>
      <c r="T2001" s="81"/>
      <c r="U2001" s="81"/>
      <c r="V2001" s="94"/>
      <c r="W2001" s="94"/>
    </row>
    <row r="2002" spans="1:23" ht="21" customHeight="1">
      <c r="A2002">
        <f>Table4[[#This Row],[Column1]]</f>
        <v>0</v>
      </c>
      <c r="B2002">
        <f>Table4[[#This Row],[Column2]]</f>
        <v>0</v>
      </c>
      <c r="C2002" s="81"/>
      <c r="D2002" s="81"/>
      <c r="E2002" s="81"/>
      <c r="F2002" s="81"/>
      <c r="G2002" s="81"/>
      <c r="H2002" s="81"/>
      <c r="I2002" s="81"/>
      <c r="J2002" s="81"/>
      <c r="K2002" s="81"/>
      <c r="L2002" s="81"/>
      <c r="M2002" s="81"/>
      <c r="N2002" s="81"/>
      <c r="O2002" s="81"/>
      <c r="P2002" s="81"/>
      <c r="Q2002" s="81"/>
      <c r="R2002" s="81"/>
      <c r="S2002" s="81"/>
      <c r="T2002" s="81"/>
      <c r="U2002" s="81"/>
      <c r="V2002" s="94"/>
      <c r="W2002" s="94"/>
    </row>
    <row r="2003" spans="1:23" ht="21" customHeight="1">
      <c r="A2003">
        <f>Table4[[#This Row],[Column1]]</f>
        <v>0</v>
      </c>
      <c r="B2003">
        <f>Table4[[#This Row],[Column2]]</f>
        <v>0</v>
      </c>
      <c r="C2003" s="81"/>
      <c r="D2003" s="81"/>
      <c r="E2003" s="81"/>
      <c r="F2003" s="81"/>
      <c r="G2003" s="81"/>
      <c r="H2003" s="81"/>
      <c r="I2003" s="81"/>
      <c r="J2003" s="81"/>
      <c r="K2003" s="81"/>
      <c r="L2003" s="81"/>
      <c r="M2003" s="81"/>
      <c r="N2003" s="81"/>
      <c r="O2003" s="81"/>
      <c r="P2003" s="81"/>
      <c r="Q2003" s="81"/>
      <c r="R2003" s="81"/>
      <c r="S2003" s="81"/>
      <c r="T2003" s="81"/>
      <c r="U2003" s="81"/>
      <c r="V2003" s="94"/>
      <c r="W2003" s="94"/>
    </row>
    <row r="2004" spans="1:23" ht="21" customHeight="1">
      <c r="A2004">
        <f>Table4[[#This Row],[Column1]]</f>
        <v>0</v>
      </c>
      <c r="B2004">
        <f>Table4[[#This Row],[Column2]]</f>
        <v>0</v>
      </c>
      <c r="C2004" s="81"/>
      <c r="D2004" s="81"/>
      <c r="E2004" s="81"/>
      <c r="F2004" s="81"/>
      <c r="G2004" s="81"/>
      <c r="H2004" s="81"/>
      <c r="I2004" s="81"/>
      <c r="J2004" s="81"/>
      <c r="K2004" s="81"/>
      <c r="L2004" s="81"/>
      <c r="M2004" s="81"/>
      <c r="N2004" s="81"/>
      <c r="O2004" s="81"/>
      <c r="P2004" s="81"/>
      <c r="Q2004" s="81"/>
      <c r="R2004" s="81"/>
      <c r="S2004" s="81"/>
      <c r="T2004" s="81"/>
      <c r="U2004" s="81"/>
      <c r="V2004" s="94"/>
      <c r="W2004" s="94"/>
    </row>
    <row r="2005" spans="1:23" ht="21" customHeight="1">
      <c r="A2005">
        <f>Table4[[#This Row],[Column1]]</f>
        <v>0</v>
      </c>
      <c r="B2005">
        <f>Table4[[#This Row],[Column2]]</f>
        <v>0</v>
      </c>
      <c r="C2005" s="81"/>
      <c r="D2005" s="81"/>
      <c r="E2005" s="81"/>
      <c r="F2005" s="81"/>
      <c r="G2005" s="81"/>
      <c r="H2005" s="81"/>
      <c r="I2005" s="81"/>
      <c r="J2005" s="81"/>
      <c r="K2005" s="81"/>
      <c r="L2005" s="81"/>
      <c r="M2005" s="81"/>
      <c r="N2005" s="81"/>
      <c r="O2005" s="81"/>
      <c r="P2005" s="81"/>
      <c r="Q2005" s="81"/>
      <c r="R2005" s="81"/>
      <c r="S2005" s="81"/>
      <c r="T2005" s="81"/>
      <c r="U2005" s="81"/>
      <c r="V2005" s="94"/>
      <c r="W2005" s="94"/>
    </row>
    <row r="2006" spans="1:23" ht="21" customHeight="1">
      <c r="A2006">
        <f>Table4[[#This Row],[Column1]]</f>
        <v>0</v>
      </c>
      <c r="B2006">
        <f>Table4[[#This Row],[Column2]]</f>
        <v>0</v>
      </c>
      <c r="C2006" s="81"/>
      <c r="D2006" s="81"/>
      <c r="E2006" s="81"/>
      <c r="F2006" s="81"/>
      <c r="G2006" s="81"/>
      <c r="H2006" s="81"/>
      <c r="I2006" s="81"/>
      <c r="J2006" s="81"/>
      <c r="K2006" s="81"/>
      <c r="L2006" s="81"/>
      <c r="M2006" s="81"/>
      <c r="N2006" s="81"/>
      <c r="O2006" s="81"/>
      <c r="P2006" s="81"/>
      <c r="Q2006" s="81"/>
      <c r="R2006" s="81"/>
      <c r="S2006" s="81"/>
      <c r="T2006" s="81"/>
      <c r="U2006" s="81"/>
      <c r="V2006" s="94"/>
      <c r="W2006" s="94"/>
    </row>
    <row r="2007" spans="1:23" ht="21" customHeight="1">
      <c r="A2007">
        <f>Table4[[#This Row],[Column1]]</f>
        <v>0</v>
      </c>
      <c r="B2007">
        <f>Table4[[#This Row],[Column2]]</f>
        <v>0</v>
      </c>
      <c r="C2007" s="81"/>
      <c r="D2007" s="81"/>
      <c r="E2007" s="81"/>
      <c r="F2007" s="81"/>
      <c r="G2007" s="81"/>
      <c r="H2007" s="81"/>
      <c r="I2007" s="81"/>
      <c r="J2007" s="81"/>
      <c r="K2007" s="81"/>
      <c r="L2007" s="81"/>
      <c r="M2007" s="81"/>
      <c r="N2007" s="81"/>
      <c r="O2007" s="81"/>
      <c r="P2007" s="81"/>
      <c r="Q2007" s="81"/>
      <c r="R2007" s="81"/>
      <c r="S2007" s="81"/>
      <c r="T2007" s="81"/>
      <c r="U2007" s="81"/>
      <c r="V2007" s="94"/>
      <c r="W2007" s="94"/>
    </row>
    <row r="2008" spans="1:23" ht="21" customHeight="1">
      <c r="A2008">
        <f>Table4[[#This Row],[Column1]]</f>
        <v>0</v>
      </c>
      <c r="B2008">
        <f>Table4[[#This Row],[Column2]]</f>
        <v>0</v>
      </c>
      <c r="C2008" s="81"/>
      <c r="D2008" s="81"/>
      <c r="E2008" s="81"/>
      <c r="F2008" s="81"/>
      <c r="G2008" s="81"/>
      <c r="H2008" s="81"/>
      <c r="I2008" s="81"/>
      <c r="J2008" s="81"/>
      <c r="K2008" s="81"/>
      <c r="L2008" s="81"/>
      <c r="M2008" s="81"/>
      <c r="N2008" s="81"/>
      <c r="O2008" s="81"/>
      <c r="P2008" s="81"/>
      <c r="Q2008" s="81"/>
      <c r="R2008" s="81"/>
      <c r="S2008" s="81"/>
      <c r="T2008" s="81"/>
      <c r="U2008" s="81"/>
      <c r="V2008" s="94"/>
      <c r="W2008" s="94"/>
    </row>
    <row r="2009" spans="1:23" ht="21" customHeight="1">
      <c r="A2009">
        <f>Table4[[#This Row],[Column1]]</f>
        <v>0</v>
      </c>
      <c r="B2009">
        <f>Table4[[#This Row],[Column2]]</f>
        <v>0</v>
      </c>
      <c r="C2009" s="81"/>
      <c r="D2009" s="81"/>
      <c r="E2009" s="81"/>
      <c r="F2009" s="81"/>
      <c r="G2009" s="81"/>
      <c r="H2009" s="81"/>
      <c r="I2009" s="81"/>
      <c r="J2009" s="81"/>
      <c r="K2009" s="81"/>
      <c r="L2009" s="81"/>
      <c r="M2009" s="81"/>
      <c r="N2009" s="81"/>
      <c r="O2009" s="81"/>
      <c r="P2009" s="81"/>
      <c r="Q2009" s="81"/>
      <c r="R2009" s="81"/>
      <c r="S2009" s="81"/>
      <c r="T2009" s="81"/>
      <c r="U2009" s="81"/>
      <c r="V2009" s="94"/>
      <c r="W2009" s="94"/>
    </row>
    <row r="2010" spans="1:23" ht="21" customHeight="1">
      <c r="A2010">
        <f>Table4[[#This Row],[Column1]]</f>
        <v>0</v>
      </c>
      <c r="B2010">
        <f>Table4[[#This Row],[Column2]]</f>
        <v>0</v>
      </c>
      <c r="C2010" s="81"/>
      <c r="D2010" s="81"/>
      <c r="E2010" s="81"/>
      <c r="F2010" s="81"/>
      <c r="G2010" s="81"/>
      <c r="H2010" s="81"/>
      <c r="I2010" s="81"/>
      <c r="J2010" s="81"/>
      <c r="K2010" s="81"/>
      <c r="L2010" s="81"/>
      <c r="M2010" s="81"/>
      <c r="N2010" s="81"/>
      <c r="O2010" s="81"/>
      <c r="P2010" s="81"/>
      <c r="Q2010" s="81"/>
      <c r="R2010" s="81"/>
      <c r="S2010" s="81"/>
      <c r="T2010" s="81"/>
      <c r="U2010" s="81"/>
      <c r="V2010" s="94"/>
      <c r="W2010" s="94"/>
    </row>
    <row r="2011" spans="1:23" ht="21" customHeight="1">
      <c r="A2011">
        <f>Table4[[#This Row],[Column1]]</f>
        <v>0</v>
      </c>
      <c r="B2011">
        <f>Table4[[#This Row],[Column2]]</f>
        <v>0</v>
      </c>
      <c r="C2011" s="81"/>
      <c r="D2011" s="81"/>
      <c r="E2011" s="81"/>
      <c r="F2011" s="81"/>
      <c r="G2011" s="81"/>
      <c r="H2011" s="81"/>
      <c r="I2011" s="81"/>
      <c r="J2011" s="81"/>
      <c r="K2011" s="81"/>
      <c r="L2011" s="81"/>
      <c r="M2011" s="81"/>
      <c r="N2011" s="81"/>
      <c r="O2011" s="81"/>
      <c r="P2011" s="81"/>
      <c r="Q2011" s="81"/>
      <c r="R2011" s="81"/>
      <c r="S2011" s="81"/>
      <c r="T2011" s="81"/>
      <c r="U2011" s="81"/>
      <c r="V2011" s="94"/>
      <c r="W2011" s="94"/>
    </row>
    <row r="2012" spans="1:23" ht="21" customHeight="1">
      <c r="A2012">
        <f>Table4[[#This Row],[Column1]]</f>
        <v>0</v>
      </c>
      <c r="B2012">
        <f>Table4[[#This Row],[Column2]]</f>
        <v>0</v>
      </c>
      <c r="C2012" s="81"/>
      <c r="D2012" s="81"/>
      <c r="E2012" s="81"/>
      <c r="F2012" s="81"/>
      <c r="G2012" s="81"/>
      <c r="H2012" s="81"/>
      <c r="I2012" s="81"/>
      <c r="J2012" s="81"/>
      <c r="K2012" s="81"/>
      <c r="L2012" s="81"/>
      <c r="M2012" s="81"/>
      <c r="N2012" s="81"/>
      <c r="O2012" s="81"/>
      <c r="P2012" s="81"/>
      <c r="Q2012" s="81"/>
      <c r="R2012" s="81"/>
      <c r="S2012" s="81"/>
      <c r="T2012" s="81"/>
      <c r="U2012" s="81"/>
      <c r="V2012" s="94"/>
      <c r="W2012" s="94"/>
    </row>
    <row r="2013" spans="1:23" ht="21" customHeight="1">
      <c r="A2013">
        <f>Table4[[#This Row],[Column1]]</f>
        <v>0</v>
      </c>
      <c r="B2013">
        <f>Table4[[#This Row],[Column2]]</f>
        <v>0</v>
      </c>
      <c r="C2013" s="81"/>
      <c r="D2013" s="81"/>
      <c r="E2013" s="81"/>
      <c r="F2013" s="81"/>
      <c r="G2013" s="81"/>
      <c r="H2013" s="81"/>
      <c r="I2013" s="81"/>
      <c r="J2013" s="81"/>
      <c r="K2013" s="81"/>
      <c r="L2013" s="81"/>
      <c r="M2013" s="81"/>
      <c r="N2013" s="81"/>
      <c r="O2013" s="81"/>
      <c r="P2013" s="81"/>
      <c r="Q2013" s="81"/>
      <c r="R2013" s="81"/>
      <c r="S2013" s="81"/>
      <c r="T2013" s="81"/>
      <c r="U2013" s="81"/>
      <c r="V2013" s="94"/>
      <c r="W2013" s="94"/>
    </row>
    <row r="2014" spans="1:23" ht="21" customHeight="1">
      <c r="A2014">
        <f>Table4[[#This Row],[Column1]]</f>
        <v>0</v>
      </c>
      <c r="B2014">
        <f>Table4[[#This Row],[Column2]]</f>
        <v>0</v>
      </c>
      <c r="C2014" s="81"/>
      <c r="D2014" s="81"/>
      <c r="E2014" s="81"/>
      <c r="F2014" s="81"/>
      <c r="G2014" s="81"/>
      <c r="H2014" s="81"/>
      <c r="I2014" s="81"/>
      <c r="J2014" s="81"/>
      <c r="K2014" s="81"/>
      <c r="L2014" s="81"/>
      <c r="M2014" s="81"/>
      <c r="N2014" s="81"/>
      <c r="O2014" s="81"/>
      <c r="P2014" s="81"/>
      <c r="Q2014" s="81"/>
      <c r="R2014" s="81"/>
      <c r="S2014" s="81"/>
      <c r="T2014" s="81"/>
      <c r="U2014" s="81"/>
      <c r="V2014" s="94"/>
      <c r="W2014" s="94"/>
    </row>
    <row r="2015" spans="1:23" ht="21" customHeight="1">
      <c r="A2015">
        <f>Table4[[#This Row],[Column1]]</f>
        <v>0</v>
      </c>
      <c r="B2015">
        <f>Table4[[#This Row],[Column2]]</f>
        <v>0</v>
      </c>
      <c r="C2015" s="81"/>
      <c r="D2015" s="81"/>
      <c r="E2015" s="81"/>
      <c r="F2015" s="81"/>
      <c r="G2015" s="81"/>
      <c r="H2015" s="81"/>
      <c r="I2015" s="81"/>
      <c r="J2015" s="81"/>
      <c r="K2015" s="81"/>
      <c r="L2015" s="81"/>
      <c r="M2015" s="81"/>
      <c r="N2015" s="81"/>
      <c r="O2015" s="81"/>
      <c r="P2015" s="81"/>
      <c r="Q2015" s="81"/>
      <c r="R2015" s="81"/>
      <c r="S2015" s="81"/>
      <c r="T2015" s="81"/>
      <c r="U2015" s="81"/>
      <c r="V2015" s="94"/>
      <c r="W2015" s="94"/>
    </row>
    <row r="2016" spans="1:23" ht="21" customHeight="1">
      <c r="A2016">
        <f>Table4[[#This Row],[Column1]]</f>
        <v>0</v>
      </c>
      <c r="B2016">
        <f>Table4[[#This Row],[Column2]]</f>
        <v>0</v>
      </c>
      <c r="C2016" s="81"/>
      <c r="D2016" s="81"/>
      <c r="E2016" s="81"/>
      <c r="F2016" s="81"/>
      <c r="G2016" s="81"/>
      <c r="H2016" s="81"/>
      <c r="I2016" s="81"/>
      <c r="J2016" s="81"/>
      <c r="K2016" s="81"/>
      <c r="L2016" s="81"/>
      <c r="M2016" s="81"/>
      <c r="N2016" s="81"/>
      <c r="O2016" s="81"/>
      <c r="P2016" s="81"/>
      <c r="Q2016" s="81"/>
      <c r="R2016" s="81"/>
      <c r="S2016" s="81"/>
      <c r="T2016" s="81"/>
      <c r="U2016" s="81"/>
      <c r="V2016" s="94"/>
      <c r="W2016" s="94"/>
    </row>
    <row r="2017" spans="1:23" ht="21" customHeight="1">
      <c r="A2017">
        <f>Table4[[#This Row],[Column1]]</f>
        <v>0</v>
      </c>
      <c r="B2017">
        <f>Table4[[#This Row],[Column2]]</f>
        <v>0</v>
      </c>
      <c r="C2017" s="81"/>
      <c r="D2017" s="81"/>
      <c r="E2017" s="81"/>
      <c r="F2017" s="81"/>
      <c r="G2017" s="81"/>
      <c r="H2017" s="81"/>
      <c r="I2017" s="81"/>
      <c r="J2017" s="81"/>
      <c r="K2017" s="81"/>
      <c r="L2017" s="81"/>
      <c r="M2017" s="81"/>
      <c r="N2017" s="81"/>
      <c r="O2017" s="81"/>
      <c r="P2017" s="81"/>
      <c r="Q2017" s="81"/>
      <c r="R2017" s="81"/>
      <c r="S2017" s="81"/>
      <c r="T2017" s="81"/>
      <c r="U2017" s="81"/>
      <c r="V2017" s="94"/>
      <c r="W2017" s="94"/>
    </row>
    <row r="2018" spans="1:23" ht="21" customHeight="1">
      <c r="A2018">
        <f>Table4[[#This Row],[Column1]]</f>
        <v>0</v>
      </c>
      <c r="B2018">
        <f>Table4[[#This Row],[Column2]]</f>
        <v>0</v>
      </c>
      <c r="C2018" s="81"/>
      <c r="D2018" s="81"/>
      <c r="E2018" s="81"/>
      <c r="F2018" s="81"/>
      <c r="G2018" s="81"/>
      <c r="H2018" s="81"/>
      <c r="I2018" s="81"/>
      <c r="J2018" s="81"/>
      <c r="K2018" s="81"/>
      <c r="L2018" s="81"/>
      <c r="M2018" s="81"/>
      <c r="N2018" s="81"/>
      <c r="O2018" s="81"/>
      <c r="P2018" s="81"/>
      <c r="Q2018" s="81"/>
      <c r="R2018" s="81"/>
      <c r="S2018" s="81"/>
      <c r="T2018" s="81"/>
      <c r="U2018" s="81"/>
      <c r="V2018" s="94"/>
      <c r="W2018" s="94"/>
    </row>
    <row r="2019" spans="1:23" ht="21" customHeight="1">
      <c r="A2019">
        <f>Table4[[#This Row],[Column1]]</f>
        <v>0</v>
      </c>
      <c r="B2019">
        <f>Table4[[#This Row],[Column2]]</f>
        <v>0</v>
      </c>
      <c r="C2019" s="81"/>
      <c r="D2019" s="81"/>
      <c r="E2019" s="81"/>
      <c r="F2019" s="81"/>
      <c r="G2019" s="81"/>
      <c r="H2019" s="81"/>
      <c r="I2019" s="81"/>
      <c r="J2019" s="81"/>
      <c r="K2019" s="81"/>
      <c r="L2019" s="81"/>
      <c r="M2019" s="81"/>
      <c r="N2019" s="81"/>
      <c r="O2019" s="81"/>
      <c r="P2019" s="81"/>
      <c r="Q2019" s="81"/>
      <c r="R2019" s="81"/>
      <c r="S2019" s="81"/>
      <c r="T2019" s="81"/>
      <c r="U2019" s="81"/>
      <c r="V2019" s="94"/>
      <c r="W2019" s="94"/>
    </row>
    <row r="2020" spans="1:23" ht="21" customHeight="1">
      <c r="A2020">
        <f>Table4[[#This Row],[Column1]]</f>
        <v>0</v>
      </c>
      <c r="B2020">
        <f>Table4[[#This Row],[Column2]]</f>
        <v>0</v>
      </c>
      <c r="C2020" s="81"/>
      <c r="D2020" s="81"/>
      <c r="E2020" s="81"/>
      <c r="F2020" s="81"/>
      <c r="G2020" s="81"/>
      <c r="H2020" s="81"/>
      <c r="I2020" s="81"/>
      <c r="J2020" s="81"/>
      <c r="K2020" s="81"/>
      <c r="L2020" s="81"/>
      <c r="M2020" s="81"/>
      <c r="N2020" s="81"/>
      <c r="O2020" s="81"/>
      <c r="P2020" s="81"/>
      <c r="Q2020" s="81"/>
      <c r="R2020" s="81"/>
      <c r="S2020" s="81"/>
      <c r="T2020" s="81"/>
      <c r="U2020" s="81"/>
      <c r="V2020" s="94"/>
      <c r="W2020" s="94"/>
    </row>
    <row r="2021" spans="1:23" ht="21" customHeight="1">
      <c r="A2021">
        <f>Table4[[#This Row],[Column1]]</f>
        <v>0</v>
      </c>
      <c r="B2021">
        <f>Table4[[#This Row],[Column2]]</f>
        <v>0</v>
      </c>
      <c r="C2021" s="81"/>
      <c r="D2021" s="81"/>
      <c r="E2021" s="81"/>
      <c r="F2021" s="81"/>
      <c r="G2021" s="81"/>
      <c r="H2021" s="81"/>
      <c r="I2021" s="81"/>
      <c r="J2021" s="81"/>
      <c r="K2021" s="81"/>
      <c r="L2021" s="81"/>
      <c r="M2021" s="81"/>
      <c r="N2021" s="81"/>
      <c r="O2021" s="81"/>
      <c r="P2021" s="81"/>
      <c r="Q2021" s="81"/>
      <c r="R2021" s="81"/>
      <c r="S2021" s="81"/>
      <c r="T2021" s="81"/>
      <c r="U2021" s="81"/>
      <c r="V2021" s="94"/>
      <c r="W2021" s="94"/>
    </row>
    <row r="2022" spans="1:23" ht="21" customHeight="1">
      <c r="A2022">
        <f>Table4[[#This Row],[Column1]]</f>
        <v>0</v>
      </c>
      <c r="B2022">
        <f>Table4[[#This Row],[Column2]]</f>
        <v>0</v>
      </c>
      <c r="C2022" s="81"/>
      <c r="D2022" s="81"/>
      <c r="E2022" s="81"/>
      <c r="F2022" s="81"/>
      <c r="G2022" s="81"/>
      <c r="H2022" s="81"/>
      <c r="I2022" s="81"/>
      <c r="J2022" s="81"/>
      <c r="K2022" s="81"/>
      <c r="L2022" s="81"/>
      <c r="M2022" s="81"/>
      <c r="N2022" s="81"/>
      <c r="O2022" s="81"/>
      <c r="P2022" s="81"/>
      <c r="Q2022" s="81"/>
      <c r="R2022" s="81"/>
      <c r="S2022" s="81"/>
      <c r="T2022" s="81"/>
      <c r="U2022" s="81"/>
      <c r="V2022" s="94"/>
      <c r="W2022" s="94"/>
    </row>
    <row r="2023" spans="1:23" ht="21" customHeight="1">
      <c r="A2023">
        <f>Table4[[#This Row],[Column1]]</f>
        <v>0</v>
      </c>
      <c r="B2023">
        <f>Table4[[#This Row],[Column2]]</f>
        <v>0</v>
      </c>
      <c r="C2023" s="81"/>
      <c r="D2023" s="81"/>
      <c r="E2023" s="81"/>
      <c r="F2023" s="81"/>
      <c r="G2023" s="81"/>
      <c r="H2023" s="81"/>
      <c r="I2023" s="81"/>
      <c r="J2023" s="81"/>
      <c r="K2023" s="81"/>
      <c r="L2023" s="81"/>
      <c r="M2023" s="81"/>
      <c r="N2023" s="81"/>
      <c r="O2023" s="81"/>
      <c r="P2023" s="81"/>
      <c r="Q2023" s="81"/>
      <c r="R2023" s="81"/>
      <c r="S2023" s="81"/>
      <c r="T2023" s="81"/>
      <c r="U2023" s="81"/>
      <c r="V2023" s="94"/>
      <c r="W2023" s="94"/>
    </row>
    <row r="2024" spans="1:23" ht="21" customHeight="1">
      <c r="A2024">
        <f>Table4[[#This Row],[Column1]]</f>
        <v>0</v>
      </c>
      <c r="B2024">
        <f>Table4[[#This Row],[Column2]]</f>
        <v>0</v>
      </c>
      <c r="C2024" s="81"/>
      <c r="D2024" s="81"/>
      <c r="E2024" s="81"/>
      <c r="F2024" s="81"/>
      <c r="G2024" s="81"/>
      <c r="H2024" s="81"/>
      <c r="I2024" s="81"/>
      <c r="J2024" s="81"/>
      <c r="K2024" s="81"/>
      <c r="L2024" s="81"/>
      <c r="M2024" s="81"/>
      <c r="N2024" s="81"/>
      <c r="O2024" s="81"/>
      <c r="P2024" s="81"/>
      <c r="Q2024" s="81"/>
      <c r="R2024" s="81"/>
      <c r="S2024" s="81"/>
      <c r="T2024" s="81"/>
      <c r="U2024" s="81"/>
      <c r="V2024" s="94"/>
      <c r="W2024" s="94"/>
    </row>
    <row r="2025" spans="1:23" ht="21" customHeight="1">
      <c r="A2025">
        <f>Table4[[#This Row],[Column1]]</f>
        <v>0</v>
      </c>
      <c r="B2025">
        <f>Table4[[#This Row],[Column2]]</f>
        <v>0</v>
      </c>
      <c r="C2025" s="81"/>
      <c r="D2025" s="81"/>
      <c r="E2025" s="81"/>
      <c r="F2025" s="81"/>
      <c r="G2025" s="81"/>
      <c r="H2025" s="81"/>
      <c r="I2025" s="81"/>
      <c r="J2025" s="81"/>
      <c r="K2025" s="81"/>
      <c r="L2025" s="81"/>
      <c r="M2025" s="81"/>
      <c r="N2025" s="81"/>
      <c r="O2025" s="81"/>
      <c r="P2025" s="81"/>
      <c r="Q2025" s="81"/>
      <c r="R2025" s="81"/>
      <c r="S2025" s="81"/>
      <c r="T2025" s="81"/>
      <c r="U2025" s="81"/>
      <c r="V2025" s="94"/>
      <c r="W2025" s="94"/>
    </row>
    <row r="2026" spans="1:23" ht="21" customHeight="1">
      <c r="A2026">
        <f>Table4[[#This Row],[Column1]]</f>
        <v>0</v>
      </c>
      <c r="B2026">
        <f>Table4[[#This Row],[Column2]]</f>
        <v>0</v>
      </c>
      <c r="C2026" s="81"/>
      <c r="D2026" s="81"/>
      <c r="E2026" s="81"/>
      <c r="F2026" s="81"/>
      <c r="G2026" s="81"/>
      <c r="H2026" s="81"/>
      <c r="I2026" s="81"/>
      <c r="J2026" s="81"/>
      <c r="K2026" s="81"/>
      <c r="L2026" s="81"/>
      <c r="M2026" s="81"/>
      <c r="N2026" s="81"/>
      <c r="O2026" s="81"/>
      <c r="P2026" s="81"/>
      <c r="Q2026" s="81"/>
      <c r="R2026" s="81"/>
      <c r="S2026" s="81"/>
      <c r="T2026" s="81"/>
      <c r="U2026" s="81"/>
      <c r="V2026" s="94"/>
      <c r="W2026" s="94"/>
    </row>
    <row r="2027" spans="1:23" ht="21" customHeight="1">
      <c r="A2027">
        <f>Table4[[#This Row],[Column1]]</f>
        <v>0</v>
      </c>
      <c r="B2027">
        <f>Table4[[#This Row],[Column2]]</f>
        <v>0</v>
      </c>
      <c r="C2027" s="81"/>
      <c r="D2027" s="81"/>
      <c r="E2027" s="81"/>
      <c r="F2027" s="81"/>
      <c r="G2027" s="81"/>
      <c r="H2027" s="81"/>
      <c r="I2027" s="81"/>
      <c r="J2027" s="81"/>
      <c r="K2027" s="81"/>
      <c r="L2027" s="81"/>
      <c r="M2027" s="81"/>
      <c r="N2027" s="81"/>
      <c r="O2027" s="81"/>
      <c r="P2027" s="81"/>
      <c r="Q2027" s="81"/>
      <c r="R2027" s="81"/>
      <c r="S2027" s="81"/>
      <c r="T2027" s="81"/>
      <c r="U2027" s="81"/>
      <c r="V2027" s="94"/>
      <c r="W2027" s="94"/>
    </row>
    <row r="2028" spans="1:23" ht="21" customHeight="1">
      <c r="A2028">
        <f>Table4[[#This Row],[Column1]]</f>
        <v>0</v>
      </c>
      <c r="B2028">
        <f>Table4[[#This Row],[Column2]]</f>
        <v>0</v>
      </c>
      <c r="C2028" s="81"/>
      <c r="D2028" s="81"/>
      <c r="E2028" s="81"/>
      <c r="F2028" s="81"/>
      <c r="G2028" s="81"/>
      <c r="H2028" s="81"/>
      <c r="I2028" s="81"/>
      <c r="J2028" s="81"/>
      <c r="K2028" s="81"/>
      <c r="L2028" s="81"/>
      <c r="M2028" s="81"/>
      <c r="N2028" s="81"/>
      <c r="O2028" s="81"/>
      <c r="P2028" s="81"/>
      <c r="Q2028" s="81"/>
      <c r="R2028" s="81"/>
      <c r="S2028" s="81"/>
      <c r="T2028" s="81"/>
      <c r="U2028" s="81"/>
      <c r="V2028" s="94"/>
      <c r="W2028" s="94"/>
    </row>
    <row r="2029" spans="1:23" ht="21" customHeight="1">
      <c r="A2029">
        <f>Table4[[#This Row],[Column1]]</f>
        <v>0</v>
      </c>
      <c r="B2029">
        <f>Table4[[#This Row],[Column2]]</f>
        <v>0</v>
      </c>
      <c r="C2029" s="81"/>
      <c r="D2029" s="81"/>
      <c r="E2029" s="81"/>
      <c r="F2029" s="81"/>
      <c r="G2029" s="81"/>
      <c r="H2029" s="81"/>
      <c r="I2029" s="81"/>
      <c r="J2029" s="81"/>
      <c r="K2029" s="81"/>
      <c r="L2029" s="81"/>
      <c r="M2029" s="81"/>
      <c r="N2029" s="81"/>
      <c r="O2029" s="81"/>
      <c r="P2029" s="81"/>
      <c r="Q2029" s="81"/>
      <c r="R2029" s="81"/>
      <c r="S2029" s="81"/>
      <c r="T2029" s="81"/>
      <c r="U2029" s="81"/>
      <c r="V2029" s="94"/>
      <c r="W2029" s="94"/>
    </row>
    <row r="2030" spans="1:23" ht="21" customHeight="1">
      <c r="A2030">
        <f>Table4[[#This Row],[Column1]]</f>
        <v>0</v>
      </c>
      <c r="B2030">
        <f>Table4[[#This Row],[Column2]]</f>
        <v>0</v>
      </c>
      <c r="C2030" s="81"/>
      <c r="D2030" s="81"/>
      <c r="E2030" s="81"/>
      <c r="F2030" s="81"/>
      <c r="G2030" s="81"/>
      <c r="H2030" s="81"/>
      <c r="I2030" s="81"/>
      <c r="J2030" s="81"/>
      <c r="K2030" s="81"/>
      <c r="L2030" s="81"/>
      <c r="M2030" s="81"/>
      <c r="N2030" s="81"/>
      <c r="O2030" s="81"/>
      <c r="P2030" s="81"/>
      <c r="Q2030" s="81"/>
      <c r="R2030" s="81"/>
      <c r="S2030" s="81"/>
      <c r="T2030" s="81"/>
      <c r="U2030" s="81"/>
      <c r="V2030" s="94"/>
      <c r="W2030" s="94"/>
    </row>
    <row r="2031" spans="1:23" ht="21" customHeight="1">
      <c r="A2031">
        <f>Table4[[#This Row],[Column1]]</f>
        <v>0</v>
      </c>
      <c r="B2031">
        <f>Table4[[#This Row],[Column2]]</f>
        <v>0</v>
      </c>
      <c r="C2031" s="81"/>
      <c r="D2031" s="81"/>
      <c r="E2031" s="81"/>
      <c r="F2031" s="81"/>
      <c r="G2031" s="81"/>
      <c r="H2031" s="81"/>
      <c r="I2031" s="81"/>
      <c r="J2031" s="81"/>
      <c r="K2031" s="81"/>
      <c r="L2031" s="81"/>
      <c r="M2031" s="81"/>
      <c r="N2031" s="81"/>
      <c r="O2031" s="81"/>
      <c r="P2031" s="81"/>
      <c r="Q2031" s="81"/>
      <c r="R2031" s="81"/>
      <c r="S2031" s="81"/>
      <c r="T2031" s="81"/>
      <c r="U2031" s="81"/>
      <c r="V2031" s="94"/>
      <c r="W2031" s="94"/>
    </row>
    <row r="2032" spans="1:23" ht="21" customHeight="1">
      <c r="A2032">
        <f>Table4[[#This Row],[Column1]]</f>
        <v>0</v>
      </c>
      <c r="B2032">
        <f>Table4[[#This Row],[Column2]]</f>
        <v>0</v>
      </c>
      <c r="C2032" s="81"/>
      <c r="D2032" s="81"/>
      <c r="E2032" s="81"/>
      <c r="F2032" s="81"/>
      <c r="G2032" s="81"/>
      <c r="H2032" s="81"/>
      <c r="I2032" s="81"/>
      <c r="J2032" s="81"/>
      <c r="K2032" s="81"/>
      <c r="L2032" s="81"/>
      <c r="M2032" s="81"/>
      <c r="N2032" s="81"/>
      <c r="O2032" s="81"/>
      <c r="P2032" s="81"/>
      <c r="Q2032" s="81"/>
      <c r="R2032" s="81"/>
      <c r="S2032" s="81"/>
      <c r="T2032" s="81"/>
      <c r="U2032" s="81"/>
      <c r="V2032" s="94"/>
      <c r="W2032" s="94"/>
    </row>
    <row r="2033" spans="1:23" ht="21" customHeight="1">
      <c r="A2033">
        <f>Table4[[#This Row],[Column1]]</f>
        <v>0</v>
      </c>
      <c r="B2033">
        <f>Table4[[#This Row],[Column2]]</f>
        <v>0</v>
      </c>
      <c r="C2033" s="81"/>
      <c r="D2033" s="81"/>
      <c r="E2033" s="81"/>
      <c r="F2033" s="81"/>
      <c r="G2033" s="81"/>
      <c r="H2033" s="81"/>
      <c r="I2033" s="81"/>
      <c r="J2033" s="81"/>
      <c r="K2033" s="81"/>
      <c r="L2033" s="81"/>
      <c r="M2033" s="81"/>
      <c r="N2033" s="81"/>
      <c r="O2033" s="81"/>
      <c r="P2033" s="81"/>
      <c r="Q2033" s="81"/>
      <c r="R2033" s="81"/>
      <c r="S2033" s="81"/>
      <c r="T2033" s="81"/>
      <c r="U2033" s="81"/>
      <c r="V2033" s="94"/>
      <c r="W2033" s="94"/>
    </row>
    <row r="2034" spans="1:23" ht="21" customHeight="1">
      <c r="A2034">
        <f>Table4[[#This Row],[Column1]]</f>
        <v>0</v>
      </c>
      <c r="B2034">
        <f>Table4[[#This Row],[Column2]]</f>
        <v>0</v>
      </c>
      <c r="C2034" s="81"/>
      <c r="D2034" s="81"/>
      <c r="E2034" s="81"/>
      <c r="F2034" s="81"/>
      <c r="G2034" s="81"/>
      <c r="H2034" s="81"/>
      <c r="I2034" s="81"/>
      <c r="J2034" s="81"/>
      <c r="K2034" s="81"/>
      <c r="L2034" s="81"/>
      <c r="M2034" s="81"/>
      <c r="N2034" s="81"/>
      <c r="O2034" s="81"/>
      <c r="P2034" s="81"/>
      <c r="Q2034" s="81"/>
      <c r="R2034" s="81"/>
      <c r="S2034" s="81"/>
      <c r="T2034" s="81"/>
      <c r="U2034" s="81"/>
      <c r="V2034" s="94"/>
      <c r="W2034" s="94"/>
    </row>
    <row r="2035" spans="1:23" ht="21" customHeight="1">
      <c r="A2035">
        <f>Table4[[#This Row],[Column1]]</f>
        <v>0</v>
      </c>
      <c r="B2035">
        <f>Table4[[#This Row],[Column2]]</f>
        <v>0</v>
      </c>
      <c r="C2035" s="81"/>
      <c r="D2035" s="81"/>
      <c r="E2035" s="81"/>
      <c r="F2035" s="81"/>
      <c r="G2035" s="81"/>
      <c r="H2035" s="81"/>
      <c r="I2035" s="81"/>
      <c r="J2035" s="81"/>
      <c r="K2035" s="81"/>
      <c r="L2035" s="81"/>
      <c r="M2035" s="81"/>
      <c r="N2035" s="81"/>
      <c r="O2035" s="81"/>
      <c r="P2035" s="81"/>
      <c r="Q2035" s="81"/>
      <c r="R2035" s="81"/>
      <c r="S2035" s="81"/>
      <c r="T2035" s="81"/>
      <c r="U2035" s="81"/>
      <c r="V2035" s="94"/>
      <c r="W2035" s="94"/>
    </row>
    <row r="2036" spans="1:23" ht="21" customHeight="1">
      <c r="A2036">
        <f>Table4[[#This Row],[Column1]]</f>
        <v>0</v>
      </c>
      <c r="B2036">
        <f>Table4[[#This Row],[Column2]]</f>
        <v>0</v>
      </c>
      <c r="C2036" s="81"/>
      <c r="D2036" s="81"/>
      <c r="E2036" s="81"/>
      <c r="F2036" s="81"/>
      <c r="G2036" s="81"/>
      <c r="H2036" s="81"/>
      <c r="I2036" s="81"/>
      <c r="J2036" s="81"/>
      <c r="K2036" s="81"/>
      <c r="L2036" s="81"/>
      <c r="M2036" s="81"/>
      <c r="N2036" s="81"/>
      <c r="O2036" s="81"/>
      <c r="P2036" s="81"/>
      <c r="Q2036" s="81"/>
      <c r="R2036" s="81"/>
      <c r="S2036" s="81"/>
      <c r="T2036" s="81"/>
      <c r="U2036" s="81"/>
      <c r="V2036" s="94"/>
      <c r="W2036" s="94"/>
    </row>
    <row r="2037" spans="1:23" ht="21" customHeight="1">
      <c r="A2037">
        <f>Table4[[#This Row],[Column1]]</f>
        <v>0</v>
      </c>
      <c r="B2037">
        <f>Table4[[#This Row],[Column2]]</f>
        <v>0</v>
      </c>
      <c r="C2037" s="81"/>
      <c r="D2037" s="81"/>
      <c r="E2037" s="81"/>
      <c r="F2037" s="81"/>
      <c r="G2037" s="81"/>
      <c r="H2037" s="81"/>
      <c r="I2037" s="81"/>
      <c r="J2037" s="81"/>
      <c r="K2037" s="81"/>
      <c r="L2037" s="81"/>
      <c r="M2037" s="81"/>
      <c r="N2037" s="81"/>
      <c r="O2037" s="81"/>
      <c r="P2037" s="81"/>
      <c r="Q2037" s="81"/>
      <c r="R2037" s="81"/>
      <c r="S2037" s="81"/>
      <c r="T2037" s="81"/>
      <c r="U2037" s="81"/>
      <c r="V2037" s="94"/>
      <c r="W2037" s="94"/>
    </row>
    <row r="2038" spans="1:23" ht="21" customHeight="1">
      <c r="A2038">
        <f>Table4[[#This Row],[Column1]]</f>
        <v>0</v>
      </c>
      <c r="B2038">
        <f>Table4[[#This Row],[Column2]]</f>
        <v>0</v>
      </c>
      <c r="C2038" s="81"/>
      <c r="D2038" s="81"/>
      <c r="E2038" s="81"/>
      <c r="F2038" s="81"/>
      <c r="G2038" s="81"/>
      <c r="H2038" s="81"/>
      <c r="I2038" s="81"/>
      <c r="J2038" s="81"/>
      <c r="K2038" s="81"/>
      <c r="L2038" s="81"/>
      <c r="M2038" s="81"/>
      <c r="N2038" s="81"/>
      <c r="O2038" s="81"/>
      <c r="P2038" s="81"/>
      <c r="Q2038" s="81"/>
      <c r="R2038" s="81"/>
      <c r="S2038" s="81"/>
      <c r="T2038" s="81"/>
      <c r="U2038" s="81"/>
      <c r="V2038" s="94"/>
      <c r="W2038" s="94"/>
    </row>
    <row r="2039" spans="1:23" ht="21" customHeight="1">
      <c r="A2039">
        <f>Table4[[#This Row],[Column1]]</f>
        <v>0</v>
      </c>
      <c r="B2039">
        <f>Table4[[#This Row],[Column2]]</f>
        <v>0</v>
      </c>
      <c r="C2039" s="81"/>
      <c r="D2039" s="81"/>
      <c r="E2039" s="81"/>
      <c r="F2039" s="81"/>
      <c r="G2039" s="81"/>
      <c r="H2039" s="81"/>
      <c r="I2039" s="81"/>
      <c r="J2039" s="81"/>
      <c r="K2039" s="81"/>
      <c r="L2039" s="81"/>
      <c r="M2039" s="81"/>
      <c r="N2039" s="81"/>
      <c r="O2039" s="81"/>
      <c r="P2039" s="81"/>
      <c r="Q2039" s="81"/>
      <c r="R2039" s="81"/>
      <c r="S2039" s="81"/>
      <c r="T2039" s="81"/>
      <c r="U2039" s="81"/>
      <c r="V2039" s="94"/>
      <c r="W2039" s="94"/>
    </row>
    <row r="2040" spans="1:23" ht="21" customHeight="1">
      <c r="A2040">
        <f>Table4[[#This Row],[Column1]]</f>
        <v>0</v>
      </c>
      <c r="B2040">
        <f>Table4[[#This Row],[Column2]]</f>
        <v>0</v>
      </c>
      <c r="C2040" s="81"/>
      <c r="D2040" s="81"/>
      <c r="E2040" s="81"/>
      <c r="F2040" s="81"/>
      <c r="G2040" s="81"/>
      <c r="H2040" s="81"/>
      <c r="I2040" s="81"/>
      <c r="J2040" s="81"/>
      <c r="K2040" s="81"/>
      <c r="L2040" s="81"/>
      <c r="M2040" s="81"/>
      <c r="N2040" s="81"/>
      <c r="O2040" s="81"/>
      <c r="P2040" s="81"/>
      <c r="Q2040" s="81"/>
      <c r="R2040" s="81"/>
      <c r="S2040" s="81"/>
      <c r="T2040" s="81"/>
      <c r="U2040" s="81"/>
      <c r="V2040" s="94"/>
      <c r="W2040" s="94"/>
    </row>
    <row r="2041" spans="1:23" ht="21" customHeight="1">
      <c r="A2041">
        <f>Table4[[#This Row],[Column1]]</f>
        <v>0</v>
      </c>
      <c r="B2041">
        <f>Table4[[#This Row],[Column2]]</f>
        <v>0</v>
      </c>
      <c r="C2041" s="81"/>
      <c r="D2041" s="81"/>
      <c r="E2041" s="81"/>
      <c r="F2041" s="81"/>
      <c r="G2041" s="81"/>
      <c r="H2041" s="81"/>
      <c r="I2041" s="81"/>
      <c r="J2041" s="81"/>
      <c r="K2041" s="81"/>
      <c r="L2041" s="81"/>
      <c r="M2041" s="81"/>
      <c r="N2041" s="81"/>
      <c r="O2041" s="81"/>
      <c r="P2041" s="81"/>
      <c r="Q2041" s="81"/>
      <c r="R2041" s="81"/>
      <c r="S2041" s="81"/>
      <c r="T2041" s="81"/>
      <c r="U2041" s="81"/>
      <c r="V2041" s="94"/>
      <c r="W2041" s="94"/>
    </row>
    <row r="2042" spans="1:23" ht="21" customHeight="1">
      <c r="A2042">
        <f>Table4[[#This Row],[Column1]]</f>
        <v>0</v>
      </c>
      <c r="B2042">
        <f>Table4[[#This Row],[Column2]]</f>
        <v>0</v>
      </c>
      <c r="C2042" s="81"/>
      <c r="D2042" s="81"/>
      <c r="E2042" s="81"/>
      <c r="F2042" s="81"/>
      <c r="G2042" s="81"/>
      <c r="H2042" s="81"/>
      <c r="I2042" s="81"/>
      <c r="J2042" s="81"/>
      <c r="K2042" s="81"/>
      <c r="L2042" s="81"/>
      <c r="M2042" s="81"/>
      <c r="N2042" s="81"/>
      <c r="O2042" s="81"/>
      <c r="P2042" s="81"/>
      <c r="Q2042" s="81"/>
      <c r="R2042" s="81"/>
      <c r="S2042" s="81"/>
      <c r="T2042" s="81"/>
      <c r="U2042" s="81"/>
      <c r="V2042" s="94"/>
      <c r="W2042" s="94"/>
    </row>
    <row r="2043" spans="1:23" ht="21" customHeight="1">
      <c r="A2043">
        <f>Table4[[#This Row],[Column1]]</f>
        <v>0</v>
      </c>
      <c r="B2043">
        <f>Table4[[#This Row],[Column2]]</f>
        <v>0</v>
      </c>
      <c r="C2043" s="81"/>
      <c r="D2043" s="81"/>
      <c r="E2043" s="81"/>
      <c r="F2043" s="81"/>
      <c r="G2043" s="81"/>
      <c r="H2043" s="81"/>
      <c r="I2043" s="81"/>
      <c r="J2043" s="81"/>
      <c r="K2043" s="81"/>
      <c r="L2043" s="81"/>
      <c r="M2043" s="81"/>
      <c r="N2043" s="81"/>
      <c r="O2043" s="81"/>
      <c r="P2043" s="81"/>
      <c r="Q2043" s="81"/>
      <c r="R2043" s="81"/>
      <c r="S2043" s="81"/>
      <c r="T2043" s="81"/>
      <c r="U2043" s="81"/>
      <c r="V2043" s="94"/>
      <c r="W2043" s="94"/>
    </row>
    <row r="2044" spans="1:23" ht="21" customHeight="1">
      <c r="A2044">
        <f>Table4[[#This Row],[Column1]]</f>
        <v>0</v>
      </c>
      <c r="B2044">
        <f>Table4[[#This Row],[Column2]]</f>
        <v>0</v>
      </c>
      <c r="C2044" s="81"/>
      <c r="D2044" s="81"/>
      <c r="E2044" s="81"/>
      <c r="F2044" s="81"/>
      <c r="G2044" s="81"/>
      <c r="H2044" s="81"/>
      <c r="I2044" s="81"/>
      <c r="J2044" s="81"/>
      <c r="K2044" s="81"/>
      <c r="L2044" s="81"/>
      <c r="M2044" s="81"/>
      <c r="N2044" s="81"/>
      <c r="O2044" s="81"/>
      <c r="P2044" s="81"/>
      <c r="Q2044" s="81"/>
      <c r="R2044" s="81"/>
      <c r="S2044" s="81"/>
      <c r="T2044" s="81"/>
      <c r="U2044" s="81"/>
      <c r="V2044" s="94"/>
      <c r="W2044" s="94"/>
    </row>
    <row r="2045" spans="1:23" ht="21" customHeight="1">
      <c r="A2045">
        <f>Table4[[#This Row],[Column1]]</f>
        <v>0</v>
      </c>
      <c r="B2045">
        <f>Table4[[#This Row],[Column2]]</f>
        <v>0</v>
      </c>
      <c r="C2045" s="81"/>
      <c r="D2045" s="81"/>
      <c r="E2045" s="81"/>
      <c r="F2045" s="81"/>
      <c r="G2045" s="81"/>
      <c r="H2045" s="81"/>
      <c r="I2045" s="81"/>
      <c r="J2045" s="81"/>
      <c r="K2045" s="81"/>
      <c r="L2045" s="81"/>
      <c r="M2045" s="81"/>
      <c r="N2045" s="81"/>
      <c r="O2045" s="81"/>
      <c r="P2045" s="81"/>
      <c r="Q2045" s="81"/>
      <c r="R2045" s="81"/>
      <c r="S2045" s="81"/>
      <c r="T2045" s="81"/>
      <c r="U2045" s="81"/>
      <c r="V2045" s="94"/>
      <c r="W2045" s="94"/>
    </row>
    <row r="2046" spans="1:23" ht="21" customHeight="1">
      <c r="A2046">
        <f>Table4[[#This Row],[Column1]]</f>
        <v>0</v>
      </c>
      <c r="B2046">
        <f>Table4[[#This Row],[Column2]]</f>
        <v>0</v>
      </c>
      <c r="C2046" s="81"/>
      <c r="D2046" s="81"/>
      <c r="E2046" s="81"/>
      <c r="F2046" s="81"/>
      <c r="G2046" s="81"/>
      <c r="H2046" s="81"/>
      <c r="I2046" s="81"/>
      <c r="J2046" s="81"/>
      <c r="K2046" s="81"/>
      <c r="L2046" s="81"/>
      <c r="M2046" s="81"/>
      <c r="N2046" s="81"/>
      <c r="O2046" s="81"/>
      <c r="P2046" s="81"/>
      <c r="Q2046" s="81"/>
      <c r="R2046" s="81"/>
      <c r="S2046" s="81"/>
      <c r="T2046" s="81"/>
      <c r="U2046" s="81"/>
      <c r="V2046" s="94"/>
      <c r="W2046" s="94"/>
    </row>
    <row r="2047" spans="1:23" ht="21" customHeight="1">
      <c r="A2047">
        <f>Table4[[#This Row],[Column1]]</f>
        <v>0</v>
      </c>
      <c r="B2047">
        <f>Table4[[#This Row],[Column2]]</f>
        <v>0</v>
      </c>
      <c r="C2047" s="81"/>
      <c r="D2047" s="81"/>
      <c r="E2047" s="81"/>
      <c r="F2047" s="81"/>
      <c r="G2047" s="81"/>
      <c r="H2047" s="81"/>
      <c r="I2047" s="81"/>
      <c r="J2047" s="81"/>
      <c r="K2047" s="81"/>
      <c r="L2047" s="81"/>
      <c r="M2047" s="81"/>
      <c r="N2047" s="81"/>
      <c r="O2047" s="81"/>
      <c r="P2047" s="81"/>
      <c r="Q2047" s="81"/>
      <c r="R2047" s="81"/>
      <c r="S2047" s="81"/>
      <c r="T2047" s="81"/>
      <c r="U2047" s="81"/>
      <c r="V2047" s="94"/>
      <c r="W2047" s="94"/>
    </row>
    <row r="2048" spans="1:23" ht="21" customHeight="1">
      <c r="A2048">
        <f>Table4[[#This Row],[Column1]]</f>
        <v>0</v>
      </c>
      <c r="B2048">
        <f>Table4[[#This Row],[Column2]]</f>
        <v>0</v>
      </c>
      <c r="C2048" s="81"/>
      <c r="D2048" s="81"/>
      <c r="E2048" s="81"/>
      <c r="F2048" s="81"/>
      <c r="G2048" s="81"/>
      <c r="H2048" s="81"/>
      <c r="I2048" s="81"/>
      <c r="J2048" s="81"/>
      <c r="K2048" s="81"/>
      <c r="L2048" s="81"/>
      <c r="M2048" s="81"/>
      <c r="N2048" s="81"/>
      <c r="O2048" s="81"/>
      <c r="P2048" s="81"/>
      <c r="Q2048" s="81"/>
      <c r="R2048" s="81"/>
      <c r="S2048" s="81"/>
      <c r="T2048" s="81"/>
      <c r="U2048" s="81"/>
      <c r="V2048" s="94"/>
      <c r="W2048" s="94"/>
    </row>
    <row r="2049" spans="1:23" ht="21" customHeight="1">
      <c r="A2049">
        <f>Table4[[#This Row],[Column1]]</f>
        <v>0</v>
      </c>
      <c r="B2049">
        <f>Table4[[#This Row],[Column2]]</f>
        <v>0</v>
      </c>
      <c r="C2049" s="81"/>
      <c r="D2049" s="81"/>
      <c r="E2049" s="81"/>
      <c r="F2049" s="81"/>
      <c r="G2049" s="81"/>
      <c r="H2049" s="81"/>
      <c r="I2049" s="81"/>
      <c r="J2049" s="81"/>
      <c r="K2049" s="81"/>
      <c r="L2049" s="81"/>
      <c r="M2049" s="81"/>
      <c r="N2049" s="81"/>
      <c r="O2049" s="81"/>
      <c r="P2049" s="81"/>
      <c r="Q2049" s="81"/>
      <c r="R2049" s="81"/>
      <c r="S2049" s="81"/>
      <c r="T2049" s="81"/>
      <c r="U2049" s="81"/>
      <c r="V2049" s="94"/>
      <c r="W2049" s="94"/>
    </row>
    <row r="2050" spans="1:23" ht="21" customHeight="1">
      <c r="A2050">
        <f>Table4[[#This Row],[Column1]]</f>
        <v>0</v>
      </c>
      <c r="B2050">
        <f>Table4[[#This Row],[Column2]]</f>
        <v>0</v>
      </c>
      <c r="C2050" s="81"/>
      <c r="D2050" s="81"/>
      <c r="E2050" s="81"/>
      <c r="F2050" s="81"/>
      <c r="G2050" s="81"/>
      <c r="H2050" s="81"/>
      <c r="I2050" s="81"/>
      <c r="J2050" s="81"/>
      <c r="K2050" s="81"/>
      <c r="L2050" s="81"/>
      <c r="M2050" s="81"/>
      <c r="N2050" s="81"/>
      <c r="O2050" s="81"/>
      <c r="P2050" s="81"/>
      <c r="Q2050" s="81"/>
      <c r="R2050" s="81"/>
      <c r="S2050" s="81"/>
      <c r="T2050" s="81"/>
      <c r="U2050" s="81"/>
      <c r="V2050" s="94"/>
      <c r="W2050" s="94"/>
    </row>
    <row r="2051" spans="1:23" ht="21" customHeight="1">
      <c r="A2051">
        <f>Table4[[#This Row],[Column1]]</f>
        <v>0</v>
      </c>
      <c r="B2051">
        <f>Table4[[#This Row],[Column2]]</f>
        <v>0</v>
      </c>
      <c r="C2051" s="81"/>
      <c r="D2051" s="81"/>
      <c r="E2051" s="81"/>
      <c r="F2051" s="81"/>
      <c r="G2051" s="81"/>
      <c r="H2051" s="81"/>
      <c r="I2051" s="81"/>
      <c r="J2051" s="81"/>
      <c r="K2051" s="81"/>
      <c r="L2051" s="81"/>
      <c r="M2051" s="81"/>
      <c r="N2051" s="81"/>
      <c r="O2051" s="81"/>
      <c r="P2051" s="81"/>
      <c r="Q2051" s="81"/>
      <c r="R2051" s="81"/>
      <c r="S2051" s="81"/>
      <c r="T2051" s="81"/>
      <c r="U2051" s="81"/>
      <c r="V2051" s="94"/>
      <c r="W2051" s="94"/>
    </row>
    <row r="2052" spans="1:23" ht="21" customHeight="1">
      <c r="A2052">
        <f>Table4[[#This Row],[Column1]]</f>
        <v>0</v>
      </c>
      <c r="B2052">
        <f>Table4[[#This Row],[Column2]]</f>
        <v>0</v>
      </c>
      <c r="C2052" s="81"/>
      <c r="D2052" s="81"/>
      <c r="E2052" s="81"/>
      <c r="F2052" s="81"/>
      <c r="G2052" s="81"/>
      <c r="H2052" s="81"/>
      <c r="I2052" s="81"/>
      <c r="J2052" s="81"/>
      <c r="K2052" s="81"/>
      <c r="L2052" s="81"/>
      <c r="M2052" s="81"/>
      <c r="N2052" s="81"/>
      <c r="O2052" s="81"/>
      <c r="P2052" s="81"/>
      <c r="Q2052" s="81"/>
      <c r="R2052" s="81"/>
      <c r="S2052" s="81"/>
      <c r="T2052" s="81"/>
      <c r="U2052" s="81"/>
      <c r="V2052" s="94"/>
      <c r="W2052" s="94"/>
    </row>
    <row r="2053" spans="1:23" ht="21" customHeight="1">
      <c r="A2053">
        <f>Table4[[#This Row],[Column1]]</f>
        <v>0</v>
      </c>
      <c r="B2053">
        <f>Table4[[#This Row],[Column2]]</f>
        <v>0</v>
      </c>
      <c r="C2053" s="81"/>
      <c r="D2053" s="81"/>
      <c r="E2053" s="81"/>
      <c r="F2053" s="81"/>
      <c r="G2053" s="81"/>
      <c r="H2053" s="81"/>
      <c r="I2053" s="81"/>
      <c r="J2053" s="81"/>
      <c r="K2053" s="81"/>
      <c r="L2053" s="81"/>
      <c r="M2053" s="81"/>
      <c r="N2053" s="81"/>
      <c r="O2053" s="81"/>
      <c r="P2053" s="81"/>
      <c r="Q2053" s="81"/>
      <c r="R2053" s="81"/>
      <c r="S2053" s="81"/>
      <c r="T2053" s="81"/>
      <c r="U2053" s="81"/>
      <c r="V2053" s="94"/>
      <c r="W2053" s="94"/>
    </row>
    <row r="2054" spans="1:23" ht="21" customHeight="1">
      <c r="A2054">
        <f>Table4[[#This Row],[Column1]]</f>
        <v>0</v>
      </c>
      <c r="B2054">
        <f>Table4[[#This Row],[Column2]]</f>
        <v>0</v>
      </c>
      <c r="C2054" s="81"/>
      <c r="D2054" s="81"/>
      <c r="E2054" s="81"/>
      <c r="F2054" s="81"/>
      <c r="G2054" s="81"/>
      <c r="H2054" s="81"/>
      <c r="I2054" s="81"/>
      <c r="J2054" s="81"/>
      <c r="K2054" s="81"/>
      <c r="L2054" s="81"/>
      <c r="M2054" s="81"/>
      <c r="N2054" s="81"/>
      <c r="O2054" s="81"/>
      <c r="P2054" s="81"/>
      <c r="Q2054" s="81"/>
      <c r="R2054" s="81"/>
      <c r="S2054" s="81"/>
      <c r="T2054" s="81"/>
      <c r="U2054" s="81"/>
      <c r="V2054" s="94"/>
      <c r="W2054" s="94"/>
    </row>
    <row r="2055" spans="1:23" ht="21" customHeight="1">
      <c r="A2055">
        <f>Table4[[#This Row],[Column1]]</f>
        <v>0</v>
      </c>
      <c r="B2055">
        <f>Table4[[#This Row],[Column2]]</f>
        <v>0</v>
      </c>
      <c r="C2055" s="81"/>
      <c r="D2055" s="81"/>
      <c r="E2055" s="81"/>
      <c r="F2055" s="81"/>
      <c r="G2055" s="81"/>
      <c r="H2055" s="81"/>
      <c r="I2055" s="81"/>
      <c r="J2055" s="81"/>
      <c r="K2055" s="81"/>
      <c r="L2055" s="81"/>
      <c r="M2055" s="81"/>
      <c r="N2055" s="81"/>
      <c r="O2055" s="81"/>
      <c r="P2055" s="81"/>
      <c r="Q2055" s="81"/>
      <c r="R2055" s="81"/>
      <c r="S2055" s="81"/>
      <c r="T2055" s="81"/>
      <c r="U2055" s="81"/>
      <c r="V2055" s="94"/>
      <c r="W2055" s="94"/>
    </row>
    <row r="2056" spans="1:23" ht="21" customHeight="1">
      <c r="A2056">
        <f>Table4[[#This Row],[Column1]]</f>
        <v>0</v>
      </c>
      <c r="B2056">
        <f>Table4[[#This Row],[Column2]]</f>
        <v>0</v>
      </c>
      <c r="C2056" s="81"/>
      <c r="D2056" s="81"/>
      <c r="E2056" s="81"/>
      <c r="F2056" s="81"/>
      <c r="G2056" s="81"/>
      <c r="H2056" s="81"/>
      <c r="I2056" s="81"/>
      <c r="J2056" s="81"/>
      <c r="K2056" s="81"/>
      <c r="L2056" s="81"/>
      <c r="M2056" s="81"/>
      <c r="N2056" s="81"/>
      <c r="O2056" s="81"/>
      <c r="P2056" s="81"/>
      <c r="Q2056" s="81"/>
      <c r="R2056" s="81"/>
      <c r="S2056" s="81"/>
      <c r="T2056" s="81"/>
      <c r="U2056" s="81"/>
      <c r="V2056" s="94"/>
      <c r="W2056" s="94"/>
    </row>
    <row r="2057" spans="1:23" ht="21" customHeight="1">
      <c r="A2057">
        <f>Table4[[#This Row],[Column1]]</f>
        <v>0</v>
      </c>
      <c r="B2057">
        <f>Table4[[#This Row],[Column2]]</f>
        <v>0</v>
      </c>
      <c r="C2057" s="81"/>
      <c r="D2057" s="81"/>
      <c r="E2057" s="81"/>
      <c r="F2057" s="81"/>
      <c r="G2057" s="81"/>
      <c r="H2057" s="81"/>
      <c r="I2057" s="81"/>
      <c r="J2057" s="81"/>
      <c r="K2057" s="81"/>
      <c r="L2057" s="81"/>
      <c r="M2057" s="81"/>
      <c r="N2057" s="81"/>
      <c r="O2057" s="81"/>
      <c r="P2057" s="81"/>
      <c r="Q2057" s="81"/>
      <c r="R2057" s="81"/>
      <c r="S2057" s="81"/>
      <c r="T2057" s="81"/>
      <c r="U2057" s="81"/>
      <c r="V2057" s="94"/>
      <c r="W2057" s="94"/>
    </row>
    <row r="2058" spans="1:23" ht="21" customHeight="1">
      <c r="A2058">
        <f>Table4[[#This Row],[Column1]]</f>
        <v>0</v>
      </c>
      <c r="B2058">
        <f>Table4[[#This Row],[Column2]]</f>
        <v>0</v>
      </c>
      <c r="C2058" s="81"/>
      <c r="D2058" s="81"/>
      <c r="E2058" s="81"/>
      <c r="F2058" s="81"/>
      <c r="G2058" s="81"/>
      <c r="H2058" s="81"/>
      <c r="I2058" s="81"/>
      <c r="J2058" s="81"/>
      <c r="K2058" s="81"/>
      <c r="L2058" s="81"/>
      <c r="M2058" s="81"/>
      <c r="N2058" s="81"/>
      <c r="O2058" s="81"/>
      <c r="P2058" s="81"/>
      <c r="Q2058" s="81"/>
      <c r="R2058" s="81"/>
      <c r="S2058" s="81"/>
      <c r="T2058" s="81"/>
      <c r="U2058" s="81"/>
      <c r="V2058" s="94"/>
      <c r="W2058" s="94"/>
    </row>
    <row r="2059" spans="1:23" ht="21" customHeight="1">
      <c r="A2059">
        <f>Table4[[#This Row],[Column1]]</f>
        <v>0</v>
      </c>
      <c r="B2059">
        <f>Table4[[#This Row],[Column2]]</f>
        <v>0</v>
      </c>
      <c r="C2059" s="81"/>
      <c r="D2059" s="81"/>
      <c r="E2059" s="81"/>
      <c r="F2059" s="81"/>
      <c r="G2059" s="81"/>
      <c r="H2059" s="81"/>
      <c r="I2059" s="81"/>
      <c r="J2059" s="81"/>
      <c r="K2059" s="81"/>
      <c r="L2059" s="81"/>
      <c r="M2059" s="81"/>
      <c r="N2059" s="81"/>
      <c r="O2059" s="81"/>
      <c r="P2059" s="81"/>
      <c r="Q2059" s="81"/>
      <c r="R2059" s="81"/>
      <c r="S2059" s="81"/>
      <c r="T2059" s="81"/>
      <c r="U2059" s="81"/>
      <c r="V2059" s="94"/>
      <c r="W2059" s="94"/>
    </row>
    <row r="2060" spans="1:23" ht="21" customHeight="1">
      <c r="A2060">
        <f>Table4[[#This Row],[Column1]]</f>
        <v>0</v>
      </c>
      <c r="B2060">
        <f>Table4[[#This Row],[Column2]]</f>
        <v>0</v>
      </c>
      <c r="C2060" s="81"/>
      <c r="D2060" s="81"/>
      <c r="E2060" s="81"/>
      <c r="F2060" s="81"/>
      <c r="G2060" s="81"/>
      <c r="H2060" s="81"/>
      <c r="I2060" s="81"/>
      <c r="J2060" s="81"/>
      <c r="K2060" s="81"/>
      <c r="L2060" s="81"/>
      <c r="M2060" s="81"/>
      <c r="N2060" s="81"/>
      <c r="O2060" s="81"/>
      <c r="P2060" s="81"/>
      <c r="Q2060" s="81"/>
      <c r="R2060" s="81"/>
      <c r="S2060" s="81"/>
      <c r="T2060" s="81"/>
      <c r="U2060" s="81"/>
      <c r="V2060" s="94"/>
      <c r="W2060" s="94"/>
    </row>
    <row r="2061" spans="1:23" ht="21" customHeight="1">
      <c r="A2061">
        <f>Table4[[#This Row],[Column1]]</f>
        <v>0</v>
      </c>
      <c r="B2061">
        <f>Table4[[#This Row],[Column2]]</f>
        <v>0</v>
      </c>
      <c r="C2061" s="81"/>
      <c r="D2061" s="81"/>
      <c r="E2061" s="81"/>
      <c r="F2061" s="81"/>
      <c r="G2061" s="81"/>
      <c r="H2061" s="81"/>
      <c r="I2061" s="81"/>
      <c r="J2061" s="81"/>
      <c r="K2061" s="81"/>
      <c r="L2061" s="81"/>
      <c r="M2061" s="81"/>
      <c r="N2061" s="81"/>
      <c r="O2061" s="81"/>
      <c r="P2061" s="81"/>
      <c r="Q2061" s="81"/>
      <c r="R2061" s="81"/>
      <c r="S2061" s="81"/>
      <c r="T2061" s="81"/>
      <c r="U2061" s="81"/>
      <c r="V2061" s="94"/>
      <c r="W2061" s="94"/>
    </row>
    <row r="2062" spans="1:23" ht="21" customHeight="1">
      <c r="A2062">
        <f>Table4[[#This Row],[Column1]]</f>
        <v>0</v>
      </c>
      <c r="B2062">
        <f>Table4[[#This Row],[Column2]]</f>
        <v>0</v>
      </c>
      <c r="C2062" s="81"/>
      <c r="D2062" s="81"/>
      <c r="E2062" s="81"/>
      <c r="F2062" s="81"/>
      <c r="G2062" s="81"/>
      <c r="H2062" s="81"/>
      <c r="I2062" s="81"/>
      <c r="J2062" s="81"/>
      <c r="K2062" s="81"/>
      <c r="L2062" s="81"/>
      <c r="M2062" s="81"/>
      <c r="N2062" s="81"/>
      <c r="O2062" s="81"/>
      <c r="P2062" s="81"/>
      <c r="Q2062" s="81"/>
      <c r="R2062" s="81"/>
      <c r="S2062" s="81"/>
      <c r="T2062" s="81"/>
      <c r="U2062" s="81"/>
      <c r="V2062" s="94"/>
      <c r="W2062" s="94"/>
    </row>
    <row r="2063" spans="1:23" ht="21" customHeight="1">
      <c r="A2063">
        <f>Table4[[#This Row],[Column1]]</f>
        <v>0</v>
      </c>
      <c r="B2063">
        <f>Table4[[#This Row],[Column2]]</f>
        <v>0</v>
      </c>
      <c r="C2063" s="81"/>
      <c r="D2063" s="81"/>
      <c r="E2063" s="81"/>
      <c r="F2063" s="81"/>
      <c r="G2063" s="81"/>
      <c r="H2063" s="81"/>
      <c r="I2063" s="81"/>
      <c r="J2063" s="81"/>
      <c r="K2063" s="81"/>
      <c r="L2063" s="81"/>
      <c r="M2063" s="81"/>
      <c r="N2063" s="81"/>
      <c r="O2063" s="81"/>
      <c r="P2063" s="81"/>
      <c r="Q2063" s="81"/>
      <c r="R2063" s="81"/>
      <c r="S2063" s="81"/>
      <c r="T2063" s="81"/>
      <c r="U2063" s="81"/>
      <c r="V2063" s="94"/>
      <c r="W2063" s="94"/>
    </row>
    <row r="2064" spans="1:23" ht="21" customHeight="1">
      <c r="A2064">
        <f>Table4[[#This Row],[Column1]]</f>
        <v>0</v>
      </c>
      <c r="B2064">
        <f>Table4[[#This Row],[Column2]]</f>
        <v>0</v>
      </c>
      <c r="C2064" s="81"/>
      <c r="D2064" s="81"/>
      <c r="E2064" s="81"/>
      <c r="F2064" s="81"/>
      <c r="G2064" s="81"/>
      <c r="H2064" s="81"/>
      <c r="I2064" s="81"/>
      <c r="J2064" s="81"/>
      <c r="K2064" s="81"/>
      <c r="L2064" s="81"/>
      <c r="M2064" s="81"/>
      <c r="N2064" s="81"/>
      <c r="O2064" s="81"/>
      <c r="P2064" s="81"/>
      <c r="Q2064" s="81"/>
      <c r="R2064" s="81"/>
      <c r="S2064" s="81"/>
      <c r="T2064" s="81"/>
      <c r="U2064" s="81"/>
      <c r="V2064" s="94"/>
      <c r="W2064" s="94"/>
    </row>
    <row r="2065" spans="1:23" ht="21" customHeight="1">
      <c r="A2065">
        <f>Table4[[#This Row],[Column1]]</f>
        <v>0</v>
      </c>
      <c r="B2065">
        <f>Table4[[#This Row],[Column2]]</f>
        <v>0</v>
      </c>
      <c r="C2065" s="81"/>
      <c r="D2065" s="81"/>
      <c r="E2065" s="81"/>
      <c r="F2065" s="81"/>
      <c r="G2065" s="81"/>
      <c r="H2065" s="81"/>
      <c r="I2065" s="81"/>
      <c r="J2065" s="81"/>
      <c r="K2065" s="81"/>
      <c r="L2065" s="81"/>
      <c r="M2065" s="81"/>
      <c r="N2065" s="81"/>
      <c r="O2065" s="81"/>
      <c r="P2065" s="81"/>
      <c r="Q2065" s="81"/>
      <c r="R2065" s="81"/>
      <c r="S2065" s="81"/>
      <c r="T2065" s="81"/>
      <c r="U2065" s="81"/>
      <c r="V2065" s="94"/>
      <c r="W2065" s="94"/>
    </row>
    <row r="2066" spans="1:23" ht="21" customHeight="1">
      <c r="A2066">
        <f>Table4[[#This Row],[Column1]]</f>
        <v>0</v>
      </c>
      <c r="B2066">
        <f>Table4[[#This Row],[Column2]]</f>
        <v>0</v>
      </c>
      <c r="C2066" s="81"/>
      <c r="D2066" s="81"/>
      <c r="E2066" s="81"/>
      <c r="F2066" s="81"/>
      <c r="G2066" s="81"/>
      <c r="H2066" s="81"/>
      <c r="I2066" s="81"/>
      <c r="J2066" s="81"/>
      <c r="K2066" s="81"/>
      <c r="L2066" s="81"/>
      <c r="M2066" s="81"/>
      <c r="N2066" s="81"/>
      <c r="O2066" s="81"/>
      <c r="P2066" s="81"/>
      <c r="Q2066" s="81"/>
      <c r="R2066" s="81"/>
      <c r="S2066" s="81"/>
      <c r="T2066" s="81"/>
      <c r="U2066" s="81"/>
      <c r="V2066" s="94"/>
      <c r="W2066" s="94"/>
    </row>
    <row r="2067" spans="1:23" ht="21" customHeight="1">
      <c r="A2067">
        <f>Table4[[#This Row],[Column1]]</f>
        <v>0</v>
      </c>
      <c r="B2067">
        <f>Table4[[#This Row],[Column2]]</f>
        <v>0</v>
      </c>
      <c r="C2067" s="81"/>
      <c r="D2067" s="81"/>
      <c r="E2067" s="81"/>
      <c r="F2067" s="81"/>
      <c r="G2067" s="81"/>
      <c r="H2067" s="81"/>
      <c r="I2067" s="81"/>
      <c r="J2067" s="81"/>
      <c r="K2067" s="81"/>
      <c r="L2067" s="81"/>
      <c r="M2067" s="81"/>
      <c r="N2067" s="81"/>
      <c r="O2067" s="81"/>
      <c r="P2067" s="81"/>
      <c r="Q2067" s="81"/>
      <c r="R2067" s="81"/>
      <c r="S2067" s="81"/>
      <c r="T2067" s="81"/>
      <c r="U2067" s="81"/>
      <c r="V2067" s="94"/>
      <c r="W2067" s="94"/>
    </row>
    <row r="2068" spans="1:23" ht="21" customHeight="1">
      <c r="A2068">
        <f>Table4[[#This Row],[Column1]]</f>
        <v>0</v>
      </c>
      <c r="B2068">
        <f>Table4[[#This Row],[Column2]]</f>
        <v>0</v>
      </c>
      <c r="C2068" s="81"/>
      <c r="D2068" s="81"/>
      <c r="E2068" s="81"/>
      <c r="F2068" s="81"/>
      <c r="G2068" s="81"/>
      <c r="H2068" s="81"/>
      <c r="I2068" s="81"/>
      <c r="J2068" s="81"/>
      <c r="K2068" s="81"/>
      <c r="L2068" s="81"/>
      <c r="M2068" s="81"/>
      <c r="N2068" s="81"/>
      <c r="O2068" s="81"/>
      <c r="P2068" s="81"/>
      <c r="Q2068" s="81"/>
      <c r="R2068" s="81"/>
      <c r="S2068" s="81"/>
      <c r="T2068" s="81"/>
      <c r="U2068" s="81"/>
      <c r="V2068" s="94"/>
      <c r="W2068" s="94"/>
    </row>
    <row r="2069" spans="1:23" ht="21" customHeight="1">
      <c r="A2069">
        <f>Table4[[#This Row],[Column1]]</f>
        <v>0</v>
      </c>
      <c r="B2069">
        <f>Table4[[#This Row],[Column2]]</f>
        <v>0</v>
      </c>
      <c r="C2069" s="81"/>
      <c r="D2069" s="81"/>
      <c r="E2069" s="81"/>
      <c r="F2069" s="81"/>
      <c r="G2069" s="81"/>
      <c r="H2069" s="81"/>
      <c r="I2069" s="81"/>
      <c r="J2069" s="81"/>
      <c r="K2069" s="81"/>
      <c r="L2069" s="81"/>
      <c r="M2069" s="81"/>
      <c r="N2069" s="81"/>
      <c r="O2069" s="81"/>
      <c r="P2069" s="81"/>
      <c r="Q2069" s="81"/>
      <c r="R2069" s="81"/>
      <c r="S2069" s="81"/>
      <c r="T2069" s="81"/>
      <c r="U2069" s="81"/>
      <c r="V2069" s="94"/>
      <c r="W2069" s="94"/>
    </row>
    <row r="2070" spans="1:23" ht="21" customHeight="1">
      <c r="A2070">
        <f>Table4[[#This Row],[Column1]]</f>
        <v>0</v>
      </c>
      <c r="B2070">
        <f>Table4[[#This Row],[Column2]]</f>
        <v>0</v>
      </c>
      <c r="C2070" s="81"/>
      <c r="D2070" s="81"/>
      <c r="E2070" s="81"/>
      <c r="F2070" s="81"/>
      <c r="G2070" s="81"/>
      <c r="H2070" s="81"/>
      <c r="I2070" s="81"/>
      <c r="J2070" s="81"/>
      <c r="K2070" s="81"/>
      <c r="L2070" s="81"/>
      <c r="M2070" s="81"/>
      <c r="N2070" s="81"/>
      <c r="O2070" s="81"/>
      <c r="P2070" s="81"/>
      <c r="Q2070" s="81"/>
      <c r="R2070" s="81"/>
      <c r="S2070" s="81"/>
      <c r="T2070" s="81"/>
      <c r="U2070" s="81"/>
      <c r="V2070" s="94"/>
      <c r="W2070" s="94"/>
    </row>
    <row r="2071" spans="1:23" ht="21" customHeight="1">
      <c r="A2071">
        <f>Table4[[#This Row],[Column1]]</f>
        <v>0</v>
      </c>
      <c r="B2071">
        <f>Table4[[#This Row],[Column2]]</f>
        <v>0</v>
      </c>
      <c r="C2071" s="81"/>
      <c r="D2071" s="81"/>
      <c r="E2071" s="81"/>
      <c r="F2071" s="81"/>
      <c r="G2071" s="81"/>
      <c r="H2071" s="81"/>
      <c r="I2071" s="81"/>
      <c r="J2071" s="81"/>
      <c r="K2071" s="81"/>
      <c r="L2071" s="81"/>
      <c r="M2071" s="81"/>
      <c r="N2071" s="81"/>
      <c r="O2071" s="81"/>
      <c r="P2071" s="81"/>
      <c r="Q2071" s="81"/>
      <c r="R2071" s="81"/>
      <c r="S2071" s="81"/>
      <c r="T2071" s="81"/>
      <c r="U2071" s="81"/>
      <c r="V2071" s="94"/>
      <c r="W2071" s="94"/>
    </row>
    <row r="2072" spans="1:23" ht="21" customHeight="1">
      <c r="A2072">
        <f>Table4[[#This Row],[Column1]]</f>
        <v>0</v>
      </c>
      <c r="B2072">
        <f>Table4[[#This Row],[Column2]]</f>
        <v>0</v>
      </c>
      <c r="C2072" s="81"/>
      <c r="D2072" s="81"/>
      <c r="E2072" s="81"/>
      <c r="F2072" s="81"/>
      <c r="G2072" s="81"/>
      <c r="H2072" s="81"/>
      <c r="I2072" s="81"/>
      <c r="J2072" s="81"/>
      <c r="K2072" s="81"/>
      <c r="L2072" s="81"/>
      <c r="M2072" s="81"/>
      <c r="N2072" s="81"/>
      <c r="O2072" s="81"/>
      <c r="P2072" s="81"/>
      <c r="Q2072" s="81"/>
      <c r="R2072" s="81"/>
      <c r="S2072" s="81"/>
      <c r="T2072" s="81"/>
      <c r="U2072" s="81"/>
      <c r="V2072" s="94"/>
      <c r="W2072" s="94"/>
    </row>
    <row r="2073" spans="1:23" ht="21" customHeight="1">
      <c r="A2073">
        <f>Table4[[#This Row],[Column1]]</f>
        <v>0</v>
      </c>
      <c r="B2073">
        <f>Table4[[#This Row],[Column2]]</f>
        <v>0</v>
      </c>
      <c r="C2073" s="81"/>
      <c r="D2073" s="81"/>
      <c r="E2073" s="81"/>
      <c r="F2073" s="81"/>
      <c r="G2073" s="81"/>
      <c r="H2073" s="81"/>
      <c r="I2073" s="81"/>
      <c r="J2073" s="81"/>
      <c r="K2073" s="81"/>
      <c r="L2073" s="81"/>
      <c r="M2073" s="81"/>
      <c r="N2073" s="81"/>
      <c r="O2073" s="81"/>
      <c r="P2073" s="81"/>
      <c r="Q2073" s="81"/>
      <c r="R2073" s="81"/>
      <c r="S2073" s="81"/>
      <c r="T2073" s="81"/>
      <c r="U2073" s="81"/>
      <c r="V2073" s="94"/>
      <c r="W2073" s="94"/>
    </row>
    <row r="2074" spans="1:23" ht="21" customHeight="1">
      <c r="A2074">
        <f>Table4[[#This Row],[Column1]]</f>
        <v>0</v>
      </c>
      <c r="B2074">
        <f>Table4[[#This Row],[Column2]]</f>
        <v>0</v>
      </c>
      <c r="C2074" s="81"/>
      <c r="D2074" s="81"/>
      <c r="E2074" s="81"/>
      <c r="F2074" s="81"/>
      <c r="G2074" s="81"/>
      <c r="H2074" s="81"/>
      <c r="I2074" s="81"/>
      <c r="J2074" s="81"/>
      <c r="K2074" s="81"/>
      <c r="L2074" s="81"/>
      <c r="M2074" s="81"/>
      <c r="N2074" s="81"/>
      <c r="O2074" s="81"/>
      <c r="P2074" s="81"/>
      <c r="Q2074" s="81"/>
      <c r="R2074" s="81"/>
      <c r="S2074" s="81"/>
      <c r="T2074" s="81"/>
      <c r="U2074" s="81"/>
      <c r="V2074" s="94"/>
      <c r="W2074" s="94"/>
    </row>
    <row r="2075" spans="1:23" ht="21" customHeight="1">
      <c r="A2075">
        <f>Table4[[#This Row],[Column1]]</f>
        <v>0</v>
      </c>
      <c r="B2075">
        <f>Table4[[#This Row],[Column2]]</f>
        <v>0</v>
      </c>
      <c r="C2075" s="81"/>
      <c r="D2075" s="81"/>
      <c r="E2075" s="81"/>
      <c r="F2075" s="81"/>
      <c r="G2075" s="81"/>
      <c r="H2075" s="81"/>
      <c r="I2075" s="81"/>
      <c r="J2075" s="81"/>
      <c r="K2075" s="81"/>
      <c r="L2075" s="81"/>
      <c r="M2075" s="81"/>
      <c r="N2075" s="81"/>
      <c r="O2075" s="81"/>
      <c r="P2075" s="81"/>
      <c r="Q2075" s="81"/>
      <c r="R2075" s="81"/>
      <c r="S2075" s="81"/>
      <c r="T2075" s="81"/>
      <c r="U2075" s="81"/>
      <c r="V2075" s="94"/>
      <c r="W2075" s="94"/>
    </row>
    <row r="2076" spans="1:23" ht="21" customHeight="1">
      <c r="A2076">
        <f>Table4[[#This Row],[Column1]]</f>
        <v>0</v>
      </c>
      <c r="B2076">
        <f>Table4[[#This Row],[Column2]]</f>
        <v>0</v>
      </c>
      <c r="C2076" s="81"/>
      <c r="D2076" s="81"/>
      <c r="E2076" s="81"/>
      <c r="F2076" s="81"/>
      <c r="G2076" s="81"/>
      <c r="H2076" s="81"/>
      <c r="I2076" s="81"/>
      <c r="J2076" s="81"/>
      <c r="K2076" s="81"/>
      <c r="L2076" s="81"/>
      <c r="M2076" s="81"/>
      <c r="N2076" s="81"/>
      <c r="O2076" s="81"/>
      <c r="P2076" s="81"/>
      <c r="Q2076" s="81"/>
      <c r="R2076" s="81"/>
      <c r="S2076" s="81"/>
      <c r="T2076" s="81"/>
      <c r="U2076" s="81"/>
      <c r="V2076" s="94"/>
      <c r="W2076" s="94"/>
    </row>
    <row r="2077" spans="1:23" ht="21" customHeight="1">
      <c r="A2077">
        <f>Table4[[#This Row],[Column1]]</f>
        <v>0</v>
      </c>
      <c r="B2077">
        <f>Table4[[#This Row],[Column2]]</f>
        <v>0</v>
      </c>
      <c r="C2077" s="81"/>
      <c r="D2077" s="81"/>
      <c r="E2077" s="81"/>
      <c r="F2077" s="81"/>
      <c r="G2077" s="81"/>
      <c r="H2077" s="81"/>
      <c r="I2077" s="81"/>
      <c r="J2077" s="81"/>
      <c r="K2077" s="81"/>
      <c r="L2077" s="81"/>
      <c r="M2077" s="81"/>
      <c r="N2077" s="81"/>
      <c r="O2077" s="81"/>
      <c r="P2077" s="81"/>
      <c r="Q2077" s="81"/>
      <c r="R2077" s="81"/>
      <c r="S2077" s="81"/>
      <c r="T2077" s="81"/>
      <c r="U2077" s="81"/>
      <c r="V2077" s="94"/>
      <c r="W2077" s="94"/>
    </row>
    <row r="2078" spans="1:23" ht="21" customHeight="1">
      <c r="A2078">
        <f>Table4[[#This Row],[Column1]]</f>
        <v>0</v>
      </c>
      <c r="B2078">
        <f>Table4[[#This Row],[Column2]]</f>
        <v>0</v>
      </c>
      <c r="C2078" s="81"/>
      <c r="D2078" s="81"/>
      <c r="E2078" s="81"/>
      <c r="F2078" s="81"/>
      <c r="G2078" s="81"/>
      <c r="H2078" s="81"/>
      <c r="I2078" s="81"/>
      <c r="J2078" s="81"/>
      <c r="K2078" s="81"/>
      <c r="L2078" s="81"/>
      <c r="M2078" s="81"/>
      <c r="N2078" s="81"/>
      <c r="O2078" s="81"/>
      <c r="P2078" s="81"/>
      <c r="Q2078" s="81"/>
      <c r="R2078" s="81"/>
      <c r="S2078" s="81"/>
      <c r="T2078" s="81"/>
      <c r="U2078" s="81"/>
      <c r="V2078" s="94"/>
      <c r="W2078" s="94"/>
    </row>
    <row r="2079" spans="1:23" ht="21" customHeight="1">
      <c r="A2079">
        <f>Table4[[#This Row],[Column1]]</f>
        <v>0</v>
      </c>
      <c r="B2079">
        <f>Table4[[#This Row],[Column2]]</f>
        <v>0</v>
      </c>
      <c r="C2079" s="81"/>
      <c r="D2079" s="81"/>
      <c r="E2079" s="81"/>
      <c r="F2079" s="81"/>
      <c r="G2079" s="81"/>
      <c r="H2079" s="81"/>
      <c r="I2079" s="81"/>
      <c r="J2079" s="81"/>
      <c r="K2079" s="81"/>
      <c r="L2079" s="81"/>
      <c r="M2079" s="81"/>
      <c r="N2079" s="81"/>
      <c r="O2079" s="81"/>
      <c r="P2079" s="81"/>
      <c r="Q2079" s="81"/>
      <c r="R2079" s="81"/>
      <c r="S2079" s="81"/>
      <c r="T2079" s="81"/>
      <c r="U2079" s="81"/>
      <c r="V2079" s="94"/>
      <c r="W2079" s="94"/>
    </row>
    <row r="2080" spans="1:23" ht="21" customHeight="1">
      <c r="A2080">
        <f>Table4[[#This Row],[Column1]]</f>
        <v>0</v>
      </c>
      <c r="B2080">
        <f>Table4[[#This Row],[Column2]]</f>
        <v>0</v>
      </c>
      <c r="C2080" s="81"/>
      <c r="D2080" s="81"/>
      <c r="E2080" s="81"/>
      <c r="F2080" s="81"/>
      <c r="G2080" s="81"/>
      <c r="H2080" s="81"/>
      <c r="I2080" s="81"/>
      <c r="J2080" s="81"/>
      <c r="K2080" s="81"/>
      <c r="L2080" s="81"/>
      <c r="M2080" s="81"/>
      <c r="N2080" s="81"/>
      <c r="O2080" s="81"/>
      <c r="P2080" s="81"/>
      <c r="Q2080" s="81"/>
      <c r="R2080" s="81"/>
      <c r="S2080" s="81"/>
      <c r="T2080" s="81"/>
      <c r="U2080" s="81"/>
      <c r="V2080" s="94"/>
      <c r="W2080" s="94"/>
    </row>
    <row r="2081" spans="1:23" ht="21" customHeight="1">
      <c r="A2081">
        <f>Table4[[#This Row],[Column1]]</f>
        <v>0</v>
      </c>
      <c r="B2081">
        <f>Table4[[#This Row],[Column2]]</f>
        <v>0</v>
      </c>
      <c r="C2081" s="81"/>
      <c r="D2081" s="81"/>
      <c r="E2081" s="81"/>
      <c r="F2081" s="81"/>
      <c r="G2081" s="81"/>
      <c r="H2081" s="81"/>
      <c r="I2081" s="81"/>
      <c r="J2081" s="81"/>
      <c r="K2081" s="81"/>
      <c r="L2081" s="81"/>
      <c r="M2081" s="81"/>
      <c r="N2081" s="81"/>
      <c r="O2081" s="81"/>
      <c r="P2081" s="81"/>
      <c r="Q2081" s="81"/>
      <c r="R2081" s="81"/>
      <c r="S2081" s="81"/>
      <c r="T2081" s="81"/>
      <c r="U2081" s="81"/>
      <c r="V2081" s="94"/>
      <c r="W2081" s="94"/>
    </row>
    <row r="2082" spans="1:23" ht="21" customHeight="1">
      <c r="A2082">
        <f>Table4[[#This Row],[Column1]]</f>
        <v>0</v>
      </c>
      <c r="B2082">
        <f>Table4[[#This Row],[Column2]]</f>
        <v>0</v>
      </c>
      <c r="C2082" s="81"/>
      <c r="D2082" s="81"/>
      <c r="E2082" s="81"/>
      <c r="F2082" s="81"/>
      <c r="G2082" s="81"/>
      <c r="H2082" s="81"/>
      <c r="I2082" s="81"/>
      <c r="J2082" s="81"/>
      <c r="K2082" s="81"/>
      <c r="L2082" s="81"/>
      <c r="M2082" s="81"/>
      <c r="N2082" s="81"/>
      <c r="O2082" s="81"/>
      <c r="P2082" s="81"/>
      <c r="Q2082" s="81"/>
      <c r="R2082" s="81"/>
      <c r="S2082" s="81"/>
      <c r="T2082" s="81"/>
      <c r="U2082" s="81"/>
      <c r="V2082" s="94"/>
      <c r="W2082" s="94"/>
    </row>
    <row r="2083" spans="1:23" ht="21" customHeight="1">
      <c r="A2083">
        <f>Table4[[#This Row],[Column1]]</f>
        <v>0</v>
      </c>
      <c r="B2083">
        <f>Table4[[#This Row],[Column2]]</f>
        <v>0</v>
      </c>
      <c r="C2083" s="81"/>
      <c r="D2083" s="81"/>
      <c r="E2083" s="81"/>
      <c r="F2083" s="81"/>
      <c r="G2083" s="81"/>
      <c r="H2083" s="81"/>
      <c r="I2083" s="81"/>
      <c r="J2083" s="81"/>
      <c r="K2083" s="81"/>
      <c r="L2083" s="81"/>
      <c r="M2083" s="81"/>
      <c r="N2083" s="81"/>
      <c r="O2083" s="81"/>
      <c r="P2083" s="81"/>
      <c r="Q2083" s="81"/>
      <c r="R2083" s="81"/>
      <c r="S2083" s="81"/>
      <c r="T2083" s="81"/>
      <c r="U2083" s="81"/>
      <c r="V2083" s="94"/>
      <c r="W2083" s="94"/>
    </row>
    <row r="2084" spans="1:23" ht="21" customHeight="1">
      <c r="A2084">
        <f>Table4[[#This Row],[Column1]]</f>
        <v>0</v>
      </c>
      <c r="B2084">
        <f>Table4[[#This Row],[Column2]]</f>
        <v>0</v>
      </c>
      <c r="C2084" s="81"/>
      <c r="D2084" s="81"/>
      <c r="E2084" s="81"/>
      <c r="F2084" s="81"/>
      <c r="G2084" s="81"/>
      <c r="H2084" s="81"/>
      <c r="I2084" s="81"/>
      <c r="J2084" s="81"/>
      <c r="K2084" s="81"/>
      <c r="L2084" s="81"/>
      <c r="M2084" s="81"/>
      <c r="N2084" s="81"/>
      <c r="O2084" s="81"/>
      <c r="P2084" s="81"/>
      <c r="Q2084" s="81"/>
      <c r="R2084" s="81"/>
      <c r="S2084" s="81"/>
      <c r="T2084" s="81"/>
      <c r="U2084" s="81"/>
      <c r="V2084" s="94"/>
      <c r="W2084" s="94"/>
    </row>
    <row r="2085" spans="1:23" ht="21" customHeight="1">
      <c r="A2085">
        <f>Table4[[#This Row],[Column1]]</f>
        <v>0</v>
      </c>
      <c r="B2085">
        <f>Table4[[#This Row],[Column2]]</f>
        <v>0</v>
      </c>
      <c r="C2085" s="81"/>
      <c r="D2085" s="81"/>
      <c r="E2085" s="81"/>
      <c r="F2085" s="81"/>
      <c r="G2085" s="81"/>
      <c r="H2085" s="81"/>
      <c r="I2085" s="81"/>
      <c r="J2085" s="81"/>
      <c r="K2085" s="81"/>
      <c r="L2085" s="81"/>
      <c r="M2085" s="81"/>
      <c r="N2085" s="81"/>
      <c r="O2085" s="81"/>
      <c r="P2085" s="81"/>
      <c r="Q2085" s="81"/>
      <c r="R2085" s="81"/>
      <c r="S2085" s="81"/>
      <c r="T2085" s="81"/>
      <c r="U2085" s="81"/>
      <c r="V2085" s="94"/>
      <c r="W2085" s="94"/>
    </row>
    <row r="2086" spans="1:23" ht="21" customHeight="1">
      <c r="A2086">
        <f>Table4[[#This Row],[Column1]]</f>
        <v>0</v>
      </c>
      <c r="B2086">
        <f>Table4[[#This Row],[Column2]]</f>
        <v>0</v>
      </c>
      <c r="C2086" s="81"/>
      <c r="D2086" s="81"/>
      <c r="E2086" s="81"/>
      <c r="F2086" s="81"/>
      <c r="G2086" s="81"/>
      <c r="H2086" s="81"/>
      <c r="I2086" s="81"/>
      <c r="J2086" s="81"/>
      <c r="K2086" s="81"/>
      <c r="L2086" s="81"/>
      <c r="M2086" s="81"/>
      <c r="N2086" s="81"/>
      <c r="O2086" s="81"/>
      <c r="P2086" s="81"/>
      <c r="Q2086" s="81"/>
      <c r="R2086" s="81"/>
      <c r="S2086" s="81"/>
      <c r="T2086" s="81"/>
      <c r="U2086" s="81"/>
      <c r="V2086" s="94"/>
      <c r="W2086" s="94"/>
    </row>
    <row r="2087" spans="1:23" ht="21" customHeight="1">
      <c r="A2087">
        <f>Table4[[#This Row],[Column1]]</f>
        <v>0</v>
      </c>
      <c r="B2087">
        <f>Table4[[#This Row],[Column2]]</f>
        <v>0</v>
      </c>
      <c r="C2087" s="81"/>
      <c r="D2087" s="81"/>
      <c r="E2087" s="81"/>
      <c r="F2087" s="81"/>
      <c r="G2087" s="81"/>
      <c r="H2087" s="81"/>
      <c r="I2087" s="81"/>
      <c r="J2087" s="81"/>
      <c r="K2087" s="81"/>
      <c r="L2087" s="81"/>
      <c r="M2087" s="81"/>
      <c r="N2087" s="81"/>
      <c r="O2087" s="81"/>
      <c r="P2087" s="81"/>
      <c r="Q2087" s="81"/>
      <c r="R2087" s="81"/>
      <c r="S2087" s="81"/>
      <c r="T2087" s="81"/>
      <c r="U2087" s="81"/>
      <c r="V2087" s="94"/>
      <c r="W2087" s="94"/>
    </row>
    <row r="2088" spans="1:23" ht="21" customHeight="1">
      <c r="A2088">
        <f>Table4[[#This Row],[Column1]]</f>
        <v>0</v>
      </c>
      <c r="B2088">
        <f>Table4[[#This Row],[Column2]]</f>
        <v>0</v>
      </c>
      <c r="C2088" s="81"/>
      <c r="D2088" s="81"/>
      <c r="E2088" s="81"/>
      <c r="F2088" s="81"/>
      <c r="G2088" s="81"/>
      <c r="H2088" s="81"/>
      <c r="I2088" s="81"/>
      <c r="J2088" s="81"/>
      <c r="K2088" s="81"/>
      <c r="L2088" s="81"/>
      <c r="M2088" s="81"/>
      <c r="N2088" s="81"/>
      <c r="O2088" s="81"/>
      <c r="P2088" s="81"/>
      <c r="Q2088" s="81"/>
      <c r="R2088" s="81"/>
      <c r="S2088" s="81"/>
      <c r="T2088" s="81"/>
      <c r="U2088" s="81"/>
      <c r="V2088" s="94"/>
      <c r="W2088" s="94"/>
    </row>
    <row r="2089" spans="1:23" ht="21" customHeight="1">
      <c r="A2089">
        <f>Table4[[#This Row],[Column1]]</f>
        <v>0</v>
      </c>
      <c r="B2089">
        <f>Table4[[#This Row],[Column2]]</f>
        <v>0</v>
      </c>
      <c r="C2089" s="81"/>
      <c r="D2089" s="81"/>
      <c r="E2089" s="81"/>
      <c r="F2089" s="81"/>
      <c r="G2089" s="81"/>
      <c r="H2089" s="81"/>
      <c r="I2089" s="81"/>
      <c r="J2089" s="81"/>
      <c r="K2089" s="81"/>
      <c r="L2089" s="81"/>
      <c r="M2089" s="81"/>
      <c r="N2089" s="81"/>
      <c r="O2089" s="81"/>
      <c r="P2089" s="81"/>
      <c r="Q2089" s="81"/>
      <c r="R2089" s="81"/>
      <c r="S2089" s="81"/>
      <c r="T2089" s="81"/>
      <c r="U2089" s="81"/>
      <c r="V2089" s="94"/>
      <c r="W2089" s="94"/>
    </row>
    <row r="2090" spans="1:23" ht="21" customHeight="1">
      <c r="A2090">
        <f>Table4[[#This Row],[Column1]]</f>
        <v>0</v>
      </c>
      <c r="B2090">
        <f>Table4[[#This Row],[Column2]]</f>
        <v>0</v>
      </c>
      <c r="C2090" s="81"/>
      <c r="D2090" s="81"/>
      <c r="E2090" s="81"/>
      <c r="F2090" s="81"/>
      <c r="G2090" s="81"/>
      <c r="H2090" s="81"/>
      <c r="I2090" s="81"/>
      <c r="J2090" s="81"/>
      <c r="K2090" s="81"/>
      <c r="L2090" s="81"/>
      <c r="M2090" s="81"/>
      <c r="N2090" s="81"/>
      <c r="O2090" s="81"/>
      <c r="P2090" s="81"/>
      <c r="Q2090" s="81"/>
      <c r="R2090" s="81"/>
      <c r="S2090" s="81"/>
      <c r="T2090" s="81"/>
      <c r="U2090" s="81"/>
      <c r="V2090" s="94"/>
      <c r="W2090" s="94"/>
    </row>
    <row r="2091" spans="1:23" ht="21" customHeight="1">
      <c r="A2091">
        <f>Table4[[#This Row],[Column1]]</f>
        <v>0</v>
      </c>
      <c r="B2091">
        <f>Table4[[#This Row],[Column2]]</f>
        <v>0</v>
      </c>
      <c r="C2091" s="81"/>
      <c r="D2091" s="81"/>
      <c r="E2091" s="81"/>
      <c r="F2091" s="81"/>
      <c r="G2091" s="81"/>
      <c r="H2091" s="81"/>
      <c r="I2091" s="81"/>
      <c r="J2091" s="81"/>
      <c r="K2091" s="81"/>
      <c r="L2091" s="81"/>
      <c r="M2091" s="81"/>
      <c r="N2091" s="81"/>
      <c r="O2091" s="81"/>
      <c r="P2091" s="81"/>
      <c r="Q2091" s="81"/>
      <c r="R2091" s="81"/>
      <c r="S2091" s="81"/>
      <c r="T2091" s="81"/>
      <c r="U2091" s="81"/>
      <c r="V2091" s="94"/>
      <c r="W2091" s="94"/>
    </row>
    <row r="2092" spans="1:23" ht="21" customHeight="1">
      <c r="A2092">
        <f>Table4[[#This Row],[Column1]]</f>
        <v>0</v>
      </c>
      <c r="B2092">
        <f>Table4[[#This Row],[Column2]]</f>
        <v>0</v>
      </c>
      <c r="C2092" s="81"/>
      <c r="D2092" s="81"/>
      <c r="E2092" s="81"/>
      <c r="F2092" s="81"/>
      <c r="G2092" s="81"/>
      <c r="H2092" s="81"/>
      <c r="I2092" s="81"/>
      <c r="J2092" s="81"/>
      <c r="K2092" s="81"/>
      <c r="L2092" s="81"/>
      <c r="M2092" s="81"/>
      <c r="N2092" s="81"/>
      <c r="O2092" s="81"/>
      <c r="P2092" s="81"/>
      <c r="Q2092" s="81"/>
      <c r="R2092" s="81"/>
      <c r="S2092" s="81"/>
      <c r="T2092" s="81"/>
      <c r="U2092" s="81"/>
      <c r="V2092" s="94"/>
      <c r="W2092" s="94"/>
    </row>
    <row r="2093" spans="1:23" ht="21" customHeight="1">
      <c r="A2093">
        <f>Table4[[#This Row],[Column1]]</f>
        <v>0</v>
      </c>
      <c r="B2093">
        <f>Table4[[#This Row],[Column2]]</f>
        <v>0</v>
      </c>
      <c r="C2093" s="81"/>
      <c r="D2093" s="81"/>
      <c r="E2093" s="81"/>
      <c r="F2093" s="81"/>
      <c r="G2093" s="81"/>
      <c r="H2093" s="81"/>
      <c r="I2093" s="81"/>
      <c r="J2093" s="81"/>
      <c r="K2093" s="81"/>
      <c r="L2093" s="81"/>
      <c r="M2093" s="81"/>
      <c r="N2093" s="81"/>
      <c r="O2093" s="81"/>
      <c r="P2093" s="81"/>
      <c r="Q2093" s="81"/>
      <c r="R2093" s="81"/>
      <c r="S2093" s="81"/>
      <c r="T2093" s="81"/>
      <c r="U2093" s="81"/>
      <c r="V2093" s="94"/>
      <c r="W2093" s="94"/>
    </row>
    <row r="2094" spans="1:23" ht="21" customHeight="1">
      <c r="A2094">
        <f>Table4[[#This Row],[Column1]]</f>
        <v>0</v>
      </c>
      <c r="B2094">
        <f>Table4[[#This Row],[Column2]]</f>
        <v>0</v>
      </c>
      <c r="C2094" s="81"/>
      <c r="D2094" s="81"/>
      <c r="E2094" s="81"/>
      <c r="F2094" s="81"/>
      <c r="G2094" s="81"/>
      <c r="H2094" s="81"/>
      <c r="I2094" s="81"/>
      <c r="J2094" s="81"/>
      <c r="K2094" s="81"/>
      <c r="L2094" s="81"/>
      <c r="M2094" s="81"/>
      <c r="N2094" s="81"/>
      <c r="O2094" s="81"/>
      <c r="P2094" s="81"/>
      <c r="Q2094" s="81"/>
      <c r="R2094" s="81"/>
      <c r="S2094" s="81"/>
      <c r="T2094" s="81"/>
      <c r="U2094" s="81"/>
      <c r="V2094" s="94"/>
      <c r="W2094" s="94"/>
    </row>
    <row r="2095" spans="1:23" ht="21" customHeight="1">
      <c r="A2095">
        <f>Table4[[#This Row],[Column1]]</f>
        <v>0</v>
      </c>
      <c r="B2095">
        <f>Table4[[#This Row],[Column2]]</f>
        <v>0</v>
      </c>
      <c r="C2095" s="81"/>
      <c r="D2095" s="81"/>
      <c r="E2095" s="81"/>
      <c r="F2095" s="81"/>
      <c r="G2095" s="81"/>
      <c r="H2095" s="81"/>
      <c r="I2095" s="81"/>
      <c r="J2095" s="81"/>
      <c r="K2095" s="81"/>
      <c r="L2095" s="81"/>
      <c r="M2095" s="81"/>
      <c r="N2095" s="81"/>
      <c r="O2095" s="81"/>
      <c r="P2095" s="81"/>
      <c r="Q2095" s="81"/>
      <c r="R2095" s="81"/>
      <c r="S2095" s="81"/>
      <c r="T2095" s="81"/>
      <c r="U2095" s="81"/>
      <c r="V2095" s="94"/>
      <c r="W2095" s="94"/>
    </row>
    <row r="2096" spans="1:23" ht="21" customHeight="1">
      <c r="A2096">
        <f>Table4[[#This Row],[Column1]]</f>
        <v>0</v>
      </c>
      <c r="B2096">
        <f>Table4[[#This Row],[Column2]]</f>
        <v>0</v>
      </c>
      <c r="C2096" s="81"/>
      <c r="D2096" s="81"/>
      <c r="E2096" s="81"/>
      <c r="F2096" s="81"/>
      <c r="G2096" s="81"/>
      <c r="H2096" s="81"/>
      <c r="I2096" s="81"/>
      <c r="J2096" s="81"/>
      <c r="K2096" s="81"/>
      <c r="L2096" s="81"/>
      <c r="M2096" s="81"/>
      <c r="N2096" s="81"/>
      <c r="O2096" s="81"/>
      <c r="P2096" s="81"/>
      <c r="Q2096" s="81"/>
      <c r="R2096" s="81"/>
      <c r="S2096" s="81"/>
      <c r="T2096" s="81"/>
      <c r="U2096" s="81"/>
      <c r="V2096" s="94"/>
      <c r="W2096" s="94"/>
    </row>
    <row r="2097" spans="1:23" ht="21" customHeight="1">
      <c r="A2097">
        <f>Table4[[#This Row],[Column1]]</f>
        <v>0</v>
      </c>
      <c r="B2097">
        <f>Table4[[#This Row],[Column2]]</f>
        <v>0</v>
      </c>
      <c r="C2097" s="81"/>
      <c r="D2097" s="81"/>
      <c r="E2097" s="81"/>
      <c r="F2097" s="81"/>
      <c r="G2097" s="81"/>
      <c r="H2097" s="81"/>
      <c r="I2097" s="81"/>
      <c r="J2097" s="81"/>
      <c r="K2097" s="81"/>
      <c r="L2097" s="81"/>
      <c r="M2097" s="81"/>
      <c r="N2097" s="81"/>
      <c r="O2097" s="81"/>
      <c r="P2097" s="81"/>
      <c r="Q2097" s="81"/>
      <c r="R2097" s="81"/>
      <c r="S2097" s="81"/>
      <c r="T2097" s="81"/>
      <c r="U2097" s="81"/>
      <c r="V2097" s="94"/>
      <c r="W2097" s="94"/>
    </row>
    <row r="2098" spans="1:23" ht="21" customHeight="1">
      <c r="A2098">
        <f>Table4[[#This Row],[Column1]]</f>
        <v>0</v>
      </c>
      <c r="B2098">
        <f>Table4[[#This Row],[Column2]]</f>
        <v>0</v>
      </c>
      <c r="C2098" s="81"/>
      <c r="D2098" s="81"/>
      <c r="E2098" s="81"/>
      <c r="F2098" s="81"/>
      <c r="G2098" s="81"/>
      <c r="H2098" s="81"/>
      <c r="I2098" s="81"/>
      <c r="J2098" s="81"/>
      <c r="K2098" s="81"/>
      <c r="L2098" s="81"/>
      <c r="M2098" s="81"/>
      <c r="N2098" s="81"/>
      <c r="O2098" s="81"/>
      <c r="P2098" s="81"/>
      <c r="Q2098" s="81"/>
      <c r="R2098" s="81"/>
      <c r="S2098" s="81"/>
      <c r="T2098" s="81"/>
      <c r="U2098" s="81"/>
      <c r="V2098" s="94"/>
      <c r="W2098" s="94"/>
    </row>
    <row r="2099" spans="1:23" ht="21" customHeight="1">
      <c r="A2099">
        <f>Table4[[#This Row],[Column1]]</f>
        <v>0</v>
      </c>
      <c r="B2099">
        <f>Table4[[#This Row],[Column2]]</f>
        <v>0</v>
      </c>
      <c r="C2099" s="81"/>
      <c r="D2099" s="81"/>
      <c r="E2099" s="81"/>
      <c r="F2099" s="81"/>
      <c r="G2099" s="81"/>
      <c r="H2099" s="81"/>
      <c r="I2099" s="81"/>
      <c r="J2099" s="81"/>
      <c r="K2099" s="81"/>
      <c r="L2099" s="81"/>
      <c r="M2099" s="81"/>
      <c r="N2099" s="81"/>
      <c r="O2099" s="81"/>
      <c r="P2099" s="81"/>
      <c r="Q2099" s="81"/>
      <c r="R2099" s="81"/>
      <c r="S2099" s="81"/>
      <c r="T2099" s="81"/>
      <c r="U2099" s="81"/>
      <c r="V2099" s="94"/>
      <c r="W2099" s="94"/>
    </row>
    <row r="2100" spans="1:23" ht="21" customHeight="1">
      <c r="A2100">
        <f>Table4[[#This Row],[Column1]]</f>
        <v>0</v>
      </c>
      <c r="B2100">
        <f>Table4[[#This Row],[Column2]]</f>
        <v>0</v>
      </c>
      <c r="C2100" s="81"/>
      <c r="D2100" s="81"/>
      <c r="E2100" s="81"/>
      <c r="F2100" s="81"/>
      <c r="G2100" s="81"/>
      <c r="H2100" s="81"/>
      <c r="I2100" s="81"/>
      <c r="J2100" s="81"/>
      <c r="K2100" s="81"/>
      <c r="L2100" s="81"/>
      <c r="M2100" s="81"/>
      <c r="N2100" s="81"/>
      <c r="O2100" s="81"/>
      <c r="P2100" s="81"/>
      <c r="Q2100" s="81"/>
      <c r="R2100" s="81"/>
      <c r="S2100" s="81"/>
      <c r="T2100" s="81"/>
      <c r="U2100" s="81"/>
      <c r="V2100" s="94"/>
      <c r="W2100" s="94"/>
    </row>
    <row r="2101" spans="1:23" ht="21" customHeight="1">
      <c r="A2101">
        <f>Table4[[#This Row],[Column1]]</f>
        <v>0</v>
      </c>
      <c r="B2101">
        <f>Table4[[#This Row],[Column2]]</f>
        <v>0</v>
      </c>
      <c r="C2101" s="81"/>
      <c r="D2101" s="81"/>
      <c r="E2101" s="81"/>
      <c r="F2101" s="81"/>
      <c r="G2101" s="81"/>
      <c r="H2101" s="81"/>
      <c r="I2101" s="81"/>
      <c r="J2101" s="81"/>
      <c r="K2101" s="81"/>
      <c r="L2101" s="81"/>
      <c r="M2101" s="81"/>
      <c r="N2101" s="81"/>
      <c r="O2101" s="81"/>
      <c r="P2101" s="81"/>
      <c r="Q2101" s="81"/>
      <c r="R2101" s="81"/>
      <c r="S2101" s="81"/>
      <c r="T2101" s="81"/>
      <c r="U2101" s="81"/>
      <c r="V2101" s="94"/>
      <c r="W2101" s="94"/>
    </row>
    <row r="2102" spans="1:23" ht="21" customHeight="1">
      <c r="A2102">
        <f>Table4[[#This Row],[Column1]]</f>
        <v>0</v>
      </c>
      <c r="B2102">
        <f>Table4[[#This Row],[Column2]]</f>
        <v>0</v>
      </c>
      <c r="C2102" s="81"/>
      <c r="D2102" s="81"/>
      <c r="E2102" s="81"/>
      <c r="F2102" s="81"/>
      <c r="G2102" s="81"/>
      <c r="H2102" s="81"/>
      <c r="I2102" s="81"/>
      <c r="J2102" s="81"/>
      <c r="K2102" s="81"/>
      <c r="L2102" s="81"/>
      <c r="M2102" s="81"/>
      <c r="N2102" s="81"/>
      <c r="O2102" s="81"/>
      <c r="P2102" s="81"/>
      <c r="Q2102" s="81"/>
      <c r="R2102" s="81"/>
      <c r="S2102" s="81"/>
      <c r="T2102" s="81"/>
      <c r="U2102" s="81"/>
      <c r="V2102" s="94"/>
      <c r="W2102" s="94"/>
    </row>
    <row r="2103" spans="1:23" ht="21" customHeight="1">
      <c r="A2103">
        <f>Table4[[#This Row],[Column1]]</f>
        <v>0</v>
      </c>
      <c r="B2103">
        <f>Table4[[#This Row],[Column2]]</f>
        <v>0</v>
      </c>
      <c r="C2103" s="81"/>
      <c r="D2103" s="81"/>
      <c r="E2103" s="81"/>
      <c r="F2103" s="81"/>
      <c r="G2103" s="81"/>
      <c r="H2103" s="81"/>
      <c r="I2103" s="81"/>
      <c r="J2103" s="81"/>
      <c r="K2103" s="81"/>
      <c r="L2103" s="81"/>
      <c r="M2103" s="81"/>
      <c r="N2103" s="81"/>
      <c r="O2103" s="81"/>
      <c r="P2103" s="81"/>
      <c r="Q2103" s="81"/>
      <c r="R2103" s="81"/>
      <c r="S2103" s="81"/>
      <c r="T2103" s="81"/>
      <c r="U2103" s="81"/>
      <c r="V2103" s="94"/>
      <c r="W2103" s="94"/>
    </row>
    <row r="2104" spans="1:23" ht="21" customHeight="1">
      <c r="A2104">
        <f>Table4[[#This Row],[Column1]]</f>
        <v>0</v>
      </c>
      <c r="B2104">
        <f>Table4[[#This Row],[Column2]]</f>
        <v>0</v>
      </c>
      <c r="C2104" s="81"/>
      <c r="D2104" s="81"/>
      <c r="E2104" s="81"/>
      <c r="F2104" s="81"/>
      <c r="G2104" s="81"/>
      <c r="H2104" s="81"/>
      <c r="I2104" s="81"/>
      <c r="J2104" s="81"/>
      <c r="K2104" s="81"/>
      <c r="L2104" s="81"/>
      <c r="M2104" s="81"/>
      <c r="N2104" s="81"/>
      <c r="O2104" s="81"/>
      <c r="P2104" s="81"/>
      <c r="Q2104" s="81"/>
      <c r="R2104" s="81"/>
      <c r="S2104" s="81"/>
      <c r="T2104" s="81"/>
      <c r="U2104" s="81"/>
      <c r="V2104" s="94"/>
      <c r="W2104" s="94"/>
    </row>
    <row r="2105" spans="1:23" ht="21" customHeight="1">
      <c r="A2105">
        <f>Table4[[#This Row],[Column1]]</f>
        <v>0</v>
      </c>
      <c r="B2105">
        <f>Table4[[#This Row],[Column2]]</f>
        <v>0</v>
      </c>
      <c r="C2105" s="81"/>
      <c r="D2105" s="81"/>
      <c r="E2105" s="81"/>
      <c r="F2105" s="81"/>
      <c r="G2105" s="81"/>
      <c r="H2105" s="81"/>
      <c r="I2105" s="81"/>
      <c r="J2105" s="81"/>
      <c r="K2105" s="81"/>
      <c r="L2105" s="81"/>
      <c r="M2105" s="81"/>
      <c r="N2105" s="81"/>
      <c r="O2105" s="81"/>
      <c r="P2105" s="81"/>
      <c r="Q2105" s="81"/>
      <c r="R2105" s="81"/>
      <c r="S2105" s="81"/>
      <c r="T2105" s="81"/>
      <c r="U2105" s="81"/>
      <c r="V2105" s="94"/>
      <c r="W2105" s="94"/>
    </row>
    <row r="2106" spans="1:23" ht="21" customHeight="1">
      <c r="A2106">
        <f>Table4[[#This Row],[Column1]]</f>
        <v>0</v>
      </c>
      <c r="B2106">
        <f>Table4[[#This Row],[Column2]]</f>
        <v>0</v>
      </c>
      <c r="C2106" s="81"/>
      <c r="D2106" s="81"/>
      <c r="E2106" s="81"/>
      <c r="F2106" s="81"/>
      <c r="G2106" s="81"/>
      <c r="H2106" s="81"/>
      <c r="I2106" s="81"/>
      <c r="J2106" s="81"/>
      <c r="K2106" s="81"/>
      <c r="L2106" s="81"/>
      <c r="M2106" s="81"/>
      <c r="N2106" s="81"/>
      <c r="O2106" s="81"/>
      <c r="P2106" s="81"/>
      <c r="Q2106" s="81"/>
      <c r="R2106" s="81"/>
      <c r="S2106" s="81"/>
      <c r="T2106" s="81"/>
      <c r="U2106" s="81"/>
      <c r="V2106" s="94"/>
      <c r="W2106" s="94"/>
    </row>
    <row r="2107" spans="1:23" ht="21" customHeight="1">
      <c r="A2107">
        <f>Table4[[#This Row],[Column1]]</f>
        <v>0</v>
      </c>
      <c r="B2107">
        <f>Table4[[#This Row],[Column2]]</f>
        <v>0</v>
      </c>
      <c r="C2107" s="81"/>
      <c r="D2107" s="81"/>
      <c r="E2107" s="81"/>
      <c r="F2107" s="81"/>
      <c r="G2107" s="81"/>
      <c r="H2107" s="81"/>
      <c r="I2107" s="81"/>
      <c r="J2107" s="81"/>
      <c r="K2107" s="81"/>
      <c r="L2107" s="81"/>
      <c r="M2107" s="81"/>
      <c r="N2107" s="81"/>
      <c r="O2107" s="81"/>
      <c r="P2107" s="81"/>
      <c r="Q2107" s="81"/>
      <c r="R2107" s="81"/>
      <c r="S2107" s="81"/>
      <c r="T2107" s="81"/>
      <c r="U2107" s="81"/>
      <c r="V2107" s="94"/>
      <c r="W2107" s="94"/>
    </row>
    <row r="2108" spans="1:23" ht="21" customHeight="1">
      <c r="A2108">
        <f>Table4[[#This Row],[Column1]]</f>
        <v>0</v>
      </c>
      <c r="B2108">
        <f>Table4[[#This Row],[Column2]]</f>
        <v>0</v>
      </c>
      <c r="C2108" s="81"/>
      <c r="D2108" s="81"/>
      <c r="E2108" s="81"/>
      <c r="F2108" s="81"/>
      <c r="G2108" s="81"/>
      <c r="H2108" s="81"/>
      <c r="I2108" s="81"/>
      <c r="J2108" s="81"/>
      <c r="K2108" s="81"/>
      <c r="L2108" s="81"/>
      <c r="M2108" s="81"/>
      <c r="N2108" s="81"/>
      <c r="O2108" s="81"/>
      <c r="P2108" s="81"/>
      <c r="Q2108" s="81"/>
      <c r="R2108" s="81"/>
      <c r="S2108" s="81"/>
      <c r="T2108" s="81"/>
      <c r="U2108" s="81"/>
      <c r="V2108" s="94"/>
      <c r="W2108" s="94"/>
    </row>
    <row r="2109" spans="1:23" ht="21" customHeight="1">
      <c r="A2109">
        <f>Table4[[#This Row],[Column1]]</f>
        <v>0</v>
      </c>
      <c r="B2109">
        <f>Table4[[#This Row],[Column2]]</f>
        <v>0</v>
      </c>
      <c r="C2109" s="81"/>
      <c r="D2109" s="81"/>
      <c r="E2109" s="81"/>
      <c r="F2109" s="81"/>
      <c r="G2109" s="81"/>
      <c r="H2109" s="81"/>
      <c r="I2109" s="81"/>
      <c r="J2109" s="81"/>
      <c r="K2109" s="81"/>
      <c r="L2109" s="81"/>
      <c r="M2109" s="81"/>
      <c r="N2109" s="81"/>
      <c r="O2109" s="81"/>
      <c r="P2109" s="81"/>
      <c r="Q2109" s="81"/>
      <c r="R2109" s="81"/>
      <c r="S2109" s="81"/>
      <c r="T2109" s="81"/>
      <c r="U2109" s="81"/>
      <c r="V2109" s="94"/>
      <c r="W2109" s="94"/>
    </row>
    <row r="2110" spans="1:23" ht="21" customHeight="1">
      <c r="A2110">
        <f>Table4[[#This Row],[Column1]]</f>
        <v>0</v>
      </c>
      <c r="B2110">
        <f>Table4[[#This Row],[Column2]]</f>
        <v>0</v>
      </c>
      <c r="C2110" s="81"/>
      <c r="D2110" s="81"/>
      <c r="E2110" s="81"/>
      <c r="F2110" s="81"/>
      <c r="G2110" s="81"/>
      <c r="H2110" s="81"/>
      <c r="I2110" s="81"/>
      <c r="J2110" s="81"/>
      <c r="K2110" s="81"/>
      <c r="L2110" s="81"/>
      <c r="M2110" s="81"/>
      <c r="N2110" s="81"/>
      <c r="O2110" s="81"/>
      <c r="P2110" s="81"/>
      <c r="Q2110" s="81"/>
      <c r="R2110" s="81"/>
      <c r="S2110" s="81"/>
      <c r="T2110" s="81"/>
      <c r="U2110" s="81"/>
      <c r="V2110" s="94"/>
      <c r="W2110" s="94"/>
    </row>
    <row r="2111" spans="1:23" ht="21" customHeight="1">
      <c r="A2111">
        <f>Table4[[#This Row],[Column1]]</f>
        <v>0</v>
      </c>
      <c r="B2111">
        <f>Table4[[#This Row],[Column2]]</f>
        <v>0</v>
      </c>
      <c r="C2111" s="81"/>
      <c r="D2111" s="81"/>
      <c r="E2111" s="81"/>
      <c r="F2111" s="81"/>
      <c r="G2111" s="81"/>
      <c r="H2111" s="81"/>
      <c r="I2111" s="81"/>
      <c r="J2111" s="81"/>
      <c r="K2111" s="81"/>
      <c r="L2111" s="81"/>
      <c r="M2111" s="81"/>
      <c r="N2111" s="81"/>
      <c r="O2111" s="81"/>
      <c r="P2111" s="81"/>
      <c r="Q2111" s="81"/>
      <c r="R2111" s="81"/>
      <c r="S2111" s="81"/>
      <c r="T2111" s="81"/>
      <c r="U2111" s="81"/>
      <c r="V2111" s="94"/>
      <c r="W2111" s="94"/>
    </row>
    <row r="2112" spans="1:23" ht="21" customHeight="1">
      <c r="A2112">
        <f>Table4[[#This Row],[Column1]]</f>
        <v>0</v>
      </c>
      <c r="B2112">
        <f>Table4[[#This Row],[Column2]]</f>
        <v>0</v>
      </c>
      <c r="C2112" s="81"/>
      <c r="D2112" s="81"/>
      <c r="E2112" s="81"/>
      <c r="F2112" s="81"/>
      <c r="G2112" s="81"/>
      <c r="H2112" s="81"/>
      <c r="I2112" s="81"/>
      <c r="J2112" s="81"/>
      <c r="K2112" s="81"/>
      <c r="L2112" s="81"/>
      <c r="M2112" s="81"/>
      <c r="N2112" s="81"/>
      <c r="O2112" s="81"/>
      <c r="P2112" s="81"/>
      <c r="Q2112" s="81"/>
      <c r="R2112" s="81"/>
      <c r="S2112" s="81"/>
      <c r="T2112" s="81"/>
      <c r="U2112" s="81"/>
      <c r="V2112" s="94"/>
      <c r="W2112" s="94"/>
    </row>
    <row r="2113" spans="1:23" ht="21" customHeight="1">
      <c r="A2113">
        <f>Table4[[#This Row],[Column1]]</f>
        <v>0</v>
      </c>
      <c r="B2113">
        <f>Table4[[#This Row],[Column2]]</f>
        <v>0</v>
      </c>
      <c r="C2113" s="81"/>
      <c r="D2113" s="81"/>
      <c r="E2113" s="81"/>
      <c r="F2113" s="81"/>
      <c r="G2113" s="81"/>
      <c r="H2113" s="81"/>
      <c r="I2113" s="81"/>
      <c r="J2113" s="81"/>
      <c r="K2113" s="81"/>
      <c r="L2113" s="81"/>
      <c r="M2113" s="81"/>
      <c r="N2113" s="81"/>
      <c r="O2113" s="81"/>
      <c r="P2113" s="81"/>
      <c r="Q2113" s="81"/>
      <c r="R2113" s="81"/>
      <c r="S2113" s="81"/>
      <c r="T2113" s="81"/>
      <c r="U2113" s="81"/>
      <c r="V2113" s="94"/>
      <c r="W2113" s="94"/>
    </row>
    <row r="2114" spans="1:23" ht="21" customHeight="1">
      <c r="A2114">
        <f>Table4[[#This Row],[Column1]]</f>
        <v>0</v>
      </c>
      <c r="B2114">
        <f>Table4[[#This Row],[Column2]]</f>
        <v>0</v>
      </c>
      <c r="C2114" s="81"/>
      <c r="D2114" s="81"/>
      <c r="E2114" s="81"/>
      <c r="F2114" s="81"/>
      <c r="G2114" s="81"/>
      <c r="H2114" s="81"/>
      <c r="I2114" s="81"/>
      <c r="J2114" s="81"/>
      <c r="K2114" s="81"/>
      <c r="L2114" s="81"/>
      <c r="M2114" s="81"/>
      <c r="N2114" s="81"/>
      <c r="O2114" s="81"/>
      <c r="P2114" s="81"/>
      <c r="Q2114" s="81"/>
      <c r="R2114" s="81"/>
      <c r="S2114" s="81"/>
      <c r="T2114" s="81"/>
      <c r="U2114" s="81"/>
      <c r="V2114" s="94"/>
      <c r="W2114" s="94"/>
    </row>
    <row r="2115" spans="1:23" ht="21" customHeight="1">
      <c r="A2115">
        <f>Table4[[#This Row],[Column1]]</f>
        <v>0</v>
      </c>
      <c r="B2115">
        <f>Table4[[#This Row],[Column2]]</f>
        <v>0</v>
      </c>
      <c r="C2115" s="81"/>
      <c r="D2115" s="81"/>
      <c r="E2115" s="81"/>
      <c r="F2115" s="81"/>
      <c r="G2115" s="81"/>
      <c r="H2115" s="81"/>
      <c r="I2115" s="81"/>
      <c r="J2115" s="81"/>
      <c r="K2115" s="81"/>
      <c r="L2115" s="81"/>
      <c r="M2115" s="81"/>
      <c r="N2115" s="81"/>
      <c r="O2115" s="81"/>
      <c r="P2115" s="81"/>
      <c r="Q2115" s="81"/>
      <c r="R2115" s="81"/>
      <c r="S2115" s="81"/>
      <c r="T2115" s="81"/>
      <c r="U2115" s="81"/>
      <c r="V2115" s="94"/>
      <c r="W2115" s="94"/>
    </row>
    <row r="2116" spans="1:23" ht="21" customHeight="1">
      <c r="A2116">
        <f>Table4[[#This Row],[Column1]]</f>
        <v>0</v>
      </c>
      <c r="B2116">
        <f>Table4[[#This Row],[Column2]]</f>
        <v>0</v>
      </c>
      <c r="C2116" s="81"/>
      <c r="D2116" s="81"/>
      <c r="E2116" s="81"/>
      <c r="F2116" s="81"/>
      <c r="G2116" s="81"/>
      <c r="H2116" s="81"/>
      <c r="I2116" s="81"/>
      <c r="J2116" s="81"/>
      <c r="K2116" s="81"/>
      <c r="L2116" s="81"/>
      <c r="M2116" s="81"/>
      <c r="N2116" s="81"/>
      <c r="O2116" s="81"/>
      <c r="P2116" s="81"/>
      <c r="Q2116" s="81"/>
      <c r="R2116" s="81"/>
      <c r="S2116" s="81"/>
      <c r="T2116" s="81"/>
      <c r="U2116" s="81"/>
      <c r="V2116" s="94"/>
      <c r="W2116" s="94"/>
    </row>
    <row r="2117" spans="1:23" ht="21" customHeight="1">
      <c r="A2117">
        <f>Table4[[#This Row],[Column1]]</f>
        <v>0</v>
      </c>
      <c r="B2117">
        <f>Table4[[#This Row],[Column2]]</f>
        <v>0</v>
      </c>
      <c r="C2117" s="81"/>
      <c r="D2117" s="81"/>
      <c r="E2117" s="81"/>
      <c r="F2117" s="81"/>
      <c r="G2117" s="81"/>
      <c r="H2117" s="81"/>
      <c r="I2117" s="81"/>
      <c r="J2117" s="81"/>
      <c r="K2117" s="81"/>
      <c r="L2117" s="81"/>
      <c r="M2117" s="81"/>
      <c r="N2117" s="81"/>
      <c r="O2117" s="81"/>
      <c r="P2117" s="81"/>
      <c r="Q2117" s="81"/>
      <c r="R2117" s="81"/>
      <c r="S2117" s="81"/>
      <c r="T2117" s="81"/>
      <c r="U2117" s="81"/>
      <c r="V2117" s="94"/>
      <c r="W2117" s="94"/>
    </row>
    <row r="2118" spans="1:23" ht="21" customHeight="1">
      <c r="A2118">
        <f>Table4[[#This Row],[Column1]]</f>
        <v>0</v>
      </c>
      <c r="B2118">
        <f>Table4[[#This Row],[Column2]]</f>
        <v>0</v>
      </c>
      <c r="C2118" s="81"/>
      <c r="D2118" s="81"/>
      <c r="E2118" s="81"/>
      <c r="F2118" s="81"/>
      <c r="G2118" s="81"/>
      <c r="H2118" s="81"/>
      <c r="I2118" s="81"/>
      <c r="J2118" s="81"/>
      <c r="K2118" s="81"/>
      <c r="L2118" s="81"/>
      <c r="M2118" s="81"/>
      <c r="N2118" s="81"/>
      <c r="O2118" s="81"/>
      <c r="P2118" s="81"/>
      <c r="Q2118" s="81"/>
      <c r="R2118" s="81"/>
      <c r="S2118" s="81"/>
      <c r="T2118" s="81"/>
      <c r="U2118" s="81"/>
      <c r="V2118" s="94"/>
      <c r="W2118" s="94"/>
    </row>
    <row r="2119" spans="1:23" ht="21" customHeight="1">
      <c r="A2119">
        <f>Table4[[#This Row],[Column1]]</f>
        <v>0</v>
      </c>
      <c r="B2119">
        <f>Table4[[#This Row],[Column2]]</f>
        <v>0</v>
      </c>
      <c r="C2119" s="81"/>
      <c r="D2119" s="81"/>
      <c r="E2119" s="81"/>
      <c r="F2119" s="81"/>
      <c r="G2119" s="81"/>
      <c r="H2119" s="81"/>
      <c r="I2119" s="81"/>
      <c r="J2119" s="81"/>
      <c r="K2119" s="81"/>
      <c r="L2119" s="81"/>
      <c r="M2119" s="81"/>
      <c r="N2119" s="81"/>
      <c r="O2119" s="81"/>
      <c r="P2119" s="81"/>
      <c r="Q2119" s="81"/>
      <c r="R2119" s="81"/>
      <c r="S2119" s="81"/>
      <c r="T2119" s="81"/>
      <c r="U2119" s="81"/>
      <c r="V2119" s="94"/>
      <c r="W2119" s="94"/>
    </row>
    <row r="2120" spans="1:23" ht="21" customHeight="1">
      <c r="A2120">
        <f>Table4[[#This Row],[Column1]]</f>
        <v>0</v>
      </c>
      <c r="B2120">
        <f>Table4[[#This Row],[Column2]]</f>
        <v>0</v>
      </c>
      <c r="C2120" s="81"/>
      <c r="D2120" s="81"/>
      <c r="E2120" s="81"/>
      <c r="F2120" s="81"/>
      <c r="G2120" s="81"/>
      <c r="H2120" s="81"/>
      <c r="I2120" s="81"/>
      <c r="J2120" s="81"/>
      <c r="K2120" s="81"/>
      <c r="L2120" s="81"/>
      <c r="M2120" s="81"/>
      <c r="N2120" s="81"/>
      <c r="O2120" s="81"/>
      <c r="P2120" s="81"/>
      <c r="Q2120" s="81"/>
      <c r="R2120" s="81"/>
      <c r="S2120" s="81"/>
      <c r="T2120" s="81"/>
      <c r="U2120" s="81"/>
      <c r="V2120" s="94"/>
      <c r="W2120" s="94"/>
    </row>
    <row r="2121" spans="1:23" ht="21" customHeight="1">
      <c r="A2121">
        <f>Table4[[#This Row],[Column1]]</f>
        <v>0</v>
      </c>
      <c r="B2121">
        <f>Table4[[#This Row],[Column2]]</f>
        <v>0</v>
      </c>
      <c r="C2121" s="81"/>
      <c r="D2121" s="81"/>
      <c r="E2121" s="81"/>
      <c r="F2121" s="81"/>
      <c r="G2121" s="81"/>
      <c r="H2121" s="81"/>
      <c r="I2121" s="81"/>
      <c r="J2121" s="81"/>
      <c r="K2121" s="81"/>
      <c r="L2121" s="81"/>
      <c r="M2121" s="81"/>
      <c r="N2121" s="81"/>
      <c r="O2121" s="81"/>
      <c r="P2121" s="81"/>
      <c r="Q2121" s="81"/>
      <c r="R2121" s="81"/>
      <c r="S2121" s="81"/>
      <c r="T2121" s="81"/>
      <c r="U2121" s="81"/>
      <c r="V2121" s="94"/>
      <c r="W2121" s="94"/>
    </row>
    <row r="2122" spans="1:23" ht="21" customHeight="1">
      <c r="A2122">
        <f>Table4[[#This Row],[Column1]]</f>
        <v>0</v>
      </c>
      <c r="B2122">
        <f>Table4[[#This Row],[Column2]]</f>
        <v>0</v>
      </c>
      <c r="C2122" s="81"/>
      <c r="D2122" s="81"/>
      <c r="E2122" s="81"/>
      <c r="F2122" s="81"/>
      <c r="G2122" s="81"/>
      <c r="H2122" s="81"/>
      <c r="I2122" s="81"/>
      <c r="J2122" s="81"/>
      <c r="K2122" s="81"/>
      <c r="L2122" s="81"/>
      <c r="M2122" s="81"/>
      <c r="N2122" s="81"/>
      <c r="O2122" s="81"/>
      <c r="P2122" s="81"/>
      <c r="Q2122" s="81"/>
      <c r="R2122" s="81"/>
      <c r="S2122" s="81"/>
      <c r="T2122" s="81"/>
      <c r="U2122" s="81"/>
      <c r="V2122" s="94"/>
      <c r="W2122" s="94"/>
    </row>
    <row r="2123" spans="1:23" ht="21" customHeight="1">
      <c r="A2123">
        <f>Table4[[#This Row],[Column1]]</f>
        <v>0</v>
      </c>
      <c r="B2123">
        <f>Table4[[#This Row],[Column2]]</f>
        <v>0</v>
      </c>
      <c r="C2123" s="81"/>
      <c r="D2123" s="81"/>
      <c r="E2123" s="81"/>
      <c r="F2123" s="81"/>
      <c r="G2123" s="81"/>
      <c r="H2123" s="81"/>
      <c r="I2123" s="81"/>
      <c r="J2123" s="81"/>
      <c r="K2123" s="81"/>
      <c r="L2123" s="81"/>
      <c r="M2123" s="81"/>
      <c r="N2123" s="81"/>
      <c r="O2123" s="81"/>
      <c r="P2123" s="81"/>
      <c r="Q2123" s="81"/>
      <c r="R2123" s="81"/>
      <c r="S2123" s="81"/>
      <c r="T2123" s="81"/>
      <c r="U2123" s="81"/>
      <c r="V2123" s="94"/>
      <c r="W2123" s="94"/>
    </row>
    <row r="2124" spans="1:23" ht="21" customHeight="1">
      <c r="A2124">
        <f>Table4[[#This Row],[Column1]]</f>
        <v>0</v>
      </c>
      <c r="B2124">
        <f>Table4[[#This Row],[Column2]]</f>
        <v>0</v>
      </c>
      <c r="C2124" s="81"/>
      <c r="D2124" s="81"/>
      <c r="E2124" s="81"/>
      <c r="F2124" s="81"/>
      <c r="G2124" s="81"/>
      <c r="H2124" s="81"/>
      <c r="I2124" s="81"/>
      <c r="J2124" s="81"/>
      <c r="K2124" s="81"/>
      <c r="L2124" s="81"/>
      <c r="M2124" s="81"/>
      <c r="N2124" s="81"/>
      <c r="O2124" s="81"/>
      <c r="P2124" s="81"/>
      <c r="Q2124" s="81"/>
      <c r="R2124" s="81"/>
      <c r="S2124" s="81"/>
      <c r="T2124" s="81"/>
      <c r="U2124" s="81"/>
      <c r="V2124" s="94"/>
      <c r="W2124" s="94"/>
    </row>
    <row r="2125" spans="1:23" ht="21" customHeight="1">
      <c r="A2125">
        <f>Table4[[#This Row],[Column1]]</f>
        <v>0</v>
      </c>
      <c r="B2125">
        <f>Table4[[#This Row],[Column2]]</f>
        <v>0</v>
      </c>
      <c r="C2125" s="81"/>
      <c r="D2125" s="81"/>
      <c r="E2125" s="81"/>
      <c r="F2125" s="81"/>
      <c r="G2125" s="81"/>
      <c r="H2125" s="81"/>
      <c r="I2125" s="81"/>
      <c r="J2125" s="81"/>
      <c r="K2125" s="81"/>
      <c r="L2125" s="81"/>
      <c r="M2125" s="81"/>
      <c r="N2125" s="81"/>
      <c r="O2125" s="81"/>
      <c r="P2125" s="81"/>
      <c r="Q2125" s="81"/>
      <c r="R2125" s="81"/>
      <c r="S2125" s="81"/>
      <c r="T2125" s="81"/>
      <c r="U2125" s="81"/>
      <c r="V2125" s="94"/>
      <c r="W2125" s="94"/>
    </row>
    <row r="2126" spans="1:23" ht="21" customHeight="1">
      <c r="A2126">
        <f>Table4[[#This Row],[Column1]]</f>
        <v>0</v>
      </c>
      <c r="B2126">
        <f>Table4[[#This Row],[Column2]]</f>
        <v>0</v>
      </c>
      <c r="C2126" s="81"/>
      <c r="D2126" s="81"/>
      <c r="E2126" s="81"/>
      <c r="F2126" s="81"/>
      <c r="G2126" s="81"/>
      <c r="H2126" s="81"/>
      <c r="I2126" s="81"/>
      <c r="J2126" s="81"/>
      <c r="K2126" s="81"/>
      <c r="L2126" s="81"/>
      <c r="M2126" s="81"/>
      <c r="N2126" s="81"/>
      <c r="O2126" s="81"/>
      <c r="P2126" s="81"/>
      <c r="Q2126" s="81"/>
      <c r="R2126" s="81"/>
      <c r="S2126" s="81"/>
      <c r="T2126" s="81"/>
      <c r="U2126" s="81"/>
      <c r="V2126" s="94"/>
      <c r="W2126" s="94"/>
    </row>
    <row r="2127" spans="1:23" ht="21" customHeight="1">
      <c r="A2127">
        <f>Table4[[#This Row],[Column1]]</f>
        <v>0</v>
      </c>
      <c r="B2127">
        <f>Table4[[#This Row],[Column2]]</f>
        <v>0</v>
      </c>
      <c r="C2127" s="81"/>
      <c r="D2127" s="81"/>
      <c r="E2127" s="81"/>
      <c r="F2127" s="81"/>
      <c r="G2127" s="81"/>
      <c r="H2127" s="81"/>
      <c r="I2127" s="81"/>
      <c r="J2127" s="81"/>
      <c r="K2127" s="81"/>
      <c r="L2127" s="81"/>
      <c r="M2127" s="81"/>
      <c r="N2127" s="81"/>
      <c r="O2127" s="81"/>
      <c r="P2127" s="81"/>
      <c r="Q2127" s="81"/>
      <c r="R2127" s="81"/>
      <c r="S2127" s="81"/>
      <c r="T2127" s="81"/>
      <c r="U2127" s="81"/>
      <c r="V2127" s="94"/>
      <c r="W2127" s="94"/>
    </row>
    <row r="2128" spans="1:23" ht="21" customHeight="1">
      <c r="A2128">
        <f>Table4[[#This Row],[Column1]]</f>
        <v>0</v>
      </c>
      <c r="B2128">
        <f>Table4[[#This Row],[Column2]]</f>
        <v>0</v>
      </c>
      <c r="C2128" s="81"/>
      <c r="D2128" s="81"/>
      <c r="E2128" s="81"/>
      <c r="F2128" s="81"/>
      <c r="G2128" s="81"/>
      <c r="H2128" s="81"/>
      <c r="I2128" s="81"/>
      <c r="J2128" s="81"/>
      <c r="K2128" s="81"/>
      <c r="L2128" s="81"/>
      <c r="M2128" s="81"/>
      <c r="N2128" s="81"/>
      <c r="O2128" s="81"/>
      <c r="P2128" s="81"/>
      <c r="Q2128" s="81"/>
      <c r="R2128" s="81"/>
      <c r="S2128" s="81"/>
      <c r="T2128" s="81"/>
      <c r="U2128" s="81"/>
      <c r="V2128" s="94"/>
      <c r="W2128" s="94"/>
    </row>
    <row r="2129" spans="1:23" ht="21" customHeight="1">
      <c r="A2129">
        <f>Table4[[#This Row],[Column1]]</f>
        <v>0</v>
      </c>
      <c r="B2129">
        <f>Table4[[#This Row],[Column2]]</f>
        <v>0</v>
      </c>
      <c r="C2129" s="81"/>
      <c r="D2129" s="81"/>
      <c r="E2129" s="81"/>
      <c r="F2129" s="81"/>
      <c r="G2129" s="81"/>
      <c r="H2129" s="81"/>
      <c r="I2129" s="81"/>
      <c r="J2129" s="81"/>
      <c r="K2129" s="81"/>
      <c r="L2129" s="81"/>
      <c r="M2129" s="81"/>
      <c r="N2129" s="81"/>
      <c r="O2129" s="81"/>
      <c r="P2129" s="81"/>
      <c r="Q2129" s="81"/>
      <c r="R2129" s="81"/>
      <c r="S2129" s="81"/>
      <c r="T2129" s="81"/>
      <c r="U2129" s="81"/>
      <c r="V2129" s="94"/>
      <c r="W2129" s="94"/>
    </row>
    <row r="2130" spans="1:23" ht="21" customHeight="1">
      <c r="A2130">
        <f>Table4[[#This Row],[Column1]]</f>
        <v>0</v>
      </c>
      <c r="B2130">
        <f>Table4[[#This Row],[Column2]]</f>
        <v>0</v>
      </c>
      <c r="C2130" s="81"/>
      <c r="D2130" s="81"/>
      <c r="E2130" s="81"/>
      <c r="F2130" s="81"/>
      <c r="G2130" s="81"/>
      <c r="H2130" s="81"/>
      <c r="I2130" s="81"/>
      <c r="J2130" s="81"/>
      <c r="K2130" s="81"/>
      <c r="L2130" s="81"/>
      <c r="M2130" s="81"/>
      <c r="N2130" s="81"/>
      <c r="O2130" s="81"/>
      <c r="P2130" s="81"/>
      <c r="Q2130" s="81"/>
      <c r="R2130" s="81"/>
      <c r="S2130" s="81"/>
      <c r="T2130" s="81"/>
      <c r="U2130" s="81"/>
      <c r="V2130" s="94"/>
      <c r="W2130" s="94"/>
    </row>
    <row r="2131" spans="1:23" ht="21" customHeight="1">
      <c r="A2131">
        <f>Table4[[#This Row],[Column1]]</f>
        <v>0</v>
      </c>
      <c r="B2131">
        <f>Table4[[#This Row],[Column2]]</f>
        <v>0</v>
      </c>
      <c r="C2131" s="81"/>
      <c r="D2131" s="81"/>
      <c r="E2131" s="81"/>
      <c r="F2131" s="81"/>
      <c r="G2131" s="81"/>
      <c r="H2131" s="81"/>
      <c r="I2131" s="81"/>
      <c r="J2131" s="81"/>
      <c r="K2131" s="81"/>
      <c r="L2131" s="81"/>
      <c r="M2131" s="81"/>
      <c r="N2131" s="81"/>
      <c r="O2131" s="81"/>
      <c r="P2131" s="81"/>
      <c r="Q2131" s="81"/>
      <c r="R2131" s="81"/>
      <c r="S2131" s="81"/>
      <c r="T2131" s="81"/>
      <c r="U2131" s="81"/>
      <c r="V2131" s="94"/>
      <c r="W2131" s="94"/>
    </row>
    <row r="2132" spans="1:23" ht="21" customHeight="1">
      <c r="A2132">
        <f>Table4[[#This Row],[Column1]]</f>
        <v>0</v>
      </c>
      <c r="B2132">
        <f>Table4[[#This Row],[Column2]]</f>
        <v>0</v>
      </c>
      <c r="C2132" s="81"/>
      <c r="D2132" s="81"/>
      <c r="E2132" s="81"/>
      <c r="F2132" s="81"/>
      <c r="G2132" s="81"/>
      <c r="H2132" s="81"/>
      <c r="I2132" s="81"/>
      <c r="J2132" s="81"/>
      <c r="K2132" s="81"/>
      <c r="L2132" s="81"/>
      <c r="M2132" s="81"/>
      <c r="N2132" s="81"/>
      <c r="O2132" s="81"/>
      <c r="P2132" s="81"/>
      <c r="Q2132" s="81"/>
      <c r="R2132" s="81"/>
      <c r="S2132" s="81"/>
      <c r="T2132" s="81"/>
      <c r="U2132" s="81"/>
      <c r="V2132" s="94"/>
      <c r="W2132" s="94"/>
    </row>
    <row r="2133" spans="1:23" ht="21" customHeight="1">
      <c r="A2133">
        <f>Table4[[#This Row],[Column1]]</f>
        <v>0</v>
      </c>
      <c r="B2133">
        <f>Table4[[#This Row],[Column2]]</f>
        <v>0</v>
      </c>
      <c r="C2133" s="81"/>
      <c r="D2133" s="81"/>
      <c r="E2133" s="81"/>
      <c r="F2133" s="81"/>
      <c r="G2133" s="81"/>
      <c r="H2133" s="81"/>
      <c r="I2133" s="81"/>
      <c r="J2133" s="81"/>
      <c r="K2133" s="81"/>
      <c r="L2133" s="81"/>
      <c r="M2133" s="81"/>
      <c r="N2133" s="81"/>
      <c r="O2133" s="81"/>
      <c r="P2133" s="81"/>
      <c r="Q2133" s="81"/>
      <c r="R2133" s="81"/>
      <c r="S2133" s="81"/>
      <c r="T2133" s="81"/>
      <c r="U2133" s="81"/>
      <c r="V2133" s="94"/>
      <c r="W2133" s="94"/>
    </row>
    <row r="2134" spans="1:23" ht="21" customHeight="1">
      <c r="A2134">
        <f>Table4[[#This Row],[Column1]]</f>
        <v>0</v>
      </c>
      <c r="B2134">
        <f>Table4[[#This Row],[Column2]]</f>
        <v>0</v>
      </c>
      <c r="C2134" s="81"/>
      <c r="D2134" s="81"/>
      <c r="E2134" s="81"/>
      <c r="F2134" s="81"/>
      <c r="G2134" s="81"/>
      <c r="H2134" s="81"/>
      <c r="I2134" s="81"/>
      <c r="J2134" s="81"/>
      <c r="K2134" s="81"/>
      <c r="L2134" s="81"/>
      <c r="M2134" s="81"/>
      <c r="N2134" s="81"/>
      <c r="O2134" s="81"/>
      <c r="P2134" s="81"/>
      <c r="Q2134" s="81"/>
      <c r="R2134" s="81"/>
      <c r="S2134" s="81"/>
      <c r="T2134" s="81"/>
      <c r="U2134" s="81"/>
      <c r="V2134" s="94"/>
      <c r="W2134" s="94"/>
    </row>
    <row r="2135" spans="1:23" ht="21" customHeight="1">
      <c r="A2135">
        <f>Table4[[#This Row],[Column1]]</f>
        <v>0</v>
      </c>
      <c r="B2135">
        <f>Table4[[#This Row],[Column2]]</f>
        <v>0</v>
      </c>
      <c r="C2135" s="81"/>
      <c r="D2135" s="81"/>
      <c r="E2135" s="81"/>
      <c r="F2135" s="81"/>
      <c r="G2135" s="81"/>
      <c r="H2135" s="81"/>
      <c r="I2135" s="81"/>
      <c r="J2135" s="81"/>
      <c r="K2135" s="81"/>
      <c r="L2135" s="81"/>
      <c r="M2135" s="81"/>
      <c r="N2135" s="81"/>
      <c r="O2135" s="81"/>
      <c r="P2135" s="81"/>
      <c r="Q2135" s="81"/>
      <c r="R2135" s="81"/>
      <c r="S2135" s="81"/>
      <c r="T2135" s="81"/>
      <c r="U2135" s="81"/>
      <c r="V2135" s="94"/>
      <c r="W2135" s="94"/>
    </row>
    <row r="2136" spans="1:23" ht="21" customHeight="1">
      <c r="A2136">
        <f>Table4[[#This Row],[Column1]]</f>
        <v>0</v>
      </c>
      <c r="B2136">
        <f>Table4[[#This Row],[Column2]]</f>
        <v>0</v>
      </c>
      <c r="C2136" s="81"/>
      <c r="D2136" s="81"/>
      <c r="E2136" s="81"/>
      <c r="F2136" s="81"/>
      <c r="G2136" s="81"/>
      <c r="H2136" s="81"/>
      <c r="I2136" s="81"/>
      <c r="J2136" s="81"/>
      <c r="K2136" s="81"/>
      <c r="L2136" s="81"/>
      <c r="M2136" s="81"/>
      <c r="N2136" s="81"/>
      <c r="O2136" s="81"/>
      <c r="P2136" s="81"/>
      <c r="Q2136" s="81"/>
      <c r="R2136" s="81"/>
      <c r="S2136" s="81"/>
      <c r="T2136" s="81"/>
      <c r="U2136" s="81"/>
      <c r="V2136" s="94"/>
      <c r="W2136" s="94"/>
    </row>
    <row r="2137" spans="1:23" ht="21" customHeight="1">
      <c r="A2137">
        <f>Table4[[#This Row],[Column1]]</f>
        <v>0</v>
      </c>
      <c r="B2137">
        <f>Table4[[#This Row],[Column2]]</f>
        <v>0</v>
      </c>
      <c r="C2137" s="81"/>
      <c r="D2137" s="81"/>
      <c r="E2137" s="81"/>
      <c r="F2137" s="81"/>
      <c r="G2137" s="81"/>
      <c r="H2137" s="81"/>
      <c r="I2137" s="81"/>
      <c r="J2137" s="81"/>
      <c r="K2137" s="81"/>
      <c r="L2137" s="81"/>
      <c r="M2137" s="81"/>
      <c r="N2137" s="81"/>
      <c r="O2137" s="81"/>
      <c r="P2137" s="81"/>
      <c r="Q2137" s="81"/>
      <c r="R2137" s="81"/>
      <c r="S2137" s="81"/>
      <c r="T2137" s="81"/>
      <c r="U2137" s="81"/>
      <c r="V2137" s="94"/>
      <c r="W2137" s="94"/>
    </row>
    <row r="2138" spans="1:23" ht="21" customHeight="1">
      <c r="A2138">
        <f>Table4[[#This Row],[Column1]]</f>
        <v>0</v>
      </c>
      <c r="B2138">
        <f>Table4[[#This Row],[Column2]]</f>
        <v>0</v>
      </c>
      <c r="C2138" s="81"/>
      <c r="D2138" s="81"/>
      <c r="E2138" s="81"/>
      <c r="F2138" s="81"/>
      <c r="G2138" s="81"/>
      <c r="H2138" s="81"/>
      <c r="I2138" s="81"/>
      <c r="J2138" s="81"/>
      <c r="K2138" s="81"/>
      <c r="L2138" s="81"/>
      <c r="M2138" s="81"/>
      <c r="N2138" s="81"/>
      <c r="O2138" s="81"/>
      <c r="P2138" s="81"/>
      <c r="Q2138" s="81"/>
      <c r="R2138" s="81"/>
      <c r="S2138" s="81"/>
      <c r="T2138" s="81"/>
      <c r="U2138" s="81"/>
      <c r="V2138" s="94"/>
      <c r="W2138" s="94"/>
    </row>
    <row r="2139" spans="1:23" ht="21" customHeight="1">
      <c r="A2139">
        <f>Table4[[#This Row],[Column1]]</f>
        <v>0</v>
      </c>
      <c r="B2139">
        <f>Table4[[#This Row],[Column2]]</f>
        <v>0</v>
      </c>
      <c r="C2139" s="81"/>
      <c r="D2139" s="81"/>
      <c r="E2139" s="81"/>
      <c r="F2139" s="81"/>
      <c r="G2139" s="81"/>
      <c r="H2139" s="81"/>
      <c r="I2139" s="81"/>
      <c r="J2139" s="81"/>
      <c r="K2139" s="81"/>
      <c r="L2139" s="81"/>
      <c r="M2139" s="81"/>
      <c r="N2139" s="81"/>
      <c r="O2139" s="81"/>
      <c r="P2139" s="81"/>
      <c r="Q2139" s="81"/>
      <c r="R2139" s="81"/>
      <c r="S2139" s="81"/>
      <c r="T2139" s="81"/>
      <c r="U2139" s="81"/>
      <c r="V2139" s="94"/>
      <c r="W2139" s="94"/>
    </row>
    <row r="2140" spans="1:23" ht="21" customHeight="1">
      <c r="A2140">
        <f>Table4[[#This Row],[Column1]]</f>
        <v>0</v>
      </c>
      <c r="B2140">
        <f>Table4[[#This Row],[Column2]]</f>
        <v>0</v>
      </c>
      <c r="C2140" s="81"/>
      <c r="D2140" s="81"/>
      <c r="E2140" s="81"/>
      <c r="F2140" s="81"/>
      <c r="G2140" s="81"/>
      <c r="H2140" s="81"/>
      <c r="I2140" s="81"/>
      <c r="J2140" s="81"/>
      <c r="K2140" s="81"/>
      <c r="L2140" s="81"/>
      <c r="M2140" s="81"/>
      <c r="N2140" s="81"/>
      <c r="O2140" s="81"/>
      <c r="P2140" s="81"/>
      <c r="Q2140" s="81"/>
      <c r="R2140" s="81"/>
      <c r="S2140" s="81"/>
      <c r="T2140" s="81"/>
      <c r="U2140" s="81"/>
      <c r="V2140" s="94"/>
      <c r="W2140" s="94"/>
    </row>
    <row r="2141" spans="1:23" ht="21" customHeight="1">
      <c r="A2141">
        <f>Table4[[#This Row],[Column1]]</f>
        <v>0</v>
      </c>
      <c r="B2141">
        <f>Table4[[#This Row],[Column2]]</f>
        <v>0</v>
      </c>
      <c r="C2141" s="81"/>
      <c r="D2141" s="81"/>
      <c r="E2141" s="81"/>
      <c r="F2141" s="81"/>
      <c r="G2141" s="81"/>
      <c r="H2141" s="81"/>
      <c r="I2141" s="81"/>
      <c r="J2141" s="81"/>
      <c r="K2141" s="81"/>
      <c r="L2141" s="81"/>
      <c r="M2141" s="81"/>
      <c r="N2141" s="81"/>
      <c r="O2141" s="81"/>
      <c r="P2141" s="81"/>
      <c r="Q2141" s="81"/>
      <c r="R2141" s="81"/>
      <c r="S2141" s="81"/>
      <c r="T2141" s="81"/>
      <c r="U2141" s="81"/>
      <c r="V2141" s="94"/>
      <c r="W2141" s="94"/>
    </row>
    <row r="2142" spans="1:23" ht="21" customHeight="1">
      <c r="A2142">
        <f>Table4[[#This Row],[Column1]]</f>
        <v>0</v>
      </c>
      <c r="B2142">
        <f>Table4[[#This Row],[Column2]]</f>
        <v>0</v>
      </c>
      <c r="C2142" s="81"/>
      <c r="D2142" s="81"/>
      <c r="E2142" s="81"/>
      <c r="F2142" s="81"/>
      <c r="G2142" s="81"/>
      <c r="H2142" s="81"/>
      <c r="I2142" s="81"/>
      <c r="J2142" s="81"/>
      <c r="K2142" s="81"/>
      <c r="L2142" s="81"/>
      <c r="M2142" s="81"/>
      <c r="N2142" s="81"/>
      <c r="O2142" s="81"/>
      <c r="P2142" s="81"/>
      <c r="Q2142" s="81"/>
      <c r="R2142" s="81"/>
      <c r="S2142" s="81"/>
      <c r="T2142" s="81"/>
      <c r="U2142" s="81"/>
      <c r="V2142" s="94"/>
      <c r="W2142" s="94"/>
    </row>
    <row r="2143" spans="1:23" ht="21" customHeight="1">
      <c r="A2143">
        <f>Table4[[#This Row],[Column1]]</f>
        <v>0</v>
      </c>
      <c r="B2143">
        <f>Table4[[#This Row],[Column2]]</f>
        <v>0</v>
      </c>
      <c r="C2143" s="81"/>
      <c r="D2143" s="81"/>
      <c r="E2143" s="81"/>
      <c r="F2143" s="81"/>
      <c r="G2143" s="81"/>
      <c r="H2143" s="81"/>
      <c r="I2143" s="81"/>
      <c r="J2143" s="81"/>
      <c r="K2143" s="81"/>
      <c r="L2143" s="81"/>
      <c r="M2143" s="81"/>
      <c r="N2143" s="81"/>
      <c r="O2143" s="81"/>
      <c r="P2143" s="81"/>
      <c r="Q2143" s="81"/>
      <c r="R2143" s="81"/>
      <c r="S2143" s="81"/>
      <c r="T2143" s="81"/>
      <c r="U2143" s="81"/>
      <c r="V2143" s="94"/>
      <c r="W2143" s="94"/>
    </row>
    <row r="2144" spans="1:23" ht="21" customHeight="1">
      <c r="A2144">
        <f>Table4[[#This Row],[Column1]]</f>
        <v>0</v>
      </c>
      <c r="B2144">
        <f>Table4[[#This Row],[Column2]]</f>
        <v>0</v>
      </c>
      <c r="C2144" s="81"/>
      <c r="D2144" s="81"/>
      <c r="E2144" s="81"/>
      <c r="F2144" s="81"/>
      <c r="G2144" s="81"/>
      <c r="H2144" s="81"/>
      <c r="I2144" s="81"/>
      <c r="J2144" s="81"/>
      <c r="K2144" s="81"/>
      <c r="L2144" s="81"/>
      <c r="M2144" s="81"/>
      <c r="N2144" s="81"/>
      <c r="O2144" s="81"/>
      <c r="P2144" s="81"/>
      <c r="Q2144" s="81"/>
      <c r="R2144" s="81"/>
      <c r="S2144" s="81"/>
      <c r="T2144" s="81"/>
      <c r="U2144" s="81"/>
      <c r="V2144" s="94"/>
      <c r="W2144" s="94"/>
    </row>
    <row r="2145" spans="1:23" ht="21" customHeight="1">
      <c r="A2145">
        <f>Table4[[#This Row],[Column1]]</f>
        <v>0</v>
      </c>
      <c r="B2145">
        <f>Table4[[#This Row],[Column2]]</f>
        <v>0</v>
      </c>
      <c r="C2145" s="81"/>
      <c r="D2145" s="81"/>
      <c r="E2145" s="81"/>
      <c r="F2145" s="81"/>
      <c r="G2145" s="81"/>
      <c r="H2145" s="81"/>
      <c r="I2145" s="81"/>
      <c r="J2145" s="81"/>
      <c r="K2145" s="81"/>
      <c r="L2145" s="81"/>
      <c r="M2145" s="81"/>
      <c r="N2145" s="81"/>
      <c r="O2145" s="81"/>
      <c r="P2145" s="81"/>
      <c r="Q2145" s="81"/>
      <c r="R2145" s="81"/>
      <c r="S2145" s="81"/>
      <c r="T2145" s="81"/>
      <c r="U2145" s="81"/>
      <c r="V2145" s="94"/>
      <c r="W2145" s="94"/>
    </row>
    <row r="2146" spans="1:23" ht="21" customHeight="1">
      <c r="A2146">
        <f>Table4[[#This Row],[Column1]]</f>
        <v>0</v>
      </c>
      <c r="B2146">
        <f>Table4[[#This Row],[Column2]]</f>
        <v>0</v>
      </c>
      <c r="C2146" s="81"/>
      <c r="D2146" s="81"/>
      <c r="E2146" s="81"/>
      <c r="F2146" s="81"/>
      <c r="G2146" s="81"/>
      <c r="H2146" s="81"/>
      <c r="I2146" s="81"/>
      <c r="J2146" s="81"/>
      <c r="K2146" s="81"/>
      <c r="L2146" s="81"/>
      <c r="M2146" s="81"/>
      <c r="N2146" s="81"/>
      <c r="O2146" s="81"/>
      <c r="P2146" s="81"/>
      <c r="Q2146" s="81"/>
      <c r="R2146" s="81"/>
      <c r="S2146" s="81"/>
      <c r="T2146" s="81"/>
      <c r="U2146" s="81"/>
      <c r="V2146" s="94"/>
      <c r="W2146" s="94"/>
    </row>
    <row r="2147" spans="1:23" ht="21" customHeight="1">
      <c r="A2147">
        <f>Table4[[#This Row],[Column1]]</f>
        <v>0</v>
      </c>
      <c r="B2147">
        <f>Table4[[#This Row],[Column2]]</f>
        <v>0</v>
      </c>
      <c r="C2147" s="81"/>
      <c r="D2147" s="81"/>
      <c r="E2147" s="81"/>
      <c r="F2147" s="81"/>
      <c r="G2147" s="81"/>
      <c r="H2147" s="81"/>
      <c r="I2147" s="81"/>
      <c r="J2147" s="81"/>
      <c r="K2147" s="81"/>
      <c r="L2147" s="81"/>
      <c r="M2147" s="81"/>
      <c r="N2147" s="81"/>
      <c r="O2147" s="81"/>
      <c r="P2147" s="81"/>
      <c r="Q2147" s="81"/>
      <c r="R2147" s="81"/>
      <c r="S2147" s="81"/>
      <c r="T2147" s="81"/>
      <c r="U2147" s="81"/>
      <c r="V2147" s="94"/>
      <c r="W2147" s="94"/>
    </row>
    <row r="2148" spans="1:23" ht="21" customHeight="1">
      <c r="A2148">
        <f>Table4[[#This Row],[Column1]]</f>
        <v>0</v>
      </c>
      <c r="B2148">
        <f>Table4[[#This Row],[Column2]]</f>
        <v>0</v>
      </c>
      <c r="C2148" s="81"/>
      <c r="D2148" s="81"/>
      <c r="E2148" s="81"/>
      <c r="F2148" s="81"/>
      <c r="G2148" s="81"/>
      <c r="H2148" s="81"/>
      <c r="I2148" s="81"/>
      <c r="J2148" s="81"/>
      <c r="K2148" s="81"/>
      <c r="L2148" s="81"/>
      <c r="M2148" s="81"/>
      <c r="N2148" s="81"/>
      <c r="O2148" s="81"/>
      <c r="P2148" s="81"/>
      <c r="Q2148" s="81"/>
      <c r="R2148" s="81"/>
      <c r="S2148" s="81"/>
      <c r="T2148" s="81"/>
      <c r="U2148" s="81"/>
      <c r="V2148" s="94"/>
      <c r="W2148" s="94"/>
    </row>
    <row r="2149" spans="1:23" ht="21" customHeight="1">
      <c r="A2149">
        <f>Table4[[#This Row],[Column1]]</f>
        <v>0</v>
      </c>
      <c r="B2149">
        <f>Table4[[#This Row],[Column2]]</f>
        <v>0</v>
      </c>
      <c r="C2149" s="81"/>
      <c r="D2149" s="81"/>
      <c r="E2149" s="81"/>
      <c r="F2149" s="81"/>
      <c r="G2149" s="81"/>
      <c r="H2149" s="81"/>
      <c r="I2149" s="81"/>
      <c r="J2149" s="81"/>
      <c r="K2149" s="81"/>
      <c r="L2149" s="81"/>
      <c r="M2149" s="81"/>
      <c r="N2149" s="81"/>
      <c r="O2149" s="81"/>
      <c r="P2149" s="81"/>
      <c r="Q2149" s="81"/>
      <c r="R2149" s="81"/>
      <c r="S2149" s="81"/>
      <c r="T2149" s="81"/>
      <c r="U2149" s="81"/>
      <c r="V2149" s="94"/>
      <c r="W2149" s="94"/>
    </row>
    <row r="2150" spans="1:23" ht="21" customHeight="1">
      <c r="A2150">
        <f>Table4[[#This Row],[Column1]]</f>
        <v>0</v>
      </c>
      <c r="B2150">
        <f>Table4[[#This Row],[Column2]]</f>
        <v>0</v>
      </c>
      <c r="C2150" s="81"/>
      <c r="D2150" s="81"/>
      <c r="E2150" s="81"/>
      <c r="F2150" s="81"/>
      <c r="G2150" s="81"/>
      <c r="H2150" s="81"/>
      <c r="I2150" s="81"/>
      <c r="J2150" s="81"/>
      <c r="K2150" s="81"/>
      <c r="L2150" s="81"/>
      <c r="M2150" s="81"/>
      <c r="N2150" s="81"/>
      <c r="O2150" s="81"/>
      <c r="P2150" s="81"/>
      <c r="Q2150" s="81"/>
      <c r="R2150" s="81"/>
      <c r="S2150" s="81"/>
      <c r="T2150" s="81"/>
      <c r="U2150" s="81"/>
      <c r="V2150" s="94"/>
      <c r="W2150" s="94"/>
    </row>
    <row r="2151" spans="1:23" ht="21" customHeight="1">
      <c r="A2151">
        <f>Table4[[#This Row],[Column1]]</f>
        <v>0</v>
      </c>
      <c r="B2151">
        <f>Table4[[#This Row],[Column2]]</f>
        <v>0</v>
      </c>
      <c r="C2151" s="81"/>
      <c r="D2151" s="81"/>
      <c r="E2151" s="81"/>
      <c r="F2151" s="81"/>
      <c r="G2151" s="81"/>
      <c r="H2151" s="81"/>
      <c r="I2151" s="81"/>
      <c r="J2151" s="81"/>
      <c r="K2151" s="81"/>
      <c r="L2151" s="81"/>
      <c r="M2151" s="81"/>
      <c r="N2151" s="81"/>
      <c r="O2151" s="81"/>
      <c r="P2151" s="81"/>
      <c r="Q2151" s="81"/>
      <c r="R2151" s="81"/>
      <c r="S2151" s="81"/>
      <c r="T2151" s="81"/>
      <c r="U2151" s="81"/>
      <c r="V2151" s="94"/>
      <c r="W2151" s="94"/>
    </row>
    <row r="2152" spans="1:23" ht="21" customHeight="1">
      <c r="A2152">
        <f>Table4[[#This Row],[Column1]]</f>
        <v>0</v>
      </c>
      <c r="B2152">
        <f>Table4[[#This Row],[Column2]]</f>
        <v>0</v>
      </c>
      <c r="C2152" s="81"/>
      <c r="D2152" s="81"/>
      <c r="E2152" s="81"/>
      <c r="F2152" s="81"/>
      <c r="G2152" s="81"/>
      <c r="H2152" s="81"/>
      <c r="I2152" s="81"/>
      <c r="J2152" s="81"/>
      <c r="K2152" s="81"/>
      <c r="L2152" s="81"/>
      <c r="M2152" s="81"/>
      <c r="N2152" s="81"/>
      <c r="O2152" s="81"/>
      <c r="P2152" s="81"/>
      <c r="Q2152" s="81"/>
      <c r="R2152" s="81"/>
      <c r="S2152" s="81"/>
      <c r="T2152" s="81"/>
      <c r="U2152" s="81"/>
      <c r="V2152" s="94"/>
      <c r="W2152" s="94"/>
    </row>
    <row r="2153" spans="1:23" ht="21" customHeight="1">
      <c r="A2153">
        <f>Table4[[#This Row],[Column1]]</f>
        <v>0</v>
      </c>
      <c r="B2153">
        <f>Table4[[#This Row],[Column2]]</f>
        <v>0</v>
      </c>
      <c r="C2153" s="81"/>
      <c r="D2153" s="81"/>
      <c r="E2153" s="81"/>
      <c r="F2153" s="81"/>
      <c r="G2153" s="81"/>
      <c r="H2153" s="81"/>
      <c r="I2153" s="81"/>
      <c r="J2153" s="81"/>
      <c r="K2153" s="81"/>
      <c r="L2153" s="81"/>
      <c r="M2153" s="81"/>
      <c r="N2153" s="81"/>
      <c r="O2153" s="81"/>
      <c r="P2153" s="81"/>
      <c r="Q2153" s="81"/>
      <c r="R2153" s="81"/>
      <c r="S2153" s="81"/>
      <c r="T2153" s="81"/>
      <c r="U2153" s="81"/>
      <c r="V2153" s="94"/>
      <c r="W2153" s="94"/>
    </row>
    <row r="2154" spans="1:23" ht="21" customHeight="1">
      <c r="A2154">
        <f>Table4[[#This Row],[Column1]]</f>
        <v>0</v>
      </c>
      <c r="B2154">
        <f>Table4[[#This Row],[Column2]]</f>
        <v>0</v>
      </c>
      <c r="C2154" s="81"/>
      <c r="D2154" s="81"/>
      <c r="E2154" s="81"/>
      <c r="F2154" s="81"/>
      <c r="G2154" s="81"/>
      <c r="H2154" s="81"/>
      <c r="I2154" s="81"/>
      <c r="J2154" s="81"/>
      <c r="K2154" s="81"/>
      <c r="L2154" s="81"/>
      <c r="M2154" s="81"/>
      <c r="N2154" s="81"/>
      <c r="O2154" s="81"/>
      <c r="P2154" s="81"/>
      <c r="Q2154" s="81"/>
      <c r="R2154" s="81"/>
      <c r="S2154" s="81"/>
      <c r="T2154" s="81"/>
      <c r="U2154" s="81"/>
      <c r="V2154" s="94"/>
      <c r="W2154" s="94"/>
    </row>
    <row r="2155" spans="1:23" ht="21" customHeight="1">
      <c r="A2155">
        <f>Table4[[#This Row],[Column1]]</f>
        <v>0</v>
      </c>
      <c r="B2155">
        <f>Table4[[#This Row],[Column2]]</f>
        <v>0</v>
      </c>
      <c r="C2155" s="81"/>
      <c r="D2155" s="81"/>
      <c r="E2155" s="81"/>
      <c r="F2155" s="81"/>
      <c r="G2155" s="81"/>
      <c r="H2155" s="81"/>
      <c r="I2155" s="81"/>
      <c r="J2155" s="81"/>
      <c r="K2155" s="81"/>
      <c r="L2155" s="81"/>
      <c r="M2155" s="81"/>
      <c r="N2155" s="81"/>
      <c r="O2155" s="81"/>
      <c r="P2155" s="81"/>
      <c r="Q2155" s="81"/>
      <c r="R2155" s="81"/>
      <c r="S2155" s="81"/>
      <c r="T2155" s="81"/>
      <c r="U2155" s="81"/>
      <c r="V2155" s="94"/>
      <c r="W2155" s="94"/>
    </row>
    <row r="2156" spans="1:23" ht="21" customHeight="1">
      <c r="A2156">
        <f>Table4[[#This Row],[Column1]]</f>
        <v>0</v>
      </c>
      <c r="B2156">
        <f>Table4[[#This Row],[Column2]]</f>
        <v>0</v>
      </c>
      <c r="C2156" s="81"/>
      <c r="D2156" s="81"/>
      <c r="E2156" s="81"/>
      <c r="F2156" s="81"/>
      <c r="G2156" s="81"/>
      <c r="H2156" s="81"/>
      <c r="I2156" s="81"/>
      <c r="J2156" s="81"/>
      <c r="K2156" s="81"/>
      <c r="L2156" s="81"/>
      <c r="M2156" s="81"/>
      <c r="N2156" s="81"/>
      <c r="O2156" s="81"/>
      <c r="P2156" s="81"/>
      <c r="Q2156" s="81"/>
      <c r="R2156" s="81"/>
      <c r="S2156" s="81"/>
      <c r="T2156" s="81"/>
      <c r="U2156" s="81"/>
      <c r="V2156" s="94"/>
      <c r="W2156" s="94"/>
    </row>
    <row r="2157" spans="1:23" ht="21" customHeight="1">
      <c r="A2157">
        <f>Table4[[#This Row],[Column1]]</f>
        <v>0</v>
      </c>
      <c r="B2157">
        <f>Table4[[#This Row],[Column2]]</f>
        <v>0</v>
      </c>
      <c r="C2157" s="81"/>
      <c r="D2157" s="81"/>
      <c r="E2157" s="81"/>
      <c r="F2157" s="81"/>
      <c r="G2157" s="81"/>
      <c r="H2157" s="81"/>
      <c r="I2157" s="81"/>
      <c r="J2157" s="81"/>
      <c r="K2157" s="81"/>
      <c r="L2157" s="81"/>
      <c r="M2157" s="81"/>
      <c r="N2157" s="81"/>
      <c r="O2157" s="81"/>
      <c r="P2157" s="81"/>
      <c r="Q2157" s="81"/>
      <c r="R2157" s="81"/>
      <c r="S2157" s="81"/>
      <c r="T2157" s="81"/>
      <c r="U2157" s="81"/>
      <c r="V2157" s="94"/>
      <c r="W2157" s="94"/>
    </row>
    <row r="2158" spans="1:23" ht="21" customHeight="1">
      <c r="A2158">
        <f>Table4[[#This Row],[Column1]]</f>
        <v>0</v>
      </c>
      <c r="B2158">
        <f>Table4[[#This Row],[Column2]]</f>
        <v>0</v>
      </c>
      <c r="C2158" s="81"/>
      <c r="D2158" s="81"/>
      <c r="E2158" s="81"/>
      <c r="F2158" s="81"/>
      <c r="G2158" s="81"/>
      <c r="H2158" s="81"/>
      <c r="I2158" s="81"/>
      <c r="J2158" s="81"/>
      <c r="K2158" s="81"/>
      <c r="L2158" s="81"/>
      <c r="M2158" s="81"/>
      <c r="N2158" s="81"/>
      <c r="O2158" s="81"/>
      <c r="P2158" s="81"/>
      <c r="Q2158" s="81"/>
      <c r="R2158" s="81"/>
      <c r="S2158" s="81"/>
      <c r="T2158" s="81"/>
      <c r="U2158" s="81"/>
      <c r="V2158" s="94"/>
      <c r="W2158" s="94"/>
    </row>
    <row r="2159" spans="1:23" ht="21" customHeight="1">
      <c r="A2159">
        <f>Table4[[#This Row],[Column1]]</f>
        <v>0</v>
      </c>
      <c r="B2159">
        <f>Table4[[#This Row],[Column2]]</f>
        <v>0</v>
      </c>
      <c r="C2159" s="81"/>
      <c r="D2159" s="81"/>
      <c r="E2159" s="81"/>
      <c r="F2159" s="81"/>
      <c r="G2159" s="81"/>
      <c r="H2159" s="81"/>
      <c r="I2159" s="81"/>
      <c r="J2159" s="81"/>
      <c r="K2159" s="81"/>
      <c r="L2159" s="81"/>
      <c r="M2159" s="81"/>
      <c r="N2159" s="81"/>
      <c r="O2159" s="81"/>
      <c r="P2159" s="81"/>
      <c r="Q2159" s="81"/>
      <c r="R2159" s="81"/>
      <c r="S2159" s="81"/>
      <c r="T2159" s="81"/>
      <c r="U2159" s="81"/>
      <c r="V2159" s="94"/>
      <c r="W2159" s="94"/>
    </row>
    <row r="2160" spans="1:23" ht="21" customHeight="1">
      <c r="A2160">
        <f>Table4[[#This Row],[Column1]]</f>
        <v>0</v>
      </c>
      <c r="B2160">
        <f>Table4[[#This Row],[Column2]]</f>
        <v>0</v>
      </c>
      <c r="C2160" s="81"/>
      <c r="D2160" s="81"/>
      <c r="E2160" s="81"/>
      <c r="F2160" s="81"/>
      <c r="G2160" s="81"/>
      <c r="H2160" s="81"/>
      <c r="I2160" s="81"/>
      <c r="J2160" s="81"/>
      <c r="K2160" s="81"/>
      <c r="L2160" s="81"/>
      <c r="M2160" s="81"/>
      <c r="N2160" s="81"/>
      <c r="O2160" s="81"/>
      <c r="P2160" s="81"/>
      <c r="Q2160" s="81"/>
      <c r="R2160" s="81"/>
      <c r="S2160" s="81"/>
      <c r="T2160" s="81"/>
      <c r="U2160" s="81"/>
      <c r="V2160" s="94"/>
      <c r="W2160" s="94"/>
    </row>
    <row r="2161" spans="1:23" ht="21" customHeight="1">
      <c r="A2161">
        <f>Table4[[#This Row],[Column1]]</f>
        <v>0</v>
      </c>
      <c r="B2161">
        <f>Table4[[#This Row],[Column2]]</f>
        <v>0</v>
      </c>
      <c r="C2161" s="81"/>
      <c r="D2161" s="81"/>
      <c r="E2161" s="81"/>
      <c r="F2161" s="81"/>
      <c r="G2161" s="81"/>
      <c r="H2161" s="81"/>
      <c r="I2161" s="81"/>
      <c r="J2161" s="81"/>
      <c r="K2161" s="81"/>
      <c r="L2161" s="81"/>
      <c r="M2161" s="81"/>
      <c r="N2161" s="81"/>
      <c r="O2161" s="81"/>
      <c r="P2161" s="81"/>
      <c r="Q2161" s="81"/>
      <c r="R2161" s="81"/>
      <c r="S2161" s="81"/>
      <c r="T2161" s="81"/>
      <c r="U2161" s="81"/>
      <c r="V2161" s="94"/>
      <c r="W2161" s="94"/>
    </row>
    <row r="2162" spans="1:23" ht="21" customHeight="1">
      <c r="A2162">
        <f>Table4[[#This Row],[Column1]]</f>
        <v>0</v>
      </c>
      <c r="B2162">
        <f>Table4[[#This Row],[Column2]]</f>
        <v>0</v>
      </c>
      <c r="C2162" s="81"/>
      <c r="D2162" s="81"/>
      <c r="E2162" s="81"/>
      <c r="F2162" s="81"/>
      <c r="G2162" s="81"/>
      <c r="H2162" s="81"/>
      <c r="I2162" s="81"/>
      <c r="J2162" s="81"/>
      <c r="K2162" s="81"/>
      <c r="L2162" s="81"/>
      <c r="M2162" s="81"/>
      <c r="N2162" s="81"/>
      <c r="O2162" s="81"/>
      <c r="P2162" s="81"/>
      <c r="Q2162" s="81"/>
      <c r="R2162" s="81"/>
      <c r="S2162" s="81"/>
      <c r="T2162" s="81"/>
      <c r="U2162" s="81"/>
      <c r="V2162" s="94"/>
      <c r="W2162" s="94"/>
    </row>
    <row r="2163" spans="1:23" ht="21" customHeight="1">
      <c r="A2163">
        <f>Table4[[#This Row],[Column1]]</f>
        <v>0</v>
      </c>
      <c r="B2163">
        <f>Table4[[#This Row],[Column2]]</f>
        <v>0</v>
      </c>
      <c r="C2163" s="81"/>
      <c r="D2163" s="81"/>
      <c r="E2163" s="81"/>
      <c r="F2163" s="81"/>
      <c r="G2163" s="81"/>
      <c r="H2163" s="81"/>
      <c r="I2163" s="81"/>
      <c r="J2163" s="81"/>
      <c r="K2163" s="81"/>
      <c r="L2163" s="81"/>
      <c r="M2163" s="81"/>
      <c r="N2163" s="81"/>
      <c r="O2163" s="81"/>
      <c r="P2163" s="81"/>
      <c r="Q2163" s="81"/>
      <c r="R2163" s="81"/>
      <c r="S2163" s="81"/>
      <c r="T2163" s="81"/>
      <c r="U2163" s="81"/>
      <c r="V2163" s="94"/>
      <c r="W2163" s="94"/>
    </row>
    <row r="2164" spans="1:23" ht="21" customHeight="1">
      <c r="A2164">
        <f>Table4[[#This Row],[Column1]]</f>
        <v>0</v>
      </c>
      <c r="B2164">
        <f>Table4[[#This Row],[Column2]]</f>
        <v>0</v>
      </c>
      <c r="C2164" s="81"/>
      <c r="D2164" s="81"/>
      <c r="E2164" s="81"/>
      <c r="F2164" s="81"/>
      <c r="G2164" s="81"/>
      <c r="H2164" s="81"/>
      <c r="I2164" s="81"/>
      <c r="J2164" s="81"/>
      <c r="K2164" s="81"/>
      <c r="L2164" s="81"/>
      <c r="M2164" s="81"/>
      <c r="N2164" s="81"/>
      <c r="O2164" s="81"/>
      <c r="P2164" s="81"/>
      <c r="Q2164" s="81"/>
      <c r="R2164" s="81"/>
      <c r="S2164" s="81"/>
      <c r="T2164" s="81"/>
      <c r="U2164" s="81"/>
      <c r="V2164" s="94"/>
      <c r="W2164" s="94"/>
    </row>
    <row r="2165" spans="1:23" ht="21" customHeight="1">
      <c r="A2165">
        <f>Table4[[#This Row],[Column1]]</f>
        <v>0</v>
      </c>
      <c r="B2165">
        <f>Table4[[#This Row],[Column2]]</f>
        <v>0</v>
      </c>
      <c r="C2165" s="81"/>
      <c r="D2165" s="81"/>
      <c r="E2165" s="81"/>
      <c r="F2165" s="81"/>
      <c r="G2165" s="81"/>
      <c r="H2165" s="81"/>
      <c r="I2165" s="81"/>
      <c r="J2165" s="81"/>
      <c r="K2165" s="81"/>
      <c r="L2165" s="81"/>
      <c r="M2165" s="81"/>
      <c r="N2165" s="81"/>
      <c r="O2165" s="81"/>
      <c r="P2165" s="81"/>
      <c r="Q2165" s="81"/>
      <c r="R2165" s="81"/>
      <c r="S2165" s="81"/>
      <c r="T2165" s="81"/>
      <c r="U2165" s="81"/>
      <c r="V2165" s="94"/>
      <c r="W2165" s="94"/>
    </row>
    <row r="2166" spans="1:23" ht="21" customHeight="1">
      <c r="A2166">
        <f>Table4[[#This Row],[Column1]]</f>
        <v>0</v>
      </c>
      <c r="B2166">
        <f>Table4[[#This Row],[Column2]]</f>
        <v>0</v>
      </c>
      <c r="C2166" s="81"/>
      <c r="D2166" s="81"/>
      <c r="E2166" s="81"/>
      <c r="F2166" s="81"/>
      <c r="G2166" s="81"/>
      <c r="H2166" s="81"/>
      <c r="I2166" s="81"/>
      <c r="J2166" s="81"/>
      <c r="K2166" s="81"/>
      <c r="L2166" s="81"/>
      <c r="M2166" s="81"/>
      <c r="N2166" s="81"/>
      <c r="O2166" s="81"/>
      <c r="P2166" s="81"/>
      <c r="Q2166" s="81"/>
      <c r="R2166" s="81"/>
      <c r="S2166" s="81"/>
      <c r="T2166" s="81"/>
      <c r="U2166" s="81"/>
      <c r="V2166" s="94"/>
      <c r="W2166" s="94"/>
    </row>
    <row r="2167" spans="1:23" ht="21" customHeight="1">
      <c r="A2167">
        <f>Table4[[#This Row],[Column1]]</f>
        <v>0</v>
      </c>
      <c r="B2167">
        <f>Table4[[#This Row],[Column2]]</f>
        <v>0</v>
      </c>
      <c r="C2167" s="81"/>
      <c r="D2167" s="81"/>
      <c r="E2167" s="81"/>
      <c r="F2167" s="81"/>
      <c r="G2167" s="81"/>
      <c r="H2167" s="81"/>
      <c r="I2167" s="81"/>
      <c r="J2167" s="81"/>
      <c r="K2167" s="81"/>
      <c r="L2167" s="81"/>
      <c r="M2167" s="81"/>
      <c r="N2167" s="81"/>
      <c r="O2167" s="81"/>
      <c r="P2167" s="81"/>
      <c r="Q2167" s="81"/>
      <c r="R2167" s="81"/>
      <c r="S2167" s="81"/>
      <c r="T2167" s="81"/>
      <c r="U2167" s="81"/>
      <c r="V2167" s="94"/>
      <c r="W2167" s="94"/>
    </row>
    <row r="2168" spans="1:23" ht="21" customHeight="1">
      <c r="A2168">
        <f>Table4[[#This Row],[Column1]]</f>
        <v>0</v>
      </c>
      <c r="B2168">
        <f>Table4[[#This Row],[Column2]]</f>
        <v>0</v>
      </c>
      <c r="C2168" s="81"/>
      <c r="D2168" s="81"/>
      <c r="E2168" s="81"/>
      <c r="F2168" s="81"/>
      <c r="G2168" s="81"/>
      <c r="H2168" s="81"/>
      <c r="I2168" s="81"/>
      <c r="J2168" s="81"/>
      <c r="K2168" s="81"/>
      <c r="L2168" s="81"/>
      <c r="M2168" s="81"/>
      <c r="N2168" s="81"/>
      <c r="O2168" s="81"/>
      <c r="P2168" s="81"/>
      <c r="Q2168" s="81"/>
      <c r="R2168" s="81"/>
      <c r="S2168" s="81"/>
      <c r="T2168" s="81"/>
      <c r="U2168" s="81"/>
      <c r="V2168" s="94"/>
      <c r="W2168" s="94"/>
    </row>
    <row r="2169" spans="1:23" ht="21" customHeight="1">
      <c r="A2169">
        <f>Table4[[#This Row],[Column1]]</f>
        <v>0</v>
      </c>
      <c r="B2169">
        <f>Table4[[#This Row],[Column2]]</f>
        <v>0</v>
      </c>
      <c r="C2169" s="81"/>
      <c r="D2169" s="81"/>
      <c r="E2169" s="81"/>
      <c r="F2169" s="81"/>
      <c r="G2169" s="81"/>
      <c r="H2169" s="81"/>
      <c r="I2169" s="81"/>
      <c r="J2169" s="81"/>
      <c r="K2169" s="81"/>
      <c r="L2169" s="81"/>
      <c r="M2169" s="81"/>
      <c r="N2169" s="81"/>
      <c r="O2169" s="81"/>
      <c r="P2169" s="81"/>
      <c r="Q2169" s="81"/>
      <c r="R2169" s="81"/>
      <c r="S2169" s="81"/>
      <c r="T2169" s="81"/>
      <c r="U2169" s="81"/>
      <c r="V2169" s="94"/>
      <c r="W2169" s="94"/>
    </row>
    <row r="2170" spans="1:23" ht="21" customHeight="1">
      <c r="A2170">
        <f>Table4[[#This Row],[Column1]]</f>
        <v>0</v>
      </c>
      <c r="B2170">
        <f>Table4[[#This Row],[Column2]]</f>
        <v>0</v>
      </c>
      <c r="C2170" s="81"/>
      <c r="D2170" s="81"/>
      <c r="E2170" s="81"/>
      <c r="F2170" s="81"/>
      <c r="G2170" s="81"/>
      <c r="H2170" s="81"/>
      <c r="I2170" s="81"/>
      <c r="J2170" s="81"/>
      <c r="K2170" s="81"/>
      <c r="L2170" s="81"/>
      <c r="M2170" s="81"/>
      <c r="N2170" s="81"/>
      <c r="O2170" s="81"/>
      <c r="P2170" s="81"/>
      <c r="Q2170" s="81"/>
      <c r="R2170" s="81"/>
      <c r="S2170" s="81"/>
      <c r="T2170" s="81"/>
      <c r="U2170" s="81"/>
      <c r="V2170" s="94"/>
      <c r="W2170" s="94"/>
    </row>
    <row r="2171" spans="1:23" ht="21" customHeight="1">
      <c r="A2171">
        <f>Table4[[#This Row],[Column1]]</f>
        <v>0</v>
      </c>
      <c r="B2171">
        <f>Table4[[#This Row],[Column2]]</f>
        <v>0</v>
      </c>
      <c r="C2171" s="81"/>
      <c r="D2171" s="81"/>
      <c r="E2171" s="81"/>
      <c r="F2171" s="81"/>
      <c r="G2171" s="81"/>
      <c r="H2171" s="81"/>
      <c r="I2171" s="81"/>
      <c r="J2171" s="81"/>
      <c r="K2171" s="81"/>
      <c r="L2171" s="81"/>
      <c r="M2171" s="81"/>
      <c r="N2171" s="81"/>
      <c r="O2171" s="81"/>
      <c r="P2171" s="81"/>
      <c r="Q2171" s="81"/>
      <c r="R2171" s="81"/>
      <c r="S2171" s="81"/>
      <c r="T2171" s="81"/>
      <c r="U2171" s="81"/>
      <c r="V2171" s="94"/>
      <c r="W2171" s="94"/>
    </row>
    <row r="2172" spans="1:23" ht="21" customHeight="1">
      <c r="A2172">
        <f>Table4[[#This Row],[Column1]]</f>
        <v>0</v>
      </c>
      <c r="B2172">
        <f>Table4[[#This Row],[Column2]]</f>
        <v>0</v>
      </c>
      <c r="C2172" s="81"/>
      <c r="D2172" s="81"/>
      <c r="E2172" s="81"/>
      <c r="F2172" s="81"/>
      <c r="G2172" s="81"/>
      <c r="H2172" s="81"/>
      <c r="I2172" s="81"/>
      <c r="J2172" s="81"/>
      <c r="K2172" s="81"/>
      <c r="L2172" s="81"/>
      <c r="M2172" s="81"/>
      <c r="N2172" s="81"/>
      <c r="O2172" s="81"/>
      <c r="P2172" s="81"/>
      <c r="Q2172" s="81"/>
      <c r="R2172" s="81"/>
      <c r="S2172" s="81"/>
      <c r="T2172" s="81"/>
      <c r="U2172" s="81"/>
      <c r="V2172" s="94"/>
      <c r="W2172" s="94"/>
    </row>
    <row r="2173" spans="1:23" ht="21" customHeight="1">
      <c r="A2173">
        <f>Table4[[#This Row],[Column1]]</f>
        <v>0</v>
      </c>
      <c r="B2173">
        <f>Table4[[#This Row],[Column2]]</f>
        <v>0</v>
      </c>
      <c r="C2173" s="81"/>
      <c r="D2173" s="81"/>
      <c r="E2173" s="81"/>
      <c r="F2173" s="81"/>
      <c r="G2173" s="81"/>
      <c r="H2173" s="81"/>
      <c r="I2173" s="81"/>
      <c r="J2173" s="81"/>
      <c r="K2173" s="81"/>
      <c r="L2173" s="81"/>
      <c r="M2173" s="81"/>
      <c r="N2173" s="81"/>
      <c r="O2173" s="81"/>
      <c r="P2173" s="81"/>
      <c r="Q2173" s="81"/>
      <c r="R2173" s="81"/>
      <c r="S2173" s="81"/>
      <c r="T2173" s="81"/>
      <c r="U2173" s="81"/>
      <c r="V2173" s="94"/>
      <c r="W2173" s="94"/>
    </row>
    <row r="2174" spans="1:23" ht="21" customHeight="1">
      <c r="A2174">
        <f>Table4[[#This Row],[Column1]]</f>
        <v>0</v>
      </c>
      <c r="B2174">
        <f>Table4[[#This Row],[Column2]]</f>
        <v>0</v>
      </c>
      <c r="C2174" s="81"/>
      <c r="D2174" s="81"/>
      <c r="E2174" s="81"/>
      <c r="F2174" s="81"/>
      <c r="G2174" s="81"/>
      <c r="H2174" s="81"/>
      <c r="I2174" s="81"/>
      <c r="J2174" s="81"/>
      <c r="K2174" s="81"/>
      <c r="L2174" s="81"/>
      <c r="M2174" s="81"/>
      <c r="N2174" s="81"/>
      <c r="O2174" s="81"/>
      <c r="P2174" s="81"/>
      <c r="Q2174" s="81"/>
      <c r="R2174" s="81"/>
      <c r="S2174" s="81"/>
      <c r="T2174" s="81"/>
      <c r="U2174" s="81"/>
      <c r="V2174" s="94"/>
      <c r="W2174" s="94"/>
    </row>
    <row r="2175" spans="1:23" ht="21" customHeight="1">
      <c r="A2175">
        <f>Table4[[#This Row],[Column1]]</f>
        <v>0</v>
      </c>
      <c r="B2175">
        <f>Table4[[#This Row],[Column2]]</f>
        <v>0</v>
      </c>
      <c r="C2175" s="81"/>
      <c r="D2175" s="81"/>
      <c r="E2175" s="81"/>
      <c r="F2175" s="81"/>
      <c r="G2175" s="81"/>
      <c r="H2175" s="81"/>
      <c r="I2175" s="81"/>
      <c r="J2175" s="81"/>
      <c r="K2175" s="81"/>
      <c r="L2175" s="81"/>
      <c r="M2175" s="81"/>
      <c r="N2175" s="81"/>
      <c r="O2175" s="81"/>
      <c r="P2175" s="81"/>
      <c r="Q2175" s="81"/>
      <c r="R2175" s="81"/>
      <c r="S2175" s="81"/>
      <c r="T2175" s="81"/>
      <c r="U2175" s="81"/>
      <c r="V2175" s="94"/>
      <c r="W2175" s="94"/>
    </row>
    <row r="2176" spans="1:23" ht="21" customHeight="1">
      <c r="A2176">
        <f>Table4[[#This Row],[Column1]]</f>
        <v>0</v>
      </c>
      <c r="B2176">
        <f>Table4[[#This Row],[Column2]]</f>
        <v>0</v>
      </c>
      <c r="C2176" s="81"/>
      <c r="D2176" s="81"/>
      <c r="E2176" s="81"/>
      <c r="F2176" s="81"/>
      <c r="G2176" s="81"/>
      <c r="H2176" s="81"/>
      <c r="I2176" s="81"/>
      <c r="J2176" s="81"/>
      <c r="K2176" s="81"/>
      <c r="L2176" s="81"/>
      <c r="M2176" s="81"/>
      <c r="N2176" s="81"/>
      <c r="O2176" s="81"/>
      <c r="P2176" s="81"/>
      <c r="Q2176" s="81"/>
      <c r="R2176" s="81"/>
      <c r="S2176" s="81"/>
      <c r="T2176" s="81"/>
      <c r="U2176" s="81"/>
      <c r="V2176" s="94"/>
      <c r="W2176" s="94"/>
    </row>
    <row r="2177" spans="1:23" ht="21" customHeight="1">
      <c r="A2177">
        <f>Table4[[#This Row],[Column1]]</f>
        <v>0</v>
      </c>
      <c r="B2177">
        <f>Table4[[#This Row],[Column2]]</f>
        <v>0</v>
      </c>
      <c r="C2177" s="81"/>
      <c r="D2177" s="81"/>
      <c r="E2177" s="81"/>
      <c r="F2177" s="81"/>
      <c r="G2177" s="81"/>
      <c r="H2177" s="81"/>
      <c r="I2177" s="81"/>
      <c r="J2177" s="81"/>
      <c r="K2177" s="81"/>
      <c r="L2177" s="81"/>
      <c r="M2177" s="81"/>
      <c r="N2177" s="81"/>
      <c r="O2177" s="81"/>
      <c r="P2177" s="81"/>
      <c r="Q2177" s="81"/>
      <c r="R2177" s="81"/>
      <c r="S2177" s="81"/>
      <c r="T2177" s="81"/>
      <c r="U2177" s="81"/>
      <c r="V2177" s="94"/>
      <c r="W2177" s="94"/>
    </row>
    <row r="2178" spans="1:23" ht="21" customHeight="1">
      <c r="A2178">
        <f>Table4[[#This Row],[Column1]]</f>
        <v>0</v>
      </c>
      <c r="B2178">
        <f>Table4[[#This Row],[Column2]]</f>
        <v>0</v>
      </c>
      <c r="C2178" s="81"/>
      <c r="D2178" s="81"/>
      <c r="E2178" s="81"/>
      <c r="F2178" s="81"/>
      <c r="G2178" s="81"/>
      <c r="H2178" s="81"/>
      <c r="I2178" s="81"/>
      <c r="J2178" s="81"/>
      <c r="K2178" s="81"/>
      <c r="L2178" s="81"/>
      <c r="M2178" s="81"/>
      <c r="N2178" s="81"/>
      <c r="O2178" s="81"/>
      <c r="P2178" s="81"/>
      <c r="Q2178" s="81"/>
      <c r="R2178" s="81"/>
      <c r="S2178" s="81"/>
      <c r="T2178" s="81"/>
      <c r="U2178" s="81"/>
      <c r="V2178" s="94"/>
      <c r="W2178" s="94"/>
    </row>
    <row r="2179" spans="1:23" ht="21" customHeight="1">
      <c r="A2179">
        <f>Table4[[#This Row],[Column1]]</f>
        <v>0</v>
      </c>
      <c r="B2179">
        <f>Table4[[#This Row],[Column2]]</f>
        <v>0</v>
      </c>
      <c r="C2179" s="81"/>
      <c r="D2179" s="81"/>
      <c r="E2179" s="81"/>
      <c r="F2179" s="81"/>
      <c r="G2179" s="81"/>
      <c r="H2179" s="81"/>
      <c r="I2179" s="81"/>
      <c r="J2179" s="81"/>
      <c r="K2179" s="81"/>
      <c r="L2179" s="81"/>
      <c r="M2179" s="81"/>
      <c r="N2179" s="81"/>
      <c r="O2179" s="81"/>
      <c r="P2179" s="81"/>
      <c r="Q2179" s="81"/>
      <c r="R2179" s="81"/>
      <c r="S2179" s="81"/>
      <c r="T2179" s="81"/>
      <c r="U2179" s="81"/>
      <c r="V2179" s="94"/>
      <c r="W2179" s="94"/>
    </row>
    <row r="2180" spans="1:23" ht="21" customHeight="1">
      <c r="A2180">
        <f>Table4[[#This Row],[Column1]]</f>
        <v>0</v>
      </c>
      <c r="B2180">
        <f>Table4[[#This Row],[Column2]]</f>
        <v>0</v>
      </c>
      <c r="C2180" s="81"/>
      <c r="D2180" s="81"/>
      <c r="E2180" s="81"/>
      <c r="F2180" s="81"/>
      <c r="G2180" s="81"/>
      <c r="H2180" s="81"/>
      <c r="I2180" s="81"/>
      <c r="J2180" s="81"/>
      <c r="K2180" s="81"/>
      <c r="L2180" s="81"/>
      <c r="M2180" s="81"/>
      <c r="N2180" s="81"/>
      <c r="O2180" s="81"/>
      <c r="P2180" s="81"/>
      <c r="Q2180" s="81"/>
      <c r="R2180" s="81"/>
      <c r="S2180" s="81"/>
      <c r="T2180" s="81"/>
      <c r="U2180" s="81"/>
      <c r="V2180" s="94"/>
      <c r="W2180" s="94"/>
    </row>
    <row r="2181" spans="1:23" ht="21" customHeight="1">
      <c r="A2181">
        <f>Table4[[#This Row],[Column1]]</f>
        <v>0</v>
      </c>
      <c r="B2181">
        <f>Table4[[#This Row],[Column2]]</f>
        <v>0</v>
      </c>
      <c r="C2181" s="81"/>
      <c r="D2181" s="81"/>
      <c r="E2181" s="81"/>
      <c r="F2181" s="81"/>
      <c r="G2181" s="81"/>
      <c r="H2181" s="81"/>
      <c r="I2181" s="81"/>
      <c r="J2181" s="81"/>
      <c r="K2181" s="81"/>
      <c r="L2181" s="81"/>
      <c r="M2181" s="81"/>
      <c r="N2181" s="81"/>
      <c r="O2181" s="81"/>
      <c r="P2181" s="81"/>
      <c r="Q2181" s="81"/>
      <c r="R2181" s="81"/>
      <c r="S2181" s="81"/>
      <c r="T2181" s="81"/>
      <c r="U2181" s="81"/>
      <c r="V2181" s="94"/>
      <c r="W2181" s="94"/>
    </row>
    <row r="2182" spans="1:23" ht="21" customHeight="1">
      <c r="A2182">
        <f>Table4[[#This Row],[Column1]]</f>
        <v>0</v>
      </c>
      <c r="B2182">
        <f>Table4[[#This Row],[Column2]]</f>
        <v>0</v>
      </c>
      <c r="C2182" s="81"/>
      <c r="D2182" s="81"/>
      <c r="E2182" s="81"/>
      <c r="F2182" s="81"/>
      <c r="G2182" s="81"/>
      <c r="H2182" s="81"/>
      <c r="I2182" s="81"/>
      <c r="J2182" s="81"/>
      <c r="K2182" s="81"/>
      <c r="L2182" s="81"/>
      <c r="M2182" s="81"/>
      <c r="N2182" s="81"/>
      <c r="O2182" s="81"/>
      <c r="P2182" s="81"/>
      <c r="Q2182" s="81"/>
      <c r="R2182" s="81"/>
      <c r="S2182" s="81"/>
      <c r="T2182" s="81"/>
      <c r="U2182" s="81"/>
      <c r="V2182" s="94"/>
      <c r="W2182" s="94"/>
    </row>
    <row r="2183" spans="1:23" ht="21" customHeight="1">
      <c r="A2183">
        <f>Table4[[#This Row],[Column1]]</f>
        <v>0</v>
      </c>
      <c r="B2183">
        <f>Table4[[#This Row],[Column2]]</f>
        <v>0</v>
      </c>
      <c r="C2183" s="81"/>
      <c r="D2183" s="81"/>
      <c r="E2183" s="81"/>
      <c r="F2183" s="81"/>
      <c r="G2183" s="81"/>
      <c r="H2183" s="81"/>
      <c r="I2183" s="81"/>
      <c r="J2183" s="81"/>
      <c r="K2183" s="81"/>
      <c r="L2183" s="81"/>
      <c r="M2183" s="81"/>
      <c r="N2183" s="81"/>
      <c r="O2183" s="81"/>
      <c r="P2183" s="81"/>
      <c r="Q2183" s="81"/>
      <c r="R2183" s="81"/>
      <c r="S2183" s="81"/>
      <c r="T2183" s="81"/>
      <c r="U2183" s="81"/>
      <c r="V2183" s="94"/>
      <c r="W2183" s="94"/>
    </row>
    <row r="2184" spans="1:23" ht="21" customHeight="1">
      <c r="A2184">
        <f>Table4[[#This Row],[Column1]]</f>
        <v>0</v>
      </c>
      <c r="B2184">
        <f>Table4[[#This Row],[Column2]]</f>
        <v>0</v>
      </c>
      <c r="C2184" s="81"/>
      <c r="D2184" s="81"/>
      <c r="E2184" s="81"/>
      <c r="F2184" s="81"/>
      <c r="G2184" s="81"/>
      <c r="H2184" s="81"/>
      <c r="I2184" s="81"/>
      <c r="J2184" s="81"/>
      <c r="K2184" s="81"/>
      <c r="L2184" s="81"/>
      <c r="M2184" s="81"/>
      <c r="N2184" s="81"/>
      <c r="O2184" s="81"/>
      <c r="P2184" s="81"/>
      <c r="Q2184" s="81"/>
      <c r="R2184" s="81"/>
      <c r="S2184" s="81"/>
      <c r="T2184" s="81"/>
      <c r="U2184" s="81"/>
      <c r="V2184" s="94"/>
      <c r="W2184" s="94"/>
    </row>
    <row r="2185" spans="1:23" ht="21" customHeight="1">
      <c r="A2185">
        <f>Table4[[#This Row],[Column1]]</f>
        <v>0</v>
      </c>
      <c r="B2185">
        <f>Table4[[#This Row],[Column2]]</f>
        <v>0</v>
      </c>
      <c r="C2185" s="81"/>
      <c r="D2185" s="81"/>
      <c r="E2185" s="81"/>
      <c r="F2185" s="81"/>
      <c r="G2185" s="81"/>
      <c r="H2185" s="81"/>
      <c r="I2185" s="81"/>
      <c r="J2185" s="81"/>
      <c r="K2185" s="81"/>
      <c r="L2185" s="81"/>
      <c r="M2185" s="81"/>
      <c r="N2185" s="81"/>
      <c r="O2185" s="81"/>
      <c r="P2185" s="81"/>
      <c r="Q2185" s="81"/>
      <c r="R2185" s="81"/>
      <c r="S2185" s="81"/>
      <c r="T2185" s="81"/>
      <c r="U2185" s="81"/>
      <c r="V2185" s="94"/>
      <c r="W2185" s="94"/>
    </row>
    <row r="2186" spans="1:23" ht="21" customHeight="1">
      <c r="A2186">
        <f>Table4[[#This Row],[Column1]]</f>
        <v>0</v>
      </c>
      <c r="B2186">
        <f>Table4[[#This Row],[Column2]]</f>
        <v>0</v>
      </c>
      <c r="C2186" s="81"/>
      <c r="D2186" s="81"/>
      <c r="E2186" s="81"/>
      <c r="F2186" s="81"/>
      <c r="G2186" s="81"/>
      <c r="H2186" s="81"/>
      <c r="I2186" s="81"/>
      <c r="J2186" s="81"/>
      <c r="K2186" s="81"/>
      <c r="L2186" s="81"/>
      <c r="M2186" s="81"/>
      <c r="N2186" s="81"/>
      <c r="O2186" s="81"/>
      <c r="P2186" s="81"/>
      <c r="Q2186" s="81"/>
      <c r="R2186" s="81"/>
      <c r="S2186" s="81"/>
      <c r="T2186" s="81"/>
      <c r="U2186" s="81"/>
      <c r="V2186" s="94"/>
      <c r="W2186" s="94"/>
    </row>
    <row r="2187" spans="1:23" ht="21" customHeight="1">
      <c r="A2187">
        <f>Table4[[#This Row],[Column1]]</f>
        <v>0</v>
      </c>
      <c r="B2187">
        <f>Table4[[#This Row],[Column2]]</f>
        <v>0</v>
      </c>
      <c r="C2187" s="81"/>
      <c r="D2187" s="81"/>
      <c r="E2187" s="81"/>
      <c r="F2187" s="81"/>
      <c r="G2187" s="81"/>
      <c r="H2187" s="81"/>
      <c r="I2187" s="81"/>
      <c r="J2187" s="81"/>
      <c r="K2187" s="81"/>
      <c r="L2187" s="81"/>
      <c r="M2187" s="81"/>
      <c r="N2187" s="81"/>
      <c r="O2187" s="81"/>
      <c r="P2187" s="81"/>
      <c r="Q2187" s="81"/>
      <c r="R2187" s="81"/>
      <c r="S2187" s="81"/>
      <c r="T2187" s="81"/>
      <c r="U2187" s="81"/>
      <c r="V2187" s="94"/>
      <c r="W2187" s="94"/>
    </row>
    <row r="2188" spans="1:23" ht="21" customHeight="1">
      <c r="A2188">
        <f>Table4[[#This Row],[Column1]]</f>
        <v>0</v>
      </c>
      <c r="B2188">
        <f>Table4[[#This Row],[Column2]]</f>
        <v>0</v>
      </c>
      <c r="C2188" s="81"/>
      <c r="D2188" s="81"/>
      <c r="E2188" s="81"/>
      <c r="F2188" s="81"/>
      <c r="G2188" s="81"/>
      <c r="H2188" s="81"/>
      <c r="I2188" s="81"/>
      <c r="J2188" s="81"/>
      <c r="K2188" s="81"/>
      <c r="L2188" s="81"/>
      <c r="M2188" s="81"/>
      <c r="N2188" s="81"/>
      <c r="O2188" s="81"/>
      <c r="P2188" s="81"/>
      <c r="Q2188" s="81"/>
      <c r="R2188" s="81"/>
      <c r="S2188" s="81"/>
      <c r="T2188" s="81"/>
      <c r="U2188" s="81"/>
      <c r="V2188" s="94"/>
      <c r="W2188" s="94"/>
    </row>
    <row r="2189" spans="1:23" ht="21" customHeight="1">
      <c r="A2189">
        <f>Table4[[#This Row],[Column1]]</f>
        <v>0</v>
      </c>
      <c r="B2189">
        <f>Table4[[#This Row],[Column2]]</f>
        <v>0</v>
      </c>
      <c r="C2189" s="81"/>
      <c r="D2189" s="81"/>
      <c r="E2189" s="81"/>
      <c r="F2189" s="81"/>
      <c r="G2189" s="81"/>
      <c r="H2189" s="81"/>
      <c r="I2189" s="81"/>
      <c r="J2189" s="81"/>
      <c r="K2189" s="81"/>
      <c r="L2189" s="81"/>
      <c r="M2189" s="81"/>
      <c r="N2189" s="81"/>
      <c r="O2189" s="81"/>
      <c r="P2189" s="81"/>
      <c r="Q2189" s="81"/>
      <c r="R2189" s="81"/>
      <c r="S2189" s="81"/>
      <c r="T2189" s="81"/>
      <c r="U2189" s="81"/>
      <c r="V2189" s="94"/>
      <c r="W2189" s="94"/>
    </row>
    <row r="2190" spans="1:23" ht="21" customHeight="1">
      <c r="A2190">
        <f>Table4[[#This Row],[Column1]]</f>
        <v>0</v>
      </c>
      <c r="B2190">
        <f>Table4[[#This Row],[Column2]]</f>
        <v>0</v>
      </c>
      <c r="C2190" s="81"/>
      <c r="D2190" s="81"/>
      <c r="E2190" s="81"/>
      <c r="F2190" s="81"/>
      <c r="G2190" s="81"/>
      <c r="H2190" s="81"/>
      <c r="I2190" s="81"/>
      <c r="J2190" s="81"/>
      <c r="K2190" s="81"/>
      <c r="L2190" s="81"/>
      <c r="M2190" s="81"/>
      <c r="N2190" s="81"/>
      <c r="O2190" s="81"/>
      <c r="P2190" s="81"/>
      <c r="Q2190" s="81"/>
      <c r="R2190" s="81"/>
      <c r="S2190" s="81"/>
      <c r="T2190" s="81"/>
      <c r="U2190" s="81"/>
      <c r="V2190" s="94"/>
      <c r="W2190" s="94"/>
    </row>
    <row r="2191" spans="1:23" ht="21" customHeight="1">
      <c r="A2191">
        <f>Table4[[#This Row],[Column1]]</f>
        <v>0</v>
      </c>
      <c r="B2191">
        <f>Table4[[#This Row],[Column2]]</f>
        <v>0</v>
      </c>
      <c r="C2191" s="81"/>
      <c r="D2191" s="81"/>
      <c r="E2191" s="81"/>
      <c r="F2191" s="81"/>
      <c r="G2191" s="81"/>
      <c r="H2191" s="81"/>
      <c r="I2191" s="81"/>
      <c r="J2191" s="81"/>
      <c r="K2191" s="81"/>
      <c r="L2191" s="81"/>
      <c r="M2191" s="81"/>
      <c r="N2191" s="81"/>
      <c r="O2191" s="81"/>
      <c r="P2191" s="81"/>
      <c r="Q2191" s="81"/>
      <c r="R2191" s="81"/>
      <c r="S2191" s="81"/>
      <c r="T2191" s="81"/>
      <c r="U2191" s="81"/>
      <c r="V2191" s="94"/>
      <c r="W2191" s="94"/>
    </row>
    <row r="2192" spans="1:23" ht="21" customHeight="1">
      <c r="A2192">
        <f>Table4[[#This Row],[Column1]]</f>
        <v>0</v>
      </c>
      <c r="B2192">
        <f>Table4[[#This Row],[Column2]]</f>
        <v>0</v>
      </c>
      <c r="C2192" s="81"/>
      <c r="D2192" s="81"/>
      <c r="E2192" s="81"/>
      <c r="F2192" s="81"/>
      <c r="G2192" s="81"/>
      <c r="H2192" s="81"/>
      <c r="I2192" s="81"/>
      <c r="J2192" s="81"/>
      <c r="K2192" s="81"/>
      <c r="L2192" s="81"/>
      <c r="M2192" s="81"/>
      <c r="N2192" s="81"/>
      <c r="O2192" s="81"/>
      <c r="P2192" s="81"/>
      <c r="Q2192" s="81"/>
      <c r="R2192" s="81"/>
      <c r="S2192" s="81"/>
      <c r="T2192" s="81"/>
      <c r="U2192" s="81"/>
      <c r="V2192" s="94"/>
      <c r="W2192" s="94"/>
    </row>
    <row r="2193" spans="1:23" ht="21" customHeight="1">
      <c r="A2193">
        <f>Table4[[#This Row],[Column1]]</f>
        <v>0</v>
      </c>
      <c r="B2193">
        <f>Table4[[#This Row],[Column2]]</f>
        <v>0</v>
      </c>
      <c r="C2193" s="81"/>
      <c r="D2193" s="81"/>
      <c r="E2193" s="81"/>
      <c r="F2193" s="81"/>
      <c r="G2193" s="81"/>
      <c r="H2193" s="81"/>
      <c r="I2193" s="81"/>
      <c r="J2193" s="81"/>
      <c r="K2193" s="81"/>
      <c r="L2193" s="81"/>
      <c r="M2193" s="81"/>
      <c r="N2193" s="81"/>
      <c r="O2193" s="81"/>
      <c r="P2193" s="81"/>
      <c r="Q2193" s="81"/>
      <c r="R2193" s="81"/>
      <c r="S2193" s="81"/>
      <c r="T2193" s="81"/>
      <c r="U2193" s="81"/>
      <c r="V2193" s="94"/>
      <c r="W2193" s="94"/>
    </row>
    <row r="2194" spans="1:23" ht="21" customHeight="1">
      <c r="A2194">
        <f>Table4[[#This Row],[Column1]]</f>
        <v>0</v>
      </c>
      <c r="B2194">
        <f>Table4[[#This Row],[Column2]]</f>
        <v>0</v>
      </c>
      <c r="C2194" s="81"/>
      <c r="D2194" s="81"/>
      <c r="E2194" s="81"/>
      <c r="F2194" s="81"/>
      <c r="G2194" s="81"/>
      <c r="H2194" s="81"/>
      <c r="I2194" s="81"/>
      <c r="J2194" s="81"/>
      <c r="K2194" s="81"/>
      <c r="L2194" s="81"/>
      <c r="M2194" s="81"/>
      <c r="N2194" s="81"/>
      <c r="O2194" s="81"/>
      <c r="P2194" s="81"/>
      <c r="Q2194" s="81"/>
      <c r="R2194" s="81"/>
      <c r="S2194" s="81"/>
      <c r="T2194" s="81"/>
      <c r="U2194" s="81"/>
      <c r="V2194" s="94"/>
      <c r="W2194" s="94"/>
    </row>
    <row r="2195" spans="1:23" ht="21" customHeight="1">
      <c r="A2195">
        <f>Table4[[#This Row],[Column1]]</f>
        <v>0</v>
      </c>
      <c r="B2195">
        <f>Table4[[#This Row],[Column2]]</f>
        <v>0</v>
      </c>
      <c r="C2195" s="81"/>
      <c r="D2195" s="81"/>
      <c r="E2195" s="81"/>
      <c r="F2195" s="81"/>
      <c r="G2195" s="81"/>
      <c r="H2195" s="81"/>
      <c r="I2195" s="81"/>
      <c r="J2195" s="81"/>
      <c r="K2195" s="81"/>
      <c r="L2195" s="81"/>
      <c r="M2195" s="81"/>
      <c r="N2195" s="81"/>
      <c r="O2195" s="81"/>
      <c r="P2195" s="81"/>
      <c r="Q2195" s="81"/>
      <c r="R2195" s="81"/>
      <c r="S2195" s="81"/>
      <c r="T2195" s="81"/>
      <c r="U2195" s="81"/>
      <c r="V2195" s="94"/>
      <c r="W2195" s="94"/>
    </row>
    <row r="2196" spans="1:23" ht="21" customHeight="1">
      <c r="A2196">
        <f>Table4[[#This Row],[Column1]]</f>
        <v>0</v>
      </c>
      <c r="B2196">
        <f>Table4[[#This Row],[Column2]]</f>
        <v>0</v>
      </c>
      <c r="C2196" s="81"/>
      <c r="D2196" s="81"/>
      <c r="E2196" s="81"/>
      <c r="F2196" s="81"/>
      <c r="G2196" s="81"/>
      <c r="H2196" s="81"/>
      <c r="I2196" s="81"/>
      <c r="J2196" s="81"/>
      <c r="K2196" s="81"/>
      <c r="L2196" s="81"/>
      <c r="M2196" s="81"/>
      <c r="N2196" s="81"/>
      <c r="O2196" s="81"/>
      <c r="P2196" s="81"/>
      <c r="Q2196" s="81"/>
      <c r="R2196" s="81"/>
      <c r="S2196" s="81"/>
      <c r="T2196" s="81"/>
      <c r="U2196" s="81"/>
      <c r="V2196" s="94"/>
      <c r="W2196" s="94"/>
    </row>
    <row r="2197" spans="1:23" ht="21" customHeight="1">
      <c r="A2197">
        <f>Table4[[#This Row],[Column1]]</f>
        <v>0</v>
      </c>
      <c r="B2197">
        <f>Table4[[#This Row],[Column2]]</f>
        <v>0</v>
      </c>
      <c r="C2197" s="81"/>
      <c r="D2197" s="81"/>
      <c r="E2197" s="81"/>
      <c r="F2197" s="81"/>
      <c r="G2197" s="81"/>
      <c r="H2197" s="81"/>
      <c r="I2197" s="81"/>
      <c r="J2197" s="81"/>
      <c r="K2197" s="81"/>
      <c r="L2197" s="81"/>
      <c r="M2197" s="81"/>
      <c r="N2197" s="81"/>
      <c r="O2197" s="81"/>
      <c r="P2197" s="81"/>
      <c r="Q2197" s="81"/>
      <c r="R2197" s="81"/>
      <c r="S2197" s="81"/>
      <c r="T2197" s="81"/>
      <c r="U2197" s="81"/>
      <c r="V2197" s="94"/>
      <c r="W2197" s="94"/>
    </row>
    <row r="2198" spans="1:23" ht="21" customHeight="1">
      <c r="A2198">
        <f>Table4[[#This Row],[Column1]]</f>
        <v>0</v>
      </c>
      <c r="B2198">
        <f>Table4[[#This Row],[Column2]]</f>
        <v>0</v>
      </c>
      <c r="C2198" s="81"/>
      <c r="D2198" s="81"/>
      <c r="E2198" s="81"/>
      <c r="F2198" s="81"/>
      <c r="G2198" s="81"/>
      <c r="H2198" s="81"/>
      <c r="I2198" s="81"/>
      <c r="J2198" s="81"/>
      <c r="K2198" s="81"/>
      <c r="L2198" s="81"/>
      <c r="M2198" s="81"/>
      <c r="N2198" s="81"/>
      <c r="O2198" s="81"/>
      <c r="P2198" s="81"/>
      <c r="Q2198" s="81"/>
      <c r="R2198" s="81"/>
      <c r="S2198" s="81"/>
      <c r="T2198" s="81"/>
      <c r="U2198" s="81"/>
      <c r="V2198" s="94"/>
      <c r="W2198" s="94"/>
    </row>
    <row r="2199" spans="1:23" ht="21" customHeight="1">
      <c r="A2199">
        <f>Table4[[#This Row],[Column1]]</f>
        <v>0</v>
      </c>
      <c r="B2199">
        <f>Table4[[#This Row],[Column2]]</f>
        <v>0</v>
      </c>
      <c r="C2199" s="81"/>
      <c r="D2199" s="81"/>
      <c r="E2199" s="81"/>
      <c r="F2199" s="81"/>
      <c r="G2199" s="81"/>
      <c r="H2199" s="81"/>
      <c r="I2199" s="81"/>
      <c r="J2199" s="81"/>
      <c r="K2199" s="81"/>
      <c r="L2199" s="81"/>
      <c r="M2199" s="81"/>
      <c r="N2199" s="81"/>
      <c r="O2199" s="81"/>
      <c r="P2199" s="81"/>
      <c r="Q2199" s="81"/>
      <c r="R2199" s="81"/>
      <c r="S2199" s="81"/>
      <c r="T2199" s="81"/>
      <c r="U2199" s="81"/>
      <c r="V2199" s="94"/>
      <c r="W2199" s="94"/>
    </row>
    <row r="2200" spans="1:23" ht="21" customHeight="1">
      <c r="A2200">
        <f>Table4[[#This Row],[Column1]]</f>
        <v>0</v>
      </c>
      <c r="B2200">
        <f>Table4[[#This Row],[Column2]]</f>
        <v>0</v>
      </c>
      <c r="C2200" s="81"/>
      <c r="D2200" s="81"/>
      <c r="E2200" s="81"/>
      <c r="F2200" s="81"/>
      <c r="G2200" s="81"/>
      <c r="H2200" s="81"/>
      <c r="I2200" s="81"/>
      <c r="J2200" s="81"/>
      <c r="K2200" s="81"/>
      <c r="L2200" s="81"/>
      <c r="M2200" s="81"/>
      <c r="N2200" s="81"/>
      <c r="O2200" s="81"/>
      <c r="P2200" s="81"/>
      <c r="Q2200" s="81"/>
      <c r="R2200" s="81"/>
      <c r="S2200" s="81"/>
      <c r="T2200" s="81"/>
      <c r="U2200" s="81"/>
      <c r="V2200" s="94"/>
      <c r="W2200" s="94"/>
    </row>
    <row r="2201" spans="1:23" ht="21" customHeight="1">
      <c r="A2201">
        <f>Table4[[#This Row],[Column1]]</f>
        <v>0</v>
      </c>
      <c r="B2201">
        <f>Table4[[#This Row],[Column2]]</f>
        <v>0</v>
      </c>
      <c r="C2201" s="81"/>
      <c r="D2201" s="81"/>
      <c r="E2201" s="81"/>
      <c r="F2201" s="81"/>
      <c r="G2201" s="81"/>
      <c r="H2201" s="81"/>
      <c r="I2201" s="81"/>
      <c r="J2201" s="81"/>
      <c r="K2201" s="81"/>
      <c r="L2201" s="81"/>
      <c r="M2201" s="81"/>
      <c r="N2201" s="81"/>
      <c r="O2201" s="81"/>
      <c r="P2201" s="81"/>
      <c r="Q2201" s="81"/>
      <c r="R2201" s="81"/>
      <c r="S2201" s="81"/>
      <c r="T2201" s="81"/>
      <c r="U2201" s="81"/>
      <c r="V2201" s="94"/>
      <c r="W2201" s="94"/>
    </row>
    <row r="2202" spans="1:23" ht="21" customHeight="1">
      <c r="A2202">
        <f>Table4[[#This Row],[Column1]]</f>
        <v>0</v>
      </c>
      <c r="B2202">
        <f>Table4[[#This Row],[Column2]]</f>
        <v>0</v>
      </c>
      <c r="C2202" s="81"/>
      <c r="D2202" s="81"/>
      <c r="E2202" s="81"/>
      <c r="F2202" s="81"/>
      <c r="G2202" s="81"/>
      <c r="H2202" s="81"/>
      <c r="I2202" s="81"/>
      <c r="J2202" s="81"/>
      <c r="K2202" s="81"/>
      <c r="L2202" s="81"/>
      <c r="M2202" s="81"/>
      <c r="N2202" s="81"/>
      <c r="O2202" s="81"/>
      <c r="P2202" s="81"/>
      <c r="Q2202" s="81"/>
      <c r="R2202" s="81"/>
      <c r="S2202" s="81"/>
      <c r="T2202" s="81"/>
      <c r="U2202" s="81"/>
      <c r="V2202" s="94"/>
      <c r="W2202" s="94"/>
    </row>
    <row r="2203" spans="1:23" ht="21" customHeight="1">
      <c r="A2203">
        <f>Table4[[#This Row],[Column1]]</f>
        <v>0</v>
      </c>
      <c r="B2203">
        <f>Table4[[#This Row],[Column2]]</f>
        <v>0</v>
      </c>
      <c r="C2203" s="81"/>
      <c r="D2203" s="81"/>
      <c r="E2203" s="81"/>
      <c r="F2203" s="81"/>
      <c r="G2203" s="81"/>
      <c r="H2203" s="81"/>
      <c r="I2203" s="81"/>
      <c r="J2203" s="81"/>
      <c r="K2203" s="81"/>
      <c r="L2203" s="81"/>
      <c r="M2203" s="81"/>
      <c r="N2203" s="81"/>
      <c r="O2203" s="81"/>
      <c r="P2203" s="81"/>
      <c r="Q2203" s="81"/>
      <c r="R2203" s="81"/>
      <c r="S2203" s="81"/>
      <c r="T2203" s="81"/>
      <c r="U2203" s="81"/>
      <c r="V2203" s="94"/>
      <c r="W2203" s="94"/>
    </row>
    <row r="2204" spans="1:23" ht="21" customHeight="1">
      <c r="A2204">
        <f>Table4[[#This Row],[Column1]]</f>
        <v>0</v>
      </c>
      <c r="B2204">
        <f>Table4[[#This Row],[Column2]]</f>
        <v>0</v>
      </c>
      <c r="C2204" s="81"/>
      <c r="D2204" s="81"/>
      <c r="E2204" s="81"/>
      <c r="F2204" s="81"/>
      <c r="G2204" s="81"/>
      <c r="H2204" s="81"/>
      <c r="I2204" s="81"/>
      <c r="J2204" s="81"/>
      <c r="K2204" s="81"/>
      <c r="L2204" s="81"/>
      <c r="M2204" s="81"/>
      <c r="N2204" s="81"/>
      <c r="O2204" s="81"/>
      <c r="P2204" s="81"/>
      <c r="Q2204" s="81"/>
      <c r="R2204" s="81"/>
      <c r="S2204" s="81"/>
      <c r="T2204" s="81"/>
      <c r="U2204" s="81"/>
      <c r="V2204" s="94"/>
      <c r="W2204" s="94"/>
    </row>
    <row r="2205" spans="1:23" ht="21" customHeight="1">
      <c r="A2205">
        <f>Table4[[#This Row],[Column1]]</f>
        <v>0</v>
      </c>
      <c r="B2205">
        <f>Table4[[#This Row],[Column2]]</f>
        <v>0</v>
      </c>
      <c r="C2205" s="81"/>
      <c r="D2205" s="81"/>
      <c r="E2205" s="81"/>
      <c r="F2205" s="81"/>
      <c r="G2205" s="81"/>
      <c r="H2205" s="81"/>
      <c r="I2205" s="81"/>
      <c r="J2205" s="81"/>
      <c r="K2205" s="81"/>
      <c r="L2205" s="81"/>
      <c r="M2205" s="81"/>
      <c r="N2205" s="81"/>
      <c r="O2205" s="81"/>
      <c r="P2205" s="81"/>
      <c r="Q2205" s="81"/>
      <c r="R2205" s="81"/>
      <c r="S2205" s="81"/>
      <c r="T2205" s="81"/>
      <c r="U2205" s="81"/>
      <c r="V2205" s="94"/>
      <c r="W2205" s="94"/>
    </row>
    <row r="2206" spans="1:23" ht="21" customHeight="1">
      <c r="A2206">
        <f>Table4[[#This Row],[Column1]]</f>
        <v>0</v>
      </c>
      <c r="B2206">
        <f>Table4[[#This Row],[Column2]]</f>
        <v>0</v>
      </c>
      <c r="C2206" s="81"/>
      <c r="D2206" s="81"/>
      <c r="E2206" s="81"/>
      <c r="F2206" s="81"/>
      <c r="G2206" s="81"/>
      <c r="H2206" s="81"/>
      <c r="I2206" s="81"/>
      <c r="J2206" s="81"/>
      <c r="K2206" s="81"/>
      <c r="L2206" s="81"/>
      <c r="M2206" s="81"/>
      <c r="N2206" s="81"/>
      <c r="O2206" s="81"/>
      <c r="P2206" s="81"/>
      <c r="Q2206" s="81"/>
      <c r="R2206" s="81"/>
      <c r="S2206" s="81"/>
      <c r="T2206" s="81"/>
      <c r="U2206" s="81"/>
      <c r="V2206" s="94"/>
      <c r="W2206" s="94"/>
    </row>
    <row r="2207" spans="1:23" ht="21" customHeight="1">
      <c r="A2207">
        <f>Table4[[#This Row],[Column1]]</f>
        <v>0</v>
      </c>
      <c r="B2207">
        <f>Table4[[#This Row],[Column2]]</f>
        <v>0</v>
      </c>
      <c r="C2207" s="81"/>
      <c r="D2207" s="81"/>
      <c r="E2207" s="81"/>
      <c r="F2207" s="81"/>
      <c r="G2207" s="81"/>
      <c r="H2207" s="81"/>
      <c r="I2207" s="81"/>
      <c r="J2207" s="81"/>
      <c r="K2207" s="81"/>
      <c r="L2207" s="81"/>
      <c r="M2207" s="81"/>
      <c r="N2207" s="81"/>
      <c r="O2207" s="81"/>
      <c r="P2207" s="81"/>
      <c r="Q2207" s="81"/>
      <c r="R2207" s="81"/>
      <c r="S2207" s="81"/>
      <c r="T2207" s="81"/>
      <c r="U2207" s="81"/>
      <c r="V2207" s="94"/>
      <c r="W2207" s="94"/>
    </row>
    <row r="2208" spans="1:23" ht="21" customHeight="1">
      <c r="A2208">
        <f>Table4[[#This Row],[Column1]]</f>
        <v>0</v>
      </c>
      <c r="B2208">
        <f>Table4[[#This Row],[Column2]]</f>
        <v>0</v>
      </c>
      <c r="C2208" s="81"/>
      <c r="D2208" s="81"/>
      <c r="E2208" s="81"/>
      <c r="F2208" s="81"/>
      <c r="G2208" s="81"/>
      <c r="H2208" s="81"/>
      <c r="I2208" s="81"/>
      <c r="J2208" s="81"/>
      <c r="K2208" s="81"/>
      <c r="L2208" s="81"/>
      <c r="M2208" s="81"/>
      <c r="N2208" s="81"/>
      <c r="O2208" s="81"/>
      <c r="P2208" s="81"/>
      <c r="Q2208" s="81"/>
      <c r="R2208" s="81"/>
      <c r="S2208" s="81"/>
      <c r="T2208" s="81"/>
      <c r="U2208" s="81"/>
      <c r="V2208" s="94"/>
      <c r="W2208" s="94"/>
    </row>
    <row r="2209" spans="1:23" ht="21" customHeight="1">
      <c r="A2209">
        <f>Table4[[#This Row],[Column1]]</f>
        <v>0</v>
      </c>
      <c r="B2209">
        <f>Table4[[#This Row],[Column2]]</f>
        <v>0</v>
      </c>
      <c r="C2209" s="81"/>
      <c r="D2209" s="81"/>
      <c r="E2209" s="81"/>
      <c r="F2209" s="81"/>
      <c r="G2209" s="81"/>
      <c r="H2209" s="81"/>
      <c r="I2209" s="81"/>
      <c r="J2209" s="81"/>
      <c r="K2209" s="81"/>
      <c r="L2209" s="81"/>
      <c r="M2209" s="81"/>
      <c r="N2209" s="81"/>
      <c r="O2209" s="81"/>
      <c r="P2209" s="81"/>
      <c r="Q2209" s="81"/>
      <c r="R2209" s="81"/>
      <c r="S2209" s="81"/>
      <c r="T2209" s="81"/>
      <c r="U2209" s="81"/>
      <c r="V2209" s="94"/>
      <c r="W2209" s="94"/>
    </row>
    <row r="2210" spans="1:23" ht="21" customHeight="1">
      <c r="A2210">
        <f>Table4[[#This Row],[Column1]]</f>
        <v>0</v>
      </c>
      <c r="B2210">
        <f>Table4[[#This Row],[Column2]]</f>
        <v>0</v>
      </c>
      <c r="C2210" s="81"/>
      <c r="D2210" s="81"/>
      <c r="E2210" s="81"/>
      <c r="F2210" s="81"/>
      <c r="G2210" s="81"/>
      <c r="H2210" s="81"/>
      <c r="I2210" s="81"/>
      <c r="J2210" s="81"/>
      <c r="K2210" s="81"/>
      <c r="L2210" s="81"/>
      <c r="M2210" s="81"/>
      <c r="N2210" s="81"/>
      <c r="O2210" s="81"/>
      <c r="P2210" s="81"/>
      <c r="Q2210" s="81"/>
      <c r="R2210" s="81"/>
      <c r="S2210" s="81"/>
      <c r="T2210" s="81"/>
      <c r="U2210" s="81"/>
      <c r="V2210" s="94"/>
      <c r="W2210" s="94"/>
    </row>
    <row r="2211" spans="1:23" ht="21" customHeight="1">
      <c r="A2211">
        <f>Table4[[#This Row],[Column1]]</f>
        <v>0</v>
      </c>
      <c r="B2211">
        <f>Table4[[#This Row],[Column2]]</f>
        <v>0</v>
      </c>
      <c r="C2211" s="81"/>
      <c r="D2211" s="81"/>
      <c r="E2211" s="81"/>
      <c r="F2211" s="81"/>
      <c r="G2211" s="81"/>
      <c r="H2211" s="81"/>
      <c r="I2211" s="81"/>
      <c r="J2211" s="81"/>
      <c r="K2211" s="81"/>
      <c r="L2211" s="81"/>
      <c r="M2211" s="81"/>
      <c r="N2211" s="81"/>
      <c r="O2211" s="81"/>
      <c r="P2211" s="81"/>
      <c r="Q2211" s="81"/>
      <c r="R2211" s="81"/>
      <c r="S2211" s="81"/>
      <c r="T2211" s="81"/>
      <c r="U2211" s="81"/>
      <c r="V2211" s="94"/>
      <c r="W2211" s="94"/>
    </row>
    <row r="2212" spans="1:23" ht="21" customHeight="1">
      <c r="A2212">
        <f>Table4[[#This Row],[Column1]]</f>
        <v>0</v>
      </c>
      <c r="B2212">
        <f>Table4[[#This Row],[Column2]]</f>
        <v>0</v>
      </c>
      <c r="C2212" s="81"/>
      <c r="D2212" s="81"/>
      <c r="E2212" s="81"/>
      <c r="F2212" s="81"/>
      <c r="G2212" s="81"/>
      <c r="H2212" s="81"/>
      <c r="I2212" s="81"/>
      <c r="J2212" s="81"/>
      <c r="K2212" s="81"/>
      <c r="L2212" s="81"/>
      <c r="M2212" s="81"/>
      <c r="N2212" s="81"/>
      <c r="O2212" s="81"/>
      <c r="P2212" s="81"/>
      <c r="Q2212" s="81"/>
      <c r="R2212" s="81"/>
      <c r="S2212" s="81"/>
      <c r="T2212" s="81"/>
      <c r="U2212" s="81"/>
      <c r="V2212" s="94"/>
      <c r="W2212" s="94"/>
    </row>
    <row r="2213" spans="1:23" ht="21" customHeight="1">
      <c r="A2213">
        <f>Table4[[#This Row],[Column1]]</f>
        <v>0</v>
      </c>
      <c r="B2213">
        <f>Table4[[#This Row],[Column2]]</f>
        <v>0</v>
      </c>
      <c r="C2213" s="81"/>
      <c r="D2213" s="81"/>
      <c r="E2213" s="81"/>
      <c r="F2213" s="81"/>
      <c r="G2213" s="81"/>
      <c r="H2213" s="81"/>
      <c r="I2213" s="81"/>
      <c r="J2213" s="81"/>
      <c r="K2213" s="81"/>
      <c r="L2213" s="81"/>
      <c r="M2213" s="81"/>
      <c r="N2213" s="81"/>
      <c r="O2213" s="81"/>
      <c r="P2213" s="81"/>
      <c r="Q2213" s="81"/>
      <c r="R2213" s="81"/>
      <c r="S2213" s="81"/>
      <c r="T2213" s="81"/>
      <c r="U2213" s="81"/>
      <c r="V2213" s="94"/>
      <c r="W2213" s="94"/>
    </row>
    <row r="2214" spans="1:23" ht="21" customHeight="1">
      <c r="A2214">
        <f>Table4[[#This Row],[Column1]]</f>
        <v>0</v>
      </c>
      <c r="B2214">
        <f>Table4[[#This Row],[Column2]]</f>
        <v>0</v>
      </c>
      <c r="C2214" s="81"/>
      <c r="D2214" s="81"/>
      <c r="E2214" s="81"/>
      <c r="F2214" s="81"/>
      <c r="G2214" s="81"/>
      <c r="H2214" s="81"/>
      <c r="I2214" s="81"/>
      <c r="J2214" s="81"/>
      <c r="K2214" s="81"/>
      <c r="L2214" s="81"/>
      <c r="M2214" s="81"/>
      <c r="N2214" s="81"/>
      <c r="O2214" s="81"/>
      <c r="P2214" s="81"/>
      <c r="Q2214" s="81"/>
      <c r="R2214" s="81"/>
      <c r="S2214" s="81"/>
      <c r="T2214" s="81"/>
      <c r="U2214" s="81"/>
      <c r="V2214" s="94"/>
      <c r="W2214" s="94"/>
    </row>
    <row r="2215" spans="1:23" ht="21" customHeight="1">
      <c r="A2215">
        <f>Table4[[#This Row],[Column1]]</f>
        <v>0</v>
      </c>
      <c r="B2215">
        <f>Table4[[#This Row],[Column2]]</f>
        <v>0</v>
      </c>
      <c r="C2215" s="81"/>
      <c r="D2215" s="81"/>
      <c r="E2215" s="81"/>
      <c r="F2215" s="81"/>
      <c r="G2215" s="81"/>
      <c r="H2215" s="81"/>
      <c r="I2215" s="81"/>
      <c r="J2215" s="81"/>
      <c r="K2215" s="81"/>
      <c r="L2215" s="81"/>
      <c r="M2215" s="81"/>
      <c r="N2215" s="81"/>
      <c r="O2215" s="81"/>
      <c r="P2215" s="81"/>
      <c r="Q2215" s="81"/>
      <c r="R2215" s="81"/>
      <c r="S2215" s="81"/>
      <c r="T2215" s="81"/>
      <c r="U2215" s="81"/>
      <c r="V2215" s="94"/>
      <c r="W2215" s="94"/>
    </row>
    <row r="2216" spans="1:23" ht="21" customHeight="1">
      <c r="A2216">
        <f>Table4[[#This Row],[Column1]]</f>
        <v>0</v>
      </c>
      <c r="B2216">
        <f>Table4[[#This Row],[Column2]]</f>
        <v>0</v>
      </c>
      <c r="C2216" s="81"/>
      <c r="D2216" s="81"/>
      <c r="E2216" s="81"/>
      <c r="F2216" s="81"/>
      <c r="G2216" s="81"/>
      <c r="H2216" s="81"/>
      <c r="I2216" s="81"/>
      <c r="J2216" s="81"/>
      <c r="K2216" s="81"/>
      <c r="L2216" s="81"/>
      <c r="M2216" s="81"/>
      <c r="N2216" s="81"/>
      <c r="O2216" s="81"/>
      <c r="P2216" s="81"/>
      <c r="Q2216" s="81"/>
      <c r="R2216" s="81"/>
      <c r="S2216" s="81"/>
      <c r="T2216" s="81"/>
      <c r="U2216" s="81"/>
      <c r="V2216" s="94"/>
      <c r="W2216" s="94"/>
    </row>
    <row r="2217" spans="1:23" ht="21" customHeight="1">
      <c r="A2217">
        <f>Table4[[#This Row],[Column1]]</f>
        <v>0</v>
      </c>
      <c r="B2217">
        <f>Table4[[#This Row],[Column2]]</f>
        <v>0</v>
      </c>
      <c r="C2217" s="81"/>
      <c r="D2217" s="81"/>
      <c r="E2217" s="81"/>
      <c r="F2217" s="81"/>
      <c r="G2217" s="81"/>
      <c r="H2217" s="81"/>
      <c r="I2217" s="81"/>
      <c r="J2217" s="81"/>
      <c r="K2217" s="81"/>
      <c r="L2217" s="81"/>
      <c r="M2217" s="81"/>
      <c r="N2217" s="81"/>
      <c r="O2217" s="81"/>
      <c r="P2217" s="81"/>
      <c r="Q2217" s="81"/>
      <c r="R2217" s="81"/>
      <c r="S2217" s="81"/>
      <c r="T2217" s="81"/>
      <c r="U2217" s="81"/>
      <c r="V2217" s="94"/>
      <c r="W2217" s="94"/>
    </row>
    <row r="2218" spans="1:23" ht="21" customHeight="1">
      <c r="A2218">
        <f>Table4[[#This Row],[Column1]]</f>
        <v>0</v>
      </c>
      <c r="B2218">
        <f>Table4[[#This Row],[Column2]]</f>
        <v>0</v>
      </c>
      <c r="C2218" s="81"/>
      <c r="D2218" s="81"/>
      <c r="E2218" s="81"/>
      <c r="F2218" s="81"/>
      <c r="G2218" s="81"/>
      <c r="H2218" s="81"/>
      <c r="I2218" s="81"/>
      <c r="J2218" s="81"/>
      <c r="K2218" s="81"/>
      <c r="L2218" s="81"/>
      <c r="M2218" s="81"/>
      <c r="N2218" s="81"/>
      <c r="O2218" s="81"/>
      <c r="P2218" s="81"/>
      <c r="Q2218" s="81"/>
      <c r="R2218" s="81"/>
      <c r="S2218" s="81"/>
      <c r="T2218" s="81"/>
      <c r="U2218" s="81"/>
      <c r="V2218" s="94"/>
      <c r="W2218" s="94"/>
    </row>
    <row r="2219" spans="1:23" ht="21" customHeight="1">
      <c r="A2219">
        <f>Table4[[#This Row],[Column1]]</f>
        <v>0</v>
      </c>
      <c r="B2219">
        <f>Table4[[#This Row],[Column2]]</f>
        <v>0</v>
      </c>
      <c r="C2219" s="81"/>
      <c r="D2219" s="81"/>
      <c r="E2219" s="81"/>
      <c r="F2219" s="81"/>
      <c r="G2219" s="81"/>
      <c r="H2219" s="81"/>
      <c r="I2219" s="81"/>
      <c r="J2219" s="81"/>
      <c r="K2219" s="81"/>
      <c r="L2219" s="81"/>
      <c r="M2219" s="81"/>
      <c r="N2219" s="81"/>
      <c r="O2219" s="81"/>
      <c r="P2219" s="81"/>
      <c r="Q2219" s="81"/>
      <c r="R2219" s="81"/>
      <c r="S2219" s="81"/>
      <c r="T2219" s="81"/>
      <c r="U2219" s="81"/>
      <c r="V2219" s="94"/>
      <c r="W2219" s="94"/>
    </row>
    <row r="2220" spans="1:23" ht="21" customHeight="1">
      <c r="A2220">
        <f>Table4[[#This Row],[Column1]]</f>
        <v>0</v>
      </c>
      <c r="B2220">
        <f>Table4[[#This Row],[Column2]]</f>
        <v>0</v>
      </c>
      <c r="C2220" s="81"/>
      <c r="D2220" s="81"/>
      <c r="E2220" s="81"/>
      <c r="F2220" s="81"/>
      <c r="G2220" s="81"/>
      <c r="H2220" s="81"/>
      <c r="I2220" s="81"/>
      <c r="J2220" s="81"/>
      <c r="K2220" s="81"/>
      <c r="L2220" s="81"/>
      <c r="M2220" s="81"/>
      <c r="N2220" s="81"/>
      <c r="O2220" s="81"/>
      <c r="P2220" s="81"/>
      <c r="Q2220" s="81"/>
      <c r="R2220" s="81"/>
      <c r="S2220" s="81"/>
      <c r="T2220" s="81"/>
      <c r="U2220" s="81"/>
      <c r="V2220" s="94"/>
      <c r="W2220" s="94"/>
    </row>
    <row r="2221" spans="1:23" ht="21" customHeight="1">
      <c r="A2221">
        <f>Table4[[#This Row],[Column1]]</f>
        <v>0</v>
      </c>
      <c r="B2221">
        <f>Table4[[#This Row],[Column2]]</f>
        <v>0</v>
      </c>
      <c r="C2221" s="81"/>
      <c r="D2221" s="81"/>
      <c r="E2221" s="81"/>
      <c r="F2221" s="81"/>
      <c r="G2221" s="81"/>
      <c r="H2221" s="81"/>
      <c r="I2221" s="81"/>
      <c r="J2221" s="81"/>
      <c r="K2221" s="81"/>
      <c r="L2221" s="81"/>
      <c r="M2221" s="81"/>
      <c r="N2221" s="81"/>
      <c r="O2221" s="81"/>
      <c r="P2221" s="81"/>
      <c r="Q2221" s="81"/>
      <c r="R2221" s="81"/>
      <c r="S2221" s="81"/>
      <c r="T2221" s="81"/>
      <c r="U2221" s="81"/>
      <c r="V2221" s="94"/>
      <c r="W2221" s="94"/>
    </row>
    <row r="2222" spans="1:23" ht="21" customHeight="1">
      <c r="A2222">
        <f>Table4[[#This Row],[Column1]]</f>
        <v>0</v>
      </c>
      <c r="B2222">
        <f>Table4[[#This Row],[Column2]]</f>
        <v>0</v>
      </c>
      <c r="C2222" s="81"/>
      <c r="D2222" s="81"/>
      <c r="E2222" s="81"/>
      <c r="F2222" s="81"/>
      <c r="G2222" s="81"/>
      <c r="H2222" s="81"/>
      <c r="I2222" s="81"/>
      <c r="J2222" s="81"/>
      <c r="K2222" s="81"/>
      <c r="L2222" s="81"/>
      <c r="M2222" s="81"/>
      <c r="N2222" s="81"/>
      <c r="O2222" s="81"/>
      <c r="P2222" s="81"/>
      <c r="Q2222" s="81"/>
      <c r="R2222" s="81"/>
      <c r="S2222" s="81"/>
      <c r="T2222" s="81"/>
      <c r="U2222" s="81"/>
      <c r="V2222" s="94"/>
      <c r="W2222" s="94"/>
    </row>
    <row r="2223" spans="1:23" ht="21" customHeight="1">
      <c r="A2223">
        <f>Table4[[#This Row],[Column1]]</f>
        <v>0</v>
      </c>
      <c r="B2223">
        <f>Table4[[#This Row],[Column2]]</f>
        <v>0</v>
      </c>
      <c r="C2223" s="81"/>
      <c r="D2223" s="81"/>
      <c r="E2223" s="81"/>
      <c r="F2223" s="81"/>
      <c r="G2223" s="81"/>
      <c r="H2223" s="81"/>
      <c r="I2223" s="81"/>
      <c r="J2223" s="81"/>
      <c r="K2223" s="81"/>
      <c r="L2223" s="81"/>
      <c r="M2223" s="81"/>
      <c r="N2223" s="81"/>
      <c r="O2223" s="81"/>
      <c r="P2223" s="81"/>
      <c r="Q2223" s="81"/>
      <c r="R2223" s="81"/>
      <c r="S2223" s="81"/>
      <c r="T2223" s="81"/>
      <c r="U2223" s="81"/>
      <c r="V2223" s="94"/>
      <c r="W2223" s="94"/>
    </row>
    <row r="2224" spans="1:23" ht="21" customHeight="1">
      <c r="A2224">
        <f>Table4[[#This Row],[Column1]]</f>
        <v>0</v>
      </c>
      <c r="B2224">
        <f>Table4[[#This Row],[Column2]]</f>
        <v>0</v>
      </c>
      <c r="C2224" s="81"/>
      <c r="D2224" s="81"/>
      <c r="E2224" s="81"/>
      <c r="F2224" s="81"/>
      <c r="G2224" s="81"/>
      <c r="H2224" s="81"/>
      <c r="I2224" s="81"/>
      <c r="J2224" s="81"/>
      <c r="K2224" s="81"/>
      <c r="L2224" s="81"/>
      <c r="M2224" s="81"/>
      <c r="N2224" s="81"/>
      <c r="O2224" s="81"/>
      <c r="P2224" s="81"/>
      <c r="Q2224" s="81"/>
      <c r="R2224" s="81"/>
      <c r="S2224" s="81"/>
      <c r="T2224" s="81"/>
      <c r="U2224" s="81"/>
      <c r="V2224" s="94"/>
      <c r="W2224" s="94"/>
    </row>
    <row r="2225" spans="1:23" ht="21" customHeight="1">
      <c r="A2225">
        <f>Table4[[#This Row],[Column1]]</f>
        <v>0</v>
      </c>
      <c r="B2225">
        <f>Table4[[#This Row],[Column2]]</f>
        <v>0</v>
      </c>
      <c r="C2225" s="81"/>
      <c r="D2225" s="81"/>
      <c r="E2225" s="81"/>
      <c r="F2225" s="81"/>
      <c r="G2225" s="81"/>
      <c r="H2225" s="81"/>
      <c r="I2225" s="81"/>
      <c r="J2225" s="81"/>
      <c r="K2225" s="81"/>
      <c r="L2225" s="81"/>
      <c r="M2225" s="81"/>
      <c r="N2225" s="81"/>
      <c r="O2225" s="81"/>
      <c r="P2225" s="81"/>
      <c r="Q2225" s="81"/>
      <c r="R2225" s="81"/>
      <c r="S2225" s="81"/>
      <c r="T2225" s="81"/>
      <c r="U2225" s="81"/>
      <c r="V2225" s="94"/>
      <c r="W2225" s="94"/>
    </row>
    <row r="2226" spans="1:23" ht="21" customHeight="1">
      <c r="A2226">
        <f>Table4[[#This Row],[Column1]]</f>
        <v>0</v>
      </c>
      <c r="B2226">
        <f>Table4[[#This Row],[Column2]]</f>
        <v>0</v>
      </c>
      <c r="C2226" s="81"/>
      <c r="D2226" s="81"/>
      <c r="E2226" s="81"/>
      <c r="F2226" s="81"/>
      <c r="G2226" s="81"/>
      <c r="H2226" s="81"/>
      <c r="I2226" s="81"/>
      <c r="J2226" s="81"/>
      <c r="K2226" s="81"/>
      <c r="L2226" s="81"/>
      <c r="M2226" s="81"/>
      <c r="N2226" s="81"/>
      <c r="O2226" s="81"/>
      <c r="P2226" s="81"/>
      <c r="Q2226" s="81"/>
      <c r="R2226" s="81"/>
      <c r="S2226" s="81"/>
      <c r="T2226" s="81"/>
      <c r="U2226" s="81"/>
      <c r="V2226" s="94"/>
      <c r="W2226" s="94"/>
    </row>
    <row r="2227" spans="1:23" ht="21" customHeight="1">
      <c r="A2227">
        <f>Table4[[#This Row],[Column1]]</f>
        <v>0</v>
      </c>
      <c r="B2227">
        <f>Table4[[#This Row],[Column2]]</f>
        <v>0</v>
      </c>
      <c r="C2227" s="81"/>
      <c r="D2227" s="81"/>
      <c r="E2227" s="81"/>
      <c r="F2227" s="81"/>
      <c r="G2227" s="81"/>
      <c r="H2227" s="81"/>
      <c r="I2227" s="81"/>
      <c r="J2227" s="81"/>
      <c r="K2227" s="81"/>
      <c r="L2227" s="81"/>
      <c r="M2227" s="81"/>
      <c r="N2227" s="81"/>
      <c r="O2227" s="81"/>
      <c r="P2227" s="81"/>
      <c r="Q2227" s="81"/>
      <c r="R2227" s="81"/>
      <c r="S2227" s="81"/>
      <c r="T2227" s="81"/>
      <c r="U2227" s="81"/>
      <c r="V2227" s="94"/>
      <c r="W2227" s="94"/>
    </row>
    <row r="2228" spans="1:23" ht="21" customHeight="1">
      <c r="A2228">
        <f>Table4[[#This Row],[Column1]]</f>
        <v>0</v>
      </c>
      <c r="B2228">
        <f>Table4[[#This Row],[Column2]]</f>
        <v>0</v>
      </c>
      <c r="C2228" s="81"/>
      <c r="D2228" s="81"/>
      <c r="E2228" s="81"/>
      <c r="F2228" s="81"/>
      <c r="G2228" s="81"/>
      <c r="H2228" s="81"/>
      <c r="I2228" s="81"/>
      <c r="J2228" s="81"/>
      <c r="K2228" s="81"/>
      <c r="L2228" s="81"/>
      <c r="M2228" s="81"/>
      <c r="N2228" s="81"/>
      <c r="O2228" s="81"/>
      <c r="P2228" s="81"/>
      <c r="Q2228" s="81"/>
      <c r="R2228" s="81"/>
      <c r="S2228" s="81"/>
      <c r="T2228" s="81"/>
      <c r="U2228" s="81"/>
      <c r="V2228" s="94"/>
      <c r="W2228" s="94"/>
    </row>
    <row r="2229" spans="1:23" ht="21" customHeight="1">
      <c r="A2229">
        <f>Table4[[#This Row],[Column1]]</f>
        <v>0</v>
      </c>
      <c r="B2229">
        <f>Table4[[#This Row],[Column2]]</f>
        <v>0</v>
      </c>
      <c r="C2229" s="81"/>
      <c r="D2229" s="81"/>
      <c r="E2229" s="81"/>
      <c r="F2229" s="81"/>
      <c r="G2229" s="81"/>
      <c r="H2229" s="81"/>
      <c r="I2229" s="81"/>
      <c r="J2229" s="81"/>
      <c r="K2229" s="81"/>
      <c r="L2229" s="81"/>
      <c r="M2229" s="81"/>
      <c r="N2229" s="81"/>
      <c r="O2229" s="81"/>
      <c r="P2229" s="81"/>
      <c r="Q2229" s="81"/>
      <c r="R2229" s="81"/>
      <c r="S2229" s="81"/>
      <c r="T2229" s="81"/>
      <c r="U2229" s="81"/>
      <c r="V2229" s="94"/>
      <c r="W2229" s="94"/>
    </row>
    <row r="2230" spans="1:23" ht="21" customHeight="1">
      <c r="A2230">
        <f>Table4[[#This Row],[Column1]]</f>
        <v>0</v>
      </c>
      <c r="B2230">
        <f>Table4[[#This Row],[Column2]]</f>
        <v>0</v>
      </c>
      <c r="C2230" s="81"/>
      <c r="D2230" s="81"/>
      <c r="E2230" s="81"/>
      <c r="F2230" s="81"/>
      <c r="G2230" s="81"/>
      <c r="H2230" s="81"/>
      <c r="I2230" s="81"/>
      <c r="J2230" s="81"/>
      <c r="K2230" s="81"/>
      <c r="L2230" s="81"/>
      <c r="M2230" s="81"/>
      <c r="N2230" s="81"/>
      <c r="O2230" s="81"/>
      <c r="P2230" s="81"/>
      <c r="Q2230" s="81"/>
      <c r="R2230" s="81"/>
      <c r="S2230" s="81"/>
      <c r="T2230" s="81"/>
      <c r="U2230" s="81"/>
      <c r="V2230" s="94"/>
      <c r="W2230" s="94"/>
    </row>
    <row r="2231" spans="1:23" ht="21" customHeight="1">
      <c r="A2231">
        <f>Table4[[#This Row],[Column1]]</f>
        <v>0</v>
      </c>
      <c r="B2231">
        <f>Table4[[#This Row],[Column2]]</f>
        <v>0</v>
      </c>
      <c r="C2231" s="81"/>
      <c r="D2231" s="81"/>
      <c r="E2231" s="81"/>
      <c r="F2231" s="81"/>
      <c r="G2231" s="81"/>
      <c r="H2231" s="81"/>
      <c r="I2231" s="81"/>
      <c r="J2231" s="81"/>
      <c r="K2231" s="81"/>
      <c r="L2231" s="81"/>
      <c r="M2231" s="81"/>
      <c r="N2231" s="81"/>
      <c r="O2231" s="81"/>
      <c r="P2231" s="81"/>
      <c r="Q2231" s="81"/>
      <c r="R2231" s="81"/>
      <c r="S2231" s="81"/>
      <c r="T2231" s="81"/>
      <c r="U2231" s="81"/>
      <c r="V2231" s="94"/>
      <c r="W2231" s="94"/>
    </row>
    <row r="2232" spans="1:23" ht="21" customHeight="1">
      <c r="A2232">
        <f>Table4[[#This Row],[Column1]]</f>
        <v>0</v>
      </c>
      <c r="B2232">
        <f>Table4[[#This Row],[Column2]]</f>
        <v>0</v>
      </c>
      <c r="C2232" s="81"/>
      <c r="D2232" s="81"/>
      <c r="E2232" s="81"/>
      <c r="F2232" s="81"/>
      <c r="G2232" s="81"/>
      <c r="H2232" s="81"/>
      <c r="I2232" s="81"/>
      <c r="J2232" s="81"/>
      <c r="K2232" s="81"/>
      <c r="L2232" s="81"/>
      <c r="M2232" s="81"/>
      <c r="N2232" s="81"/>
      <c r="O2232" s="81"/>
      <c r="P2232" s="81"/>
      <c r="Q2232" s="81"/>
      <c r="R2232" s="81"/>
      <c r="S2232" s="81"/>
      <c r="T2232" s="81"/>
      <c r="U2232" s="81"/>
      <c r="V2232" s="94"/>
      <c r="W2232" s="94"/>
    </row>
    <row r="2233" spans="1:23" ht="21" customHeight="1">
      <c r="A2233">
        <f>Table4[[#This Row],[Column1]]</f>
        <v>0</v>
      </c>
      <c r="B2233">
        <f>Table4[[#This Row],[Column2]]</f>
        <v>0</v>
      </c>
      <c r="C2233" s="81"/>
      <c r="D2233" s="81"/>
      <c r="E2233" s="81"/>
      <c r="F2233" s="81"/>
      <c r="G2233" s="81"/>
      <c r="H2233" s="81"/>
      <c r="I2233" s="81"/>
      <c r="J2233" s="81"/>
      <c r="K2233" s="81"/>
      <c r="L2233" s="81"/>
      <c r="M2233" s="81"/>
      <c r="N2233" s="81"/>
      <c r="O2233" s="81"/>
      <c r="P2233" s="81"/>
      <c r="Q2233" s="81"/>
      <c r="R2233" s="81"/>
      <c r="S2233" s="81"/>
      <c r="T2233" s="81"/>
      <c r="U2233" s="81"/>
      <c r="V2233" s="94"/>
      <c r="W2233" s="94"/>
    </row>
    <row r="2234" spans="1:23" ht="21" customHeight="1">
      <c r="A2234">
        <f>Table4[[#This Row],[Column1]]</f>
        <v>0</v>
      </c>
      <c r="B2234">
        <f>Table4[[#This Row],[Column2]]</f>
        <v>0</v>
      </c>
      <c r="C2234" s="81"/>
      <c r="D2234" s="81"/>
      <c r="E2234" s="81"/>
      <c r="F2234" s="81"/>
      <c r="G2234" s="81"/>
      <c r="H2234" s="81"/>
      <c r="I2234" s="81"/>
      <c r="J2234" s="81"/>
      <c r="K2234" s="81"/>
      <c r="L2234" s="81"/>
      <c r="M2234" s="81"/>
      <c r="N2234" s="81"/>
      <c r="O2234" s="81"/>
      <c r="P2234" s="81"/>
      <c r="Q2234" s="81"/>
      <c r="R2234" s="81"/>
      <c r="S2234" s="81"/>
      <c r="T2234" s="81"/>
      <c r="U2234" s="81"/>
      <c r="V2234" s="94"/>
      <c r="W2234" s="94"/>
    </row>
    <row r="2235" spans="1:23" ht="21" customHeight="1">
      <c r="A2235">
        <f>Table4[[#This Row],[Column1]]</f>
        <v>0</v>
      </c>
      <c r="B2235">
        <f>Table4[[#This Row],[Column2]]</f>
        <v>0</v>
      </c>
      <c r="C2235" s="81"/>
      <c r="D2235" s="81"/>
      <c r="E2235" s="81"/>
      <c r="F2235" s="81"/>
      <c r="G2235" s="81"/>
      <c r="H2235" s="81"/>
      <c r="I2235" s="81"/>
      <c r="J2235" s="81"/>
      <c r="K2235" s="81"/>
      <c r="L2235" s="81"/>
      <c r="M2235" s="81"/>
      <c r="N2235" s="81"/>
      <c r="O2235" s="81"/>
      <c r="P2235" s="81"/>
      <c r="Q2235" s="81"/>
      <c r="R2235" s="81"/>
      <c r="S2235" s="81"/>
      <c r="T2235" s="81"/>
      <c r="U2235" s="81"/>
      <c r="V2235" s="94"/>
      <c r="W2235" s="94"/>
    </row>
    <row r="2236" spans="1:23" ht="21" customHeight="1">
      <c r="A2236">
        <f>Table4[[#This Row],[Column1]]</f>
        <v>0</v>
      </c>
      <c r="B2236">
        <f>Table4[[#This Row],[Column2]]</f>
        <v>0</v>
      </c>
      <c r="C2236" s="81"/>
      <c r="D2236" s="81"/>
      <c r="E2236" s="81"/>
      <c r="F2236" s="81"/>
      <c r="G2236" s="81"/>
      <c r="H2236" s="81"/>
      <c r="I2236" s="81"/>
      <c r="J2236" s="81"/>
      <c r="K2236" s="81"/>
      <c r="L2236" s="81"/>
      <c r="M2236" s="81"/>
      <c r="N2236" s="81"/>
      <c r="O2236" s="81"/>
      <c r="P2236" s="81"/>
      <c r="Q2236" s="81"/>
      <c r="R2236" s="81"/>
      <c r="S2236" s="81"/>
      <c r="T2236" s="81"/>
      <c r="U2236" s="81"/>
      <c r="V2236" s="94"/>
      <c r="W2236" s="94"/>
    </row>
    <row r="2237" spans="1:23" ht="21" customHeight="1">
      <c r="A2237">
        <f>Table4[[#This Row],[Column1]]</f>
        <v>0</v>
      </c>
      <c r="B2237">
        <f>Table4[[#This Row],[Column2]]</f>
        <v>0</v>
      </c>
      <c r="C2237" s="81"/>
      <c r="D2237" s="81"/>
      <c r="E2237" s="81"/>
      <c r="F2237" s="81"/>
      <c r="G2237" s="81"/>
      <c r="H2237" s="81"/>
      <c r="I2237" s="81"/>
      <c r="J2237" s="81"/>
      <c r="K2237" s="81"/>
      <c r="L2237" s="81"/>
      <c r="M2237" s="81"/>
      <c r="N2237" s="81"/>
      <c r="O2237" s="81"/>
      <c r="P2237" s="81"/>
      <c r="Q2237" s="81"/>
      <c r="R2237" s="81"/>
      <c r="S2237" s="81"/>
      <c r="T2237" s="81"/>
      <c r="U2237" s="81"/>
      <c r="V2237" s="94"/>
      <c r="W2237" s="94"/>
    </row>
    <row r="2238" spans="1:23" ht="21" customHeight="1">
      <c r="A2238">
        <f>Table4[[#This Row],[Column1]]</f>
        <v>0</v>
      </c>
      <c r="B2238">
        <f>Table4[[#This Row],[Column2]]</f>
        <v>0</v>
      </c>
      <c r="C2238" s="81"/>
      <c r="D2238" s="81"/>
      <c r="E2238" s="81"/>
      <c r="F2238" s="81"/>
      <c r="G2238" s="81"/>
      <c r="H2238" s="81"/>
      <c r="I2238" s="81"/>
      <c r="J2238" s="81"/>
      <c r="K2238" s="81"/>
      <c r="L2238" s="81"/>
      <c r="M2238" s="81"/>
      <c r="N2238" s="81"/>
      <c r="O2238" s="81"/>
      <c r="P2238" s="81"/>
      <c r="Q2238" s="81"/>
      <c r="R2238" s="81"/>
      <c r="S2238" s="81"/>
      <c r="T2238" s="81"/>
      <c r="U2238" s="81"/>
      <c r="V2238" s="94"/>
      <c r="W2238" s="94"/>
    </row>
    <row r="2239" spans="1:23" ht="21" customHeight="1">
      <c r="A2239">
        <f>Table4[[#This Row],[Column1]]</f>
        <v>0</v>
      </c>
      <c r="B2239">
        <f>Table4[[#This Row],[Column2]]</f>
        <v>0</v>
      </c>
      <c r="C2239" s="81"/>
      <c r="D2239" s="81"/>
      <c r="E2239" s="81"/>
      <c r="F2239" s="81"/>
      <c r="G2239" s="81"/>
      <c r="H2239" s="81"/>
      <c r="I2239" s="81"/>
      <c r="J2239" s="81"/>
      <c r="K2239" s="81"/>
      <c r="L2239" s="81"/>
      <c r="M2239" s="81"/>
      <c r="N2239" s="81"/>
      <c r="O2239" s="81"/>
      <c r="P2239" s="81"/>
      <c r="Q2239" s="81"/>
      <c r="R2239" s="81"/>
      <c r="S2239" s="81"/>
      <c r="T2239" s="81"/>
      <c r="U2239" s="81"/>
      <c r="V2239" s="94"/>
      <c r="W2239" s="94"/>
    </row>
    <row r="2240" spans="1:23" ht="21" customHeight="1">
      <c r="A2240">
        <f>Table4[[#This Row],[Column1]]</f>
        <v>0</v>
      </c>
      <c r="B2240">
        <f>Table4[[#This Row],[Column2]]</f>
        <v>0</v>
      </c>
      <c r="C2240" s="81"/>
      <c r="D2240" s="81"/>
      <c r="E2240" s="81"/>
      <c r="F2240" s="81"/>
      <c r="G2240" s="81"/>
      <c r="H2240" s="81"/>
      <c r="I2240" s="81"/>
      <c r="J2240" s="81"/>
      <c r="K2240" s="81"/>
      <c r="L2240" s="81"/>
      <c r="M2240" s="81"/>
      <c r="N2240" s="81"/>
      <c r="O2240" s="81"/>
      <c r="P2240" s="81"/>
      <c r="Q2240" s="81"/>
      <c r="R2240" s="81"/>
      <c r="S2240" s="81"/>
      <c r="T2240" s="81"/>
      <c r="U2240" s="81"/>
      <c r="V2240" s="94"/>
      <c r="W2240" s="94"/>
    </row>
    <row r="2241" spans="1:23" ht="21" customHeight="1">
      <c r="A2241">
        <f>Table4[[#This Row],[Column1]]</f>
        <v>0</v>
      </c>
      <c r="B2241">
        <f>Table4[[#This Row],[Column2]]</f>
        <v>0</v>
      </c>
      <c r="C2241" s="81"/>
      <c r="D2241" s="81"/>
      <c r="E2241" s="81"/>
      <c r="F2241" s="81"/>
      <c r="G2241" s="81"/>
      <c r="H2241" s="81"/>
      <c r="I2241" s="81"/>
      <c r="J2241" s="81"/>
      <c r="K2241" s="81"/>
      <c r="L2241" s="81"/>
      <c r="M2241" s="81"/>
      <c r="N2241" s="81"/>
      <c r="O2241" s="81"/>
      <c r="P2241" s="81"/>
      <c r="Q2241" s="81"/>
      <c r="R2241" s="81"/>
      <c r="S2241" s="81"/>
      <c r="T2241" s="81"/>
      <c r="U2241" s="81"/>
      <c r="V2241" s="94"/>
      <c r="W2241" s="94"/>
    </row>
    <row r="2242" spans="1:23" ht="21" customHeight="1">
      <c r="A2242">
        <f>Table4[[#This Row],[Column1]]</f>
        <v>0</v>
      </c>
      <c r="B2242">
        <f>Table4[[#This Row],[Column2]]</f>
        <v>0</v>
      </c>
      <c r="C2242" s="81"/>
      <c r="D2242" s="81"/>
      <c r="E2242" s="81"/>
      <c r="F2242" s="81"/>
      <c r="G2242" s="81"/>
      <c r="H2242" s="81"/>
      <c r="I2242" s="81"/>
      <c r="J2242" s="81"/>
      <c r="K2242" s="81"/>
      <c r="L2242" s="81"/>
      <c r="M2242" s="81"/>
      <c r="N2242" s="81"/>
      <c r="O2242" s="81"/>
      <c r="P2242" s="81"/>
      <c r="Q2242" s="81"/>
      <c r="R2242" s="81"/>
      <c r="S2242" s="81"/>
      <c r="T2242" s="81"/>
      <c r="U2242" s="81"/>
      <c r="V2242" s="94"/>
      <c r="W2242" s="94"/>
    </row>
    <row r="2243" spans="1:23" ht="21" customHeight="1">
      <c r="A2243">
        <f>Table4[[#This Row],[Column1]]</f>
        <v>0</v>
      </c>
      <c r="B2243">
        <f>Table4[[#This Row],[Column2]]</f>
        <v>0</v>
      </c>
      <c r="C2243" s="81"/>
      <c r="D2243" s="81"/>
      <c r="E2243" s="81"/>
      <c r="F2243" s="81"/>
      <c r="G2243" s="81"/>
      <c r="H2243" s="81"/>
      <c r="I2243" s="81"/>
      <c r="J2243" s="81"/>
      <c r="K2243" s="81"/>
      <c r="L2243" s="81"/>
      <c r="M2243" s="81"/>
      <c r="N2243" s="81"/>
      <c r="O2243" s="81"/>
      <c r="P2243" s="81"/>
      <c r="Q2243" s="81"/>
      <c r="R2243" s="81"/>
      <c r="S2243" s="81"/>
      <c r="T2243" s="81"/>
      <c r="U2243" s="81"/>
      <c r="V2243" s="94"/>
      <c r="W2243" s="94"/>
    </row>
    <row r="2244" spans="1:23" ht="21" customHeight="1">
      <c r="A2244">
        <f>Table4[[#This Row],[Column1]]</f>
        <v>0</v>
      </c>
      <c r="B2244">
        <f>Table4[[#This Row],[Column2]]</f>
        <v>0</v>
      </c>
      <c r="C2244" s="81"/>
      <c r="D2244" s="81"/>
      <c r="E2244" s="81"/>
      <c r="F2244" s="81"/>
      <c r="G2244" s="81"/>
      <c r="H2244" s="81"/>
      <c r="I2244" s="81"/>
      <c r="J2244" s="81"/>
      <c r="K2244" s="81"/>
      <c r="L2244" s="81"/>
      <c r="M2244" s="81"/>
      <c r="N2244" s="81"/>
      <c r="O2244" s="81"/>
      <c r="P2244" s="81"/>
      <c r="Q2244" s="81"/>
      <c r="R2244" s="81"/>
      <c r="S2244" s="81"/>
      <c r="T2244" s="81"/>
      <c r="U2244" s="81"/>
      <c r="V2244" s="94"/>
      <c r="W2244" s="94"/>
    </row>
    <row r="2245" spans="1:23" ht="21" customHeight="1">
      <c r="A2245">
        <f>Table4[[#This Row],[Column1]]</f>
        <v>0</v>
      </c>
      <c r="B2245">
        <f>Table4[[#This Row],[Column2]]</f>
        <v>0</v>
      </c>
      <c r="C2245" s="81"/>
      <c r="D2245" s="81"/>
      <c r="E2245" s="81"/>
      <c r="F2245" s="81"/>
      <c r="G2245" s="81"/>
      <c r="H2245" s="81"/>
      <c r="I2245" s="81"/>
      <c r="J2245" s="81"/>
      <c r="K2245" s="81"/>
      <c r="L2245" s="81"/>
      <c r="M2245" s="81"/>
      <c r="N2245" s="81"/>
      <c r="O2245" s="81"/>
      <c r="P2245" s="81"/>
      <c r="Q2245" s="81"/>
      <c r="R2245" s="81"/>
      <c r="S2245" s="81"/>
      <c r="T2245" s="81"/>
      <c r="U2245" s="81"/>
      <c r="V2245" s="94"/>
      <c r="W2245" s="94"/>
    </row>
    <row r="2246" spans="1:23" ht="21" customHeight="1">
      <c r="A2246">
        <f>Table4[[#This Row],[Column1]]</f>
        <v>0</v>
      </c>
      <c r="B2246">
        <f>Table4[[#This Row],[Column2]]</f>
        <v>0</v>
      </c>
      <c r="C2246" s="81"/>
      <c r="D2246" s="81"/>
      <c r="E2246" s="81"/>
      <c r="F2246" s="81"/>
      <c r="G2246" s="81"/>
      <c r="H2246" s="81"/>
      <c r="I2246" s="81"/>
      <c r="J2246" s="81"/>
      <c r="K2246" s="81"/>
      <c r="L2246" s="81"/>
      <c r="M2246" s="81"/>
      <c r="N2246" s="81"/>
      <c r="O2246" s="81"/>
      <c r="P2246" s="81"/>
      <c r="Q2246" s="81"/>
      <c r="R2246" s="81"/>
      <c r="S2246" s="81"/>
      <c r="T2246" s="81"/>
      <c r="U2246" s="81"/>
      <c r="V2246" s="94"/>
      <c r="W2246" s="94"/>
    </row>
    <row r="2247" spans="1:23" ht="21" customHeight="1">
      <c r="A2247">
        <f>Table4[[#This Row],[Column1]]</f>
        <v>0</v>
      </c>
      <c r="B2247">
        <f>Table4[[#This Row],[Column2]]</f>
        <v>0</v>
      </c>
      <c r="C2247" s="81"/>
      <c r="D2247" s="81"/>
      <c r="E2247" s="81"/>
      <c r="F2247" s="81"/>
      <c r="G2247" s="81"/>
      <c r="H2247" s="81"/>
      <c r="I2247" s="81"/>
      <c r="J2247" s="81"/>
      <c r="K2247" s="81"/>
      <c r="L2247" s="81"/>
      <c r="M2247" s="81"/>
      <c r="N2247" s="81"/>
      <c r="O2247" s="81"/>
      <c r="P2247" s="81"/>
      <c r="Q2247" s="81"/>
      <c r="R2247" s="81"/>
      <c r="S2247" s="81"/>
      <c r="T2247" s="81"/>
      <c r="U2247" s="81"/>
      <c r="V2247" s="94"/>
      <c r="W2247" s="94"/>
    </row>
    <row r="2248" spans="1:23" ht="21" customHeight="1">
      <c r="A2248">
        <f>Table4[[#This Row],[Column1]]</f>
        <v>0</v>
      </c>
      <c r="B2248">
        <f>Table4[[#This Row],[Column2]]</f>
        <v>0</v>
      </c>
      <c r="C2248" s="81"/>
      <c r="D2248" s="81"/>
      <c r="E2248" s="81"/>
      <c r="F2248" s="81"/>
      <c r="G2248" s="81"/>
      <c r="H2248" s="81"/>
      <c r="I2248" s="81"/>
      <c r="J2248" s="81"/>
      <c r="K2248" s="81"/>
      <c r="L2248" s="81"/>
      <c r="M2248" s="81"/>
      <c r="N2248" s="81"/>
      <c r="O2248" s="81"/>
      <c r="P2248" s="81"/>
      <c r="Q2248" s="81"/>
      <c r="R2248" s="81"/>
      <c r="S2248" s="81"/>
      <c r="T2248" s="81"/>
      <c r="U2248" s="81"/>
      <c r="V2248" s="94"/>
      <c r="W2248" s="94"/>
    </row>
    <row r="2249" spans="1:23" ht="21" customHeight="1">
      <c r="A2249">
        <f>Table4[[#This Row],[Column1]]</f>
        <v>0</v>
      </c>
      <c r="B2249">
        <f>Table4[[#This Row],[Column2]]</f>
        <v>0</v>
      </c>
      <c r="C2249" s="81"/>
      <c r="D2249" s="81"/>
      <c r="E2249" s="81"/>
      <c r="F2249" s="81"/>
      <c r="G2249" s="81"/>
      <c r="H2249" s="81"/>
      <c r="I2249" s="81"/>
      <c r="J2249" s="81"/>
      <c r="K2249" s="81"/>
      <c r="L2249" s="81"/>
      <c r="M2249" s="81"/>
      <c r="N2249" s="81"/>
      <c r="O2249" s="81"/>
      <c r="P2249" s="81"/>
      <c r="Q2249" s="81"/>
      <c r="R2249" s="81"/>
      <c r="S2249" s="81"/>
      <c r="T2249" s="81"/>
      <c r="U2249" s="81"/>
      <c r="V2249" s="94"/>
      <c r="W2249" s="94"/>
    </row>
    <row r="2250" spans="1:23" ht="21" customHeight="1">
      <c r="A2250">
        <f>Table4[[#This Row],[Column1]]</f>
        <v>0</v>
      </c>
      <c r="B2250">
        <f>Table4[[#This Row],[Column2]]</f>
        <v>0</v>
      </c>
      <c r="C2250" s="81"/>
      <c r="D2250" s="81"/>
      <c r="E2250" s="81"/>
      <c r="F2250" s="81"/>
      <c r="G2250" s="81"/>
      <c r="H2250" s="81"/>
      <c r="I2250" s="81"/>
      <c r="J2250" s="81"/>
      <c r="K2250" s="81"/>
      <c r="L2250" s="81"/>
      <c r="M2250" s="81"/>
      <c r="N2250" s="81"/>
      <c r="O2250" s="81"/>
      <c r="P2250" s="81"/>
      <c r="Q2250" s="81"/>
      <c r="R2250" s="81"/>
      <c r="S2250" s="81"/>
      <c r="T2250" s="81"/>
      <c r="U2250" s="81"/>
      <c r="V2250" s="94"/>
      <c r="W2250" s="94"/>
    </row>
    <row r="2251" spans="1:23" ht="21" customHeight="1">
      <c r="A2251">
        <f>Table4[[#This Row],[Column1]]</f>
        <v>0</v>
      </c>
      <c r="B2251">
        <f>Table4[[#This Row],[Column2]]</f>
        <v>0</v>
      </c>
      <c r="C2251" s="81"/>
      <c r="D2251" s="81"/>
      <c r="E2251" s="81"/>
      <c r="F2251" s="81"/>
      <c r="G2251" s="81"/>
      <c r="H2251" s="81"/>
      <c r="I2251" s="81"/>
      <c r="J2251" s="81"/>
      <c r="K2251" s="81"/>
      <c r="L2251" s="81"/>
      <c r="M2251" s="81"/>
      <c r="N2251" s="81"/>
      <c r="O2251" s="81"/>
      <c r="P2251" s="81"/>
      <c r="Q2251" s="81"/>
      <c r="R2251" s="81"/>
      <c r="S2251" s="81"/>
      <c r="T2251" s="81"/>
      <c r="U2251" s="81"/>
      <c r="V2251" s="94"/>
      <c r="W2251" s="94"/>
    </row>
    <row r="2252" spans="1:23" ht="21" customHeight="1">
      <c r="A2252">
        <f>Table4[[#This Row],[Column1]]</f>
        <v>0</v>
      </c>
      <c r="B2252">
        <f>Table4[[#This Row],[Column2]]</f>
        <v>0</v>
      </c>
      <c r="C2252" s="81"/>
      <c r="D2252" s="81"/>
      <c r="E2252" s="81"/>
      <c r="F2252" s="81"/>
      <c r="G2252" s="81"/>
      <c r="H2252" s="81"/>
      <c r="I2252" s="81"/>
      <c r="J2252" s="81"/>
      <c r="K2252" s="81"/>
      <c r="L2252" s="81"/>
      <c r="M2252" s="81"/>
      <c r="N2252" s="81"/>
      <c r="O2252" s="81"/>
      <c r="P2252" s="81"/>
      <c r="Q2252" s="81"/>
      <c r="R2252" s="81"/>
      <c r="S2252" s="81"/>
      <c r="T2252" s="81"/>
      <c r="U2252" s="81"/>
      <c r="V2252" s="94"/>
      <c r="W2252" s="94"/>
    </row>
    <row r="2253" spans="1:23" ht="21" customHeight="1">
      <c r="A2253">
        <f>Table4[[#This Row],[Column1]]</f>
        <v>0</v>
      </c>
      <c r="B2253">
        <f>Table4[[#This Row],[Column2]]</f>
        <v>0</v>
      </c>
      <c r="C2253" s="81"/>
      <c r="D2253" s="81"/>
      <c r="E2253" s="81"/>
      <c r="F2253" s="81"/>
      <c r="G2253" s="81"/>
      <c r="H2253" s="81"/>
      <c r="I2253" s="81"/>
      <c r="J2253" s="81"/>
      <c r="K2253" s="81"/>
      <c r="L2253" s="81"/>
      <c r="M2253" s="81"/>
      <c r="N2253" s="81"/>
      <c r="O2253" s="81"/>
      <c r="P2253" s="81"/>
      <c r="Q2253" s="81"/>
      <c r="R2253" s="81"/>
      <c r="S2253" s="81"/>
      <c r="T2253" s="81"/>
      <c r="U2253" s="81"/>
      <c r="V2253" s="94"/>
      <c r="W2253" s="94"/>
    </row>
    <row r="2254" spans="1:23" ht="21" customHeight="1">
      <c r="A2254">
        <f>Table4[[#This Row],[Column1]]</f>
        <v>0</v>
      </c>
      <c r="B2254">
        <f>Table4[[#This Row],[Column2]]</f>
        <v>0</v>
      </c>
      <c r="C2254" s="81"/>
      <c r="D2254" s="81"/>
      <c r="E2254" s="81"/>
      <c r="F2254" s="81"/>
      <c r="G2254" s="81"/>
      <c r="H2254" s="81"/>
      <c r="I2254" s="81"/>
      <c r="J2254" s="81"/>
      <c r="K2254" s="81"/>
      <c r="L2254" s="81"/>
      <c r="M2254" s="81"/>
      <c r="N2254" s="81"/>
      <c r="O2254" s="81"/>
      <c r="P2254" s="81"/>
      <c r="Q2254" s="81"/>
      <c r="R2254" s="81"/>
      <c r="S2254" s="81"/>
      <c r="T2254" s="81"/>
      <c r="U2254" s="81"/>
      <c r="V2254" s="94"/>
      <c r="W2254" s="94"/>
    </row>
    <row r="2255" spans="1:23" ht="21" customHeight="1">
      <c r="A2255">
        <f>Table4[[#This Row],[Column1]]</f>
        <v>0</v>
      </c>
      <c r="B2255">
        <f>Table4[[#This Row],[Column2]]</f>
        <v>0</v>
      </c>
      <c r="C2255" s="81"/>
      <c r="D2255" s="81"/>
      <c r="E2255" s="81"/>
      <c r="F2255" s="81"/>
      <c r="G2255" s="81"/>
      <c r="H2255" s="81"/>
      <c r="I2255" s="81"/>
      <c r="J2255" s="81"/>
      <c r="K2255" s="81"/>
      <c r="L2255" s="81"/>
      <c r="M2255" s="81"/>
      <c r="N2255" s="81"/>
      <c r="O2255" s="81"/>
      <c r="P2255" s="81"/>
      <c r="Q2255" s="81"/>
      <c r="R2255" s="81"/>
      <c r="S2255" s="81"/>
      <c r="T2255" s="81"/>
      <c r="U2255" s="81"/>
      <c r="V2255" s="94"/>
      <c r="W2255" s="94"/>
    </row>
    <row r="2256" spans="1:23" ht="21" customHeight="1">
      <c r="A2256">
        <f>Table4[[#This Row],[Column1]]</f>
        <v>0</v>
      </c>
      <c r="B2256">
        <f>Table4[[#This Row],[Column2]]</f>
        <v>0</v>
      </c>
      <c r="C2256" s="81"/>
      <c r="D2256" s="81"/>
      <c r="E2256" s="81"/>
      <c r="F2256" s="81"/>
      <c r="G2256" s="81"/>
      <c r="H2256" s="81"/>
      <c r="I2256" s="81"/>
      <c r="J2256" s="81"/>
      <c r="K2256" s="81"/>
      <c r="L2256" s="81"/>
      <c r="M2256" s="81"/>
      <c r="N2256" s="81"/>
      <c r="O2256" s="81"/>
      <c r="P2256" s="81"/>
      <c r="Q2256" s="81"/>
      <c r="R2256" s="81"/>
      <c r="S2256" s="81"/>
      <c r="T2256" s="81"/>
      <c r="U2256" s="81"/>
      <c r="V2256" s="94"/>
      <c r="W2256" s="94"/>
    </row>
    <row r="2257" spans="1:23" ht="21" customHeight="1">
      <c r="A2257">
        <f>Table4[[#This Row],[Column1]]</f>
        <v>0</v>
      </c>
      <c r="B2257">
        <f>Table4[[#This Row],[Column2]]</f>
        <v>0</v>
      </c>
      <c r="C2257" s="81"/>
      <c r="D2257" s="81"/>
      <c r="E2257" s="81"/>
      <c r="F2257" s="81"/>
      <c r="G2257" s="81"/>
      <c r="H2257" s="81"/>
      <c r="I2257" s="81"/>
      <c r="J2257" s="81"/>
      <c r="K2257" s="81"/>
      <c r="L2257" s="81"/>
      <c r="M2257" s="81"/>
      <c r="N2257" s="81"/>
      <c r="O2257" s="81"/>
      <c r="P2257" s="81"/>
      <c r="Q2257" s="81"/>
      <c r="R2257" s="81"/>
      <c r="S2257" s="81"/>
      <c r="T2257" s="81"/>
      <c r="U2257" s="81"/>
      <c r="V2257" s="94"/>
      <c r="W2257" s="94"/>
    </row>
    <row r="2258" spans="1:23" ht="21" customHeight="1">
      <c r="A2258">
        <f>Table4[[#This Row],[Column1]]</f>
        <v>0</v>
      </c>
      <c r="B2258">
        <f>Table4[[#This Row],[Column2]]</f>
        <v>0</v>
      </c>
      <c r="C2258" s="81"/>
      <c r="D2258" s="81"/>
      <c r="E2258" s="81"/>
      <c r="F2258" s="81"/>
      <c r="G2258" s="81"/>
      <c r="H2258" s="81"/>
      <c r="I2258" s="81"/>
      <c r="J2258" s="81"/>
      <c r="K2258" s="81"/>
      <c r="L2258" s="81"/>
      <c r="M2258" s="81"/>
      <c r="N2258" s="81"/>
      <c r="O2258" s="81"/>
      <c r="P2258" s="81"/>
      <c r="Q2258" s="81"/>
      <c r="R2258" s="81"/>
      <c r="S2258" s="81"/>
      <c r="T2258" s="81"/>
      <c r="U2258" s="81"/>
      <c r="V2258" s="94"/>
      <c r="W2258" s="94"/>
    </row>
    <row r="2259" spans="1:23" ht="21" customHeight="1">
      <c r="A2259">
        <f>Table4[[#This Row],[Column1]]</f>
        <v>0</v>
      </c>
      <c r="B2259">
        <f>Table4[[#This Row],[Column2]]</f>
        <v>0</v>
      </c>
      <c r="C2259" s="81"/>
      <c r="D2259" s="81"/>
      <c r="E2259" s="81"/>
      <c r="F2259" s="81"/>
      <c r="G2259" s="81"/>
      <c r="H2259" s="81"/>
      <c r="I2259" s="81"/>
      <c r="J2259" s="81"/>
      <c r="K2259" s="81"/>
      <c r="L2259" s="81"/>
      <c r="M2259" s="81"/>
      <c r="N2259" s="81"/>
      <c r="O2259" s="81"/>
      <c r="P2259" s="81"/>
      <c r="Q2259" s="81"/>
      <c r="R2259" s="81"/>
      <c r="S2259" s="81"/>
      <c r="T2259" s="81"/>
      <c r="U2259" s="81"/>
      <c r="V2259" s="94"/>
      <c r="W2259" s="94"/>
    </row>
    <row r="2260" spans="1:23" ht="21" customHeight="1">
      <c r="A2260">
        <f>Table4[[#This Row],[Column1]]</f>
        <v>0</v>
      </c>
      <c r="B2260">
        <f>Table4[[#This Row],[Column2]]</f>
        <v>0</v>
      </c>
      <c r="C2260" s="81"/>
      <c r="D2260" s="81"/>
      <c r="E2260" s="81"/>
      <c r="F2260" s="81"/>
      <c r="G2260" s="81"/>
      <c r="H2260" s="81"/>
      <c r="I2260" s="81"/>
      <c r="J2260" s="81"/>
      <c r="K2260" s="81"/>
      <c r="L2260" s="81"/>
      <c r="M2260" s="81"/>
      <c r="N2260" s="81"/>
      <c r="O2260" s="81"/>
      <c r="P2260" s="81"/>
      <c r="Q2260" s="81"/>
      <c r="R2260" s="81"/>
      <c r="S2260" s="81"/>
      <c r="T2260" s="81"/>
      <c r="U2260" s="81"/>
      <c r="V2260" s="94"/>
      <c r="W2260" s="94"/>
    </row>
    <row r="2261" spans="1:23" ht="21" customHeight="1">
      <c r="A2261">
        <f>Table4[[#This Row],[Column1]]</f>
        <v>0</v>
      </c>
      <c r="B2261">
        <f>Table4[[#This Row],[Column2]]</f>
        <v>0</v>
      </c>
      <c r="C2261" s="81"/>
      <c r="D2261" s="81"/>
      <c r="E2261" s="81"/>
      <c r="F2261" s="81"/>
      <c r="G2261" s="81"/>
      <c r="H2261" s="81"/>
      <c r="I2261" s="81"/>
      <c r="J2261" s="81"/>
      <c r="K2261" s="81"/>
      <c r="L2261" s="81"/>
      <c r="M2261" s="81"/>
      <c r="N2261" s="81"/>
      <c r="O2261" s="81"/>
      <c r="P2261" s="81"/>
      <c r="Q2261" s="81"/>
      <c r="R2261" s="81"/>
      <c r="S2261" s="81"/>
      <c r="T2261" s="81"/>
      <c r="U2261" s="81"/>
      <c r="V2261" s="94"/>
      <c r="W2261" s="94"/>
    </row>
    <row r="2262" spans="1:23" ht="21" customHeight="1">
      <c r="A2262">
        <f>Table4[[#This Row],[Column1]]</f>
        <v>0</v>
      </c>
      <c r="B2262">
        <f>Table4[[#This Row],[Column2]]</f>
        <v>0</v>
      </c>
      <c r="C2262" s="81"/>
      <c r="D2262" s="81"/>
      <c r="E2262" s="81"/>
      <c r="F2262" s="81"/>
      <c r="G2262" s="81"/>
      <c r="H2262" s="81"/>
      <c r="I2262" s="81"/>
      <c r="J2262" s="81"/>
      <c r="K2262" s="81"/>
      <c r="L2262" s="81"/>
      <c r="M2262" s="81"/>
      <c r="N2262" s="81"/>
      <c r="O2262" s="81"/>
      <c r="P2262" s="81"/>
      <c r="Q2262" s="81"/>
      <c r="R2262" s="81"/>
      <c r="S2262" s="81"/>
      <c r="T2262" s="81"/>
      <c r="U2262" s="81"/>
      <c r="V2262" s="94"/>
      <c r="W2262" s="94"/>
    </row>
    <row r="2263" spans="1:23" ht="21" customHeight="1">
      <c r="A2263">
        <f>Table4[[#This Row],[Column1]]</f>
        <v>0</v>
      </c>
      <c r="B2263">
        <f>Table4[[#This Row],[Column2]]</f>
        <v>0</v>
      </c>
      <c r="C2263" s="81"/>
      <c r="D2263" s="81"/>
      <c r="E2263" s="81"/>
      <c r="F2263" s="81"/>
      <c r="G2263" s="81"/>
      <c r="H2263" s="81"/>
      <c r="I2263" s="81"/>
      <c r="J2263" s="81"/>
      <c r="K2263" s="81"/>
      <c r="L2263" s="81"/>
      <c r="M2263" s="81"/>
      <c r="N2263" s="81"/>
      <c r="O2263" s="81"/>
      <c r="P2263" s="81"/>
      <c r="Q2263" s="81"/>
      <c r="R2263" s="81"/>
      <c r="S2263" s="81"/>
      <c r="T2263" s="81"/>
      <c r="U2263" s="81"/>
      <c r="V2263" s="94"/>
      <c r="W2263" s="94"/>
    </row>
    <row r="2264" spans="1:23" ht="21" customHeight="1">
      <c r="A2264">
        <f>Table4[[#This Row],[Column1]]</f>
        <v>0</v>
      </c>
      <c r="B2264">
        <f>Table4[[#This Row],[Column2]]</f>
        <v>0</v>
      </c>
      <c r="C2264" s="81"/>
      <c r="D2264" s="81"/>
      <c r="E2264" s="81"/>
      <c r="F2264" s="81"/>
      <c r="G2264" s="81"/>
      <c r="H2264" s="81"/>
      <c r="I2264" s="81"/>
      <c r="J2264" s="81"/>
      <c r="K2264" s="81"/>
      <c r="L2264" s="81"/>
      <c r="M2264" s="81"/>
      <c r="N2264" s="81"/>
      <c r="O2264" s="81"/>
      <c r="P2264" s="81"/>
      <c r="Q2264" s="81"/>
      <c r="R2264" s="81"/>
      <c r="S2264" s="81"/>
      <c r="T2264" s="81"/>
      <c r="U2264" s="81"/>
      <c r="V2264" s="94"/>
      <c r="W2264" s="94"/>
    </row>
    <row r="2265" spans="1:23" ht="21" customHeight="1">
      <c r="A2265">
        <f>Table4[[#This Row],[Column1]]</f>
        <v>0</v>
      </c>
      <c r="B2265">
        <f>Table4[[#This Row],[Column2]]</f>
        <v>0</v>
      </c>
      <c r="C2265" s="81"/>
      <c r="D2265" s="81"/>
      <c r="E2265" s="81"/>
      <c r="F2265" s="81"/>
      <c r="G2265" s="81"/>
      <c r="H2265" s="81"/>
      <c r="I2265" s="81"/>
      <c r="J2265" s="81"/>
      <c r="K2265" s="81"/>
      <c r="L2265" s="81"/>
      <c r="M2265" s="81"/>
      <c r="N2265" s="81"/>
      <c r="O2265" s="81"/>
      <c r="P2265" s="81"/>
      <c r="Q2265" s="81"/>
      <c r="R2265" s="81"/>
      <c r="S2265" s="81"/>
      <c r="T2265" s="81"/>
      <c r="U2265" s="81"/>
      <c r="V2265" s="94"/>
      <c r="W2265" s="94"/>
    </row>
    <row r="2266" spans="1:23" ht="21" customHeight="1">
      <c r="A2266">
        <f>Table4[[#This Row],[Column1]]</f>
        <v>0</v>
      </c>
      <c r="B2266">
        <f>Table4[[#This Row],[Column2]]</f>
        <v>0</v>
      </c>
      <c r="C2266" s="81"/>
      <c r="D2266" s="81"/>
      <c r="E2266" s="81"/>
      <c r="F2266" s="81"/>
      <c r="G2266" s="81"/>
      <c r="H2266" s="81"/>
      <c r="I2266" s="81"/>
      <c r="J2266" s="81"/>
      <c r="K2266" s="81"/>
      <c r="L2266" s="81"/>
      <c r="M2266" s="81"/>
      <c r="N2266" s="81"/>
      <c r="O2266" s="81"/>
      <c r="P2266" s="81"/>
      <c r="Q2266" s="81"/>
      <c r="R2266" s="81"/>
      <c r="S2266" s="81"/>
      <c r="T2266" s="81"/>
      <c r="U2266" s="81"/>
      <c r="V2266" s="94"/>
      <c r="W2266" s="94"/>
    </row>
    <row r="2267" spans="1:23" ht="21" customHeight="1">
      <c r="A2267">
        <f>Table4[[#This Row],[Column1]]</f>
        <v>0</v>
      </c>
      <c r="B2267">
        <f>Table4[[#This Row],[Column2]]</f>
        <v>0</v>
      </c>
      <c r="C2267" s="81"/>
      <c r="D2267" s="81"/>
      <c r="E2267" s="81"/>
      <c r="F2267" s="81"/>
      <c r="G2267" s="81"/>
      <c r="H2267" s="81"/>
      <c r="I2267" s="81"/>
      <c r="J2267" s="81"/>
      <c r="K2267" s="81"/>
      <c r="L2267" s="81"/>
      <c r="M2267" s="81"/>
      <c r="N2267" s="81"/>
      <c r="O2267" s="81"/>
      <c r="P2267" s="81"/>
      <c r="Q2267" s="81"/>
      <c r="R2267" s="81"/>
      <c r="S2267" s="81"/>
      <c r="T2267" s="81"/>
      <c r="U2267" s="81"/>
      <c r="V2267" s="94"/>
      <c r="W2267" s="94"/>
    </row>
    <row r="2268" spans="1:23" ht="21" customHeight="1">
      <c r="A2268">
        <f>Table4[[#This Row],[Column1]]</f>
        <v>0</v>
      </c>
      <c r="B2268">
        <f>Table4[[#This Row],[Column2]]</f>
        <v>0</v>
      </c>
      <c r="C2268" s="81"/>
      <c r="D2268" s="81"/>
      <c r="E2268" s="81"/>
      <c r="F2268" s="81"/>
      <c r="G2268" s="81"/>
      <c r="H2268" s="81"/>
      <c r="I2268" s="81"/>
      <c r="J2268" s="81"/>
      <c r="K2268" s="81"/>
      <c r="L2268" s="81"/>
      <c r="M2268" s="81"/>
      <c r="N2268" s="81"/>
      <c r="O2268" s="81"/>
      <c r="P2268" s="81"/>
      <c r="Q2268" s="81"/>
      <c r="R2268" s="81"/>
      <c r="S2268" s="81"/>
      <c r="T2268" s="81"/>
      <c r="U2268" s="81"/>
      <c r="V2268" s="94"/>
      <c r="W2268" s="94"/>
    </row>
    <row r="2269" spans="1:23" ht="21" customHeight="1">
      <c r="A2269">
        <f>Table4[[#This Row],[Column1]]</f>
        <v>0</v>
      </c>
      <c r="B2269">
        <f>Table4[[#This Row],[Column2]]</f>
        <v>0</v>
      </c>
      <c r="C2269" s="81"/>
      <c r="D2269" s="81"/>
      <c r="E2269" s="81"/>
      <c r="F2269" s="81"/>
      <c r="G2269" s="81"/>
      <c r="H2269" s="81"/>
      <c r="I2269" s="81"/>
      <c r="J2269" s="81"/>
      <c r="K2269" s="81"/>
      <c r="L2269" s="81"/>
      <c r="M2269" s="81"/>
      <c r="N2269" s="81"/>
      <c r="O2269" s="81"/>
      <c r="P2269" s="81"/>
      <c r="Q2269" s="81"/>
      <c r="R2269" s="81"/>
      <c r="S2269" s="81"/>
      <c r="T2269" s="81"/>
      <c r="U2269" s="81"/>
      <c r="V2269" s="94"/>
      <c r="W2269" s="94"/>
    </row>
    <row r="2270" spans="1:23" ht="21" customHeight="1">
      <c r="A2270">
        <f>Table4[[#This Row],[Column1]]</f>
        <v>0</v>
      </c>
      <c r="B2270">
        <f>Table4[[#This Row],[Column2]]</f>
        <v>0</v>
      </c>
      <c r="C2270" s="81"/>
      <c r="D2270" s="81"/>
      <c r="E2270" s="81"/>
      <c r="F2270" s="81"/>
      <c r="G2270" s="81"/>
      <c r="H2270" s="81"/>
      <c r="I2270" s="81"/>
      <c r="J2270" s="81"/>
      <c r="K2270" s="81"/>
      <c r="L2270" s="81"/>
      <c r="M2270" s="81"/>
      <c r="N2270" s="81"/>
      <c r="O2270" s="81"/>
      <c r="P2270" s="81"/>
      <c r="Q2270" s="81"/>
      <c r="R2270" s="81"/>
      <c r="S2270" s="81"/>
      <c r="T2270" s="81"/>
      <c r="U2270" s="81"/>
      <c r="V2270" s="94"/>
      <c r="W2270" s="94"/>
    </row>
    <row r="2271" spans="1:23" ht="21" customHeight="1">
      <c r="A2271">
        <f>Table4[[#This Row],[Column1]]</f>
        <v>0</v>
      </c>
      <c r="B2271">
        <f>Table4[[#This Row],[Column2]]</f>
        <v>0</v>
      </c>
      <c r="C2271" s="81"/>
      <c r="D2271" s="81"/>
      <c r="E2271" s="81"/>
      <c r="F2271" s="81"/>
      <c r="G2271" s="81"/>
      <c r="H2271" s="81"/>
      <c r="I2271" s="81"/>
      <c r="J2271" s="81"/>
      <c r="K2271" s="81"/>
      <c r="L2271" s="81"/>
      <c r="M2271" s="81"/>
      <c r="N2271" s="81"/>
      <c r="O2271" s="81"/>
      <c r="P2271" s="81"/>
      <c r="Q2271" s="81"/>
      <c r="R2271" s="81"/>
      <c r="S2271" s="81"/>
      <c r="T2271" s="81"/>
      <c r="U2271" s="81"/>
      <c r="V2271" s="94"/>
      <c r="W2271" s="94"/>
    </row>
    <row r="2272" spans="1:23" ht="21" customHeight="1">
      <c r="A2272">
        <f>Table4[[#This Row],[Column1]]</f>
        <v>0</v>
      </c>
      <c r="B2272">
        <f>Table4[[#This Row],[Column2]]</f>
        <v>0</v>
      </c>
      <c r="C2272" s="81"/>
      <c r="D2272" s="81"/>
      <c r="E2272" s="81"/>
      <c r="F2272" s="81"/>
      <c r="G2272" s="81"/>
      <c r="H2272" s="81"/>
      <c r="I2272" s="81"/>
      <c r="J2272" s="81"/>
      <c r="K2272" s="81"/>
      <c r="L2272" s="81"/>
      <c r="M2272" s="81"/>
      <c r="N2272" s="81"/>
      <c r="O2272" s="81"/>
      <c r="P2272" s="81"/>
      <c r="Q2272" s="81"/>
      <c r="R2272" s="81"/>
      <c r="S2272" s="81"/>
      <c r="T2272" s="81"/>
      <c r="U2272" s="81"/>
      <c r="V2272" s="94"/>
      <c r="W2272" s="94"/>
    </row>
    <row r="2273" spans="1:23" ht="21" customHeight="1">
      <c r="A2273">
        <f>Table4[[#This Row],[Column1]]</f>
        <v>0</v>
      </c>
      <c r="B2273">
        <f>Table4[[#This Row],[Column2]]</f>
        <v>0</v>
      </c>
      <c r="C2273" s="81"/>
      <c r="D2273" s="81"/>
      <c r="E2273" s="81"/>
      <c r="F2273" s="81"/>
      <c r="G2273" s="81"/>
      <c r="H2273" s="81"/>
      <c r="I2273" s="81"/>
      <c r="J2273" s="81"/>
      <c r="K2273" s="81"/>
      <c r="L2273" s="81"/>
      <c r="M2273" s="81"/>
      <c r="N2273" s="81"/>
      <c r="O2273" s="81"/>
      <c r="P2273" s="81"/>
      <c r="Q2273" s="81"/>
      <c r="R2273" s="81"/>
      <c r="S2273" s="81"/>
      <c r="T2273" s="81"/>
      <c r="U2273" s="81"/>
      <c r="V2273" s="94"/>
      <c r="W2273" s="94"/>
    </row>
    <row r="2274" spans="1:23" ht="21" customHeight="1">
      <c r="A2274">
        <f>Table4[[#This Row],[Column1]]</f>
        <v>0</v>
      </c>
      <c r="B2274">
        <f>Table4[[#This Row],[Column2]]</f>
        <v>0</v>
      </c>
      <c r="C2274" s="81"/>
      <c r="D2274" s="81"/>
      <c r="E2274" s="81"/>
      <c r="F2274" s="81"/>
      <c r="G2274" s="81"/>
      <c r="H2274" s="81"/>
      <c r="I2274" s="81"/>
      <c r="J2274" s="81"/>
      <c r="K2274" s="81"/>
      <c r="L2274" s="81"/>
      <c r="M2274" s="81"/>
      <c r="N2274" s="81"/>
      <c r="O2274" s="81"/>
      <c r="P2274" s="81"/>
      <c r="Q2274" s="81"/>
      <c r="R2274" s="81"/>
      <c r="S2274" s="81"/>
      <c r="T2274" s="81"/>
      <c r="U2274" s="81"/>
      <c r="V2274" s="94"/>
      <c r="W2274" s="94"/>
    </row>
    <row r="2275" spans="1:23" ht="21" customHeight="1">
      <c r="A2275">
        <f>Table4[[#This Row],[Column1]]</f>
        <v>0</v>
      </c>
      <c r="B2275">
        <f>Table4[[#This Row],[Column2]]</f>
        <v>0</v>
      </c>
      <c r="C2275" s="81"/>
      <c r="D2275" s="81"/>
      <c r="E2275" s="81"/>
      <c r="F2275" s="81"/>
      <c r="G2275" s="81"/>
      <c r="H2275" s="81"/>
      <c r="I2275" s="81"/>
      <c r="J2275" s="81"/>
      <c r="K2275" s="81"/>
      <c r="L2275" s="81"/>
      <c r="M2275" s="81"/>
      <c r="N2275" s="81"/>
      <c r="O2275" s="81"/>
      <c r="P2275" s="81"/>
      <c r="Q2275" s="81"/>
      <c r="R2275" s="81"/>
      <c r="S2275" s="81"/>
      <c r="T2275" s="81"/>
      <c r="U2275" s="81"/>
      <c r="V2275" s="94"/>
      <c r="W2275" s="94"/>
    </row>
    <row r="2276" spans="1:23" ht="21" customHeight="1">
      <c r="A2276">
        <f>Table4[[#This Row],[Column1]]</f>
        <v>0</v>
      </c>
      <c r="B2276">
        <f>Table4[[#This Row],[Column2]]</f>
        <v>0</v>
      </c>
      <c r="C2276" s="81"/>
      <c r="D2276" s="81"/>
      <c r="E2276" s="81"/>
      <c r="F2276" s="81"/>
      <c r="G2276" s="81"/>
      <c r="H2276" s="81"/>
      <c r="I2276" s="81"/>
      <c r="J2276" s="81"/>
      <c r="K2276" s="81"/>
      <c r="L2276" s="81"/>
      <c r="M2276" s="81"/>
      <c r="N2276" s="81"/>
      <c r="O2276" s="81"/>
      <c r="P2276" s="81"/>
      <c r="Q2276" s="81"/>
      <c r="R2276" s="81"/>
      <c r="S2276" s="81"/>
      <c r="T2276" s="81"/>
      <c r="U2276" s="81"/>
      <c r="V2276" s="94"/>
      <c r="W2276" s="94"/>
    </row>
    <row r="2277" spans="1:23" ht="21" customHeight="1">
      <c r="A2277">
        <f>Table4[[#This Row],[Column1]]</f>
        <v>0</v>
      </c>
      <c r="B2277">
        <f>Table4[[#This Row],[Column2]]</f>
        <v>0</v>
      </c>
      <c r="C2277" s="81"/>
      <c r="D2277" s="81"/>
      <c r="E2277" s="81"/>
      <c r="F2277" s="81"/>
      <c r="G2277" s="81"/>
      <c r="H2277" s="81"/>
      <c r="I2277" s="81"/>
      <c r="J2277" s="81"/>
      <c r="K2277" s="81"/>
      <c r="L2277" s="81"/>
      <c r="M2277" s="81"/>
      <c r="N2277" s="81"/>
      <c r="O2277" s="81"/>
      <c r="P2277" s="81"/>
      <c r="Q2277" s="81"/>
      <c r="R2277" s="81"/>
      <c r="S2277" s="81"/>
      <c r="T2277" s="81"/>
      <c r="U2277" s="81"/>
      <c r="V2277" s="94"/>
      <c r="W2277" s="94"/>
    </row>
    <row r="2278" spans="1:23" ht="21" customHeight="1">
      <c r="A2278">
        <f>Table4[[#This Row],[Column1]]</f>
        <v>0</v>
      </c>
      <c r="B2278">
        <f>Table4[[#This Row],[Column2]]</f>
        <v>0</v>
      </c>
      <c r="C2278" s="81"/>
      <c r="D2278" s="81"/>
      <c r="E2278" s="81"/>
      <c r="F2278" s="81"/>
      <c r="G2278" s="81"/>
      <c r="H2278" s="81"/>
      <c r="I2278" s="81"/>
      <c r="J2278" s="81"/>
      <c r="K2278" s="81"/>
      <c r="L2278" s="81"/>
      <c r="M2278" s="81"/>
      <c r="N2278" s="81"/>
      <c r="O2278" s="81"/>
      <c r="P2278" s="81"/>
      <c r="Q2278" s="81"/>
      <c r="R2278" s="81"/>
      <c r="S2278" s="81"/>
      <c r="T2278" s="81"/>
      <c r="U2278" s="81"/>
      <c r="V2278" s="94"/>
      <c r="W2278" s="94"/>
    </row>
    <row r="2279" spans="1:23" ht="21" customHeight="1">
      <c r="A2279">
        <f>Table4[[#This Row],[Column1]]</f>
        <v>0</v>
      </c>
      <c r="B2279">
        <f>Table4[[#This Row],[Column2]]</f>
        <v>0</v>
      </c>
      <c r="C2279" s="81"/>
      <c r="D2279" s="81"/>
      <c r="E2279" s="81"/>
      <c r="F2279" s="81"/>
      <c r="G2279" s="81"/>
      <c r="H2279" s="81"/>
      <c r="I2279" s="81"/>
      <c r="J2279" s="81"/>
      <c r="K2279" s="81"/>
      <c r="L2279" s="81"/>
      <c r="M2279" s="81"/>
      <c r="N2279" s="81"/>
      <c r="O2279" s="81"/>
      <c r="P2279" s="81"/>
      <c r="Q2279" s="81"/>
      <c r="R2279" s="81"/>
      <c r="S2279" s="81"/>
      <c r="T2279" s="81"/>
      <c r="U2279" s="81"/>
      <c r="V2279" s="94"/>
      <c r="W2279" s="94"/>
    </row>
    <row r="2280" spans="1:23" ht="21" customHeight="1">
      <c r="A2280">
        <f>Table4[[#This Row],[Column1]]</f>
        <v>0</v>
      </c>
      <c r="B2280">
        <f>Table4[[#This Row],[Column2]]</f>
        <v>0</v>
      </c>
      <c r="C2280" s="81"/>
      <c r="D2280" s="81"/>
      <c r="E2280" s="81"/>
      <c r="F2280" s="81"/>
      <c r="G2280" s="81"/>
      <c r="H2280" s="81"/>
      <c r="I2280" s="81"/>
      <c r="J2280" s="81"/>
      <c r="K2280" s="81"/>
      <c r="L2280" s="81"/>
      <c r="M2280" s="81"/>
      <c r="N2280" s="81"/>
      <c r="O2280" s="81"/>
      <c r="P2280" s="81"/>
      <c r="Q2280" s="81"/>
      <c r="R2280" s="81"/>
      <c r="S2280" s="81"/>
      <c r="T2280" s="81"/>
      <c r="U2280" s="81"/>
      <c r="V2280" s="94"/>
      <c r="W2280" s="94"/>
    </row>
    <row r="2281" spans="1:23" ht="21" customHeight="1">
      <c r="A2281">
        <f>Table4[[#This Row],[Column1]]</f>
        <v>0</v>
      </c>
      <c r="B2281">
        <f>Table4[[#This Row],[Column2]]</f>
        <v>0</v>
      </c>
      <c r="C2281" s="81"/>
      <c r="D2281" s="81"/>
      <c r="E2281" s="81"/>
      <c r="F2281" s="81"/>
      <c r="G2281" s="81"/>
      <c r="H2281" s="81"/>
      <c r="I2281" s="81"/>
      <c r="J2281" s="81"/>
      <c r="K2281" s="81"/>
      <c r="L2281" s="81"/>
      <c r="M2281" s="81"/>
      <c r="N2281" s="81"/>
      <c r="O2281" s="81"/>
      <c r="P2281" s="81"/>
      <c r="Q2281" s="81"/>
      <c r="R2281" s="81"/>
      <c r="S2281" s="81"/>
      <c r="T2281" s="81"/>
      <c r="U2281" s="81"/>
      <c r="V2281" s="94"/>
      <c r="W2281" s="94"/>
    </row>
    <row r="2282" spans="1:23" ht="21" customHeight="1">
      <c r="A2282">
        <f>Table4[[#This Row],[Column1]]</f>
        <v>0</v>
      </c>
      <c r="B2282">
        <f>Table4[[#This Row],[Column2]]</f>
        <v>0</v>
      </c>
      <c r="C2282" s="81"/>
      <c r="D2282" s="81"/>
      <c r="E2282" s="81"/>
      <c r="F2282" s="81"/>
      <c r="G2282" s="81"/>
      <c r="H2282" s="81"/>
      <c r="I2282" s="81"/>
      <c r="J2282" s="81"/>
      <c r="K2282" s="81"/>
      <c r="L2282" s="81"/>
      <c r="M2282" s="81"/>
      <c r="N2282" s="81"/>
      <c r="O2282" s="81"/>
      <c r="P2282" s="81"/>
      <c r="Q2282" s="81"/>
      <c r="R2282" s="81"/>
      <c r="S2282" s="81"/>
      <c r="T2282" s="81"/>
      <c r="U2282" s="81"/>
      <c r="V2282" s="94"/>
      <c r="W2282" s="94"/>
    </row>
    <row r="2283" spans="1:23" ht="21" customHeight="1">
      <c r="A2283">
        <f>Table4[[#This Row],[Column1]]</f>
        <v>0</v>
      </c>
      <c r="B2283">
        <f>Table4[[#This Row],[Column2]]</f>
        <v>0</v>
      </c>
      <c r="C2283" s="81"/>
      <c r="D2283" s="81"/>
      <c r="E2283" s="81"/>
      <c r="F2283" s="81"/>
      <c r="G2283" s="81"/>
      <c r="H2283" s="81"/>
      <c r="I2283" s="81"/>
      <c r="J2283" s="81"/>
      <c r="K2283" s="81"/>
      <c r="L2283" s="81"/>
      <c r="M2283" s="81"/>
      <c r="N2283" s="81"/>
      <c r="O2283" s="81"/>
      <c r="P2283" s="81"/>
      <c r="Q2283" s="81"/>
      <c r="R2283" s="81"/>
      <c r="S2283" s="81"/>
      <c r="T2283" s="81"/>
      <c r="U2283" s="81"/>
      <c r="V2283" s="94"/>
      <c r="W2283" s="94"/>
    </row>
    <row r="2284" spans="1:23" ht="21" customHeight="1">
      <c r="A2284">
        <f>Table4[[#This Row],[Column1]]</f>
        <v>0</v>
      </c>
      <c r="B2284">
        <f>Table4[[#This Row],[Column2]]</f>
        <v>0</v>
      </c>
      <c r="C2284" s="81"/>
      <c r="D2284" s="81"/>
      <c r="E2284" s="81"/>
      <c r="F2284" s="81"/>
      <c r="G2284" s="81"/>
      <c r="H2284" s="81"/>
      <c r="I2284" s="81"/>
      <c r="J2284" s="81"/>
      <c r="K2284" s="81"/>
      <c r="L2284" s="81"/>
      <c r="M2284" s="81"/>
      <c r="N2284" s="81"/>
      <c r="O2284" s="81"/>
      <c r="P2284" s="81"/>
      <c r="Q2284" s="81"/>
      <c r="R2284" s="81"/>
      <c r="S2284" s="81"/>
      <c r="T2284" s="81"/>
      <c r="U2284" s="81"/>
      <c r="V2284" s="94"/>
      <c r="W2284" s="94"/>
    </row>
    <row r="2285" spans="1:23" ht="21" customHeight="1">
      <c r="A2285">
        <f>Table4[[#This Row],[Column1]]</f>
        <v>0</v>
      </c>
      <c r="B2285">
        <f>Table4[[#This Row],[Column2]]</f>
        <v>0</v>
      </c>
      <c r="C2285" s="81"/>
      <c r="D2285" s="81"/>
      <c r="E2285" s="81"/>
      <c r="F2285" s="81"/>
      <c r="G2285" s="81"/>
      <c r="H2285" s="81"/>
      <c r="I2285" s="81"/>
      <c r="J2285" s="81"/>
      <c r="K2285" s="81"/>
      <c r="L2285" s="81"/>
      <c r="M2285" s="81"/>
      <c r="N2285" s="81"/>
      <c r="O2285" s="81"/>
      <c r="P2285" s="81"/>
      <c r="Q2285" s="81"/>
      <c r="R2285" s="81"/>
      <c r="S2285" s="81"/>
      <c r="T2285" s="81"/>
      <c r="U2285" s="81"/>
      <c r="V2285" s="94"/>
      <c r="W2285" s="94"/>
    </row>
    <row r="2286" spans="1:23" ht="21" customHeight="1">
      <c r="A2286">
        <f>Table4[[#This Row],[Column1]]</f>
        <v>0</v>
      </c>
      <c r="B2286">
        <f>Table4[[#This Row],[Column2]]</f>
        <v>0</v>
      </c>
      <c r="C2286" s="81"/>
      <c r="D2286" s="81"/>
      <c r="E2286" s="81"/>
      <c r="F2286" s="81"/>
      <c r="G2286" s="81"/>
      <c r="H2286" s="81"/>
      <c r="I2286" s="81"/>
      <c r="J2286" s="81"/>
      <c r="K2286" s="81"/>
      <c r="L2286" s="81"/>
      <c r="M2286" s="81"/>
      <c r="N2286" s="81"/>
      <c r="O2286" s="81"/>
      <c r="P2286" s="81"/>
      <c r="Q2286" s="81"/>
      <c r="R2286" s="81"/>
      <c r="S2286" s="81"/>
      <c r="T2286" s="81"/>
      <c r="U2286" s="81"/>
      <c r="V2286" s="94"/>
      <c r="W2286" s="94"/>
    </row>
    <row r="2287" spans="1:23" ht="21" customHeight="1">
      <c r="A2287">
        <f>Table4[[#This Row],[Column1]]</f>
        <v>0</v>
      </c>
      <c r="B2287">
        <f>Table4[[#This Row],[Column2]]</f>
        <v>0</v>
      </c>
      <c r="C2287" s="81"/>
      <c r="D2287" s="81"/>
      <c r="E2287" s="81"/>
      <c r="F2287" s="81"/>
      <c r="G2287" s="81"/>
      <c r="H2287" s="81"/>
      <c r="I2287" s="81"/>
      <c r="J2287" s="81"/>
      <c r="K2287" s="81"/>
      <c r="L2287" s="81"/>
      <c r="M2287" s="81"/>
      <c r="N2287" s="81"/>
      <c r="O2287" s="81"/>
      <c r="P2287" s="81"/>
      <c r="Q2287" s="81"/>
      <c r="R2287" s="81"/>
      <c r="S2287" s="81"/>
      <c r="T2287" s="81"/>
      <c r="U2287" s="81"/>
      <c r="V2287" s="94"/>
      <c r="W2287" s="94"/>
    </row>
    <row r="2288" spans="1:23" ht="21" customHeight="1">
      <c r="A2288">
        <f>Table4[[#This Row],[Column1]]</f>
        <v>0</v>
      </c>
      <c r="B2288">
        <f>Table4[[#This Row],[Column2]]</f>
        <v>0</v>
      </c>
      <c r="C2288" s="81"/>
      <c r="D2288" s="81"/>
      <c r="E2288" s="81"/>
      <c r="F2288" s="81"/>
      <c r="G2288" s="81"/>
      <c r="H2288" s="81"/>
      <c r="I2288" s="81"/>
      <c r="J2288" s="81"/>
      <c r="K2288" s="81"/>
      <c r="L2288" s="81"/>
      <c r="M2288" s="81"/>
      <c r="N2288" s="81"/>
      <c r="O2288" s="81"/>
      <c r="P2288" s="81"/>
      <c r="Q2288" s="81"/>
      <c r="R2288" s="81"/>
      <c r="S2288" s="81"/>
      <c r="T2288" s="81"/>
      <c r="U2288" s="81"/>
      <c r="V2288" s="94"/>
      <c r="W2288" s="94"/>
    </row>
    <row r="2289" spans="1:23" ht="21" customHeight="1">
      <c r="A2289">
        <f>Table4[[#This Row],[Column1]]</f>
        <v>0</v>
      </c>
      <c r="B2289">
        <f>Table4[[#This Row],[Column2]]</f>
        <v>0</v>
      </c>
      <c r="C2289" s="81"/>
      <c r="D2289" s="81"/>
      <c r="E2289" s="81"/>
      <c r="F2289" s="81"/>
      <c r="G2289" s="81"/>
      <c r="H2289" s="81"/>
      <c r="I2289" s="81"/>
      <c r="J2289" s="81"/>
      <c r="K2289" s="81"/>
      <c r="L2289" s="81"/>
      <c r="M2289" s="81"/>
      <c r="N2289" s="81"/>
      <c r="O2289" s="81"/>
      <c r="P2289" s="81"/>
      <c r="Q2289" s="81"/>
      <c r="R2289" s="81"/>
      <c r="S2289" s="81"/>
      <c r="T2289" s="81"/>
      <c r="U2289" s="81"/>
      <c r="V2289" s="94"/>
      <c r="W2289" s="94"/>
    </row>
    <row r="2290" spans="1:23" ht="21" customHeight="1">
      <c r="A2290">
        <f>Table4[[#This Row],[Column1]]</f>
        <v>0</v>
      </c>
      <c r="B2290">
        <f>Table4[[#This Row],[Column2]]</f>
        <v>0</v>
      </c>
      <c r="C2290" s="81"/>
      <c r="D2290" s="81"/>
      <c r="E2290" s="81"/>
      <c r="F2290" s="81"/>
      <c r="G2290" s="81"/>
      <c r="H2290" s="81"/>
      <c r="I2290" s="81"/>
      <c r="J2290" s="81"/>
      <c r="K2290" s="81"/>
      <c r="L2290" s="81"/>
      <c r="M2290" s="81"/>
      <c r="N2290" s="81"/>
      <c r="O2290" s="81"/>
      <c r="P2290" s="81"/>
      <c r="Q2290" s="81"/>
      <c r="R2290" s="81"/>
      <c r="S2290" s="81"/>
      <c r="T2290" s="81"/>
      <c r="U2290" s="81"/>
      <c r="V2290" s="94"/>
      <c r="W2290" s="94"/>
    </row>
    <row r="2291" spans="1:23" ht="21" customHeight="1">
      <c r="A2291">
        <f>Table4[[#This Row],[Column1]]</f>
        <v>0</v>
      </c>
      <c r="B2291">
        <f>Table4[[#This Row],[Column2]]</f>
        <v>0</v>
      </c>
      <c r="C2291" s="81"/>
      <c r="D2291" s="81"/>
      <c r="E2291" s="81"/>
      <c r="F2291" s="81"/>
      <c r="G2291" s="81"/>
      <c r="H2291" s="81"/>
      <c r="I2291" s="81"/>
      <c r="J2291" s="81"/>
      <c r="K2291" s="81"/>
      <c r="L2291" s="81"/>
      <c r="M2291" s="81"/>
      <c r="N2291" s="81"/>
      <c r="O2291" s="81"/>
      <c r="P2291" s="81"/>
      <c r="Q2291" s="81"/>
      <c r="R2291" s="81"/>
      <c r="S2291" s="81"/>
      <c r="T2291" s="81"/>
      <c r="U2291" s="81"/>
      <c r="V2291" s="94"/>
      <c r="W2291" s="94"/>
    </row>
    <row r="2292" spans="1:23" ht="21" customHeight="1">
      <c r="A2292">
        <f>Table4[[#This Row],[Column1]]</f>
        <v>0</v>
      </c>
      <c r="B2292">
        <f>Table4[[#This Row],[Column2]]</f>
        <v>0</v>
      </c>
      <c r="C2292" s="81"/>
      <c r="D2292" s="81"/>
      <c r="E2292" s="81"/>
      <c r="F2292" s="81"/>
      <c r="G2292" s="81"/>
      <c r="H2292" s="81"/>
      <c r="I2292" s="81"/>
      <c r="J2292" s="81"/>
      <c r="K2292" s="81"/>
      <c r="L2292" s="81"/>
      <c r="M2292" s="81"/>
      <c r="N2292" s="81"/>
      <c r="O2292" s="81"/>
      <c r="P2292" s="81"/>
      <c r="Q2292" s="81"/>
      <c r="R2292" s="81"/>
      <c r="S2292" s="81"/>
      <c r="T2292" s="81"/>
      <c r="U2292" s="81"/>
      <c r="V2292" s="94"/>
      <c r="W2292" s="94"/>
    </row>
    <row r="2293" spans="1:23" ht="21" customHeight="1">
      <c r="A2293">
        <f>Table4[[#This Row],[Column1]]</f>
        <v>0</v>
      </c>
      <c r="B2293">
        <f>Table4[[#This Row],[Column2]]</f>
        <v>0</v>
      </c>
      <c r="C2293" s="81"/>
      <c r="D2293" s="81"/>
      <c r="E2293" s="81"/>
      <c r="F2293" s="81"/>
      <c r="G2293" s="81"/>
      <c r="H2293" s="81"/>
      <c r="I2293" s="81"/>
      <c r="J2293" s="81"/>
      <c r="K2293" s="81"/>
      <c r="L2293" s="81"/>
      <c r="M2293" s="81"/>
      <c r="N2293" s="81"/>
      <c r="O2293" s="81"/>
      <c r="P2293" s="81"/>
      <c r="Q2293" s="81"/>
      <c r="R2293" s="81"/>
      <c r="S2293" s="81"/>
      <c r="T2293" s="81"/>
      <c r="U2293" s="81"/>
      <c r="V2293" s="94"/>
      <c r="W2293" s="94"/>
    </row>
    <row r="2294" spans="1:23" ht="21" customHeight="1">
      <c r="A2294">
        <f>Table4[[#This Row],[Column1]]</f>
        <v>0</v>
      </c>
      <c r="B2294">
        <f>Table4[[#This Row],[Column2]]</f>
        <v>0</v>
      </c>
      <c r="C2294" s="81"/>
      <c r="D2294" s="81"/>
      <c r="E2294" s="81"/>
      <c r="F2294" s="81"/>
      <c r="G2294" s="81"/>
      <c r="H2294" s="81"/>
      <c r="I2294" s="81"/>
      <c r="J2294" s="81"/>
      <c r="K2294" s="81"/>
      <c r="L2294" s="81"/>
      <c r="M2294" s="81"/>
      <c r="N2294" s="81"/>
      <c r="O2294" s="81"/>
      <c r="P2294" s="81"/>
      <c r="Q2294" s="81"/>
      <c r="R2294" s="81"/>
      <c r="S2294" s="81"/>
      <c r="T2294" s="81"/>
      <c r="U2294" s="81"/>
      <c r="V2294" s="94"/>
      <c r="W2294" s="94"/>
    </row>
    <row r="2295" spans="1:23" ht="21" customHeight="1">
      <c r="A2295">
        <f>Table4[[#This Row],[Column1]]</f>
        <v>0</v>
      </c>
      <c r="B2295">
        <f>Table4[[#This Row],[Column2]]</f>
        <v>0</v>
      </c>
      <c r="C2295" s="81"/>
      <c r="D2295" s="81"/>
      <c r="E2295" s="81"/>
      <c r="F2295" s="81"/>
      <c r="G2295" s="81"/>
      <c r="H2295" s="81"/>
      <c r="I2295" s="81"/>
      <c r="J2295" s="81"/>
      <c r="K2295" s="81"/>
      <c r="L2295" s="81"/>
      <c r="M2295" s="81"/>
      <c r="N2295" s="81"/>
      <c r="O2295" s="81"/>
      <c r="P2295" s="81"/>
      <c r="Q2295" s="81"/>
      <c r="R2295" s="81"/>
      <c r="S2295" s="81"/>
      <c r="T2295" s="81"/>
      <c r="U2295" s="81"/>
      <c r="V2295" s="94"/>
      <c r="W2295" s="94"/>
    </row>
    <row r="2296" spans="1:23" ht="21" customHeight="1">
      <c r="A2296">
        <f>Table4[[#This Row],[Column1]]</f>
        <v>0</v>
      </c>
      <c r="B2296">
        <f>Table4[[#This Row],[Column2]]</f>
        <v>0</v>
      </c>
      <c r="C2296" s="81"/>
      <c r="D2296" s="81"/>
      <c r="E2296" s="81"/>
      <c r="F2296" s="81"/>
      <c r="G2296" s="81"/>
      <c r="H2296" s="81"/>
      <c r="I2296" s="81"/>
      <c r="J2296" s="81"/>
      <c r="K2296" s="81"/>
      <c r="L2296" s="81"/>
      <c r="M2296" s="81"/>
      <c r="N2296" s="81"/>
      <c r="O2296" s="81"/>
      <c r="P2296" s="81"/>
      <c r="Q2296" s="81"/>
      <c r="R2296" s="81"/>
      <c r="S2296" s="81"/>
      <c r="T2296" s="81"/>
      <c r="U2296" s="81"/>
      <c r="V2296" s="94"/>
      <c r="W2296" s="94"/>
    </row>
    <row r="2297" spans="1:23" ht="21" customHeight="1">
      <c r="A2297">
        <f>Table4[[#This Row],[Column1]]</f>
        <v>0</v>
      </c>
      <c r="B2297">
        <f>Table4[[#This Row],[Column2]]</f>
        <v>0</v>
      </c>
      <c r="C2297" s="81"/>
      <c r="D2297" s="81"/>
      <c r="E2297" s="81"/>
      <c r="F2297" s="81"/>
      <c r="G2297" s="81"/>
      <c r="H2297" s="81"/>
      <c r="I2297" s="81"/>
      <c r="J2297" s="81"/>
      <c r="K2297" s="81"/>
      <c r="L2297" s="81"/>
      <c r="M2297" s="81"/>
      <c r="N2297" s="81"/>
      <c r="O2297" s="81"/>
      <c r="P2297" s="81"/>
      <c r="Q2297" s="81"/>
      <c r="R2297" s="81"/>
      <c r="S2297" s="81"/>
      <c r="T2297" s="81"/>
      <c r="U2297" s="81"/>
      <c r="V2297" s="94"/>
      <c r="W2297" s="94"/>
    </row>
    <row r="2298" spans="1:23" ht="21" customHeight="1">
      <c r="A2298">
        <f>Table4[[#This Row],[Column1]]</f>
        <v>0</v>
      </c>
      <c r="B2298">
        <f>Table4[[#This Row],[Column2]]</f>
        <v>0</v>
      </c>
      <c r="C2298" s="81"/>
      <c r="D2298" s="81"/>
      <c r="E2298" s="81"/>
      <c r="F2298" s="81"/>
      <c r="G2298" s="81"/>
      <c r="H2298" s="81"/>
      <c r="I2298" s="81"/>
      <c r="J2298" s="81"/>
      <c r="K2298" s="81"/>
      <c r="L2298" s="81"/>
      <c r="M2298" s="81"/>
      <c r="N2298" s="81"/>
      <c r="O2298" s="81"/>
      <c r="P2298" s="81"/>
      <c r="Q2298" s="81"/>
      <c r="R2298" s="81"/>
      <c r="S2298" s="81"/>
      <c r="T2298" s="81"/>
      <c r="U2298" s="81"/>
      <c r="V2298" s="94"/>
      <c r="W2298" s="94"/>
    </row>
    <row r="2299" spans="1:23" ht="21" customHeight="1">
      <c r="A2299">
        <f>Table4[[#This Row],[Column1]]</f>
        <v>0</v>
      </c>
      <c r="B2299">
        <f>Table4[[#This Row],[Column2]]</f>
        <v>0</v>
      </c>
      <c r="C2299" s="81"/>
      <c r="D2299" s="81"/>
      <c r="E2299" s="81"/>
      <c r="F2299" s="81"/>
      <c r="G2299" s="81"/>
      <c r="H2299" s="81"/>
      <c r="I2299" s="81"/>
      <c r="J2299" s="81"/>
      <c r="K2299" s="81"/>
      <c r="L2299" s="81"/>
      <c r="M2299" s="81"/>
      <c r="N2299" s="81"/>
      <c r="O2299" s="81"/>
      <c r="P2299" s="81"/>
      <c r="Q2299" s="81"/>
      <c r="R2299" s="81"/>
      <c r="S2299" s="81"/>
      <c r="T2299" s="81"/>
      <c r="U2299" s="81"/>
      <c r="V2299" s="94"/>
      <c r="W2299" s="94"/>
    </row>
    <row r="2300" spans="1:23" ht="21" customHeight="1">
      <c r="A2300">
        <f>Table4[[#This Row],[Column1]]</f>
        <v>0</v>
      </c>
      <c r="B2300">
        <f>Table4[[#This Row],[Column2]]</f>
        <v>0</v>
      </c>
      <c r="C2300" s="81"/>
      <c r="D2300" s="81"/>
      <c r="E2300" s="81"/>
      <c r="F2300" s="81"/>
      <c r="G2300" s="81"/>
      <c r="H2300" s="81"/>
      <c r="I2300" s="81"/>
      <c r="J2300" s="81"/>
      <c r="K2300" s="81"/>
      <c r="L2300" s="81"/>
      <c r="M2300" s="81"/>
      <c r="N2300" s="81"/>
      <c r="O2300" s="81"/>
      <c r="P2300" s="81"/>
      <c r="Q2300" s="81"/>
      <c r="R2300" s="81"/>
      <c r="S2300" s="81"/>
      <c r="T2300" s="81"/>
      <c r="U2300" s="81"/>
      <c r="V2300" s="94"/>
      <c r="W2300" s="94"/>
    </row>
    <row r="2301" spans="1:23" ht="21" customHeight="1">
      <c r="A2301">
        <f>Table4[[#This Row],[Column1]]</f>
        <v>0</v>
      </c>
      <c r="B2301">
        <f>Table4[[#This Row],[Column2]]</f>
        <v>0</v>
      </c>
      <c r="C2301" s="81"/>
      <c r="D2301" s="81"/>
      <c r="E2301" s="81"/>
      <c r="F2301" s="81"/>
      <c r="G2301" s="81"/>
      <c r="H2301" s="81"/>
      <c r="I2301" s="81"/>
      <c r="J2301" s="81"/>
      <c r="K2301" s="81"/>
      <c r="L2301" s="81"/>
      <c r="M2301" s="81"/>
      <c r="N2301" s="81"/>
      <c r="O2301" s="81"/>
      <c r="P2301" s="81"/>
      <c r="Q2301" s="81"/>
      <c r="R2301" s="81"/>
      <c r="S2301" s="81"/>
      <c r="T2301" s="81"/>
      <c r="U2301" s="81"/>
      <c r="V2301" s="94"/>
      <c r="W2301" s="94"/>
    </row>
    <row r="2302" spans="1:23" ht="21" customHeight="1">
      <c r="A2302">
        <f>Table4[[#This Row],[Column1]]</f>
        <v>0</v>
      </c>
      <c r="B2302">
        <f>Table4[[#This Row],[Column2]]</f>
        <v>0</v>
      </c>
      <c r="C2302" s="81"/>
      <c r="D2302" s="81"/>
      <c r="E2302" s="81"/>
      <c r="F2302" s="81"/>
      <c r="G2302" s="81"/>
      <c r="H2302" s="81"/>
      <c r="I2302" s="81"/>
      <c r="J2302" s="81"/>
      <c r="K2302" s="81"/>
      <c r="L2302" s="81"/>
      <c r="M2302" s="81"/>
      <c r="N2302" s="81"/>
      <c r="O2302" s="81"/>
      <c r="P2302" s="81"/>
      <c r="Q2302" s="81"/>
      <c r="R2302" s="81"/>
      <c r="S2302" s="81"/>
      <c r="T2302" s="81"/>
      <c r="U2302" s="81"/>
      <c r="V2302" s="94"/>
      <c r="W2302" s="94"/>
    </row>
    <row r="2303" spans="1:23" ht="21" customHeight="1">
      <c r="A2303">
        <f>Table4[[#This Row],[Column1]]</f>
        <v>0</v>
      </c>
      <c r="B2303">
        <f>Table4[[#This Row],[Column2]]</f>
        <v>0</v>
      </c>
      <c r="C2303" s="81"/>
      <c r="D2303" s="81"/>
      <c r="E2303" s="81"/>
      <c r="F2303" s="81"/>
      <c r="G2303" s="81"/>
      <c r="H2303" s="81"/>
      <c r="I2303" s="81"/>
      <c r="J2303" s="81"/>
      <c r="K2303" s="81"/>
      <c r="L2303" s="81"/>
      <c r="M2303" s="81"/>
      <c r="N2303" s="81"/>
      <c r="O2303" s="81"/>
      <c r="P2303" s="81"/>
      <c r="Q2303" s="81"/>
      <c r="R2303" s="81"/>
      <c r="S2303" s="81"/>
      <c r="T2303" s="81"/>
      <c r="U2303" s="81"/>
      <c r="V2303" s="94"/>
      <c r="W2303" s="94"/>
    </row>
    <row r="2304" spans="1:23" ht="21" customHeight="1">
      <c r="A2304">
        <f>Table4[[#This Row],[Column1]]</f>
        <v>0</v>
      </c>
      <c r="B2304">
        <f>Table4[[#This Row],[Column2]]</f>
        <v>0</v>
      </c>
      <c r="C2304" s="81"/>
      <c r="D2304" s="81"/>
      <c r="E2304" s="81"/>
      <c r="F2304" s="81"/>
      <c r="G2304" s="81"/>
      <c r="H2304" s="81"/>
      <c r="I2304" s="81"/>
      <c r="J2304" s="81"/>
      <c r="K2304" s="81"/>
      <c r="L2304" s="81"/>
      <c r="M2304" s="81"/>
      <c r="N2304" s="81"/>
      <c r="O2304" s="81"/>
      <c r="P2304" s="81"/>
      <c r="Q2304" s="81"/>
      <c r="R2304" s="81"/>
      <c r="S2304" s="81"/>
      <c r="T2304" s="81"/>
      <c r="U2304" s="81"/>
      <c r="V2304" s="94"/>
      <c r="W2304" s="94"/>
    </row>
    <row r="2305" spans="1:23" ht="21" customHeight="1">
      <c r="A2305">
        <f>Table4[[#This Row],[Column1]]</f>
        <v>0</v>
      </c>
      <c r="B2305">
        <f>Table4[[#This Row],[Column2]]</f>
        <v>0</v>
      </c>
      <c r="C2305" s="81"/>
      <c r="D2305" s="81"/>
      <c r="E2305" s="81"/>
      <c r="F2305" s="81"/>
      <c r="G2305" s="81"/>
      <c r="H2305" s="81"/>
      <c r="I2305" s="81"/>
      <c r="J2305" s="81"/>
      <c r="K2305" s="81"/>
      <c r="L2305" s="81"/>
      <c r="M2305" s="81"/>
      <c r="N2305" s="81"/>
      <c r="O2305" s="81"/>
      <c r="P2305" s="81"/>
      <c r="Q2305" s="81"/>
      <c r="R2305" s="81"/>
      <c r="S2305" s="81"/>
      <c r="T2305" s="81"/>
      <c r="U2305" s="81"/>
      <c r="V2305" s="94"/>
      <c r="W2305" s="94"/>
    </row>
    <row r="2306" spans="1:23" ht="21" customHeight="1">
      <c r="A2306">
        <f>Table4[[#This Row],[Column1]]</f>
        <v>0</v>
      </c>
      <c r="B2306">
        <f>Table4[[#This Row],[Column2]]</f>
        <v>0</v>
      </c>
      <c r="C2306" s="81"/>
      <c r="D2306" s="81"/>
      <c r="E2306" s="81"/>
      <c r="F2306" s="81"/>
      <c r="G2306" s="81"/>
      <c r="H2306" s="81"/>
      <c r="I2306" s="81"/>
      <c r="J2306" s="81"/>
      <c r="K2306" s="81"/>
      <c r="L2306" s="81"/>
      <c r="M2306" s="81"/>
      <c r="N2306" s="81"/>
      <c r="O2306" s="81"/>
      <c r="P2306" s="81"/>
      <c r="Q2306" s="81"/>
      <c r="R2306" s="81"/>
      <c r="S2306" s="81"/>
      <c r="T2306" s="81"/>
      <c r="U2306" s="81"/>
      <c r="V2306" s="94"/>
      <c r="W2306" s="94"/>
    </row>
    <row r="2307" spans="1:23" ht="21" customHeight="1">
      <c r="A2307">
        <f>Table4[[#This Row],[Column1]]</f>
        <v>0</v>
      </c>
      <c r="B2307">
        <f>Table4[[#This Row],[Column2]]</f>
        <v>0</v>
      </c>
      <c r="C2307" s="81"/>
      <c r="D2307" s="81"/>
      <c r="E2307" s="81"/>
      <c r="F2307" s="81"/>
      <c r="G2307" s="81"/>
      <c r="H2307" s="81"/>
      <c r="I2307" s="81"/>
      <c r="J2307" s="81"/>
      <c r="K2307" s="81"/>
      <c r="L2307" s="81"/>
      <c r="M2307" s="81"/>
      <c r="N2307" s="81"/>
      <c r="O2307" s="81"/>
      <c r="P2307" s="81"/>
      <c r="Q2307" s="81"/>
      <c r="R2307" s="81"/>
      <c r="S2307" s="81"/>
      <c r="T2307" s="81"/>
      <c r="U2307" s="81"/>
      <c r="V2307" s="94"/>
      <c r="W2307" s="94"/>
    </row>
    <row r="2308" spans="1:23" ht="21" customHeight="1">
      <c r="A2308">
        <f>Table4[[#This Row],[Column1]]</f>
        <v>0</v>
      </c>
      <c r="B2308">
        <f>Table4[[#This Row],[Column2]]</f>
        <v>0</v>
      </c>
      <c r="C2308" s="81"/>
      <c r="D2308" s="81"/>
      <c r="E2308" s="81"/>
      <c r="F2308" s="81"/>
      <c r="G2308" s="81"/>
      <c r="H2308" s="81"/>
      <c r="I2308" s="81"/>
      <c r="J2308" s="81"/>
      <c r="K2308" s="81"/>
      <c r="L2308" s="81"/>
      <c r="M2308" s="81"/>
      <c r="N2308" s="81"/>
      <c r="O2308" s="81"/>
      <c r="P2308" s="81"/>
      <c r="Q2308" s="81"/>
      <c r="R2308" s="81"/>
      <c r="S2308" s="81"/>
      <c r="T2308" s="81"/>
      <c r="U2308" s="81"/>
      <c r="V2308" s="94"/>
      <c r="W2308" s="94"/>
    </row>
    <row r="2309" spans="1:23" ht="21" customHeight="1">
      <c r="A2309">
        <f>Table4[[#This Row],[Column1]]</f>
        <v>0</v>
      </c>
      <c r="B2309">
        <f>Table4[[#This Row],[Column2]]</f>
        <v>0</v>
      </c>
      <c r="C2309" s="81"/>
      <c r="D2309" s="81"/>
      <c r="E2309" s="81"/>
      <c r="F2309" s="81"/>
      <c r="G2309" s="81"/>
      <c r="H2309" s="81"/>
      <c r="I2309" s="81"/>
      <c r="J2309" s="81"/>
      <c r="K2309" s="81"/>
      <c r="L2309" s="81"/>
      <c r="M2309" s="81"/>
      <c r="N2309" s="81"/>
      <c r="O2309" s="81"/>
      <c r="P2309" s="81"/>
      <c r="Q2309" s="81"/>
      <c r="R2309" s="81"/>
      <c r="S2309" s="81"/>
      <c r="T2309" s="81"/>
      <c r="U2309" s="81"/>
      <c r="V2309" s="94"/>
      <c r="W2309" s="94"/>
    </row>
    <row r="2310" spans="1:23" ht="21" customHeight="1">
      <c r="A2310">
        <f>Table4[[#This Row],[Column1]]</f>
        <v>0</v>
      </c>
      <c r="B2310">
        <f>Table4[[#This Row],[Column2]]</f>
        <v>0</v>
      </c>
      <c r="C2310" s="81"/>
      <c r="D2310" s="81"/>
      <c r="E2310" s="81"/>
      <c r="F2310" s="81"/>
      <c r="G2310" s="81"/>
      <c r="H2310" s="81"/>
      <c r="I2310" s="81"/>
      <c r="J2310" s="81"/>
      <c r="K2310" s="81"/>
      <c r="L2310" s="81"/>
      <c r="M2310" s="81"/>
      <c r="N2310" s="81"/>
      <c r="O2310" s="81"/>
      <c r="P2310" s="81"/>
      <c r="Q2310" s="81"/>
      <c r="R2310" s="81"/>
      <c r="S2310" s="81"/>
      <c r="T2310" s="81"/>
      <c r="U2310" s="81"/>
      <c r="V2310" s="94"/>
      <c r="W2310" s="94"/>
    </row>
    <row r="2311" spans="1:23" ht="21" customHeight="1">
      <c r="A2311">
        <f>Table4[[#This Row],[Column1]]</f>
        <v>0</v>
      </c>
      <c r="B2311">
        <f>Table4[[#This Row],[Column2]]</f>
        <v>0</v>
      </c>
      <c r="C2311" s="81"/>
      <c r="D2311" s="81"/>
      <c r="E2311" s="81"/>
      <c r="F2311" s="81"/>
      <c r="G2311" s="81"/>
      <c r="H2311" s="81"/>
      <c r="I2311" s="81"/>
      <c r="J2311" s="81"/>
      <c r="K2311" s="81"/>
      <c r="L2311" s="81"/>
      <c r="M2311" s="81"/>
      <c r="N2311" s="81"/>
      <c r="O2311" s="81"/>
      <c r="P2311" s="81"/>
      <c r="Q2311" s="81"/>
      <c r="R2311" s="81"/>
      <c r="S2311" s="81"/>
      <c r="T2311" s="81"/>
      <c r="U2311" s="81"/>
      <c r="V2311" s="94"/>
      <c r="W2311" s="94"/>
    </row>
    <row r="2312" spans="1:23" ht="21" customHeight="1">
      <c r="A2312">
        <f>Table4[[#This Row],[Column1]]</f>
        <v>0</v>
      </c>
      <c r="B2312">
        <f>Table4[[#This Row],[Column2]]</f>
        <v>0</v>
      </c>
      <c r="C2312" s="81"/>
      <c r="D2312" s="81"/>
      <c r="E2312" s="81"/>
      <c r="F2312" s="81"/>
      <c r="G2312" s="81"/>
      <c r="H2312" s="81"/>
      <c r="I2312" s="81"/>
      <c r="J2312" s="81"/>
      <c r="K2312" s="81"/>
      <c r="L2312" s="81"/>
      <c r="M2312" s="81"/>
      <c r="N2312" s="81"/>
      <c r="O2312" s="81"/>
      <c r="P2312" s="81"/>
      <c r="Q2312" s="81"/>
      <c r="R2312" s="81"/>
      <c r="S2312" s="81"/>
      <c r="T2312" s="81"/>
      <c r="U2312" s="81"/>
      <c r="V2312" s="94"/>
      <c r="W2312" s="94"/>
    </row>
    <row r="2313" spans="1:23" ht="21" customHeight="1">
      <c r="A2313">
        <f>Table4[[#This Row],[Column1]]</f>
        <v>0</v>
      </c>
      <c r="B2313">
        <f>Table4[[#This Row],[Column2]]</f>
        <v>0</v>
      </c>
      <c r="C2313" s="81"/>
      <c r="D2313" s="81"/>
      <c r="E2313" s="81"/>
      <c r="F2313" s="81"/>
      <c r="G2313" s="81"/>
      <c r="H2313" s="81"/>
      <c r="I2313" s="81"/>
      <c r="J2313" s="81"/>
      <c r="K2313" s="81"/>
      <c r="L2313" s="81"/>
      <c r="M2313" s="81"/>
      <c r="N2313" s="81"/>
      <c r="O2313" s="81"/>
      <c r="P2313" s="81"/>
      <c r="Q2313" s="81"/>
      <c r="R2313" s="81"/>
      <c r="S2313" s="81"/>
      <c r="T2313" s="81"/>
      <c r="U2313" s="81"/>
      <c r="V2313" s="94"/>
      <c r="W2313" s="94"/>
    </row>
    <row r="2314" spans="1:23" ht="21" customHeight="1">
      <c r="A2314">
        <f>Table4[[#This Row],[Column1]]</f>
        <v>0</v>
      </c>
      <c r="B2314">
        <f>Table4[[#This Row],[Column2]]</f>
        <v>0</v>
      </c>
      <c r="C2314" s="81"/>
      <c r="D2314" s="81"/>
      <c r="E2314" s="81"/>
      <c r="F2314" s="81"/>
      <c r="G2314" s="81"/>
      <c r="H2314" s="81"/>
      <c r="I2314" s="81"/>
      <c r="J2314" s="81"/>
      <c r="K2314" s="81"/>
      <c r="L2314" s="81"/>
      <c r="M2314" s="81"/>
      <c r="N2314" s="81"/>
      <c r="O2314" s="81"/>
      <c r="P2314" s="81"/>
      <c r="Q2314" s="81"/>
      <c r="R2314" s="81"/>
      <c r="S2314" s="81"/>
      <c r="T2314" s="81"/>
      <c r="U2314" s="81"/>
      <c r="V2314" s="94"/>
      <c r="W2314" s="94"/>
    </row>
    <row r="2315" spans="1:23" ht="21" customHeight="1">
      <c r="A2315">
        <f>Table4[[#This Row],[Column1]]</f>
        <v>0</v>
      </c>
      <c r="B2315">
        <f>Table4[[#This Row],[Column2]]</f>
        <v>0</v>
      </c>
      <c r="C2315" s="81"/>
      <c r="D2315" s="81"/>
      <c r="E2315" s="81"/>
      <c r="F2315" s="81"/>
      <c r="G2315" s="81"/>
      <c r="H2315" s="81"/>
      <c r="I2315" s="81"/>
      <c r="J2315" s="81"/>
      <c r="K2315" s="81"/>
      <c r="L2315" s="81"/>
      <c r="M2315" s="81"/>
      <c r="N2315" s="81"/>
      <c r="O2315" s="81"/>
      <c r="P2315" s="81"/>
      <c r="Q2315" s="81"/>
      <c r="R2315" s="81"/>
      <c r="S2315" s="81"/>
      <c r="T2315" s="81"/>
      <c r="U2315" s="81"/>
      <c r="V2315" s="94"/>
      <c r="W2315" s="94"/>
    </row>
    <row r="2316" spans="1:23" ht="21" customHeight="1">
      <c r="A2316">
        <f>Table4[[#This Row],[Column1]]</f>
        <v>0</v>
      </c>
      <c r="B2316">
        <f>Table4[[#This Row],[Column2]]</f>
        <v>0</v>
      </c>
      <c r="C2316" s="81"/>
      <c r="D2316" s="81"/>
      <c r="E2316" s="81"/>
      <c r="F2316" s="81"/>
      <c r="G2316" s="81"/>
      <c r="H2316" s="81"/>
      <c r="I2316" s="81"/>
      <c r="J2316" s="81"/>
      <c r="K2316" s="81"/>
      <c r="L2316" s="81"/>
      <c r="M2316" s="81"/>
      <c r="N2316" s="81"/>
      <c r="O2316" s="81"/>
      <c r="P2316" s="81"/>
      <c r="Q2316" s="81"/>
      <c r="R2316" s="81"/>
      <c r="S2316" s="81"/>
      <c r="T2316" s="81"/>
      <c r="U2316" s="81"/>
      <c r="V2316" s="94"/>
      <c r="W2316" s="94"/>
    </row>
    <row r="2317" spans="1:23" ht="21" customHeight="1">
      <c r="A2317">
        <f>Table4[[#This Row],[Column1]]</f>
        <v>0</v>
      </c>
      <c r="B2317">
        <f>Table4[[#This Row],[Column2]]</f>
        <v>0</v>
      </c>
      <c r="C2317" s="81"/>
      <c r="D2317" s="81"/>
      <c r="E2317" s="81"/>
      <c r="F2317" s="81"/>
      <c r="G2317" s="81"/>
      <c r="H2317" s="81"/>
      <c r="I2317" s="81"/>
      <c r="J2317" s="81"/>
      <c r="K2317" s="81"/>
      <c r="L2317" s="81"/>
      <c r="M2317" s="81"/>
      <c r="N2317" s="81"/>
      <c r="O2317" s="81"/>
      <c r="P2317" s="81"/>
      <c r="Q2317" s="81"/>
      <c r="R2317" s="81"/>
      <c r="S2317" s="81"/>
      <c r="T2317" s="81"/>
      <c r="U2317" s="81"/>
      <c r="V2317" s="94"/>
      <c r="W2317" s="94"/>
    </row>
    <row r="2318" spans="1:23" ht="21" customHeight="1">
      <c r="A2318">
        <f>Table4[[#This Row],[Column1]]</f>
        <v>0</v>
      </c>
      <c r="B2318">
        <f>Table4[[#This Row],[Column2]]</f>
        <v>0</v>
      </c>
      <c r="C2318" s="81"/>
      <c r="D2318" s="81"/>
      <c r="E2318" s="81"/>
      <c r="F2318" s="81"/>
      <c r="G2318" s="81"/>
      <c r="H2318" s="81"/>
      <c r="I2318" s="81"/>
      <c r="J2318" s="81"/>
      <c r="K2318" s="81"/>
      <c r="L2318" s="81"/>
      <c r="M2318" s="81"/>
      <c r="N2318" s="81"/>
      <c r="O2318" s="81"/>
      <c r="P2318" s="81"/>
      <c r="Q2318" s="81"/>
      <c r="R2318" s="81"/>
      <c r="S2318" s="81"/>
      <c r="T2318" s="81"/>
      <c r="U2318" s="81"/>
      <c r="V2318" s="94"/>
      <c r="W2318" s="94"/>
    </row>
    <row r="2319" spans="1:23" ht="21" customHeight="1">
      <c r="A2319">
        <f>Table4[[#This Row],[Column1]]</f>
        <v>0</v>
      </c>
      <c r="B2319">
        <f>Table4[[#This Row],[Column2]]</f>
        <v>0</v>
      </c>
      <c r="C2319" s="81"/>
      <c r="D2319" s="81"/>
      <c r="E2319" s="81"/>
      <c r="F2319" s="81"/>
      <c r="G2319" s="81"/>
      <c r="H2319" s="81"/>
      <c r="I2319" s="81"/>
      <c r="J2319" s="81"/>
      <c r="K2319" s="81"/>
      <c r="L2319" s="81"/>
      <c r="M2319" s="81"/>
      <c r="N2319" s="81"/>
      <c r="O2319" s="81"/>
      <c r="P2319" s="81"/>
      <c r="Q2319" s="81"/>
      <c r="R2319" s="81"/>
      <c r="S2319" s="81"/>
      <c r="T2319" s="81"/>
      <c r="U2319" s="81"/>
      <c r="V2319" s="94"/>
      <c r="W2319" s="94"/>
    </row>
    <row r="2320" spans="1:23" ht="21" customHeight="1">
      <c r="A2320">
        <f>Table4[[#This Row],[Column1]]</f>
        <v>0</v>
      </c>
      <c r="B2320">
        <f>Table4[[#This Row],[Column2]]</f>
        <v>0</v>
      </c>
      <c r="C2320" s="81"/>
      <c r="D2320" s="81"/>
      <c r="E2320" s="81"/>
      <c r="F2320" s="81"/>
      <c r="G2320" s="81"/>
      <c r="H2320" s="81"/>
      <c r="I2320" s="81"/>
      <c r="J2320" s="81"/>
      <c r="K2320" s="81"/>
      <c r="L2320" s="81"/>
      <c r="M2320" s="81"/>
      <c r="N2320" s="81"/>
      <c r="O2320" s="81"/>
      <c r="P2320" s="81"/>
      <c r="Q2320" s="81"/>
      <c r="R2320" s="81"/>
      <c r="S2320" s="81"/>
      <c r="T2320" s="81"/>
      <c r="U2320" s="81"/>
      <c r="V2320" s="94"/>
      <c r="W2320" s="94"/>
    </row>
    <row r="2321" spans="1:23" ht="21" customHeight="1">
      <c r="A2321">
        <f>Table4[[#This Row],[Column1]]</f>
        <v>0</v>
      </c>
      <c r="B2321">
        <f>Table4[[#This Row],[Column2]]</f>
        <v>0</v>
      </c>
      <c r="C2321" s="81"/>
      <c r="D2321" s="81"/>
      <c r="E2321" s="81"/>
      <c r="F2321" s="81"/>
      <c r="G2321" s="81"/>
      <c r="H2321" s="81"/>
      <c r="I2321" s="81"/>
      <c r="J2321" s="81"/>
      <c r="K2321" s="81"/>
      <c r="L2321" s="81"/>
      <c r="M2321" s="81"/>
      <c r="N2321" s="81"/>
      <c r="O2321" s="81"/>
      <c r="P2321" s="81"/>
      <c r="Q2321" s="81"/>
      <c r="R2321" s="81"/>
      <c r="S2321" s="81"/>
      <c r="T2321" s="81"/>
      <c r="U2321" s="81"/>
      <c r="V2321" s="94"/>
      <c r="W2321" s="94"/>
    </row>
    <row r="2322" spans="1:23" ht="21" customHeight="1">
      <c r="A2322">
        <f>Table4[[#This Row],[Column1]]</f>
        <v>0</v>
      </c>
      <c r="B2322">
        <f>Table4[[#This Row],[Column2]]</f>
        <v>0</v>
      </c>
      <c r="C2322" s="81"/>
      <c r="D2322" s="81"/>
      <c r="E2322" s="81"/>
      <c r="F2322" s="81"/>
      <c r="G2322" s="81"/>
      <c r="H2322" s="81"/>
      <c r="I2322" s="81"/>
      <c r="J2322" s="81"/>
      <c r="K2322" s="81"/>
      <c r="L2322" s="81"/>
      <c r="M2322" s="81"/>
      <c r="N2322" s="81"/>
      <c r="O2322" s="81"/>
      <c r="P2322" s="81"/>
      <c r="Q2322" s="81"/>
      <c r="R2322" s="81"/>
      <c r="S2322" s="81"/>
      <c r="T2322" s="81"/>
      <c r="U2322" s="81"/>
      <c r="V2322" s="94"/>
      <c r="W2322" s="94"/>
    </row>
    <row r="2323" spans="1:23" ht="21" customHeight="1">
      <c r="A2323">
        <f>Table4[[#This Row],[Column1]]</f>
        <v>0</v>
      </c>
      <c r="B2323">
        <f>Table4[[#This Row],[Column2]]</f>
        <v>0</v>
      </c>
      <c r="C2323" s="81"/>
      <c r="D2323" s="81"/>
      <c r="E2323" s="81"/>
      <c r="F2323" s="81"/>
      <c r="G2323" s="81"/>
      <c r="H2323" s="81"/>
      <c r="I2323" s="81"/>
      <c r="J2323" s="81"/>
      <c r="K2323" s="81"/>
      <c r="L2323" s="81"/>
      <c r="M2323" s="81"/>
      <c r="N2323" s="81"/>
      <c r="O2323" s="81"/>
      <c r="P2323" s="81"/>
      <c r="Q2323" s="81"/>
      <c r="R2323" s="81"/>
      <c r="S2323" s="81"/>
      <c r="T2323" s="81"/>
      <c r="U2323" s="81"/>
      <c r="V2323" s="94"/>
      <c r="W2323" s="94"/>
    </row>
    <row r="2324" spans="1:23" ht="21" customHeight="1">
      <c r="A2324">
        <f>Table4[[#This Row],[Column1]]</f>
        <v>0</v>
      </c>
      <c r="B2324">
        <f>Table4[[#This Row],[Column2]]</f>
        <v>0</v>
      </c>
      <c r="C2324" s="81"/>
      <c r="D2324" s="81"/>
      <c r="E2324" s="81"/>
      <c r="F2324" s="81"/>
      <c r="G2324" s="81"/>
      <c r="H2324" s="81"/>
      <c r="I2324" s="81"/>
      <c r="J2324" s="81"/>
      <c r="K2324" s="81"/>
      <c r="L2324" s="81"/>
      <c r="M2324" s="81"/>
      <c r="N2324" s="81"/>
      <c r="O2324" s="81"/>
      <c r="P2324" s="81"/>
      <c r="Q2324" s="81"/>
      <c r="R2324" s="81"/>
      <c r="S2324" s="81"/>
      <c r="T2324" s="81"/>
      <c r="U2324" s="81"/>
      <c r="V2324" s="94"/>
      <c r="W2324" s="94"/>
    </row>
    <row r="2325" spans="1:23" ht="21" customHeight="1">
      <c r="A2325">
        <f>Table4[[#This Row],[Column1]]</f>
        <v>0</v>
      </c>
      <c r="B2325">
        <f>Table4[[#This Row],[Column2]]</f>
        <v>0</v>
      </c>
      <c r="C2325" s="81"/>
      <c r="D2325" s="81"/>
      <c r="E2325" s="81"/>
      <c r="F2325" s="81"/>
      <c r="G2325" s="81"/>
      <c r="H2325" s="81"/>
      <c r="I2325" s="81"/>
      <c r="J2325" s="81"/>
      <c r="K2325" s="81"/>
      <c r="L2325" s="81"/>
      <c r="M2325" s="81"/>
      <c r="N2325" s="81"/>
      <c r="O2325" s="81"/>
      <c r="P2325" s="81"/>
      <c r="Q2325" s="81"/>
      <c r="R2325" s="81"/>
      <c r="S2325" s="81"/>
      <c r="T2325" s="81"/>
      <c r="U2325" s="81"/>
      <c r="V2325" s="94"/>
      <c r="W2325" s="94"/>
    </row>
    <row r="2326" spans="1:23" ht="21" customHeight="1">
      <c r="A2326">
        <f>Table4[[#This Row],[Column1]]</f>
        <v>0</v>
      </c>
      <c r="B2326">
        <f>Table4[[#This Row],[Column2]]</f>
        <v>0</v>
      </c>
      <c r="C2326" s="81"/>
      <c r="D2326" s="81"/>
      <c r="E2326" s="81"/>
      <c r="F2326" s="81"/>
      <c r="G2326" s="81"/>
      <c r="H2326" s="81"/>
      <c r="I2326" s="81"/>
      <c r="J2326" s="81"/>
      <c r="K2326" s="81"/>
      <c r="L2326" s="81"/>
      <c r="M2326" s="81"/>
      <c r="N2326" s="81"/>
      <c r="O2326" s="81"/>
      <c r="P2326" s="81"/>
      <c r="Q2326" s="81"/>
      <c r="R2326" s="81"/>
      <c r="S2326" s="81"/>
      <c r="T2326" s="81"/>
      <c r="U2326" s="81"/>
      <c r="V2326" s="94"/>
      <c r="W2326" s="94"/>
    </row>
    <row r="2327" spans="1:23" ht="21" customHeight="1">
      <c r="A2327">
        <f>Table4[[#This Row],[Column1]]</f>
        <v>0</v>
      </c>
      <c r="B2327">
        <f>Table4[[#This Row],[Column2]]</f>
        <v>0</v>
      </c>
      <c r="C2327" s="81"/>
      <c r="D2327" s="81"/>
      <c r="E2327" s="81"/>
      <c r="F2327" s="81"/>
      <c r="G2327" s="81"/>
      <c r="H2327" s="81"/>
      <c r="I2327" s="81"/>
      <c r="J2327" s="81"/>
      <c r="K2327" s="81"/>
      <c r="L2327" s="81"/>
      <c r="M2327" s="81"/>
      <c r="N2327" s="81"/>
      <c r="O2327" s="81"/>
      <c r="P2327" s="81"/>
      <c r="Q2327" s="81"/>
      <c r="R2327" s="81"/>
      <c r="S2327" s="81"/>
      <c r="T2327" s="81"/>
      <c r="U2327" s="81"/>
      <c r="V2327" s="94"/>
      <c r="W2327" s="94"/>
    </row>
    <row r="2328" spans="1:23" ht="21" customHeight="1">
      <c r="A2328">
        <f>Table4[[#This Row],[Column1]]</f>
        <v>0</v>
      </c>
      <c r="B2328">
        <f>Table4[[#This Row],[Column2]]</f>
        <v>0</v>
      </c>
      <c r="C2328" s="81"/>
      <c r="D2328" s="81"/>
      <c r="E2328" s="81"/>
      <c r="F2328" s="81"/>
      <c r="G2328" s="81"/>
      <c r="H2328" s="81"/>
      <c r="I2328" s="81"/>
      <c r="J2328" s="81"/>
      <c r="K2328" s="81"/>
      <c r="L2328" s="81"/>
      <c r="M2328" s="81"/>
      <c r="N2328" s="81"/>
      <c r="O2328" s="81"/>
      <c r="P2328" s="81"/>
      <c r="Q2328" s="81"/>
      <c r="R2328" s="81"/>
      <c r="S2328" s="81"/>
      <c r="T2328" s="81"/>
      <c r="U2328" s="81"/>
      <c r="V2328" s="94"/>
      <c r="W2328" s="94"/>
    </row>
    <row r="2329" spans="1:23" ht="21" customHeight="1">
      <c r="A2329">
        <f>Table4[[#This Row],[Column1]]</f>
        <v>0</v>
      </c>
      <c r="B2329">
        <f>Table4[[#This Row],[Column2]]</f>
        <v>0</v>
      </c>
      <c r="C2329" s="81"/>
      <c r="D2329" s="81"/>
      <c r="E2329" s="81"/>
      <c r="F2329" s="81"/>
      <c r="G2329" s="81"/>
      <c r="H2329" s="81"/>
      <c r="I2329" s="81"/>
      <c r="J2329" s="81"/>
      <c r="K2329" s="81"/>
      <c r="L2329" s="81"/>
      <c r="M2329" s="81"/>
      <c r="N2329" s="81"/>
      <c r="O2329" s="81"/>
      <c r="P2329" s="81"/>
      <c r="Q2329" s="81"/>
      <c r="R2329" s="81"/>
      <c r="S2329" s="81"/>
      <c r="T2329" s="81"/>
      <c r="U2329" s="81"/>
      <c r="V2329" s="94"/>
      <c r="W2329" s="94"/>
    </row>
    <row r="2330" spans="1:23" ht="21" customHeight="1">
      <c r="A2330">
        <f>Table4[[#This Row],[Column1]]</f>
        <v>0</v>
      </c>
      <c r="B2330">
        <f>Table4[[#This Row],[Column2]]</f>
        <v>0</v>
      </c>
      <c r="C2330" s="81"/>
      <c r="D2330" s="81"/>
      <c r="E2330" s="81"/>
      <c r="F2330" s="81"/>
      <c r="G2330" s="81"/>
      <c r="H2330" s="81"/>
      <c r="I2330" s="81"/>
      <c r="J2330" s="81"/>
      <c r="K2330" s="81"/>
      <c r="L2330" s="81"/>
      <c r="M2330" s="81"/>
      <c r="N2330" s="81"/>
      <c r="O2330" s="81"/>
      <c r="P2330" s="81"/>
      <c r="Q2330" s="81"/>
      <c r="R2330" s="81"/>
      <c r="S2330" s="81"/>
      <c r="T2330" s="81"/>
      <c r="U2330" s="81"/>
      <c r="V2330" s="94"/>
      <c r="W2330" s="94"/>
    </row>
    <row r="2331" spans="1:23" ht="21" customHeight="1">
      <c r="A2331">
        <f>Table4[[#This Row],[Column1]]</f>
        <v>0</v>
      </c>
      <c r="B2331">
        <f>Table4[[#This Row],[Column2]]</f>
        <v>0</v>
      </c>
      <c r="C2331" s="81"/>
      <c r="D2331" s="81"/>
      <c r="E2331" s="81"/>
      <c r="F2331" s="81"/>
      <c r="G2331" s="81"/>
      <c r="H2331" s="81"/>
      <c r="I2331" s="81"/>
      <c r="J2331" s="81"/>
      <c r="K2331" s="81"/>
      <c r="L2331" s="81"/>
      <c r="M2331" s="81"/>
      <c r="N2331" s="81"/>
      <c r="O2331" s="81"/>
      <c r="P2331" s="81"/>
      <c r="Q2331" s="81"/>
      <c r="R2331" s="81"/>
      <c r="S2331" s="81"/>
      <c r="T2331" s="81"/>
      <c r="U2331" s="81"/>
      <c r="V2331" s="94"/>
      <c r="W2331" s="94"/>
    </row>
    <row r="2332" spans="1:23" ht="21" customHeight="1">
      <c r="A2332">
        <f>Table4[[#This Row],[Column1]]</f>
        <v>0</v>
      </c>
      <c r="B2332">
        <f>Table4[[#This Row],[Column2]]</f>
        <v>0</v>
      </c>
      <c r="C2332" s="81"/>
      <c r="D2332" s="81"/>
      <c r="E2332" s="81"/>
      <c r="F2332" s="81"/>
      <c r="G2332" s="81"/>
      <c r="H2332" s="81"/>
      <c r="I2332" s="81"/>
      <c r="J2332" s="81"/>
      <c r="K2332" s="81"/>
      <c r="L2332" s="81"/>
      <c r="M2332" s="81"/>
      <c r="N2332" s="81"/>
      <c r="O2332" s="81"/>
      <c r="P2332" s="81"/>
      <c r="Q2332" s="81"/>
      <c r="R2332" s="81"/>
      <c r="S2332" s="81"/>
      <c r="T2332" s="81"/>
      <c r="U2332" s="81"/>
      <c r="V2332" s="94"/>
      <c r="W2332" s="94"/>
    </row>
    <row r="2333" spans="1:23" ht="21" customHeight="1">
      <c r="A2333">
        <f>Table4[[#This Row],[Column1]]</f>
        <v>0</v>
      </c>
      <c r="B2333">
        <f>Table4[[#This Row],[Column2]]</f>
        <v>0</v>
      </c>
      <c r="C2333" s="81"/>
      <c r="D2333" s="81"/>
      <c r="E2333" s="81"/>
      <c r="F2333" s="81"/>
      <c r="G2333" s="81"/>
      <c r="H2333" s="81"/>
      <c r="I2333" s="81"/>
      <c r="J2333" s="81"/>
      <c r="K2333" s="81"/>
      <c r="L2333" s="81"/>
      <c r="M2333" s="81"/>
      <c r="N2333" s="81"/>
      <c r="O2333" s="81"/>
      <c r="P2333" s="81"/>
      <c r="Q2333" s="81"/>
      <c r="R2333" s="81"/>
      <c r="S2333" s="81"/>
      <c r="T2333" s="81"/>
      <c r="U2333" s="81"/>
      <c r="V2333" s="94"/>
      <c r="W2333" s="94"/>
    </row>
    <row r="2334" spans="1:23" ht="21" customHeight="1">
      <c r="A2334">
        <f>Table4[[#This Row],[Column1]]</f>
        <v>0</v>
      </c>
      <c r="B2334">
        <f>Table4[[#This Row],[Column2]]</f>
        <v>0</v>
      </c>
      <c r="C2334" s="81"/>
      <c r="D2334" s="81"/>
      <c r="E2334" s="81"/>
      <c r="F2334" s="81"/>
      <c r="G2334" s="81"/>
      <c r="H2334" s="81"/>
      <c r="I2334" s="81"/>
      <c r="J2334" s="81"/>
      <c r="K2334" s="81"/>
      <c r="L2334" s="81"/>
      <c r="M2334" s="81"/>
      <c r="N2334" s="81"/>
      <c r="O2334" s="81"/>
      <c r="P2334" s="81"/>
      <c r="Q2334" s="81"/>
      <c r="R2334" s="81"/>
      <c r="S2334" s="81"/>
      <c r="T2334" s="81"/>
      <c r="U2334" s="81"/>
      <c r="V2334" s="94"/>
      <c r="W2334" s="94"/>
    </row>
    <row r="2335" spans="1:23" ht="21" customHeight="1">
      <c r="A2335">
        <f>Table4[[#This Row],[Column1]]</f>
        <v>0</v>
      </c>
      <c r="B2335">
        <f>Table4[[#This Row],[Column2]]</f>
        <v>0</v>
      </c>
      <c r="C2335" s="81"/>
      <c r="D2335" s="81"/>
      <c r="E2335" s="81"/>
      <c r="F2335" s="81"/>
      <c r="G2335" s="81"/>
      <c r="H2335" s="81"/>
      <c r="I2335" s="81"/>
      <c r="J2335" s="81"/>
      <c r="K2335" s="81"/>
      <c r="L2335" s="81"/>
      <c r="M2335" s="81"/>
      <c r="N2335" s="81"/>
      <c r="O2335" s="81"/>
      <c r="P2335" s="81"/>
      <c r="Q2335" s="81"/>
      <c r="R2335" s="81"/>
      <c r="S2335" s="81"/>
      <c r="T2335" s="81"/>
      <c r="U2335" s="81"/>
      <c r="V2335" s="94"/>
      <c r="W2335" s="94"/>
    </row>
    <row r="2336" spans="1:23" ht="21" customHeight="1">
      <c r="A2336">
        <f>Table4[[#This Row],[Column1]]</f>
        <v>0</v>
      </c>
      <c r="B2336">
        <f>Table4[[#This Row],[Column2]]</f>
        <v>0</v>
      </c>
      <c r="C2336" s="81"/>
      <c r="D2336" s="81"/>
      <c r="E2336" s="81"/>
      <c r="F2336" s="81"/>
      <c r="G2336" s="81"/>
      <c r="H2336" s="81"/>
      <c r="I2336" s="81"/>
      <c r="J2336" s="81"/>
      <c r="K2336" s="81"/>
      <c r="L2336" s="81"/>
      <c r="M2336" s="81"/>
      <c r="N2336" s="81"/>
      <c r="O2336" s="81"/>
      <c r="P2336" s="81"/>
      <c r="Q2336" s="81"/>
      <c r="R2336" s="81"/>
      <c r="S2336" s="81"/>
      <c r="T2336" s="81"/>
      <c r="U2336" s="81"/>
      <c r="V2336" s="94"/>
      <c r="W2336" s="94"/>
    </row>
    <row r="2337" spans="1:23" ht="21" customHeight="1">
      <c r="A2337">
        <f>Table4[[#This Row],[Column1]]</f>
        <v>0</v>
      </c>
      <c r="B2337">
        <f>Table4[[#This Row],[Column2]]</f>
        <v>0</v>
      </c>
      <c r="C2337" s="81"/>
      <c r="D2337" s="81"/>
      <c r="E2337" s="81"/>
      <c r="F2337" s="81"/>
      <c r="G2337" s="81"/>
      <c r="H2337" s="81"/>
      <c r="I2337" s="81"/>
      <c r="J2337" s="81"/>
      <c r="K2337" s="81"/>
      <c r="L2337" s="81"/>
      <c r="M2337" s="81"/>
      <c r="N2337" s="81"/>
      <c r="O2337" s="81"/>
      <c r="P2337" s="81"/>
      <c r="Q2337" s="81"/>
      <c r="R2337" s="81"/>
      <c r="S2337" s="81"/>
      <c r="T2337" s="81"/>
      <c r="U2337" s="81"/>
      <c r="V2337" s="94"/>
      <c r="W2337" s="94"/>
    </row>
    <row r="2338" spans="1:23" ht="21" customHeight="1">
      <c r="A2338">
        <f>Table4[[#This Row],[Column1]]</f>
        <v>0</v>
      </c>
      <c r="B2338">
        <f>Table4[[#This Row],[Column2]]</f>
        <v>0</v>
      </c>
      <c r="C2338" s="81"/>
      <c r="D2338" s="81"/>
      <c r="E2338" s="81"/>
      <c r="F2338" s="81"/>
      <c r="G2338" s="81"/>
      <c r="H2338" s="81"/>
      <c r="I2338" s="81"/>
      <c r="J2338" s="81"/>
      <c r="K2338" s="81"/>
      <c r="L2338" s="81"/>
      <c r="M2338" s="81"/>
      <c r="N2338" s="81"/>
      <c r="O2338" s="81"/>
      <c r="P2338" s="81"/>
      <c r="Q2338" s="81"/>
      <c r="R2338" s="81"/>
      <c r="S2338" s="81"/>
      <c r="T2338" s="81"/>
      <c r="U2338" s="81"/>
      <c r="V2338" s="94"/>
      <c r="W2338" s="94"/>
    </row>
    <row r="2339" spans="1:23" ht="21" customHeight="1">
      <c r="A2339">
        <f>Table4[[#This Row],[Column1]]</f>
        <v>0</v>
      </c>
      <c r="B2339">
        <f>Table4[[#This Row],[Column2]]</f>
        <v>0</v>
      </c>
      <c r="C2339" s="81"/>
      <c r="D2339" s="81"/>
      <c r="E2339" s="81"/>
      <c r="F2339" s="81"/>
      <c r="G2339" s="81"/>
      <c r="H2339" s="81"/>
      <c r="I2339" s="81"/>
      <c r="J2339" s="81"/>
      <c r="K2339" s="81"/>
      <c r="L2339" s="81"/>
      <c r="M2339" s="81"/>
      <c r="N2339" s="81"/>
      <c r="O2339" s="81"/>
      <c r="P2339" s="81"/>
      <c r="Q2339" s="81"/>
      <c r="R2339" s="81"/>
      <c r="S2339" s="81"/>
      <c r="T2339" s="81"/>
      <c r="U2339" s="81"/>
      <c r="V2339" s="94"/>
      <c r="W2339" s="94"/>
    </row>
    <row r="2340" spans="1:23" ht="21" customHeight="1">
      <c r="A2340">
        <f>Table4[[#This Row],[Column1]]</f>
        <v>0</v>
      </c>
      <c r="B2340">
        <f>Table4[[#This Row],[Column2]]</f>
        <v>0</v>
      </c>
      <c r="C2340" s="81"/>
      <c r="D2340" s="81"/>
      <c r="E2340" s="81"/>
      <c r="F2340" s="81"/>
      <c r="G2340" s="81"/>
      <c r="H2340" s="81"/>
      <c r="I2340" s="81"/>
      <c r="J2340" s="81"/>
      <c r="K2340" s="81"/>
      <c r="L2340" s="81"/>
      <c r="M2340" s="81"/>
      <c r="N2340" s="81"/>
      <c r="O2340" s="81"/>
      <c r="P2340" s="81"/>
      <c r="Q2340" s="81"/>
      <c r="R2340" s="81"/>
      <c r="S2340" s="81"/>
      <c r="T2340" s="81"/>
      <c r="U2340" s="81"/>
      <c r="V2340" s="94"/>
      <c r="W2340" s="94"/>
    </row>
    <row r="2341" spans="1:23" ht="21" customHeight="1">
      <c r="A2341">
        <f>Table4[[#This Row],[Column1]]</f>
        <v>0</v>
      </c>
      <c r="B2341">
        <f>Table4[[#This Row],[Column2]]</f>
        <v>0</v>
      </c>
      <c r="C2341" s="81"/>
      <c r="D2341" s="81"/>
      <c r="E2341" s="81"/>
      <c r="F2341" s="81"/>
      <c r="G2341" s="81"/>
      <c r="H2341" s="81"/>
      <c r="I2341" s="81"/>
      <c r="J2341" s="81"/>
      <c r="K2341" s="81"/>
      <c r="L2341" s="81"/>
      <c r="M2341" s="81"/>
      <c r="N2341" s="81"/>
      <c r="O2341" s="81"/>
      <c r="P2341" s="81"/>
      <c r="Q2341" s="81"/>
      <c r="R2341" s="81"/>
      <c r="S2341" s="81"/>
      <c r="T2341" s="81"/>
      <c r="U2341" s="81"/>
      <c r="V2341" s="94"/>
      <c r="W2341" s="94"/>
    </row>
    <row r="2342" spans="1:23" ht="21" customHeight="1">
      <c r="A2342">
        <f>Table4[[#This Row],[Column1]]</f>
        <v>0</v>
      </c>
      <c r="B2342">
        <f>Table4[[#This Row],[Column2]]</f>
        <v>0</v>
      </c>
      <c r="C2342" s="81"/>
      <c r="D2342" s="81"/>
      <c r="E2342" s="81"/>
      <c r="F2342" s="81"/>
      <c r="G2342" s="81"/>
      <c r="H2342" s="81"/>
      <c r="I2342" s="81"/>
      <c r="J2342" s="81"/>
      <c r="K2342" s="81"/>
      <c r="L2342" s="81"/>
      <c r="M2342" s="81"/>
      <c r="N2342" s="81"/>
      <c r="O2342" s="81"/>
      <c r="P2342" s="81"/>
      <c r="Q2342" s="81"/>
      <c r="R2342" s="81"/>
      <c r="S2342" s="81"/>
      <c r="T2342" s="81"/>
      <c r="U2342" s="81"/>
      <c r="V2342" s="94"/>
      <c r="W2342" s="94"/>
    </row>
    <row r="2343" spans="1:23" ht="21" customHeight="1">
      <c r="A2343">
        <f>Table4[[#This Row],[Column1]]</f>
        <v>0</v>
      </c>
      <c r="B2343">
        <f>Table4[[#This Row],[Column2]]</f>
        <v>0</v>
      </c>
      <c r="C2343" s="81"/>
      <c r="D2343" s="81"/>
      <c r="E2343" s="81"/>
      <c r="F2343" s="81"/>
      <c r="G2343" s="81"/>
      <c r="H2343" s="81"/>
      <c r="I2343" s="81"/>
      <c r="J2343" s="81"/>
      <c r="K2343" s="81"/>
      <c r="L2343" s="81"/>
      <c r="M2343" s="81"/>
      <c r="N2343" s="81"/>
      <c r="O2343" s="81"/>
      <c r="P2343" s="81"/>
      <c r="Q2343" s="81"/>
      <c r="R2343" s="81"/>
      <c r="S2343" s="81"/>
      <c r="T2343" s="81"/>
      <c r="U2343" s="81"/>
      <c r="V2343" s="94"/>
      <c r="W2343" s="94"/>
    </row>
    <row r="2344" spans="1:23" ht="21" customHeight="1">
      <c r="A2344">
        <f>Table4[[#This Row],[Column1]]</f>
        <v>0</v>
      </c>
      <c r="B2344">
        <f>Table4[[#This Row],[Column2]]</f>
        <v>0</v>
      </c>
      <c r="C2344" s="81"/>
      <c r="D2344" s="81"/>
      <c r="E2344" s="81"/>
      <c r="F2344" s="81"/>
      <c r="G2344" s="81"/>
      <c r="H2344" s="81"/>
      <c r="I2344" s="81"/>
      <c r="J2344" s="81"/>
      <c r="K2344" s="81"/>
      <c r="L2344" s="81"/>
      <c r="M2344" s="81"/>
      <c r="N2344" s="81"/>
      <c r="O2344" s="81"/>
      <c r="P2344" s="81"/>
      <c r="Q2344" s="81"/>
      <c r="R2344" s="81"/>
      <c r="S2344" s="81"/>
      <c r="T2344" s="81"/>
      <c r="U2344" s="81"/>
      <c r="V2344" s="94"/>
      <c r="W2344" s="94"/>
    </row>
    <row r="2345" spans="1:23" ht="21" customHeight="1">
      <c r="A2345">
        <f>Table4[[#This Row],[Column1]]</f>
        <v>0</v>
      </c>
      <c r="B2345">
        <f>Table4[[#This Row],[Column2]]</f>
        <v>0</v>
      </c>
      <c r="C2345" s="81"/>
      <c r="D2345" s="81"/>
      <c r="E2345" s="81"/>
      <c r="F2345" s="81"/>
      <c r="G2345" s="81"/>
      <c r="H2345" s="81"/>
      <c r="I2345" s="81"/>
      <c r="J2345" s="81"/>
      <c r="K2345" s="81"/>
      <c r="L2345" s="81"/>
      <c r="M2345" s="81"/>
      <c r="N2345" s="81"/>
      <c r="O2345" s="81"/>
      <c r="P2345" s="81"/>
      <c r="Q2345" s="81"/>
      <c r="R2345" s="81"/>
      <c r="S2345" s="81"/>
      <c r="T2345" s="81"/>
      <c r="U2345" s="81"/>
      <c r="V2345" s="94"/>
      <c r="W2345" s="94"/>
    </row>
    <row r="2346" spans="1:23" ht="21" customHeight="1">
      <c r="A2346">
        <f>Table4[[#This Row],[Column1]]</f>
        <v>0</v>
      </c>
      <c r="B2346">
        <f>Table4[[#This Row],[Column2]]</f>
        <v>0</v>
      </c>
      <c r="C2346" s="81"/>
      <c r="D2346" s="81"/>
      <c r="E2346" s="81"/>
      <c r="F2346" s="81"/>
      <c r="G2346" s="81"/>
      <c r="H2346" s="81"/>
      <c r="I2346" s="81"/>
      <c r="J2346" s="81"/>
      <c r="K2346" s="81"/>
      <c r="L2346" s="81"/>
      <c r="M2346" s="81"/>
      <c r="N2346" s="81"/>
      <c r="O2346" s="81"/>
      <c r="P2346" s="81"/>
      <c r="Q2346" s="81"/>
      <c r="R2346" s="81"/>
      <c r="S2346" s="81"/>
      <c r="T2346" s="81"/>
      <c r="U2346" s="81"/>
      <c r="V2346" s="94"/>
      <c r="W2346" s="94"/>
    </row>
    <row r="2347" spans="1:23" ht="21" customHeight="1">
      <c r="A2347">
        <f>Table4[[#This Row],[Column1]]</f>
        <v>0</v>
      </c>
      <c r="B2347">
        <f>Table4[[#This Row],[Column2]]</f>
        <v>0</v>
      </c>
      <c r="C2347" s="81"/>
      <c r="D2347" s="81"/>
      <c r="E2347" s="81"/>
      <c r="F2347" s="81"/>
      <c r="G2347" s="81"/>
      <c r="H2347" s="81"/>
      <c r="I2347" s="81"/>
      <c r="J2347" s="81"/>
      <c r="K2347" s="81"/>
      <c r="L2347" s="81"/>
      <c r="M2347" s="81"/>
      <c r="N2347" s="81"/>
      <c r="O2347" s="81"/>
      <c r="P2347" s="81"/>
      <c r="Q2347" s="81"/>
      <c r="R2347" s="81"/>
      <c r="S2347" s="81"/>
      <c r="T2347" s="81"/>
      <c r="U2347" s="81"/>
      <c r="V2347" s="94"/>
      <c r="W2347" s="94"/>
    </row>
    <row r="2348" spans="1:23" ht="21" customHeight="1">
      <c r="A2348">
        <f>Table4[[#This Row],[Column1]]</f>
        <v>0</v>
      </c>
      <c r="B2348">
        <f>Table4[[#This Row],[Column2]]</f>
        <v>0</v>
      </c>
      <c r="C2348" s="81"/>
      <c r="D2348" s="81"/>
      <c r="E2348" s="81"/>
      <c r="F2348" s="81"/>
      <c r="G2348" s="81"/>
      <c r="H2348" s="81"/>
      <c r="I2348" s="81"/>
      <c r="J2348" s="81"/>
      <c r="K2348" s="81"/>
      <c r="L2348" s="81"/>
      <c r="M2348" s="81"/>
      <c r="N2348" s="81"/>
      <c r="O2348" s="81"/>
      <c r="P2348" s="81"/>
      <c r="Q2348" s="81"/>
      <c r="R2348" s="81"/>
      <c r="S2348" s="81"/>
      <c r="T2348" s="81"/>
      <c r="U2348" s="81"/>
      <c r="V2348" s="94"/>
      <c r="W2348" s="94"/>
    </row>
    <row r="2349" spans="1:23" ht="21" customHeight="1">
      <c r="A2349">
        <f>Table4[[#This Row],[Column1]]</f>
        <v>0</v>
      </c>
      <c r="B2349">
        <f>Table4[[#This Row],[Column2]]</f>
        <v>0</v>
      </c>
      <c r="C2349" s="81"/>
      <c r="D2349" s="81"/>
      <c r="E2349" s="81"/>
      <c r="F2349" s="81"/>
      <c r="G2349" s="81"/>
      <c r="H2349" s="81"/>
      <c r="I2349" s="81"/>
      <c r="J2349" s="81"/>
      <c r="K2349" s="81"/>
      <c r="L2349" s="81"/>
      <c r="M2349" s="81"/>
      <c r="N2349" s="81"/>
      <c r="O2349" s="81"/>
      <c r="P2349" s="81"/>
      <c r="Q2349" s="81"/>
      <c r="R2349" s="81"/>
      <c r="S2349" s="81"/>
      <c r="T2349" s="81"/>
      <c r="U2349" s="81"/>
      <c r="V2349" s="94"/>
      <c r="W2349" s="94"/>
    </row>
    <row r="2350" spans="1:23" ht="21" customHeight="1">
      <c r="A2350">
        <f>Table4[[#This Row],[Column1]]</f>
        <v>0</v>
      </c>
      <c r="B2350">
        <f>Table4[[#This Row],[Column2]]</f>
        <v>0</v>
      </c>
      <c r="C2350" s="81"/>
      <c r="D2350" s="81"/>
      <c r="E2350" s="81"/>
      <c r="F2350" s="81"/>
      <c r="G2350" s="81"/>
      <c r="H2350" s="81"/>
      <c r="I2350" s="81"/>
      <c r="J2350" s="81"/>
      <c r="K2350" s="81"/>
      <c r="L2350" s="81"/>
      <c r="M2350" s="81"/>
      <c r="N2350" s="81"/>
      <c r="O2350" s="81"/>
      <c r="P2350" s="81"/>
      <c r="Q2350" s="81"/>
      <c r="R2350" s="81"/>
      <c r="S2350" s="81"/>
      <c r="T2350" s="81"/>
      <c r="U2350" s="81"/>
      <c r="V2350" s="94"/>
      <c r="W2350" s="94"/>
    </row>
    <row r="2351" spans="1:23" ht="21" customHeight="1">
      <c r="A2351">
        <f>Table4[[#This Row],[Column1]]</f>
        <v>0</v>
      </c>
      <c r="B2351">
        <f>Table4[[#This Row],[Column2]]</f>
        <v>0</v>
      </c>
      <c r="C2351" s="81"/>
      <c r="D2351" s="81"/>
      <c r="E2351" s="81"/>
      <c r="F2351" s="81"/>
      <c r="G2351" s="81"/>
      <c r="H2351" s="81"/>
      <c r="I2351" s="81"/>
      <c r="J2351" s="81"/>
      <c r="K2351" s="81"/>
      <c r="L2351" s="81"/>
      <c r="M2351" s="81"/>
      <c r="N2351" s="81"/>
      <c r="O2351" s="81"/>
      <c r="P2351" s="81"/>
      <c r="Q2351" s="81"/>
      <c r="R2351" s="81"/>
      <c r="S2351" s="81"/>
      <c r="T2351" s="81"/>
      <c r="U2351" s="81"/>
      <c r="V2351" s="94"/>
      <c r="W2351" s="94"/>
    </row>
    <row r="2352" spans="1:23" ht="21" customHeight="1">
      <c r="A2352">
        <f>Table4[[#This Row],[Column1]]</f>
        <v>0</v>
      </c>
      <c r="B2352">
        <f>Table4[[#This Row],[Column2]]</f>
        <v>0</v>
      </c>
      <c r="C2352" s="81"/>
      <c r="D2352" s="81"/>
      <c r="E2352" s="81"/>
      <c r="F2352" s="81"/>
      <c r="G2352" s="81"/>
      <c r="H2352" s="81"/>
      <c r="I2352" s="81"/>
      <c r="J2352" s="81"/>
      <c r="K2352" s="81"/>
      <c r="L2352" s="81"/>
      <c r="M2352" s="81"/>
      <c r="N2352" s="81"/>
      <c r="O2352" s="81"/>
      <c r="P2352" s="81"/>
      <c r="Q2352" s="81"/>
      <c r="R2352" s="81"/>
      <c r="S2352" s="81"/>
      <c r="T2352" s="81"/>
      <c r="U2352" s="81"/>
      <c r="V2352" s="94"/>
      <c r="W2352" s="94"/>
    </row>
    <row r="2353" spans="1:23" ht="21" customHeight="1">
      <c r="A2353">
        <f>Table4[[#This Row],[Column1]]</f>
        <v>0</v>
      </c>
      <c r="B2353">
        <f>Table4[[#This Row],[Column2]]</f>
        <v>0</v>
      </c>
      <c r="C2353" s="81"/>
      <c r="D2353" s="81"/>
      <c r="E2353" s="81"/>
      <c r="F2353" s="81"/>
      <c r="G2353" s="81"/>
      <c r="H2353" s="81"/>
      <c r="I2353" s="81"/>
      <c r="J2353" s="81"/>
      <c r="K2353" s="81"/>
      <c r="L2353" s="81"/>
      <c r="M2353" s="81"/>
      <c r="N2353" s="81"/>
      <c r="O2353" s="81"/>
      <c r="P2353" s="81"/>
      <c r="Q2353" s="81"/>
      <c r="R2353" s="81"/>
      <c r="S2353" s="81"/>
      <c r="T2353" s="81"/>
      <c r="U2353" s="81"/>
      <c r="V2353" s="94"/>
      <c r="W2353" s="94"/>
    </row>
    <row r="2354" spans="1:23" ht="21" customHeight="1">
      <c r="A2354">
        <f>Table4[[#This Row],[Column1]]</f>
        <v>0</v>
      </c>
      <c r="B2354">
        <f>Table4[[#This Row],[Column2]]</f>
        <v>0</v>
      </c>
      <c r="C2354" s="81"/>
      <c r="D2354" s="81"/>
      <c r="E2354" s="81"/>
      <c r="F2354" s="81"/>
      <c r="G2354" s="81"/>
      <c r="H2354" s="81"/>
      <c r="I2354" s="81"/>
      <c r="J2354" s="81"/>
      <c r="K2354" s="81"/>
      <c r="L2354" s="81"/>
      <c r="M2354" s="81"/>
      <c r="N2354" s="81"/>
      <c r="O2354" s="81"/>
      <c r="P2354" s="81"/>
      <c r="Q2354" s="81"/>
      <c r="R2354" s="81"/>
      <c r="S2354" s="81"/>
      <c r="T2354" s="81"/>
      <c r="U2354" s="81"/>
      <c r="V2354" s="94"/>
      <c r="W2354" s="94"/>
    </row>
    <row r="2355" spans="1:23" ht="21" customHeight="1">
      <c r="A2355">
        <f>Table4[[#This Row],[Column1]]</f>
        <v>0</v>
      </c>
      <c r="B2355">
        <f>Table4[[#This Row],[Column2]]</f>
        <v>0</v>
      </c>
      <c r="C2355" s="81"/>
      <c r="D2355" s="81"/>
      <c r="E2355" s="81"/>
      <c r="F2355" s="81"/>
      <c r="G2355" s="81"/>
      <c r="H2355" s="81"/>
      <c r="I2355" s="81"/>
      <c r="J2355" s="81"/>
      <c r="K2355" s="81"/>
      <c r="L2355" s="81"/>
      <c r="M2355" s="81"/>
      <c r="N2355" s="81"/>
      <c r="O2355" s="81"/>
      <c r="P2355" s="81"/>
      <c r="Q2355" s="81"/>
      <c r="R2355" s="81"/>
      <c r="S2355" s="81"/>
      <c r="T2355" s="81"/>
      <c r="U2355" s="81"/>
      <c r="V2355" s="94"/>
      <c r="W2355" s="94"/>
    </row>
    <row r="2356" spans="1:23" ht="21" customHeight="1">
      <c r="A2356">
        <f>Table4[[#This Row],[Column1]]</f>
        <v>0</v>
      </c>
      <c r="B2356">
        <f>Table4[[#This Row],[Column2]]</f>
        <v>0</v>
      </c>
      <c r="C2356" s="81"/>
      <c r="D2356" s="81"/>
      <c r="E2356" s="81"/>
      <c r="F2356" s="81"/>
      <c r="G2356" s="81"/>
      <c r="H2356" s="81"/>
      <c r="I2356" s="81"/>
      <c r="J2356" s="81"/>
      <c r="K2356" s="81"/>
      <c r="L2356" s="81"/>
      <c r="M2356" s="81"/>
      <c r="N2356" s="81"/>
      <c r="O2356" s="81"/>
      <c r="P2356" s="81"/>
      <c r="Q2356" s="81"/>
      <c r="R2356" s="81"/>
      <c r="S2356" s="81"/>
      <c r="T2356" s="81"/>
      <c r="U2356" s="81"/>
      <c r="V2356" s="94"/>
      <c r="W2356" s="94"/>
    </row>
    <row r="2357" spans="1:23" ht="21" customHeight="1">
      <c r="A2357">
        <f>Table4[[#This Row],[Column1]]</f>
        <v>0</v>
      </c>
      <c r="B2357">
        <f>Table4[[#This Row],[Column2]]</f>
        <v>0</v>
      </c>
      <c r="C2357" s="81"/>
      <c r="D2357" s="81"/>
      <c r="E2357" s="81"/>
      <c r="F2357" s="81"/>
      <c r="G2357" s="81"/>
      <c r="H2357" s="81"/>
      <c r="I2357" s="81"/>
      <c r="J2357" s="81"/>
      <c r="K2357" s="81"/>
      <c r="L2357" s="81"/>
      <c r="M2357" s="81"/>
      <c r="N2357" s="81"/>
      <c r="O2357" s="81"/>
      <c r="P2357" s="81"/>
      <c r="Q2357" s="81"/>
      <c r="R2357" s="81"/>
      <c r="S2357" s="81"/>
      <c r="T2357" s="81"/>
      <c r="U2357" s="81"/>
      <c r="V2357" s="94"/>
      <c r="W2357" s="94"/>
    </row>
    <row r="2358" spans="1:23" ht="21" customHeight="1">
      <c r="A2358">
        <f>Table4[[#This Row],[Column1]]</f>
        <v>0</v>
      </c>
      <c r="B2358">
        <f>Table4[[#This Row],[Column2]]</f>
        <v>0</v>
      </c>
      <c r="C2358" s="81"/>
      <c r="D2358" s="81"/>
      <c r="E2358" s="81"/>
      <c r="F2358" s="81"/>
      <c r="G2358" s="81"/>
      <c r="H2358" s="81"/>
      <c r="I2358" s="81"/>
      <c r="J2358" s="81"/>
      <c r="K2358" s="81"/>
      <c r="L2358" s="81"/>
      <c r="M2358" s="81"/>
      <c r="N2358" s="81"/>
      <c r="O2358" s="81"/>
      <c r="P2358" s="81"/>
      <c r="Q2358" s="81"/>
      <c r="R2358" s="81"/>
      <c r="S2358" s="81"/>
      <c r="T2358" s="81"/>
      <c r="U2358" s="81"/>
      <c r="V2358" s="94"/>
      <c r="W2358" s="94"/>
    </row>
    <row r="2359" spans="1:23" ht="21" customHeight="1">
      <c r="A2359">
        <f>Table4[[#This Row],[Column1]]</f>
        <v>0</v>
      </c>
      <c r="B2359">
        <f>Table4[[#This Row],[Column2]]</f>
        <v>0</v>
      </c>
      <c r="C2359" s="81"/>
      <c r="D2359" s="81"/>
      <c r="E2359" s="81"/>
      <c r="F2359" s="81"/>
      <c r="G2359" s="81"/>
      <c r="H2359" s="81"/>
      <c r="I2359" s="81"/>
      <c r="J2359" s="81"/>
      <c r="K2359" s="81"/>
      <c r="L2359" s="81"/>
      <c r="M2359" s="81"/>
      <c r="N2359" s="81"/>
      <c r="O2359" s="81"/>
      <c r="P2359" s="81"/>
      <c r="Q2359" s="81"/>
      <c r="R2359" s="81"/>
      <c r="S2359" s="81"/>
      <c r="T2359" s="81"/>
      <c r="U2359" s="81"/>
      <c r="V2359" s="94"/>
      <c r="W2359" s="94"/>
    </row>
    <row r="2360" spans="1:23" ht="21" customHeight="1">
      <c r="A2360">
        <f>Table4[[#This Row],[Column1]]</f>
        <v>0</v>
      </c>
      <c r="B2360">
        <f>Table4[[#This Row],[Column2]]</f>
        <v>0</v>
      </c>
      <c r="C2360" s="81"/>
      <c r="D2360" s="81"/>
      <c r="E2360" s="81"/>
      <c r="F2360" s="81"/>
      <c r="G2360" s="81"/>
      <c r="H2360" s="81"/>
      <c r="I2360" s="81"/>
      <c r="J2360" s="81"/>
      <c r="K2360" s="81"/>
      <c r="L2360" s="81"/>
      <c r="M2360" s="81"/>
      <c r="N2360" s="81"/>
      <c r="O2360" s="81"/>
      <c r="P2360" s="81"/>
      <c r="Q2360" s="81"/>
      <c r="R2360" s="81"/>
      <c r="S2360" s="81"/>
      <c r="T2360" s="81"/>
      <c r="U2360" s="81"/>
      <c r="V2360" s="94"/>
      <c r="W2360" s="94"/>
    </row>
    <row r="2361" spans="1:23" ht="21" customHeight="1">
      <c r="A2361">
        <f>Table4[[#This Row],[Column1]]</f>
        <v>0</v>
      </c>
      <c r="B2361">
        <f>Table4[[#This Row],[Column2]]</f>
        <v>0</v>
      </c>
      <c r="C2361" s="81"/>
      <c r="D2361" s="81"/>
      <c r="E2361" s="81"/>
      <c r="F2361" s="81"/>
      <c r="G2361" s="81"/>
      <c r="H2361" s="81"/>
      <c r="I2361" s="81"/>
      <c r="J2361" s="81"/>
      <c r="K2361" s="81"/>
      <c r="L2361" s="81"/>
      <c r="M2361" s="81"/>
      <c r="N2361" s="81"/>
      <c r="O2361" s="81"/>
      <c r="P2361" s="81"/>
      <c r="Q2361" s="81"/>
      <c r="R2361" s="81"/>
      <c r="S2361" s="81"/>
      <c r="T2361" s="81"/>
      <c r="U2361" s="81"/>
      <c r="V2361" s="94"/>
      <c r="W2361" s="94"/>
    </row>
    <row r="2362" spans="1:23" ht="21" customHeight="1">
      <c r="A2362">
        <f>Table4[[#This Row],[Column1]]</f>
        <v>0</v>
      </c>
      <c r="B2362">
        <f>Table4[[#This Row],[Column2]]</f>
        <v>0</v>
      </c>
      <c r="C2362" s="81"/>
      <c r="D2362" s="81"/>
      <c r="E2362" s="81"/>
      <c r="F2362" s="81"/>
      <c r="G2362" s="81"/>
      <c r="H2362" s="81"/>
      <c r="I2362" s="81"/>
      <c r="J2362" s="81"/>
      <c r="K2362" s="81"/>
      <c r="L2362" s="81"/>
      <c r="M2362" s="81"/>
      <c r="N2362" s="81"/>
      <c r="O2362" s="81"/>
      <c r="P2362" s="81"/>
      <c r="Q2362" s="81"/>
      <c r="R2362" s="81"/>
      <c r="S2362" s="81"/>
      <c r="T2362" s="81"/>
      <c r="U2362" s="81"/>
      <c r="V2362" s="94"/>
      <c r="W2362" s="94"/>
    </row>
    <row r="2363" spans="1:23" ht="21" customHeight="1">
      <c r="A2363">
        <f>Table4[[#This Row],[Column1]]</f>
        <v>0</v>
      </c>
      <c r="B2363">
        <f>Table4[[#This Row],[Column2]]</f>
        <v>0</v>
      </c>
      <c r="C2363" s="81"/>
      <c r="D2363" s="81"/>
      <c r="E2363" s="81"/>
      <c r="F2363" s="81"/>
      <c r="G2363" s="81"/>
      <c r="H2363" s="81"/>
      <c r="I2363" s="81"/>
      <c r="J2363" s="81"/>
      <c r="K2363" s="81"/>
      <c r="L2363" s="81"/>
      <c r="M2363" s="81"/>
      <c r="N2363" s="81"/>
      <c r="O2363" s="81"/>
      <c r="P2363" s="81"/>
      <c r="Q2363" s="81"/>
      <c r="R2363" s="81"/>
      <c r="S2363" s="81"/>
      <c r="T2363" s="81"/>
      <c r="U2363" s="81"/>
      <c r="V2363" s="94"/>
      <c r="W2363" s="94"/>
    </row>
    <row r="2364" spans="1:23" ht="21" customHeight="1">
      <c r="A2364">
        <f>Table4[[#This Row],[Column1]]</f>
        <v>0</v>
      </c>
      <c r="B2364">
        <f>Table4[[#This Row],[Column2]]</f>
        <v>0</v>
      </c>
      <c r="C2364" s="81"/>
      <c r="D2364" s="81"/>
      <c r="E2364" s="81"/>
      <c r="F2364" s="81"/>
      <c r="G2364" s="81"/>
      <c r="H2364" s="81"/>
      <c r="I2364" s="81"/>
      <c r="J2364" s="81"/>
      <c r="K2364" s="81"/>
      <c r="L2364" s="81"/>
      <c r="M2364" s="81"/>
      <c r="N2364" s="81"/>
      <c r="O2364" s="81"/>
      <c r="P2364" s="81"/>
      <c r="Q2364" s="81"/>
      <c r="R2364" s="81"/>
      <c r="S2364" s="81"/>
      <c r="T2364" s="81"/>
      <c r="U2364" s="81"/>
      <c r="V2364" s="94"/>
      <c r="W2364" s="94"/>
    </row>
    <row r="2365" spans="1:23" ht="21" customHeight="1">
      <c r="A2365">
        <f>Table4[[#This Row],[Column1]]</f>
        <v>0</v>
      </c>
      <c r="B2365">
        <f>Table4[[#This Row],[Column2]]</f>
        <v>0</v>
      </c>
      <c r="C2365" s="81"/>
      <c r="D2365" s="81"/>
      <c r="E2365" s="81"/>
      <c r="F2365" s="81"/>
      <c r="G2365" s="81"/>
      <c r="H2365" s="81"/>
      <c r="I2365" s="81"/>
      <c r="J2365" s="81"/>
      <c r="K2365" s="81"/>
      <c r="L2365" s="81"/>
      <c r="M2365" s="81"/>
      <c r="N2365" s="81"/>
      <c r="O2365" s="81"/>
      <c r="P2365" s="81"/>
      <c r="Q2365" s="81"/>
      <c r="R2365" s="81"/>
      <c r="S2365" s="81"/>
      <c r="T2365" s="81"/>
      <c r="U2365" s="81"/>
      <c r="V2365" s="94"/>
      <c r="W2365" s="94"/>
    </row>
    <row r="2366" spans="1:23" ht="21" customHeight="1">
      <c r="A2366">
        <f>Table4[[#This Row],[Column1]]</f>
        <v>0</v>
      </c>
      <c r="B2366">
        <f>Table4[[#This Row],[Column2]]</f>
        <v>0</v>
      </c>
      <c r="C2366" s="81"/>
      <c r="D2366" s="81"/>
      <c r="E2366" s="81"/>
      <c r="F2366" s="81"/>
      <c r="G2366" s="81"/>
      <c r="H2366" s="81"/>
      <c r="I2366" s="81"/>
      <c r="J2366" s="81"/>
      <c r="K2366" s="81"/>
      <c r="L2366" s="81"/>
      <c r="M2366" s="81"/>
      <c r="N2366" s="81"/>
      <c r="O2366" s="81"/>
      <c r="P2366" s="81"/>
      <c r="Q2366" s="81"/>
      <c r="R2366" s="81"/>
      <c r="S2366" s="81"/>
      <c r="T2366" s="81"/>
      <c r="U2366" s="81"/>
      <c r="V2366" s="94"/>
      <c r="W2366" s="94"/>
    </row>
    <row r="2367" spans="1:23" ht="21" customHeight="1">
      <c r="A2367">
        <f>Table4[[#This Row],[Column1]]</f>
        <v>0</v>
      </c>
      <c r="B2367">
        <f>Table4[[#This Row],[Column2]]</f>
        <v>0</v>
      </c>
      <c r="C2367" s="81"/>
      <c r="D2367" s="81"/>
      <c r="E2367" s="81"/>
      <c r="F2367" s="81"/>
      <c r="G2367" s="81"/>
      <c r="H2367" s="81"/>
      <c r="I2367" s="81"/>
      <c r="J2367" s="81"/>
      <c r="K2367" s="81"/>
      <c r="L2367" s="81"/>
      <c r="M2367" s="81"/>
      <c r="N2367" s="81"/>
      <c r="O2367" s="81"/>
      <c r="P2367" s="81"/>
      <c r="Q2367" s="81"/>
      <c r="R2367" s="81"/>
      <c r="S2367" s="81"/>
      <c r="T2367" s="81"/>
      <c r="U2367" s="81"/>
      <c r="V2367" s="94"/>
      <c r="W2367" s="94"/>
    </row>
    <row r="2368" spans="1:23" ht="21" customHeight="1">
      <c r="A2368">
        <f>Table4[[#This Row],[Column1]]</f>
        <v>0</v>
      </c>
      <c r="B2368">
        <f>Table4[[#This Row],[Column2]]</f>
        <v>0</v>
      </c>
      <c r="C2368" s="81"/>
      <c r="D2368" s="81"/>
      <c r="E2368" s="81"/>
      <c r="F2368" s="81"/>
      <c r="G2368" s="81"/>
      <c r="H2368" s="81"/>
      <c r="I2368" s="81"/>
      <c r="J2368" s="81"/>
      <c r="K2368" s="81"/>
      <c r="L2368" s="81"/>
      <c r="M2368" s="81"/>
      <c r="N2368" s="81"/>
      <c r="O2368" s="81"/>
      <c r="P2368" s="81"/>
      <c r="Q2368" s="81"/>
      <c r="R2368" s="81"/>
      <c r="S2368" s="81"/>
      <c r="T2368" s="81"/>
      <c r="U2368" s="81"/>
      <c r="V2368" s="94"/>
      <c r="W2368" s="94"/>
    </row>
    <row r="2369" spans="1:23" ht="21" customHeight="1">
      <c r="A2369">
        <f>Table4[[#This Row],[Column1]]</f>
        <v>0</v>
      </c>
      <c r="B2369">
        <f>Table4[[#This Row],[Column2]]</f>
        <v>0</v>
      </c>
      <c r="C2369" s="81"/>
      <c r="D2369" s="81"/>
      <c r="E2369" s="81"/>
      <c r="F2369" s="81"/>
      <c r="G2369" s="81"/>
      <c r="H2369" s="81"/>
      <c r="I2369" s="81"/>
      <c r="J2369" s="81"/>
      <c r="K2369" s="81"/>
      <c r="L2369" s="81"/>
      <c r="M2369" s="81"/>
      <c r="N2369" s="81"/>
      <c r="O2369" s="81"/>
      <c r="P2369" s="81"/>
      <c r="Q2369" s="81"/>
      <c r="R2369" s="81"/>
      <c r="S2369" s="81"/>
      <c r="T2369" s="81"/>
      <c r="U2369" s="81"/>
      <c r="V2369" s="94"/>
      <c r="W2369" s="94"/>
    </row>
    <row r="2370" spans="1:23" ht="21" customHeight="1">
      <c r="A2370">
        <f>Table4[[#This Row],[Column1]]</f>
        <v>0</v>
      </c>
      <c r="B2370">
        <f>Table4[[#This Row],[Column2]]</f>
        <v>0</v>
      </c>
      <c r="C2370" s="81"/>
      <c r="D2370" s="81"/>
      <c r="E2370" s="81"/>
      <c r="F2370" s="81"/>
      <c r="G2370" s="81"/>
      <c r="H2370" s="81"/>
      <c r="I2370" s="81"/>
      <c r="J2370" s="81"/>
      <c r="K2370" s="81"/>
      <c r="L2370" s="81"/>
      <c r="M2370" s="81"/>
      <c r="N2370" s="81"/>
      <c r="O2370" s="81"/>
      <c r="P2370" s="81"/>
      <c r="Q2370" s="81"/>
      <c r="R2370" s="81"/>
      <c r="S2370" s="81"/>
      <c r="T2370" s="81"/>
      <c r="U2370" s="81"/>
      <c r="V2370" s="94"/>
      <c r="W2370" s="94"/>
    </row>
    <row r="2371" spans="1:23" ht="21" customHeight="1">
      <c r="A2371">
        <f>Table4[[#This Row],[Column1]]</f>
        <v>0</v>
      </c>
      <c r="B2371">
        <f>Table4[[#This Row],[Column2]]</f>
        <v>0</v>
      </c>
      <c r="C2371" s="81"/>
      <c r="D2371" s="81"/>
      <c r="E2371" s="81"/>
      <c r="F2371" s="81"/>
      <c r="G2371" s="81"/>
      <c r="H2371" s="81"/>
      <c r="I2371" s="81"/>
      <c r="J2371" s="81"/>
      <c r="K2371" s="81"/>
      <c r="L2371" s="81"/>
      <c r="M2371" s="81"/>
      <c r="N2371" s="81"/>
      <c r="O2371" s="81"/>
      <c r="P2371" s="81"/>
      <c r="Q2371" s="81"/>
      <c r="R2371" s="81"/>
      <c r="S2371" s="81"/>
      <c r="T2371" s="81"/>
      <c r="U2371" s="81"/>
      <c r="V2371" s="94"/>
      <c r="W2371" s="94"/>
    </row>
    <row r="2372" spans="1:23" ht="21" customHeight="1">
      <c r="A2372">
        <f>Table4[[#This Row],[Column1]]</f>
        <v>0</v>
      </c>
      <c r="B2372">
        <f>Table4[[#This Row],[Column2]]</f>
        <v>0</v>
      </c>
      <c r="C2372" s="81"/>
      <c r="D2372" s="81"/>
      <c r="E2372" s="81"/>
      <c r="F2372" s="81"/>
      <c r="G2372" s="81"/>
      <c r="H2372" s="81"/>
      <c r="I2372" s="81"/>
      <c r="J2372" s="81"/>
      <c r="K2372" s="81"/>
      <c r="L2372" s="81"/>
      <c r="M2372" s="81"/>
      <c r="N2372" s="81"/>
      <c r="O2372" s="81"/>
      <c r="P2372" s="81"/>
      <c r="Q2372" s="81"/>
      <c r="R2372" s="81"/>
      <c r="S2372" s="81"/>
      <c r="T2372" s="81"/>
      <c r="U2372" s="81"/>
      <c r="V2372" s="94"/>
      <c r="W2372" s="94"/>
    </row>
    <row r="2373" spans="1:23" ht="21" customHeight="1">
      <c r="A2373">
        <f>Table4[[#This Row],[Column1]]</f>
        <v>0</v>
      </c>
      <c r="B2373">
        <f>Table4[[#This Row],[Column2]]</f>
        <v>0</v>
      </c>
      <c r="C2373" s="81"/>
      <c r="D2373" s="81"/>
      <c r="E2373" s="81"/>
      <c r="F2373" s="81"/>
      <c r="G2373" s="81"/>
      <c r="H2373" s="81"/>
      <c r="I2373" s="81"/>
      <c r="J2373" s="81"/>
      <c r="K2373" s="81"/>
      <c r="L2373" s="81"/>
      <c r="M2373" s="81"/>
      <c r="N2373" s="81"/>
      <c r="O2373" s="81"/>
      <c r="P2373" s="81"/>
      <c r="Q2373" s="81"/>
      <c r="R2373" s="81"/>
      <c r="S2373" s="81"/>
      <c r="T2373" s="81"/>
      <c r="U2373" s="81"/>
      <c r="V2373" s="94"/>
      <c r="W2373" s="94"/>
    </row>
    <row r="2374" spans="1:23" ht="21" customHeight="1">
      <c r="A2374">
        <f>Table4[[#This Row],[Column1]]</f>
        <v>0</v>
      </c>
      <c r="B2374">
        <f>Table4[[#This Row],[Column2]]</f>
        <v>0</v>
      </c>
      <c r="C2374" s="81"/>
      <c r="D2374" s="81"/>
      <c r="E2374" s="81"/>
      <c r="F2374" s="81"/>
      <c r="G2374" s="81"/>
      <c r="H2374" s="81"/>
      <c r="I2374" s="81"/>
      <c r="J2374" s="81"/>
      <c r="K2374" s="81"/>
      <c r="L2374" s="81"/>
      <c r="M2374" s="81"/>
      <c r="N2374" s="81"/>
      <c r="O2374" s="81"/>
      <c r="P2374" s="81"/>
      <c r="Q2374" s="81"/>
      <c r="R2374" s="81"/>
      <c r="S2374" s="81"/>
      <c r="T2374" s="81"/>
      <c r="U2374" s="81"/>
      <c r="V2374" s="94"/>
      <c r="W2374" s="94"/>
    </row>
    <row r="2375" spans="1:23" ht="21" customHeight="1">
      <c r="A2375">
        <f>Table4[[#This Row],[Column1]]</f>
        <v>0</v>
      </c>
      <c r="B2375">
        <f>Table4[[#This Row],[Column2]]</f>
        <v>0</v>
      </c>
      <c r="C2375" s="81"/>
      <c r="D2375" s="81"/>
      <c r="E2375" s="81"/>
      <c r="F2375" s="81"/>
      <c r="G2375" s="81"/>
      <c r="H2375" s="81"/>
      <c r="I2375" s="81"/>
      <c r="J2375" s="81"/>
      <c r="K2375" s="81"/>
      <c r="L2375" s="81"/>
      <c r="M2375" s="81"/>
      <c r="N2375" s="81"/>
      <c r="O2375" s="81"/>
      <c r="P2375" s="81"/>
      <c r="Q2375" s="81"/>
      <c r="R2375" s="81"/>
      <c r="S2375" s="81"/>
      <c r="T2375" s="81"/>
      <c r="U2375" s="81"/>
      <c r="V2375" s="94"/>
      <c r="W2375" s="94"/>
    </row>
    <row r="2376" spans="1:23" ht="21" customHeight="1">
      <c r="A2376">
        <f>Table4[[#This Row],[Column1]]</f>
        <v>0</v>
      </c>
      <c r="B2376">
        <f>Table4[[#This Row],[Column2]]</f>
        <v>0</v>
      </c>
      <c r="C2376" s="81"/>
      <c r="D2376" s="81"/>
      <c r="E2376" s="81"/>
      <c r="F2376" s="81"/>
      <c r="G2376" s="81"/>
      <c r="H2376" s="81"/>
      <c r="I2376" s="81"/>
      <c r="J2376" s="81"/>
      <c r="K2376" s="81"/>
      <c r="L2376" s="81"/>
      <c r="M2376" s="81"/>
      <c r="N2376" s="81"/>
      <c r="O2376" s="81"/>
      <c r="P2376" s="81"/>
      <c r="Q2376" s="81"/>
      <c r="R2376" s="81"/>
      <c r="S2376" s="81"/>
      <c r="T2376" s="81"/>
      <c r="U2376" s="81"/>
      <c r="V2376" s="94"/>
      <c r="W2376" s="94"/>
    </row>
    <row r="2377" spans="1:23" ht="21" customHeight="1">
      <c r="A2377">
        <f>Table4[[#This Row],[Column1]]</f>
        <v>0</v>
      </c>
      <c r="B2377">
        <f>Table4[[#This Row],[Column2]]</f>
        <v>0</v>
      </c>
      <c r="C2377" s="81"/>
      <c r="D2377" s="81"/>
      <c r="E2377" s="81"/>
      <c r="F2377" s="81"/>
      <c r="G2377" s="81"/>
      <c r="H2377" s="81"/>
      <c r="I2377" s="81"/>
      <c r="J2377" s="81"/>
      <c r="K2377" s="81"/>
      <c r="L2377" s="81"/>
      <c r="M2377" s="81"/>
      <c r="N2377" s="81"/>
      <c r="O2377" s="81"/>
      <c r="P2377" s="81"/>
      <c r="Q2377" s="81"/>
      <c r="R2377" s="81"/>
      <c r="S2377" s="81"/>
      <c r="T2377" s="81"/>
      <c r="U2377" s="81"/>
      <c r="V2377" s="94"/>
      <c r="W2377" s="94"/>
    </row>
    <row r="2378" spans="1:23" ht="21" customHeight="1">
      <c r="A2378">
        <f>Table4[[#This Row],[Column1]]</f>
        <v>0</v>
      </c>
      <c r="B2378">
        <f>Table4[[#This Row],[Column2]]</f>
        <v>0</v>
      </c>
      <c r="C2378" s="81"/>
      <c r="D2378" s="81"/>
      <c r="E2378" s="81"/>
      <c r="F2378" s="81"/>
      <c r="G2378" s="81"/>
      <c r="H2378" s="81"/>
      <c r="I2378" s="81"/>
      <c r="J2378" s="81"/>
      <c r="K2378" s="81"/>
      <c r="L2378" s="81"/>
      <c r="M2378" s="81"/>
      <c r="N2378" s="81"/>
      <c r="O2378" s="81"/>
      <c r="P2378" s="81"/>
      <c r="Q2378" s="81"/>
      <c r="R2378" s="81"/>
      <c r="S2378" s="81"/>
      <c r="T2378" s="81"/>
      <c r="U2378" s="81"/>
      <c r="V2378" s="94"/>
      <c r="W2378" s="94"/>
    </row>
    <row r="2379" spans="1:23" ht="21" customHeight="1">
      <c r="A2379">
        <f>Table4[[#This Row],[Column1]]</f>
        <v>0</v>
      </c>
      <c r="B2379">
        <f>Table4[[#This Row],[Column2]]</f>
        <v>0</v>
      </c>
      <c r="C2379" s="81"/>
      <c r="D2379" s="81"/>
      <c r="E2379" s="81"/>
      <c r="F2379" s="81"/>
      <c r="G2379" s="81"/>
      <c r="H2379" s="81"/>
      <c r="I2379" s="81"/>
      <c r="J2379" s="81"/>
      <c r="K2379" s="81"/>
      <c r="L2379" s="81"/>
      <c r="M2379" s="81"/>
      <c r="N2379" s="81"/>
      <c r="O2379" s="81"/>
      <c r="P2379" s="81"/>
      <c r="Q2379" s="81"/>
      <c r="R2379" s="81"/>
      <c r="S2379" s="81"/>
      <c r="T2379" s="81"/>
      <c r="U2379" s="81"/>
      <c r="V2379" s="94"/>
      <c r="W2379" s="94"/>
    </row>
    <row r="2380" spans="1:23" ht="21" customHeight="1">
      <c r="A2380">
        <f>Table4[[#This Row],[Column1]]</f>
        <v>0</v>
      </c>
      <c r="B2380">
        <f>Table4[[#This Row],[Column2]]</f>
        <v>0</v>
      </c>
      <c r="C2380" s="81"/>
      <c r="D2380" s="81"/>
      <c r="E2380" s="81"/>
      <c r="F2380" s="81"/>
      <c r="G2380" s="81"/>
      <c r="H2380" s="81"/>
      <c r="I2380" s="81"/>
      <c r="J2380" s="81"/>
      <c r="K2380" s="81"/>
      <c r="L2380" s="81"/>
      <c r="M2380" s="81"/>
      <c r="N2380" s="81"/>
      <c r="O2380" s="81"/>
      <c r="P2380" s="81"/>
      <c r="Q2380" s="81"/>
      <c r="R2380" s="81"/>
      <c r="S2380" s="81"/>
      <c r="T2380" s="81"/>
      <c r="U2380" s="81"/>
      <c r="V2380" s="94"/>
      <c r="W2380" s="94"/>
    </row>
    <row r="2381" spans="1:23" ht="21" customHeight="1">
      <c r="A2381">
        <f>Table4[[#This Row],[Column1]]</f>
        <v>0</v>
      </c>
      <c r="B2381">
        <f>Table4[[#This Row],[Column2]]</f>
        <v>0</v>
      </c>
      <c r="C2381" s="81"/>
      <c r="D2381" s="81"/>
      <c r="E2381" s="81"/>
      <c r="F2381" s="81"/>
      <c r="G2381" s="81"/>
      <c r="H2381" s="81"/>
      <c r="I2381" s="81"/>
      <c r="J2381" s="81"/>
      <c r="K2381" s="81"/>
      <c r="L2381" s="81"/>
      <c r="M2381" s="81"/>
      <c r="N2381" s="81"/>
      <c r="O2381" s="81"/>
      <c r="P2381" s="81"/>
      <c r="Q2381" s="81"/>
      <c r="R2381" s="81"/>
      <c r="S2381" s="81"/>
      <c r="T2381" s="81"/>
      <c r="U2381" s="81"/>
      <c r="V2381" s="94"/>
      <c r="W2381" s="94"/>
    </row>
    <row r="2382" spans="1:23" ht="21" customHeight="1">
      <c r="A2382">
        <f>Table4[[#This Row],[Column1]]</f>
        <v>0</v>
      </c>
      <c r="B2382">
        <f>Table4[[#This Row],[Column2]]</f>
        <v>0</v>
      </c>
      <c r="C2382" s="81"/>
      <c r="D2382" s="81"/>
      <c r="E2382" s="81"/>
      <c r="F2382" s="81"/>
      <c r="G2382" s="81"/>
      <c r="H2382" s="81"/>
      <c r="I2382" s="81"/>
      <c r="J2382" s="81"/>
      <c r="K2382" s="81"/>
      <c r="L2382" s="81"/>
      <c r="M2382" s="81"/>
      <c r="N2382" s="81"/>
      <c r="O2382" s="81"/>
      <c r="P2382" s="81"/>
      <c r="Q2382" s="81"/>
      <c r="R2382" s="81"/>
      <c r="S2382" s="81"/>
      <c r="T2382" s="81"/>
      <c r="U2382" s="81"/>
      <c r="V2382" s="94"/>
      <c r="W2382" s="94"/>
    </row>
    <row r="2383" spans="1:23" ht="21" customHeight="1">
      <c r="A2383">
        <f>Table4[[#This Row],[Column1]]</f>
        <v>0</v>
      </c>
      <c r="B2383">
        <f>Table4[[#This Row],[Column2]]</f>
        <v>0</v>
      </c>
      <c r="C2383" s="81"/>
      <c r="D2383" s="81"/>
      <c r="E2383" s="81"/>
      <c r="F2383" s="81"/>
      <c r="G2383" s="81"/>
      <c r="H2383" s="81"/>
      <c r="I2383" s="81"/>
      <c r="J2383" s="81"/>
      <c r="K2383" s="81"/>
      <c r="L2383" s="81"/>
      <c r="M2383" s="81"/>
      <c r="N2383" s="81"/>
      <c r="O2383" s="81"/>
      <c r="P2383" s="81"/>
      <c r="Q2383" s="81"/>
      <c r="R2383" s="81"/>
      <c r="S2383" s="81"/>
      <c r="T2383" s="81"/>
      <c r="U2383" s="81"/>
      <c r="V2383" s="94"/>
      <c r="W2383" s="94"/>
    </row>
    <row r="2384" spans="1:23" ht="21" customHeight="1">
      <c r="A2384">
        <f>Table4[[#This Row],[Column1]]</f>
        <v>0</v>
      </c>
      <c r="B2384">
        <f>Table4[[#This Row],[Column2]]</f>
        <v>0</v>
      </c>
      <c r="C2384" s="81"/>
      <c r="D2384" s="81"/>
      <c r="E2384" s="81"/>
      <c r="F2384" s="81"/>
      <c r="G2384" s="81"/>
      <c r="H2384" s="81"/>
      <c r="I2384" s="81"/>
      <c r="J2384" s="81"/>
      <c r="K2384" s="81"/>
      <c r="L2384" s="81"/>
      <c r="M2384" s="81"/>
      <c r="N2384" s="81"/>
      <c r="O2384" s="81"/>
      <c r="P2384" s="81"/>
      <c r="Q2384" s="81"/>
      <c r="R2384" s="81"/>
      <c r="S2384" s="81"/>
      <c r="T2384" s="81"/>
      <c r="U2384" s="81"/>
      <c r="V2384" s="94"/>
      <c r="W2384" s="94"/>
    </row>
    <row r="2385" spans="1:23" ht="21" customHeight="1">
      <c r="A2385">
        <f>Table4[[#This Row],[Column1]]</f>
        <v>0</v>
      </c>
      <c r="B2385">
        <f>Table4[[#This Row],[Column2]]</f>
        <v>0</v>
      </c>
      <c r="C2385" s="81"/>
      <c r="D2385" s="81"/>
      <c r="E2385" s="81"/>
      <c r="F2385" s="81"/>
      <c r="G2385" s="81"/>
      <c r="H2385" s="81"/>
      <c r="I2385" s="81"/>
      <c r="J2385" s="81"/>
      <c r="K2385" s="81"/>
      <c r="L2385" s="81"/>
      <c r="M2385" s="81"/>
      <c r="N2385" s="81"/>
      <c r="O2385" s="81"/>
      <c r="P2385" s="81"/>
      <c r="Q2385" s="81"/>
      <c r="R2385" s="81"/>
      <c r="S2385" s="81"/>
      <c r="T2385" s="81"/>
      <c r="U2385" s="81"/>
      <c r="V2385" s="94"/>
      <c r="W2385" s="94"/>
    </row>
    <row r="2386" spans="1:23" ht="21" customHeight="1">
      <c r="A2386">
        <f>Table4[[#This Row],[Column1]]</f>
        <v>0</v>
      </c>
      <c r="B2386">
        <f>Table4[[#This Row],[Column2]]</f>
        <v>0</v>
      </c>
      <c r="C2386" s="81"/>
      <c r="D2386" s="81"/>
      <c r="E2386" s="81"/>
      <c r="F2386" s="81"/>
      <c r="G2386" s="81"/>
      <c r="H2386" s="81"/>
      <c r="I2386" s="81"/>
      <c r="J2386" s="81"/>
      <c r="K2386" s="81"/>
      <c r="L2386" s="81"/>
      <c r="M2386" s="81"/>
      <c r="N2386" s="81"/>
      <c r="O2386" s="81"/>
      <c r="P2386" s="81"/>
      <c r="Q2386" s="81"/>
      <c r="R2386" s="81"/>
      <c r="S2386" s="81"/>
      <c r="T2386" s="81"/>
      <c r="U2386" s="81"/>
      <c r="V2386" s="94"/>
      <c r="W2386" s="94"/>
    </row>
    <row r="2387" spans="1:23" ht="21" customHeight="1">
      <c r="A2387">
        <f>Table4[[#This Row],[Column1]]</f>
        <v>0</v>
      </c>
      <c r="B2387">
        <f>Table4[[#This Row],[Column2]]</f>
        <v>0</v>
      </c>
      <c r="C2387" s="81"/>
      <c r="D2387" s="81"/>
      <c r="E2387" s="81"/>
      <c r="F2387" s="81"/>
      <c r="G2387" s="81"/>
      <c r="H2387" s="81"/>
      <c r="I2387" s="81"/>
      <c r="J2387" s="81"/>
      <c r="K2387" s="81"/>
      <c r="L2387" s="81"/>
      <c r="M2387" s="81"/>
      <c r="N2387" s="81"/>
      <c r="O2387" s="81"/>
      <c r="P2387" s="81"/>
      <c r="Q2387" s="81"/>
      <c r="R2387" s="81"/>
      <c r="S2387" s="81"/>
      <c r="T2387" s="81"/>
      <c r="U2387" s="81"/>
      <c r="V2387" s="94"/>
      <c r="W2387" s="94"/>
    </row>
    <row r="2388" spans="1:23" ht="21" customHeight="1">
      <c r="A2388">
        <f>Table4[[#This Row],[Column1]]</f>
        <v>0</v>
      </c>
      <c r="B2388">
        <f>Table4[[#This Row],[Column2]]</f>
        <v>0</v>
      </c>
      <c r="C2388" s="81"/>
      <c r="D2388" s="81"/>
      <c r="E2388" s="81"/>
      <c r="F2388" s="81"/>
      <c r="G2388" s="81"/>
      <c r="H2388" s="81"/>
      <c r="I2388" s="81"/>
      <c r="J2388" s="81"/>
      <c r="K2388" s="81"/>
      <c r="L2388" s="81"/>
      <c r="M2388" s="81"/>
      <c r="N2388" s="81"/>
      <c r="O2388" s="81"/>
      <c r="P2388" s="81"/>
      <c r="Q2388" s="81"/>
      <c r="R2388" s="81"/>
      <c r="S2388" s="81"/>
      <c r="T2388" s="81"/>
      <c r="U2388" s="81"/>
      <c r="V2388" s="94"/>
      <c r="W2388" s="94"/>
    </row>
    <row r="2389" spans="1:23" ht="21" customHeight="1">
      <c r="A2389">
        <f>Table4[[#This Row],[Column1]]</f>
        <v>0</v>
      </c>
      <c r="B2389">
        <f>Table4[[#This Row],[Column2]]</f>
        <v>0</v>
      </c>
      <c r="C2389" s="81"/>
      <c r="D2389" s="81"/>
      <c r="E2389" s="81"/>
      <c r="F2389" s="81"/>
      <c r="G2389" s="81"/>
      <c r="H2389" s="81"/>
      <c r="I2389" s="81"/>
      <c r="J2389" s="81"/>
      <c r="K2389" s="81"/>
      <c r="L2389" s="81"/>
      <c r="M2389" s="81"/>
      <c r="N2389" s="81"/>
      <c r="O2389" s="81"/>
      <c r="P2389" s="81"/>
      <c r="Q2389" s="81"/>
      <c r="R2389" s="81"/>
      <c r="S2389" s="81"/>
      <c r="T2389" s="81"/>
      <c r="U2389" s="81"/>
      <c r="V2389" s="94"/>
      <c r="W2389" s="94"/>
    </row>
    <row r="2390" spans="1:23" ht="21" customHeight="1">
      <c r="A2390">
        <f>Table4[[#This Row],[Column1]]</f>
        <v>0</v>
      </c>
      <c r="B2390">
        <f>Table4[[#This Row],[Column2]]</f>
        <v>0</v>
      </c>
      <c r="C2390" s="81"/>
      <c r="D2390" s="81"/>
      <c r="E2390" s="81"/>
      <c r="F2390" s="81"/>
      <c r="G2390" s="81"/>
      <c r="H2390" s="81"/>
      <c r="I2390" s="81"/>
      <c r="J2390" s="81"/>
      <c r="K2390" s="81"/>
      <c r="L2390" s="81"/>
      <c r="M2390" s="81"/>
      <c r="N2390" s="81"/>
      <c r="O2390" s="81"/>
      <c r="P2390" s="81"/>
      <c r="Q2390" s="81"/>
      <c r="R2390" s="81"/>
      <c r="S2390" s="81"/>
      <c r="T2390" s="81"/>
      <c r="U2390" s="81"/>
      <c r="V2390" s="94"/>
      <c r="W2390" s="94"/>
    </row>
    <row r="2391" spans="1:23" ht="21" customHeight="1">
      <c r="A2391">
        <f>Table4[[#This Row],[Column1]]</f>
        <v>0</v>
      </c>
      <c r="B2391">
        <f>Table4[[#This Row],[Column2]]</f>
        <v>0</v>
      </c>
      <c r="C2391" s="81"/>
      <c r="D2391" s="81"/>
      <c r="E2391" s="81"/>
      <c r="F2391" s="81"/>
      <c r="G2391" s="81"/>
      <c r="H2391" s="81"/>
      <c r="I2391" s="81"/>
      <c r="J2391" s="81"/>
      <c r="K2391" s="81"/>
      <c r="L2391" s="81"/>
      <c r="M2391" s="81"/>
      <c r="N2391" s="81"/>
      <c r="O2391" s="81"/>
      <c r="P2391" s="81"/>
      <c r="Q2391" s="81"/>
      <c r="R2391" s="81"/>
      <c r="S2391" s="81"/>
      <c r="T2391" s="81"/>
      <c r="U2391" s="81"/>
      <c r="V2391" s="94"/>
      <c r="W2391" s="94"/>
    </row>
    <row r="2392" spans="1:23" ht="21" customHeight="1">
      <c r="A2392">
        <f>Table4[[#This Row],[Column1]]</f>
        <v>0</v>
      </c>
      <c r="B2392">
        <f>Table4[[#This Row],[Column2]]</f>
        <v>0</v>
      </c>
      <c r="C2392" s="81"/>
      <c r="D2392" s="81"/>
      <c r="E2392" s="81"/>
      <c r="F2392" s="81"/>
      <c r="G2392" s="81"/>
      <c r="H2392" s="81"/>
      <c r="I2392" s="81"/>
      <c r="J2392" s="81"/>
      <c r="K2392" s="81"/>
      <c r="L2392" s="81"/>
      <c r="M2392" s="81"/>
      <c r="N2392" s="81"/>
      <c r="O2392" s="81"/>
      <c r="P2392" s="81"/>
      <c r="Q2392" s="81"/>
      <c r="R2392" s="81"/>
      <c r="S2392" s="81"/>
      <c r="T2392" s="81"/>
      <c r="U2392" s="81"/>
      <c r="V2392" s="94"/>
      <c r="W2392" s="94"/>
    </row>
    <row r="2393" spans="1:23" ht="21" customHeight="1">
      <c r="A2393">
        <f>Table4[[#This Row],[Column1]]</f>
        <v>0</v>
      </c>
      <c r="B2393">
        <f>Table4[[#This Row],[Column2]]</f>
        <v>0</v>
      </c>
      <c r="C2393" s="81"/>
      <c r="D2393" s="81"/>
      <c r="E2393" s="81"/>
      <c r="F2393" s="81"/>
      <c r="G2393" s="81"/>
      <c r="H2393" s="81"/>
      <c r="I2393" s="81"/>
      <c r="J2393" s="81"/>
      <c r="K2393" s="81"/>
      <c r="L2393" s="81"/>
      <c r="M2393" s="81"/>
      <c r="N2393" s="81"/>
      <c r="O2393" s="81"/>
      <c r="P2393" s="81"/>
      <c r="Q2393" s="81"/>
      <c r="R2393" s="81"/>
      <c r="S2393" s="81"/>
      <c r="T2393" s="81"/>
      <c r="U2393" s="81"/>
      <c r="V2393" s="94"/>
      <c r="W2393" s="94"/>
    </row>
    <row r="2394" spans="1:23" ht="21" customHeight="1">
      <c r="A2394">
        <f>Table4[[#This Row],[Column1]]</f>
        <v>0</v>
      </c>
      <c r="B2394">
        <f>Table4[[#This Row],[Column2]]</f>
        <v>0</v>
      </c>
      <c r="C2394" s="81"/>
      <c r="D2394" s="81"/>
      <c r="E2394" s="81"/>
      <c r="F2394" s="81"/>
      <c r="G2394" s="81"/>
      <c r="H2394" s="81"/>
      <c r="I2394" s="81"/>
      <c r="J2394" s="81"/>
      <c r="K2394" s="81"/>
      <c r="L2394" s="81"/>
      <c r="M2394" s="81"/>
      <c r="N2394" s="81"/>
      <c r="O2394" s="81"/>
      <c r="P2394" s="81"/>
      <c r="Q2394" s="81"/>
      <c r="R2394" s="81"/>
      <c r="S2394" s="81"/>
      <c r="T2394" s="81"/>
      <c r="U2394" s="81"/>
      <c r="V2394" s="94"/>
      <c r="W2394" s="94"/>
    </row>
    <row r="2395" spans="1:23" ht="21" customHeight="1">
      <c r="A2395">
        <f>Table4[[#This Row],[Column1]]</f>
        <v>0</v>
      </c>
      <c r="B2395">
        <f>Table4[[#This Row],[Column2]]</f>
        <v>0</v>
      </c>
      <c r="C2395" s="81"/>
      <c r="D2395" s="81"/>
      <c r="E2395" s="81"/>
      <c r="F2395" s="81"/>
      <c r="G2395" s="81"/>
      <c r="H2395" s="81"/>
      <c r="I2395" s="81"/>
      <c r="J2395" s="81"/>
      <c r="K2395" s="81"/>
      <c r="L2395" s="81"/>
      <c r="M2395" s="81"/>
      <c r="N2395" s="81"/>
      <c r="O2395" s="81"/>
      <c r="P2395" s="81"/>
      <c r="Q2395" s="81"/>
      <c r="R2395" s="81"/>
      <c r="S2395" s="81"/>
      <c r="T2395" s="81"/>
      <c r="U2395" s="81"/>
      <c r="V2395" s="94"/>
      <c r="W2395" s="94"/>
    </row>
    <row r="2396" spans="1:23" ht="21" customHeight="1">
      <c r="A2396">
        <f>Table4[[#This Row],[Column1]]</f>
        <v>0</v>
      </c>
      <c r="B2396">
        <f>Table4[[#This Row],[Column2]]</f>
        <v>0</v>
      </c>
      <c r="C2396" s="81"/>
      <c r="D2396" s="81"/>
      <c r="E2396" s="81"/>
      <c r="F2396" s="81"/>
      <c r="G2396" s="81"/>
      <c r="H2396" s="81"/>
      <c r="I2396" s="81"/>
      <c r="J2396" s="81"/>
      <c r="K2396" s="81"/>
      <c r="L2396" s="81"/>
      <c r="M2396" s="81"/>
      <c r="N2396" s="81"/>
      <c r="O2396" s="81"/>
      <c r="P2396" s="81"/>
      <c r="Q2396" s="81"/>
      <c r="R2396" s="81"/>
      <c r="S2396" s="81"/>
      <c r="T2396" s="81"/>
      <c r="U2396" s="81"/>
      <c r="V2396" s="94"/>
      <c r="W2396" s="94"/>
    </row>
    <row r="2397" spans="1:23" ht="21" customHeight="1">
      <c r="A2397">
        <f>Table4[[#This Row],[Column1]]</f>
        <v>0</v>
      </c>
      <c r="B2397">
        <f>Table4[[#This Row],[Column2]]</f>
        <v>0</v>
      </c>
      <c r="C2397" s="81"/>
      <c r="D2397" s="81"/>
      <c r="E2397" s="81"/>
      <c r="F2397" s="81"/>
      <c r="G2397" s="81"/>
      <c r="H2397" s="81"/>
      <c r="I2397" s="81"/>
      <c r="J2397" s="81"/>
      <c r="K2397" s="81"/>
      <c r="L2397" s="81"/>
      <c r="M2397" s="81"/>
      <c r="N2397" s="81"/>
      <c r="O2397" s="81"/>
      <c r="P2397" s="81"/>
      <c r="Q2397" s="81"/>
      <c r="R2397" s="81"/>
      <c r="S2397" s="81"/>
      <c r="T2397" s="81"/>
      <c r="U2397" s="81"/>
      <c r="V2397" s="94"/>
      <c r="W2397" s="94"/>
    </row>
    <row r="2398" spans="1:23" ht="21" customHeight="1">
      <c r="A2398">
        <f>Table4[[#This Row],[Column1]]</f>
        <v>0</v>
      </c>
      <c r="B2398">
        <f>Table4[[#This Row],[Column2]]</f>
        <v>0</v>
      </c>
      <c r="C2398" s="81"/>
      <c r="D2398" s="81"/>
      <c r="E2398" s="81"/>
      <c r="F2398" s="81"/>
      <c r="G2398" s="81"/>
      <c r="H2398" s="81"/>
      <c r="I2398" s="81"/>
      <c r="J2398" s="81"/>
      <c r="K2398" s="81"/>
      <c r="L2398" s="81"/>
      <c r="M2398" s="81"/>
      <c r="N2398" s="81"/>
      <c r="O2398" s="81"/>
      <c r="P2398" s="81"/>
      <c r="Q2398" s="81"/>
      <c r="R2398" s="81"/>
      <c r="S2398" s="81"/>
      <c r="T2398" s="81"/>
      <c r="U2398" s="81"/>
      <c r="V2398" s="94"/>
      <c r="W2398" s="94"/>
    </row>
    <row r="2399" spans="1:23" ht="21" customHeight="1">
      <c r="A2399">
        <f>Table4[[#This Row],[Column1]]</f>
        <v>0</v>
      </c>
      <c r="B2399">
        <f>Table4[[#This Row],[Column2]]</f>
        <v>0</v>
      </c>
      <c r="C2399" s="81"/>
      <c r="D2399" s="81"/>
      <c r="E2399" s="81"/>
      <c r="F2399" s="81"/>
      <c r="G2399" s="81"/>
      <c r="H2399" s="81"/>
      <c r="I2399" s="81"/>
      <c r="J2399" s="81"/>
      <c r="K2399" s="81"/>
      <c r="L2399" s="81"/>
      <c r="M2399" s="81"/>
      <c r="N2399" s="81"/>
      <c r="O2399" s="81"/>
      <c r="P2399" s="81"/>
      <c r="Q2399" s="81"/>
      <c r="R2399" s="81"/>
      <c r="S2399" s="81"/>
      <c r="T2399" s="81"/>
      <c r="U2399" s="81"/>
      <c r="V2399" s="94"/>
      <c r="W2399" s="94"/>
    </row>
    <row r="2400" spans="1:23" ht="21" customHeight="1">
      <c r="A2400">
        <f>Table4[[#This Row],[Column1]]</f>
        <v>0</v>
      </c>
      <c r="B2400">
        <f>Table4[[#This Row],[Column2]]</f>
        <v>0</v>
      </c>
      <c r="C2400" s="81"/>
      <c r="D2400" s="81"/>
      <c r="E2400" s="81"/>
      <c r="F2400" s="81"/>
      <c r="G2400" s="81"/>
      <c r="H2400" s="81"/>
      <c r="I2400" s="81"/>
      <c r="J2400" s="81"/>
      <c r="K2400" s="81"/>
      <c r="L2400" s="81"/>
      <c r="M2400" s="81"/>
      <c r="N2400" s="81"/>
      <c r="O2400" s="81"/>
      <c r="P2400" s="81"/>
      <c r="Q2400" s="81"/>
      <c r="R2400" s="81"/>
      <c r="S2400" s="81"/>
      <c r="T2400" s="81"/>
      <c r="U2400" s="81"/>
      <c r="V2400" s="94"/>
      <c r="W2400" s="94"/>
    </row>
    <row r="2401" spans="1:23" ht="21" customHeight="1">
      <c r="A2401">
        <f>Table4[[#This Row],[Column1]]</f>
        <v>0</v>
      </c>
      <c r="B2401">
        <f>Table4[[#This Row],[Column2]]</f>
        <v>0</v>
      </c>
      <c r="C2401" s="81"/>
      <c r="D2401" s="81"/>
      <c r="E2401" s="81"/>
      <c r="F2401" s="81"/>
      <c r="G2401" s="81"/>
      <c r="H2401" s="81"/>
      <c r="I2401" s="81"/>
      <c r="J2401" s="81"/>
      <c r="K2401" s="81"/>
      <c r="L2401" s="81"/>
      <c r="M2401" s="81"/>
      <c r="N2401" s="81"/>
      <c r="O2401" s="81"/>
      <c r="P2401" s="81"/>
      <c r="Q2401" s="81"/>
      <c r="R2401" s="81"/>
      <c r="S2401" s="81"/>
      <c r="T2401" s="81"/>
      <c r="U2401" s="81"/>
      <c r="V2401" s="94"/>
      <c r="W2401" s="94"/>
    </row>
    <row r="2402" spans="1:23" ht="21" customHeight="1">
      <c r="A2402">
        <f>Table4[[#This Row],[Column1]]</f>
        <v>0</v>
      </c>
      <c r="B2402">
        <f>Table4[[#This Row],[Column2]]</f>
        <v>0</v>
      </c>
      <c r="C2402" s="81"/>
      <c r="D2402" s="81"/>
      <c r="E2402" s="81"/>
      <c r="F2402" s="81"/>
      <c r="G2402" s="81"/>
      <c r="H2402" s="81"/>
      <c r="I2402" s="81"/>
      <c r="J2402" s="81"/>
      <c r="K2402" s="81"/>
      <c r="L2402" s="81"/>
      <c r="M2402" s="81"/>
      <c r="N2402" s="81"/>
      <c r="O2402" s="81"/>
      <c r="P2402" s="81"/>
      <c r="Q2402" s="81"/>
      <c r="R2402" s="81"/>
      <c r="S2402" s="81"/>
      <c r="T2402" s="81"/>
      <c r="U2402" s="81"/>
      <c r="V2402" s="94"/>
      <c r="W2402" s="94"/>
    </row>
    <row r="2403" spans="1:23" ht="21" customHeight="1">
      <c r="A2403">
        <f>Table4[[#This Row],[Column1]]</f>
        <v>0</v>
      </c>
      <c r="B2403">
        <f>Table4[[#This Row],[Column2]]</f>
        <v>0</v>
      </c>
      <c r="C2403" s="81"/>
      <c r="D2403" s="81"/>
      <c r="E2403" s="81"/>
      <c r="F2403" s="81"/>
      <c r="G2403" s="81"/>
      <c r="H2403" s="81"/>
      <c r="I2403" s="81"/>
      <c r="J2403" s="81"/>
      <c r="K2403" s="81"/>
      <c r="L2403" s="81"/>
      <c r="M2403" s="81"/>
      <c r="N2403" s="81"/>
      <c r="O2403" s="81"/>
      <c r="P2403" s="81"/>
      <c r="Q2403" s="81"/>
      <c r="R2403" s="81"/>
      <c r="S2403" s="81"/>
      <c r="T2403" s="81"/>
      <c r="U2403" s="81"/>
      <c r="V2403" s="94"/>
      <c r="W2403" s="94"/>
    </row>
    <row r="2404" spans="1:23" ht="21" customHeight="1">
      <c r="A2404">
        <f>Table4[[#This Row],[Column1]]</f>
        <v>0</v>
      </c>
      <c r="B2404">
        <f>Table4[[#This Row],[Column2]]</f>
        <v>0</v>
      </c>
      <c r="C2404" s="81"/>
      <c r="D2404" s="81"/>
      <c r="E2404" s="81"/>
      <c r="F2404" s="81"/>
      <c r="G2404" s="81"/>
      <c r="H2404" s="81"/>
      <c r="I2404" s="81"/>
      <c r="J2404" s="81"/>
      <c r="K2404" s="81"/>
      <c r="L2404" s="81"/>
      <c r="M2404" s="81"/>
      <c r="N2404" s="81"/>
      <c r="O2404" s="81"/>
      <c r="P2404" s="81"/>
      <c r="Q2404" s="81"/>
      <c r="R2404" s="81"/>
      <c r="S2404" s="81"/>
      <c r="T2404" s="81"/>
      <c r="U2404" s="81"/>
      <c r="V2404" s="94"/>
      <c r="W2404" s="94"/>
    </row>
    <row r="2405" spans="1:23" ht="21" customHeight="1">
      <c r="A2405">
        <f>Table4[[#This Row],[Column1]]</f>
        <v>0</v>
      </c>
      <c r="B2405">
        <f>Table4[[#This Row],[Column2]]</f>
        <v>0</v>
      </c>
      <c r="C2405" s="81"/>
      <c r="D2405" s="81"/>
      <c r="E2405" s="81"/>
      <c r="F2405" s="81"/>
      <c r="G2405" s="81"/>
      <c r="H2405" s="81"/>
      <c r="I2405" s="81"/>
      <c r="J2405" s="81"/>
      <c r="K2405" s="81"/>
      <c r="L2405" s="81"/>
      <c r="M2405" s="81"/>
      <c r="N2405" s="81"/>
      <c r="O2405" s="81"/>
      <c r="P2405" s="81"/>
      <c r="Q2405" s="81"/>
      <c r="R2405" s="81"/>
      <c r="S2405" s="81"/>
      <c r="T2405" s="81"/>
      <c r="U2405" s="81"/>
      <c r="V2405" s="94"/>
      <c r="W2405" s="94"/>
    </row>
    <row r="2406" spans="1:23" ht="21" customHeight="1">
      <c r="A2406">
        <f>Table4[[#This Row],[Column1]]</f>
        <v>0</v>
      </c>
      <c r="B2406">
        <f>Table4[[#This Row],[Column2]]</f>
        <v>0</v>
      </c>
      <c r="C2406" s="81"/>
      <c r="D2406" s="81"/>
      <c r="E2406" s="81"/>
      <c r="F2406" s="81"/>
      <c r="G2406" s="81"/>
      <c r="H2406" s="81"/>
      <c r="I2406" s="81"/>
      <c r="J2406" s="81"/>
      <c r="K2406" s="81"/>
      <c r="L2406" s="81"/>
      <c r="M2406" s="81"/>
      <c r="N2406" s="81"/>
      <c r="O2406" s="81"/>
      <c r="P2406" s="81"/>
      <c r="Q2406" s="81"/>
      <c r="R2406" s="81"/>
      <c r="S2406" s="81"/>
      <c r="T2406" s="81"/>
      <c r="U2406" s="81"/>
      <c r="V2406" s="94"/>
      <c r="W2406" s="94"/>
    </row>
    <row r="2407" spans="1:23" ht="21" customHeight="1">
      <c r="A2407">
        <f>Table4[[#This Row],[Column1]]</f>
        <v>0</v>
      </c>
      <c r="B2407">
        <f>Table4[[#This Row],[Column2]]</f>
        <v>0</v>
      </c>
      <c r="C2407" s="81"/>
      <c r="D2407" s="81"/>
      <c r="E2407" s="81"/>
      <c r="F2407" s="81"/>
      <c r="G2407" s="81"/>
      <c r="H2407" s="81"/>
      <c r="I2407" s="81"/>
      <c r="J2407" s="81"/>
      <c r="K2407" s="81"/>
      <c r="L2407" s="81"/>
      <c r="M2407" s="81"/>
      <c r="N2407" s="81"/>
      <c r="O2407" s="81"/>
      <c r="P2407" s="81"/>
      <c r="Q2407" s="81"/>
      <c r="R2407" s="81"/>
      <c r="S2407" s="81"/>
      <c r="T2407" s="81"/>
      <c r="U2407" s="81"/>
      <c r="V2407" s="94"/>
      <c r="W2407" s="94"/>
    </row>
    <row r="2408" spans="1:23" ht="21" customHeight="1">
      <c r="A2408">
        <f>Table4[[#This Row],[Column1]]</f>
        <v>0</v>
      </c>
      <c r="B2408">
        <f>Table4[[#This Row],[Column2]]</f>
        <v>0</v>
      </c>
      <c r="C2408" s="81"/>
      <c r="D2408" s="81"/>
      <c r="E2408" s="81"/>
      <c r="F2408" s="81"/>
      <c r="G2408" s="81"/>
      <c r="H2408" s="81"/>
      <c r="I2408" s="81"/>
      <c r="J2408" s="81"/>
      <c r="K2408" s="81"/>
      <c r="L2408" s="81"/>
      <c r="M2408" s="81"/>
      <c r="N2408" s="81"/>
      <c r="O2408" s="81"/>
      <c r="P2408" s="81"/>
      <c r="Q2408" s="81"/>
      <c r="R2408" s="81"/>
      <c r="S2408" s="81"/>
      <c r="T2408" s="81"/>
      <c r="U2408" s="81"/>
      <c r="V2408" s="94"/>
      <c r="W2408" s="94"/>
    </row>
    <row r="2409" spans="1:23" ht="21" customHeight="1">
      <c r="A2409">
        <f>Table4[[#This Row],[Column1]]</f>
        <v>0</v>
      </c>
      <c r="B2409">
        <f>Table4[[#This Row],[Column2]]</f>
        <v>0</v>
      </c>
      <c r="C2409" s="81"/>
      <c r="D2409" s="81"/>
      <c r="E2409" s="81"/>
      <c r="F2409" s="81"/>
      <c r="G2409" s="81"/>
      <c r="H2409" s="81"/>
      <c r="I2409" s="81"/>
      <c r="J2409" s="81"/>
      <c r="K2409" s="81"/>
      <c r="L2409" s="81"/>
      <c r="M2409" s="81"/>
      <c r="N2409" s="81"/>
      <c r="O2409" s="81"/>
      <c r="P2409" s="81"/>
      <c r="Q2409" s="81"/>
      <c r="R2409" s="81"/>
      <c r="S2409" s="81"/>
      <c r="T2409" s="81"/>
      <c r="U2409" s="81"/>
      <c r="V2409" s="94"/>
      <c r="W2409" s="94"/>
    </row>
    <row r="2410" spans="1:23" ht="21" customHeight="1">
      <c r="A2410">
        <f>Table4[[#This Row],[Column1]]</f>
        <v>0</v>
      </c>
      <c r="B2410">
        <f>Table4[[#This Row],[Column2]]</f>
        <v>0</v>
      </c>
      <c r="C2410" s="81"/>
      <c r="D2410" s="81"/>
      <c r="E2410" s="81"/>
      <c r="F2410" s="81"/>
      <c r="G2410" s="81"/>
      <c r="H2410" s="81"/>
      <c r="I2410" s="81"/>
      <c r="J2410" s="81"/>
      <c r="K2410" s="81"/>
      <c r="L2410" s="81"/>
      <c r="M2410" s="81"/>
      <c r="N2410" s="81"/>
      <c r="O2410" s="81"/>
      <c r="P2410" s="81"/>
      <c r="Q2410" s="81"/>
      <c r="R2410" s="81"/>
      <c r="S2410" s="81"/>
      <c r="T2410" s="81"/>
      <c r="U2410" s="81"/>
      <c r="V2410" s="94"/>
      <c r="W2410" s="94"/>
    </row>
    <row r="2411" spans="1:23" ht="21" customHeight="1">
      <c r="A2411">
        <f>Table4[[#This Row],[Column1]]</f>
        <v>0</v>
      </c>
      <c r="B2411">
        <f>Table4[[#This Row],[Column2]]</f>
        <v>0</v>
      </c>
      <c r="C2411" s="81"/>
      <c r="D2411" s="81"/>
      <c r="E2411" s="81"/>
      <c r="F2411" s="81"/>
      <c r="G2411" s="81"/>
      <c r="H2411" s="81"/>
      <c r="I2411" s="81"/>
      <c r="J2411" s="81"/>
      <c r="K2411" s="81"/>
      <c r="L2411" s="81"/>
      <c r="M2411" s="81"/>
      <c r="N2411" s="81"/>
      <c r="O2411" s="81"/>
      <c r="P2411" s="81"/>
      <c r="Q2411" s="81"/>
      <c r="R2411" s="81"/>
      <c r="S2411" s="81"/>
      <c r="T2411" s="81"/>
      <c r="U2411" s="81"/>
      <c r="V2411" s="94"/>
      <c r="W2411" s="94"/>
    </row>
    <row r="2412" spans="1:23" ht="21" customHeight="1">
      <c r="A2412">
        <f>Table4[[#This Row],[Column1]]</f>
        <v>0</v>
      </c>
      <c r="B2412">
        <f>Table4[[#This Row],[Column2]]</f>
        <v>0</v>
      </c>
      <c r="C2412" s="81"/>
      <c r="D2412" s="81"/>
      <c r="E2412" s="81"/>
      <c r="F2412" s="81"/>
      <c r="G2412" s="81"/>
      <c r="H2412" s="81"/>
      <c r="I2412" s="81"/>
      <c r="J2412" s="81"/>
      <c r="K2412" s="81"/>
      <c r="L2412" s="81"/>
      <c r="M2412" s="81"/>
      <c r="N2412" s="81"/>
      <c r="O2412" s="81"/>
      <c r="P2412" s="81"/>
      <c r="Q2412" s="81"/>
      <c r="R2412" s="81"/>
      <c r="S2412" s="81"/>
      <c r="T2412" s="81"/>
      <c r="U2412" s="81"/>
      <c r="V2412" s="94"/>
      <c r="W2412" s="94"/>
    </row>
    <row r="2413" spans="1:23" ht="21" customHeight="1">
      <c r="A2413">
        <f>Table4[[#This Row],[Column1]]</f>
        <v>0</v>
      </c>
      <c r="B2413">
        <f>Table4[[#This Row],[Column2]]</f>
        <v>0</v>
      </c>
      <c r="C2413" s="81"/>
      <c r="D2413" s="81"/>
      <c r="E2413" s="81"/>
      <c r="F2413" s="81"/>
      <c r="G2413" s="81"/>
      <c r="H2413" s="81"/>
      <c r="I2413" s="81"/>
      <c r="J2413" s="81"/>
      <c r="K2413" s="81"/>
      <c r="L2413" s="81"/>
      <c r="M2413" s="81"/>
      <c r="N2413" s="81"/>
      <c r="O2413" s="81"/>
      <c r="P2413" s="81"/>
      <c r="Q2413" s="81"/>
      <c r="R2413" s="81"/>
      <c r="S2413" s="81"/>
      <c r="T2413" s="81"/>
      <c r="U2413" s="81"/>
      <c r="V2413" s="94"/>
      <c r="W2413" s="94"/>
    </row>
    <row r="2414" spans="1:23" ht="21" customHeight="1">
      <c r="A2414">
        <f>Table4[[#This Row],[Column1]]</f>
        <v>0</v>
      </c>
      <c r="B2414">
        <f>Table4[[#This Row],[Column2]]</f>
        <v>0</v>
      </c>
      <c r="C2414" s="81"/>
      <c r="D2414" s="81"/>
      <c r="E2414" s="81"/>
      <c r="F2414" s="81"/>
      <c r="G2414" s="81"/>
      <c r="H2414" s="81"/>
      <c r="I2414" s="81"/>
      <c r="J2414" s="81"/>
      <c r="K2414" s="81"/>
      <c r="L2414" s="81"/>
      <c r="M2414" s="81"/>
      <c r="N2414" s="81"/>
      <c r="O2414" s="81"/>
      <c r="P2414" s="81"/>
      <c r="Q2414" s="81"/>
      <c r="R2414" s="81"/>
      <c r="S2414" s="81"/>
      <c r="T2414" s="81"/>
      <c r="U2414" s="81"/>
      <c r="V2414" s="94"/>
      <c r="W2414" s="94"/>
    </row>
    <row r="2415" spans="1:23" ht="21" customHeight="1">
      <c r="A2415">
        <f>Table4[[#This Row],[Column1]]</f>
        <v>0</v>
      </c>
      <c r="B2415">
        <f>Table4[[#This Row],[Column2]]</f>
        <v>0</v>
      </c>
      <c r="C2415" s="81"/>
      <c r="D2415" s="81"/>
      <c r="E2415" s="81"/>
      <c r="F2415" s="81"/>
      <c r="G2415" s="81"/>
      <c r="H2415" s="81"/>
      <c r="I2415" s="81"/>
      <c r="J2415" s="81"/>
      <c r="K2415" s="81"/>
      <c r="L2415" s="81"/>
      <c r="M2415" s="81"/>
      <c r="N2415" s="81"/>
      <c r="O2415" s="81"/>
      <c r="P2415" s="81"/>
      <c r="Q2415" s="81"/>
      <c r="R2415" s="81"/>
      <c r="S2415" s="81"/>
      <c r="T2415" s="81"/>
      <c r="U2415" s="81"/>
      <c r="V2415" s="94"/>
      <c r="W2415" s="94"/>
    </row>
    <row r="2416" spans="1:23" ht="21" customHeight="1">
      <c r="A2416">
        <f>Table4[[#This Row],[Column1]]</f>
        <v>0</v>
      </c>
      <c r="B2416">
        <f>Table4[[#This Row],[Column2]]</f>
        <v>0</v>
      </c>
      <c r="C2416" s="81"/>
      <c r="D2416" s="81"/>
      <c r="E2416" s="81"/>
      <c r="F2416" s="81"/>
      <c r="G2416" s="81"/>
      <c r="H2416" s="81"/>
      <c r="I2416" s="81"/>
      <c r="J2416" s="81"/>
      <c r="K2416" s="81"/>
      <c r="L2416" s="81"/>
      <c r="M2416" s="81"/>
      <c r="N2416" s="81"/>
      <c r="O2416" s="81"/>
      <c r="P2416" s="81"/>
      <c r="Q2416" s="81"/>
      <c r="R2416" s="81"/>
      <c r="S2416" s="81"/>
      <c r="T2416" s="81"/>
      <c r="U2416" s="81"/>
      <c r="V2416" s="94"/>
      <c r="W2416" s="94"/>
    </row>
    <row r="2417" spans="1:23" ht="21" customHeight="1">
      <c r="A2417">
        <f>Table4[[#This Row],[Column1]]</f>
        <v>0</v>
      </c>
      <c r="B2417">
        <f>Table4[[#This Row],[Column2]]</f>
        <v>0</v>
      </c>
      <c r="C2417" s="81"/>
      <c r="D2417" s="81"/>
      <c r="E2417" s="81"/>
      <c r="F2417" s="81"/>
      <c r="G2417" s="81"/>
      <c r="H2417" s="81"/>
      <c r="I2417" s="81"/>
      <c r="J2417" s="81"/>
      <c r="K2417" s="81"/>
      <c r="L2417" s="81"/>
      <c r="M2417" s="81"/>
      <c r="N2417" s="81"/>
      <c r="O2417" s="81"/>
      <c r="P2417" s="81"/>
      <c r="Q2417" s="81"/>
      <c r="R2417" s="81"/>
      <c r="S2417" s="81"/>
      <c r="T2417" s="81"/>
      <c r="U2417" s="81"/>
      <c r="V2417" s="94"/>
      <c r="W2417" s="94"/>
    </row>
    <row r="2418" spans="1:23" ht="21" customHeight="1">
      <c r="A2418">
        <f>Table4[[#This Row],[Column1]]</f>
        <v>0</v>
      </c>
      <c r="B2418">
        <f>Table4[[#This Row],[Column2]]</f>
        <v>0</v>
      </c>
      <c r="C2418" s="81"/>
      <c r="D2418" s="81"/>
      <c r="E2418" s="81"/>
      <c r="F2418" s="81"/>
      <c r="G2418" s="81"/>
      <c r="H2418" s="81"/>
      <c r="I2418" s="81"/>
      <c r="J2418" s="81"/>
      <c r="K2418" s="81"/>
      <c r="L2418" s="81"/>
      <c r="M2418" s="81"/>
      <c r="N2418" s="81"/>
      <c r="O2418" s="81"/>
      <c r="P2418" s="81"/>
      <c r="Q2418" s="81"/>
      <c r="R2418" s="81"/>
      <c r="S2418" s="81"/>
      <c r="T2418" s="81"/>
      <c r="U2418" s="81"/>
      <c r="V2418" s="94"/>
      <c r="W2418" s="94"/>
    </row>
    <row r="2419" spans="1:23" ht="21" customHeight="1">
      <c r="A2419">
        <f>Table4[[#This Row],[Column1]]</f>
        <v>0</v>
      </c>
      <c r="B2419">
        <f>Table4[[#This Row],[Column2]]</f>
        <v>0</v>
      </c>
      <c r="C2419" s="81"/>
      <c r="D2419" s="81"/>
      <c r="E2419" s="81"/>
      <c r="F2419" s="81"/>
      <c r="G2419" s="81"/>
      <c r="H2419" s="81"/>
      <c r="I2419" s="81"/>
      <c r="J2419" s="81"/>
      <c r="K2419" s="81"/>
      <c r="L2419" s="81"/>
      <c r="M2419" s="81"/>
      <c r="N2419" s="81"/>
      <c r="O2419" s="81"/>
      <c r="P2419" s="81"/>
      <c r="Q2419" s="81"/>
      <c r="R2419" s="81"/>
      <c r="S2419" s="81"/>
      <c r="T2419" s="81"/>
      <c r="U2419" s="81"/>
      <c r="V2419" s="94"/>
      <c r="W2419" s="94"/>
    </row>
    <row r="2420" spans="1:23" ht="21" customHeight="1">
      <c r="A2420">
        <f>Table4[[#This Row],[Column1]]</f>
        <v>0</v>
      </c>
      <c r="B2420">
        <f>Table4[[#This Row],[Column2]]</f>
        <v>0</v>
      </c>
      <c r="C2420" s="81"/>
      <c r="D2420" s="81"/>
      <c r="E2420" s="81"/>
      <c r="F2420" s="81"/>
      <c r="G2420" s="81"/>
      <c r="H2420" s="81"/>
      <c r="I2420" s="81"/>
      <c r="J2420" s="81"/>
      <c r="K2420" s="81"/>
      <c r="L2420" s="81"/>
      <c r="M2420" s="81"/>
      <c r="N2420" s="81"/>
      <c r="O2420" s="81"/>
      <c r="P2420" s="81"/>
      <c r="Q2420" s="81"/>
      <c r="R2420" s="81"/>
      <c r="S2420" s="81"/>
      <c r="T2420" s="81"/>
      <c r="U2420" s="81"/>
      <c r="V2420" s="94"/>
      <c r="W2420" s="94"/>
    </row>
    <row r="2421" spans="1:23" ht="21" customHeight="1">
      <c r="A2421">
        <f>Table4[[#This Row],[Column1]]</f>
        <v>0</v>
      </c>
      <c r="B2421">
        <f>Table4[[#This Row],[Column2]]</f>
        <v>0</v>
      </c>
      <c r="C2421" s="81"/>
      <c r="D2421" s="81"/>
      <c r="E2421" s="81"/>
      <c r="F2421" s="81"/>
      <c r="G2421" s="81"/>
      <c r="H2421" s="81"/>
      <c r="I2421" s="81"/>
      <c r="J2421" s="81"/>
      <c r="K2421" s="81"/>
      <c r="L2421" s="81"/>
      <c r="M2421" s="81"/>
      <c r="N2421" s="81"/>
      <c r="O2421" s="81"/>
      <c r="P2421" s="81"/>
      <c r="Q2421" s="81"/>
      <c r="R2421" s="81"/>
      <c r="S2421" s="81"/>
      <c r="T2421" s="81"/>
      <c r="U2421" s="81"/>
      <c r="V2421" s="94"/>
      <c r="W2421" s="94"/>
    </row>
    <row r="2422" spans="1:23" ht="21" customHeight="1">
      <c r="A2422">
        <f>Table4[[#This Row],[Column1]]</f>
        <v>0</v>
      </c>
      <c r="B2422">
        <f>Table4[[#This Row],[Column2]]</f>
        <v>0</v>
      </c>
      <c r="C2422" s="81"/>
      <c r="D2422" s="81"/>
      <c r="E2422" s="81"/>
      <c r="F2422" s="81"/>
      <c r="G2422" s="81"/>
      <c r="H2422" s="81"/>
      <c r="I2422" s="81"/>
      <c r="J2422" s="81"/>
      <c r="K2422" s="81"/>
      <c r="L2422" s="81"/>
      <c r="M2422" s="81"/>
      <c r="N2422" s="81"/>
      <c r="O2422" s="81"/>
      <c r="P2422" s="81"/>
      <c r="Q2422" s="81"/>
      <c r="R2422" s="81"/>
      <c r="S2422" s="81"/>
      <c r="T2422" s="81"/>
      <c r="U2422" s="81"/>
      <c r="V2422" s="94"/>
      <c r="W2422" s="94"/>
    </row>
    <row r="2423" spans="1:23" ht="21" customHeight="1">
      <c r="A2423">
        <f>Table4[[#This Row],[Column1]]</f>
        <v>0</v>
      </c>
      <c r="B2423">
        <f>Table4[[#This Row],[Column2]]</f>
        <v>0</v>
      </c>
      <c r="C2423" s="81"/>
      <c r="D2423" s="81"/>
      <c r="E2423" s="81"/>
      <c r="F2423" s="81"/>
      <c r="G2423" s="81"/>
      <c r="H2423" s="81"/>
      <c r="I2423" s="81"/>
      <c r="J2423" s="81"/>
      <c r="K2423" s="81"/>
      <c r="L2423" s="81"/>
      <c r="M2423" s="81"/>
      <c r="N2423" s="81"/>
      <c r="O2423" s="81"/>
      <c r="P2423" s="81"/>
      <c r="Q2423" s="81"/>
      <c r="R2423" s="81"/>
      <c r="S2423" s="81"/>
      <c r="T2423" s="81"/>
      <c r="U2423" s="81"/>
      <c r="V2423" s="94"/>
      <c r="W2423" s="94"/>
    </row>
    <row r="2424" spans="1:23" ht="21" customHeight="1">
      <c r="A2424">
        <f>Table4[[#This Row],[Column1]]</f>
        <v>0</v>
      </c>
      <c r="B2424">
        <f>Table4[[#This Row],[Column2]]</f>
        <v>0</v>
      </c>
      <c r="C2424" s="81"/>
      <c r="D2424" s="81"/>
      <c r="E2424" s="81"/>
      <c r="F2424" s="81"/>
      <c r="G2424" s="81"/>
      <c r="H2424" s="81"/>
      <c r="I2424" s="81"/>
      <c r="J2424" s="81"/>
      <c r="K2424" s="81"/>
      <c r="L2424" s="81"/>
      <c r="M2424" s="81"/>
      <c r="N2424" s="81"/>
      <c r="O2424" s="81"/>
      <c r="P2424" s="81"/>
      <c r="Q2424" s="81"/>
      <c r="R2424" s="81"/>
      <c r="S2424" s="81"/>
      <c r="T2424" s="81"/>
      <c r="U2424" s="81"/>
      <c r="V2424" s="94"/>
      <c r="W2424" s="94"/>
    </row>
    <row r="2425" spans="1:23" ht="21" customHeight="1">
      <c r="A2425">
        <f>Table4[[#This Row],[Column1]]</f>
        <v>0</v>
      </c>
      <c r="B2425">
        <f>Table4[[#This Row],[Column2]]</f>
        <v>0</v>
      </c>
      <c r="C2425" s="81"/>
      <c r="D2425" s="81"/>
      <c r="E2425" s="81"/>
      <c r="F2425" s="81"/>
      <c r="G2425" s="81"/>
      <c r="H2425" s="81"/>
      <c r="I2425" s="81"/>
      <c r="J2425" s="81"/>
      <c r="K2425" s="81"/>
      <c r="L2425" s="81"/>
      <c r="M2425" s="81"/>
      <c r="N2425" s="81"/>
      <c r="O2425" s="81"/>
      <c r="P2425" s="81"/>
      <c r="Q2425" s="81"/>
      <c r="R2425" s="81"/>
      <c r="S2425" s="81"/>
      <c r="T2425" s="81"/>
      <c r="U2425" s="81"/>
      <c r="V2425" s="94"/>
      <c r="W2425" s="94"/>
    </row>
    <row r="2426" spans="1:23" ht="21" customHeight="1">
      <c r="A2426">
        <f>Table4[[#This Row],[Column1]]</f>
        <v>0</v>
      </c>
      <c r="B2426">
        <f>Table4[[#This Row],[Column2]]</f>
        <v>0</v>
      </c>
      <c r="C2426" s="81"/>
      <c r="D2426" s="81"/>
      <c r="E2426" s="81"/>
      <c r="F2426" s="81"/>
      <c r="G2426" s="81"/>
      <c r="H2426" s="81"/>
      <c r="I2426" s="81"/>
      <c r="J2426" s="81"/>
      <c r="K2426" s="81"/>
      <c r="L2426" s="81"/>
      <c r="M2426" s="81"/>
      <c r="N2426" s="81"/>
      <c r="O2426" s="81"/>
      <c r="P2426" s="81"/>
      <c r="Q2426" s="81"/>
      <c r="R2426" s="81"/>
      <c r="S2426" s="81"/>
      <c r="T2426" s="81"/>
      <c r="U2426" s="81"/>
      <c r="V2426" s="94"/>
      <c r="W2426" s="94"/>
    </row>
    <row r="2427" spans="1:23" ht="21" customHeight="1">
      <c r="A2427">
        <f>Table4[[#This Row],[Column1]]</f>
        <v>0</v>
      </c>
      <c r="B2427">
        <f>Table4[[#This Row],[Column2]]</f>
        <v>0</v>
      </c>
      <c r="C2427" s="81"/>
      <c r="D2427" s="81"/>
      <c r="E2427" s="81"/>
      <c r="F2427" s="81"/>
      <c r="G2427" s="81"/>
      <c r="H2427" s="81"/>
      <c r="I2427" s="81"/>
      <c r="J2427" s="81"/>
      <c r="K2427" s="81"/>
      <c r="L2427" s="81"/>
      <c r="M2427" s="81"/>
      <c r="N2427" s="81"/>
      <c r="O2427" s="81"/>
      <c r="P2427" s="81"/>
      <c r="Q2427" s="81"/>
      <c r="R2427" s="81"/>
      <c r="S2427" s="81"/>
      <c r="T2427" s="81"/>
      <c r="U2427" s="81"/>
      <c r="V2427" s="94"/>
      <c r="W2427" s="94"/>
    </row>
    <row r="2428" spans="1:23" ht="21" customHeight="1">
      <c r="A2428">
        <f>Table4[[#This Row],[Column1]]</f>
        <v>0</v>
      </c>
      <c r="B2428">
        <f>Table4[[#This Row],[Column2]]</f>
        <v>0</v>
      </c>
      <c r="C2428" s="81"/>
      <c r="D2428" s="81"/>
      <c r="E2428" s="81"/>
      <c r="F2428" s="81"/>
      <c r="G2428" s="81"/>
      <c r="H2428" s="81"/>
      <c r="I2428" s="81"/>
      <c r="J2428" s="81"/>
      <c r="K2428" s="81"/>
      <c r="L2428" s="81"/>
      <c r="M2428" s="81"/>
      <c r="N2428" s="81"/>
      <c r="O2428" s="81"/>
      <c r="P2428" s="81"/>
      <c r="Q2428" s="81"/>
      <c r="R2428" s="81"/>
      <c r="S2428" s="81"/>
      <c r="T2428" s="81"/>
      <c r="U2428" s="81"/>
      <c r="V2428" s="94"/>
      <c r="W2428" s="94"/>
    </row>
    <row r="2429" spans="1:23" ht="21" customHeight="1">
      <c r="A2429">
        <f>Table4[[#This Row],[Column1]]</f>
        <v>0</v>
      </c>
      <c r="B2429">
        <f>Table4[[#This Row],[Column2]]</f>
        <v>0</v>
      </c>
      <c r="C2429" s="81"/>
      <c r="D2429" s="81"/>
      <c r="E2429" s="81"/>
      <c r="F2429" s="81"/>
      <c r="G2429" s="81"/>
      <c r="H2429" s="81"/>
      <c r="I2429" s="81"/>
      <c r="J2429" s="81"/>
      <c r="K2429" s="81"/>
      <c r="L2429" s="81"/>
      <c r="M2429" s="81"/>
      <c r="N2429" s="81"/>
      <c r="O2429" s="81"/>
      <c r="P2429" s="81"/>
      <c r="Q2429" s="81"/>
      <c r="R2429" s="81"/>
      <c r="S2429" s="81"/>
      <c r="T2429" s="81"/>
      <c r="U2429" s="81"/>
      <c r="V2429" s="94"/>
      <c r="W2429" s="94"/>
    </row>
    <row r="2430" spans="1:23" ht="21" customHeight="1">
      <c r="A2430">
        <f>Table4[[#This Row],[Column1]]</f>
        <v>0</v>
      </c>
      <c r="B2430">
        <f>Table4[[#This Row],[Column2]]</f>
        <v>0</v>
      </c>
      <c r="C2430" s="81"/>
      <c r="D2430" s="81"/>
      <c r="E2430" s="81"/>
      <c r="F2430" s="81"/>
      <c r="G2430" s="81"/>
      <c r="H2430" s="81"/>
      <c r="I2430" s="81"/>
      <c r="J2430" s="81"/>
      <c r="K2430" s="81"/>
      <c r="L2430" s="81"/>
      <c r="M2430" s="81"/>
      <c r="N2430" s="81"/>
      <c r="O2430" s="81"/>
      <c r="P2430" s="81"/>
      <c r="Q2430" s="81"/>
      <c r="R2430" s="81"/>
      <c r="S2430" s="81"/>
      <c r="T2430" s="81"/>
      <c r="U2430" s="81"/>
      <c r="V2430" s="94"/>
      <c r="W2430" s="94"/>
    </row>
    <row r="2431" spans="1:23" ht="21" customHeight="1">
      <c r="A2431">
        <f>Table4[[#This Row],[Column1]]</f>
        <v>0</v>
      </c>
      <c r="B2431">
        <f>Table4[[#This Row],[Column2]]</f>
        <v>0</v>
      </c>
      <c r="C2431" s="81"/>
      <c r="D2431" s="81"/>
      <c r="E2431" s="81"/>
      <c r="F2431" s="81"/>
      <c r="G2431" s="81"/>
      <c r="H2431" s="81"/>
      <c r="I2431" s="81"/>
      <c r="J2431" s="81"/>
      <c r="K2431" s="81"/>
      <c r="L2431" s="81"/>
      <c r="M2431" s="81"/>
      <c r="N2431" s="81"/>
      <c r="O2431" s="81"/>
      <c r="P2431" s="81"/>
      <c r="Q2431" s="81"/>
      <c r="R2431" s="81"/>
      <c r="S2431" s="81"/>
      <c r="T2431" s="81"/>
      <c r="U2431" s="81"/>
      <c r="V2431" s="94"/>
      <c r="W2431" s="94"/>
    </row>
    <row r="2432" spans="1:23" ht="21" customHeight="1">
      <c r="A2432">
        <f>Table4[[#This Row],[Column1]]</f>
        <v>0</v>
      </c>
      <c r="B2432">
        <f>Table4[[#This Row],[Column2]]</f>
        <v>0</v>
      </c>
      <c r="C2432" s="81"/>
      <c r="D2432" s="81"/>
      <c r="E2432" s="81"/>
      <c r="F2432" s="81"/>
      <c r="G2432" s="81"/>
      <c r="H2432" s="81"/>
      <c r="I2432" s="81"/>
      <c r="J2432" s="81"/>
      <c r="K2432" s="81"/>
      <c r="L2432" s="81"/>
      <c r="M2432" s="81"/>
      <c r="N2432" s="81"/>
      <c r="O2432" s="81"/>
      <c r="P2432" s="81"/>
      <c r="Q2432" s="81"/>
      <c r="R2432" s="81"/>
      <c r="S2432" s="81"/>
      <c r="T2432" s="81"/>
      <c r="U2432" s="81"/>
      <c r="V2432" s="94"/>
      <c r="W2432" s="94"/>
    </row>
    <row r="2433" spans="1:23" ht="21" customHeight="1">
      <c r="A2433">
        <f>Table4[[#This Row],[Column1]]</f>
        <v>0</v>
      </c>
      <c r="B2433">
        <f>Table4[[#This Row],[Column2]]</f>
        <v>0</v>
      </c>
      <c r="C2433" s="81"/>
      <c r="D2433" s="81"/>
      <c r="E2433" s="81"/>
      <c r="F2433" s="81"/>
      <c r="G2433" s="81"/>
      <c r="H2433" s="81"/>
      <c r="I2433" s="81"/>
      <c r="J2433" s="81"/>
      <c r="K2433" s="81"/>
      <c r="L2433" s="81"/>
      <c r="M2433" s="81"/>
      <c r="N2433" s="81"/>
      <c r="O2433" s="81"/>
      <c r="P2433" s="81"/>
      <c r="Q2433" s="81"/>
      <c r="R2433" s="81"/>
      <c r="S2433" s="81"/>
      <c r="T2433" s="81"/>
      <c r="U2433" s="81"/>
      <c r="V2433" s="94"/>
      <c r="W2433" s="94"/>
    </row>
    <row r="2434" spans="1:23" ht="21" customHeight="1">
      <c r="A2434">
        <f>Table4[[#This Row],[Column1]]</f>
        <v>0</v>
      </c>
      <c r="B2434">
        <f>Table4[[#This Row],[Column2]]</f>
        <v>0</v>
      </c>
      <c r="C2434" s="81"/>
      <c r="D2434" s="81"/>
      <c r="E2434" s="81"/>
      <c r="F2434" s="81"/>
      <c r="G2434" s="81"/>
      <c r="H2434" s="81"/>
      <c r="I2434" s="81"/>
      <c r="J2434" s="81"/>
      <c r="K2434" s="81"/>
      <c r="L2434" s="81"/>
      <c r="M2434" s="81"/>
      <c r="N2434" s="81"/>
      <c r="O2434" s="81"/>
      <c r="P2434" s="81"/>
      <c r="Q2434" s="81"/>
      <c r="R2434" s="81"/>
      <c r="S2434" s="81"/>
      <c r="T2434" s="81"/>
      <c r="U2434" s="81"/>
      <c r="V2434" s="94"/>
      <c r="W2434" s="94"/>
    </row>
    <row r="2435" spans="1:23" ht="21" customHeight="1">
      <c r="A2435">
        <f>Table4[[#This Row],[Column1]]</f>
        <v>0</v>
      </c>
      <c r="B2435">
        <f>Table4[[#This Row],[Column2]]</f>
        <v>0</v>
      </c>
      <c r="C2435" s="81"/>
      <c r="D2435" s="81"/>
      <c r="E2435" s="81"/>
      <c r="F2435" s="81"/>
      <c r="G2435" s="81"/>
      <c r="H2435" s="81"/>
      <c r="I2435" s="81"/>
      <c r="J2435" s="81"/>
      <c r="K2435" s="81"/>
      <c r="L2435" s="81"/>
      <c r="M2435" s="81"/>
      <c r="N2435" s="81"/>
      <c r="O2435" s="81"/>
      <c r="P2435" s="81"/>
      <c r="Q2435" s="81"/>
      <c r="R2435" s="81"/>
      <c r="S2435" s="81"/>
      <c r="T2435" s="81"/>
      <c r="U2435" s="81"/>
      <c r="V2435" s="94"/>
      <c r="W2435" s="94"/>
    </row>
    <row r="2436" spans="1:23" ht="21" customHeight="1">
      <c r="A2436">
        <f>Table4[[#This Row],[Column1]]</f>
        <v>0</v>
      </c>
      <c r="B2436">
        <f>Table4[[#This Row],[Column2]]</f>
        <v>0</v>
      </c>
      <c r="C2436" s="81"/>
      <c r="D2436" s="81"/>
      <c r="E2436" s="81"/>
      <c r="F2436" s="81"/>
      <c r="G2436" s="81"/>
      <c r="H2436" s="81"/>
      <c r="I2436" s="81"/>
      <c r="J2436" s="81"/>
      <c r="K2436" s="81"/>
      <c r="L2436" s="81"/>
      <c r="M2436" s="81"/>
      <c r="N2436" s="81"/>
      <c r="O2436" s="81"/>
      <c r="P2436" s="81"/>
      <c r="Q2436" s="81"/>
      <c r="R2436" s="81"/>
      <c r="S2436" s="81"/>
      <c r="T2436" s="81"/>
      <c r="U2436" s="81"/>
      <c r="V2436" s="94"/>
      <c r="W2436" s="94"/>
    </row>
    <row r="2437" spans="1:23" ht="21" customHeight="1">
      <c r="A2437">
        <f>Table4[[#This Row],[Column1]]</f>
        <v>0</v>
      </c>
      <c r="B2437">
        <f>Table4[[#This Row],[Column2]]</f>
        <v>0</v>
      </c>
      <c r="C2437" s="81"/>
      <c r="D2437" s="81"/>
      <c r="E2437" s="81"/>
      <c r="F2437" s="81"/>
      <c r="G2437" s="81"/>
      <c r="H2437" s="81"/>
      <c r="I2437" s="81"/>
      <c r="J2437" s="81"/>
      <c r="K2437" s="81"/>
      <c r="L2437" s="81"/>
      <c r="M2437" s="81"/>
      <c r="N2437" s="81"/>
      <c r="O2437" s="81"/>
      <c r="P2437" s="81"/>
      <c r="Q2437" s="81"/>
      <c r="R2437" s="81"/>
      <c r="S2437" s="81"/>
      <c r="T2437" s="81"/>
      <c r="U2437" s="81"/>
      <c r="V2437" s="94"/>
      <c r="W2437" s="94"/>
    </row>
    <row r="2438" spans="1:23" ht="21" customHeight="1">
      <c r="A2438">
        <f>Table4[[#This Row],[Column1]]</f>
        <v>0</v>
      </c>
      <c r="B2438">
        <f>Table4[[#This Row],[Column2]]</f>
        <v>0</v>
      </c>
      <c r="C2438" s="81"/>
      <c r="D2438" s="81"/>
      <c r="E2438" s="81"/>
      <c r="F2438" s="81"/>
      <c r="G2438" s="81"/>
      <c r="H2438" s="81"/>
      <c r="I2438" s="81"/>
      <c r="J2438" s="81"/>
      <c r="K2438" s="81"/>
      <c r="L2438" s="81"/>
      <c r="M2438" s="81"/>
      <c r="N2438" s="81"/>
      <c r="O2438" s="81"/>
      <c r="P2438" s="81"/>
      <c r="Q2438" s="81"/>
      <c r="R2438" s="81"/>
      <c r="S2438" s="81"/>
      <c r="T2438" s="81"/>
      <c r="U2438" s="81"/>
      <c r="V2438" s="94"/>
      <c r="W2438" s="94"/>
    </row>
    <row r="2439" spans="1:23" ht="21" customHeight="1">
      <c r="A2439">
        <f>Table4[[#This Row],[Column1]]</f>
        <v>0</v>
      </c>
      <c r="B2439">
        <f>Table4[[#This Row],[Column2]]</f>
        <v>0</v>
      </c>
      <c r="C2439" s="81"/>
      <c r="D2439" s="81"/>
      <c r="E2439" s="81"/>
      <c r="F2439" s="81"/>
      <c r="G2439" s="81"/>
      <c r="H2439" s="81"/>
      <c r="I2439" s="81"/>
      <c r="J2439" s="81"/>
      <c r="K2439" s="81"/>
      <c r="L2439" s="81"/>
      <c r="M2439" s="81"/>
      <c r="N2439" s="81"/>
      <c r="O2439" s="81"/>
      <c r="P2439" s="81"/>
      <c r="Q2439" s="81"/>
      <c r="R2439" s="81"/>
      <c r="S2439" s="81"/>
      <c r="T2439" s="81"/>
      <c r="U2439" s="81"/>
      <c r="V2439" s="94"/>
      <c r="W2439" s="94"/>
    </row>
    <row r="2440" spans="1:23" ht="21" customHeight="1">
      <c r="A2440">
        <f>Table4[[#This Row],[Column1]]</f>
        <v>0</v>
      </c>
      <c r="B2440">
        <f>Table4[[#This Row],[Column2]]</f>
        <v>0</v>
      </c>
      <c r="C2440" s="81"/>
      <c r="D2440" s="81"/>
      <c r="E2440" s="81"/>
      <c r="F2440" s="81"/>
      <c r="G2440" s="81"/>
      <c r="H2440" s="81"/>
      <c r="I2440" s="81"/>
      <c r="J2440" s="81"/>
      <c r="K2440" s="81"/>
      <c r="L2440" s="81"/>
      <c r="M2440" s="81"/>
      <c r="N2440" s="81"/>
      <c r="O2440" s="81"/>
      <c r="P2440" s="81"/>
      <c r="Q2440" s="81"/>
      <c r="R2440" s="81"/>
      <c r="S2440" s="81"/>
      <c r="T2440" s="81"/>
      <c r="U2440" s="81"/>
      <c r="V2440" s="94"/>
      <c r="W2440" s="94"/>
    </row>
    <row r="2441" spans="1:23" ht="21" customHeight="1">
      <c r="A2441">
        <f>Table4[[#This Row],[Column1]]</f>
        <v>0</v>
      </c>
      <c r="B2441">
        <f>Table4[[#This Row],[Column2]]</f>
        <v>0</v>
      </c>
      <c r="C2441" s="81"/>
      <c r="D2441" s="81"/>
      <c r="E2441" s="81"/>
      <c r="F2441" s="81"/>
      <c r="G2441" s="81"/>
      <c r="H2441" s="81"/>
      <c r="I2441" s="81"/>
      <c r="J2441" s="81"/>
      <c r="K2441" s="81"/>
      <c r="L2441" s="81"/>
      <c r="M2441" s="81"/>
      <c r="N2441" s="81"/>
      <c r="O2441" s="81"/>
      <c r="P2441" s="81"/>
      <c r="Q2441" s="81"/>
      <c r="R2441" s="81"/>
      <c r="S2441" s="81"/>
      <c r="T2441" s="81"/>
      <c r="U2441" s="81"/>
      <c r="V2441" s="94"/>
      <c r="W2441" s="94"/>
    </row>
    <row r="2442" spans="1:23" ht="21" customHeight="1">
      <c r="A2442">
        <f>Table4[[#This Row],[Column1]]</f>
        <v>0</v>
      </c>
      <c r="B2442">
        <f>Table4[[#This Row],[Column2]]</f>
        <v>0</v>
      </c>
      <c r="C2442" s="81"/>
      <c r="D2442" s="81"/>
      <c r="E2442" s="81"/>
      <c r="F2442" s="81"/>
      <c r="G2442" s="81"/>
      <c r="H2442" s="81"/>
      <c r="I2442" s="81"/>
      <c r="J2442" s="81"/>
      <c r="K2442" s="81"/>
      <c r="L2442" s="81"/>
      <c r="M2442" s="81"/>
      <c r="N2442" s="81"/>
      <c r="O2442" s="81"/>
      <c r="P2442" s="81"/>
      <c r="Q2442" s="81"/>
      <c r="R2442" s="81"/>
      <c r="S2442" s="81"/>
      <c r="T2442" s="81"/>
      <c r="U2442" s="81"/>
      <c r="V2442" s="94"/>
      <c r="W2442" s="94"/>
    </row>
    <row r="2443" spans="1:23" ht="21" customHeight="1">
      <c r="A2443">
        <f>Table4[[#This Row],[Column1]]</f>
        <v>0</v>
      </c>
      <c r="B2443">
        <f>Table4[[#This Row],[Column2]]</f>
        <v>0</v>
      </c>
      <c r="C2443" s="81"/>
      <c r="D2443" s="81"/>
      <c r="E2443" s="81"/>
      <c r="F2443" s="81"/>
      <c r="G2443" s="81"/>
      <c r="H2443" s="81"/>
      <c r="I2443" s="81"/>
      <c r="J2443" s="81"/>
      <c r="K2443" s="81"/>
      <c r="L2443" s="81"/>
      <c r="M2443" s="81"/>
      <c r="N2443" s="81"/>
      <c r="O2443" s="81"/>
      <c r="P2443" s="81"/>
      <c r="Q2443" s="81"/>
      <c r="R2443" s="81"/>
      <c r="S2443" s="81"/>
      <c r="T2443" s="81"/>
      <c r="U2443" s="81"/>
      <c r="V2443" s="94"/>
      <c r="W2443" s="94"/>
    </row>
    <row r="2444" spans="1:23" ht="21" customHeight="1">
      <c r="A2444">
        <f>Table4[[#This Row],[Column1]]</f>
        <v>0</v>
      </c>
      <c r="B2444">
        <f>Table4[[#This Row],[Column2]]</f>
        <v>0</v>
      </c>
      <c r="C2444" s="81"/>
      <c r="D2444" s="81"/>
      <c r="E2444" s="81"/>
      <c r="F2444" s="81"/>
      <c r="G2444" s="81"/>
      <c r="H2444" s="81"/>
      <c r="I2444" s="81"/>
      <c r="J2444" s="81"/>
      <c r="K2444" s="81"/>
      <c r="L2444" s="81"/>
      <c r="M2444" s="81"/>
      <c r="N2444" s="81"/>
      <c r="O2444" s="81"/>
      <c r="P2444" s="81"/>
      <c r="Q2444" s="81"/>
      <c r="R2444" s="81"/>
      <c r="S2444" s="81"/>
      <c r="T2444" s="81"/>
      <c r="U2444" s="81"/>
      <c r="V2444" s="94"/>
      <c r="W2444" s="94"/>
    </row>
    <row r="2445" spans="1:23" ht="21" customHeight="1">
      <c r="A2445">
        <f>Table4[[#This Row],[Column1]]</f>
        <v>0</v>
      </c>
      <c r="B2445">
        <f>Table4[[#This Row],[Column2]]</f>
        <v>0</v>
      </c>
      <c r="C2445" s="81"/>
      <c r="D2445" s="81"/>
      <c r="E2445" s="81"/>
      <c r="F2445" s="81"/>
      <c r="G2445" s="81"/>
      <c r="H2445" s="81"/>
      <c r="I2445" s="81"/>
      <c r="J2445" s="81"/>
      <c r="K2445" s="81"/>
      <c r="L2445" s="81"/>
      <c r="M2445" s="81"/>
      <c r="N2445" s="81"/>
      <c r="O2445" s="81"/>
      <c r="P2445" s="81"/>
      <c r="Q2445" s="81"/>
      <c r="R2445" s="81"/>
      <c r="S2445" s="81"/>
      <c r="T2445" s="81"/>
      <c r="U2445" s="81"/>
      <c r="V2445" s="94"/>
      <c r="W2445" s="94"/>
    </row>
    <row r="2446" spans="1:23" ht="21" customHeight="1">
      <c r="A2446">
        <f>Table4[[#This Row],[Column1]]</f>
        <v>0</v>
      </c>
      <c r="B2446">
        <f>Table4[[#This Row],[Column2]]</f>
        <v>0</v>
      </c>
      <c r="C2446" s="81"/>
      <c r="D2446" s="81"/>
      <c r="E2446" s="81"/>
      <c r="F2446" s="81"/>
      <c r="G2446" s="81"/>
      <c r="H2446" s="81"/>
      <c r="I2446" s="81"/>
      <c r="J2446" s="81"/>
      <c r="K2446" s="81"/>
      <c r="L2446" s="81"/>
      <c r="M2446" s="81"/>
      <c r="N2446" s="81"/>
      <c r="O2446" s="81"/>
      <c r="P2446" s="81"/>
      <c r="Q2446" s="81"/>
      <c r="R2446" s="81"/>
      <c r="S2446" s="81"/>
      <c r="T2446" s="81"/>
      <c r="U2446" s="81"/>
      <c r="V2446" s="94"/>
      <c r="W2446" s="94"/>
    </row>
    <row r="2447" spans="1:23" ht="21" customHeight="1">
      <c r="A2447">
        <f>Table4[[#This Row],[Column1]]</f>
        <v>0</v>
      </c>
      <c r="B2447">
        <f>Table4[[#This Row],[Column2]]</f>
        <v>0</v>
      </c>
      <c r="C2447" s="81"/>
      <c r="D2447" s="81"/>
      <c r="E2447" s="81"/>
      <c r="F2447" s="81"/>
      <c r="G2447" s="81"/>
      <c r="H2447" s="81"/>
      <c r="I2447" s="81"/>
      <c r="J2447" s="81"/>
      <c r="K2447" s="81"/>
      <c r="L2447" s="81"/>
      <c r="M2447" s="81"/>
      <c r="N2447" s="81"/>
      <c r="O2447" s="81"/>
      <c r="P2447" s="81"/>
      <c r="Q2447" s="81"/>
      <c r="R2447" s="81"/>
      <c r="S2447" s="81"/>
      <c r="T2447" s="81"/>
      <c r="U2447" s="81"/>
      <c r="V2447" s="94"/>
      <c r="W2447" s="94"/>
    </row>
    <row r="2448" spans="1:23" ht="21" customHeight="1">
      <c r="A2448">
        <f>Table4[[#This Row],[Column1]]</f>
        <v>0</v>
      </c>
      <c r="B2448">
        <f>Table4[[#This Row],[Column2]]</f>
        <v>0</v>
      </c>
      <c r="C2448" s="81"/>
      <c r="D2448" s="81"/>
      <c r="E2448" s="81"/>
      <c r="F2448" s="81"/>
      <c r="G2448" s="81"/>
      <c r="H2448" s="81"/>
      <c r="I2448" s="81"/>
      <c r="J2448" s="81"/>
      <c r="K2448" s="81"/>
      <c r="L2448" s="81"/>
      <c r="M2448" s="81"/>
      <c r="N2448" s="81"/>
      <c r="O2448" s="81"/>
      <c r="P2448" s="81"/>
      <c r="Q2448" s="81"/>
      <c r="R2448" s="81"/>
      <c r="S2448" s="81"/>
      <c r="T2448" s="81"/>
      <c r="U2448" s="81"/>
      <c r="V2448" s="94"/>
      <c r="W2448" s="94"/>
    </row>
    <row r="2449" spans="1:23" ht="21" customHeight="1">
      <c r="A2449">
        <f>Table4[[#This Row],[Column1]]</f>
        <v>0</v>
      </c>
      <c r="B2449">
        <f>Table4[[#This Row],[Column2]]</f>
        <v>0</v>
      </c>
      <c r="C2449" s="81"/>
      <c r="D2449" s="81"/>
      <c r="E2449" s="81"/>
      <c r="F2449" s="81"/>
      <c r="G2449" s="81"/>
      <c r="H2449" s="81"/>
      <c r="I2449" s="81"/>
      <c r="J2449" s="81"/>
      <c r="K2449" s="81"/>
      <c r="L2449" s="81"/>
      <c r="M2449" s="81"/>
      <c r="N2449" s="81"/>
      <c r="O2449" s="81"/>
      <c r="P2449" s="81"/>
      <c r="Q2449" s="81"/>
      <c r="R2449" s="81"/>
      <c r="S2449" s="81"/>
      <c r="T2449" s="81"/>
      <c r="U2449" s="81"/>
      <c r="V2449" s="94"/>
      <c r="W2449" s="94"/>
    </row>
    <row r="2450" spans="1:23" ht="21" customHeight="1">
      <c r="A2450">
        <f>Table4[[#This Row],[Column1]]</f>
        <v>0</v>
      </c>
      <c r="B2450">
        <f>Table4[[#This Row],[Column2]]</f>
        <v>0</v>
      </c>
      <c r="C2450" s="81"/>
      <c r="D2450" s="81"/>
      <c r="E2450" s="81"/>
      <c r="F2450" s="81"/>
      <c r="G2450" s="81"/>
      <c r="H2450" s="81"/>
      <c r="I2450" s="81"/>
      <c r="J2450" s="81"/>
      <c r="K2450" s="81"/>
      <c r="L2450" s="81"/>
      <c r="M2450" s="81"/>
      <c r="N2450" s="81"/>
      <c r="O2450" s="81"/>
      <c r="P2450" s="81"/>
      <c r="Q2450" s="81"/>
      <c r="R2450" s="81"/>
      <c r="S2450" s="81"/>
      <c r="T2450" s="81"/>
      <c r="U2450" s="81"/>
      <c r="V2450" s="94"/>
      <c r="W2450" s="94"/>
    </row>
    <row r="2451" spans="1:23" ht="21" customHeight="1">
      <c r="A2451">
        <f>Table4[[#This Row],[Column1]]</f>
        <v>0</v>
      </c>
      <c r="B2451">
        <f>Table4[[#This Row],[Column2]]</f>
        <v>0</v>
      </c>
      <c r="C2451" s="81"/>
      <c r="D2451" s="81"/>
      <c r="E2451" s="81"/>
      <c r="F2451" s="81"/>
      <c r="G2451" s="81"/>
      <c r="H2451" s="81"/>
      <c r="I2451" s="81"/>
      <c r="J2451" s="81"/>
      <c r="K2451" s="81"/>
      <c r="L2451" s="81"/>
      <c r="M2451" s="81"/>
      <c r="N2451" s="81"/>
      <c r="O2451" s="81"/>
      <c r="P2451" s="81"/>
      <c r="Q2451" s="81"/>
      <c r="R2451" s="81"/>
      <c r="S2451" s="81"/>
      <c r="T2451" s="81"/>
      <c r="U2451" s="81"/>
      <c r="V2451" s="94"/>
      <c r="W2451" s="94"/>
    </row>
    <row r="2452" spans="1:23" ht="21" customHeight="1">
      <c r="A2452">
        <f>Table4[[#This Row],[Column1]]</f>
        <v>0</v>
      </c>
      <c r="B2452">
        <f>Table4[[#This Row],[Column2]]</f>
        <v>0</v>
      </c>
      <c r="C2452" s="81"/>
      <c r="D2452" s="81"/>
      <c r="E2452" s="81"/>
      <c r="F2452" s="81"/>
      <c r="G2452" s="81"/>
      <c r="H2452" s="81"/>
      <c r="I2452" s="81"/>
      <c r="J2452" s="81"/>
      <c r="K2452" s="81"/>
      <c r="L2452" s="81"/>
      <c r="M2452" s="81"/>
      <c r="N2452" s="81"/>
      <c r="O2452" s="81"/>
      <c r="P2452" s="81"/>
      <c r="Q2452" s="81"/>
      <c r="R2452" s="81"/>
      <c r="S2452" s="81"/>
      <c r="T2452" s="81"/>
      <c r="U2452" s="81"/>
      <c r="V2452" s="94"/>
      <c r="W2452" s="94"/>
    </row>
    <row r="2453" spans="1:23" ht="21" customHeight="1">
      <c r="A2453">
        <f>Table4[[#This Row],[Column1]]</f>
        <v>0</v>
      </c>
      <c r="B2453">
        <f>Table4[[#This Row],[Column2]]</f>
        <v>0</v>
      </c>
      <c r="C2453" s="81"/>
      <c r="D2453" s="81"/>
      <c r="E2453" s="81"/>
      <c r="F2453" s="81"/>
      <c r="G2453" s="81"/>
      <c r="H2453" s="81"/>
      <c r="I2453" s="81"/>
      <c r="J2453" s="81"/>
      <c r="K2453" s="81"/>
      <c r="L2453" s="81"/>
      <c r="M2453" s="81"/>
      <c r="N2453" s="81"/>
      <c r="O2453" s="81"/>
      <c r="P2453" s="81"/>
      <c r="Q2453" s="81"/>
      <c r="R2453" s="81"/>
      <c r="S2453" s="81"/>
      <c r="T2453" s="81"/>
      <c r="U2453" s="81"/>
      <c r="V2453" s="94"/>
      <c r="W2453" s="94"/>
    </row>
    <row r="2454" spans="1:23" ht="21" customHeight="1">
      <c r="A2454">
        <f>Table4[[#This Row],[Column1]]</f>
        <v>0</v>
      </c>
      <c r="B2454">
        <f>Table4[[#This Row],[Column2]]</f>
        <v>0</v>
      </c>
      <c r="C2454" s="81"/>
      <c r="D2454" s="81"/>
      <c r="E2454" s="81"/>
      <c r="F2454" s="81"/>
      <c r="G2454" s="81"/>
      <c r="H2454" s="81"/>
      <c r="I2454" s="81"/>
      <c r="J2454" s="81"/>
      <c r="K2454" s="81"/>
      <c r="L2454" s="81"/>
      <c r="M2454" s="81"/>
      <c r="N2454" s="81"/>
      <c r="O2454" s="81"/>
      <c r="P2454" s="81"/>
      <c r="Q2454" s="81"/>
      <c r="R2454" s="81"/>
      <c r="S2454" s="81"/>
      <c r="T2454" s="81"/>
      <c r="U2454" s="81"/>
      <c r="V2454" s="94"/>
      <c r="W2454" s="94"/>
    </row>
    <row r="2455" spans="1:23" ht="21" customHeight="1">
      <c r="A2455">
        <f>Table4[[#This Row],[Column1]]</f>
        <v>0</v>
      </c>
      <c r="B2455">
        <f>Table4[[#This Row],[Column2]]</f>
        <v>0</v>
      </c>
      <c r="C2455" s="81"/>
      <c r="D2455" s="81"/>
      <c r="E2455" s="81"/>
      <c r="F2455" s="81"/>
      <c r="G2455" s="81"/>
      <c r="H2455" s="81"/>
      <c r="I2455" s="81"/>
      <c r="J2455" s="81"/>
      <c r="K2455" s="81"/>
      <c r="L2455" s="81"/>
      <c r="M2455" s="81"/>
      <c r="N2455" s="81"/>
      <c r="O2455" s="81"/>
      <c r="P2455" s="81"/>
      <c r="Q2455" s="81"/>
      <c r="R2455" s="81"/>
      <c r="S2455" s="81"/>
      <c r="T2455" s="81"/>
      <c r="U2455" s="81"/>
      <c r="V2455" s="94"/>
      <c r="W2455" s="94"/>
    </row>
    <row r="2456" spans="1:23" ht="21" customHeight="1">
      <c r="A2456">
        <f>Table4[[#This Row],[Column1]]</f>
        <v>0</v>
      </c>
      <c r="B2456">
        <f>Table4[[#This Row],[Column2]]</f>
        <v>0</v>
      </c>
      <c r="C2456" s="81"/>
      <c r="D2456" s="81"/>
      <c r="E2456" s="81"/>
      <c r="F2456" s="81"/>
      <c r="G2456" s="81"/>
      <c r="H2456" s="81"/>
      <c r="I2456" s="81"/>
      <c r="J2456" s="81"/>
      <c r="K2456" s="81"/>
      <c r="L2456" s="81"/>
      <c r="M2456" s="81"/>
      <c r="N2456" s="81"/>
      <c r="O2456" s="81"/>
      <c r="P2456" s="81"/>
      <c r="Q2456" s="81"/>
      <c r="R2456" s="81"/>
      <c r="S2456" s="81"/>
      <c r="T2456" s="81"/>
      <c r="U2456" s="81"/>
      <c r="V2456" s="94"/>
      <c r="W2456" s="94"/>
    </row>
    <row r="2457" spans="1:23" ht="21" customHeight="1">
      <c r="A2457">
        <f>Table4[[#This Row],[Column1]]</f>
        <v>0</v>
      </c>
      <c r="B2457">
        <f>Table4[[#This Row],[Column2]]</f>
        <v>0</v>
      </c>
      <c r="C2457" s="81"/>
      <c r="D2457" s="81"/>
      <c r="E2457" s="81"/>
      <c r="F2457" s="81"/>
      <c r="G2457" s="81"/>
      <c r="H2457" s="81"/>
      <c r="I2457" s="81"/>
      <c r="J2457" s="81"/>
      <c r="K2457" s="81"/>
      <c r="L2457" s="81"/>
      <c r="M2457" s="81"/>
      <c r="N2457" s="81"/>
      <c r="O2457" s="81"/>
      <c r="P2457" s="81"/>
      <c r="Q2457" s="81"/>
      <c r="R2457" s="81"/>
      <c r="S2457" s="81"/>
      <c r="T2457" s="81"/>
      <c r="U2457" s="81"/>
      <c r="V2457" s="94"/>
      <c r="W2457" s="94"/>
    </row>
    <row r="2458" spans="1:23" ht="21" customHeight="1">
      <c r="A2458">
        <f>Table4[[#This Row],[Column1]]</f>
        <v>0</v>
      </c>
      <c r="B2458">
        <f>Table4[[#This Row],[Column2]]</f>
        <v>0</v>
      </c>
      <c r="C2458" s="81"/>
      <c r="D2458" s="81"/>
      <c r="E2458" s="81"/>
      <c r="F2458" s="81"/>
      <c r="G2458" s="81"/>
      <c r="H2458" s="81"/>
      <c r="I2458" s="81"/>
      <c r="J2458" s="81"/>
      <c r="K2458" s="81"/>
      <c r="L2458" s="81"/>
      <c r="M2458" s="81"/>
      <c r="N2458" s="81"/>
      <c r="O2458" s="81"/>
      <c r="P2458" s="81"/>
      <c r="Q2458" s="81"/>
      <c r="R2458" s="81"/>
      <c r="S2458" s="81"/>
      <c r="T2458" s="81"/>
      <c r="U2458" s="81"/>
      <c r="V2458" s="94"/>
      <c r="W2458" s="94"/>
    </row>
    <row r="2459" spans="1:23" ht="21" customHeight="1">
      <c r="A2459">
        <f>Table4[[#This Row],[Column1]]</f>
        <v>0</v>
      </c>
      <c r="B2459">
        <f>Table4[[#This Row],[Column2]]</f>
        <v>0</v>
      </c>
      <c r="C2459" s="81"/>
      <c r="D2459" s="81"/>
      <c r="E2459" s="81"/>
      <c r="F2459" s="81"/>
      <c r="G2459" s="81"/>
      <c r="H2459" s="81"/>
      <c r="I2459" s="81"/>
      <c r="J2459" s="81"/>
      <c r="K2459" s="81"/>
      <c r="L2459" s="81"/>
      <c r="M2459" s="81"/>
      <c r="N2459" s="81"/>
      <c r="O2459" s="81"/>
      <c r="P2459" s="81"/>
      <c r="Q2459" s="81"/>
      <c r="R2459" s="81"/>
      <c r="S2459" s="81"/>
      <c r="T2459" s="81"/>
      <c r="U2459" s="81"/>
      <c r="V2459" s="94"/>
      <c r="W2459" s="94"/>
    </row>
    <row r="2460" spans="1:23" ht="21" customHeight="1">
      <c r="A2460">
        <f>Table4[[#This Row],[Column1]]</f>
        <v>0</v>
      </c>
      <c r="B2460">
        <f>Table4[[#This Row],[Column2]]</f>
        <v>0</v>
      </c>
      <c r="C2460" s="81"/>
      <c r="D2460" s="81"/>
      <c r="E2460" s="81"/>
      <c r="F2460" s="81"/>
      <c r="G2460" s="81"/>
      <c r="H2460" s="81"/>
      <c r="I2460" s="81"/>
      <c r="J2460" s="81"/>
      <c r="K2460" s="81"/>
      <c r="L2460" s="81"/>
      <c r="M2460" s="81"/>
      <c r="N2460" s="81"/>
      <c r="O2460" s="81"/>
      <c r="P2460" s="81"/>
      <c r="Q2460" s="81"/>
      <c r="R2460" s="81"/>
      <c r="S2460" s="81"/>
      <c r="T2460" s="81"/>
      <c r="U2460" s="81"/>
      <c r="V2460" s="94"/>
      <c r="W2460" s="94"/>
    </row>
    <row r="2461" spans="1:23" ht="21" customHeight="1">
      <c r="A2461">
        <f>Table4[[#This Row],[Column1]]</f>
        <v>0</v>
      </c>
      <c r="B2461">
        <f>Table4[[#This Row],[Column2]]</f>
        <v>0</v>
      </c>
      <c r="C2461" s="81"/>
      <c r="D2461" s="81"/>
      <c r="E2461" s="81"/>
      <c r="F2461" s="81"/>
      <c r="G2461" s="81"/>
      <c r="H2461" s="81"/>
      <c r="I2461" s="81"/>
      <c r="J2461" s="81"/>
      <c r="K2461" s="81"/>
      <c r="L2461" s="81"/>
      <c r="M2461" s="81"/>
      <c r="N2461" s="81"/>
      <c r="O2461" s="81"/>
      <c r="P2461" s="81"/>
      <c r="Q2461" s="81"/>
      <c r="R2461" s="81"/>
      <c r="S2461" s="81"/>
      <c r="T2461" s="81"/>
      <c r="U2461" s="81"/>
      <c r="V2461" s="94"/>
      <c r="W2461" s="94"/>
    </row>
    <row r="2462" spans="1:23" ht="21" customHeight="1">
      <c r="A2462">
        <f>Table4[[#This Row],[Column1]]</f>
        <v>0</v>
      </c>
      <c r="B2462">
        <f>Table4[[#This Row],[Column2]]</f>
        <v>0</v>
      </c>
      <c r="C2462" s="81"/>
      <c r="D2462" s="81"/>
      <c r="E2462" s="81"/>
      <c r="F2462" s="81"/>
      <c r="G2462" s="81"/>
      <c r="H2462" s="81"/>
      <c r="I2462" s="81"/>
      <c r="J2462" s="81"/>
      <c r="K2462" s="81"/>
      <c r="L2462" s="81"/>
      <c r="M2462" s="81"/>
      <c r="N2462" s="81"/>
      <c r="O2462" s="81"/>
      <c r="P2462" s="81"/>
      <c r="Q2462" s="81"/>
      <c r="R2462" s="81"/>
      <c r="S2462" s="81"/>
      <c r="T2462" s="81"/>
      <c r="U2462" s="81"/>
      <c r="V2462" s="94"/>
      <c r="W2462" s="94"/>
    </row>
    <row r="2463" spans="1:23" ht="21" customHeight="1">
      <c r="A2463">
        <f>Table4[[#This Row],[Column1]]</f>
        <v>0</v>
      </c>
      <c r="B2463">
        <f>Table4[[#This Row],[Column2]]</f>
        <v>0</v>
      </c>
      <c r="C2463" s="81"/>
      <c r="D2463" s="81"/>
      <c r="E2463" s="81"/>
      <c r="F2463" s="81"/>
      <c r="G2463" s="81"/>
      <c r="H2463" s="81"/>
      <c r="I2463" s="81"/>
      <c r="J2463" s="81"/>
      <c r="K2463" s="81"/>
      <c r="L2463" s="81"/>
      <c r="M2463" s="81"/>
      <c r="N2463" s="81"/>
      <c r="O2463" s="81"/>
      <c r="P2463" s="81"/>
      <c r="Q2463" s="81"/>
      <c r="R2463" s="81"/>
      <c r="S2463" s="81"/>
      <c r="T2463" s="81"/>
      <c r="U2463" s="81"/>
      <c r="V2463" s="94"/>
      <c r="W2463" s="94"/>
    </row>
    <row r="2464" spans="1:23" ht="21" customHeight="1">
      <c r="A2464">
        <f>Table4[[#This Row],[Column1]]</f>
        <v>0</v>
      </c>
      <c r="B2464">
        <f>Table4[[#This Row],[Column2]]</f>
        <v>0</v>
      </c>
      <c r="C2464" s="81"/>
      <c r="D2464" s="81"/>
      <c r="E2464" s="81"/>
      <c r="F2464" s="81"/>
      <c r="G2464" s="81"/>
      <c r="H2464" s="81"/>
      <c r="I2464" s="81"/>
      <c r="J2464" s="81"/>
      <c r="K2464" s="81"/>
      <c r="L2464" s="81"/>
      <c r="M2464" s="81"/>
      <c r="N2464" s="81"/>
      <c r="O2464" s="81"/>
      <c r="P2464" s="81"/>
      <c r="Q2464" s="81"/>
      <c r="R2464" s="81"/>
      <c r="S2464" s="81"/>
      <c r="T2464" s="81"/>
      <c r="U2464" s="81"/>
      <c r="V2464" s="94"/>
      <c r="W2464" s="94"/>
    </row>
    <row r="2465" spans="1:23" ht="21" customHeight="1">
      <c r="A2465">
        <f>Table4[[#This Row],[Column1]]</f>
        <v>0</v>
      </c>
      <c r="B2465">
        <f>Table4[[#This Row],[Column2]]</f>
        <v>0</v>
      </c>
      <c r="C2465" s="81"/>
      <c r="D2465" s="81"/>
      <c r="E2465" s="81"/>
      <c r="F2465" s="81"/>
      <c r="G2465" s="81"/>
      <c r="H2465" s="81"/>
      <c r="I2465" s="81"/>
      <c r="J2465" s="81"/>
      <c r="K2465" s="81"/>
      <c r="L2465" s="81"/>
      <c r="M2465" s="81"/>
      <c r="N2465" s="81"/>
      <c r="O2465" s="81"/>
      <c r="P2465" s="81"/>
      <c r="Q2465" s="81"/>
      <c r="R2465" s="81"/>
      <c r="S2465" s="81"/>
      <c r="T2465" s="81"/>
      <c r="U2465" s="81"/>
      <c r="V2465" s="94"/>
      <c r="W2465" s="94"/>
    </row>
    <row r="2466" spans="1:23" ht="21" customHeight="1">
      <c r="A2466">
        <f>Table4[[#This Row],[Column1]]</f>
        <v>0</v>
      </c>
      <c r="B2466">
        <f>Table4[[#This Row],[Column2]]</f>
        <v>0</v>
      </c>
      <c r="C2466" s="81"/>
      <c r="D2466" s="81"/>
      <c r="E2466" s="81"/>
      <c r="F2466" s="81"/>
      <c r="G2466" s="81"/>
      <c r="H2466" s="81"/>
      <c r="I2466" s="81"/>
      <c r="J2466" s="81"/>
      <c r="K2466" s="81"/>
      <c r="L2466" s="81"/>
      <c r="M2466" s="81"/>
      <c r="N2466" s="81"/>
      <c r="O2466" s="81"/>
      <c r="P2466" s="81"/>
      <c r="Q2466" s="81"/>
      <c r="R2466" s="81"/>
      <c r="S2466" s="81"/>
      <c r="T2466" s="81"/>
      <c r="U2466" s="81"/>
      <c r="V2466" s="94"/>
      <c r="W2466" s="94"/>
    </row>
    <row r="2467" spans="1:23" ht="21" customHeight="1">
      <c r="A2467">
        <f>Table4[[#This Row],[Column1]]</f>
        <v>0</v>
      </c>
      <c r="B2467">
        <f>Table4[[#This Row],[Column2]]</f>
        <v>0</v>
      </c>
      <c r="C2467" s="81"/>
      <c r="D2467" s="81"/>
      <c r="E2467" s="81"/>
      <c r="F2467" s="81"/>
      <c r="G2467" s="81"/>
      <c r="H2467" s="81"/>
      <c r="I2467" s="81"/>
      <c r="J2467" s="81"/>
      <c r="K2467" s="81"/>
      <c r="L2467" s="81"/>
      <c r="M2467" s="81"/>
      <c r="N2467" s="81"/>
      <c r="O2467" s="81"/>
      <c r="P2467" s="81"/>
      <c r="Q2467" s="81"/>
      <c r="R2467" s="81"/>
      <c r="S2467" s="81"/>
      <c r="T2467" s="81"/>
      <c r="U2467" s="81"/>
      <c r="V2467" s="94"/>
      <c r="W2467" s="94"/>
    </row>
    <row r="2468" spans="1:23" ht="21" customHeight="1">
      <c r="A2468">
        <f>Table4[[#This Row],[Column1]]</f>
        <v>0</v>
      </c>
      <c r="B2468">
        <f>Table4[[#This Row],[Column2]]</f>
        <v>0</v>
      </c>
      <c r="C2468" s="81"/>
      <c r="D2468" s="81"/>
      <c r="E2468" s="81"/>
      <c r="F2468" s="81"/>
      <c r="G2468" s="81"/>
      <c r="H2468" s="81"/>
      <c r="I2468" s="81"/>
      <c r="J2468" s="81"/>
      <c r="K2468" s="81"/>
      <c r="L2468" s="81"/>
      <c r="M2468" s="81"/>
      <c r="N2468" s="81"/>
      <c r="O2468" s="81"/>
      <c r="P2468" s="81"/>
      <c r="Q2468" s="81"/>
      <c r="R2468" s="81"/>
      <c r="S2468" s="81"/>
      <c r="T2468" s="81"/>
      <c r="U2468" s="81"/>
      <c r="V2468" s="94"/>
      <c r="W2468" s="94"/>
    </row>
    <row r="2469" spans="1:23" ht="21" customHeight="1">
      <c r="A2469">
        <f>Table4[[#This Row],[Column1]]</f>
        <v>0</v>
      </c>
      <c r="B2469">
        <f>Table4[[#This Row],[Column2]]</f>
        <v>0</v>
      </c>
      <c r="C2469" s="81"/>
      <c r="D2469" s="81"/>
      <c r="E2469" s="81"/>
      <c r="F2469" s="81"/>
      <c r="G2469" s="81"/>
      <c r="H2469" s="81"/>
      <c r="I2469" s="81"/>
      <c r="J2469" s="81"/>
      <c r="K2469" s="81"/>
      <c r="L2469" s="81"/>
      <c r="M2469" s="81"/>
      <c r="N2469" s="81"/>
      <c r="O2469" s="81"/>
      <c r="P2469" s="81"/>
      <c r="Q2469" s="81"/>
      <c r="R2469" s="81"/>
      <c r="S2469" s="81"/>
      <c r="T2469" s="81"/>
      <c r="U2469" s="81"/>
      <c r="V2469" s="94"/>
      <c r="W2469" s="94"/>
    </row>
    <row r="2470" spans="1:23" ht="21" customHeight="1">
      <c r="A2470">
        <f>Table4[[#This Row],[Column1]]</f>
        <v>0</v>
      </c>
      <c r="B2470">
        <f>Table4[[#This Row],[Column2]]</f>
        <v>0</v>
      </c>
      <c r="C2470" s="81"/>
      <c r="D2470" s="81"/>
      <c r="E2470" s="81"/>
      <c r="F2470" s="81"/>
      <c r="G2470" s="81"/>
      <c r="H2470" s="81"/>
      <c r="I2470" s="81"/>
      <c r="J2470" s="81"/>
      <c r="K2470" s="81"/>
      <c r="L2470" s="81"/>
      <c r="M2470" s="81"/>
      <c r="N2470" s="81"/>
      <c r="O2470" s="81"/>
      <c r="P2470" s="81"/>
      <c r="Q2470" s="81"/>
      <c r="R2470" s="81"/>
      <c r="S2470" s="81"/>
      <c r="T2470" s="81"/>
      <c r="U2470" s="81"/>
      <c r="V2470" s="94"/>
      <c r="W2470" s="94"/>
    </row>
    <row r="2471" spans="1:23" ht="21" customHeight="1">
      <c r="A2471">
        <f>Table4[[#This Row],[Column1]]</f>
        <v>0</v>
      </c>
      <c r="B2471">
        <f>Table4[[#This Row],[Column2]]</f>
        <v>0</v>
      </c>
      <c r="C2471" s="81"/>
      <c r="D2471" s="81"/>
      <c r="E2471" s="81"/>
      <c r="F2471" s="81"/>
      <c r="G2471" s="81"/>
      <c r="H2471" s="81"/>
      <c r="I2471" s="81"/>
      <c r="J2471" s="81"/>
      <c r="K2471" s="81"/>
      <c r="L2471" s="81"/>
      <c r="M2471" s="81"/>
      <c r="N2471" s="81"/>
      <c r="O2471" s="81"/>
      <c r="P2471" s="81"/>
      <c r="Q2471" s="81"/>
      <c r="R2471" s="81"/>
      <c r="S2471" s="81"/>
      <c r="T2471" s="81"/>
      <c r="U2471" s="81"/>
      <c r="V2471" s="94"/>
      <c r="W2471" s="94"/>
    </row>
    <row r="2472" spans="1:23" ht="21" customHeight="1">
      <c r="A2472">
        <f>Table4[[#This Row],[Column1]]</f>
        <v>0</v>
      </c>
      <c r="B2472">
        <f>Table4[[#This Row],[Column2]]</f>
        <v>0</v>
      </c>
      <c r="C2472" s="81"/>
      <c r="D2472" s="81"/>
      <c r="E2472" s="81"/>
      <c r="F2472" s="81"/>
      <c r="G2472" s="81"/>
      <c r="H2472" s="81"/>
      <c r="I2472" s="81"/>
      <c r="J2472" s="81"/>
      <c r="K2472" s="81"/>
      <c r="L2472" s="81"/>
      <c r="M2472" s="81"/>
      <c r="N2472" s="81"/>
      <c r="O2472" s="81"/>
      <c r="P2472" s="81"/>
      <c r="Q2472" s="81"/>
      <c r="R2472" s="81"/>
      <c r="S2472" s="81"/>
      <c r="T2472" s="81"/>
      <c r="U2472" s="81"/>
      <c r="V2472" s="94"/>
      <c r="W2472" s="94"/>
    </row>
    <row r="2473" spans="1:23" ht="21" customHeight="1">
      <c r="A2473">
        <f>Table4[[#This Row],[Column1]]</f>
        <v>0</v>
      </c>
      <c r="B2473">
        <f>Table4[[#This Row],[Column2]]</f>
        <v>0</v>
      </c>
      <c r="C2473" s="81"/>
      <c r="D2473" s="81"/>
      <c r="E2473" s="81"/>
      <c r="F2473" s="81"/>
      <c r="G2473" s="81"/>
      <c r="H2473" s="81"/>
      <c r="I2473" s="81"/>
      <c r="J2473" s="81"/>
      <c r="K2473" s="81"/>
      <c r="L2473" s="81"/>
      <c r="M2473" s="81"/>
      <c r="N2473" s="81"/>
      <c r="O2473" s="81"/>
      <c r="P2473" s="81"/>
      <c r="Q2473" s="81"/>
      <c r="R2473" s="81"/>
      <c r="S2473" s="81"/>
      <c r="T2473" s="81"/>
      <c r="U2473" s="81"/>
      <c r="V2473" s="94"/>
      <c r="W2473" s="94"/>
    </row>
    <row r="2474" spans="1:23" ht="21" customHeight="1">
      <c r="A2474">
        <f>Table4[[#This Row],[Column1]]</f>
        <v>0</v>
      </c>
      <c r="B2474">
        <f>Table4[[#This Row],[Column2]]</f>
        <v>0</v>
      </c>
      <c r="C2474" s="81"/>
      <c r="D2474" s="81"/>
      <c r="E2474" s="81"/>
      <c r="F2474" s="81"/>
      <c r="G2474" s="81"/>
      <c r="H2474" s="81"/>
      <c r="I2474" s="81"/>
      <c r="J2474" s="81"/>
      <c r="K2474" s="81"/>
      <c r="L2474" s="81"/>
      <c r="M2474" s="81"/>
      <c r="N2474" s="81"/>
      <c r="O2474" s="81"/>
      <c r="P2474" s="81"/>
      <c r="Q2474" s="81"/>
      <c r="R2474" s="81"/>
      <c r="S2474" s="81"/>
      <c r="T2474" s="81"/>
      <c r="U2474" s="81"/>
      <c r="V2474" s="94"/>
      <c r="W2474" s="94"/>
    </row>
    <row r="2475" spans="1:23" ht="21" customHeight="1">
      <c r="A2475">
        <f>Table4[[#This Row],[Column1]]</f>
        <v>0</v>
      </c>
      <c r="B2475">
        <f>Table4[[#This Row],[Column2]]</f>
        <v>0</v>
      </c>
      <c r="C2475" s="81"/>
      <c r="D2475" s="81"/>
      <c r="E2475" s="81"/>
      <c r="F2475" s="81"/>
      <c r="G2475" s="81"/>
      <c r="H2475" s="81"/>
      <c r="I2475" s="81"/>
      <c r="J2475" s="81"/>
      <c r="K2475" s="81"/>
      <c r="L2475" s="81"/>
      <c r="M2475" s="81"/>
      <c r="N2475" s="81"/>
      <c r="O2475" s="81"/>
      <c r="P2475" s="81"/>
      <c r="Q2475" s="81"/>
      <c r="R2475" s="81"/>
      <c r="S2475" s="81"/>
      <c r="T2475" s="81"/>
      <c r="U2475" s="81"/>
      <c r="V2475" s="94"/>
      <c r="W2475" s="94"/>
    </row>
    <row r="2476" spans="1:23" ht="21" customHeight="1">
      <c r="A2476">
        <f>Table4[[#This Row],[Column1]]</f>
        <v>0</v>
      </c>
      <c r="B2476">
        <f>Table4[[#This Row],[Column2]]</f>
        <v>0</v>
      </c>
      <c r="C2476" s="81"/>
      <c r="D2476" s="81"/>
      <c r="E2476" s="81"/>
      <c r="F2476" s="81"/>
      <c r="G2476" s="81"/>
      <c r="H2476" s="81"/>
      <c r="I2476" s="81"/>
      <c r="J2476" s="81"/>
      <c r="K2476" s="81"/>
      <c r="L2476" s="81"/>
      <c r="M2476" s="81"/>
      <c r="N2476" s="81"/>
      <c r="O2476" s="81"/>
      <c r="P2476" s="81"/>
      <c r="Q2476" s="81"/>
      <c r="R2476" s="81"/>
      <c r="S2476" s="81"/>
      <c r="T2476" s="81"/>
      <c r="U2476" s="81"/>
      <c r="V2476" s="94"/>
      <c r="W2476" s="94"/>
    </row>
    <row r="2477" spans="1:23" ht="21" customHeight="1">
      <c r="A2477">
        <f>Table4[[#This Row],[Column1]]</f>
        <v>0</v>
      </c>
      <c r="B2477">
        <f>Table4[[#This Row],[Column2]]</f>
        <v>0</v>
      </c>
      <c r="C2477" s="81"/>
      <c r="D2477" s="81"/>
      <c r="E2477" s="81"/>
      <c r="F2477" s="81"/>
      <c r="G2477" s="81"/>
      <c r="H2477" s="81"/>
      <c r="I2477" s="81"/>
      <c r="J2477" s="81"/>
      <c r="K2477" s="81"/>
      <c r="L2477" s="81"/>
      <c r="M2477" s="81"/>
      <c r="N2477" s="81"/>
      <c r="O2477" s="81"/>
      <c r="P2477" s="81"/>
      <c r="Q2477" s="81"/>
      <c r="R2477" s="81"/>
      <c r="S2477" s="81"/>
      <c r="T2477" s="81"/>
      <c r="U2477" s="81"/>
      <c r="V2477" s="94"/>
      <c r="W2477" s="94"/>
    </row>
    <row r="2478" spans="1:23" ht="21" customHeight="1">
      <c r="A2478">
        <f>Table4[[#This Row],[Column1]]</f>
        <v>0</v>
      </c>
      <c r="B2478">
        <f>Table4[[#This Row],[Column2]]</f>
        <v>0</v>
      </c>
      <c r="C2478" s="81"/>
      <c r="D2478" s="81"/>
      <c r="E2478" s="81"/>
      <c r="F2478" s="81"/>
      <c r="G2478" s="81"/>
      <c r="H2478" s="81"/>
      <c r="I2478" s="81"/>
      <c r="J2478" s="81"/>
      <c r="K2478" s="81"/>
      <c r="L2478" s="81"/>
      <c r="M2478" s="81"/>
      <c r="N2478" s="81"/>
      <c r="O2478" s="81"/>
      <c r="P2478" s="81"/>
      <c r="Q2478" s="81"/>
      <c r="R2478" s="81"/>
      <c r="S2478" s="81"/>
      <c r="T2478" s="81"/>
      <c r="U2478" s="81"/>
      <c r="V2478" s="94"/>
      <c r="W2478" s="94"/>
    </row>
    <row r="2479" spans="1:23" ht="21" customHeight="1">
      <c r="A2479">
        <f>Table4[[#This Row],[Column1]]</f>
        <v>0</v>
      </c>
      <c r="B2479">
        <f>Table4[[#This Row],[Column2]]</f>
        <v>0</v>
      </c>
      <c r="C2479" s="81"/>
      <c r="D2479" s="81"/>
      <c r="E2479" s="81"/>
      <c r="F2479" s="81"/>
      <c r="G2479" s="81"/>
      <c r="H2479" s="81"/>
      <c r="I2479" s="81"/>
      <c r="J2479" s="81"/>
      <c r="K2479" s="81"/>
      <c r="L2479" s="81"/>
      <c r="M2479" s="81"/>
      <c r="N2479" s="81"/>
      <c r="O2479" s="81"/>
      <c r="P2479" s="81"/>
      <c r="Q2479" s="81"/>
      <c r="R2479" s="81"/>
      <c r="S2479" s="81"/>
      <c r="T2479" s="81"/>
      <c r="U2479" s="81"/>
      <c r="V2479" s="94"/>
      <c r="W2479" s="94"/>
    </row>
    <row r="2480" spans="1:23" ht="21" customHeight="1">
      <c r="A2480">
        <f>Table4[[#This Row],[Column1]]</f>
        <v>0</v>
      </c>
      <c r="B2480">
        <f>Table4[[#This Row],[Column2]]</f>
        <v>0</v>
      </c>
      <c r="C2480" s="81"/>
      <c r="D2480" s="81"/>
      <c r="E2480" s="81"/>
      <c r="F2480" s="81"/>
      <c r="G2480" s="81"/>
      <c r="H2480" s="81"/>
      <c r="I2480" s="81"/>
      <c r="J2480" s="81"/>
      <c r="K2480" s="81"/>
      <c r="L2480" s="81"/>
      <c r="M2480" s="81"/>
      <c r="N2480" s="81"/>
      <c r="O2480" s="81"/>
      <c r="P2480" s="81"/>
      <c r="Q2480" s="81"/>
      <c r="R2480" s="81"/>
      <c r="S2480" s="81"/>
      <c r="T2480" s="81"/>
      <c r="U2480" s="81"/>
      <c r="V2480" s="94"/>
      <c r="W2480" s="94"/>
    </row>
    <row r="2481" spans="1:23" ht="21" customHeight="1">
      <c r="A2481">
        <f>Table4[[#This Row],[Column1]]</f>
        <v>0</v>
      </c>
      <c r="B2481">
        <f>Table4[[#This Row],[Column2]]</f>
        <v>0</v>
      </c>
      <c r="C2481" s="81"/>
      <c r="D2481" s="81"/>
      <c r="E2481" s="81"/>
      <c r="F2481" s="81"/>
      <c r="G2481" s="81"/>
      <c r="H2481" s="81"/>
      <c r="I2481" s="81"/>
      <c r="J2481" s="81"/>
      <c r="K2481" s="81"/>
      <c r="L2481" s="81"/>
      <c r="M2481" s="81"/>
      <c r="N2481" s="81"/>
      <c r="O2481" s="81"/>
      <c r="P2481" s="81"/>
      <c r="Q2481" s="81"/>
      <c r="R2481" s="81"/>
      <c r="S2481" s="81"/>
      <c r="T2481" s="81"/>
      <c r="U2481" s="81"/>
      <c r="V2481" s="94"/>
      <c r="W2481" s="94"/>
    </row>
    <row r="2482" spans="1:23" ht="21" customHeight="1">
      <c r="A2482">
        <f>Table4[[#This Row],[Column1]]</f>
        <v>0</v>
      </c>
      <c r="B2482">
        <f>Table4[[#This Row],[Column2]]</f>
        <v>0</v>
      </c>
      <c r="C2482" s="81"/>
      <c r="D2482" s="81"/>
      <c r="E2482" s="81"/>
      <c r="F2482" s="81"/>
      <c r="G2482" s="81"/>
      <c r="H2482" s="81"/>
      <c r="I2482" s="81"/>
      <c r="J2482" s="81"/>
      <c r="K2482" s="81"/>
      <c r="L2482" s="81"/>
      <c r="M2482" s="81"/>
      <c r="N2482" s="81"/>
      <c r="O2482" s="81"/>
      <c r="P2482" s="81"/>
      <c r="Q2482" s="81"/>
      <c r="R2482" s="81"/>
      <c r="S2482" s="81"/>
      <c r="T2482" s="81"/>
      <c r="U2482" s="81"/>
      <c r="V2482" s="94"/>
      <c r="W2482" s="94"/>
    </row>
    <row r="2483" spans="1:23" ht="21" customHeight="1">
      <c r="A2483">
        <f>Table4[[#This Row],[Column1]]</f>
        <v>0</v>
      </c>
      <c r="B2483">
        <f>Table4[[#This Row],[Column2]]</f>
        <v>0</v>
      </c>
      <c r="C2483" s="81"/>
      <c r="D2483" s="81"/>
      <c r="E2483" s="81"/>
      <c r="F2483" s="81"/>
      <c r="G2483" s="81"/>
      <c r="H2483" s="81"/>
      <c r="I2483" s="81"/>
      <c r="J2483" s="81"/>
      <c r="K2483" s="81"/>
      <c r="L2483" s="81"/>
      <c r="M2483" s="81"/>
      <c r="N2483" s="81"/>
      <c r="O2483" s="81"/>
      <c r="P2483" s="81"/>
      <c r="Q2483" s="81"/>
      <c r="R2483" s="81"/>
      <c r="S2483" s="81"/>
      <c r="T2483" s="81"/>
      <c r="U2483" s="81"/>
      <c r="V2483" s="94"/>
      <c r="W2483" s="94"/>
    </row>
    <row r="2484" spans="1:23" ht="21" customHeight="1">
      <c r="A2484">
        <f>Table4[[#This Row],[Column1]]</f>
        <v>0</v>
      </c>
      <c r="B2484">
        <f>Table4[[#This Row],[Column2]]</f>
        <v>0</v>
      </c>
      <c r="C2484" s="81"/>
      <c r="D2484" s="81"/>
      <c r="E2484" s="81"/>
      <c r="F2484" s="81"/>
      <c r="G2484" s="81"/>
      <c r="H2484" s="81"/>
      <c r="I2484" s="81"/>
      <c r="J2484" s="81"/>
      <c r="K2484" s="81"/>
      <c r="L2484" s="81"/>
      <c r="M2484" s="81"/>
      <c r="N2484" s="81"/>
      <c r="O2484" s="81"/>
      <c r="P2484" s="81"/>
      <c r="Q2484" s="81"/>
      <c r="R2484" s="81"/>
      <c r="S2484" s="81"/>
      <c r="T2484" s="81"/>
      <c r="U2484" s="81"/>
      <c r="V2484" s="94"/>
      <c r="W2484" s="94"/>
    </row>
    <row r="2485" spans="1:23" ht="21" customHeight="1">
      <c r="A2485">
        <f>Table4[[#This Row],[Column1]]</f>
        <v>0</v>
      </c>
      <c r="B2485">
        <f>Table4[[#This Row],[Column2]]</f>
        <v>0</v>
      </c>
      <c r="C2485" s="81"/>
      <c r="D2485" s="81"/>
      <c r="E2485" s="81"/>
      <c r="F2485" s="81"/>
      <c r="G2485" s="81"/>
      <c r="H2485" s="81"/>
      <c r="I2485" s="81"/>
      <c r="J2485" s="81"/>
      <c r="K2485" s="81"/>
      <c r="L2485" s="81"/>
      <c r="M2485" s="81"/>
      <c r="N2485" s="81"/>
      <c r="O2485" s="81"/>
      <c r="P2485" s="81"/>
      <c r="Q2485" s="81"/>
      <c r="R2485" s="81"/>
      <c r="S2485" s="81"/>
      <c r="T2485" s="81"/>
      <c r="U2485" s="81"/>
      <c r="V2485" s="94"/>
      <c r="W2485" s="94"/>
    </row>
    <row r="2486" spans="1:23" ht="21" customHeight="1">
      <c r="A2486">
        <f>Table4[[#This Row],[Column1]]</f>
        <v>0</v>
      </c>
      <c r="B2486">
        <f>Table4[[#This Row],[Column2]]</f>
        <v>0</v>
      </c>
      <c r="C2486" s="81"/>
      <c r="D2486" s="81"/>
      <c r="E2486" s="81"/>
      <c r="F2486" s="81"/>
      <c r="G2486" s="81"/>
      <c r="H2486" s="81"/>
      <c r="I2486" s="81"/>
      <c r="J2486" s="81"/>
      <c r="K2486" s="81"/>
      <c r="L2486" s="81"/>
      <c r="M2486" s="81"/>
      <c r="N2486" s="81"/>
      <c r="O2486" s="81"/>
      <c r="P2486" s="81"/>
      <c r="Q2486" s="81"/>
      <c r="R2486" s="81"/>
      <c r="S2486" s="81"/>
      <c r="T2486" s="81"/>
      <c r="U2486" s="81"/>
      <c r="V2486" s="94"/>
      <c r="W2486" s="94"/>
    </row>
    <row r="2487" spans="1:23" ht="21" customHeight="1">
      <c r="A2487">
        <f>Table4[[#This Row],[Column1]]</f>
        <v>0</v>
      </c>
      <c r="B2487">
        <f>Table4[[#This Row],[Column2]]</f>
        <v>0</v>
      </c>
      <c r="C2487" s="81"/>
      <c r="D2487" s="81"/>
      <c r="E2487" s="81"/>
      <c r="F2487" s="81"/>
      <c r="G2487" s="81"/>
      <c r="H2487" s="81"/>
      <c r="I2487" s="81"/>
      <c r="J2487" s="81"/>
      <c r="K2487" s="81"/>
      <c r="L2487" s="81"/>
      <c r="M2487" s="81"/>
      <c r="N2487" s="81"/>
      <c r="O2487" s="81"/>
      <c r="P2487" s="81"/>
      <c r="Q2487" s="81"/>
      <c r="R2487" s="81"/>
      <c r="S2487" s="81"/>
      <c r="T2487" s="81"/>
      <c r="U2487" s="81"/>
      <c r="V2487" s="94"/>
      <c r="W2487" s="94"/>
    </row>
    <row r="2488" spans="1:23" ht="21" customHeight="1">
      <c r="A2488">
        <f>Table4[[#This Row],[Column1]]</f>
        <v>0</v>
      </c>
      <c r="B2488">
        <f>Table4[[#This Row],[Column2]]</f>
        <v>0</v>
      </c>
      <c r="C2488" s="81"/>
      <c r="D2488" s="81"/>
      <c r="E2488" s="81"/>
      <c r="F2488" s="81"/>
      <c r="G2488" s="81"/>
      <c r="H2488" s="81"/>
      <c r="I2488" s="81"/>
      <c r="J2488" s="81"/>
      <c r="K2488" s="81"/>
      <c r="L2488" s="81"/>
      <c r="M2488" s="81"/>
      <c r="N2488" s="81"/>
      <c r="O2488" s="81"/>
      <c r="P2488" s="81"/>
      <c r="Q2488" s="81"/>
      <c r="R2488" s="81"/>
      <c r="S2488" s="81"/>
      <c r="T2488" s="81"/>
      <c r="U2488" s="81"/>
      <c r="V2488" s="94"/>
      <c r="W2488" s="94"/>
    </row>
    <row r="2489" spans="1:23" ht="21" customHeight="1">
      <c r="A2489">
        <f>Table4[[#This Row],[Column1]]</f>
        <v>0</v>
      </c>
      <c r="B2489">
        <f>Table4[[#This Row],[Column2]]</f>
        <v>0</v>
      </c>
      <c r="C2489" s="81"/>
      <c r="D2489" s="81"/>
      <c r="E2489" s="81"/>
      <c r="F2489" s="81"/>
      <c r="G2489" s="81"/>
      <c r="H2489" s="81"/>
      <c r="I2489" s="81"/>
      <c r="J2489" s="81"/>
      <c r="K2489" s="81"/>
      <c r="L2489" s="81"/>
      <c r="M2489" s="81"/>
      <c r="N2489" s="81"/>
      <c r="O2489" s="81"/>
      <c r="P2489" s="81"/>
      <c r="Q2489" s="81"/>
      <c r="R2489" s="81"/>
      <c r="S2489" s="81"/>
      <c r="T2489" s="81"/>
      <c r="U2489" s="81"/>
      <c r="V2489" s="94"/>
      <c r="W2489" s="94"/>
    </row>
    <row r="2490" spans="1:23" ht="21" customHeight="1">
      <c r="A2490">
        <f>Table4[[#This Row],[Column1]]</f>
        <v>0</v>
      </c>
      <c r="B2490">
        <f>Table4[[#This Row],[Column2]]</f>
        <v>0</v>
      </c>
      <c r="C2490" s="81"/>
      <c r="D2490" s="81"/>
      <c r="E2490" s="81"/>
      <c r="F2490" s="81"/>
      <c r="G2490" s="81"/>
      <c r="H2490" s="81"/>
      <c r="I2490" s="81"/>
      <c r="J2490" s="81"/>
      <c r="K2490" s="81"/>
      <c r="L2490" s="81"/>
      <c r="M2490" s="81"/>
      <c r="N2490" s="81"/>
      <c r="O2490" s="81"/>
      <c r="P2490" s="81"/>
      <c r="Q2490" s="81"/>
      <c r="R2490" s="81"/>
      <c r="S2490" s="81"/>
      <c r="T2490" s="81"/>
      <c r="U2490" s="81"/>
      <c r="V2490" s="94"/>
      <c r="W2490" s="94"/>
    </row>
    <row r="2491" spans="1:23" ht="21" customHeight="1">
      <c r="A2491">
        <f>Table4[[#This Row],[Column1]]</f>
        <v>0</v>
      </c>
      <c r="B2491">
        <f>Table4[[#This Row],[Column2]]</f>
        <v>0</v>
      </c>
      <c r="C2491" s="81"/>
      <c r="D2491" s="81"/>
      <c r="E2491" s="81"/>
      <c r="F2491" s="81"/>
      <c r="G2491" s="81"/>
      <c r="H2491" s="81"/>
      <c r="I2491" s="81"/>
      <c r="J2491" s="81"/>
      <c r="K2491" s="81"/>
      <c r="L2491" s="81"/>
      <c r="M2491" s="81"/>
      <c r="N2491" s="81"/>
      <c r="O2491" s="81"/>
      <c r="P2491" s="81"/>
      <c r="Q2491" s="81"/>
      <c r="R2491" s="81"/>
      <c r="S2491" s="81"/>
      <c r="T2491" s="81"/>
      <c r="U2491" s="81"/>
      <c r="V2491" s="94"/>
      <c r="W2491" s="94"/>
    </row>
    <row r="2492" spans="1:23" ht="21" customHeight="1">
      <c r="A2492">
        <f>Table4[[#This Row],[Column1]]</f>
        <v>0</v>
      </c>
      <c r="B2492">
        <f>Table4[[#This Row],[Column2]]</f>
        <v>0</v>
      </c>
      <c r="C2492" s="81"/>
      <c r="D2492" s="81"/>
      <c r="E2492" s="81"/>
      <c r="F2492" s="81"/>
      <c r="G2492" s="81"/>
      <c r="H2492" s="81"/>
      <c r="I2492" s="81"/>
      <c r="J2492" s="81"/>
      <c r="K2492" s="81"/>
      <c r="L2492" s="81"/>
      <c r="M2492" s="81"/>
      <c r="N2492" s="81"/>
      <c r="O2492" s="81"/>
      <c r="P2492" s="81"/>
      <c r="Q2492" s="81"/>
      <c r="R2492" s="81"/>
      <c r="S2492" s="81"/>
      <c r="T2492" s="81"/>
      <c r="U2492" s="81"/>
      <c r="V2492" s="94"/>
      <c r="W2492" s="94"/>
    </row>
    <row r="2493" spans="1:23" ht="21" customHeight="1">
      <c r="A2493">
        <f>Table4[[#This Row],[Column1]]</f>
        <v>0</v>
      </c>
      <c r="B2493">
        <f>Table4[[#This Row],[Column2]]</f>
        <v>0</v>
      </c>
      <c r="C2493" s="81"/>
      <c r="D2493" s="81"/>
      <c r="E2493" s="81"/>
      <c r="F2493" s="81"/>
      <c r="G2493" s="81"/>
      <c r="H2493" s="81"/>
      <c r="I2493" s="81"/>
      <c r="J2493" s="81"/>
      <c r="K2493" s="81"/>
      <c r="L2493" s="81"/>
      <c r="M2493" s="81"/>
      <c r="N2493" s="81"/>
      <c r="O2493" s="81"/>
      <c r="P2493" s="81"/>
      <c r="Q2493" s="81"/>
      <c r="R2493" s="81"/>
      <c r="S2493" s="81"/>
      <c r="T2493" s="81"/>
      <c r="U2493" s="81"/>
      <c r="V2493" s="94"/>
      <c r="W2493" s="94"/>
    </row>
    <row r="2494" spans="1:23" ht="21" customHeight="1">
      <c r="A2494">
        <f>Table4[[#This Row],[Column1]]</f>
        <v>0</v>
      </c>
      <c r="B2494">
        <f>Table4[[#This Row],[Column2]]</f>
        <v>0</v>
      </c>
      <c r="C2494" s="81"/>
      <c r="D2494" s="81"/>
      <c r="E2494" s="81"/>
      <c r="F2494" s="81"/>
      <c r="G2494" s="81"/>
      <c r="H2494" s="81"/>
      <c r="I2494" s="81"/>
      <c r="J2494" s="81"/>
      <c r="K2494" s="81"/>
      <c r="L2494" s="81"/>
      <c r="M2494" s="81"/>
      <c r="N2494" s="81"/>
      <c r="O2494" s="81"/>
      <c r="P2494" s="81"/>
      <c r="Q2494" s="81"/>
      <c r="R2494" s="81"/>
      <c r="S2494" s="81"/>
      <c r="T2494" s="81"/>
      <c r="U2494" s="81"/>
      <c r="V2494" s="94"/>
      <c r="W2494" s="94"/>
    </row>
    <row r="2495" spans="1:23" ht="21" customHeight="1">
      <c r="A2495">
        <f>Table4[[#This Row],[Column1]]</f>
        <v>0</v>
      </c>
      <c r="B2495">
        <f>Table4[[#This Row],[Column2]]</f>
        <v>0</v>
      </c>
      <c r="C2495" s="81"/>
      <c r="D2495" s="81"/>
      <c r="E2495" s="81"/>
      <c r="F2495" s="81"/>
      <c r="G2495" s="81"/>
      <c r="H2495" s="81"/>
      <c r="I2495" s="81"/>
      <c r="J2495" s="81"/>
      <c r="K2495" s="81"/>
      <c r="L2495" s="81"/>
      <c r="M2495" s="81"/>
      <c r="N2495" s="81"/>
      <c r="O2495" s="81"/>
      <c r="P2495" s="81"/>
      <c r="Q2495" s="81"/>
      <c r="R2495" s="81"/>
      <c r="S2495" s="81"/>
      <c r="T2495" s="81"/>
      <c r="U2495" s="81"/>
      <c r="V2495" s="94"/>
      <c r="W2495" s="94"/>
    </row>
    <row r="2496" spans="1:23" ht="21" customHeight="1">
      <c r="A2496">
        <f>Table4[[#This Row],[Column1]]</f>
        <v>0</v>
      </c>
      <c r="B2496">
        <f>Table4[[#This Row],[Column2]]</f>
        <v>0</v>
      </c>
      <c r="C2496" s="81"/>
      <c r="D2496" s="81"/>
      <c r="E2496" s="81"/>
      <c r="F2496" s="81"/>
      <c r="G2496" s="81"/>
      <c r="H2496" s="81"/>
      <c r="I2496" s="81"/>
      <c r="J2496" s="81"/>
      <c r="K2496" s="81"/>
      <c r="L2496" s="81"/>
      <c r="M2496" s="81"/>
      <c r="N2496" s="81"/>
      <c r="O2496" s="81"/>
      <c r="P2496" s="81"/>
      <c r="Q2496" s="81"/>
      <c r="R2496" s="81"/>
      <c r="S2496" s="81"/>
      <c r="T2496" s="81"/>
      <c r="U2496" s="81"/>
      <c r="V2496" s="94"/>
      <c r="W2496" s="94"/>
    </row>
    <row r="2497" spans="1:23" ht="21" customHeight="1">
      <c r="A2497">
        <f>Table4[[#This Row],[Column1]]</f>
        <v>0</v>
      </c>
      <c r="B2497">
        <f>Table4[[#This Row],[Column2]]</f>
        <v>0</v>
      </c>
      <c r="C2497" s="81"/>
      <c r="D2497" s="81"/>
      <c r="E2497" s="81"/>
      <c r="F2497" s="81"/>
      <c r="G2497" s="81"/>
      <c r="H2497" s="81"/>
      <c r="I2497" s="81"/>
      <c r="J2497" s="81"/>
      <c r="K2497" s="81"/>
      <c r="L2497" s="81"/>
      <c r="M2497" s="81"/>
      <c r="N2497" s="81"/>
      <c r="O2497" s="81"/>
      <c r="P2497" s="81"/>
      <c r="Q2497" s="81"/>
      <c r="R2497" s="81"/>
      <c r="S2497" s="81"/>
      <c r="T2497" s="81"/>
      <c r="U2497" s="81"/>
      <c r="V2497" s="94"/>
      <c r="W2497" s="94"/>
    </row>
    <row r="2498" spans="1:23" ht="21" customHeight="1">
      <c r="A2498">
        <f>Table4[[#This Row],[Column1]]</f>
        <v>0</v>
      </c>
      <c r="B2498">
        <f>Table4[[#This Row],[Column2]]</f>
        <v>0</v>
      </c>
      <c r="C2498" s="81"/>
      <c r="D2498" s="81"/>
      <c r="E2498" s="81"/>
      <c r="F2498" s="81"/>
      <c r="G2498" s="81"/>
      <c r="H2498" s="81"/>
      <c r="I2498" s="81"/>
      <c r="J2498" s="81"/>
      <c r="K2498" s="81"/>
      <c r="L2498" s="81"/>
      <c r="M2498" s="81"/>
      <c r="N2498" s="81"/>
      <c r="O2498" s="81"/>
      <c r="P2498" s="81"/>
      <c r="Q2498" s="81"/>
      <c r="R2498" s="81"/>
      <c r="S2498" s="81"/>
      <c r="T2498" s="81"/>
      <c r="U2498" s="81"/>
      <c r="V2498" s="94"/>
      <c r="W2498" s="94"/>
    </row>
    <row r="2499" spans="1:23" ht="21" customHeight="1">
      <c r="A2499">
        <f>Table4[[#This Row],[Column1]]</f>
        <v>0</v>
      </c>
      <c r="B2499">
        <f>Table4[[#This Row],[Column2]]</f>
        <v>0</v>
      </c>
      <c r="C2499" s="81"/>
      <c r="D2499" s="81"/>
      <c r="E2499" s="81"/>
      <c r="F2499" s="81"/>
      <c r="G2499" s="81"/>
      <c r="H2499" s="81"/>
      <c r="I2499" s="81"/>
      <c r="J2499" s="81"/>
      <c r="K2499" s="81"/>
      <c r="L2499" s="81"/>
      <c r="M2499" s="81"/>
      <c r="N2499" s="81"/>
      <c r="O2499" s="81"/>
      <c r="P2499" s="81"/>
      <c r="Q2499" s="81"/>
      <c r="R2499" s="81"/>
      <c r="S2499" s="81"/>
      <c r="T2499" s="81"/>
      <c r="U2499" s="81"/>
      <c r="V2499" s="94"/>
      <c r="W2499" s="94"/>
    </row>
    <row r="2500" spans="1:23" ht="21" customHeight="1">
      <c r="A2500">
        <f>Table4[[#This Row],[Column1]]</f>
        <v>0</v>
      </c>
      <c r="B2500">
        <f>Table4[[#This Row],[Column2]]</f>
        <v>0</v>
      </c>
      <c r="C2500" s="81"/>
      <c r="D2500" s="81"/>
      <c r="E2500" s="81"/>
      <c r="F2500" s="81"/>
      <c r="G2500" s="81"/>
      <c r="H2500" s="81"/>
      <c r="I2500" s="81"/>
      <c r="J2500" s="81"/>
      <c r="K2500" s="81"/>
      <c r="L2500" s="81"/>
      <c r="M2500" s="81"/>
      <c r="N2500" s="81"/>
      <c r="O2500" s="81"/>
      <c r="P2500" s="81"/>
      <c r="Q2500" s="81"/>
      <c r="R2500" s="81"/>
      <c r="S2500" s="81"/>
      <c r="T2500" s="81"/>
      <c r="U2500" s="81"/>
      <c r="V2500" s="94"/>
      <c r="W2500" s="94"/>
    </row>
    <row r="2501" spans="1:23" ht="21" customHeight="1">
      <c r="A2501">
        <f>Table4[[#This Row],[Column1]]</f>
        <v>0</v>
      </c>
      <c r="B2501">
        <f>Table4[[#This Row],[Column2]]</f>
        <v>0</v>
      </c>
      <c r="C2501" s="81"/>
      <c r="D2501" s="81"/>
      <c r="E2501" s="81"/>
      <c r="F2501" s="81"/>
      <c r="G2501" s="81"/>
      <c r="H2501" s="81"/>
      <c r="I2501" s="81"/>
      <c r="J2501" s="81"/>
      <c r="K2501" s="81"/>
      <c r="L2501" s="81"/>
      <c r="M2501" s="81"/>
      <c r="N2501" s="81"/>
      <c r="O2501" s="81"/>
      <c r="P2501" s="81"/>
      <c r="Q2501" s="81"/>
      <c r="R2501" s="81"/>
      <c r="S2501" s="81"/>
      <c r="T2501" s="81"/>
      <c r="U2501" s="81"/>
      <c r="V2501" s="94"/>
      <c r="W2501" s="94"/>
    </row>
    <row r="2502" spans="1:23" ht="21" customHeight="1">
      <c r="A2502">
        <f>Table4[[#This Row],[Column1]]</f>
        <v>0</v>
      </c>
      <c r="B2502">
        <f>Table4[[#This Row],[Column2]]</f>
        <v>0</v>
      </c>
      <c r="C2502" s="81"/>
      <c r="D2502" s="81"/>
      <c r="E2502" s="81"/>
      <c r="F2502" s="81"/>
      <c r="G2502" s="81"/>
      <c r="H2502" s="81"/>
      <c r="I2502" s="81"/>
      <c r="J2502" s="81"/>
      <c r="K2502" s="81"/>
      <c r="L2502" s="81"/>
      <c r="M2502" s="81"/>
      <c r="N2502" s="81"/>
      <c r="O2502" s="81"/>
      <c r="P2502" s="81"/>
      <c r="Q2502" s="81"/>
      <c r="R2502" s="81"/>
      <c r="S2502" s="81"/>
      <c r="T2502" s="81"/>
      <c r="U2502" s="81"/>
      <c r="V2502" s="94"/>
      <c r="W2502" s="94"/>
    </row>
    <row r="2503" spans="1:23" ht="21" customHeight="1">
      <c r="A2503">
        <f>Table4[[#This Row],[Column1]]</f>
        <v>0</v>
      </c>
      <c r="B2503">
        <f>Table4[[#This Row],[Column2]]</f>
        <v>0</v>
      </c>
      <c r="C2503" s="81"/>
      <c r="D2503" s="81"/>
      <c r="E2503" s="81"/>
      <c r="F2503" s="81"/>
      <c r="G2503" s="81"/>
      <c r="H2503" s="81"/>
      <c r="I2503" s="81"/>
      <c r="J2503" s="81"/>
      <c r="K2503" s="81"/>
      <c r="L2503" s="81"/>
      <c r="M2503" s="81"/>
      <c r="N2503" s="81"/>
      <c r="O2503" s="81"/>
      <c r="P2503" s="81"/>
      <c r="Q2503" s="81"/>
      <c r="R2503" s="81"/>
      <c r="S2503" s="81"/>
      <c r="T2503" s="81"/>
      <c r="U2503" s="81"/>
      <c r="V2503" s="94"/>
      <c r="W2503" s="94"/>
    </row>
    <row r="2504" spans="1:23" ht="21" customHeight="1">
      <c r="A2504">
        <f>Table4[[#This Row],[Column1]]</f>
        <v>0</v>
      </c>
      <c r="B2504">
        <f>Table4[[#This Row],[Column2]]</f>
        <v>0</v>
      </c>
      <c r="C2504" s="81"/>
      <c r="D2504" s="81"/>
      <c r="E2504" s="81"/>
      <c r="F2504" s="81"/>
      <c r="G2504" s="81"/>
      <c r="H2504" s="81"/>
      <c r="I2504" s="81"/>
      <c r="J2504" s="81"/>
      <c r="K2504" s="81"/>
      <c r="L2504" s="81"/>
      <c r="M2504" s="81"/>
      <c r="N2504" s="81"/>
      <c r="O2504" s="81"/>
      <c r="P2504" s="81"/>
      <c r="Q2504" s="81"/>
      <c r="R2504" s="81"/>
      <c r="S2504" s="81"/>
      <c r="T2504" s="81"/>
      <c r="U2504" s="81"/>
      <c r="V2504" s="94"/>
      <c r="W2504" s="94"/>
    </row>
    <row r="2505" spans="1:23" ht="21" customHeight="1">
      <c r="A2505">
        <f>Table4[[#This Row],[Column1]]</f>
        <v>0</v>
      </c>
      <c r="B2505">
        <f>Table4[[#This Row],[Column2]]</f>
        <v>0</v>
      </c>
      <c r="C2505" s="81"/>
      <c r="D2505" s="81"/>
      <c r="E2505" s="81"/>
      <c r="F2505" s="81"/>
      <c r="G2505" s="81"/>
      <c r="H2505" s="81"/>
      <c r="I2505" s="81"/>
      <c r="J2505" s="81"/>
      <c r="K2505" s="81"/>
      <c r="L2505" s="81"/>
      <c r="M2505" s="81"/>
      <c r="N2505" s="81"/>
      <c r="O2505" s="81"/>
      <c r="P2505" s="81"/>
      <c r="Q2505" s="81"/>
      <c r="R2505" s="81"/>
      <c r="S2505" s="81"/>
      <c r="T2505" s="81"/>
      <c r="U2505" s="81"/>
      <c r="V2505" s="94"/>
      <c r="W2505" s="94"/>
    </row>
    <row r="2506" spans="1:23" ht="21" customHeight="1">
      <c r="A2506">
        <f>Table4[[#This Row],[Column1]]</f>
        <v>0</v>
      </c>
      <c r="B2506">
        <f>Table4[[#This Row],[Column2]]</f>
        <v>0</v>
      </c>
      <c r="C2506" s="81"/>
      <c r="D2506" s="81"/>
      <c r="E2506" s="81"/>
      <c r="F2506" s="81"/>
      <c r="G2506" s="81"/>
      <c r="H2506" s="81"/>
      <c r="I2506" s="81"/>
      <c r="J2506" s="81"/>
      <c r="K2506" s="81"/>
      <c r="L2506" s="81"/>
      <c r="M2506" s="81"/>
      <c r="N2506" s="81"/>
      <c r="O2506" s="81"/>
      <c r="P2506" s="81"/>
      <c r="Q2506" s="81"/>
      <c r="R2506" s="81"/>
      <c r="S2506" s="81"/>
      <c r="T2506" s="81"/>
      <c r="U2506" s="81"/>
      <c r="V2506" s="94"/>
      <c r="W2506" s="94"/>
    </row>
    <row r="2507" spans="1:23" ht="21" customHeight="1">
      <c r="A2507">
        <f>Table4[[#This Row],[Column1]]</f>
        <v>0</v>
      </c>
      <c r="B2507">
        <f>Table4[[#This Row],[Column2]]</f>
        <v>0</v>
      </c>
      <c r="C2507" s="81"/>
      <c r="D2507" s="81"/>
      <c r="E2507" s="81"/>
      <c r="F2507" s="81"/>
      <c r="G2507" s="81"/>
      <c r="H2507" s="81"/>
      <c r="I2507" s="81"/>
      <c r="J2507" s="81"/>
      <c r="K2507" s="81"/>
      <c r="L2507" s="81"/>
      <c r="M2507" s="81"/>
      <c r="N2507" s="81"/>
      <c r="O2507" s="81"/>
      <c r="P2507" s="81"/>
      <c r="Q2507" s="81"/>
      <c r="R2507" s="81"/>
      <c r="S2507" s="81"/>
      <c r="T2507" s="81"/>
      <c r="U2507" s="81"/>
      <c r="V2507" s="94"/>
      <c r="W2507" s="94"/>
    </row>
    <row r="2508" spans="1:23" ht="21" customHeight="1">
      <c r="A2508">
        <f>Table4[[#This Row],[Column1]]</f>
        <v>0</v>
      </c>
      <c r="B2508">
        <f>Table4[[#This Row],[Column2]]</f>
        <v>0</v>
      </c>
      <c r="C2508" s="81"/>
      <c r="D2508" s="81"/>
      <c r="E2508" s="81"/>
      <c r="F2508" s="81"/>
      <c r="G2508" s="81"/>
      <c r="H2508" s="81"/>
      <c r="I2508" s="81"/>
      <c r="J2508" s="81"/>
      <c r="K2508" s="81"/>
      <c r="L2508" s="81"/>
      <c r="M2508" s="81"/>
      <c r="N2508" s="81"/>
      <c r="O2508" s="81"/>
      <c r="P2508" s="81"/>
      <c r="Q2508" s="81"/>
      <c r="R2508" s="81"/>
      <c r="S2508" s="81"/>
      <c r="T2508" s="81"/>
      <c r="U2508" s="81"/>
      <c r="V2508" s="94"/>
      <c r="W2508" s="94"/>
    </row>
    <row r="2509" spans="1:23" ht="21" customHeight="1">
      <c r="A2509">
        <f>Table4[[#This Row],[Column1]]</f>
        <v>0</v>
      </c>
      <c r="B2509">
        <f>Table4[[#This Row],[Column2]]</f>
        <v>0</v>
      </c>
      <c r="C2509" s="81"/>
      <c r="D2509" s="81"/>
      <c r="E2509" s="81"/>
      <c r="F2509" s="81"/>
      <c r="G2509" s="81"/>
      <c r="H2509" s="81"/>
      <c r="I2509" s="81"/>
      <c r="J2509" s="81"/>
      <c r="K2509" s="81"/>
      <c r="L2509" s="81"/>
      <c r="M2509" s="81"/>
      <c r="N2509" s="81"/>
      <c r="O2509" s="81"/>
      <c r="P2509" s="81"/>
      <c r="Q2509" s="81"/>
      <c r="R2509" s="81"/>
      <c r="S2509" s="81"/>
      <c r="T2509" s="81"/>
      <c r="U2509" s="81"/>
      <c r="V2509" s="94"/>
      <c r="W2509" s="94"/>
    </row>
    <row r="2510" spans="1:23" ht="21" customHeight="1">
      <c r="A2510">
        <f>Table4[[#This Row],[Column1]]</f>
        <v>0</v>
      </c>
      <c r="B2510">
        <f>Table4[[#This Row],[Column2]]</f>
        <v>0</v>
      </c>
      <c r="C2510" s="81"/>
      <c r="D2510" s="81"/>
      <c r="E2510" s="81"/>
      <c r="F2510" s="81"/>
      <c r="G2510" s="81"/>
      <c r="H2510" s="81"/>
      <c r="I2510" s="81"/>
      <c r="J2510" s="81"/>
      <c r="K2510" s="81"/>
      <c r="L2510" s="81"/>
      <c r="M2510" s="81"/>
      <c r="N2510" s="81"/>
      <c r="O2510" s="81"/>
      <c r="P2510" s="81"/>
      <c r="Q2510" s="81"/>
      <c r="R2510" s="81"/>
      <c r="S2510" s="81"/>
      <c r="T2510" s="81"/>
      <c r="U2510" s="81"/>
      <c r="V2510" s="94"/>
      <c r="W2510" s="94"/>
    </row>
    <row r="2511" spans="1:23" ht="21" customHeight="1">
      <c r="A2511">
        <f>Table4[[#This Row],[Column1]]</f>
        <v>0</v>
      </c>
      <c r="B2511">
        <f>Table4[[#This Row],[Column2]]</f>
        <v>0</v>
      </c>
      <c r="C2511" s="81"/>
      <c r="D2511" s="81"/>
      <c r="E2511" s="81"/>
      <c r="F2511" s="81"/>
      <c r="G2511" s="81"/>
      <c r="H2511" s="81"/>
      <c r="I2511" s="81"/>
      <c r="J2511" s="81"/>
      <c r="K2511" s="81"/>
      <c r="L2511" s="81"/>
      <c r="M2511" s="81"/>
      <c r="N2511" s="81"/>
      <c r="O2511" s="81"/>
      <c r="P2511" s="81"/>
      <c r="Q2511" s="81"/>
      <c r="R2511" s="81"/>
      <c r="S2511" s="81"/>
      <c r="T2511" s="81"/>
      <c r="U2511" s="81"/>
      <c r="V2511" s="94"/>
      <c r="W2511" s="94"/>
    </row>
    <row r="2512" spans="1:23" ht="21" customHeight="1">
      <c r="A2512">
        <f>Table4[[#This Row],[Column1]]</f>
        <v>0</v>
      </c>
      <c r="B2512">
        <f>Table4[[#This Row],[Column2]]</f>
        <v>0</v>
      </c>
      <c r="C2512" s="81"/>
      <c r="D2512" s="81"/>
      <c r="E2512" s="81"/>
      <c r="F2512" s="81"/>
      <c r="G2512" s="81"/>
      <c r="H2512" s="81"/>
      <c r="I2512" s="81"/>
      <c r="J2512" s="81"/>
      <c r="K2512" s="81"/>
      <c r="L2512" s="81"/>
      <c r="M2512" s="81"/>
      <c r="N2512" s="81"/>
      <c r="O2512" s="81"/>
      <c r="P2512" s="81"/>
      <c r="Q2512" s="81"/>
      <c r="R2512" s="81"/>
      <c r="S2512" s="81"/>
      <c r="T2512" s="81"/>
      <c r="U2512" s="81"/>
      <c r="V2512" s="94"/>
      <c r="W2512" s="94"/>
    </row>
    <row r="2513" spans="1:23" ht="21" customHeight="1">
      <c r="A2513">
        <f>Table4[[#This Row],[Column1]]</f>
        <v>0</v>
      </c>
      <c r="B2513">
        <f>Table4[[#This Row],[Column2]]</f>
        <v>0</v>
      </c>
      <c r="C2513" s="81"/>
      <c r="D2513" s="81"/>
      <c r="E2513" s="81"/>
      <c r="F2513" s="81"/>
      <c r="G2513" s="81"/>
      <c r="H2513" s="81"/>
      <c r="I2513" s="81"/>
      <c r="J2513" s="81"/>
      <c r="K2513" s="81"/>
      <c r="L2513" s="81"/>
      <c r="M2513" s="81"/>
      <c r="N2513" s="81"/>
      <c r="O2513" s="81"/>
      <c r="P2513" s="81"/>
      <c r="Q2513" s="81"/>
      <c r="R2513" s="81"/>
      <c r="S2513" s="81"/>
      <c r="T2513" s="81"/>
      <c r="U2513" s="81"/>
      <c r="V2513" s="94"/>
      <c r="W2513" s="94"/>
    </row>
    <row r="2514" spans="1:23" ht="21" customHeight="1">
      <c r="A2514">
        <f>Table4[[#This Row],[Column1]]</f>
        <v>0</v>
      </c>
      <c r="B2514">
        <f>Table4[[#This Row],[Column2]]</f>
        <v>0</v>
      </c>
      <c r="C2514" s="81"/>
      <c r="D2514" s="81"/>
      <c r="E2514" s="81"/>
      <c r="F2514" s="81"/>
      <c r="G2514" s="81"/>
      <c r="H2514" s="81"/>
      <c r="I2514" s="81"/>
      <c r="J2514" s="81"/>
      <c r="K2514" s="81"/>
      <c r="L2514" s="81"/>
      <c r="M2514" s="81"/>
      <c r="N2514" s="81"/>
      <c r="O2514" s="81"/>
      <c r="P2514" s="81"/>
      <c r="Q2514" s="81"/>
      <c r="R2514" s="81"/>
      <c r="S2514" s="81"/>
      <c r="T2514" s="81"/>
      <c r="U2514" s="81"/>
      <c r="V2514" s="94"/>
      <c r="W2514" s="94"/>
    </row>
    <row r="2515" spans="1:23" ht="21" customHeight="1">
      <c r="A2515">
        <f>Table4[[#This Row],[Column1]]</f>
        <v>0</v>
      </c>
      <c r="B2515">
        <f>Table4[[#This Row],[Column2]]</f>
        <v>0</v>
      </c>
      <c r="C2515" s="81"/>
      <c r="D2515" s="81"/>
      <c r="E2515" s="81"/>
      <c r="F2515" s="81"/>
      <c r="G2515" s="81"/>
      <c r="H2515" s="81"/>
      <c r="I2515" s="81"/>
      <c r="J2515" s="81"/>
      <c r="K2515" s="81"/>
      <c r="L2515" s="81"/>
      <c r="M2515" s="81"/>
      <c r="N2515" s="81"/>
      <c r="O2515" s="81"/>
      <c r="P2515" s="81"/>
      <c r="Q2515" s="81"/>
      <c r="R2515" s="81"/>
      <c r="S2515" s="81"/>
      <c r="T2515" s="81"/>
      <c r="U2515" s="81"/>
      <c r="V2515" s="94"/>
      <c r="W2515" s="94"/>
    </row>
    <row r="2516" spans="1:23" ht="21" customHeight="1">
      <c r="A2516">
        <f>Table4[[#This Row],[Column1]]</f>
        <v>0</v>
      </c>
      <c r="B2516">
        <f>Table4[[#This Row],[Column2]]</f>
        <v>0</v>
      </c>
      <c r="C2516" s="81"/>
      <c r="D2516" s="81"/>
      <c r="E2516" s="81"/>
      <c r="F2516" s="81"/>
      <c r="G2516" s="81"/>
      <c r="H2516" s="81"/>
      <c r="I2516" s="81"/>
      <c r="J2516" s="81"/>
      <c r="K2516" s="81"/>
      <c r="L2516" s="81"/>
      <c r="M2516" s="81"/>
      <c r="N2516" s="81"/>
      <c r="O2516" s="81"/>
      <c r="P2516" s="81"/>
      <c r="Q2516" s="81"/>
      <c r="R2516" s="81"/>
      <c r="S2516" s="81"/>
      <c r="T2516" s="81"/>
      <c r="U2516" s="81"/>
      <c r="V2516" s="94"/>
      <c r="W2516" s="94"/>
    </row>
    <row r="2517" spans="1:23" ht="21" customHeight="1">
      <c r="A2517">
        <f>Table4[[#This Row],[Column1]]</f>
        <v>0</v>
      </c>
      <c r="B2517">
        <f>Table4[[#This Row],[Column2]]</f>
        <v>0</v>
      </c>
      <c r="C2517" s="81"/>
      <c r="D2517" s="81"/>
      <c r="E2517" s="81"/>
      <c r="F2517" s="81"/>
      <c r="G2517" s="81"/>
      <c r="H2517" s="81"/>
      <c r="I2517" s="81"/>
      <c r="J2517" s="81"/>
      <c r="K2517" s="81"/>
      <c r="L2517" s="81"/>
      <c r="M2517" s="81"/>
      <c r="N2517" s="81"/>
      <c r="O2517" s="81"/>
      <c r="P2517" s="81"/>
      <c r="Q2517" s="81"/>
      <c r="R2517" s="81"/>
      <c r="S2517" s="81"/>
      <c r="T2517" s="81"/>
      <c r="U2517" s="81"/>
      <c r="V2517" s="94"/>
      <c r="W2517" s="94"/>
    </row>
    <row r="2518" spans="1:23" ht="21" customHeight="1">
      <c r="A2518">
        <f>Table4[[#This Row],[Column1]]</f>
        <v>0</v>
      </c>
      <c r="B2518">
        <f>Table4[[#This Row],[Column2]]</f>
        <v>0</v>
      </c>
      <c r="C2518" s="81"/>
      <c r="D2518" s="81"/>
      <c r="E2518" s="81"/>
      <c r="F2518" s="81"/>
      <c r="G2518" s="81"/>
      <c r="H2518" s="81"/>
      <c r="I2518" s="81"/>
      <c r="J2518" s="81"/>
      <c r="K2518" s="81"/>
      <c r="L2518" s="81"/>
      <c r="M2518" s="81"/>
      <c r="N2518" s="81"/>
      <c r="O2518" s="81"/>
      <c r="P2518" s="81"/>
      <c r="Q2518" s="81"/>
      <c r="R2518" s="81"/>
      <c r="S2518" s="81"/>
      <c r="T2518" s="81"/>
      <c r="U2518" s="81"/>
      <c r="V2518" s="94"/>
      <c r="W2518" s="94"/>
    </row>
    <row r="2519" spans="1:23" ht="21" customHeight="1">
      <c r="A2519">
        <f>Table4[[#This Row],[Column1]]</f>
        <v>0</v>
      </c>
      <c r="B2519">
        <f>Table4[[#This Row],[Column2]]</f>
        <v>0</v>
      </c>
      <c r="C2519" s="81"/>
      <c r="D2519" s="81"/>
      <c r="E2519" s="81"/>
      <c r="F2519" s="81"/>
      <c r="G2519" s="81"/>
      <c r="H2519" s="81"/>
      <c r="I2519" s="81"/>
      <c r="J2519" s="81"/>
      <c r="K2519" s="81"/>
      <c r="L2519" s="81"/>
      <c r="M2519" s="81"/>
      <c r="N2519" s="81"/>
      <c r="O2519" s="81"/>
      <c r="P2519" s="81"/>
      <c r="Q2519" s="81"/>
      <c r="R2519" s="81"/>
      <c r="S2519" s="81"/>
      <c r="T2519" s="81"/>
      <c r="U2519" s="81"/>
      <c r="V2519" s="94"/>
      <c r="W2519" s="94"/>
    </row>
    <row r="2520" spans="1:23" ht="21" customHeight="1">
      <c r="A2520">
        <f>Table4[[#This Row],[Column1]]</f>
        <v>0</v>
      </c>
      <c r="B2520">
        <f>Table4[[#This Row],[Column2]]</f>
        <v>0</v>
      </c>
      <c r="C2520" s="81"/>
      <c r="D2520" s="81"/>
      <c r="E2520" s="81"/>
      <c r="F2520" s="81"/>
      <c r="G2520" s="81"/>
      <c r="H2520" s="81"/>
      <c r="I2520" s="81"/>
      <c r="J2520" s="81"/>
      <c r="K2520" s="81"/>
      <c r="L2520" s="81"/>
      <c r="M2520" s="81"/>
      <c r="N2520" s="81"/>
      <c r="O2520" s="81"/>
      <c r="P2520" s="81"/>
      <c r="Q2520" s="81"/>
      <c r="R2520" s="81"/>
      <c r="S2520" s="81"/>
      <c r="T2520" s="81"/>
      <c r="U2520" s="81"/>
      <c r="V2520" s="94"/>
      <c r="W2520" s="94"/>
    </row>
    <row r="2521" spans="1:23" ht="21" customHeight="1">
      <c r="A2521">
        <f>Table4[[#This Row],[Column1]]</f>
        <v>0</v>
      </c>
      <c r="B2521">
        <f>Table4[[#This Row],[Column2]]</f>
        <v>0</v>
      </c>
      <c r="C2521" s="81"/>
      <c r="D2521" s="81"/>
      <c r="E2521" s="81"/>
      <c r="F2521" s="81"/>
      <c r="G2521" s="81"/>
      <c r="H2521" s="81"/>
      <c r="I2521" s="81"/>
      <c r="J2521" s="81"/>
      <c r="K2521" s="81"/>
      <c r="L2521" s="81"/>
      <c r="M2521" s="81"/>
      <c r="N2521" s="81"/>
      <c r="O2521" s="81"/>
      <c r="P2521" s="81"/>
      <c r="Q2521" s="81"/>
      <c r="R2521" s="81"/>
      <c r="S2521" s="81"/>
      <c r="T2521" s="81"/>
      <c r="U2521" s="81"/>
      <c r="V2521" s="94"/>
      <c r="W2521" s="94"/>
    </row>
    <row r="2522" spans="1:23" ht="21" customHeight="1">
      <c r="A2522">
        <f>Table4[[#This Row],[Column1]]</f>
        <v>0</v>
      </c>
      <c r="B2522">
        <f>Table4[[#This Row],[Column2]]</f>
        <v>0</v>
      </c>
      <c r="C2522" s="81"/>
      <c r="D2522" s="81"/>
      <c r="E2522" s="81"/>
      <c r="F2522" s="81"/>
      <c r="G2522" s="81"/>
      <c r="H2522" s="81"/>
      <c r="I2522" s="81"/>
      <c r="J2522" s="81"/>
      <c r="K2522" s="81"/>
      <c r="L2522" s="81"/>
      <c r="M2522" s="81"/>
      <c r="N2522" s="81"/>
      <c r="O2522" s="81"/>
      <c r="P2522" s="81"/>
      <c r="Q2522" s="81"/>
      <c r="R2522" s="81"/>
      <c r="S2522" s="81"/>
      <c r="T2522" s="81"/>
      <c r="U2522" s="81"/>
      <c r="V2522" s="94"/>
      <c r="W2522" s="94"/>
    </row>
    <row r="2523" spans="1:23" ht="21" customHeight="1">
      <c r="A2523">
        <f>Table4[[#This Row],[Column1]]</f>
        <v>0</v>
      </c>
      <c r="B2523">
        <f>Table4[[#This Row],[Column2]]</f>
        <v>0</v>
      </c>
      <c r="C2523" s="81"/>
      <c r="D2523" s="81"/>
      <c r="E2523" s="81"/>
      <c r="F2523" s="81"/>
      <c r="G2523" s="81"/>
      <c r="H2523" s="81"/>
      <c r="I2523" s="81"/>
      <c r="J2523" s="81"/>
      <c r="K2523" s="81"/>
      <c r="L2523" s="81"/>
      <c r="M2523" s="81"/>
      <c r="N2523" s="81"/>
      <c r="O2523" s="81"/>
      <c r="P2523" s="81"/>
      <c r="Q2523" s="81"/>
      <c r="R2523" s="81"/>
      <c r="S2523" s="81"/>
      <c r="T2523" s="81"/>
      <c r="U2523" s="81"/>
      <c r="V2523" s="94"/>
      <c r="W2523" s="94"/>
    </row>
    <row r="2524" spans="1:23" ht="21" customHeight="1">
      <c r="A2524">
        <f>Table4[[#This Row],[Column1]]</f>
        <v>0</v>
      </c>
      <c r="B2524">
        <f>Table4[[#This Row],[Column2]]</f>
        <v>0</v>
      </c>
      <c r="C2524" s="81"/>
      <c r="D2524" s="81"/>
      <c r="E2524" s="81"/>
      <c r="F2524" s="81"/>
      <c r="G2524" s="81"/>
      <c r="H2524" s="81"/>
      <c r="I2524" s="81"/>
      <c r="J2524" s="81"/>
      <c r="K2524" s="81"/>
      <c r="L2524" s="81"/>
      <c r="M2524" s="81"/>
      <c r="N2524" s="81"/>
      <c r="O2524" s="81"/>
      <c r="P2524" s="81"/>
      <c r="Q2524" s="81"/>
      <c r="R2524" s="81"/>
      <c r="S2524" s="81"/>
      <c r="T2524" s="81"/>
      <c r="U2524" s="81"/>
      <c r="V2524" s="94"/>
      <c r="W2524" s="94"/>
    </row>
    <row r="2525" spans="1:23" ht="21" customHeight="1">
      <c r="A2525">
        <f>Table4[[#This Row],[Column1]]</f>
        <v>0</v>
      </c>
      <c r="B2525">
        <f>Table4[[#This Row],[Column2]]</f>
        <v>0</v>
      </c>
      <c r="C2525" s="81"/>
      <c r="D2525" s="81"/>
      <c r="E2525" s="81"/>
      <c r="F2525" s="81"/>
      <c r="G2525" s="81"/>
      <c r="H2525" s="81"/>
      <c r="I2525" s="81"/>
      <c r="J2525" s="81"/>
      <c r="K2525" s="81"/>
      <c r="L2525" s="81"/>
      <c r="M2525" s="81"/>
      <c r="N2525" s="81"/>
      <c r="O2525" s="81"/>
      <c r="P2525" s="81"/>
      <c r="Q2525" s="81"/>
      <c r="R2525" s="81"/>
      <c r="S2525" s="81"/>
      <c r="T2525" s="81"/>
      <c r="U2525" s="81"/>
      <c r="V2525" s="94"/>
      <c r="W2525" s="94"/>
    </row>
    <row r="2526" spans="1:23" ht="21" customHeight="1">
      <c r="A2526">
        <f>Table4[[#This Row],[Column1]]</f>
        <v>0</v>
      </c>
      <c r="B2526">
        <f>Table4[[#This Row],[Column2]]</f>
        <v>0</v>
      </c>
      <c r="C2526" s="81"/>
      <c r="D2526" s="81"/>
      <c r="E2526" s="81"/>
      <c r="F2526" s="81"/>
      <c r="G2526" s="81"/>
      <c r="H2526" s="81"/>
      <c r="I2526" s="81"/>
      <c r="J2526" s="81"/>
      <c r="K2526" s="81"/>
      <c r="L2526" s="81"/>
      <c r="M2526" s="81"/>
      <c r="N2526" s="81"/>
      <c r="O2526" s="81"/>
      <c r="P2526" s="81"/>
      <c r="Q2526" s="81"/>
      <c r="R2526" s="81"/>
      <c r="S2526" s="81"/>
      <c r="T2526" s="81"/>
      <c r="U2526" s="81"/>
      <c r="V2526" s="94"/>
      <c r="W2526" s="94"/>
    </row>
    <row r="2527" spans="1:23" ht="21" customHeight="1">
      <c r="A2527">
        <f>Table4[[#This Row],[Column1]]</f>
        <v>0</v>
      </c>
      <c r="B2527">
        <f>Table4[[#This Row],[Column2]]</f>
        <v>0</v>
      </c>
      <c r="C2527" s="81"/>
      <c r="D2527" s="81"/>
      <c r="E2527" s="81"/>
      <c r="F2527" s="81"/>
      <c r="G2527" s="81"/>
      <c r="H2527" s="81"/>
      <c r="I2527" s="81"/>
      <c r="J2527" s="81"/>
      <c r="K2527" s="81"/>
      <c r="L2527" s="81"/>
      <c r="M2527" s="81"/>
      <c r="N2527" s="81"/>
      <c r="O2527" s="81"/>
      <c r="P2527" s="81"/>
      <c r="Q2527" s="81"/>
      <c r="R2527" s="81"/>
      <c r="S2527" s="81"/>
      <c r="T2527" s="81"/>
      <c r="U2527" s="81"/>
      <c r="V2527" s="94"/>
      <c r="W2527" s="94"/>
    </row>
    <row r="2528" spans="1:23" ht="21" customHeight="1">
      <c r="A2528">
        <f>Table4[[#This Row],[Column1]]</f>
        <v>0</v>
      </c>
      <c r="B2528">
        <f>Table4[[#This Row],[Column2]]</f>
        <v>0</v>
      </c>
      <c r="C2528" s="81"/>
      <c r="D2528" s="81"/>
      <c r="E2528" s="81"/>
      <c r="F2528" s="81"/>
      <c r="G2528" s="81"/>
      <c r="H2528" s="81"/>
      <c r="I2528" s="81"/>
      <c r="J2528" s="81"/>
      <c r="K2528" s="81"/>
      <c r="L2528" s="81"/>
      <c r="M2528" s="81"/>
      <c r="N2528" s="81"/>
      <c r="O2528" s="81"/>
      <c r="P2528" s="81"/>
      <c r="Q2528" s="81"/>
      <c r="R2528" s="81"/>
      <c r="S2528" s="81"/>
      <c r="T2528" s="81"/>
      <c r="U2528" s="81"/>
      <c r="V2528" s="94"/>
      <c r="W2528" s="94"/>
    </row>
    <row r="2529" spans="1:23" ht="21" customHeight="1">
      <c r="A2529">
        <f>Table4[[#This Row],[Column1]]</f>
        <v>0</v>
      </c>
      <c r="B2529">
        <f>Table4[[#This Row],[Column2]]</f>
        <v>0</v>
      </c>
      <c r="C2529" s="81"/>
      <c r="D2529" s="81"/>
      <c r="E2529" s="81"/>
      <c r="F2529" s="81"/>
      <c r="G2529" s="81"/>
      <c r="H2529" s="81"/>
      <c r="I2529" s="81"/>
      <c r="J2529" s="81"/>
      <c r="K2529" s="81"/>
      <c r="L2529" s="81"/>
      <c r="M2529" s="81"/>
      <c r="N2529" s="81"/>
      <c r="O2529" s="81"/>
      <c r="P2529" s="81"/>
      <c r="Q2529" s="81"/>
      <c r="R2529" s="81"/>
      <c r="S2529" s="81"/>
      <c r="T2529" s="81"/>
      <c r="U2529" s="81"/>
      <c r="V2529" s="94"/>
      <c r="W2529" s="94"/>
    </row>
    <row r="2530" spans="1:23" ht="21" customHeight="1">
      <c r="A2530">
        <f>Table4[[#This Row],[Column1]]</f>
        <v>0</v>
      </c>
      <c r="B2530">
        <f>Table4[[#This Row],[Column2]]</f>
        <v>0</v>
      </c>
      <c r="C2530" s="81"/>
      <c r="D2530" s="81"/>
      <c r="E2530" s="81"/>
      <c r="F2530" s="81"/>
      <c r="G2530" s="81"/>
      <c r="H2530" s="81"/>
      <c r="I2530" s="81"/>
      <c r="J2530" s="81"/>
      <c r="K2530" s="81"/>
      <c r="L2530" s="81"/>
      <c r="M2530" s="81"/>
      <c r="N2530" s="81"/>
      <c r="O2530" s="81"/>
      <c r="P2530" s="81"/>
      <c r="Q2530" s="81"/>
      <c r="R2530" s="81"/>
      <c r="S2530" s="81"/>
      <c r="T2530" s="81"/>
      <c r="U2530" s="81"/>
      <c r="V2530" s="94"/>
      <c r="W2530" s="94"/>
    </row>
    <row r="2531" spans="1:23" ht="21" customHeight="1">
      <c r="A2531">
        <f>Table4[[#This Row],[Column1]]</f>
        <v>0</v>
      </c>
      <c r="B2531">
        <f>Table4[[#This Row],[Column2]]</f>
        <v>0</v>
      </c>
      <c r="C2531" s="81"/>
      <c r="D2531" s="81"/>
      <c r="E2531" s="81"/>
      <c r="F2531" s="81"/>
      <c r="G2531" s="81"/>
      <c r="H2531" s="81"/>
      <c r="I2531" s="81"/>
      <c r="J2531" s="81"/>
      <c r="K2531" s="81"/>
      <c r="L2531" s="81"/>
      <c r="M2531" s="81"/>
      <c r="N2531" s="81"/>
      <c r="O2531" s="81"/>
      <c r="P2531" s="81"/>
      <c r="Q2531" s="81"/>
      <c r="R2531" s="81"/>
      <c r="S2531" s="81"/>
      <c r="T2531" s="81"/>
      <c r="U2531" s="81"/>
      <c r="V2531" s="94"/>
      <c r="W2531" s="94"/>
    </row>
    <row r="2532" spans="1:23" ht="21" customHeight="1">
      <c r="A2532">
        <f>Table4[[#This Row],[Column1]]</f>
        <v>0</v>
      </c>
      <c r="B2532">
        <f>Table4[[#This Row],[Column2]]</f>
        <v>0</v>
      </c>
      <c r="C2532" s="81"/>
      <c r="D2532" s="81"/>
      <c r="E2532" s="81"/>
      <c r="F2532" s="81"/>
      <c r="G2532" s="81"/>
      <c r="H2532" s="81"/>
      <c r="I2532" s="81"/>
      <c r="J2532" s="81"/>
      <c r="K2532" s="81"/>
      <c r="L2532" s="81"/>
      <c r="M2532" s="81"/>
      <c r="N2532" s="81"/>
      <c r="O2532" s="81"/>
      <c r="P2532" s="81"/>
      <c r="Q2532" s="81"/>
      <c r="R2532" s="81"/>
      <c r="S2532" s="81"/>
      <c r="T2532" s="81"/>
      <c r="U2532" s="81"/>
      <c r="V2532" s="94"/>
      <c r="W2532" s="94"/>
    </row>
    <row r="2533" spans="1:23" ht="21" customHeight="1">
      <c r="A2533">
        <f>Table4[[#This Row],[Column1]]</f>
        <v>0</v>
      </c>
      <c r="B2533">
        <f>Table4[[#This Row],[Column2]]</f>
        <v>0</v>
      </c>
      <c r="C2533" s="81"/>
      <c r="D2533" s="81"/>
      <c r="E2533" s="81"/>
      <c r="F2533" s="81"/>
      <c r="G2533" s="81"/>
      <c r="H2533" s="81"/>
      <c r="I2533" s="81"/>
      <c r="J2533" s="81"/>
      <c r="K2533" s="81"/>
      <c r="L2533" s="81"/>
      <c r="M2533" s="81"/>
      <c r="N2533" s="81"/>
      <c r="O2533" s="81"/>
      <c r="P2533" s="81"/>
      <c r="Q2533" s="81"/>
      <c r="R2533" s="81"/>
      <c r="S2533" s="81"/>
      <c r="T2533" s="81"/>
      <c r="U2533" s="81"/>
      <c r="V2533" s="94"/>
      <c r="W2533" s="94"/>
    </row>
    <row r="2534" spans="1:23" ht="21" customHeight="1">
      <c r="A2534">
        <f>Table4[[#This Row],[Column1]]</f>
        <v>0</v>
      </c>
      <c r="B2534">
        <f>Table4[[#This Row],[Column2]]</f>
        <v>0</v>
      </c>
      <c r="C2534" s="81"/>
      <c r="D2534" s="81"/>
      <c r="E2534" s="81"/>
      <c r="F2534" s="81"/>
      <c r="G2534" s="81"/>
      <c r="H2534" s="81"/>
      <c r="I2534" s="81"/>
      <c r="J2534" s="81"/>
      <c r="K2534" s="81"/>
      <c r="L2534" s="81"/>
      <c r="M2534" s="81"/>
      <c r="N2534" s="81"/>
      <c r="O2534" s="81"/>
      <c r="P2534" s="81"/>
      <c r="Q2534" s="81"/>
      <c r="R2534" s="81"/>
      <c r="S2534" s="81"/>
      <c r="T2534" s="81"/>
      <c r="U2534" s="81"/>
      <c r="V2534" s="94"/>
      <c r="W2534" s="94"/>
    </row>
    <row r="2535" spans="1:23" ht="21" customHeight="1">
      <c r="A2535">
        <f>Table4[[#This Row],[Column1]]</f>
        <v>0</v>
      </c>
      <c r="B2535">
        <f>Table4[[#This Row],[Column2]]</f>
        <v>0</v>
      </c>
      <c r="C2535" s="81"/>
      <c r="D2535" s="81"/>
      <c r="E2535" s="81"/>
      <c r="F2535" s="81"/>
      <c r="G2535" s="81"/>
      <c r="H2535" s="81"/>
      <c r="I2535" s="81"/>
      <c r="J2535" s="81"/>
      <c r="K2535" s="81"/>
      <c r="L2535" s="81"/>
      <c r="M2535" s="81"/>
      <c r="N2535" s="81"/>
      <c r="O2535" s="81"/>
      <c r="P2535" s="81"/>
      <c r="Q2535" s="81"/>
      <c r="R2535" s="81"/>
      <c r="S2535" s="81"/>
      <c r="T2535" s="81"/>
      <c r="U2535" s="81"/>
      <c r="V2535" s="94"/>
      <c r="W2535" s="94"/>
    </row>
    <row r="2536" spans="1:23" ht="21" customHeight="1">
      <c r="A2536">
        <f>Table4[[#This Row],[Column1]]</f>
        <v>0</v>
      </c>
      <c r="B2536">
        <f>Table4[[#This Row],[Column2]]</f>
        <v>0</v>
      </c>
      <c r="C2536" s="81"/>
      <c r="D2536" s="81"/>
      <c r="E2536" s="81"/>
      <c r="F2536" s="81"/>
      <c r="G2536" s="81"/>
      <c r="H2536" s="81"/>
      <c r="I2536" s="81"/>
      <c r="J2536" s="81"/>
      <c r="K2536" s="81"/>
      <c r="L2536" s="81"/>
      <c r="M2536" s="81"/>
      <c r="N2536" s="81"/>
      <c r="O2536" s="81"/>
      <c r="P2536" s="81"/>
      <c r="Q2536" s="81"/>
      <c r="R2536" s="81"/>
      <c r="S2536" s="81"/>
      <c r="T2536" s="81"/>
      <c r="U2536" s="81"/>
      <c r="V2536" s="94"/>
      <c r="W2536" s="94"/>
    </row>
    <row r="2537" spans="1:23" ht="21" customHeight="1">
      <c r="A2537">
        <f>Table4[[#This Row],[Column1]]</f>
        <v>0</v>
      </c>
      <c r="B2537">
        <f>Table4[[#This Row],[Column2]]</f>
        <v>0</v>
      </c>
      <c r="C2537" s="81"/>
      <c r="D2537" s="81"/>
      <c r="E2537" s="81"/>
      <c r="F2537" s="81"/>
      <c r="G2537" s="81"/>
      <c r="H2537" s="81"/>
      <c r="I2537" s="81"/>
      <c r="J2537" s="81"/>
      <c r="K2537" s="81"/>
      <c r="L2537" s="81"/>
      <c r="M2537" s="81"/>
      <c r="N2537" s="81"/>
      <c r="O2537" s="81"/>
      <c r="P2537" s="81"/>
      <c r="Q2537" s="81"/>
      <c r="R2537" s="81"/>
      <c r="S2537" s="81"/>
      <c r="T2537" s="81"/>
      <c r="U2537" s="81"/>
      <c r="V2537" s="94"/>
      <c r="W2537" s="94"/>
    </row>
    <row r="2538" spans="1:23" ht="21" customHeight="1">
      <c r="A2538">
        <f>Table4[[#This Row],[Column1]]</f>
        <v>0</v>
      </c>
      <c r="B2538">
        <f>Table4[[#This Row],[Column2]]</f>
        <v>0</v>
      </c>
      <c r="C2538" s="81"/>
      <c r="D2538" s="81"/>
      <c r="E2538" s="81"/>
      <c r="F2538" s="81"/>
      <c r="G2538" s="81"/>
      <c r="H2538" s="81"/>
      <c r="I2538" s="81"/>
      <c r="J2538" s="81"/>
      <c r="K2538" s="81"/>
      <c r="L2538" s="81"/>
      <c r="M2538" s="81"/>
      <c r="N2538" s="81"/>
      <c r="O2538" s="81"/>
      <c r="P2538" s="81"/>
      <c r="Q2538" s="81"/>
      <c r="R2538" s="81"/>
      <c r="S2538" s="81"/>
      <c r="T2538" s="81"/>
      <c r="U2538" s="81"/>
      <c r="V2538" s="94"/>
      <c r="W2538" s="94"/>
    </row>
    <row r="2539" spans="1:23" ht="21" customHeight="1">
      <c r="A2539">
        <f>Table4[[#This Row],[Column1]]</f>
        <v>0</v>
      </c>
      <c r="B2539">
        <f>Table4[[#This Row],[Column2]]</f>
        <v>0</v>
      </c>
      <c r="C2539" s="81"/>
      <c r="D2539" s="81"/>
      <c r="E2539" s="81"/>
      <c r="F2539" s="81"/>
      <c r="G2539" s="81"/>
      <c r="H2539" s="81"/>
      <c r="I2539" s="81"/>
      <c r="J2539" s="81"/>
      <c r="K2539" s="81"/>
      <c r="L2539" s="81"/>
      <c r="M2539" s="81"/>
      <c r="N2539" s="81"/>
      <c r="O2539" s="81"/>
      <c r="P2539" s="81"/>
      <c r="Q2539" s="81"/>
      <c r="R2539" s="81"/>
      <c r="S2539" s="81"/>
      <c r="T2539" s="81"/>
      <c r="U2539" s="81"/>
      <c r="V2539" s="94"/>
      <c r="W2539" s="94"/>
    </row>
    <row r="2540" spans="1:23" ht="21" customHeight="1">
      <c r="A2540">
        <f>Table4[[#This Row],[Column1]]</f>
        <v>0</v>
      </c>
      <c r="B2540">
        <f>Table4[[#This Row],[Column2]]</f>
        <v>0</v>
      </c>
      <c r="C2540" s="81"/>
      <c r="D2540" s="81"/>
      <c r="E2540" s="81"/>
      <c r="F2540" s="81"/>
      <c r="G2540" s="81"/>
      <c r="H2540" s="81"/>
      <c r="I2540" s="81"/>
      <c r="J2540" s="81"/>
      <c r="K2540" s="81"/>
      <c r="L2540" s="81"/>
      <c r="M2540" s="81"/>
      <c r="N2540" s="81"/>
      <c r="O2540" s="81"/>
      <c r="P2540" s="81"/>
      <c r="Q2540" s="81"/>
      <c r="R2540" s="81"/>
      <c r="S2540" s="81"/>
      <c r="T2540" s="81"/>
      <c r="U2540" s="81"/>
      <c r="V2540" s="94"/>
      <c r="W2540" s="94"/>
    </row>
    <row r="2541" spans="1:23" ht="21" customHeight="1">
      <c r="A2541">
        <f>Table4[[#This Row],[Column1]]</f>
        <v>0</v>
      </c>
      <c r="B2541">
        <f>Table4[[#This Row],[Column2]]</f>
        <v>0</v>
      </c>
      <c r="C2541" s="81"/>
      <c r="D2541" s="81"/>
      <c r="E2541" s="81"/>
      <c r="F2541" s="81"/>
      <c r="G2541" s="81"/>
      <c r="H2541" s="81"/>
      <c r="I2541" s="81"/>
      <c r="J2541" s="81"/>
      <c r="K2541" s="81"/>
      <c r="L2541" s="81"/>
      <c r="M2541" s="81"/>
      <c r="N2541" s="81"/>
      <c r="O2541" s="81"/>
      <c r="P2541" s="81"/>
      <c r="Q2541" s="81"/>
      <c r="R2541" s="81"/>
      <c r="S2541" s="81"/>
      <c r="T2541" s="81"/>
      <c r="U2541" s="81"/>
      <c r="V2541" s="94"/>
      <c r="W2541" s="94"/>
    </row>
    <row r="2542" spans="1:23" ht="21" customHeight="1">
      <c r="A2542">
        <f>Table4[[#This Row],[Column1]]</f>
        <v>0</v>
      </c>
      <c r="B2542">
        <f>Table4[[#This Row],[Column2]]</f>
        <v>0</v>
      </c>
      <c r="C2542" s="81"/>
      <c r="D2542" s="81"/>
      <c r="E2542" s="81"/>
      <c r="F2542" s="81"/>
      <c r="G2542" s="81"/>
      <c r="H2542" s="81"/>
      <c r="I2542" s="81"/>
      <c r="J2542" s="81"/>
      <c r="K2542" s="81"/>
      <c r="L2542" s="81"/>
      <c r="M2542" s="81"/>
      <c r="N2542" s="81"/>
      <c r="O2542" s="81"/>
      <c r="P2542" s="81"/>
      <c r="Q2542" s="81"/>
      <c r="R2542" s="81"/>
      <c r="S2542" s="81"/>
      <c r="T2542" s="81"/>
      <c r="U2542" s="81"/>
      <c r="V2542" s="94"/>
      <c r="W2542" s="94"/>
    </row>
    <row r="2543" spans="1:23" ht="21" customHeight="1">
      <c r="A2543">
        <f>Table4[[#This Row],[Column1]]</f>
        <v>0</v>
      </c>
      <c r="B2543">
        <f>Table4[[#This Row],[Column2]]</f>
        <v>0</v>
      </c>
      <c r="C2543" s="81"/>
      <c r="D2543" s="81"/>
      <c r="E2543" s="81"/>
      <c r="F2543" s="81"/>
      <c r="G2543" s="81"/>
      <c r="H2543" s="81"/>
      <c r="I2543" s="81"/>
      <c r="J2543" s="81"/>
      <c r="K2543" s="81"/>
      <c r="L2543" s="81"/>
      <c r="M2543" s="81"/>
      <c r="N2543" s="81"/>
      <c r="O2543" s="81"/>
      <c r="P2543" s="81"/>
      <c r="Q2543" s="81"/>
      <c r="R2543" s="81"/>
      <c r="S2543" s="81"/>
      <c r="T2543" s="81"/>
      <c r="U2543" s="81"/>
      <c r="V2543" s="94"/>
      <c r="W2543" s="94"/>
    </row>
    <row r="2544" spans="1:23" ht="21" customHeight="1">
      <c r="A2544">
        <f>Table4[[#This Row],[Column1]]</f>
        <v>0</v>
      </c>
      <c r="B2544">
        <f>Table4[[#This Row],[Column2]]</f>
        <v>0</v>
      </c>
      <c r="C2544" s="81"/>
      <c r="D2544" s="81"/>
      <c r="E2544" s="81"/>
      <c r="F2544" s="81"/>
      <c r="G2544" s="81"/>
      <c r="H2544" s="81"/>
      <c r="I2544" s="81"/>
      <c r="J2544" s="81"/>
      <c r="K2544" s="81"/>
      <c r="L2544" s="81"/>
      <c r="M2544" s="81"/>
      <c r="N2544" s="81"/>
      <c r="O2544" s="81"/>
      <c r="P2544" s="81"/>
      <c r="Q2544" s="81"/>
      <c r="R2544" s="81"/>
      <c r="S2544" s="81"/>
      <c r="T2544" s="81"/>
      <c r="U2544" s="81"/>
      <c r="V2544" s="94"/>
      <c r="W2544" s="94"/>
    </row>
    <row r="2545" spans="1:23" ht="21" customHeight="1">
      <c r="A2545">
        <f>Table4[[#This Row],[Column1]]</f>
        <v>0</v>
      </c>
      <c r="B2545">
        <f>Table4[[#This Row],[Column2]]</f>
        <v>0</v>
      </c>
      <c r="C2545" s="81"/>
      <c r="D2545" s="81"/>
      <c r="E2545" s="81"/>
      <c r="F2545" s="81"/>
      <c r="G2545" s="81"/>
      <c r="H2545" s="81"/>
      <c r="I2545" s="81"/>
      <c r="J2545" s="81"/>
      <c r="K2545" s="81"/>
      <c r="L2545" s="81"/>
      <c r="M2545" s="81"/>
      <c r="N2545" s="81"/>
      <c r="O2545" s="81"/>
      <c r="P2545" s="81"/>
      <c r="Q2545" s="81"/>
      <c r="R2545" s="81"/>
      <c r="S2545" s="81"/>
      <c r="T2545" s="81"/>
      <c r="U2545" s="81"/>
      <c r="V2545" s="94"/>
      <c r="W2545" s="94"/>
    </row>
    <row r="2546" spans="1:23" ht="21" customHeight="1">
      <c r="A2546">
        <f>Table4[[#This Row],[Column1]]</f>
        <v>0</v>
      </c>
      <c r="B2546">
        <f>Table4[[#This Row],[Column2]]</f>
        <v>0</v>
      </c>
      <c r="C2546" s="81"/>
      <c r="D2546" s="81"/>
      <c r="E2546" s="81"/>
      <c r="F2546" s="81"/>
      <c r="G2546" s="81"/>
      <c r="H2546" s="81"/>
      <c r="I2546" s="81"/>
      <c r="J2546" s="81"/>
      <c r="K2546" s="81"/>
      <c r="L2546" s="81"/>
      <c r="M2546" s="81"/>
      <c r="N2546" s="81"/>
      <c r="O2546" s="81"/>
      <c r="P2546" s="81"/>
      <c r="Q2546" s="81"/>
      <c r="R2546" s="81"/>
      <c r="S2546" s="81"/>
      <c r="T2546" s="81"/>
      <c r="U2546" s="81"/>
      <c r="V2546" s="94"/>
      <c r="W2546" s="94"/>
    </row>
    <row r="2547" spans="1:23" ht="21" customHeight="1">
      <c r="A2547">
        <f>Table4[[#This Row],[Column1]]</f>
        <v>0</v>
      </c>
      <c r="B2547">
        <f>Table4[[#This Row],[Column2]]</f>
        <v>0</v>
      </c>
      <c r="C2547" s="81"/>
      <c r="D2547" s="81"/>
      <c r="E2547" s="81"/>
      <c r="F2547" s="81"/>
      <c r="G2547" s="81"/>
      <c r="H2547" s="81"/>
      <c r="I2547" s="81"/>
      <c r="J2547" s="81"/>
      <c r="K2547" s="81"/>
      <c r="L2547" s="81"/>
      <c r="M2547" s="81"/>
      <c r="N2547" s="81"/>
      <c r="O2547" s="81"/>
      <c r="P2547" s="81"/>
      <c r="Q2547" s="81"/>
      <c r="R2547" s="81"/>
      <c r="S2547" s="81"/>
      <c r="T2547" s="81"/>
      <c r="U2547" s="81"/>
      <c r="V2547" s="94"/>
      <c r="W2547" s="94"/>
    </row>
    <row r="2548" spans="1:23" ht="21" customHeight="1">
      <c r="A2548">
        <f>Table4[[#This Row],[Column1]]</f>
        <v>0</v>
      </c>
      <c r="B2548">
        <f>Table4[[#This Row],[Column2]]</f>
        <v>0</v>
      </c>
      <c r="C2548" s="81"/>
      <c r="D2548" s="81"/>
      <c r="E2548" s="81"/>
      <c r="F2548" s="81"/>
      <c r="G2548" s="81"/>
      <c r="H2548" s="81"/>
      <c r="I2548" s="81"/>
      <c r="J2548" s="81"/>
      <c r="K2548" s="81"/>
      <c r="L2548" s="81"/>
      <c r="M2548" s="81"/>
      <c r="N2548" s="81"/>
      <c r="O2548" s="81"/>
      <c r="P2548" s="81"/>
      <c r="Q2548" s="81"/>
      <c r="R2548" s="81"/>
      <c r="S2548" s="81"/>
      <c r="T2548" s="81"/>
      <c r="U2548" s="81"/>
      <c r="V2548" s="94"/>
      <c r="W2548" s="94"/>
    </row>
    <row r="2549" spans="1:23" ht="21" customHeight="1">
      <c r="A2549">
        <f>Table4[[#This Row],[Column1]]</f>
        <v>0</v>
      </c>
      <c r="B2549">
        <f>Table4[[#This Row],[Column2]]</f>
        <v>0</v>
      </c>
      <c r="C2549" s="81"/>
      <c r="D2549" s="81"/>
      <c r="E2549" s="81"/>
      <c r="F2549" s="81"/>
      <c r="G2549" s="81"/>
      <c r="H2549" s="81"/>
      <c r="I2549" s="81"/>
      <c r="J2549" s="81"/>
      <c r="K2549" s="81"/>
      <c r="L2549" s="81"/>
      <c r="M2549" s="81"/>
      <c r="N2549" s="81"/>
      <c r="O2549" s="81"/>
      <c r="P2549" s="81"/>
      <c r="Q2549" s="81"/>
      <c r="R2549" s="81"/>
      <c r="S2549" s="81"/>
      <c r="T2549" s="81"/>
      <c r="U2549" s="81"/>
      <c r="V2549" s="94"/>
      <c r="W2549" s="94"/>
    </row>
    <row r="2550" spans="1:23" ht="21" customHeight="1">
      <c r="A2550">
        <f>Table4[[#This Row],[Column1]]</f>
        <v>0</v>
      </c>
      <c r="B2550">
        <f>Table4[[#This Row],[Column2]]</f>
        <v>0</v>
      </c>
      <c r="C2550" s="81"/>
      <c r="D2550" s="81"/>
      <c r="E2550" s="81"/>
      <c r="F2550" s="81"/>
      <c r="G2550" s="81"/>
      <c r="H2550" s="81"/>
      <c r="I2550" s="81"/>
      <c r="J2550" s="81"/>
      <c r="K2550" s="81"/>
      <c r="L2550" s="81"/>
      <c r="M2550" s="81"/>
      <c r="N2550" s="81"/>
      <c r="O2550" s="81"/>
      <c r="P2550" s="81"/>
      <c r="Q2550" s="81"/>
      <c r="R2550" s="81"/>
      <c r="S2550" s="81"/>
      <c r="T2550" s="81"/>
      <c r="U2550" s="81"/>
      <c r="V2550" s="94"/>
      <c r="W2550" s="94"/>
    </row>
    <row r="2551" spans="1:23" ht="21" customHeight="1">
      <c r="A2551">
        <f>Table4[[#This Row],[Column1]]</f>
        <v>0</v>
      </c>
      <c r="B2551">
        <f>Table4[[#This Row],[Column2]]</f>
        <v>0</v>
      </c>
      <c r="C2551" s="81"/>
      <c r="D2551" s="81"/>
      <c r="E2551" s="81"/>
      <c r="F2551" s="81"/>
      <c r="G2551" s="81"/>
      <c r="H2551" s="81"/>
      <c r="I2551" s="81"/>
      <c r="J2551" s="81"/>
      <c r="K2551" s="81"/>
      <c r="L2551" s="81"/>
      <c r="M2551" s="81"/>
      <c r="N2551" s="81"/>
      <c r="O2551" s="81"/>
      <c r="P2551" s="81"/>
      <c r="Q2551" s="81"/>
      <c r="R2551" s="81"/>
      <c r="S2551" s="81"/>
      <c r="T2551" s="81"/>
      <c r="U2551" s="81"/>
      <c r="V2551" s="94"/>
      <c r="W2551" s="94"/>
    </row>
    <row r="2552" spans="1:23" ht="21" customHeight="1">
      <c r="A2552">
        <f>Table4[[#This Row],[Column1]]</f>
        <v>0</v>
      </c>
      <c r="B2552">
        <f>Table4[[#This Row],[Column2]]</f>
        <v>0</v>
      </c>
      <c r="C2552" s="81"/>
      <c r="D2552" s="81"/>
      <c r="E2552" s="81"/>
      <c r="F2552" s="81"/>
      <c r="G2552" s="81"/>
      <c r="H2552" s="81"/>
      <c r="I2552" s="81"/>
      <c r="J2552" s="81"/>
      <c r="K2552" s="81"/>
      <c r="L2552" s="81"/>
      <c r="M2552" s="81"/>
      <c r="N2552" s="81"/>
      <c r="O2552" s="81"/>
      <c r="P2552" s="81"/>
      <c r="Q2552" s="81"/>
      <c r="R2552" s="81"/>
      <c r="S2552" s="81"/>
      <c r="T2552" s="81"/>
      <c r="U2552" s="81"/>
      <c r="V2552" s="94"/>
      <c r="W2552" s="94"/>
    </row>
    <row r="2553" spans="1:23" ht="21" customHeight="1">
      <c r="A2553">
        <f>Table4[[#This Row],[Column1]]</f>
        <v>0</v>
      </c>
      <c r="B2553">
        <f>Table4[[#This Row],[Column2]]</f>
        <v>0</v>
      </c>
      <c r="C2553" s="81"/>
      <c r="D2553" s="81"/>
      <c r="E2553" s="81"/>
      <c r="F2553" s="81"/>
      <c r="G2553" s="81"/>
      <c r="H2553" s="81"/>
      <c r="I2553" s="81"/>
      <c r="J2553" s="81"/>
      <c r="K2553" s="81"/>
      <c r="L2553" s="81"/>
      <c r="M2553" s="81"/>
      <c r="N2553" s="81"/>
      <c r="O2553" s="81"/>
      <c r="P2553" s="81"/>
      <c r="Q2553" s="81"/>
      <c r="R2553" s="81"/>
      <c r="S2553" s="81"/>
      <c r="T2553" s="81"/>
      <c r="U2553" s="81"/>
      <c r="V2553" s="94"/>
      <c r="W2553" s="94"/>
    </row>
    <row r="2554" spans="1:23" ht="21" customHeight="1">
      <c r="A2554">
        <f>Table4[[#This Row],[Column1]]</f>
        <v>0</v>
      </c>
      <c r="B2554">
        <f>Table4[[#This Row],[Column2]]</f>
        <v>0</v>
      </c>
      <c r="C2554" s="81"/>
      <c r="D2554" s="81"/>
      <c r="E2554" s="81"/>
      <c r="F2554" s="81"/>
      <c r="G2554" s="81"/>
      <c r="H2554" s="81"/>
      <c r="I2554" s="81"/>
      <c r="J2554" s="81"/>
      <c r="K2554" s="81"/>
      <c r="L2554" s="81"/>
      <c r="M2554" s="81"/>
      <c r="N2554" s="81"/>
      <c r="O2554" s="81"/>
      <c r="P2554" s="81"/>
      <c r="Q2554" s="81"/>
      <c r="R2554" s="81"/>
      <c r="S2554" s="81"/>
      <c r="T2554" s="81"/>
      <c r="U2554" s="81"/>
      <c r="V2554" s="94"/>
      <c r="W2554" s="94"/>
    </row>
    <row r="2555" spans="1:23" ht="21" customHeight="1">
      <c r="A2555">
        <f>Table4[[#This Row],[Column1]]</f>
        <v>0</v>
      </c>
      <c r="B2555">
        <f>Table4[[#This Row],[Column2]]</f>
        <v>0</v>
      </c>
      <c r="C2555" s="81"/>
      <c r="D2555" s="81"/>
      <c r="E2555" s="81"/>
      <c r="F2555" s="81"/>
      <c r="G2555" s="81"/>
      <c r="H2555" s="81"/>
      <c r="I2555" s="81"/>
      <c r="J2555" s="81"/>
      <c r="K2555" s="81"/>
      <c r="L2555" s="81"/>
      <c r="M2555" s="81"/>
      <c r="N2555" s="81"/>
      <c r="O2555" s="81"/>
      <c r="P2555" s="81"/>
      <c r="Q2555" s="81"/>
      <c r="R2555" s="81"/>
      <c r="S2555" s="81"/>
      <c r="T2555" s="81"/>
      <c r="U2555" s="81"/>
      <c r="V2555" s="94"/>
      <c r="W2555" s="94"/>
    </row>
    <row r="2556" spans="1:23" ht="21" customHeight="1">
      <c r="A2556">
        <f>Table4[[#This Row],[Column1]]</f>
        <v>0</v>
      </c>
      <c r="B2556">
        <f>Table4[[#This Row],[Column2]]</f>
        <v>0</v>
      </c>
      <c r="C2556" s="81"/>
      <c r="D2556" s="81"/>
      <c r="E2556" s="81"/>
      <c r="F2556" s="81"/>
      <c r="G2556" s="81"/>
      <c r="H2556" s="81"/>
      <c r="I2556" s="81"/>
      <c r="J2556" s="81"/>
      <c r="K2556" s="81"/>
      <c r="L2556" s="81"/>
      <c r="M2556" s="81"/>
      <c r="N2556" s="81"/>
      <c r="O2556" s="81"/>
      <c r="P2556" s="81"/>
      <c r="Q2556" s="81"/>
      <c r="R2556" s="81"/>
      <c r="S2556" s="81"/>
      <c r="T2556" s="81"/>
      <c r="U2556" s="81"/>
      <c r="V2556" s="94"/>
      <c r="W2556" s="94"/>
    </row>
    <row r="2557" spans="1:23" ht="21" customHeight="1">
      <c r="A2557">
        <f>Table4[[#This Row],[Column1]]</f>
        <v>0</v>
      </c>
      <c r="B2557">
        <f>Table4[[#This Row],[Column2]]</f>
        <v>0</v>
      </c>
      <c r="C2557" s="81"/>
      <c r="D2557" s="81"/>
      <c r="E2557" s="81"/>
      <c r="F2557" s="81"/>
      <c r="G2557" s="81"/>
      <c r="H2557" s="81"/>
      <c r="I2557" s="81"/>
      <c r="J2557" s="81"/>
      <c r="K2557" s="81"/>
      <c r="L2557" s="81"/>
      <c r="M2557" s="81"/>
      <c r="N2557" s="81"/>
      <c r="O2557" s="81"/>
      <c r="P2557" s="81"/>
      <c r="Q2557" s="81"/>
      <c r="R2557" s="81"/>
      <c r="S2557" s="81"/>
      <c r="T2557" s="81"/>
      <c r="U2557" s="81"/>
      <c r="V2557" s="94"/>
      <c r="W2557" s="94"/>
    </row>
    <row r="2558" spans="1:23" ht="21" customHeight="1">
      <c r="A2558">
        <f>Table4[[#This Row],[Column1]]</f>
        <v>0</v>
      </c>
      <c r="B2558">
        <f>Table4[[#This Row],[Column2]]</f>
        <v>0</v>
      </c>
      <c r="C2558" s="81"/>
      <c r="D2558" s="81"/>
      <c r="E2558" s="81"/>
      <c r="F2558" s="81"/>
      <c r="G2558" s="81"/>
      <c r="H2558" s="81"/>
      <c r="I2558" s="81"/>
      <c r="J2558" s="81"/>
      <c r="K2558" s="81"/>
      <c r="L2558" s="81"/>
      <c r="M2558" s="81"/>
      <c r="N2558" s="81"/>
      <c r="O2558" s="81"/>
      <c r="P2558" s="81"/>
      <c r="Q2558" s="81"/>
      <c r="R2558" s="81"/>
      <c r="S2558" s="81"/>
      <c r="T2558" s="81"/>
      <c r="U2558" s="81"/>
      <c r="V2558" s="94"/>
      <c r="W2558" s="94"/>
    </row>
    <row r="2559" spans="1:23" ht="21" customHeight="1">
      <c r="A2559">
        <f>Table4[[#This Row],[Column1]]</f>
        <v>0</v>
      </c>
      <c r="B2559">
        <f>Table4[[#This Row],[Column2]]</f>
        <v>0</v>
      </c>
      <c r="C2559" s="81"/>
      <c r="D2559" s="81"/>
      <c r="E2559" s="81"/>
      <c r="F2559" s="81"/>
      <c r="G2559" s="81"/>
      <c r="H2559" s="81"/>
      <c r="I2559" s="81"/>
      <c r="J2559" s="81"/>
      <c r="K2559" s="81"/>
      <c r="L2559" s="81"/>
      <c r="M2559" s="81"/>
      <c r="N2559" s="81"/>
      <c r="O2559" s="81"/>
      <c r="P2559" s="81"/>
      <c r="Q2559" s="81"/>
      <c r="R2559" s="81"/>
      <c r="S2559" s="81"/>
      <c r="T2559" s="81"/>
      <c r="U2559" s="81"/>
      <c r="V2559" s="94"/>
      <c r="W2559" s="94"/>
    </row>
    <row r="2560" spans="1:23" ht="21" customHeight="1">
      <c r="A2560">
        <f>Table4[[#This Row],[Column1]]</f>
        <v>0</v>
      </c>
      <c r="B2560">
        <f>Table4[[#This Row],[Column2]]</f>
        <v>0</v>
      </c>
      <c r="C2560" s="81"/>
      <c r="D2560" s="81"/>
      <c r="E2560" s="81"/>
      <c r="F2560" s="81"/>
      <c r="G2560" s="81"/>
      <c r="H2560" s="81"/>
      <c r="I2560" s="81"/>
      <c r="J2560" s="81"/>
      <c r="K2560" s="81"/>
      <c r="L2560" s="81"/>
      <c r="M2560" s="81"/>
      <c r="N2560" s="81"/>
      <c r="O2560" s="81"/>
      <c r="P2560" s="81"/>
      <c r="Q2560" s="81"/>
      <c r="R2560" s="81"/>
      <c r="S2560" s="81"/>
      <c r="T2560" s="81"/>
      <c r="U2560" s="81"/>
      <c r="V2560" s="94"/>
      <c r="W2560" s="94"/>
    </row>
    <row r="2561" spans="1:23" ht="21" customHeight="1">
      <c r="A2561">
        <f>Table4[[#This Row],[Column1]]</f>
        <v>0</v>
      </c>
      <c r="B2561">
        <f>Table4[[#This Row],[Column2]]</f>
        <v>0</v>
      </c>
      <c r="C2561" s="81"/>
      <c r="D2561" s="81"/>
      <c r="E2561" s="81"/>
      <c r="F2561" s="81"/>
      <c r="G2561" s="81"/>
      <c r="H2561" s="81"/>
      <c r="I2561" s="81"/>
      <c r="J2561" s="81"/>
      <c r="K2561" s="81"/>
      <c r="L2561" s="81"/>
      <c r="M2561" s="81"/>
      <c r="N2561" s="81"/>
      <c r="O2561" s="81"/>
      <c r="P2561" s="81"/>
      <c r="Q2561" s="81"/>
      <c r="R2561" s="81"/>
      <c r="S2561" s="81"/>
      <c r="T2561" s="81"/>
      <c r="U2561" s="81"/>
      <c r="V2561" s="94"/>
      <c r="W2561" s="94"/>
    </row>
    <row r="2562" spans="1:23" ht="21" customHeight="1">
      <c r="A2562">
        <f>Table4[[#This Row],[Column1]]</f>
        <v>0</v>
      </c>
      <c r="B2562">
        <f>Table4[[#This Row],[Column2]]</f>
        <v>0</v>
      </c>
      <c r="C2562" s="81"/>
      <c r="D2562" s="81"/>
      <c r="E2562" s="81"/>
      <c r="F2562" s="81"/>
      <c r="G2562" s="81"/>
      <c r="H2562" s="81"/>
      <c r="I2562" s="81"/>
      <c r="J2562" s="81"/>
      <c r="K2562" s="81"/>
      <c r="L2562" s="81"/>
      <c r="M2562" s="81"/>
      <c r="N2562" s="81"/>
      <c r="O2562" s="81"/>
      <c r="P2562" s="81"/>
      <c r="Q2562" s="81"/>
      <c r="R2562" s="81"/>
      <c r="S2562" s="81"/>
      <c r="T2562" s="81"/>
      <c r="U2562" s="81"/>
      <c r="V2562" s="94"/>
      <c r="W2562" s="94"/>
    </row>
    <row r="2563" spans="1:23" ht="21" customHeight="1">
      <c r="A2563">
        <f>Table4[[#This Row],[Column1]]</f>
        <v>0</v>
      </c>
      <c r="B2563">
        <f>Table4[[#This Row],[Column2]]</f>
        <v>0</v>
      </c>
      <c r="C2563" s="81"/>
      <c r="D2563" s="81"/>
      <c r="E2563" s="81"/>
      <c r="F2563" s="81"/>
      <c r="G2563" s="81"/>
      <c r="H2563" s="81"/>
      <c r="I2563" s="81"/>
      <c r="J2563" s="81"/>
      <c r="K2563" s="81"/>
      <c r="L2563" s="81"/>
      <c r="M2563" s="81"/>
      <c r="N2563" s="81"/>
      <c r="O2563" s="81"/>
      <c r="P2563" s="81"/>
      <c r="Q2563" s="81"/>
      <c r="R2563" s="81"/>
      <c r="S2563" s="81"/>
      <c r="T2563" s="81"/>
      <c r="U2563" s="81"/>
      <c r="V2563" s="94"/>
      <c r="W2563" s="94"/>
    </row>
    <row r="2564" spans="1:23" ht="21" customHeight="1">
      <c r="A2564">
        <f>Table4[[#This Row],[Column1]]</f>
        <v>0</v>
      </c>
      <c r="B2564">
        <f>Table4[[#This Row],[Column2]]</f>
        <v>0</v>
      </c>
      <c r="C2564" s="81"/>
      <c r="D2564" s="81"/>
      <c r="E2564" s="81"/>
      <c r="F2564" s="81"/>
      <c r="G2564" s="81"/>
      <c r="H2564" s="81"/>
      <c r="I2564" s="81"/>
      <c r="J2564" s="81"/>
      <c r="K2564" s="81"/>
      <c r="L2564" s="81"/>
      <c r="M2564" s="81"/>
      <c r="N2564" s="81"/>
      <c r="O2564" s="81"/>
      <c r="P2564" s="81"/>
      <c r="Q2564" s="81"/>
      <c r="R2564" s="81"/>
      <c r="S2564" s="81"/>
      <c r="T2564" s="81"/>
      <c r="U2564" s="81"/>
      <c r="V2564" s="94"/>
      <c r="W2564" s="94"/>
    </row>
    <row r="2565" spans="1:23" ht="21" customHeight="1">
      <c r="A2565">
        <f>Table4[[#This Row],[Column1]]</f>
        <v>0</v>
      </c>
      <c r="B2565">
        <f>Table4[[#This Row],[Column2]]</f>
        <v>0</v>
      </c>
      <c r="C2565" s="81"/>
      <c r="D2565" s="81"/>
      <c r="E2565" s="81"/>
      <c r="F2565" s="81"/>
      <c r="G2565" s="81"/>
      <c r="H2565" s="81"/>
      <c r="I2565" s="81"/>
      <c r="J2565" s="81"/>
      <c r="K2565" s="81"/>
      <c r="L2565" s="81"/>
      <c r="M2565" s="81"/>
      <c r="N2565" s="81"/>
      <c r="O2565" s="81"/>
      <c r="P2565" s="81"/>
      <c r="Q2565" s="81"/>
      <c r="R2565" s="81"/>
      <c r="S2565" s="81"/>
      <c r="T2565" s="81"/>
      <c r="U2565" s="81"/>
      <c r="V2565" s="94"/>
      <c r="W2565" s="94"/>
    </row>
    <row r="2566" spans="1:23" ht="21" customHeight="1">
      <c r="A2566">
        <f>Table4[[#This Row],[Column1]]</f>
        <v>0</v>
      </c>
      <c r="B2566">
        <f>Table4[[#This Row],[Column2]]</f>
        <v>0</v>
      </c>
      <c r="C2566" s="81"/>
      <c r="D2566" s="81"/>
      <c r="E2566" s="81"/>
      <c r="F2566" s="81"/>
      <c r="G2566" s="81"/>
      <c r="H2566" s="81"/>
      <c r="I2566" s="81"/>
      <c r="J2566" s="81"/>
      <c r="K2566" s="81"/>
      <c r="L2566" s="81"/>
      <c r="M2566" s="81"/>
      <c r="N2566" s="81"/>
      <c r="O2566" s="81"/>
      <c r="P2566" s="81"/>
      <c r="Q2566" s="81"/>
      <c r="R2566" s="81"/>
      <c r="S2566" s="81"/>
      <c r="T2566" s="81"/>
      <c r="U2566" s="81"/>
      <c r="V2566" s="94"/>
      <c r="W2566" s="94"/>
    </row>
    <row r="2567" spans="1:23" ht="21" customHeight="1">
      <c r="A2567">
        <f>Table4[[#This Row],[Column1]]</f>
        <v>0</v>
      </c>
      <c r="B2567">
        <f>Table4[[#This Row],[Column2]]</f>
        <v>0</v>
      </c>
      <c r="C2567" s="81"/>
      <c r="D2567" s="81"/>
      <c r="E2567" s="81"/>
      <c r="F2567" s="81"/>
      <c r="G2567" s="81"/>
      <c r="H2567" s="81"/>
      <c r="I2567" s="81"/>
      <c r="J2567" s="81"/>
      <c r="K2567" s="81"/>
      <c r="L2567" s="81"/>
      <c r="M2567" s="81"/>
      <c r="N2567" s="81"/>
      <c r="O2567" s="81"/>
      <c r="P2567" s="81"/>
      <c r="Q2567" s="81"/>
      <c r="R2567" s="81"/>
      <c r="S2567" s="81"/>
      <c r="T2567" s="81"/>
      <c r="U2567" s="81"/>
      <c r="V2567" s="94"/>
      <c r="W2567" s="94"/>
    </row>
    <row r="2568" spans="1:23" ht="21" customHeight="1">
      <c r="A2568">
        <f>Table4[[#This Row],[Column1]]</f>
        <v>0</v>
      </c>
      <c r="B2568">
        <f>Table4[[#This Row],[Column2]]</f>
        <v>0</v>
      </c>
      <c r="C2568" s="81"/>
      <c r="D2568" s="81"/>
      <c r="E2568" s="81"/>
      <c r="F2568" s="81"/>
      <c r="G2568" s="81"/>
      <c r="H2568" s="81"/>
      <c r="I2568" s="81"/>
      <c r="J2568" s="81"/>
      <c r="K2568" s="81"/>
      <c r="L2568" s="81"/>
      <c r="M2568" s="81"/>
      <c r="N2568" s="81"/>
      <c r="O2568" s="81"/>
      <c r="P2568" s="81"/>
      <c r="Q2568" s="81"/>
      <c r="R2568" s="81"/>
      <c r="S2568" s="81"/>
      <c r="T2568" s="81"/>
      <c r="U2568" s="81"/>
      <c r="V2568" s="94"/>
      <c r="W2568" s="94"/>
    </row>
    <row r="2569" spans="1:23" ht="21" customHeight="1">
      <c r="A2569">
        <f>Table4[[#This Row],[Column1]]</f>
        <v>0</v>
      </c>
      <c r="B2569">
        <f>Table4[[#This Row],[Column2]]</f>
        <v>0</v>
      </c>
      <c r="C2569" s="81"/>
      <c r="D2569" s="81"/>
      <c r="E2569" s="81"/>
      <c r="F2569" s="81"/>
      <c r="G2569" s="81"/>
      <c r="H2569" s="81"/>
      <c r="I2569" s="81"/>
      <c r="J2569" s="81"/>
      <c r="K2569" s="81"/>
      <c r="L2569" s="81"/>
      <c r="M2569" s="81"/>
      <c r="N2569" s="81"/>
      <c r="O2569" s="81"/>
      <c r="P2569" s="81"/>
      <c r="Q2569" s="81"/>
      <c r="R2569" s="81"/>
      <c r="S2569" s="81"/>
      <c r="T2569" s="81"/>
      <c r="U2569" s="81"/>
      <c r="V2569" s="94"/>
      <c r="W2569" s="94"/>
    </row>
    <row r="2570" spans="1:23" ht="21" customHeight="1">
      <c r="A2570">
        <f>Table4[[#This Row],[Column1]]</f>
        <v>0</v>
      </c>
      <c r="B2570">
        <f>Table4[[#This Row],[Column2]]</f>
        <v>0</v>
      </c>
      <c r="C2570" s="81"/>
      <c r="D2570" s="81"/>
      <c r="E2570" s="81"/>
      <c r="F2570" s="81"/>
      <c r="G2570" s="81"/>
      <c r="H2570" s="81"/>
      <c r="I2570" s="81"/>
      <c r="J2570" s="81"/>
      <c r="K2570" s="81"/>
      <c r="L2570" s="81"/>
      <c r="M2570" s="81"/>
      <c r="N2570" s="81"/>
      <c r="O2570" s="81"/>
      <c r="P2570" s="81"/>
      <c r="Q2570" s="81"/>
      <c r="R2570" s="81"/>
      <c r="S2570" s="81"/>
      <c r="T2570" s="81"/>
      <c r="U2570" s="81"/>
      <c r="V2570" s="94"/>
      <c r="W2570" s="94"/>
    </row>
    <row r="2571" spans="1:23" ht="21" customHeight="1">
      <c r="A2571">
        <f>Table4[[#This Row],[Column1]]</f>
        <v>0</v>
      </c>
      <c r="B2571">
        <f>Table4[[#This Row],[Column2]]</f>
        <v>0</v>
      </c>
      <c r="C2571" s="81"/>
      <c r="D2571" s="81"/>
      <c r="E2571" s="81"/>
      <c r="F2571" s="81"/>
      <c r="G2571" s="81"/>
      <c r="H2571" s="81"/>
      <c r="I2571" s="81"/>
      <c r="J2571" s="81"/>
      <c r="K2571" s="81"/>
      <c r="L2571" s="81"/>
      <c r="M2571" s="81"/>
      <c r="N2571" s="81"/>
      <c r="O2571" s="81"/>
      <c r="P2571" s="81"/>
      <c r="Q2571" s="81"/>
      <c r="R2571" s="81"/>
      <c r="S2571" s="81"/>
      <c r="T2571" s="81"/>
      <c r="U2571" s="81"/>
      <c r="V2571" s="94"/>
      <c r="W2571" s="94"/>
    </row>
    <row r="2572" spans="1:23" ht="21" customHeight="1">
      <c r="A2572">
        <f>Table4[[#This Row],[Column1]]</f>
        <v>0</v>
      </c>
      <c r="B2572">
        <f>Table4[[#This Row],[Column2]]</f>
        <v>0</v>
      </c>
      <c r="C2572" s="81"/>
      <c r="D2572" s="81"/>
      <c r="E2572" s="81"/>
      <c r="F2572" s="81"/>
      <c r="G2572" s="81"/>
      <c r="H2572" s="81"/>
      <c r="I2572" s="81"/>
      <c r="J2572" s="81"/>
      <c r="K2572" s="81"/>
      <c r="L2572" s="81"/>
      <c r="M2572" s="81"/>
      <c r="N2572" s="81"/>
      <c r="O2572" s="81"/>
      <c r="P2572" s="81"/>
      <c r="Q2572" s="81"/>
      <c r="R2572" s="81"/>
      <c r="S2572" s="81"/>
      <c r="T2572" s="81"/>
      <c r="U2572" s="81"/>
      <c r="V2572" s="94"/>
      <c r="W2572" s="94"/>
    </row>
    <row r="2573" spans="1:23" ht="21" customHeight="1">
      <c r="A2573">
        <f>Table4[[#This Row],[Column1]]</f>
        <v>0</v>
      </c>
      <c r="B2573">
        <f>Table4[[#This Row],[Column2]]</f>
        <v>0</v>
      </c>
      <c r="C2573" s="81"/>
      <c r="D2573" s="81"/>
      <c r="E2573" s="81"/>
      <c r="F2573" s="81"/>
      <c r="G2573" s="81"/>
      <c r="H2573" s="81"/>
      <c r="I2573" s="81"/>
      <c r="J2573" s="81"/>
      <c r="K2573" s="81"/>
      <c r="L2573" s="81"/>
      <c r="M2573" s="81"/>
      <c r="N2573" s="81"/>
      <c r="O2573" s="81"/>
      <c r="P2573" s="81"/>
      <c r="Q2573" s="81"/>
      <c r="R2573" s="81"/>
      <c r="S2573" s="81"/>
      <c r="T2573" s="81"/>
      <c r="U2573" s="81"/>
      <c r="V2573" s="94"/>
      <c r="W2573" s="94"/>
    </row>
    <row r="2574" spans="1:23" ht="21" customHeight="1">
      <c r="A2574">
        <f>Table4[[#This Row],[Column1]]</f>
        <v>0</v>
      </c>
      <c r="B2574">
        <f>Table4[[#This Row],[Column2]]</f>
        <v>0</v>
      </c>
      <c r="C2574" s="81"/>
      <c r="D2574" s="81"/>
      <c r="E2574" s="81"/>
      <c r="F2574" s="81"/>
      <c r="G2574" s="81"/>
      <c r="H2574" s="81"/>
      <c r="I2574" s="81"/>
      <c r="J2574" s="81"/>
      <c r="K2574" s="81"/>
      <c r="L2574" s="81"/>
      <c r="M2574" s="81"/>
      <c r="N2574" s="81"/>
      <c r="O2574" s="81"/>
      <c r="P2574" s="81"/>
      <c r="Q2574" s="81"/>
      <c r="R2574" s="81"/>
      <c r="S2574" s="81"/>
      <c r="T2574" s="81"/>
      <c r="U2574" s="81"/>
      <c r="V2574" s="94"/>
      <c r="W2574" s="94"/>
    </row>
    <row r="2575" spans="1:23" ht="21" customHeight="1">
      <c r="A2575">
        <f>Table4[[#This Row],[Column1]]</f>
        <v>0</v>
      </c>
      <c r="B2575">
        <f>Table4[[#This Row],[Column2]]</f>
        <v>0</v>
      </c>
      <c r="C2575" s="81"/>
      <c r="D2575" s="81"/>
      <c r="E2575" s="81"/>
      <c r="F2575" s="81"/>
      <c r="G2575" s="81"/>
      <c r="H2575" s="81"/>
      <c r="I2575" s="81"/>
      <c r="J2575" s="81"/>
      <c r="K2575" s="81"/>
      <c r="L2575" s="81"/>
      <c r="M2575" s="81"/>
      <c r="N2575" s="81"/>
      <c r="O2575" s="81"/>
      <c r="P2575" s="81"/>
      <c r="Q2575" s="81"/>
      <c r="R2575" s="81"/>
      <c r="S2575" s="81"/>
      <c r="T2575" s="81"/>
      <c r="U2575" s="81"/>
      <c r="V2575" s="94"/>
      <c r="W2575" s="94"/>
    </row>
    <row r="2576" spans="1:23" ht="21" customHeight="1">
      <c r="A2576">
        <f>Table4[[#This Row],[Column1]]</f>
        <v>0</v>
      </c>
      <c r="B2576">
        <f>Table4[[#This Row],[Column2]]</f>
        <v>0</v>
      </c>
      <c r="C2576" s="81"/>
      <c r="D2576" s="81"/>
      <c r="E2576" s="81"/>
      <c r="F2576" s="81"/>
      <c r="G2576" s="81"/>
      <c r="H2576" s="81"/>
      <c r="I2576" s="81"/>
      <c r="J2576" s="81"/>
      <c r="K2576" s="81"/>
      <c r="L2576" s="81"/>
      <c r="M2576" s="81"/>
      <c r="N2576" s="81"/>
      <c r="O2576" s="81"/>
      <c r="P2576" s="81"/>
      <c r="Q2576" s="81"/>
      <c r="R2576" s="81"/>
      <c r="S2576" s="81"/>
      <c r="T2576" s="81"/>
      <c r="U2576" s="81"/>
      <c r="V2576" s="94"/>
      <c r="W2576" s="94"/>
    </row>
    <row r="2577" spans="1:23" ht="21" customHeight="1">
      <c r="A2577">
        <f>Table4[[#This Row],[Column1]]</f>
        <v>0</v>
      </c>
      <c r="B2577">
        <f>Table4[[#This Row],[Column2]]</f>
        <v>0</v>
      </c>
      <c r="C2577" s="81"/>
      <c r="D2577" s="81"/>
      <c r="E2577" s="81"/>
      <c r="F2577" s="81"/>
      <c r="G2577" s="81"/>
      <c r="H2577" s="81"/>
      <c r="I2577" s="81"/>
      <c r="J2577" s="81"/>
      <c r="K2577" s="81"/>
      <c r="L2577" s="81"/>
      <c r="M2577" s="81"/>
      <c r="N2577" s="81"/>
      <c r="O2577" s="81"/>
      <c r="P2577" s="81"/>
      <c r="Q2577" s="81"/>
      <c r="R2577" s="81"/>
      <c r="S2577" s="81"/>
      <c r="T2577" s="81"/>
      <c r="U2577" s="81"/>
      <c r="V2577" s="94"/>
      <c r="W2577" s="94"/>
    </row>
    <row r="2578" spans="1:23" ht="21" customHeight="1">
      <c r="A2578">
        <f>Table4[[#This Row],[Column1]]</f>
        <v>0</v>
      </c>
      <c r="B2578">
        <f>Table4[[#This Row],[Column2]]</f>
        <v>0</v>
      </c>
      <c r="C2578" s="81"/>
      <c r="D2578" s="81"/>
      <c r="E2578" s="81"/>
      <c r="F2578" s="81"/>
      <c r="G2578" s="81"/>
      <c r="H2578" s="81"/>
      <c r="I2578" s="81"/>
      <c r="J2578" s="81"/>
      <c r="K2578" s="81"/>
      <c r="L2578" s="81"/>
      <c r="M2578" s="81"/>
      <c r="N2578" s="81"/>
      <c r="O2578" s="81"/>
      <c r="P2578" s="81"/>
      <c r="Q2578" s="81"/>
      <c r="R2578" s="81"/>
      <c r="S2578" s="81"/>
      <c r="T2578" s="81"/>
      <c r="U2578" s="81"/>
      <c r="V2578" s="94"/>
      <c r="W2578" s="94"/>
    </row>
    <row r="2579" spans="1:23" ht="21" customHeight="1">
      <c r="A2579">
        <f>Table4[[#This Row],[Column1]]</f>
        <v>0</v>
      </c>
      <c r="B2579">
        <f>Table4[[#This Row],[Column2]]</f>
        <v>0</v>
      </c>
      <c r="C2579" s="81"/>
      <c r="D2579" s="81"/>
      <c r="E2579" s="81"/>
      <c r="F2579" s="81"/>
      <c r="G2579" s="81"/>
      <c r="H2579" s="81"/>
      <c r="I2579" s="81"/>
      <c r="J2579" s="81"/>
      <c r="K2579" s="81"/>
      <c r="L2579" s="81"/>
      <c r="M2579" s="81"/>
      <c r="N2579" s="81"/>
      <c r="O2579" s="81"/>
      <c r="P2579" s="81"/>
      <c r="Q2579" s="81"/>
      <c r="R2579" s="81"/>
      <c r="S2579" s="81"/>
      <c r="T2579" s="81"/>
      <c r="U2579" s="81"/>
      <c r="V2579" s="94"/>
      <c r="W2579" s="94"/>
    </row>
    <row r="2580" spans="1:23" ht="21" customHeight="1">
      <c r="A2580">
        <f>Table4[[#This Row],[Column1]]</f>
        <v>0</v>
      </c>
      <c r="B2580">
        <f>Table4[[#This Row],[Column2]]</f>
        <v>0</v>
      </c>
      <c r="C2580" s="81"/>
      <c r="D2580" s="81"/>
      <c r="E2580" s="81"/>
      <c r="F2580" s="81"/>
      <c r="G2580" s="81"/>
      <c r="H2580" s="81"/>
      <c r="I2580" s="81"/>
      <c r="J2580" s="81"/>
      <c r="K2580" s="81"/>
      <c r="L2580" s="81"/>
      <c r="M2580" s="81"/>
      <c r="N2580" s="81"/>
      <c r="O2580" s="81"/>
      <c r="P2580" s="81"/>
      <c r="Q2580" s="81"/>
      <c r="R2580" s="81"/>
      <c r="S2580" s="81"/>
      <c r="T2580" s="81"/>
      <c r="U2580" s="81"/>
      <c r="V2580" s="94"/>
      <c r="W2580" s="94"/>
    </row>
    <row r="2581" spans="1:23" ht="21" customHeight="1">
      <c r="A2581">
        <f>Table4[[#This Row],[Column1]]</f>
        <v>0</v>
      </c>
      <c r="B2581">
        <f>Table4[[#This Row],[Column2]]</f>
        <v>0</v>
      </c>
      <c r="C2581" s="81"/>
      <c r="D2581" s="81"/>
      <c r="E2581" s="81"/>
      <c r="F2581" s="81"/>
      <c r="G2581" s="81"/>
      <c r="H2581" s="81"/>
      <c r="I2581" s="81"/>
      <c r="J2581" s="81"/>
      <c r="K2581" s="81"/>
      <c r="L2581" s="81"/>
      <c r="M2581" s="81"/>
      <c r="N2581" s="81"/>
      <c r="O2581" s="81"/>
      <c r="P2581" s="81"/>
      <c r="Q2581" s="81"/>
      <c r="R2581" s="81"/>
      <c r="S2581" s="81"/>
      <c r="T2581" s="81"/>
      <c r="U2581" s="81"/>
      <c r="V2581" s="94"/>
      <c r="W2581" s="94"/>
    </row>
    <row r="2582" spans="1:23" ht="21" customHeight="1">
      <c r="A2582">
        <f>Table4[[#This Row],[Column1]]</f>
        <v>0</v>
      </c>
      <c r="B2582">
        <f>Table4[[#This Row],[Column2]]</f>
        <v>0</v>
      </c>
      <c r="C2582" s="81"/>
      <c r="D2582" s="81"/>
      <c r="E2582" s="81"/>
      <c r="F2582" s="81"/>
      <c r="G2582" s="81"/>
      <c r="H2582" s="81"/>
      <c r="I2582" s="81"/>
      <c r="J2582" s="81"/>
      <c r="K2582" s="81"/>
      <c r="L2582" s="81"/>
      <c r="M2582" s="81"/>
      <c r="N2582" s="81"/>
      <c r="O2582" s="81"/>
      <c r="P2582" s="81"/>
      <c r="Q2582" s="81"/>
      <c r="R2582" s="81"/>
      <c r="S2582" s="81"/>
      <c r="T2582" s="81"/>
      <c r="U2582" s="81"/>
      <c r="V2582" s="94"/>
      <c r="W2582" s="94"/>
    </row>
    <row r="2583" spans="1:23" ht="21" customHeight="1">
      <c r="A2583">
        <f>Table4[[#This Row],[Column1]]</f>
        <v>0</v>
      </c>
      <c r="B2583">
        <f>Table4[[#This Row],[Column2]]</f>
        <v>0</v>
      </c>
      <c r="C2583" s="81"/>
      <c r="D2583" s="81"/>
      <c r="E2583" s="81"/>
      <c r="F2583" s="81"/>
      <c r="G2583" s="81"/>
      <c r="H2583" s="81"/>
      <c r="I2583" s="81"/>
      <c r="J2583" s="81"/>
      <c r="K2583" s="81"/>
      <c r="L2583" s="81"/>
      <c r="M2583" s="81"/>
      <c r="N2583" s="81"/>
      <c r="O2583" s="81"/>
      <c r="P2583" s="81"/>
      <c r="Q2583" s="81"/>
      <c r="R2583" s="81"/>
      <c r="S2583" s="81"/>
      <c r="T2583" s="81"/>
      <c r="U2583" s="81"/>
      <c r="V2583" s="94"/>
      <c r="W2583" s="94"/>
    </row>
    <row r="2584" spans="1:23" ht="21" customHeight="1">
      <c r="A2584">
        <f>Table4[[#This Row],[Column1]]</f>
        <v>0</v>
      </c>
      <c r="B2584">
        <f>Table4[[#This Row],[Column2]]</f>
        <v>0</v>
      </c>
      <c r="C2584" s="81"/>
      <c r="D2584" s="81"/>
      <c r="E2584" s="81"/>
      <c r="F2584" s="81"/>
      <c r="G2584" s="81"/>
      <c r="H2584" s="81"/>
      <c r="I2584" s="81"/>
      <c r="J2584" s="81"/>
      <c r="K2584" s="81"/>
      <c r="L2584" s="81"/>
      <c r="M2584" s="81"/>
      <c r="N2584" s="81"/>
      <c r="O2584" s="81"/>
      <c r="P2584" s="81"/>
      <c r="Q2584" s="81"/>
      <c r="R2584" s="81"/>
      <c r="S2584" s="81"/>
      <c r="T2584" s="81"/>
      <c r="U2584" s="81"/>
      <c r="V2584" s="94"/>
      <c r="W2584" s="94"/>
    </row>
    <row r="2585" spans="1:23" ht="21" customHeight="1">
      <c r="A2585">
        <f>Table4[[#This Row],[Column1]]</f>
        <v>0</v>
      </c>
      <c r="B2585">
        <f>Table4[[#This Row],[Column2]]</f>
        <v>0</v>
      </c>
      <c r="C2585" s="81"/>
      <c r="D2585" s="81"/>
      <c r="E2585" s="81"/>
      <c r="F2585" s="81"/>
      <c r="G2585" s="81"/>
      <c r="H2585" s="81"/>
      <c r="I2585" s="81"/>
      <c r="J2585" s="81"/>
      <c r="K2585" s="81"/>
      <c r="L2585" s="81"/>
      <c r="M2585" s="81"/>
      <c r="N2585" s="81"/>
      <c r="O2585" s="81"/>
      <c r="P2585" s="81"/>
      <c r="Q2585" s="81"/>
      <c r="R2585" s="81"/>
      <c r="S2585" s="81"/>
      <c r="T2585" s="81"/>
      <c r="U2585" s="81"/>
      <c r="V2585" s="94"/>
      <c r="W2585" s="94"/>
    </row>
    <row r="2586" spans="1:23" ht="21" customHeight="1">
      <c r="A2586">
        <f>Table4[[#This Row],[Column1]]</f>
        <v>0</v>
      </c>
      <c r="B2586">
        <f>Table4[[#This Row],[Column2]]</f>
        <v>0</v>
      </c>
      <c r="C2586" s="81"/>
      <c r="D2586" s="81"/>
      <c r="E2586" s="81"/>
      <c r="F2586" s="81"/>
      <c r="G2586" s="81"/>
      <c r="H2586" s="81"/>
      <c r="I2586" s="81"/>
      <c r="J2586" s="81"/>
      <c r="K2586" s="81"/>
      <c r="L2586" s="81"/>
      <c r="M2586" s="81"/>
      <c r="N2586" s="81"/>
      <c r="O2586" s="81"/>
      <c r="P2586" s="81"/>
      <c r="Q2586" s="81"/>
      <c r="R2586" s="81"/>
      <c r="S2586" s="81"/>
      <c r="T2586" s="81"/>
      <c r="U2586" s="81"/>
      <c r="V2586" s="94"/>
      <c r="W2586" s="94"/>
    </row>
    <row r="2587" spans="1:23" ht="21" customHeight="1">
      <c r="A2587">
        <f>Table4[[#This Row],[Column1]]</f>
        <v>0</v>
      </c>
      <c r="B2587">
        <f>Table4[[#This Row],[Column2]]</f>
        <v>0</v>
      </c>
      <c r="C2587" s="81"/>
      <c r="D2587" s="81"/>
      <c r="E2587" s="81"/>
      <c r="F2587" s="81"/>
      <c r="G2587" s="81"/>
      <c r="H2587" s="81"/>
      <c r="I2587" s="81"/>
      <c r="J2587" s="81"/>
      <c r="K2587" s="81"/>
      <c r="L2587" s="81"/>
      <c r="M2587" s="81"/>
      <c r="N2587" s="81"/>
      <c r="O2587" s="81"/>
      <c r="P2587" s="81"/>
      <c r="Q2587" s="81"/>
      <c r="R2587" s="81"/>
      <c r="S2587" s="81"/>
      <c r="T2587" s="81"/>
      <c r="U2587" s="81"/>
      <c r="V2587" s="94"/>
      <c r="W2587" s="94"/>
    </row>
    <row r="2588" spans="1:23" ht="21" customHeight="1">
      <c r="A2588">
        <f>Table4[[#This Row],[Column1]]</f>
        <v>0</v>
      </c>
      <c r="B2588">
        <f>Table4[[#This Row],[Column2]]</f>
        <v>0</v>
      </c>
      <c r="C2588" s="81"/>
      <c r="D2588" s="81"/>
      <c r="E2588" s="81"/>
      <c r="F2588" s="81"/>
      <c r="G2588" s="81"/>
      <c r="H2588" s="81"/>
      <c r="I2588" s="81"/>
      <c r="J2588" s="81"/>
      <c r="K2588" s="81"/>
      <c r="L2588" s="81"/>
      <c r="M2588" s="81"/>
      <c r="N2588" s="81"/>
      <c r="O2588" s="81"/>
      <c r="P2588" s="81"/>
      <c r="Q2588" s="81"/>
      <c r="R2588" s="81"/>
      <c r="S2588" s="81"/>
      <c r="T2588" s="81"/>
      <c r="U2588" s="81"/>
      <c r="V2588" s="94"/>
      <c r="W2588" s="94"/>
    </row>
    <row r="2589" spans="1:23" ht="21" customHeight="1">
      <c r="A2589">
        <f>Table4[[#This Row],[Column1]]</f>
        <v>0</v>
      </c>
      <c r="B2589">
        <f>Table4[[#This Row],[Column2]]</f>
        <v>0</v>
      </c>
      <c r="C2589" s="81"/>
      <c r="D2589" s="81"/>
      <c r="E2589" s="81"/>
      <c r="F2589" s="81"/>
      <c r="G2589" s="81"/>
      <c r="H2589" s="81"/>
      <c r="I2589" s="81"/>
      <c r="J2589" s="81"/>
      <c r="K2589" s="81"/>
      <c r="L2589" s="81"/>
      <c r="M2589" s="81"/>
      <c r="N2589" s="81"/>
      <c r="O2589" s="81"/>
      <c r="P2589" s="81"/>
      <c r="Q2589" s="81"/>
      <c r="R2589" s="81"/>
      <c r="S2589" s="81"/>
      <c r="T2589" s="81"/>
      <c r="U2589" s="81"/>
      <c r="V2589" s="94"/>
      <c r="W2589" s="94"/>
    </row>
    <row r="2590" spans="1:23" ht="21" customHeight="1">
      <c r="A2590">
        <f>Table4[[#This Row],[Column1]]</f>
        <v>0</v>
      </c>
      <c r="B2590">
        <f>Table4[[#This Row],[Column2]]</f>
        <v>0</v>
      </c>
      <c r="C2590" s="81"/>
      <c r="D2590" s="81"/>
      <c r="E2590" s="81"/>
      <c r="F2590" s="81"/>
      <c r="G2590" s="81"/>
      <c r="H2590" s="81"/>
      <c r="I2590" s="81"/>
      <c r="J2590" s="81"/>
      <c r="K2590" s="81"/>
      <c r="L2590" s="81"/>
      <c r="M2590" s="81"/>
      <c r="N2590" s="81"/>
      <c r="O2590" s="81"/>
      <c r="P2590" s="81"/>
      <c r="Q2590" s="81"/>
      <c r="R2590" s="81"/>
      <c r="S2590" s="81"/>
      <c r="T2590" s="81"/>
      <c r="U2590" s="81"/>
      <c r="V2590" s="94"/>
      <c r="W2590" s="94"/>
    </row>
    <row r="2591" spans="1:23" ht="21" customHeight="1">
      <c r="A2591">
        <f>Table4[[#This Row],[Column1]]</f>
        <v>0</v>
      </c>
      <c r="B2591">
        <f>Table4[[#This Row],[Column2]]</f>
        <v>0</v>
      </c>
      <c r="C2591" s="81"/>
      <c r="D2591" s="81"/>
      <c r="E2591" s="81"/>
      <c r="F2591" s="81"/>
      <c r="G2591" s="81"/>
      <c r="H2591" s="81"/>
      <c r="I2591" s="81"/>
      <c r="J2591" s="81"/>
      <c r="K2591" s="81"/>
      <c r="L2591" s="81"/>
      <c r="M2591" s="81"/>
      <c r="N2591" s="81"/>
      <c r="O2591" s="81"/>
      <c r="P2591" s="81"/>
      <c r="Q2591" s="81"/>
      <c r="R2591" s="81"/>
      <c r="S2591" s="81"/>
      <c r="T2591" s="81"/>
      <c r="U2591" s="81"/>
      <c r="V2591" s="94"/>
      <c r="W2591" s="94"/>
    </row>
    <row r="2592" spans="1:23" ht="21" customHeight="1">
      <c r="A2592">
        <f>Table4[[#This Row],[Column1]]</f>
        <v>0</v>
      </c>
      <c r="B2592">
        <f>Table4[[#This Row],[Column2]]</f>
        <v>0</v>
      </c>
      <c r="C2592" s="81"/>
      <c r="D2592" s="81"/>
      <c r="E2592" s="81"/>
      <c r="F2592" s="81"/>
      <c r="G2592" s="81"/>
      <c r="H2592" s="81"/>
      <c r="I2592" s="81"/>
      <c r="J2592" s="81"/>
      <c r="K2592" s="81"/>
      <c r="L2592" s="81"/>
      <c r="M2592" s="81"/>
      <c r="N2592" s="81"/>
      <c r="O2592" s="81"/>
      <c r="P2592" s="81"/>
      <c r="Q2592" s="81"/>
      <c r="R2592" s="81"/>
      <c r="S2592" s="81"/>
      <c r="T2592" s="81"/>
      <c r="U2592" s="81"/>
      <c r="V2592" s="94"/>
      <c r="W2592" s="94"/>
    </row>
    <row r="2593" spans="1:23" ht="21" customHeight="1">
      <c r="A2593">
        <f>Table4[[#This Row],[Column1]]</f>
        <v>0</v>
      </c>
      <c r="B2593">
        <f>Table4[[#This Row],[Column2]]</f>
        <v>0</v>
      </c>
      <c r="C2593" s="81"/>
      <c r="D2593" s="81"/>
      <c r="E2593" s="81"/>
      <c r="F2593" s="81"/>
      <c r="G2593" s="81"/>
      <c r="H2593" s="81"/>
      <c r="I2593" s="81"/>
      <c r="J2593" s="81"/>
      <c r="K2593" s="81"/>
      <c r="L2593" s="81"/>
      <c r="M2593" s="81"/>
      <c r="N2593" s="81"/>
      <c r="O2593" s="81"/>
      <c r="P2593" s="81"/>
      <c r="Q2593" s="81"/>
      <c r="R2593" s="81"/>
      <c r="S2593" s="81"/>
      <c r="T2593" s="81"/>
      <c r="U2593" s="81"/>
      <c r="V2593" s="94"/>
      <c r="W2593" s="94"/>
    </row>
    <row r="2594" spans="1:23" ht="21" customHeight="1">
      <c r="A2594">
        <f>Table4[[#This Row],[Column1]]</f>
        <v>0</v>
      </c>
      <c r="B2594">
        <f>Table4[[#This Row],[Column2]]</f>
        <v>0</v>
      </c>
      <c r="C2594" s="81"/>
      <c r="D2594" s="81"/>
      <c r="E2594" s="81"/>
      <c r="F2594" s="81"/>
      <c r="G2594" s="81"/>
      <c r="H2594" s="81"/>
      <c r="I2594" s="81"/>
      <c r="J2594" s="81"/>
      <c r="K2594" s="81"/>
      <c r="L2594" s="81"/>
      <c r="M2594" s="81"/>
      <c r="N2594" s="81"/>
      <c r="O2594" s="81"/>
      <c r="P2594" s="81"/>
      <c r="Q2594" s="81"/>
      <c r="R2594" s="81"/>
      <c r="S2594" s="81"/>
      <c r="T2594" s="81"/>
      <c r="U2594" s="81"/>
      <c r="V2594" s="94"/>
      <c r="W2594" s="94"/>
    </row>
    <row r="2595" spans="1:23" ht="21" customHeight="1">
      <c r="A2595">
        <f>Table4[[#This Row],[Column1]]</f>
        <v>0</v>
      </c>
      <c r="B2595">
        <f>Table4[[#This Row],[Column2]]</f>
        <v>0</v>
      </c>
      <c r="C2595" s="81"/>
      <c r="D2595" s="81"/>
      <c r="E2595" s="81"/>
      <c r="F2595" s="81"/>
      <c r="G2595" s="81"/>
      <c r="H2595" s="81"/>
      <c r="I2595" s="81"/>
      <c r="J2595" s="81"/>
      <c r="K2595" s="81"/>
      <c r="L2595" s="81"/>
      <c r="M2595" s="81"/>
      <c r="N2595" s="81"/>
      <c r="O2595" s="81"/>
      <c r="P2595" s="81"/>
      <c r="Q2595" s="81"/>
      <c r="R2595" s="81"/>
      <c r="S2595" s="81"/>
      <c r="T2595" s="81"/>
      <c r="U2595" s="81"/>
      <c r="V2595" s="94"/>
      <c r="W2595" s="94"/>
    </row>
    <row r="2596" spans="1:23" ht="21" customHeight="1">
      <c r="A2596">
        <f>Table4[[#This Row],[Column1]]</f>
        <v>0</v>
      </c>
      <c r="B2596">
        <f>Table4[[#This Row],[Column2]]</f>
        <v>0</v>
      </c>
      <c r="C2596" s="81"/>
      <c r="D2596" s="81"/>
      <c r="E2596" s="81"/>
      <c r="F2596" s="81"/>
      <c r="G2596" s="81"/>
      <c r="H2596" s="81"/>
      <c r="I2596" s="81"/>
      <c r="J2596" s="81"/>
      <c r="K2596" s="81"/>
      <c r="L2596" s="81"/>
      <c r="M2596" s="81"/>
      <c r="N2596" s="81"/>
      <c r="O2596" s="81"/>
      <c r="P2596" s="81"/>
      <c r="Q2596" s="81"/>
      <c r="R2596" s="81"/>
      <c r="S2596" s="81"/>
      <c r="T2596" s="81"/>
      <c r="U2596" s="81"/>
      <c r="V2596" s="94"/>
      <c r="W2596" s="94"/>
    </row>
    <row r="2597" spans="1:23" ht="21" customHeight="1">
      <c r="A2597">
        <f>Table4[[#This Row],[Column1]]</f>
        <v>0</v>
      </c>
      <c r="B2597">
        <f>Table4[[#This Row],[Column2]]</f>
        <v>0</v>
      </c>
      <c r="C2597" s="81"/>
      <c r="D2597" s="81"/>
      <c r="E2597" s="81"/>
      <c r="F2597" s="81"/>
      <c r="G2597" s="81"/>
      <c r="H2597" s="81"/>
      <c r="I2597" s="81"/>
      <c r="J2597" s="81"/>
      <c r="K2597" s="81"/>
      <c r="L2597" s="81"/>
      <c r="M2597" s="81"/>
      <c r="N2597" s="81"/>
      <c r="O2597" s="81"/>
      <c r="P2597" s="81"/>
      <c r="Q2597" s="81"/>
      <c r="R2597" s="81"/>
      <c r="S2597" s="81"/>
      <c r="T2597" s="81"/>
      <c r="U2597" s="81"/>
      <c r="V2597" s="94"/>
      <c r="W2597" s="94"/>
    </row>
    <row r="2598" spans="1:23" ht="21" customHeight="1">
      <c r="A2598">
        <f>Table4[[#This Row],[Column1]]</f>
        <v>0</v>
      </c>
      <c r="B2598">
        <f>Table4[[#This Row],[Column2]]</f>
        <v>0</v>
      </c>
      <c r="C2598" s="81"/>
      <c r="D2598" s="81"/>
      <c r="E2598" s="81"/>
      <c r="F2598" s="81"/>
      <c r="G2598" s="81"/>
      <c r="H2598" s="81"/>
      <c r="I2598" s="81"/>
      <c r="J2598" s="81"/>
      <c r="K2598" s="81"/>
      <c r="L2598" s="81"/>
      <c r="M2598" s="81"/>
      <c r="N2598" s="81"/>
      <c r="O2598" s="81"/>
      <c r="P2598" s="81"/>
      <c r="Q2598" s="81"/>
      <c r="R2598" s="81"/>
      <c r="S2598" s="81"/>
      <c r="T2598" s="81"/>
      <c r="U2598" s="81"/>
      <c r="V2598" s="94"/>
      <c r="W2598" s="94"/>
    </row>
    <row r="2599" spans="1:23" ht="21" customHeight="1">
      <c r="A2599">
        <f>Table4[[#This Row],[Column1]]</f>
        <v>0</v>
      </c>
      <c r="B2599">
        <f>Table4[[#This Row],[Column2]]</f>
        <v>0</v>
      </c>
      <c r="C2599" s="81"/>
      <c r="D2599" s="81"/>
      <c r="E2599" s="81"/>
      <c r="F2599" s="81"/>
      <c r="G2599" s="81"/>
      <c r="H2599" s="81"/>
      <c r="I2599" s="81"/>
      <c r="J2599" s="81"/>
      <c r="K2599" s="81"/>
      <c r="L2599" s="81"/>
      <c r="M2599" s="81"/>
      <c r="N2599" s="81"/>
      <c r="O2599" s="81"/>
      <c r="P2599" s="81"/>
      <c r="Q2599" s="81"/>
      <c r="R2599" s="81"/>
      <c r="S2599" s="81"/>
      <c r="T2599" s="81"/>
      <c r="U2599" s="81"/>
      <c r="V2599" s="94"/>
      <c r="W2599" s="94"/>
    </row>
    <row r="2600" spans="1:23" ht="21" customHeight="1">
      <c r="A2600">
        <f>Table4[[#This Row],[Column1]]</f>
        <v>0</v>
      </c>
      <c r="B2600">
        <f>Table4[[#This Row],[Column2]]</f>
        <v>0</v>
      </c>
      <c r="C2600" s="81"/>
      <c r="D2600" s="81"/>
      <c r="E2600" s="81"/>
      <c r="F2600" s="81"/>
      <c r="G2600" s="81"/>
      <c r="H2600" s="81"/>
      <c r="I2600" s="81"/>
      <c r="J2600" s="81"/>
      <c r="K2600" s="81"/>
      <c r="L2600" s="81"/>
      <c r="M2600" s="81"/>
      <c r="N2600" s="81"/>
      <c r="O2600" s="81"/>
      <c r="P2600" s="81"/>
      <c r="Q2600" s="81"/>
      <c r="R2600" s="81"/>
      <c r="S2600" s="81"/>
      <c r="T2600" s="81"/>
      <c r="U2600" s="81"/>
      <c r="V2600" s="94"/>
      <c r="W2600" s="94"/>
    </row>
    <row r="2601" spans="1:23" ht="21" customHeight="1">
      <c r="A2601">
        <f>Table4[[#This Row],[Column1]]</f>
        <v>0</v>
      </c>
      <c r="B2601">
        <f>Table4[[#This Row],[Column2]]</f>
        <v>0</v>
      </c>
      <c r="C2601" s="81"/>
      <c r="D2601" s="81"/>
      <c r="E2601" s="81"/>
      <c r="F2601" s="81"/>
      <c r="G2601" s="81"/>
      <c r="H2601" s="81"/>
      <c r="I2601" s="81"/>
      <c r="J2601" s="81"/>
      <c r="K2601" s="81"/>
      <c r="L2601" s="81"/>
      <c r="M2601" s="81"/>
      <c r="N2601" s="81"/>
      <c r="O2601" s="81"/>
      <c r="P2601" s="81"/>
      <c r="Q2601" s="81"/>
      <c r="R2601" s="81"/>
      <c r="S2601" s="81"/>
      <c r="T2601" s="81"/>
      <c r="U2601" s="81"/>
      <c r="V2601" s="94"/>
      <c r="W2601" s="94"/>
    </row>
    <row r="2602" spans="1:23" ht="21" customHeight="1">
      <c r="A2602">
        <f>Table4[[#This Row],[Column1]]</f>
        <v>0</v>
      </c>
      <c r="B2602">
        <f>Table4[[#This Row],[Column2]]</f>
        <v>0</v>
      </c>
      <c r="C2602" s="81"/>
      <c r="D2602" s="81"/>
      <c r="E2602" s="81"/>
      <c r="F2602" s="81"/>
      <c r="G2602" s="81"/>
      <c r="H2602" s="81"/>
      <c r="I2602" s="81"/>
      <c r="J2602" s="81"/>
      <c r="K2602" s="81"/>
      <c r="L2602" s="81"/>
      <c r="M2602" s="81"/>
      <c r="N2602" s="81"/>
      <c r="O2602" s="81"/>
      <c r="P2602" s="81"/>
      <c r="Q2602" s="81"/>
      <c r="R2602" s="81"/>
      <c r="S2602" s="81"/>
      <c r="T2602" s="81"/>
      <c r="U2602" s="81"/>
      <c r="V2602" s="94"/>
      <c r="W2602" s="94"/>
    </row>
    <row r="2603" spans="1:23" ht="21" customHeight="1">
      <c r="A2603">
        <f>Table4[[#This Row],[Column1]]</f>
        <v>0</v>
      </c>
      <c r="B2603">
        <f>Table4[[#This Row],[Column2]]</f>
        <v>0</v>
      </c>
      <c r="C2603" s="81"/>
      <c r="D2603" s="81"/>
      <c r="E2603" s="81"/>
      <c r="F2603" s="81"/>
      <c r="G2603" s="81"/>
      <c r="H2603" s="81"/>
      <c r="I2603" s="81"/>
      <c r="J2603" s="81"/>
      <c r="K2603" s="81"/>
      <c r="L2603" s="81"/>
      <c r="M2603" s="81"/>
      <c r="N2603" s="81"/>
      <c r="O2603" s="81"/>
      <c r="P2603" s="81"/>
      <c r="Q2603" s="81"/>
      <c r="R2603" s="81"/>
      <c r="S2603" s="81"/>
      <c r="T2603" s="81"/>
      <c r="U2603" s="81"/>
      <c r="V2603" s="94"/>
      <c r="W2603" s="94"/>
    </row>
    <row r="2604" spans="1:23" ht="21" customHeight="1">
      <c r="A2604">
        <f>Table4[[#This Row],[Column1]]</f>
        <v>0</v>
      </c>
      <c r="B2604">
        <f>Table4[[#This Row],[Column2]]</f>
        <v>0</v>
      </c>
      <c r="C2604" s="81"/>
      <c r="D2604" s="81"/>
      <c r="E2604" s="81"/>
      <c r="F2604" s="81"/>
      <c r="G2604" s="81"/>
      <c r="H2604" s="81"/>
      <c r="I2604" s="81"/>
      <c r="J2604" s="81"/>
      <c r="K2604" s="81"/>
      <c r="L2604" s="81"/>
      <c r="M2604" s="81"/>
      <c r="N2604" s="81"/>
      <c r="O2604" s="81"/>
      <c r="P2604" s="81"/>
      <c r="Q2604" s="81"/>
      <c r="R2604" s="81"/>
      <c r="S2604" s="81"/>
      <c r="T2604" s="81"/>
      <c r="U2604" s="81"/>
      <c r="V2604" s="94"/>
      <c r="W2604" s="94"/>
    </row>
    <row r="2605" spans="1:23" ht="21" customHeight="1">
      <c r="A2605">
        <f>Table4[[#This Row],[Column1]]</f>
        <v>0</v>
      </c>
      <c r="B2605">
        <f>Table4[[#This Row],[Column2]]</f>
        <v>0</v>
      </c>
      <c r="C2605" s="81"/>
      <c r="D2605" s="81"/>
      <c r="E2605" s="81"/>
      <c r="F2605" s="81"/>
      <c r="G2605" s="81"/>
      <c r="H2605" s="81"/>
      <c r="I2605" s="81"/>
      <c r="J2605" s="81"/>
      <c r="K2605" s="81"/>
      <c r="L2605" s="81"/>
      <c r="M2605" s="81"/>
      <c r="N2605" s="81"/>
      <c r="O2605" s="81"/>
      <c r="P2605" s="81"/>
      <c r="Q2605" s="81"/>
      <c r="R2605" s="81"/>
      <c r="S2605" s="81"/>
      <c r="T2605" s="81"/>
      <c r="U2605" s="81"/>
      <c r="V2605" s="94"/>
      <c r="W2605" s="94"/>
    </row>
    <row r="2606" spans="1:23" ht="21" customHeight="1">
      <c r="A2606">
        <f>Table4[[#This Row],[Column1]]</f>
        <v>0</v>
      </c>
      <c r="B2606">
        <f>Table4[[#This Row],[Column2]]</f>
        <v>0</v>
      </c>
      <c r="C2606" s="81"/>
      <c r="D2606" s="81"/>
      <c r="E2606" s="81"/>
      <c r="F2606" s="81"/>
      <c r="G2606" s="81"/>
      <c r="H2606" s="81"/>
      <c r="I2606" s="81"/>
      <c r="J2606" s="81"/>
      <c r="K2606" s="81"/>
      <c r="L2606" s="81"/>
      <c r="M2606" s="81"/>
      <c r="N2606" s="81"/>
      <c r="O2606" s="81"/>
      <c r="P2606" s="81"/>
      <c r="Q2606" s="81"/>
      <c r="R2606" s="81"/>
      <c r="S2606" s="81"/>
      <c r="T2606" s="81"/>
      <c r="U2606" s="81"/>
      <c r="V2606" s="94"/>
      <c r="W2606" s="94"/>
    </row>
    <row r="2607" spans="1:23" ht="21" customHeight="1">
      <c r="A2607">
        <f>Table4[[#This Row],[Column1]]</f>
        <v>0</v>
      </c>
      <c r="B2607">
        <f>Table4[[#This Row],[Column2]]</f>
        <v>0</v>
      </c>
      <c r="C2607" s="81"/>
      <c r="D2607" s="81"/>
      <c r="E2607" s="81"/>
      <c r="F2607" s="81"/>
      <c r="G2607" s="81"/>
      <c r="H2607" s="81"/>
      <c r="I2607" s="81"/>
      <c r="J2607" s="81"/>
      <c r="K2607" s="81"/>
      <c r="L2607" s="81"/>
      <c r="M2607" s="81"/>
      <c r="N2607" s="81"/>
      <c r="O2607" s="81"/>
      <c r="P2607" s="81"/>
      <c r="Q2607" s="81"/>
      <c r="R2607" s="81"/>
      <c r="S2607" s="81"/>
      <c r="T2607" s="81"/>
      <c r="U2607" s="81"/>
      <c r="V2607" s="94"/>
      <c r="W2607" s="94"/>
    </row>
    <row r="2608" spans="1:23" ht="21" customHeight="1">
      <c r="A2608">
        <f>Table4[[#This Row],[Column1]]</f>
        <v>0</v>
      </c>
      <c r="B2608">
        <f>Table4[[#This Row],[Column2]]</f>
        <v>0</v>
      </c>
      <c r="C2608" s="81"/>
      <c r="D2608" s="81"/>
      <c r="E2608" s="81"/>
      <c r="F2608" s="81"/>
      <c r="G2608" s="81"/>
      <c r="H2608" s="81"/>
      <c r="I2608" s="81"/>
      <c r="J2608" s="81"/>
      <c r="K2608" s="81"/>
      <c r="L2608" s="81"/>
      <c r="M2608" s="81"/>
      <c r="N2608" s="81"/>
      <c r="O2608" s="81"/>
      <c r="P2608" s="81"/>
      <c r="Q2608" s="81"/>
      <c r="R2608" s="81"/>
      <c r="S2608" s="81"/>
      <c r="T2608" s="81"/>
      <c r="U2608" s="81"/>
      <c r="V2608" s="94"/>
      <c r="W2608" s="94"/>
    </row>
    <row r="2609" spans="1:23" ht="21" customHeight="1">
      <c r="A2609">
        <f>Table4[[#This Row],[Column1]]</f>
        <v>0</v>
      </c>
      <c r="B2609">
        <f>Table4[[#This Row],[Column2]]</f>
        <v>0</v>
      </c>
      <c r="C2609" s="81"/>
      <c r="D2609" s="81"/>
      <c r="E2609" s="81"/>
      <c r="F2609" s="81"/>
      <c r="G2609" s="81"/>
      <c r="H2609" s="81"/>
      <c r="I2609" s="81"/>
      <c r="J2609" s="81"/>
      <c r="K2609" s="81"/>
      <c r="L2609" s="81"/>
      <c r="M2609" s="81"/>
      <c r="N2609" s="81"/>
      <c r="O2609" s="81"/>
      <c r="P2609" s="81"/>
      <c r="Q2609" s="81"/>
      <c r="R2609" s="81"/>
      <c r="S2609" s="81"/>
      <c r="T2609" s="81"/>
      <c r="U2609" s="81"/>
      <c r="V2609" s="94"/>
      <c r="W2609" s="94"/>
    </row>
    <row r="2610" spans="1:23" ht="21" customHeight="1">
      <c r="A2610">
        <f>Table4[[#This Row],[Column1]]</f>
        <v>0</v>
      </c>
      <c r="B2610">
        <f>Table4[[#This Row],[Column2]]</f>
        <v>0</v>
      </c>
      <c r="C2610" s="81"/>
      <c r="D2610" s="81"/>
      <c r="E2610" s="81"/>
      <c r="F2610" s="81"/>
      <c r="G2610" s="81"/>
      <c r="H2610" s="81"/>
      <c r="I2610" s="81"/>
      <c r="J2610" s="81"/>
      <c r="K2610" s="81"/>
      <c r="L2610" s="81"/>
      <c r="M2610" s="81"/>
      <c r="N2610" s="81"/>
      <c r="O2610" s="81"/>
      <c r="P2610" s="81"/>
      <c r="Q2610" s="81"/>
      <c r="R2610" s="81"/>
      <c r="S2610" s="81"/>
      <c r="T2610" s="81"/>
      <c r="U2610" s="81"/>
      <c r="V2610" s="94"/>
      <c r="W2610" s="94"/>
    </row>
    <row r="2611" spans="1:23" ht="21" customHeight="1">
      <c r="A2611">
        <f>Table4[[#This Row],[Column1]]</f>
        <v>0</v>
      </c>
      <c r="B2611">
        <f>Table4[[#This Row],[Column2]]</f>
        <v>0</v>
      </c>
      <c r="C2611" s="81"/>
      <c r="D2611" s="81"/>
      <c r="E2611" s="81"/>
      <c r="F2611" s="81"/>
      <c r="G2611" s="81"/>
      <c r="H2611" s="81"/>
      <c r="I2611" s="81"/>
      <c r="J2611" s="81"/>
      <c r="K2611" s="81"/>
      <c r="L2611" s="81"/>
      <c r="M2611" s="81"/>
      <c r="N2611" s="81"/>
      <c r="O2611" s="81"/>
      <c r="P2611" s="81"/>
      <c r="Q2611" s="81"/>
      <c r="R2611" s="81"/>
      <c r="S2611" s="81"/>
      <c r="T2611" s="81"/>
      <c r="U2611" s="81"/>
      <c r="V2611" s="94"/>
      <c r="W2611" s="94"/>
    </row>
    <row r="2612" spans="1:23" ht="21" customHeight="1">
      <c r="A2612">
        <f>Table4[[#This Row],[Column1]]</f>
        <v>0</v>
      </c>
      <c r="B2612">
        <f>Table4[[#This Row],[Column2]]</f>
        <v>0</v>
      </c>
      <c r="C2612" s="81"/>
      <c r="D2612" s="81"/>
      <c r="E2612" s="81"/>
      <c r="F2612" s="81"/>
      <c r="G2612" s="81"/>
      <c r="H2612" s="81"/>
      <c r="I2612" s="81"/>
      <c r="J2612" s="81"/>
      <c r="K2612" s="81"/>
      <c r="L2612" s="81"/>
      <c r="M2612" s="81"/>
      <c r="N2612" s="81"/>
      <c r="O2612" s="81"/>
      <c r="P2612" s="81"/>
      <c r="Q2612" s="81"/>
      <c r="R2612" s="81"/>
      <c r="S2612" s="81"/>
      <c r="T2612" s="81"/>
      <c r="U2612" s="81"/>
      <c r="V2612" s="94"/>
      <c r="W2612" s="94"/>
    </row>
    <row r="2613" spans="1:23" ht="21" customHeight="1">
      <c r="A2613">
        <f>Table4[[#This Row],[Column1]]</f>
        <v>0</v>
      </c>
      <c r="B2613">
        <f>Table4[[#This Row],[Column2]]</f>
        <v>0</v>
      </c>
      <c r="C2613" s="81"/>
      <c r="D2613" s="81"/>
      <c r="E2613" s="81"/>
      <c r="F2613" s="81"/>
      <c r="G2613" s="81"/>
      <c r="H2613" s="81"/>
      <c r="I2613" s="81"/>
      <c r="J2613" s="81"/>
      <c r="K2613" s="81"/>
      <c r="L2613" s="81"/>
      <c r="M2613" s="81"/>
      <c r="N2613" s="81"/>
      <c r="O2613" s="81"/>
      <c r="P2613" s="81"/>
      <c r="Q2613" s="81"/>
      <c r="R2613" s="81"/>
      <c r="S2613" s="81"/>
      <c r="T2613" s="81"/>
      <c r="U2613" s="81"/>
      <c r="V2613" s="94"/>
      <c r="W2613" s="94"/>
    </row>
    <row r="2614" spans="1:23" ht="21" customHeight="1">
      <c r="A2614">
        <f>Table4[[#This Row],[Column1]]</f>
        <v>0</v>
      </c>
      <c r="B2614">
        <f>Table4[[#This Row],[Column2]]</f>
        <v>0</v>
      </c>
      <c r="C2614" s="81"/>
      <c r="D2614" s="81"/>
      <c r="E2614" s="81"/>
      <c r="F2614" s="81"/>
      <c r="G2614" s="81"/>
      <c r="H2614" s="81"/>
      <c r="I2614" s="81"/>
      <c r="J2614" s="81"/>
      <c r="K2614" s="81"/>
      <c r="L2614" s="81"/>
      <c r="M2614" s="81"/>
      <c r="N2614" s="81"/>
      <c r="O2614" s="81"/>
      <c r="P2614" s="81"/>
      <c r="Q2614" s="81"/>
      <c r="R2614" s="81"/>
      <c r="S2614" s="81"/>
      <c r="T2614" s="81"/>
      <c r="U2614" s="81"/>
      <c r="V2614" s="94"/>
      <c r="W2614" s="94"/>
    </row>
    <row r="2615" spans="1:23" ht="21" customHeight="1">
      <c r="A2615">
        <f>Table4[[#This Row],[Column1]]</f>
        <v>0</v>
      </c>
      <c r="B2615">
        <f>Table4[[#This Row],[Column2]]</f>
        <v>0</v>
      </c>
      <c r="C2615" s="81"/>
      <c r="D2615" s="81"/>
      <c r="E2615" s="81"/>
      <c r="F2615" s="81"/>
      <c r="G2615" s="81"/>
      <c r="H2615" s="81"/>
      <c r="I2615" s="81"/>
      <c r="J2615" s="81"/>
      <c r="K2615" s="81"/>
      <c r="L2615" s="81"/>
      <c r="M2615" s="81"/>
      <c r="N2615" s="81"/>
      <c r="O2615" s="81"/>
      <c r="P2615" s="81"/>
      <c r="Q2615" s="81"/>
      <c r="R2615" s="81"/>
      <c r="S2615" s="81"/>
      <c r="T2615" s="81"/>
      <c r="U2615" s="81"/>
      <c r="V2615" s="94"/>
      <c r="W2615" s="94"/>
    </row>
    <row r="2616" spans="1:23" ht="21" customHeight="1">
      <c r="A2616">
        <f>Table4[[#This Row],[Column1]]</f>
        <v>0</v>
      </c>
      <c r="B2616">
        <f>Table4[[#This Row],[Column2]]</f>
        <v>0</v>
      </c>
      <c r="C2616" s="81"/>
      <c r="D2616" s="81"/>
      <c r="E2616" s="81"/>
      <c r="F2616" s="81"/>
      <c r="G2616" s="81"/>
      <c r="H2616" s="81"/>
      <c r="I2616" s="81"/>
      <c r="J2616" s="81"/>
      <c r="K2616" s="81"/>
      <c r="L2616" s="81"/>
      <c r="M2616" s="81"/>
      <c r="N2616" s="81"/>
      <c r="O2616" s="81"/>
      <c r="P2616" s="81"/>
      <c r="Q2616" s="81"/>
      <c r="R2616" s="81"/>
      <c r="S2616" s="81"/>
      <c r="T2616" s="81"/>
      <c r="U2616" s="81"/>
      <c r="V2616" s="94"/>
      <c r="W2616" s="94"/>
    </row>
    <row r="2617" spans="1:23" ht="21" customHeight="1">
      <c r="A2617">
        <f>Table4[[#This Row],[Column1]]</f>
        <v>0</v>
      </c>
      <c r="B2617">
        <f>Table4[[#This Row],[Column2]]</f>
        <v>0</v>
      </c>
      <c r="C2617" s="81"/>
      <c r="D2617" s="81"/>
      <c r="E2617" s="81"/>
      <c r="F2617" s="81"/>
      <c r="G2617" s="81"/>
      <c r="H2617" s="81"/>
      <c r="I2617" s="81"/>
      <c r="J2617" s="81"/>
      <c r="K2617" s="81"/>
      <c r="L2617" s="81"/>
      <c r="M2617" s="81"/>
      <c r="N2617" s="81"/>
      <c r="O2617" s="81"/>
      <c r="P2617" s="81"/>
      <c r="Q2617" s="81"/>
      <c r="R2617" s="81"/>
      <c r="S2617" s="81"/>
      <c r="T2617" s="81"/>
      <c r="U2617" s="81"/>
      <c r="V2617" s="94"/>
      <c r="W2617" s="94"/>
    </row>
    <row r="2618" spans="1:23" ht="21" customHeight="1">
      <c r="A2618">
        <f>Table4[[#This Row],[Column1]]</f>
        <v>0</v>
      </c>
      <c r="B2618">
        <f>Table4[[#This Row],[Column2]]</f>
        <v>0</v>
      </c>
      <c r="C2618" s="81"/>
      <c r="D2618" s="81"/>
      <c r="E2618" s="81"/>
      <c r="F2618" s="81"/>
      <c r="G2618" s="81"/>
      <c r="H2618" s="81"/>
      <c r="I2618" s="81"/>
      <c r="J2618" s="81"/>
      <c r="K2618" s="81"/>
      <c r="L2618" s="81"/>
      <c r="M2618" s="81"/>
      <c r="N2618" s="81"/>
      <c r="O2618" s="81"/>
      <c r="P2618" s="81"/>
      <c r="Q2618" s="81"/>
      <c r="R2618" s="81"/>
      <c r="S2618" s="81"/>
      <c r="T2618" s="81"/>
      <c r="U2618" s="81"/>
      <c r="V2618" s="94"/>
      <c r="W2618" s="94"/>
    </row>
    <row r="2619" spans="1:23" ht="21" customHeight="1">
      <c r="A2619">
        <f>Table4[[#This Row],[Column1]]</f>
        <v>0</v>
      </c>
      <c r="B2619">
        <f>Table4[[#This Row],[Column2]]</f>
        <v>0</v>
      </c>
      <c r="C2619" s="81"/>
      <c r="D2619" s="81"/>
      <c r="E2619" s="81"/>
      <c r="F2619" s="81"/>
      <c r="G2619" s="81"/>
      <c r="H2619" s="81"/>
      <c r="I2619" s="81"/>
      <c r="J2619" s="81"/>
      <c r="K2619" s="81"/>
      <c r="L2619" s="81"/>
      <c r="M2619" s="81"/>
      <c r="N2619" s="81"/>
      <c r="O2619" s="81"/>
      <c r="P2619" s="81"/>
      <c r="Q2619" s="81"/>
      <c r="R2619" s="81"/>
      <c r="S2619" s="81"/>
      <c r="T2619" s="81"/>
      <c r="U2619" s="81"/>
      <c r="V2619" s="94"/>
      <c r="W2619" s="94"/>
    </row>
    <row r="2620" spans="1:23" ht="21" customHeight="1">
      <c r="A2620">
        <f>Table4[[#This Row],[Column1]]</f>
        <v>0</v>
      </c>
      <c r="B2620">
        <f>Table4[[#This Row],[Column2]]</f>
        <v>0</v>
      </c>
      <c r="C2620" s="81"/>
      <c r="D2620" s="81"/>
      <c r="E2620" s="81"/>
      <c r="F2620" s="81"/>
      <c r="G2620" s="81"/>
      <c r="H2620" s="81"/>
      <c r="I2620" s="81"/>
      <c r="J2620" s="81"/>
      <c r="K2620" s="81"/>
      <c r="L2620" s="81"/>
      <c r="M2620" s="81"/>
      <c r="N2620" s="81"/>
      <c r="O2620" s="81"/>
      <c r="P2620" s="81"/>
      <c r="Q2620" s="81"/>
      <c r="R2620" s="81"/>
      <c r="S2620" s="81"/>
      <c r="T2620" s="81"/>
      <c r="U2620" s="81"/>
      <c r="V2620" s="94"/>
      <c r="W2620" s="94"/>
    </row>
    <row r="2621" spans="1:23" ht="21" customHeight="1">
      <c r="A2621">
        <f>Table4[[#This Row],[Column1]]</f>
        <v>0</v>
      </c>
      <c r="B2621">
        <f>Table4[[#This Row],[Column2]]</f>
        <v>0</v>
      </c>
      <c r="C2621" s="81"/>
      <c r="D2621" s="81"/>
      <c r="E2621" s="81"/>
      <c r="F2621" s="81"/>
      <c r="G2621" s="81"/>
      <c r="H2621" s="81"/>
      <c r="I2621" s="81"/>
      <c r="J2621" s="81"/>
      <c r="K2621" s="81"/>
      <c r="L2621" s="81"/>
      <c r="M2621" s="81"/>
      <c r="N2621" s="81"/>
      <c r="O2621" s="81"/>
      <c r="P2621" s="81"/>
      <c r="Q2621" s="81"/>
      <c r="R2621" s="81"/>
      <c r="S2621" s="81"/>
      <c r="T2621" s="81"/>
      <c r="U2621" s="81"/>
      <c r="V2621" s="94"/>
      <c r="W2621" s="94"/>
    </row>
    <row r="2622" spans="1:23" ht="21" customHeight="1">
      <c r="A2622">
        <f>Table4[[#This Row],[Column1]]</f>
        <v>0</v>
      </c>
      <c r="B2622">
        <f>Table4[[#This Row],[Column2]]</f>
        <v>0</v>
      </c>
      <c r="C2622" s="81"/>
      <c r="D2622" s="81"/>
      <c r="E2622" s="81"/>
      <c r="F2622" s="81"/>
      <c r="G2622" s="81"/>
      <c r="H2622" s="81"/>
      <c r="I2622" s="81"/>
      <c r="J2622" s="81"/>
      <c r="K2622" s="81"/>
      <c r="L2622" s="81"/>
      <c r="M2622" s="81"/>
      <c r="N2622" s="81"/>
      <c r="O2622" s="81"/>
      <c r="P2622" s="81"/>
      <c r="Q2622" s="81"/>
      <c r="R2622" s="81"/>
      <c r="S2622" s="81"/>
      <c r="T2622" s="81"/>
      <c r="U2622" s="81"/>
      <c r="V2622" s="94"/>
      <c r="W2622" s="94"/>
    </row>
    <row r="2623" spans="1:23" ht="21" customHeight="1">
      <c r="A2623">
        <f>Table4[[#This Row],[Column1]]</f>
        <v>0</v>
      </c>
      <c r="B2623">
        <f>Table4[[#This Row],[Column2]]</f>
        <v>0</v>
      </c>
      <c r="C2623" s="81"/>
      <c r="D2623" s="81"/>
      <c r="E2623" s="81"/>
      <c r="F2623" s="81"/>
      <c r="G2623" s="81"/>
      <c r="H2623" s="81"/>
      <c r="I2623" s="81"/>
      <c r="J2623" s="81"/>
      <c r="K2623" s="81"/>
      <c r="L2623" s="81"/>
      <c r="M2623" s="81"/>
      <c r="N2623" s="81"/>
      <c r="O2623" s="81"/>
      <c r="P2623" s="81"/>
      <c r="Q2623" s="81"/>
      <c r="R2623" s="81"/>
      <c r="S2623" s="81"/>
      <c r="T2623" s="81"/>
      <c r="U2623" s="81"/>
      <c r="V2623" s="94"/>
      <c r="W2623" s="94"/>
    </row>
    <row r="2624" spans="1:23" ht="21" customHeight="1">
      <c r="A2624">
        <f>Table4[[#This Row],[Column1]]</f>
        <v>0</v>
      </c>
      <c r="B2624">
        <f>Table4[[#This Row],[Column2]]</f>
        <v>0</v>
      </c>
      <c r="C2624" s="81"/>
      <c r="D2624" s="81"/>
      <c r="E2624" s="81"/>
      <c r="F2624" s="81"/>
      <c r="G2624" s="81"/>
      <c r="H2624" s="81"/>
      <c r="I2624" s="81"/>
      <c r="J2624" s="81"/>
      <c r="K2624" s="81"/>
      <c r="L2624" s="81"/>
      <c r="M2624" s="81"/>
      <c r="N2624" s="81"/>
      <c r="O2624" s="81"/>
      <c r="P2624" s="81"/>
      <c r="Q2624" s="81"/>
      <c r="R2624" s="81"/>
      <c r="S2624" s="81"/>
      <c r="T2624" s="81"/>
      <c r="U2624" s="81"/>
      <c r="V2624" s="94"/>
      <c r="W2624" s="94"/>
    </row>
    <row r="2625" spans="1:23" ht="21" customHeight="1">
      <c r="A2625">
        <f>Table4[[#This Row],[Column1]]</f>
        <v>0</v>
      </c>
      <c r="B2625">
        <f>Table4[[#This Row],[Column2]]</f>
        <v>0</v>
      </c>
      <c r="C2625" s="81"/>
      <c r="D2625" s="81"/>
      <c r="E2625" s="81"/>
      <c r="F2625" s="81"/>
      <c r="G2625" s="81"/>
      <c r="H2625" s="81"/>
      <c r="I2625" s="81"/>
      <c r="J2625" s="81"/>
      <c r="K2625" s="81"/>
      <c r="L2625" s="81"/>
      <c r="M2625" s="81"/>
      <c r="N2625" s="81"/>
      <c r="O2625" s="81"/>
      <c r="P2625" s="81"/>
      <c r="Q2625" s="81"/>
      <c r="R2625" s="81"/>
      <c r="S2625" s="81"/>
      <c r="T2625" s="81"/>
      <c r="U2625" s="81"/>
      <c r="V2625" s="94"/>
      <c r="W2625" s="94"/>
    </row>
    <row r="2626" spans="1:23" ht="21" customHeight="1">
      <c r="A2626">
        <f>Table4[[#This Row],[Column1]]</f>
        <v>0</v>
      </c>
      <c r="B2626">
        <f>Table4[[#This Row],[Column2]]</f>
        <v>0</v>
      </c>
      <c r="C2626" s="81"/>
      <c r="D2626" s="81"/>
      <c r="E2626" s="81"/>
      <c r="F2626" s="81"/>
      <c r="G2626" s="81"/>
      <c r="H2626" s="81"/>
      <c r="I2626" s="81"/>
      <c r="J2626" s="81"/>
      <c r="K2626" s="81"/>
      <c r="L2626" s="81"/>
      <c r="M2626" s="81"/>
      <c r="N2626" s="81"/>
      <c r="O2626" s="81"/>
      <c r="P2626" s="81"/>
      <c r="Q2626" s="81"/>
      <c r="R2626" s="81"/>
      <c r="S2626" s="81"/>
      <c r="T2626" s="81"/>
      <c r="U2626" s="81"/>
      <c r="V2626" s="94"/>
      <c r="W2626" s="94"/>
    </row>
    <row r="2627" spans="1:23" ht="21" customHeight="1">
      <c r="A2627">
        <f>Table4[[#This Row],[Column1]]</f>
        <v>0</v>
      </c>
      <c r="B2627">
        <f>Table4[[#This Row],[Column2]]</f>
        <v>0</v>
      </c>
      <c r="C2627" s="81"/>
      <c r="D2627" s="81"/>
      <c r="E2627" s="81"/>
      <c r="F2627" s="81"/>
      <c r="G2627" s="81"/>
      <c r="H2627" s="81"/>
      <c r="I2627" s="81"/>
      <c r="J2627" s="81"/>
      <c r="K2627" s="81"/>
      <c r="L2627" s="81"/>
      <c r="M2627" s="81"/>
      <c r="N2627" s="81"/>
      <c r="O2627" s="81"/>
      <c r="P2627" s="81"/>
      <c r="Q2627" s="81"/>
      <c r="R2627" s="81"/>
      <c r="S2627" s="81"/>
      <c r="T2627" s="81"/>
      <c r="U2627" s="81"/>
      <c r="V2627" s="94"/>
      <c r="W2627" s="94"/>
    </row>
    <row r="2628" spans="1:23" ht="21" customHeight="1">
      <c r="A2628">
        <f>Table4[[#This Row],[Column1]]</f>
        <v>0</v>
      </c>
      <c r="B2628">
        <f>Table4[[#This Row],[Column2]]</f>
        <v>0</v>
      </c>
      <c r="C2628" s="81"/>
      <c r="D2628" s="81"/>
      <c r="E2628" s="81"/>
      <c r="F2628" s="81"/>
      <c r="G2628" s="81"/>
      <c r="H2628" s="81"/>
      <c r="I2628" s="81"/>
      <c r="J2628" s="81"/>
      <c r="K2628" s="81"/>
      <c r="L2628" s="81"/>
      <c r="M2628" s="81"/>
      <c r="N2628" s="81"/>
      <c r="O2628" s="81"/>
      <c r="P2628" s="81"/>
      <c r="Q2628" s="81"/>
      <c r="R2628" s="81"/>
      <c r="S2628" s="81"/>
      <c r="T2628" s="81"/>
      <c r="U2628" s="81"/>
      <c r="V2628" s="94"/>
      <c r="W2628" s="94"/>
    </row>
    <row r="2629" spans="1:23" ht="21" customHeight="1">
      <c r="A2629">
        <f>Table4[[#This Row],[Column1]]</f>
        <v>0</v>
      </c>
      <c r="B2629">
        <f>Table4[[#This Row],[Column2]]</f>
        <v>0</v>
      </c>
      <c r="C2629" s="81"/>
      <c r="D2629" s="81"/>
      <c r="E2629" s="81"/>
      <c r="F2629" s="81"/>
      <c r="G2629" s="81"/>
      <c r="H2629" s="81"/>
      <c r="I2629" s="81"/>
      <c r="J2629" s="81"/>
      <c r="K2629" s="81"/>
      <c r="L2629" s="81"/>
      <c r="M2629" s="81"/>
      <c r="N2629" s="81"/>
      <c r="O2629" s="81"/>
      <c r="P2629" s="81"/>
      <c r="Q2629" s="81"/>
      <c r="R2629" s="81"/>
      <c r="S2629" s="81"/>
      <c r="T2629" s="81"/>
      <c r="U2629" s="81"/>
      <c r="V2629" s="94"/>
      <c r="W2629" s="94"/>
    </row>
    <row r="2630" spans="1:23" ht="21" customHeight="1">
      <c r="A2630">
        <f>Table4[[#This Row],[Column1]]</f>
        <v>0</v>
      </c>
      <c r="B2630">
        <f>Table4[[#This Row],[Column2]]</f>
        <v>0</v>
      </c>
      <c r="C2630" s="81"/>
      <c r="D2630" s="81"/>
      <c r="E2630" s="81"/>
      <c r="F2630" s="81"/>
      <c r="G2630" s="81"/>
      <c r="H2630" s="81"/>
      <c r="I2630" s="81"/>
      <c r="J2630" s="81"/>
      <c r="K2630" s="81"/>
      <c r="L2630" s="81"/>
      <c r="M2630" s="81"/>
      <c r="N2630" s="81"/>
      <c r="O2630" s="81"/>
      <c r="P2630" s="81"/>
      <c r="Q2630" s="81"/>
      <c r="R2630" s="81"/>
      <c r="S2630" s="81"/>
      <c r="T2630" s="81"/>
      <c r="U2630" s="81"/>
      <c r="V2630" s="94"/>
      <c r="W2630" s="94"/>
    </row>
    <row r="2631" spans="1:23" ht="21" customHeight="1">
      <c r="A2631">
        <f>Table4[[#This Row],[Column1]]</f>
        <v>0</v>
      </c>
      <c r="B2631">
        <f>Table4[[#This Row],[Column2]]</f>
        <v>0</v>
      </c>
      <c r="C2631" s="81"/>
      <c r="D2631" s="81"/>
      <c r="E2631" s="81"/>
      <c r="F2631" s="81"/>
      <c r="G2631" s="81"/>
      <c r="H2631" s="81"/>
      <c r="I2631" s="81"/>
      <c r="J2631" s="81"/>
      <c r="K2631" s="81"/>
      <c r="L2631" s="81"/>
      <c r="M2631" s="81"/>
      <c r="N2631" s="81"/>
      <c r="O2631" s="81"/>
      <c r="P2631" s="81"/>
      <c r="Q2631" s="81"/>
      <c r="R2631" s="81"/>
      <c r="S2631" s="81"/>
      <c r="T2631" s="81"/>
      <c r="U2631" s="81"/>
      <c r="V2631" s="94"/>
      <c r="W2631" s="94"/>
    </row>
    <row r="2632" spans="1:23" ht="21" customHeight="1">
      <c r="A2632">
        <f>Table4[[#This Row],[Column1]]</f>
        <v>0</v>
      </c>
      <c r="B2632">
        <f>Table4[[#This Row],[Column2]]</f>
        <v>0</v>
      </c>
      <c r="C2632" s="81"/>
      <c r="D2632" s="81"/>
      <c r="E2632" s="81"/>
      <c r="F2632" s="81"/>
      <c r="G2632" s="81"/>
      <c r="H2632" s="81"/>
      <c r="I2632" s="81"/>
      <c r="J2632" s="81"/>
      <c r="K2632" s="81"/>
      <c r="L2632" s="81"/>
      <c r="M2632" s="81"/>
      <c r="N2632" s="81"/>
      <c r="O2632" s="81"/>
      <c r="P2632" s="81"/>
      <c r="Q2632" s="81"/>
      <c r="R2632" s="81"/>
      <c r="S2632" s="81"/>
      <c r="T2632" s="81"/>
      <c r="U2632" s="81"/>
      <c r="V2632" s="94"/>
      <c r="W2632" s="94"/>
    </row>
    <row r="2633" spans="1:23" ht="21" customHeight="1">
      <c r="A2633">
        <f>Table4[[#This Row],[Column1]]</f>
        <v>0</v>
      </c>
      <c r="B2633">
        <f>Table4[[#This Row],[Column2]]</f>
        <v>0</v>
      </c>
      <c r="C2633" s="81"/>
      <c r="D2633" s="81"/>
      <c r="E2633" s="81"/>
      <c r="F2633" s="81"/>
      <c r="G2633" s="81"/>
      <c r="H2633" s="81"/>
      <c r="I2633" s="81"/>
      <c r="J2633" s="81"/>
      <c r="K2633" s="81"/>
      <c r="L2633" s="81"/>
      <c r="M2633" s="81"/>
      <c r="N2633" s="81"/>
      <c r="O2633" s="81"/>
      <c r="P2633" s="81"/>
      <c r="Q2633" s="81"/>
      <c r="R2633" s="81"/>
      <c r="S2633" s="81"/>
      <c r="T2633" s="81"/>
      <c r="U2633" s="81"/>
      <c r="V2633" s="94"/>
      <c r="W2633" s="94"/>
    </row>
    <row r="2634" spans="1:23" ht="21" customHeight="1">
      <c r="A2634">
        <f>Table4[[#This Row],[Column1]]</f>
        <v>0</v>
      </c>
      <c r="B2634">
        <f>Table4[[#This Row],[Column2]]</f>
        <v>0</v>
      </c>
      <c r="C2634" s="81"/>
      <c r="D2634" s="81"/>
      <c r="E2634" s="81"/>
      <c r="F2634" s="81"/>
      <c r="G2634" s="81"/>
      <c r="H2634" s="81"/>
      <c r="I2634" s="81"/>
      <c r="J2634" s="81"/>
      <c r="K2634" s="81"/>
      <c r="L2634" s="81"/>
      <c r="M2634" s="81"/>
      <c r="N2634" s="81"/>
      <c r="O2634" s="81"/>
      <c r="P2634" s="81"/>
      <c r="Q2634" s="81"/>
      <c r="R2634" s="81"/>
      <c r="S2634" s="81"/>
      <c r="T2634" s="81"/>
      <c r="U2634" s="81"/>
      <c r="V2634" s="94"/>
      <c r="W2634" s="94"/>
    </row>
    <row r="2635" spans="1:23" ht="21" customHeight="1">
      <c r="A2635">
        <f>Table4[[#This Row],[Column1]]</f>
        <v>0</v>
      </c>
      <c r="B2635">
        <f>Table4[[#This Row],[Column2]]</f>
        <v>0</v>
      </c>
      <c r="C2635" s="81"/>
      <c r="D2635" s="81"/>
      <c r="E2635" s="81"/>
      <c r="F2635" s="81"/>
      <c r="G2635" s="81"/>
      <c r="H2635" s="81"/>
      <c r="I2635" s="81"/>
      <c r="J2635" s="81"/>
      <c r="K2635" s="81"/>
      <c r="L2635" s="81"/>
      <c r="M2635" s="81"/>
      <c r="N2635" s="81"/>
      <c r="O2635" s="81"/>
      <c r="P2635" s="81"/>
      <c r="Q2635" s="81"/>
      <c r="R2635" s="81"/>
      <c r="S2635" s="81"/>
      <c r="T2635" s="81"/>
      <c r="U2635" s="81"/>
      <c r="V2635" s="94"/>
      <c r="W2635" s="94"/>
    </row>
    <row r="2636" spans="1:23" ht="21" customHeight="1">
      <c r="A2636">
        <f>Table4[[#This Row],[Column1]]</f>
        <v>0</v>
      </c>
      <c r="B2636">
        <f>Table4[[#This Row],[Column2]]</f>
        <v>0</v>
      </c>
      <c r="C2636" s="81"/>
      <c r="D2636" s="81"/>
      <c r="E2636" s="81"/>
      <c r="F2636" s="81"/>
      <c r="G2636" s="81"/>
      <c r="H2636" s="81"/>
      <c r="I2636" s="81"/>
      <c r="J2636" s="81"/>
      <c r="K2636" s="81"/>
      <c r="L2636" s="81"/>
      <c r="M2636" s="81"/>
      <c r="N2636" s="81"/>
      <c r="O2636" s="81"/>
      <c r="P2636" s="81"/>
      <c r="Q2636" s="81"/>
      <c r="R2636" s="81"/>
      <c r="S2636" s="81"/>
      <c r="T2636" s="81"/>
      <c r="U2636" s="81"/>
      <c r="V2636" s="94"/>
      <c r="W2636" s="94"/>
    </row>
    <row r="2637" spans="1:23" ht="21" customHeight="1">
      <c r="A2637">
        <f>Table4[[#This Row],[Column1]]</f>
        <v>0</v>
      </c>
      <c r="B2637">
        <f>Table4[[#This Row],[Column2]]</f>
        <v>0</v>
      </c>
      <c r="C2637" s="81"/>
      <c r="D2637" s="81"/>
      <c r="E2637" s="81"/>
      <c r="F2637" s="81"/>
      <c r="G2637" s="81"/>
      <c r="H2637" s="81"/>
      <c r="I2637" s="81"/>
      <c r="J2637" s="81"/>
      <c r="K2637" s="81"/>
      <c r="L2637" s="81"/>
      <c r="M2637" s="81"/>
      <c r="N2637" s="81"/>
      <c r="O2637" s="81"/>
      <c r="P2637" s="81"/>
      <c r="Q2637" s="81"/>
      <c r="R2637" s="81"/>
      <c r="S2637" s="81"/>
      <c r="T2637" s="81"/>
      <c r="U2637" s="81"/>
      <c r="V2637" s="94"/>
      <c r="W2637" s="94"/>
    </row>
    <row r="2638" spans="1:23" ht="21" customHeight="1">
      <c r="A2638">
        <f>Table4[[#This Row],[Column1]]</f>
        <v>0</v>
      </c>
      <c r="B2638">
        <f>Table4[[#This Row],[Column2]]</f>
        <v>0</v>
      </c>
      <c r="C2638" s="81"/>
      <c r="D2638" s="81"/>
      <c r="E2638" s="81"/>
      <c r="F2638" s="81"/>
      <c r="G2638" s="81"/>
      <c r="H2638" s="81"/>
      <c r="I2638" s="81"/>
      <c r="J2638" s="81"/>
      <c r="K2638" s="81"/>
      <c r="L2638" s="81"/>
      <c r="M2638" s="81"/>
      <c r="N2638" s="81"/>
      <c r="O2638" s="81"/>
      <c r="P2638" s="81"/>
      <c r="Q2638" s="81"/>
      <c r="R2638" s="81"/>
      <c r="S2638" s="81"/>
      <c r="T2638" s="81"/>
      <c r="U2638" s="81"/>
      <c r="V2638" s="94"/>
      <c r="W2638" s="94"/>
    </row>
    <row r="2639" spans="1:23" ht="21" customHeight="1">
      <c r="A2639">
        <f>Table4[[#This Row],[Column1]]</f>
        <v>0</v>
      </c>
      <c r="B2639">
        <f>Table4[[#This Row],[Column2]]</f>
        <v>0</v>
      </c>
      <c r="C2639" s="81"/>
      <c r="D2639" s="81"/>
      <c r="E2639" s="81"/>
      <c r="F2639" s="81"/>
      <c r="G2639" s="81"/>
      <c r="H2639" s="81"/>
      <c r="I2639" s="81"/>
      <c r="J2639" s="81"/>
      <c r="K2639" s="81"/>
      <c r="L2639" s="81"/>
      <c r="M2639" s="81"/>
      <c r="N2639" s="81"/>
      <c r="O2639" s="81"/>
      <c r="P2639" s="81"/>
      <c r="Q2639" s="81"/>
      <c r="R2639" s="81"/>
      <c r="S2639" s="81"/>
      <c r="T2639" s="81"/>
      <c r="U2639" s="81"/>
      <c r="V2639" s="94"/>
      <c r="W2639" s="94"/>
    </row>
    <row r="2640" spans="1:23" ht="21" customHeight="1">
      <c r="A2640">
        <f>Table4[[#This Row],[Column1]]</f>
        <v>0</v>
      </c>
      <c r="B2640">
        <f>Table4[[#This Row],[Column2]]</f>
        <v>0</v>
      </c>
      <c r="C2640" s="81"/>
      <c r="D2640" s="81"/>
      <c r="E2640" s="81"/>
      <c r="F2640" s="81"/>
      <c r="G2640" s="81"/>
      <c r="H2640" s="81"/>
      <c r="I2640" s="81"/>
      <c r="J2640" s="81"/>
      <c r="K2640" s="81"/>
      <c r="L2640" s="81"/>
      <c r="M2640" s="81"/>
      <c r="N2640" s="81"/>
      <c r="O2640" s="81"/>
      <c r="P2640" s="81"/>
      <c r="Q2640" s="81"/>
      <c r="R2640" s="81"/>
      <c r="S2640" s="81"/>
      <c r="T2640" s="81"/>
      <c r="U2640" s="81"/>
      <c r="V2640" s="94"/>
      <c r="W2640" s="94"/>
    </row>
    <row r="2641" spans="1:23" ht="21" customHeight="1">
      <c r="A2641">
        <f>Table4[[#This Row],[Column1]]</f>
        <v>0</v>
      </c>
      <c r="B2641">
        <f>Table4[[#This Row],[Column2]]</f>
        <v>0</v>
      </c>
      <c r="C2641" s="81"/>
      <c r="D2641" s="81"/>
      <c r="E2641" s="81"/>
      <c r="F2641" s="81"/>
      <c r="G2641" s="81"/>
      <c r="H2641" s="81"/>
      <c r="I2641" s="81"/>
      <c r="J2641" s="81"/>
      <c r="K2641" s="81"/>
      <c r="L2641" s="81"/>
      <c r="M2641" s="81"/>
      <c r="N2641" s="81"/>
      <c r="O2641" s="81"/>
      <c r="P2641" s="81"/>
      <c r="Q2641" s="81"/>
      <c r="R2641" s="81"/>
      <c r="S2641" s="81"/>
      <c r="T2641" s="81"/>
      <c r="U2641" s="81"/>
      <c r="V2641" s="94"/>
      <c r="W2641" s="94"/>
    </row>
    <row r="2642" spans="1:23" ht="21" customHeight="1">
      <c r="A2642">
        <f>Table4[[#This Row],[Column1]]</f>
        <v>0</v>
      </c>
      <c r="B2642">
        <f>Table4[[#This Row],[Column2]]</f>
        <v>0</v>
      </c>
      <c r="C2642" s="81"/>
      <c r="D2642" s="81"/>
      <c r="E2642" s="81"/>
      <c r="F2642" s="81"/>
      <c r="G2642" s="81"/>
      <c r="H2642" s="81"/>
      <c r="I2642" s="81"/>
      <c r="J2642" s="81"/>
      <c r="K2642" s="81"/>
      <c r="L2642" s="81"/>
      <c r="M2642" s="81"/>
      <c r="N2642" s="81"/>
      <c r="O2642" s="81"/>
      <c r="P2642" s="81"/>
      <c r="Q2642" s="81"/>
      <c r="R2642" s="81"/>
      <c r="S2642" s="81"/>
      <c r="T2642" s="81"/>
      <c r="U2642" s="81"/>
      <c r="V2642" s="94"/>
      <c r="W2642" s="94"/>
    </row>
    <row r="2643" spans="1:23" ht="21" customHeight="1">
      <c r="A2643">
        <f>Table4[[#This Row],[Column1]]</f>
        <v>0</v>
      </c>
      <c r="B2643">
        <f>Table4[[#This Row],[Column2]]</f>
        <v>0</v>
      </c>
      <c r="C2643" s="81"/>
      <c r="D2643" s="81"/>
      <c r="E2643" s="81"/>
      <c r="F2643" s="81"/>
      <c r="G2643" s="81"/>
      <c r="H2643" s="81"/>
      <c r="I2643" s="81"/>
      <c r="J2643" s="81"/>
      <c r="K2643" s="81"/>
      <c r="L2643" s="81"/>
      <c r="M2643" s="81"/>
      <c r="N2643" s="81"/>
      <c r="O2643" s="81"/>
      <c r="P2643" s="81"/>
      <c r="Q2643" s="81"/>
      <c r="R2643" s="81"/>
      <c r="S2643" s="81"/>
      <c r="T2643" s="81"/>
      <c r="U2643" s="81"/>
      <c r="V2643" s="94"/>
      <c r="W2643" s="94"/>
    </row>
    <row r="2644" spans="1:23" ht="21" customHeight="1">
      <c r="A2644">
        <f>Table4[[#This Row],[Column1]]</f>
        <v>0</v>
      </c>
      <c r="B2644">
        <f>Table4[[#This Row],[Column2]]</f>
        <v>0</v>
      </c>
      <c r="C2644" s="81"/>
      <c r="D2644" s="81"/>
      <c r="E2644" s="81"/>
      <c r="F2644" s="81"/>
      <c r="G2644" s="81"/>
      <c r="H2644" s="81"/>
      <c r="I2644" s="81"/>
      <c r="J2644" s="81"/>
      <c r="K2644" s="81"/>
      <c r="L2644" s="81"/>
      <c r="M2644" s="81"/>
      <c r="N2644" s="81"/>
      <c r="O2644" s="81"/>
      <c r="P2644" s="81"/>
      <c r="Q2644" s="81"/>
      <c r="R2644" s="81"/>
      <c r="S2644" s="81"/>
      <c r="T2644" s="81"/>
      <c r="U2644" s="81"/>
      <c r="V2644" s="94"/>
      <c r="W2644" s="94"/>
    </row>
    <row r="2645" spans="1:23" ht="21" customHeight="1">
      <c r="A2645">
        <f>Table4[[#This Row],[Column1]]</f>
        <v>0</v>
      </c>
      <c r="B2645">
        <f>Table4[[#This Row],[Column2]]</f>
        <v>0</v>
      </c>
      <c r="C2645" s="81"/>
      <c r="D2645" s="81"/>
      <c r="E2645" s="81"/>
      <c r="F2645" s="81"/>
      <c r="G2645" s="81"/>
      <c r="H2645" s="81"/>
      <c r="I2645" s="81"/>
      <c r="J2645" s="81"/>
      <c r="K2645" s="81"/>
      <c r="L2645" s="81"/>
      <c r="M2645" s="81"/>
      <c r="N2645" s="81"/>
      <c r="O2645" s="81"/>
      <c r="P2645" s="81"/>
      <c r="Q2645" s="81"/>
      <c r="R2645" s="81"/>
      <c r="S2645" s="81"/>
      <c r="T2645" s="81"/>
      <c r="U2645" s="81"/>
      <c r="V2645" s="94"/>
      <c r="W2645" s="94"/>
    </row>
    <row r="2646" spans="1:23" ht="21" customHeight="1">
      <c r="A2646">
        <f>Table4[[#This Row],[Column1]]</f>
        <v>0</v>
      </c>
      <c r="B2646">
        <f>Table4[[#This Row],[Column2]]</f>
        <v>0</v>
      </c>
      <c r="C2646" s="81"/>
      <c r="D2646" s="81"/>
      <c r="E2646" s="81"/>
      <c r="F2646" s="81"/>
      <c r="G2646" s="81"/>
      <c r="H2646" s="81"/>
      <c r="I2646" s="81"/>
      <c r="J2646" s="81"/>
      <c r="K2646" s="81"/>
      <c r="L2646" s="81"/>
      <c r="M2646" s="81"/>
      <c r="N2646" s="81"/>
      <c r="O2646" s="81"/>
      <c r="P2646" s="81"/>
      <c r="Q2646" s="81"/>
      <c r="R2646" s="81"/>
      <c r="S2646" s="81"/>
      <c r="T2646" s="81"/>
      <c r="U2646" s="81"/>
      <c r="V2646" s="94"/>
      <c r="W2646" s="94"/>
    </row>
    <row r="2647" spans="1:23" ht="21" customHeight="1">
      <c r="A2647">
        <f>Table4[[#This Row],[Column1]]</f>
        <v>0</v>
      </c>
      <c r="B2647">
        <f>Table4[[#This Row],[Column2]]</f>
        <v>0</v>
      </c>
      <c r="C2647" s="81"/>
      <c r="D2647" s="81"/>
      <c r="E2647" s="81"/>
      <c r="F2647" s="81"/>
      <c r="G2647" s="81"/>
      <c r="H2647" s="81"/>
      <c r="I2647" s="81"/>
      <c r="J2647" s="81"/>
      <c r="K2647" s="81"/>
      <c r="L2647" s="81"/>
      <c r="M2647" s="81"/>
      <c r="N2647" s="81"/>
      <c r="O2647" s="81"/>
      <c r="P2647" s="81"/>
      <c r="Q2647" s="81"/>
      <c r="R2647" s="81"/>
      <c r="S2647" s="81"/>
      <c r="T2647" s="81"/>
      <c r="U2647" s="81"/>
      <c r="V2647" s="94"/>
      <c r="W2647" s="94"/>
    </row>
    <row r="2648" spans="1:23" ht="21" customHeight="1">
      <c r="A2648">
        <f>Table4[[#This Row],[Column1]]</f>
        <v>0</v>
      </c>
      <c r="B2648">
        <f>Table4[[#This Row],[Column2]]</f>
        <v>0</v>
      </c>
      <c r="C2648" s="81"/>
      <c r="D2648" s="81"/>
      <c r="E2648" s="81"/>
      <c r="F2648" s="81"/>
      <c r="G2648" s="81"/>
      <c r="H2648" s="81"/>
      <c r="I2648" s="81"/>
      <c r="J2648" s="81"/>
      <c r="K2648" s="81"/>
      <c r="L2648" s="81"/>
      <c r="M2648" s="81"/>
      <c r="N2648" s="81"/>
      <c r="O2648" s="81"/>
      <c r="P2648" s="81"/>
      <c r="Q2648" s="81"/>
      <c r="R2648" s="81"/>
      <c r="S2648" s="81"/>
      <c r="T2648" s="81"/>
      <c r="U2648" s="81"/>
      <c r="V2648" s="94"/>
      <c r="W2648" s="94"/>
    </row>
    <row r="2649" spans="1:23" ht="21" customHeight="1">
      <c r="A2649">
        <f>Table4[[#This Row],[Column1]]</f>
        <v>0</v>
      </c>
      <c r="B2649">
        <f>Table4[[#This Row],[Column2]]</f>
        <v>0</v>
      </c>
      <c r="C2649" s="81"/>
      <c r="D2649" s="81"/>
      <c r="E2649" s="81"/>
      <c r="F2649" s="81"/>
      <c r="G2649" s="81"/>
      <c r="H2649" s="81"/>
      <c r="I2649" s="81"/>
      <c r="J2649" s="81"/>
      <c r="K2649" s="81"/>
      <c r="L2649" s="81"/>
      <c r="M2649" s="81"/>
      <c r="N2649" s="81"/>
      <c r="O2649" s="81"/>
      <c r="P2649" s="81"/>
      <c r="Q2649" s="81"/>
      <c r="R2649" s="81"/>
      <c r="S2649" s="81"/>
      <c r="T2649" s="81"/>
      <c r="U2649" s="81"/>
      <c r="V2649" s="94"/>
      <c r="W2649" s="94"/>
    </row>
    <row r="2650" spans="1:23" ht="21" customHeight="1">
      <c r="A2650">
        <f>Table4[[#This Row],[Column1]]</f>
        <v>0</v>
      </c>
      <c r="B2650">
        <f>Table4[[#This Row],[Column2]]</f>
        <v>0</v>
      </c>
      <c r="C2650" s="81"/>
      <c r="D2650" s="81"/>
      <c r="E2650" s="81"/>
      <c r="F2650" s="81"/>
      <c r="G2650" s="81"/>
      <c r="H2650" s="81"/>
      <c r="I2650" s="81"/>
      <c r="J2650" s="81"/>
      <c r="K2650" s="81"/>
      <c r="L2650" s="81"/>
      <c r="M2650" s="81"/>
      <c r="N2650" s="81"/>
      <c r="O2650" s="81"/>
      <c r="P2650" s="81"/>
      <c r="Q2650" s="81"/>
      <c r="R2650" s="81"/>
      <c r="S2650" s="81"/>
      <c r="T2650" s="81"/>
      <c r="U2650" s="81"/>
      <c r="V2650" s="94"/>
      <c r="W2650" s="94"/>
    </row>
    <row r="2651" spans="1:23" ht="21" customHeight="1">
      <c r="A2651">
        <f>Table4[[#This Row],[Column1]]</f>
        <v>0</v>
      </c>
      <c r="B2651">
        <f>Table4[[#This Row],[Column2]]</f>
        <v>0</v>
      </c>
      <c r="C2651" s="81"/>
      <c r="D2651" s="81"/>
      <c r="E2651" s="81"/>
      <c r="F2651" s="81"/>
      <c r="G2651" s="81"/>
      <c r="H2651" s="81"/>
      <c r="I2651" s="81"/>
      <c r="J2651" s="81"/>
      <c r="K2651" s="81"/>
      <c r="L2651" s="81"/>
      <c r="M2651" s="81"/>
      <c r="N2651" s="81"/>
      <c r="O2651" s="81"/>
      <c r="P2651" s="81"/>
      <c r="Q2651" s="81"/>
      <c r="R2651" s="81"/>
      <c r="S2651" s="81"/>
      <c r="T2651" s="81"/>
      <c r="U2651" s="81"/>
      <c r="V2651" s="94"/>
      <c r="W2651" s="94"/>
    </row>
    <row r="2652" spans="1:23" ht="21" customHeight="1">
      <c r="A2652">
        <f>Table4[[#This Row],[Column1]]</f>
        <v>0</v>
      </c>
      <c r="B2652">
        <f>Table4[[#This Row],[Column2]]</f>
        <v>0</v>
      </c>
      <c r="C2652" s="81"/>
      <c r="D2652" s="81"/>
      <c r="E2652" s="81"/>
      <c r="F2652" s="81"/>
      <c r="G2652" s="81"/>
      <c r="H2652" s="81"/>
      <c r="I2652" s="81"/>
      <c r="J2652" s="81"/>
      <c r="K2652" s="81"/>
      <c r="L2652" s="81"/>
      <c r="M2652" s="81"/>
      <c r="N2652" s="81"/>
      <c r="O2652" s="81"/>
      <c r="P2652" s="81"/>
      <c r="Q2652" s="81"/>
      <c r="R2652" s="81"/>
      <c r="S2652" s="81"/>
      <c r="T2652" s="81"/>
      <c r="U2652" s="81"/>
      <c r="V2652" s="94"/>
      <c r="W2652" s="94"/>
    </row>
    <row r="2653" spans="1:23" ht="21" customHeight="1">
      <c r="A2653">
        <f>Table4[[#This Row],[Column1]]</f>
        <v>0</v>
      </c>
      <c r="B2653">
        <f>Table4[[#This Row],[Column2]]</f>
        <v>0</v>
      </c>
      <c r="C2653" s="81"/>
      <c r="D2653" s="81"/>
      <c r="E2653" s="81"/>
      <c r="F2653" s="81"/>
      <c r="G2653" s="81"/>
      <c r="H2653" s="81"/>
      <c r="I2653" s="81"/>
      <c r="J2653" s="81"/>
      <c r="K2653" s="81"/>
      <c r="L2653" s="81"/>
      <c r="M2653" s="81"/>
      <c r="N2653" s="81"/>
      <c r="O2653" s="81"/>
      <c r="P2653" s="81"/>
      <c r="Q2653" s="81"/>
      <c r="R2653" s="81"/>
      <c r="S2653" s="81"/>
      <c r="T2653" s="81"/>
      <c r="U2653" s="81"/>
      <c r="V2653" s="94"/>
      <c r="W2653" s="94"/>
    </row>
    <row r="2654" spans="1:23" ht="21" customHeight="1">
      <c r="A2654">
        <f>Table4[[#This Row],[Column1]]</f>
        <v>0</v>
      </c>
      <c r="B2654">
        <f>Table4[[#This Row],[Column2]]</f>
        <v>0</v>
      </c>
      <c r="C2654" s="81"/>
      <c r="D2654" s="81"/>
      <c r="E2654" s="81"/>
      <c r="F2654" s="81"/>
      <c r="G2654" s="81"/>
      <c r="H2654" s="81"/>
      <c r="I2654" s="81"/>
      <c r="J2654" s="81"/>
      <c r="K2654" s="81"/>
      <c r="L2654" s="81"/>
      <c r="M2654" s="81"/>
      <c r="N2654" s="81"/>
      <c r="O2654" s="81"/>
      <c r="P2654" s="81"/>
      <c r="Q2654" s="81"/>
      <c r="R2654" s="81"/>
      <c r="S2654" s="81"/>
      <c r="T2654" s="81"/>
      <c r="U2654" s="81"/>
      <c r="V2654" s="94"/>
      <c r="W2654" s="94"/>
    </row>
    <row r="2655" spans="1:23" ht="21" customHeight="1">
      <c r="A2655">
        <f>Table4[[#This Row],[Column1]]</f>
        <v>0</v>
      </c>
      <c r="B2655">
        <f>Table4[[#This Row],[Column2]]</f>
        <v>0</v>
      </c>
      <c r="C2655" s="81"/>
      <c r="D2655" s="81"/>
      <c r="E2655" s="81"/>
      <c r="F2655" s="81"/>
      <c r="G2655" s="81"/>
      <c r="H2655" s="81"/>
      <c r="I2655" s="81"/>
      <c r="J2655" s="81"/>
      <c r="K2655" s="81"/>
      <c r="L2655" s="81"/>
      <c r="M2655" s="81"/>
      <c r="N2655" s="81"/>
      <c r="O2655" s="81"/>
      <c r="P2655" s="81"/>
      <c r="Q2655" s="81"/>
      <c r="R2655" s="81"/>
      <c r="S2655" s="81"/>
      <c r="T2655" s="81"/>
      <c r="U2655" s="81"/>
      <c r="V2655" s="94"/>
      <c r="W2655" s="94"/>
    </row>
    <row r="2656" spans="1:23" ht="21" customHeight="1">
      <c r="A2656">
        <f>Table4[[#This Row],[Column1]]</f>
        <v>0</v>
      </c>
      <c r="B2656">
        <f>Table4[[#This Row],[Column2]]</f>
        <v>0</v>
      </c>
      <c r="C2656" s="81"/>
      <c r="D2656" s="81"/>
      <c r="E2656" s="81"/>
      <c r="F2656" s="81"/>
      <c r="G2656" s="81"/>
      <c r="H2656" s="81"/>
      <c r="I2656" s="81"/>
      <c r="J2656" s="81"/>
      <c r="K2656" s="81"/>
      <c r="L2656" s="81"/>
      <c r="M2656" s="81"/>
      <c r="N2656" s="81"/>
      <c r="O2656" s="81"/>
      <c r="P2656" s="81"/>
      <c r="Q2656" s="81"/>
      <c r="R2656" s="81"/>
      <c r="S2656" s="81"/>
      <c r="T2656" s="81"/>
      <c r="U2656" s="81"/>
      <c r="V2656" s="94"/>
      <c r="W2656" s="94"/>
    </row>
    <row r="2657" spans="1:23" ht="21" customHeight="1">
      <c r="A2657">
        <f>Table4[[#This Row],[Column1]]</f>
        <v>0</v>
      </c>
      <c r="B2657">
        <f>Table4[[#This Row],[Column2]]</f>
        <v>0</v>
      </c>
      <c r="C2657" s="81"/>
      <c r="D2657" s="81"/>
      <c r="E2657" s="81"/>
      <c r="F2657" s="81"/>
      <c r="G2657" s="81"/>
      <c r="H2657" s="81"/>
      <c r="I2657" s="81"/>
      <c r="J2657" s="81"/>
      <c r="K2657" s="81"/>
      <c r="L2657" s="81"/>
      <c r="M2657" s="81"/>
      <c r="N2657" s="81"/>
      <c r="O2657" s="81"/>
      <c r="P2657" s="81"/>
      <c r="Q2657" s="81"/>
      <c r="R2657" s="81"/>
      <c r="S2657" s="81"/>
      <c r="T2657" s="81"/>
      <c r="U2657" s="81"/>
      <c r="V2657" s="94"/>
      <c r="W2657" s="94"/>
    </row>
    <row r="2658" spans="1:23" ht="21" customHeight="1">
      <c r="A2658">
        <f>Table4[[#This Row],[Column1]]</f>
        <v>0</v>
      </c>
      <c r="B2658">
        <f>Table4[[#This Row],[Column2]]</f>
        <v>0</v>
      </c>
      <c r="C2658" s="81"/>
      <c r="D2658" s="81"/>
      <c r="E2658" s="81"/>
      <c r="F2658" s="81"/>
      <c r="G2658" s="81"/>
      <c r="H2658" s="81"/>
      <c r="I2658" s="81"/>
      <c r="J2658" s="81"/>
      <c r="K2658" s="81"/>
      <c r="L2658" s="81"/>
      <c r="M2658" s="81"/>
      <c r="N2658" s="81"/>
      <c r="O2658" s="81"/>
      <c r="P2658" s="81"/>
      <c r="Q2658" s="81"/>
      <c r="R2658" s="81"/>
      <c r="S2658" s="81"/>
      <c r="T2658" s="81"/>
      <c r="U2658" s="81"/>
      <c r="V2658" s="94"/>
      <c r="W2658" s="94"/>
    </row>
    <row r="2659" spans="1:23" ht="21" customHeight="1">
      <c r="A2659">
        <f>Table4[[#This Row],[Column1]]</f>
        <v>0</v>
      </c>
      <c r="B2659">
        <f>Table4[[#This Row],[Column2]]</f>
        <v>0</v>
      </c>
      <c r="C2659" s="81"/>
      <c r="D2659" s="81"/>
      <c r="E2659" s="81"/>
      <c r="F2659" s="81"/>
      <c r="G2659" s="81"/>
      <c r="H2659" s="81"/>
      <c r="I2659" s="81"/>
      <c r="J2659" s="81"/>
      <c r="K2659" s="81"/>
      <c r="L2659" s="81"/>
      <c r="M2659" s="81"/>
      <c r="N2659" s="81"/>
      <c r="O2659" s="81"/>
      <c r="P2659" s="81"/>
      <c r="Q2659" s="81"/>
      <c r="R2659" s="81"/>
      <c r="S2659" s="81"/>
      <c r="T2659" s="81"/>
      <c r="U2659" s="81"/>
      <c r="V2659" s="94"/>
      <c r="W2659" s="94"/>
    </row>
    <row r="2660" spans="1:23" ht="21" customHeight="1">
      <c r="A2660">
        <f>Table4[[#This Row],[Column1]]</f>
        <v>0</v>
      </c>
      <c r="B2660">
        <f>Table4[[#This Row],[Column2]]</f>
        <v>0</v>
      </c>
      <c r="C2660" s="81"/>
      <c r="D2660" s="81"/>
      <c r="E2660" s="81"/>
      <c r="F2660" s="81"/>
      <c r="G2660" s="81"/>
      <c r="H2660" s="81"/>
      <c r="I2660" s="81"/>
      <c r="J2660" s="81"/>
      <c r="K2660" s="81"/>
      <c r="L2660" s="81"/>
      <c r="M2660" s="81"/>
      <c r="N2660" s="81"/>
      <c r="O2660" s="81"/>
      <c r="P2660" s="81"/>
      <c r="Q2660" s="81"/>
      <c r="R2660" s="81"/>
      <c r="S2660" s="81"/>
      <c r="T2660" s="81"/>
      <c r="U2660" s="81"/>
      <c r="V2660" s="94"/>
      <c r="W2660" s="94"/>
    </row>
    <row r="2661" spans="1:23" ht="21" customHeight="1">
      <c r="A2661">
        <f>Table4[[#This Row],[Column1]]</f>
        <v>0</v>
      </c>
      <c r="B2661">
        <f>Table4[[#This Row],[Column2]]</f>
        <v>0</v>
      </c>
      <c r="C2661" s="81"/>
      <c r="D2661" s="81"/>
      <c r="E2661" s="81"/>
      <c r="F2661" s="81"/>
      <c r="G2661" s="81"/>
      <c r="H2661" s="81"/>
      <c r="I2661" s="81"/>
      <c r="J2661" s="81"/>
      <c r="K2661" s="81"/>
      <c r="L2661" s="81"/>
      <c r="M2661" s="81"/>
      <c r="N2661" s="81"/>
      <c r="O2661" s="81"/>
      <c r="P2661" s="81"/>
      <c r="Q2661" s="81"/>
      <c r="R2661" s="81"/>
      <c r="S2661" s="81"/>
      <c r="T2661" s="81"/>
      <c r="U2661" s="81"/>
      <c r="V2661" s="94"/>
      <c r="W2661" s="94"/>
    </row>
    <row r="2662" spans="1:23" ht="21" customHeight="1">
      <c r="A2662">
        <f>Table4[[#This Row],[Column1]]</f>
        <v>0</v>
      </c>
      <c r="B2662">
        <f>Table4[[#This Row],[Column2]]</f>
        <v>0</v>
      </c>
      <c r="C2662" s="81"/>
      <c r="D2662" s="81"/>
      <c r="E2662" s="81"/>
      <c r="F2662" s="81"/>
      <c r="G2662" s="81"/>
      <c r="H2662" s="81"/>
      <c r="I2662" s="81"/>
      <c r="J2662" s="81"/>
      <c r="K2662" s="81"/>
      <c r="L2662" s="81"/>
      <c r="M2662" s="81"/>
      <c r="N2662" s="81"/>
      <c r="O2662" s="81"/>
      <c r="P2662" s="81"/>
      <c r="Q2662" s="81"/>
      <c r="R2662" s="81"/>
      <c r="S2662" s="81"/>
      <c r="T2662" s="81"/>
      <c r="U2662" s="81"/>
      <c r="V2662" s="94"/>
      <c r="W2662" s="94"/>
    </row>
    <row r="2663" spans="1:23" ht="21" customHeight="1">
      <c r="A2663">
        <f>Table4[[#This Row],[Column1]]</f>
        <v>0</v>
      </c>
      <c r="B2663">
        <f>Table4[[#This Row],[Column2]]</f>
        <v>0</v>
      </c>
      <c r="C2663" s="81"/>
      <c r="D2663" s="81"/>
      <c r="E2663" s="81"/>
      <c r="F2663" s="81"/>
      <c r="G2663" s="81"/>
      <c r="H2663" s="81"/>
      <c r="I2663" s="81"/>
      <c r="J2663" s="81"/>
      <c r="K2663" s="81"/>
      <c r="L2663" s="81"/>
      <c r="M2663" s="81"/>
      <c r="N2663" s="81"/>
      <c r="O2663" s="81"/>
      <c r="P2663" s="81"/>
      <c r="Q2663" s="81"/>
      <c r="R2663" s="81"/>
      <c r="S2663" s="81"/>
      <c r="T2663" s="81"/>
      <c r="U2663" s="81"/>
      <c r="V2663" s="94"/>
      <c r="W2663" s="94"/>
    </row>
    <row r="2664" spans="1:23" ht="21" customHeight="1">
      <c r="A2664">
        <f>Table4[[#This Row],[Column1]]</f>
        <v>0</v>
      </c>
      <c r="B2664">
        <f>Table4[[#This Row],[Column2]]</f>
        <v>0</v>
      </c>
      <c r="C2664" s="81"/>
      <c r="D2664" s="81"/>
      <c r="E2664" s="81"/>
      <c r="F2664" s="81"/>
      <c r="G2664" s="81"/>
      <c r="H2664" s="81"/>
      <c r="I2664" s="81"/>
      <c r="J2664" s="81"/>
      <c r="K2664" s="81"/>
      <c r="L2664" s="81"/>
      <c r="M2664" s="81"/>
      <c r="N2664" s="81"/>
      <c r="O2664" s="81"/>
      <c r="P2664" s="81"/>
      <c r="Q2664" s="81"/>
      <c r="R2664" s="81"/>
      <c r="S2664" s="81"/>
      <c r="T2664" s="81"/>
      <c r="U2664" s="81"/>
      <c r="V2664" s="94"/>
      <c r="W2664" s="94"/>
    </row>
    <row r="2665" spans="1:23" ht="21" customHeight="1">
      <c r="A2665">
        <f>Table4[[#This Row],[Column1]]</f>
        <v>0</v>
      </c>
      <c r="B2665">
        <f>Table4[[#This Row],[Column2]]</f>
        <v>0</v>
      </c>
      <c r="C2665" s="81"/>
      <c r="D2665" s="81"/>
      <c r="E2665" s="81"/>
      <c r="F2665" s="81"/>
      <c r="G2665" s="81"/>
      <c r="H2665" s="81"/>
      <c r="I2665" s="81"/>
      <c r="J2665" s="81"/>
      <c r="K2665" s="81"/>
      <c r="L2665" s="81"/>
      <c r="M2665" s="81"/>
      <c r="N2665" s="81"/>
      <c r="O2665" s="81"/>
      <c r="P2665" s="81"/>
      <c r="Q2665" s="81"/>
      <c r="R2665" s="81"/>
      <c r="S2665" s="81"/>
      <c r="T2665" s="81"/>
      <c r="U2665" s="81"/>
      <c r="V2665" s="94"/>
      <c r="W2665" s="94"/>
    </row>
    <row r="2666" spans="1:23" ht="21" customHeight="1">
      <c r="A2666">
        <f>Table4[[#This Row],[Column1]]</f>
        <v>0</v>
      </c>
      <c r="B2666">
        <f>Table4[[#This Row],[Column2]]</f>
        <v>0</v>
      </c>
      <c r="C2666" s="81"/>
      <c r="D2666" s="81"/>
      <c r="E2666" s="81"/>
      <c r="F2666" s="81"/>
      <c r="G2666" s="81"/>
      <c r="H2666" s="81"/>
      <c r="I2666" s="81"/>
      <c r="J2666" s="81"/>
      <c r="K2666" s="81"/>
      <c r="L2666" s="81"/>
      <c r="M2666" s="81"/>
      <c r="N2666" s="81"/>
      <c r="O2666" s="81"/>
      <c r="P2666" s="81"/>
      <c r="Q2666" s="81"/>
      <c r="R2666" s="81"/>
      <c r="S2666" s="81"/>
      <c r="T2666" s="81"/>
      <c r="U2666" s="81"/>
      <c r="V2666" s="94"/>
      <c r="W2666" s="94"/>
    </row>
    <row r="2667" spans="1:23" ht="21" customHeight="1">
      <c r="A2667">
        <f>Table4[[#This Row],[Column1]]</f>
        <v>0</v>
      </c>
      <c r="B2667">
        <f>Table4[[#This Row],[Column2]]</f>
        <v>0</v>
      </c>
      <c r="C2667" s="81"/>
      <c r="D2667" s="81"/>
      <c r="E2667" s="81"/>
      <c r="F2667" s="81"/>
      <c r="G2667" s="81"/>
      <c r="H2667" s="81"/>
      <c r="I2667" s="81"/>
      <c r="J2667" s="81"/>
      <c r="K2667" s="81"/>
      <c r="L2667" s="81"/>
      <c r="M2667" s="81"/>
      <c r="N2667" s="81"/>
      <c r="O2667" s="81"/>
      <c r="P2667" s="81"/>
      <c r="Q2667" s="81"/>
      <c r="R2667" s="81"/>
      <c r="S2667" s="81"/>
      <c r="T2667" s="81"/>
      <c r="U2667" s="81"/>
      <c r="V2667" s="94"/>
      <c r="W2667" s="94"/>
    </row>
    <row r="2668" spans="1:23" ht="21" customHeight="1">
      <c r="A2668">
        <f>Table4[[#This Row],[Column1]]</f>
        <v>0</v>
      </c>
      <c r="B2668">
        <f>Table4[[#This Row],[Column2]]</f>
        <v>0</v>
      </c>
      <c r="C2668" s="81"/>
      <c r="D2668" s="81"/>
      <c r="E2668" s="81"/>
      <c r="F2668" s="81"/>
      <c r="G2668" s="81"/>
      <c r="H2668" s="81"/>
      <c r="I2668" s="81"/>
      <c r="J2668" s="81"/>
      <c r="K2668" s="81"/>
      <c r="L2668" s="81"/>
      <c r="M2668" s="81"/>
      <c r="N2668" s="81"/>
      <c r="O2668" s="81"/>
      <c r="P2668" s="81"/>
      <c r="Q2668" s="81"/>
      <c r="R2668" s="81"/>
      <c r="S2668" s="81"/>
      <c r="T2668" s="81"/>
      <c r="U2668" s="81"/>
      <c r="V2668" s="94"/>
      <c r="W2668" s="94"/>
    </row>
    <row r="2669" spans="1:23" ht="21" customHeight="1">
      <c r="A2669">
        <f>Table4[[#This Row],[Column1]]</f>
        <v>0</v>
      </c>
      <c r="B2669">
        <f>Table4[[#This Row],[Column2]]</f>
        <v>0</v>
      </c>
      <c r="C2669" s="81"/>
      <c r="D2669" s="81"/>
      <c r="E2669" s="81"/>
      <c r="F2669" s="81"/>
      <c r="G2669" s="81"/>
      <c r="H2669" s="81"/>
      <c r="I2669" s="81"/>
      <c r="J2669" s="81"/>
      <c r="K2669" s="81"/>
      <c r="L2669" s="81"/>
      <c r="M2669" s="81"/>
      <c r="N2669" s="81"/>
      <c r="O2669" s="81"/>
      <c r="P2669" s="81"/>
      <c r="Q2669" s="81"/>
      <c r="R2669" s="81"/>
      <c r="S2669" s="81"/>
      <c r="T2669" s="81"/>
      <c r="U2669" s="81"/>
      <c r="V2669" s="94"/>
      <c r="W2669" s="94"/>
    </row>
    <row r="2670" spans="1:23" ht="21" customHeight="1">
      <c r="A2670">
        <f>Table4[[#This Row],[Column1]]</f>
        <v>0</v>
      </c>
      <c r="B2670">
        <f>Table4[[#This Row],[Column2]]</f>
        <v>0</v>
      </c>
      <c r="C2670" s="81"/>
      <c r="D2670" s="81"/>
      <c r="E2670" s="81"/>
      <c r="F2670" s="81"/>
      <c r="G2670" s="81"/>
      <c r="H2670" s="81"/>
      <c r="I2670" s="81"/>
      <c r="J2670" s="81"/>
      <c r="K2670" s="81"/>
      <c r="L2670" s="81"/>
      <c r="M2670" s="81"/>
      <c r="N2670" s="81"/>
      <c r="O2670" s="81"/>
      <c r="P2670" s="81"/>
      <c r="Q2670" s="81"/>
      <c r="R2670" s="81"/>
      <c r="S2670" s="81"/>
      <c r="T2670" s="81"/>
      <c r="U2670" s="81"/>
      <c r="V2670" s="94"/>
      <c r="W2670" s="94"/>
    </row>
    <row r="2671" spans="1:23" ht="21" customHeight="1">
      <c r="A2671">
        <f>Table4[[#This Row],[Column1]]</f>
        <v>0</v>
      </c>
      <c r="B2671">
        <f>Table4[[#This Row],[Column2]]</f>
        <v>0</v>
      </c>
      <c r="C2671" s="81"/>
      <c r="D2671" s="81"/>
      <c r="E2671" s="81"/>
      <c r="F2671" s="81"/>
      <c r="G2671" s="81"/>
      <c r="H2671" s="81"/>
      <c r="I2671" s="81"/>
      <c r="J2671" s="81"/>
      <c r="K2671" s="81"/>
      <c r="L2671" s="81"/>
      <c r="M2671" s="81"/>
      <c r="N2671" s="81"/>
      <c r="O2671" s="81"/>
      <c r="P2671" s="81"/>
      <c r="Q2671" s="81"/>
      <c r="R2671" s="81"/>
      <c r="S2671" s="81"/>
      <c r="T2671" s="81"/>
      <c r="U2671" s="81"/>
      <c r="V2671" s="94"/>
      <c r="W2671" s="94"/>
    </row>
    <row r="2672" spans="1:23" ht="21" customHeight="1">
      <c r="A2672">
        <f>Table4[[#This Row],[Column1]]</f>
        <v>0</v>
      </c>
      <c r="B2672">
        <f>Table4[[#This Row],[Column2]]</f>
        <v>0</v>
      </c>
      <c r="C2672" s="81"/>
      <c r="D2672" s="81"/>
      <c r="E2672" s="81"/>
      <c r="F2672" s="81"/>
      <c r="G2672" s="81"/>
      <c r="H2672" s="81"/>
      <c r="I2672" s="81"/>
      <c r="J2672" s="81"/>
      <c r="K2672" s="81"/>
      <c r="L2672" s="81"/>
      <c r="M2672" s="81"/>
      <c r="N2672" s="81"/>
      <c r="O2672" s="81"/>
      <c r="P2672" s="81"/>
      <c r="Q2672" s="81"/>
      <c r="R2672" s="81"/>
      <c r="S2672" s="81"/>
      <c r="T2672" s="81"/>
      <c r="U2672" s="81"/>
      <c r="V2672" s="94"/>
      <c r="W2672" s="94"/>
    </row>
    <row r="2673" spans="1:23" ht="21" customHeight="1">
      <c r="A2673">
        <f>Table4[[#This Row],[Column1]]</f>
        <v>0</v>
      </c>
      <c r="B2673">
        <f>Table4[[#This Row],[Column2]]</f>
        <v>0</v>
      </c>
      <c r="C2673" s="81"/>
      <c r="D2673" s="81"/>
      <c r="E2673" s="81"/>
      <c r="F2673" s="81"/>
      <c r="G2673" s="81"/>
      <c r="H2673" s="81"/>
      <c r="I2673" s="81"/>
      <c r="J2673" s="81"/>
      <c r="K2673" s="81"/>
      <c r="L2673" s="81"/>
      <c r="M2673" s="81"/>
      <c r="N2673" s="81"/>
      <c r="O2673" s="81"/>
      <c r="P2673" s="81"/>
      <c r="Q2673" s="81"/>
      <c r="R2673" s="81"/>
      <c r="S2673" s="81"/>
      <c r="T2673" s="81"/>
      <c r="U2673" s="81"/>
      <c r="V2673" s="94"/>
      <c r="W2673" s="94"/>
    </row>
    <row r="2674" spans="1:23" ht="21" customHeight="1">
      <c r="A2674">
        <f>Table4[[#This Row],[Column1]]</f>
        <v>0</v>
      </c>
      <c r="B2674">
        <f>Table4[[#This Row],[Column2]]</f>
        <v>0</v>
      </c>
      <c r="C2674" s="81"/>
      <c r="D2674" s="81"/>
      <c r="E2674" s="81"/>
      <c r="F2674" s="81"/>
      <c r="G2674" s="81"/>
      <c r="H2674" s="81"/>
      <c r="I2674" s="81"/>
      <c r="J2674" s="81"/>
      <c r="K2674" s="81"/>
      <c r="L2674" s="81"/>
      <c r="M2674" s="81"/>
      <c r="N2674" s="81"/>
      <c r="O2674" s="81"/>
      <c r="P2674" s="81"/>
      <c r="Q2674" s="81"/>
      <c r="R2674" s="81"/>
      <c r="S2674" s="81"/>
      <c r="T2674" s="81"/>
      <c r="U2674" s="81"/>
      <c r="V2674" s="94"/>
      <c r="W2674" s="94"/>
    </row>
    <row r="2675" spans="1:23" ht="21" customHeight="1">
      <c r="A2675">
        <f>Table4[[#This Row],[Column1]]</f>
        <v>0</v>
      </c>
      <c r="B2675">
        <f>Table4[[#This Row],[Column2]]</f>
        <v>0</v>
      </c>
      <c r="C2675" s="81"/>
      <c r="D2675" s="81"/>
      <c r="E2675" s="81"/>
      <c r="F2675" s="81"/>
      <c r="G2675" s="81"/>
      <c r="H2675" s="81"/>
      <c r="I2675" s="81"/>
      <c r="J2675" s="81"/>
      <c r="K2675" s="81"/>
      <c r="L2675" s="81"/>
      <c r="M2675" s="81"/>
      <c r="N2675" s="81"/>
      <c r="O2675" s="81"/>
      <c r="P2675" s="81"/>
      <c r="Q2675" s="81"/>
      <c r="R2675" s="81"/>
      <c r="S2675" s="81"/>
      <c r="T2675" s="81"/>
      <c r="U2675" s="81"/>
      <c r="V2675" s="94"/>
      <c r="W2675" s="94"/>
    </row>
    <row r="2676" spans="1:23" ht="21" customHeight="1">
      <c r="A2676">
        <f>Table4[[#This Row],[Column1]]</f>
        <v>0</v>
      </c>
      <c r="B2676">
        <f>Table4[[#This Row],[Column2]]</f>
        <v>0</v>
      </c>
      <c r="C2676" s="81"/>
      <c r="D2676" s="81"/>
      <c r="E2676" s="81"/>
      <c r="F2676" s="81"/>
      <c r="G2676" s="81"/>
      <c r="H2676" s="81"/>
      <c r="I2676" s="81"/>
      <c r="J2676" s="81"/>
      <c r="K2676" s="81"/>
      <c r="L2676" s="81"/>
      <c r="M2676" s="81"/>
      <c r="N2676" s="81"/>
      <c r="O2676" s="81"/>
      <c r="P2676" s="81"/>
      <c r="Q2676" s="81"/>
      <c r="R2676" s="81"/>
      <c r="S2676" s="81"/>
      <c r="T2676" s="81"/>
      <c r="U2676" s="81"/>
      <c r="V2676" s="94"/>
      <c r="W2676" s="94"/>
    </row>
    <row r="2677" spans="1:23" ht="21" customHeight="1">
      <c r="A2677">
        <f>Table4[[#This Row],[Column1]]</f>
        <v>0</v>
      </c>
      <c r="B2677">
        <f>Table4[[#This Row],[Column2]]</f>
        <v>0</v>
      </c>
      <c r="C2677" s="81"/>
      <c r="D2677" s="81"/>
      <c r="E2677" s="81"/>
      <c r="F2677" s="81"/>
      <c r="G2677" s="81"/>
      <c r="H2677" s="81"/>
      <c r="I2677" s="81"/>
      <c r="J2677" s="81"/>
      <c r="K2677" s="81"/>
      <c r="L2677" s="81"/>
      <c r="M2677" s="81"/>
      <c r="N2677" s="81"/>
      <c r="O2677" s="81"/>
      <c r="P2677" s="81"/>
      <c r="Q2677" s="81"/>
      <c r="R2677" s="81"/>
      <c r="S2677" s="81"/>
      <c r="T2677" s="81"/>
      <c r="U2677" s="81"/>
      <c r="V2677" s="94"/>
      <c r="W2677" s="94"/>
    </row>
    <row r="2678" spans="1:23" ht="21" customHeight="1">
      <c r="A2678">
        <f>Table4[[#This Row],[Column1]]</f>
        <v>0</v>
      </c>
      <c r="B2678">
        <f>Table4[[#This Row],[Column2]]</f>
        <v>0</v>
      </c>
      <c r="C2678" s="81"/>
      <c r="D2678" s="81"/>
      <c r="E2678" s="81"/>
      <c r="F2678" s="81"/>
      <c r="G2678" s="81"/>
      <c r="H2678" s="81"/>
      <c r="I2678" s="81"/>
      <c r="J2678" s="81"/>
      <c r="K2678" s="81"/>
      <c r="L2678" s="81"/>
      <c r="M2678" s="81"/>
      <c r="N2678" s="81"/>
      <c r="O2678" s="81"/>
      <c r="P2678" s="81"/>
      <c r="Q2678" s="81"/>
      <c r="R2678" s="81"/>
      <c r="S2678" s="81"/>
      <c r="T2678" s="81"/>
      <c r="U2678" s="81"/>
      <c r="V2678" s="94"/>
      <c r="W2678" s="94"/>
    </row>
    <row r="2679" spans="1:23" ht="21" customHeight="1">
      <c r="A2679">
        <f>Table4[[#This Row],[Column1]]</f>
        <v>0</v>
      </c>
      <c r="B2679">
        <f>Table4[[#This Row],[Column2]]</f>
        <v>0</v>
      </c>
      <c r="C2679" s="81"/>
      <c r="D2679" s="81"/>
      <c r="E2679" s="81"/>
      <c r="F2679" s="81"/>
      <c r="G2679" s="81"/>
      <c r="H2679" s="81"/>
      <c r="I2679" s="81"/>
      <c r="J2679" s="81"/>
      <c r="K2679" s="81"/>
      <c r="L2679" s="81"/>
      <c r="M2679" s="81"/>
      <c r="N2679" s="81"/>
      <c r="O2679" s="81"/>
      <c r="P2679" s="81"/>
      <c r="Q2679" s="81"/>
      <c r="R2679" s="81"/>
      <c r="S2679" s="81"/>
      <c r="T2679" s="81"/>
      <c r="U2679" s="81"/>
      <c r="V2679" s="94"/>
      <c r="W2679" s="94"/>
    </row>
    <row r="2680" spans="1:23" ht="21" customHeight="1">
      <c r="A2680">
        <f>Table4[[#This Row],[Column1]]</f>
        <v>0</v>
      </c>
      <c r="B2680">
        <f>Table4[[#This Row],[Column2]]</f>
        <v>0</v>
      </c>
      <c r="C2680" s="81"/>
      <c r="D2680" s="81"/>
      <c r="E2680" s="81"/>
      <c r="F2680" s="81"/>
      <c r="G2680" s="81"/>
      <c r="H2680" s="81"/>
      <c r="I2680" s="81"/>
      <c r="J2680" s="81"/>
      <c r="K2680" s="81"/>
      <c r="L2680" s="81"/>
      <c r="M2680" s="81"/>
      <c r="N2680" s="81"/>
      <c r="O2680" s="81"/>
      <c r="P2680" s="81"/>
      <c r="Q2680" s="81"/>
      <c r="R2680" s="81"/>
      <c r="S2680" s="81"/>
      <c r="T2680" s="81"/>
      <c r="U2680" s="81"/>
      <c r="V2680" s="94"/>
      <c r="W2680" s="94"/>
    </row>
    <row r="2681" spans="1:23" ht="21" customHeight="1">
      <c r="A2681">
        <f>Table4[[#This Row],[Column1]]</f>
        <v>0</v>
      </c>
      <c r="B2681">
        <f>Table4[[#This Row],[Column2]]</f>
        <v>0</v>
      </c>
      <c r="C2681" s="81"/>
      <c r="D2681" s="81"/>
      <c r="E2681" s="81"/>
      <c r="F2681" s="81"/>
      <c r="G2681" s="81"/>
      <c r="H2681" s="81"/>
      <c r="I2681" s="81"/>
      <c r="J2681" s="81"/>
      <c r="K2681" s="81"/>
      <c r="L2681" s="81"/>
      <c r="M2681" s="81"/>
      <c r="N2681" s="81"/>
      <c r="O2681" s="81"/>
      <c r="P2681" s="81"/>
      <c r="Q2681" s="81"/>
      <c r="R2681" s="81"/>
      <c r="S2681" s="81"/>
      <c r="T2681" s="81"/>
      <c r="U2681" s="81"/>
      <c r="V2681" s="94"/>
      <c r="W2681" s="94"/>
    </row>
    <row r="2682" spans="1:23" ht="21" customHeight="1">
      <c r="A2682">
        <f>Table4[[#This Row],[Column1]]</f>
        <v>0</v>
      </c>
      <c r="B2682">
        <f>Table4[[#This Row],[Column2]]</f>
        <v>0</v>
      </c>
      <c r="C2682" s="81"/>
      <c r="D2682" s="81"/>
      <c r="E2682" s="81"/>
      <c r="F2682" s="81"/>
      <c r="G2682" s="81"/>
      <c r="H2682" s="81"/>
      <c r="I2682" s="81"/>
      <c r="J2682" s="81"/>
      <c r="K2682" s="81"/>
      <c r="L2682" s="81"/>
      <c r="M2682" s="81"/>
      <c r="N2682" s="81"/>
      <c r="O2682" s="81"/>
      <c r="P2682" s="81"/>
      <c r="Q2682" s="81"/>
      <c r="R2682" s="81"/>
      <c r="S2682" s="81"/>
      <c r="T2682" s="81"/>
      <c r="U2682" s="81"/>
      <c r="V2682" s="94"/>
      <c r="W2682" s="94"/>
    </row>
    <row r="2683" spans="1:23" ht="21" customHeight="1">
      <c r="A2683">
        <f>Table4[[#This Row],[Column1]]</f>
        <v>0</v>
      </c>
      <c r="B2683">
        <f>Table4[[#This Row],[Column2]]</f>
        <v>0</v>
      </c>
      <c r="C2683" s="81"/>
      <c r="D2683" s="81"/>
      <c r="E2683" s="81"/>
      <c r="F2683" s="81"/>
      <c r="G2683" s="81"/>
      <c r="H2683" s="81"/>
      <c r="I2683" s="81"/>
      <c r="J2683" s="81"/>
      <c r="K2683" s="81"/>
      <c r="L2683" s="81"/>
      <c r="M2683" s="81"/>
      <c r="N2683" s="81"/>
      <c r="O2683" s="81"/>
      <c r="P2683" s="81"/>
      <c r="Q2683" s="81"/>
      <c r="R2683" s="81"/>
      <c r="S2683" s="81"/>
      <c r="T2683" s="81"/>
      <c r="U2683" s="81"/>
      <c r="V2683" s="94"/>
      <c r="W2683" s="94"/>
    </row>
    <row r="2684" spans="1:23" ht="21" customHeight="1">
      <c r="A2684">
        <f>Table4[[#This Row],[Column1]]</f>
        <v>0</v>
      </c>
      <c r="B2684">
        <f>Table4[[#This Row],[Column2]]</f>
        <v>0</v>
      </c>
      <c r="C2684" s="81"/>
      <c r="D2684" s="81"/>
      <c r="E2684" s="81"/>
      <c r="F2684" s="81"/>
      <c r="G2684" s="81"/>
      <c r="H2684" s="81"/>
      <c r="I2684" s="81"/>
      <c r="J2684" s="81"/>
      <c r="K2684" s="81"/>
      <c r="L2684" s="81"/>
      <c r="M2684" s="81"/>
      <c r="N2684" s="81"/>
      <c r="O2684" s="81"/>
      <c r="P2684" s="81"/>
      <c r="Q2684" s="81"/>
      <c r="R2684" s="81"/>
      <c r="S2684" s="81"/>
      <c r="T2684" s="81"/>
      <c r="U2684" s="81"/>
      <c r="V2684" s="94"/>
      <c r="W2684" s="94"/>
    </row>
    <row r="2685" spans="1:23" ht="21" customHeight="1">
      <c r="A2685">
        <f>Table4[[#This Row],[Column1]]</f>
        <v>0</v>
      </c>
      <c r="B2685">
        <f>Table4[[#This Row],[Column2]]</f>
        <v>0</v>
      </c>
      <c r="C2685" s="81"/>
      <c r="D2685" s="81"/>
      <c r="E2685" s="81"/>
      <c r="F2685" s="81"/>
      <c r="G2685" s="81"/>
      <c r="H2685" s="81"/>
      <c r="I2685" s="81"/>
      <c r="J2685" s="81"/>
      <c r="K2685" s="81"/>
      <c r="L2685" s="81"/>
      <c r="M2685" s="81"/>
      <c r="N2685" s="81"/>
      <c r="O2685" s="81"/>
      <c r="P2685" s="81"/>
      <c r="Q2685" s="81"/>
      <c r="R2685" s="81"/>
      <c r="S2685" s="81"/>
      <c r="T2685" s="81"/>
      <c r="U2685" s="81"/>
      <c r="V2685" s="94"/>
      <c r="W2685" s="94"/>
    </row>
    <row r="2686" spans="1:23" ht="21" customHeight="1">
      <c r="A2686">
        <f>Table4[[#This Row],[Column1]]</f>
        <v>0</v>
      </c>
      <c r="B2686">
        <f>Table4[[#This Row],[Column2]]</f>
        <v>0</v>
      </c>
      <c r="C2686" s="81"/>
      <c r="D2686" s="81"/>
      <c r="E2686" s="81"/>
      <c r="F2686" s="81"/>
      <c r="G2686" s="81"/>
      <c r="H2686" s="81"/>
      <c r="I2686" s="81"/>
      <c r="J2686" s="81"/>
      <c r="K2686" s="81"/>
      <c r="L2686" s="81"/>
      <c r="M2686" s="81"/>
      <c r="N2686" s="81"/>
      <c r="O2686" s="81"/>
      <c r="P2686" s="81"/>
      <c r="Q2686" s="81"/>
      <c r="R2686" s="81"/>
      <c r="S2686" s="81"/>
      <c r="T2686" s="81"/>
      <c r="U2686" s="81"/>
      <c r="V2686" s="94"/>
      <c r="W2686" s="94"/>
    </row>
    <row r="2687" spans="1:23" ht="21" customHeight="1">
      <c r="A2687">
        <f>Table4[[#This Row],[Column1]]</f>
        <v>0</v>
      </c>
      <c r="B2687">
        <f>Table4[[#This Row],[Column2]]</f>
        <v>0</v>
      </c>
      <c r="C2687" s="81"/>
      <c r="D2687" s="81"/>
      <c r="E2687" s="81"/>
      <c r="F2687" s="81"/>
      <c r="G2687" s="81"/>
      <c r="H2687" s="81"/>
      <c r="I2687" s="81"/>
      <c r="J2687" s="81"/>
      <c r="K2687" s="81"/>
      <c r="L2687" s="81"/>
      <c r="M2687" s="81"/>
      <c r="N2687" s="81"/>
      <c r="O2687" s="81"/>
      <c r="P2687" s="81"/>
      <c r="Q2687" s="81"/>
      <c r="R2687" s="81"/>
      <c r="S2687" s="81"/>
      <c r="T2687" s="81"/>
      <c r="U2687" s="81"/>
      <c r="V2687" s="94"/>
      <c r="W2687" s="94"/>
    </row>
    <row r="2688" spans="1:23" ht="21" customHeight="1">
      <c r="A2688">
        <f>Table4[[#This Row],[Column1]]</f>
        <v>0</v>
      </c>
      <c r="B2688">
        <f>Table4[[#This Row],[Column2]]</f>
        <v>0</v>
      </c>
      <c r="C2688" s="81"/>
      <c r="D2688" s="81"/>
      <c r="E2688" s="81"/>
      <c r="F2688" s="81"/>
      <c r="G2688" s="81"/>
      <c r="H2688" s="81"/>
      <c r="I2688" s="81"/>
      <c r="J2688" s="81"/>
      <c r="K2688" s="81"/>
      <c r="L2688" s="81"/>
      <c r="M2688" s="81"/>
      <c r="N2688" s="81"/>
      <c r="O2688" s="81"/>
      <c r="P2688" s="81"/>
      <c r="Q2688" s="81"/>
      <c r="R2688" s="81"/>
      <c r="S2688" s="81"/>
      <c r="T2688" s="81"/>
      <c r="U2688" s="81"/>
      <c r="V2688" s="94"/>
      <c r="W2688" s="94"/>
    </row>
    <row r="2689" spans="1:23" ht="21" customHeight="1">
      <c r="A2689">
        <f>Table4[[#This Row],[Column1]]</f>
        <v>0</v>
      </c>
      <c r="B2689">
        <f>Table4[[#This Row],[Column2]]</f>
        <v>0</v>
      </c>
      <c r="C2689" s="81"/>
      <c r="D2689" s="81"/>
      <c r="E2689" s="81"/>
      <c r="F2689" s="81"/>
      <c r="G2689" s="81"/>
      <c r="H2689" s="81"/>
      <c r="I2689" s="81"/>
      <c r="J2689" s="81"/>
      <c r="K2689" s="81"/>
      <c r="L2689" s="81"/>
      <c r="M2689" s="81"/>
      <c r="N2689" s="81"/>
      <c r="O2689" s="81"/>
      <c r="P2689" s="81"/>
      <c r="Q2689" s="81"/>
      <c r="R2689" s="81"/>
      <c r="S2689" s="81"/>
      <c r="T2689" s="81"/>
      <c r="U2689" s="81"/>
      <c r="V2689" s="94"/>
      <c r="W2689" s="94"/>
    </row>
    <row r="2690" spans="1:23" ht="21" customHeight="1">
      <c r="A2690">
        <f>Table4[[#This Row],[Column1]]</f>
        <v>0</v>
      </c>
      <c r="B2690">
        <f>Table4[[#This Row],[Column2]]</f>
        <v>0</v>
      </c>
      <c r="C2690" s="81"/>
      <c r="D2690" s="81"/>
      <c r="E2690" s="81"/>
      <c r="F2690" s="81"/>
      <c r="G2690" s="81"/>
      <c r="H2690" s="81"/>
      <c r="I2690" s="81"/>
      <c r="J2690" s="81"/>
      <c r="K2690" s="81"/>
      <c r="L2690" s="81"/>
      <c r="M2690" s="81"/>
      <c r="N2690" s="81"/>
      <c r="O2690" s="81"/>
      <c r="P2690" s="81"/>
      <c r="Q2690" s="81"/>
      <c r="R2690" s="81"/>
      <c r="S2690" s="81"/>
      <c r="T2690" s="81"/>
      <c r="U2690" s="81"/>
      <c r="V2690" s="94"/>
      <c r="W2690" s="94"/>
    </row>
    <row r="2691" spans="1:23" ht="21" customHeight="1">
      <c r="A2691">
        <f>Table4[[#This Row],[Column1]]</f>
        <v>0</v>
      </c>
      <c r="B2691">
        <f>Table4[[#This Row],[Column2]]</f>
        <v>0</v>
      </c>
      <c r="C2691" s="81"/>
      <c r="D2691" s="81"/>
      <c r="E2691" s="81"/>
      <c r="F2691" s="81"/>
      <c r="G2691" s="81"/>
      <c r="H2691" s="81"/>
      <c r="I2691" s="81"/>
      <c r="J2691" s="81"/>
      <c r="K2691" s="81"/>
      <c r="L2691" s="81"/>
      <c r="M2691" s="81"/>
      <c r="N2691" s="81"/>
      <c r="O2691" s="81"/>
      <c r="P2691" s="81"/>
      <c r="Q2691" s="81"/>
      <c r="R2691" s="81"/>
      <c r="S2691" s="81"/>
      <c r="T2691" s="81"/>
      <c r="U2691" s="81"/>
      <c r="V2691" s="94"/>
      <c r="W2691" s="94"/>
    </row>
    <row r="2692" spans="1:23" ht="21" customHeight="1">
      <c r="A2692">
        <f>Table4[[#This Row],[Column1]]</f>
        <v>0</v>
      </c>
      <c r="B2692">
        <f>Table4[[#This Row],[Column2]]</f>
        <v>0</v>
      </c>
      <c r="C2692" s="81"/>
      <c r="D2692" s="81"/>
      <c r="E2692" s="81"/>
      <c r="F2692" s="81"/>
      <c r="G2692" s="81"/>
      <c r="H2692" s="81"/>
      <c r="I2692" s="81"/>
      <c r="J2692" s="81"/>
      <c r="K2692" s="81"/>
      <c r="L2692" s="81"/>
      <c r="M2692" s="81"/>
      <c r="N2692" s="81"/>
      <c r="O2692" s="81"/>
      <c r="P2692" s="81"/>
      <c r="Q2692" s="81"/>
      <c r="R2692" s="81"/>
      <c r="S2692" s="81"/>
      <c r="T2692" s="81"/>
      <c r="U2692" s="81"/>
      <c r="V2692" s="94"/>
      <c r="W2692" s="94"/>
    </row>
    <row r="2693" spans="1:23" ht="21" customHeight="1">
      <c r="A2693">
        <f>Table4[[#This Row],[Column1]]</f>
        <v>0</v>
      </c>
      <c r="B2693">
        <f>Table4[[#This Row],[Column2]]</f>
        <v>0</v>
      </c>
      <c r="C2693" s="81"/>
      <c r="D2693" s="81"/>
      <c r="E2693" s="81"/>
      <c r="F2693" s="81"/>
      <c r="G2693" s="81"/>
      <c r="H2693" s="81"/>
      <c r="I2693" s="81"/>
      <c r="J2693" s="81"/>
      <c r="K2693" s="81"/>
      <c r="L2693" s="81"/>
      <c r="M2693" s="81"/>
      <c r="N2693" s="81"/>
      <c r="O2693" s="81"/>
      <c r="P2693" s="81"/>
      <c r="Q2693" s="81"/>
      <c r="R2693" s="81"/>
      <c r="S2693" s="81"/>
      <c r="T2693" s="81"/>
      <c r="U2693" s="81"/>
      <c r="V2693" s="94"/>
      <c r="W2693" s="94"/>
    </row>
    <row r="2694" spans="1:23" ht="21" customHeight="1">
      <c r="A2694">
        <f>Table4[[#This Row],[Column1]]</f>
        <v>0</v>
      </c>
      <c r="B2694">
        <f>Table4[[#This Row],[Column2]]</f>
        <v>0</v>
      </c>
      <c r="C2694" s="81"/>
      <c r="D2694" s="81"/>
      <c r="E2694" s="81"/>
      <c r="F2694" s="81"/>
      <c r="G2694" s="81"/>
      <c r="H2694" s="81"/>
      <c r="I2694" s="81"/>
      <c r="J2694" s="81"/>
      <c r="K2694" s="81"/>
      <c r="L2694" s="81"/>
      <c r="M2694" s="81"/>
      <c r="N2694" s="81"/>
      <c r="O2694" s="81"/>
      <c r="P2694" s="81"/>
      <c r="Q2694" s="81"/>
      <c r="R2694" s="81"/>
      <c r="S2694" s="81"/>
      <c r="T2694" s="81"/>
      <c r="U2694" s="81"/>
      <c r="V2694" s="94"/>
      <c r="W2694" s="94"/>
    </row>
    <row r="2695" spans="1:23" ht="21" customHeight="1">
      <c r="A2695">
        <f>Table4[[#This Row],[Column1]]</f>
        <v>0</v>
      </c>
      <c r="B2695">
        <f>Table4[[#This Row],[Column2]]</f>
        <v>0</v>
      </c>
      <c r="C2695" s="81"/>
      <c r="D2695" s="81"/>
      <c r="E2695" s="81"/>
      <c r="F2695" s="81"/>
      <c r="G2695" s="81"/>
      <c r="H2695" s="81"/>
      <c r="I2695" s="81"/>
      <c r="J2695" s="81"/>
      <c r="K2695" s="81"/>
      <c r="L2695" s="81"/>
      <c r="M2695" s="81"/>
      <c r="N2695" s="81"/>
      <c r="O2695" s="81"/>
      <c r="P2695" s="81"/>
      <c r="Q2695" s="81"/>
      <c r="R2695" s="81"/>
      <c r="S2695" s="81"/>
      <c r="T2695" s="81"/>
      <c r="U2695" s="81"/>
      <c r="V2695" s="94"/>
      <c r="W2695" s="94"/>
    </row>
    <row r="2696" spans="1:23" ht="21" customHeight="1">
      <c r="A2696">
        <f>Table4[[#This Row],[Column1]]</f>
        <v>0</v>
      </c>
      <c r="B2696">
        <f>Table4[[#This Row],[Column2]]</f>
        <v>0</v>
      </c>
      <c r="C2696" s="81"/>
      <c r="D2696" s="81"/>
      <c r="E2696" s="81"/>
      <c r="F2696" s="81"/>
      <c r="G2696" s="81"/>
      <c r="H2696" s="81"/>
      <c r="I2696" s="81"/>
      <c r="J2696" s="81"/>
      <c r="K2696" s="81"/>
      <c r="L2696" s="81"/>
      <c r="M2696" s="81"/>
      <c r="N2696" s="81"/>
      <c r="O2696" s="81"/>
      <c r="P2696" s="81"/>
      <c r="Q2696" s="81"/>
      <c r="R2696" s="81"/>
      <c r="S2696" s="81"/>
      <c r="T2696" s="81"/>
      <c r="U2696" s="81"/>
      <c r="V2696" s="94"/>
      <c r="W2696" s="94"/>
    </row>
    <row r="2697" spans="1:23" ht="21" customHeight="1">
      <c r="A2697">
        <f>Table4[[#This Row],[Column1]]</f>
        <v>0</v>
      </c>
      <c r="B2697">
        <f>Table4[[#This Row],[Column2]]</f>
        <v>0</v>
      </c>
      <c r="C2697" s="81"/>
      <c r="D2697" s="81"/>
      <c r="E2697" s="81"/>
      <c r="F2697" s="81"/>
      <c r="G2697" s="81"/>
      <c r="H2697" s="81"/>
      <c r="I2697" s="81"/>
      <c r="J2697" s="81"/>
      <c r="K2697" s="81"/>
      <c r="L2697" s="81"/>
      <c r="M2697" s="81"/>
      <c r="N2697" s="81"/>
      <c r="O2697" s="81"/>
      <c r="P2697" s="81"/>
      <c r="Q2697" s="81"/>
      <c r="R2697" s="81"/>
      <c r="S2697" s="81"/>
      <c r="T2697" s="81"/>
      <c r="U2697" s="81"/>
      <c r="V2697" s="94"/>
      <c r="W2697" s="94"/>
    </row>
    <row r="2698" spans="1:23" ht="21" customHeight="1">
      <c r="A2698">
        <f>Table4[[#This Row],[Column1]]</f>
        <v>0</v>
      </c>
      <c r="B2698">
        <f>Table4[[#This Row],[Column2]]</f>
        <v>0</v>
      </c>
      <c r="C2698" s="81"/>
      <c r="D2698" s="81"/>
      <c r="E2698" s="81"/>
      <c r="F2698" s="81"/>
      <c r="G2698" s="81"/>
      <c r="H2698" s="81"/>
      <c r="I2698" s="81"/>
      <c r="J2698" s="81"/>
      <c r="K2698" s="81"/>
      <c r="L2698" s="81"/>
      <c r="M2698" s="81"/>
      <c r="N2698" s="81"/>
      <c r="O2698" s="81"/>
      <c r="P2698" s="81"/>
      <c r="Q2698" s="81"/>
      <c r="R2698" s="81"/>
      <c r="S2698" s="81"/>
      <c r="T2698" s="81"/>
      <c r="U2698" s="81"/>
      <c r="V2698" s="94"/>
      <c r="W2698" s="94"/>
    </row>
    <row r="2699" spans="1:23" ht="21" customHeight="1">
      <c r="A2699">
        <f>Table4[[#This Row],[Column1]]</f>
        <v>0</v>
      </c>
      <c r="B2699">
        <f>Table4[[#This Row],[Column2]]</f>
        <v>0</v>
      </c>
      <c r="C2699" s="81"/>
      <c r="D2699" s="81"/>
      <c r="E2699" s="81"/>
      <c r="F2699" s="81"/>
      <c r="G2699" s="81"/>
      <c r="H2699" s="81"/>
      <c r="I2699" s="81"/>
      <c r="J2699" s="81"/>
      <c r="K2699" s="81"/>
      <c r="L2699" s="81"/>
      <c r="M2699" s="81"/>
      <c r="N2699" s="81"/>
      <c r="O2699" s="81"/>
      <c r="P2699" s="81"/>
      <c r="Q2699" s="81"/>
      <c r="R2699" s="81"/>
      <c r="S2699" s="81"/>
      <c r="T2699" s="81"/>
      <c r="U2699" s="81"/>
      <c r="V2699" s="94"/>
      <c r="W2699" s="94"/>
    </row>
    <row r="2700" spans="1:23" ht="21" customHeight="1">
      <c r="A2700">
        <f>Table4[[#This Row],[Column1]]</f>
        <v>0</v>
      </c>
      <c r="B2700">
        <f>Table4[[#This Row],[Column2]]</f>
        <v>0</v>
      </c>
      <c r="C2700" s="81"/>
      <c r="D2700" s="81"/>
      <c r="E2700" s="81"/>
      <c r="F2700" s="81"/>
      <c r="G2700" s="81"/>
      <c r="H2700" s="81"/>
      <c r="I2700" s="81"/>
      <c r="J2700" s="81"/>
      <c r="K2700" s="81"/>
      <c r="L2700" s="81"/>
      <c r="M2700" s="81"/>
      <c r="N2700" s="81"/>
      <c r="O2700" s="81"/>
      <c r="P2700" s="81"/>
      <c r="Q2700" s="81"/>
      <c r="R2700" s="81"/>
      <c r="S2700" s="81"/>
      <c r="T2700" s="81"/>
      <c r="U2700" s="81"/>
      <c r="V2700" s="94"/>
      <c r="W2700" s="94"/>
    </row>
    <row r="2701" spans="1:23" ht="21" customHeight="1">
      <c r="A2701">
        <f>Table4[[#This Row],[Column1]]</f>
        <v>0</v>
      </c>
      <c r="B2701">
        <f>Table4[[#This Row],[Column2]]</f>
        <v>0</v>
      </c>
      <c r="C2701" s="81"/>
      <c r="D2701" s="81"/>
      <c r="E2701" s="81"/>
      <c r="F2701" s="81"/>
      <c r="G2701" s="81"/>
      <c r="H2701" s="81"/>
      <c r="I2701" s="81"/>
      <c r="J2701" s="81"/>
      <c r="K2701" s="81"/>
      <c r="L2701" s="81"/>
      <c r="M2701" s="81"/>
      <c r="N2701" s="81"/>
      <c r="O2701" s="81"/>
      <c r="P2701" s="81"/>
      <c r="Q2701" s="81"/>
      <c r="R2701" s="81"/>
      <c r="S2701" s="81"/>
      <c r="T2701" s="81"/>
      <c r="U2701" s="81"/>
      <c r="V2701" s="94"/>
      <c r="W2701" s="94"/>
    </row>
    <row r="2702" spans="1:23" ht="21" customHeight="1">
      <c r="A2702">
        <f>Table4[[#This Row],[Column1]]</f>
        <v>0</v>
      </c>
      <c r="B2702">
        <f>Table4[[#This Row],[Column2]]</f>
        <v>0</v>
      </c>
      <c r="C2702" s="81"/>
      <c r="D2702" s="81"/>
      <c r="E2702" s="81"/>
      <c r="F2702" s="81"/>
      <c r="G2702" s="81"/>
      <c r="H2702" s="81"/>
      <c r="I2702" s="81"/>
      <c r="J2702" s="81"/>
      <c r="K2702" s="81"/>
      <c r="L2702" s="81"/>
      <c r="M2702" s="81"/>
      <c r="N2702" s="81"/>
      <c r="O2702" s="81"/>
      <c r="P2702" s="81"/>
      <c r="Q2702" s="81"/>
      <c r="R2702" s="81"/>
      <c r="S2702" s="81"/>
      <c r="T2702" s="81"/>
      <c r="U2702" s="81"/>
      <c r="V2702" s="94"/>
      <c r="W2702" s="94"/>
    </row>
    <row r="2703" spans="1:23" ht="21" customHeight="1">
      <c r="A2703">
        <f>Table4[[#This Row],[Column1]]</f>
        <v>0</v>
      </c>
      <c r="B2703">
        <f>Table4[[#This Row],[Column2]]</f>
        <v>0</v>
      </c>
      <c r="C2703" s="81"/>
      <c r="D2703" s="81"/>
      <c r="E2703" s="81"/>
      <c r="F2703" s="81"/>
      <c r="G2703" s="81"/>
      <c r="H2703" s="81"/>
      <c r="I2703" s="81"/>
      <c r="J2703" s="81"/>
      <c r="K2703" s="81"/>
      <c r="L2703" s="81"/>
      <c r="M2703" s="81"/>
      <c r="N2703" s="81"/>
      <c r="O2703" s="81"/>
      <c r="P2703" s="81"/>
      <c r="Q2703" s="81"/>
      <c r="R2703" s="81"/>
      <c r="S2703" s="81"/>
      <c r="T2703" s="81"/>
      <c r="U2703" s="81"/>
      <c r="V2703" s="94"/>
      <c r="W2703" s="94"/>
    </row>
    <row r="2704" spans="1:23" ht="21" customHeight="1">
      <c r="A2704">
        <f>Table4[[#This Row],[Column1]]</f>
        <v>0</v>
      </c>
      <c r="B2704">
        <f>Table4[[#This Row],[Column2]]</f>
        <v>0</v>
      </c>
      <c r="C2704" s="81"/>
      <c r="D2704" s="81"/>
      <c r="E2704" s="81"/>
      <c r="F2704" s="81"/>
      <c r="G2704" s="81"/>
      <c r="H2704" s="81"/>
      <c r="I2704" s="81"/>
      <c r="J2704" s="81"/>
      <c r="K2704" s="81"/>
      <c r="L2704" s="81"/>
      <c r="M2704" s="81"/>
      <c r="N2704" s="81"/>
      <c r="O2704" s="81"/>
      <c r="P2704" s="81"/>
      <c r="Q2704" s="81"/>
      <c r="R2704" s="81"/>
      <c r="S2704" s="81"/>
      <c r="T2704" s="81"/>
      <c r="U2704" s="81"/>
      <c r="V2704" s="94"/>
      <c r="W2704" s="94"/>
    </row>
    <row r="2705" spans="1:23" ht="21" customHeight="1">
      <c r="A2705">
        <f>Table4[[#This Row],[Column1]]</f>
        <v>0</v>
      </c>
      <c r="B2705">
        <f>Table4[[#This Row],[Column2]]</f>
        <v>0</v>
      </c>
      <c r="C2705" s="81"/>
      <c r="D2705" s="81"/>
      <c r="E2705" s="81"/>
      <c r="F2705" s="81"/>
      <c r="G2705" s="81"/>
      <c r="H2705" s="81"/>
      <c r="I2705" s="81"/>
      <c r="J2705" s="81"/>
      <c r="K2705" s="81"/>
      <c r="L2705" s="81"/>
      <c r="M2705" s="81"/>
      <c r="N2705" s="81"/>
      <c r="O2705" s="81"/>
      <c r="P2705" s="81"/>
      <c r="Q2705" s="81"/>
      <c r="R2705" s="81"/>
      <c r="S2705" s="81"/>
      <c r="T2705" s="81"/>
      <c r="U2705" s="81"/>
      <c r="V2705" s="94"/>
      <c r="W2705" s="94"/>
    </row>
    <row r="2706" spans="1:23" ht="21" customHeight="1">
      <c r="A2706">
        <f>Table4[[#This Row],[Column1]]</f>
        <v>0</v>
      </c>
      <c r="B2706">
        <f>Table4[[#This Row],[Column2]]</f>
        <v>0</v>
      </c>
      <c r="C2706" s="81"/>
      <c r="D2706" s="81"/>
      <c r="E2706" s="81"/>
      <c r="F2706" s="81"/>
      <c r="G2706" s="81"/>
      <c r="H2706" s="81"/>
      <c r="I2706" s="81"/>
      <c r="J2706" s="81"/>
      <c r="K2706" s="81"/>
      <c r="L2706" s="81"/>
      <c r="M2706" s="81"/>
      <c r="N2706" s="81"/>
      <c r="O2706" s="81"/>
      <c r="P2706" s="81"/>
      <c r="Q2706" s="81"/>
      <c r="R2706" s="81"/>
      <c r="S2706" s="81"/>
      <c r="T2706" s="81"/>
      <c r="U2706" s="81"/>
      <c r="V2706" s="94"/>
      <c r="W2706" s="94"/>
    </row>
    <row r="2707" spans="1:23" ht="21" customHeight="1">
      <c r="A2707">
        <f>Table4[[#This Row],[Column1]]</f>
        <v>0</v>
      </c>
      <c r="B2707">
        <f>Table4[[#This Row],[Column2]]</f>
        <v>0</v>
      </c>
      <c r="C2707" s="81"/>
      <c r="D2707" s="81"/>
      <c r="E2707" s="81"/>
      <c r="F2707" s="81"/>
      <c r="G2707" s="81"/>
      <c r="H2707" s="81"/>
      <c r="I2707" s="81"/>
      <c r="J2707" s="81"/>
      <c r="K2707" s="81"/>
      <c r="L2707" s="81"/>
      <c r="M2707" s="81"/>
      <c r="N2707" s="81"/>
      <c r="O2707" s="81"/>
      <c r="P2707" s="81"/>
      <c r="Q2707" s="81"/>
      <c r="R2707" s="81"/>
      <c r="S2707" s="81"/>
      <c r="T2707" s="81"/>
      <c r="U2707" s="81"/>
      <c r="V2707" s="94"/>
      <c r="W2707" s="94"/>
    </row>
    <row r="2708" spans="1:23" ht="21" customHeight="1">
      <c r="A2708">
        <f>Table4[[#This Row],[Column1]]</f>
        <v>0</v>
      </c>
      <c r="B2708">
        <f>Table4[[#This Row],[Column2]]</f>
        <v>0</v>
      </c>
      <c r="C2708" s="81"/>
      <c r="D2708" s="81"/>
      <c r="E2708" s="81"/>
      <c r="F2708" s="81"/>
      <c r="G2708" s="81"/>
      <c r="H2708" s="81"/>
      <c r="I2708" s="81"/>
      <c r="J2708" s="81"/>
      <c r="K2708" s="81"/>
      <c r="L2708" s="81"/>
      <c r="M2708" s="81"/>
      <c r="N2708" s="81"/>
      <c r="O2708" s="81"/>
      <c r="P2708" s="81"/>
      <c r="Q2708" s="81"/>
      <c r="R2708" s="81"/>
      <c r="S2708" s="81"/>
      <c r="T2708" s="81"/>
      <c r="U2708" s="81"/>
      <c r="V2708" s="94"/>
      <c r="W2708" s="94"/>
    </row>
    <row r="2709" spans="1:23" ht="21" customHeight="1">
      <c r="A2709">
        <f>Table4[[#This Row],[Column1]]</f>
        <v>0</v>
      </c>
      <c r="B2709">
        <f>Table4[[#This Row],[Column2]]</f>
        <v>0</v>
      </c>
      <c r="C2709" s="81"/>
      <c r="D2709" s="81"/>
      <c r="E2709" s="81"/>
      <c r="F2709" s="81"/>
      <c r="G2709" s="81"/>
      <c r="H2709" s="81"/>
      <c r="I2709" s="81"/>
      <c r="J2709" s="81"/>
      <c r="K2709" s="81"/>
      <c r="L2709" s="81"/>
      <c r="M2709" s="81"/>
      <c r="N2709" s="81"/>
      <c r="O2709" s="81"/>
      <c r="P2709" s="81"/>
      <c r="Q2709" s="81"/>
      <c r="R2709" s="81"/>
      <c r="S2709" s="81"/>
      <c r="T2709" s="81"/>
      <c r="U2709" s="81"/>
      <c r="V2709" s="94"/>
      <c r="W2709" s="94"/>
    </row>
    <row r="2710" spans="1:23" ht="21" customHeight="1">
      <c r="A2710">
        <f>Table4[[#This Row],[Column1]]</f>
        <v>0</v>
      </c>
      <c r="B2710">
        <f>Table4[[#This Row],[Column2]]</f>
        <v>0</v>
      </c>
      <c r="C2710" s="81"/>
      <c r="D2710" s="81"/>
      <c r="E2710" s="81"/>
      <c r="F2710" s="81"/>
      <c r="G2710" s="81"/>
      <c r="H2710" s="81"/>
      <c r="I2710" s="81"/>
      <c r="J2710" s="81"/>
      <c r="K2710" s="81"/>
      <c r="L2710" s="81"/>
      <c r="M2710" s="81"/>
      <c r="N2710" s="81"/>
      <c r="O2710" s="81"/>
      <c r="P2710" s="81"/>
      <c r="Q2710" s="81"/>
      <c r="R2710" s="81"/>
      <c r="S2710" s="81"/>
      <c r="T2710" s="81"/>
      <c r="U2710" s="81"/>
      <c r="V2710" s="94"/>
      <c r="W2710" s="94"/>
    </row>
    <row r="2711" spans="1:23" ht="21" customHeight="1">
      <c r="A2711">
        <f>Table4[[#This Row],[Column1]]</f>
        <v>0</v>
      </c>
      <c r="B2711">
        <f>Table4[[#This Row],[Column2]]</f>
        <v>0</v>
      </c>
      <c r="C2711" s="81"/>
      <c r="D2711" s="81"/>
      <c r="E2711" s="81"/>
      <c r="F2711" s="81"/>
      <c r="G2711" s="81"/>
      <c r="H2711" s="81"/>
      <c r="I2711" s="81"/>
      <c r="J2711" s="81"/>
      <c r="K2711" s="81"/>
      <c r="L2711" s="81"/>
      <c r="M2711" s="81"/>
      <c r="N2711" s="81"/>
      <c r="O2711" s="81"/>
      <c r="P2711" s="81"/>
      <c r="Q2711" s="81"/>
      <c r="R2711" s="81"/>
      <c r="S2711" s="81"/>
      <c r="T2711" s="81"/>
      <c r="U2711" s="81"/>
      <c r="V2711" s="94"/>
      <c r="W2711" s="94"/>
    </row>
    <row r="2712" spans="1:23" ht="21" customHeight="1">
      <c r="A2712">
        <f>Table4[[#This Row],[Column1]]</f>
        <v>0</v>
      </c>
      <c r="B2712">
        <f>Table4[[#This Row],[Column2]]</f>
        <v>0</v>
      </c>
      <c r="C2712" s="81"/>
      <c r="D2712" s="81"/>
      <c r="E2712" s="81"/>
      <c r="F2712" s="81"/>
      <c r="G2712" s="81"/>
      <c r="H2712" s="81"/>
      <c r="I2712" s="81"/>
      <c r="J2712" s="81"/>
      <c r="K2712" s="81"/>
      <c r="L2712" s="81"/>
      <c r="M2712" s="81"/>
      <c r="N2712" s="81"/>
      <c r="O2712" s="81"/>
      <c r="P2712" s="81"/>
      <c r="Q2712" s="81"/>
      <c r="R2712" s="81"/>
      <c r="S2712" s="81"/>
      <c r="T2712" s="81"/>
      <c r="U2712" s="81"/>
      <c r="V2712" s="94"/>
      <c r="W2712" s="94"/>
    </row>
    <row r="2713" spans="1:23" ht="21" customHeight="1">
      <c r="A2713">
        <f>Table4[[#This Row],[Column1]]</f>
        <v>0</v>
      </c>
      <c r="B2713">
        <f>Table4[[#This Row],[Column2]]</f>
        <v>0</v>
      </c>
      <c r="C2713" s="81"/>
      <c r="D2713" s="81"/>
      <c r="E2713" s="81"/>
      <c r="F2713" s="81"/>
      <c r="G2713" s="81"/>
      <c r="H2713" s="81"/>
      <c r="I2713" s="81"/>
      <c r="J2713" s="81"/>
      <c r="K2713" s="81"/>
      <c r="L2713" s="81"/>
      <c r="M2713" s="81"/>
      <c r="N2713" s="81"/>
      <c r="O2713" s="81"/>
      <c r="P2713" s="81"/>
      <c r="Q2713" s="81"/>
      <c r="R2713" s="81"/>
      <c r="S2713" s="81"/>
      <c r="T2713" s="81"/>
      <c r="U2713" s="81"/>
      <c r="V2713" s="94"/>
      <c r="W2713" s="94"/>
    </row>
    <row r="2714" spans="1:23" ht="21" customHeight="1">
      <c r="A2714">
        <f>Table4[[#This Row],[Column1]]</f>
        <v>0</v>
      </c>
      <c r="B2714">
        <f>Table4[[#This Row],[Column2]]</f>
        <v>0</v>
      </c>
      <c r="C2714" s="81"/>
      <c r="D2714" s="81"/>
      <c r="E2714" s="81"/>
      <c r="F2714" s="81"/>
      <c r="G2714" s="81"/>
      <c r="H2714" s="81"/>
      <c r="I2714" s="81"/>
      <c r="J2714" s="81"/>
      <c r="K2714" s="81"/>
      <c r="L2714" s="81"/>
      <c r="M2714" s="81"/>
      <c r="N2714" s="81"/>
      <c r="O2714" s="81"/>
      <c r="P2714" s="81"/>
      <c r="Q2714" s="81"/>
      <c r="R2714" s="81"/>
      <c r="S2714" s="81"/>
      <c r="T2714" s="81"/>
      <c r="U2714" s="81"/>
      <c r="V2714" s="94"/>
      <c r="W2714" s="94"/>
    </row>
    <row r="2715" spans="1:23" ht="21" customHeight="1">
      <c r="A2715">
        <f>Table4[[#This Row],[Column1]]</f>
        <v>0</v>
      </c>
      <c r="B2715">
        <f>Table4[[#This Row],[Column2]]</f>
        <v>0</v>
      </c>
      <c r="C2715" s="81"/>
      <c r="D2715" s="81"/>
      <c r="E2715" s="81"/>
      <c r="F2715" s="81"/>
      <c r="G2715" s="81"/>
      <c r="H2715" s="81"/>
      <c r="I2715" s="81"/>
      <c r="J2715" s="81"/>
      <c r="K2715" s="81"/>
      <c r="L2715" s="81"/>
      <c r="M2715" s="81"/>
      <c r="N2715" s="81"/>
      <c r="O2715" s="81"/>
      <c r="P2715" s="81"/>
      <c r="Q2715" s="81"/>
      <c r="R2715" s="81"/>
      <c r="S2715" s="81"/>
      <c r="T2715" s="81"/>
      <c r="U2715" s="81"/>
      <c r="V2715" s="94"/>
      <c r="W2715" s="94"/>
    </row>
    <row r="2716" spans="1:23" ht="21" customHeight="1">
      <c r="A2716">
        <f>Table4[[#This Row],[Column1]]</f>
        <v>0</v>
      </c>
      <c r="B2716">
        <f>Table4[[#This Row],[Column2]]</f>
        <v>0</v>
      </c>
      <c r="C2716" s="81"/>
      <c r="D2716" s="81"/>
      <c r="E2716" s="81"/>
      <c r="F2716" s="81"/>
      <c r="G2716" s="81"/>
      <c r="H2716" s="81"/>
      <c r="I2716" s="81"/>
      <c r="J2716" s="81"/>
      <c r="K2716" s="81"/>
      <c r="L2716" s="81"/>
      <c r="M2716" s="81"/>
      <c r="N2716" s="81"/>
      <c r="O2716" s="81"/>
      <c r="P2716" s="81"/>
      <c r="Q2716" s="81"/>
      <c r="R2716" s="81"/>
      <c r="S2716" s="81"/>
      <c r="T2716" s="81"/>
      <c r="U2716" s="81"/>
      <c r="V2716" s="94"/>
      <c r="W2716" s="94"/>
    </row>
    <row r="2717" spans="1:23" ht="21" customHeight="1">
      <c r="A2717">
        <f>Table4[[#This Row],[Column1]]</f>
        <v>0</v>
      </c>
      <c r="B2717">
        <f>Table4[[#This Row],[Column2]]</f>
        <v>0</v>
      </c>
      <c r="C2717" s="81"/>
      <c r="D2717" s="81"/>
      <c r="E2717" s="81"/>
      <c r="F2717" s="81"/>
      <c r="G2717" s="81"/>
      <c r="H2717" s="81"/>
      <c r="I2717" s="81"/>
      <c r="J2717" s="81"/>
      <c r="K2717" s="81"/>
      <c r="L2717" s="81"/>
      <c r="M2717" s="81"/>
      <c r="N2717" s="81"/>
      <c r="O2717" s="81"/>
      <c r="P2717" s="81"/>
      <c r="Q2717" s="81"/>
      <c r="R2717" s="81"/>
      <c r="S2717" s="81"/>
      <c r="T2717" s="81"/>
      <c r="U2717" s="81"/>
      <c r="V2717" s="94"/>
      <c r="W2717" s="94"/>
    </row>
    <row r="2718" spans="1:23" ht="21" customHeight="1">
      <c r="A2718">
        <f>Table4[[#This Row],[Column1]]</f>
        <v>0</v>
      </c>
      <c r="B2718">
        <f>Table4[[#This Row],[Column2]]</f>
        <v>0</v>
      </c>
      <c r="C2718" s="81"/>
      <c r="D2718" s="81"/>
      <c r="E2718" s="81"/>
      <c r="F2718" s="81"/>
      <c r="G2718" s="81"/>
      <c r="H2718" s="81"/>
      <c r="I2718" s="81"/>
      <c r="J2718" s="81"/>
      <c r="K2718" s="81"/>
      <c r="L2718" s="81"/>
      <c r="M2718" s="81"/>
      <c r="N2718" s="81"/>
      <c r="O2718" s="81"/>
      <c r="P2718" s="81"/>
      <c r="Q2718" s="81"/>
      <c r="R2718" s="81"/>
      <c r="S2718" s="81"/>
      <c r="T2718" s="81"/>
      <c r="U2718" s="81"/>
      <c r="V2718" s="94"/>
      <c r="W2718" s="94"/>
    </row>
    <row r="2719" spans="1:23" ht="21" customHeight="1">
      <c r="A2719">
        <f>Table4[[#This Row],[Column1]]</f>
        <v>0</v>
      </c>
      <c r="B2719">
        <f>Table4[[#This Row],[Column2]]</f>
        <v>0</v>
      </c>
      <c r="C2719" s="81"/>
      <c r="D2719" s="81"/>
      <c r="E2719" s="81"/>
      <c r="F2719" s="81"/>
      <c r="G2719" s="81"/>
      <c r="H2719" s="81"/>
      <c r="I2719" s="81"/>
      <c r="J2719" s="81"/>
      <c r="K2719" s="81"/>
      <c r="L2719" s="81"/>
      <c r="M2719" s="81"/>
      <c r="N2719" s="81"/>
      <c r="O2719" s="81"/>
      <c r="P2719" s="81"/>
      <c r="Q2719" s="81"/>
      <c r="R2719" s="81"/>
      <c r="S2719" s="81"/>
      <c r="T2719" s="81"/>
      <c r="U2719" s="81"/>
      <c r="V2719" s="94"/>
      <c r="W2719" s="94"/>
    </row>
    <row r="2720" spans="1:23" ht="21" customHeight="1">
      <c r="A2720">
        <f>Table4[[#This Row],[Column1]]</f>
        <v>0</v>
      </c>
      <c r="B2720">
        <f>Table4[[#This Row],[Column2]]</f>
        <v>0</v>
      </c>
      <c r="C2720" s="81"/>
      <c r="D2720" s="81"/>
      <c r="E2720" s="81"/>
      <c r="F2720" s="81"/>
      <c r="G2720" s="81"/>
      <c r="H2720" s="81"/>
      <c r="I2720" s="81"/>
      <c r="J2720" s="81"/>
      <c r="K2720" s="81"/>
      <c r="L2720" s="81"/>
      <c r="M2720" s="81"/>
      <c r="N2720" s="81"/>
      <c r="O2720" s="81"/>
      <c r="P2720" s="81"/>
      <c r="Q2720" s="81"/>
      <c r="R2720" s="81"/>
      <c r="S2720" s="81"/>
      <c r="T2720" s="81"/>
      <c r="U2720" s="81"/>
      <c r="V2720" s="94"/>
      <c r="W2720" s="94"/>
    </row>
    <row r="2721" spans="1:23" ht="21" customHeight="1">
      <c r="A2721">
        <f>Table4[[#This Row],[Column1]]</f>
        <v>0</v>
      </c>
      <c r="B2721">
        <f>Table4[[#This Row],[Column2]]</f>
        <v>0</v>
      </c>
      <c r="C2721" s="81"/>
      <c r="D2721" s="81"/>
      <c r="E2721" s="81"/>
      <c r="F2721" s="81"/>
      <c r="G2721" s="81"/>
      <c r="H2721" s="81"/>
      <c r="I2721" s="81"/>
      <c r="J2721" s="81"/>
      <c r="K2721" s="81"/>
      <c r="L2721" s="81"/>
      <c r="M2721" s="81"/>
      <c r="N2721" s="81"/>
      <c r="O2721" s="81"/>
      <c r="P2721" s="81"/>
      <c r="Q2721" s="81"/>
      <c r="R2721" s="81"/>
      <c r="S2721" s="81"/>
      <c r="T2721" s="81"/>
      <c r="U2721" s="81"/>
      <c r="V2721" s="94"/>
      <c r="W2721" s="94"/>
    </row>
    <row r="2722" spans="1:23" ht="21" customHeight="1">
      <c r="A2722">
        <f>Table4[[#This Row],[Column1]]</f>
        <v>0</v>
      </c>
      <c r="B2722">
        <f>Table4[[#This Row],[Column2]]</f>
        <v>0</v>
      </c>
      <c r="C2722" s="81"/>
      <c r="D2722" s="81"/>
      <c r="E2722" s="81"/>
      <c r="F2722" s="81"/>
      <c r="G2722" s="81"/>
      <c r="H2722" s="81"/>
      <c r="I2722" s="81"/>
      <c r="J2722" s="81"/>
      <c r="K2722" s="81"/>
      <c r="L2722" s="81"/>
      <c r="M2722" s="81"/>
      <c r="N2722" s="81"/>
      <c r="O2722" s="81"/>
      <c r="P2722" s="81"/>
      <c r="Q2722" s="81"/>
      <c r="R2722" s="81"/>
      <c r="S2722" s="81"/>
      <c r="T2722" s="81"/>
      <c r="U2722" s="81"/>
      <c r="V2722" s="94"/>
      <c r="W2722" s="94"/>
    </row>
    <row r="2723" spans="1:23" ht="21" customHeight="1">
      <c r="A2723">
        <f>Table4[[#This Row],[Column1]]</f>
        <v>0</v>
      </c>
      <c r="B2723">
        <f>Table4[[#This Row],[Column2]]</f>
        <v>0</v>
      </c>
      <c r="C2723" s="81"/>
      <c r="D2723" s="81"/>
      <c r="E2723" s="81"/>
      <c r="F2723" s="81"/>
      <c r="G2723" s="81"/>
      <c r="H2723" s="81"/>
      <c r="I2723" s="81"/>
      <c r="J2723" s="81"/>
      <c r="K2723" s="81"/>
      <c r="L2723" s="81"/>
      <c r="M2723" s="81"/>
      <c r="N2723" s="81"/>
      <c r="O2723" s="81"/>
      <c r="P2723" s="81"/>
      <c r="Q2723" s="81"/>
      <c r="R2723" s="81"/>
      <c r="S2723" s="81"/>
      <c r="T2723" s="81"/>
      <c r="U2723" s="81"/>
      <c r="V2723" s="94"/>
      <c r="W2723" s="94"/>
    </row>
    <row r="2724" spans="1:23" ht="21" customHeight="1">
      <c r="A2724">
        <f>Table4[[#This Row],[Column1]]</f>
        <v>0</v>
      </c>
      <c r="B2724">
        <f>Table4[[#This Row],[Column2]]</f>
        <v>0</v>
      </c>
      <c r="C2724" s="81"/>
      <c r="D2724" s="81"/>
      <c r="E2724" s="81"/>
      <c r="F2724" s="81"/>
      <c r="G2724" s="81"/>
      <c r="H2724" s="81"/>
      <c r="I2724" s="81"/>
      <c r="J2724" s="81"/>
      <c r="K2724" s="81"/>
      <c r="L2724" s="81"/>
      <c r="M2724" s="81"/>
      <c r="N2724" s="81"/>
      <c r="O2724" s="81"/>
      <c r="P2724" s="81"/>
      <c r="Q2724" s="81"/>
      <c r="R2724" s="81"/>
      <c r="S2724" s="81"/>
      <c r="T2724" s="81"/>
      <c r="U2724" s="81"/>
      <c r="V2724" s="94"/>
      <c r="W2724" s="94"/>
    </row>
    <row r="2725" spans="1:23" ht="21" customHeight="1">
      <c r="A2725">
        <f>Table4[[#This Row],[Column1]]</f>
        <v>0</v>
      </c>
      <c r="B2725">
        <f>Table4[[#This Row],[Column2]]</f>
        <v>0</v>
      </c>
      <c r="C2725" s="81"/>
      <c r="D2725" s="81"/>
      <c r="E2725" s="81"/>
      <c r="F2725" s="81"/>
      <c r="G2725" s="81"/>
      <c r="H2725" s="81"/>
      <c r="I2725" s="81"/>
      <c r="J2725" s="81"/>
      <c r="K2725" s="81"/>
      <c r="L2725" s="81"/>
      <c r="M2725" s="81"/>
      <c r="N2725" s="81"/>
      <c r="O2725" s="81"/>
      <c r="P2725" s="81"/>
      <c r="Q2725" s="81"/>
      <c r="R2725" s="81"/>
      <c r="S2725" s="81"/>
      <c r="T2725" s="81"/>
      <c r="U2725" s="81"/>
      <c r="V2725" s="94"/>
      <c r="W2725" s="94"/>
    </row>
    <row r="2726" spans="1:23" ht="21" customHeight="1">
      <c r="A2726">
        <f>Table4[[#This Row],[Column1]]</f>
        <v>0</v>
      </c>
      <c r="B2726">
        <f>Table4[[#This Row],[Column2]]</f>
        <v>0</v>
      </c>
      <c r="C2726" s="81"/>
      <c r="D2726" s="81"/>
      <c r="E2726" s="81"/>
      <c r="F2726" s="81"/>
      <c r="G2726" s="81"/>
      <c r="H2726" s="81"/>
      <c r="I2726" s="81"/>
      <c r="J2726" s="81"/>
      <c r="K2726" s="81"/>
      <c r="L2726" s="81"/>
      <c r="M2726" s="81"/>
      <c r="N2726" s="81"/>
      <c r="O2726" s="81"/>
      <c r="P2726" s="81"/>
      <c r="Q2726" s="81"/>
      <c r="R2726" s="81"/>
      <c r="S2726" s="81"/>
      <c r="T2726" s="81"/>
      <c r="U2726" s="81"/>
      <c r="V2726" s="94"/>
      <c r="W2726" s="94"/>
    </row>
    <row r="2727" spans="1:23" ht="21" customHeight="1">
      <c r="A2727">
        <f>Table4[[#This Row],[Column1]]</f>
        <v>0</v>
      </c>
      <c r="B2727">
        <f>Table4[[#This Row],[Column2]]</f>
        <v>0</v>
      </c>
      <c r="C2727" s="81"/>
      <c r="D2727" s="81"/>
      <c r="E2727" s="81"/>
      <c r="F2727" s="81"/>
      <c r="G2727" s="81"/>
      <c r="H2727" s="81"/>
      <c r="I2727" s="81"/>
      <c r="J2727" s="81"/>
      <c r="K2727" s="81"/>
      <c r="L2727" s="81"/>
      <c r="M2727" s="81"/>
      <c r="N2727" s="81"/>
      <c r="O2727" s="81"/>
      <c r="P2727" s="81"/>
      <c r="Q2727" s="81"/>
      <c r="R2727" s="81"/>
      <c r="S2727" s="81"/>
      <c r="T2727" s="81"/>
      <c r="U2727" s="81"/>
      <c r="V2727" s="94"/>
      <c r="W2727" s="94"/>
    </row>
    <row r="2728" spans="1:23" ht="21" customHeight="1">
      <c r="A2728">
        <f>Table4[[#This Row],[Column1]]</f>
        <v>0</v>
      </c>
      <c r="B2728">
        <f>Table4[[#This Row],[Column2]]</f>
        <v>0</v>
      </c>
      <c r="C2728" s="81"/>
      <c r="D2728" s="81"/>
      <c r="E2728" s="81"/>
      <c r="F2728" s="81"/>
      <c r="G2728" s="81"/>
      <c r="H2728" s="81"/>
      <c r="I2728" s="81"/>
      <c r="J2728" s="81"/>
      <c r="K2728" s="81"/>
      <c r="L2728" s="81"/>
      <c r="M2728" s="81"/>
      <c r="N2728" s="81"/>
      <c r="O2728" s="81"/>
      <c r="P2728" s="81"/>
      <c r="Q2728" s="81"/>
      <c r="R2728" s="81"/>
      <c r="S2728" s="81"/>
      <c r="T2728" s="81"/>
      <c r="U2728" s="81"/>
      <c r="V2728" s="94"/>
      <c r="W2728" s="94"/>
    </row>
    <row r="2729" spans="1:23" ht="21" customHeight="1">
      <c r="A2729">
        <f>Table4[[#This Row],[Column1]]</f>
        <v>0</v>
      </c>
      <c r="B2729">
        <f>Table4[[#This Row],[Column2]]</f>
        <v>0</v>
      </c>
      <c r="C2729" s="81"/>
      <c r="D2729" s="81"/>
      <c r="E2729" s="81"/>
      <c r="F2729" s="81"/>
      <c r="G2729" s="81"/>
      <c r="H2729" s="81"/>
      <c r="I2729" s="81"/>
      <c r="J2729" s="81"/>
      <c r="K2729" s="81"/>
      <c r="L2729" s="81"/>
      <c r="M2729" s="81"/>
      <c r="N2729" s="81"/>
      <c r="O2729" s="81"/>
      <c r="P2729" s="81"/>
      <c r="Q2729" s="81"/>
      <c r="R2729" s="81"/>
      <c r="S2729" s="81"/>
      <c r="T2729" s="81"/>
      <c r="U2729" s="81"/>
      <c r="V2729" s="94"/>
      <c r="W2729" s="94"/>
    </row>
    <row r="2730" spans="1:23" ht="21" customHeight="1">
      <c r="A2730">
        <f>Table4[[#This Row],[Column1]]</f>
        <v>0</v>
      </c>
      <c r="B2730">
        <f>Table4[[#This Row],[Column2]]</f>
        <v>0</v>
      </c>
      <c r="C2730" s="81"/>
      <c r="D2730" s="81"/>
      <c r="E2730" s="81"/>
      <c r="F2730" s="81"/>
      <c r="G2730" s="81"/>
      <c r="H2730" s="81"/>
      <c r="I2730" s="81"/>
      <c r="J2730" s="81"/>
      <c r="K2730" s="81"/>
      <c r="L2730" s="81"/>
      <c r="M2730" s="81"/>
      <c r="N2730" s="81"/>
      <c r="O2730" s="81"/>
      <c r="P2730" s="81"/>
      <c r="Q2730" s="81"/>
      <c r="R2730" s="81"/>
      <c r="S2730" s="81"/>
      <c r="T2730" s="81"/>
      <c r="U2730" s="81"/>
      <c r="V2730" s="94"/>
      <c r="W2730" s="94"/>
    </row>
    <row r="2731" spans="1:23" ht="21" customHeight="1">
      <c r="A2731">
        <f>Table4[[#This Row],[Column1]]</f>
        <v>0</v>
      </c>
      <c r="B2731">
        <f>Table4[[#This Row],[Column2]]</f>
        <v>0</v>
      </c>
      <c r="C2731" s="81"/>
      <c r="D2731" s="81"/>
      <c r="E2731" s="81"/>
      <c r="F2731" s="81"/>
      <c r="G2731" s="81"/>
      <c r="H2731" s="81"/>
      <c r="I2731" s="81"/>
      <c r="J2731" s="81"/>
      <c r="K2731" s="81"/>
      <c r="L2731" s="81"/>
      <c r="M2731" s="81"/>
      <c r="N2731" s="81"/>
      <c r="O2731" s="81"/>
      <c r="P2731" s="81"/>
      <c r="Q2731" s="81"/>
      <c r="R2731" s="81"/>
      <c r="S2731" s="81"/>
      <c r="T2731" s="81"/>
      <c r="U2731" s="81"/>
      <c r="V2731" s="94"/>
      <c r="W2731" s="94"/>
    </row>
    <row r="2732" spans="1:23" ht="21" customHeight="1">
      <c r="A2732">
        <f>Table4[[#This Row],[Column1]]</f>
        <v>0</v>
      </c>
      <c r="B2732">
        <f>Table4[[#This Row],[Column2]]</f>
        <v>0</v>
      </c>
      <c r="C2732" s="81"/>
      <c r="D2732" s="81"/>
      <c r="E2732" s="81"/>
      <c r="F2732" s="81"/>
      <c r="G2732" s="81"/>
      <c r="H2732" s="81"/>
      <c r="I2732" s="81"/>
      <c r="J2732" s="81"/>
      <c r="K2732" s="81"/>
      <c r="L2732" s="81"/>
      <c r="M2732" s="81"/>
      <c r="N2732" s="81"/>
      <c r="O2732" s="81"/>
      <c r="P2732" s="81"/>
      <c r="Q2732" s="81"/>
      <c r="R2732" s="81"/>
      <c r="S2732" s="81"/>
      <c r="T2732" s="81"/>
      <c r="U2732" s="81"/>
      <c r="V2732" s="94"/>
      <c r="W2732" s="94"/>
    </row>
    <row r="2733" spans="1:23" ht="21" customHeight="1">
      <c r="A2733">
        <f>Table4[[#This Row],[Column1]]</f>
        <v>0</v>
      </c>
      <c r="B2733">
        <f>Table4[[#This Row],[Column2]]</f>
        <v>0</v>
      </c>
      <c r="C2733" s="81"/>
      <c r="D2733" s="81"/>
      <c r="E2733" s="81"/>
      <c r="F2733" s="81"/>
      <c r="G2733" s="81"/>
      <c r="H2733" s="81"/>
      <c r="I2733" s="81"/>
      <c r="J2733" s="81"/>
      <c r="K2733" s="81"/>
      <c r="L2733" s="81"/>
      <c r="M2733" s="81"/>
      <c r="N2733" s="81"/>
      <c r="O2733" s="81"/>
      <c r="P2733" s="81"/>
      <c r="Q2733" s="81"/>
      <c r="R2733" s="81"/>
      <c r="S2733" s="81"/>
      <c r="T2733" s="81"/>
      <c r="U2733" s="81"/>
      <c r="V2733" s="94"/>
      <c r="W2733" s="94"/>
    </row>
    <row r="2734" spans="1:23" ht="21" customHeight="1">
      <c r="A2734">
        <f>Table4[[#This Row],[Column1]]</f>
        <v>0</v>
      </c>
      <c r="B2734">
        <f>Table4[[#This Row],[Column2]]</f>
        <v>0</v>
      </c>
      <c r="C2734" s="81"/>
      <c r="D2734" s="81"/>
      <c r="E2734" s="81"/>
      <c r="F2734" s="81"/>
      <c r="G2734" s="81"/>
      <c r="H2734" s="81"/>
      <c r="I2734" s="81"/>
      <c r="J2734" s="81"/>
      <c r="K2734" s="81"/>
      <c r="L2734" s="81"/>
      <c r="M2734" s="81"/>
      <c r="N2734" s="81"/>
      <c r="O2734" s="81"/>
      <c r="P2734" s="81"/>
      <c r="Q2734" s="81"/>
      <c r="R2734" s="81"/>
      <c r="S2734" s="81"/>
      <c r="T2734" s="81"/>
      <c r="U2734" s="81"/>
      <c r="V2734" s="94"/>
      <c r="W2734" s="94"/>
    </row>
    <row r="2735" spans="1:23" ht="21" customHeight="1">
      <c r="A2735">
        <f>Table4[[#This Row],[Column1]]</f>
        <v>0</v>
      </c>
      <c r="B2735">
        <f>Table4[[#This Row],[Column2]]</f>
        <v>0</v>
      </c>
      <c r="C2735" s="81"/>
      <c r="D2735" s="81"/>
      <c r="E2735" s="81"/>
      <c r="F2735" s="81"/>
      <c r="G2735" s="81"/>
      <c r="H2735" s="81"/>
      <c r="I2735" s="81"/>
      <c r="J2735" s="81"/>
      <c r="K2735" s="81"/>
      <c r="L2735" s="81"/>
      <c r="M2735" s="81"/>
      <c r="N2735" s="81"/>
      <c r="O2735" s="81"/>
      <c r="P2735" s="81"/>
      <c r="Q2735" s="81"/>
      <c r="R2735" s="81"/>
      <c r="S2735" s="81"/>
      <c r="T2735" s="81"/>
      <c r="U2735" s="81"/>
      <c r="V2735" s="94"/>
      <c r="W2735" s="94"/>
    </row>
    <row r="2736" spans="1:23" ht="21" customHeight="1">
      <c r="A2736">
        <f>Table4[[#This Row],[Column1]]</f>
        <v>0</v>
      </c>
      <c r="B2736">
        <f>Table4[[#This Row],[Column2]]</f>
        <v>0</v>
      </c>
      <c r="C2736" s="81"/>
      <c r="D2736" s="81"/>
      <c r="E2736" s="81"/>
      <c r="F2736" s="81"/>
      <c r="G2736" s="81"/>
      <c r="H2736" s="81"/>
      <c r="I2736" s="81"/>
      <c r="J2736" s="81"/>
      <c r="K2736" s="81"/>
      <c r="L2736" s="81"/>
      <c r="M2736" s="81"/>
      <c r="N2736" s="81"/>
      <c r="O2736" s="81"/>
      <c r="P2736" s="81"/>
      <c r="Q2736" s="81"/>
      <c r="R2736" s="81"/>
      <c r="S2736" s="81"/>
      <c r="T2736" s="81"/>
      <c r="U2736" s="81"/>
      <c r="V2736" s="94"/>
      <c r="W2736" s="94"/>
    </row>
    <row r="2737" spans="1:23" ht="21" customHeight="1">
      <c r="A2737">
        <f>Table4[[#This Row],[Column1]]</f>
        <v>0</v>
      </c>
      <c r="B2737">
        <f>Table4[[#This Row],[Column2]]</f>
        <v>0</v>
      </c>
      <c r="C2737" s="81"/>
      <c r="D2737" s="81"/>
      <c r="E2737" s="81"/>
      <c r="F2737" s="81"/>
      <c r="G2737" s="81"/>
      <c r="H2737" s="81"/>
      <c r="I2737" s="81"/>
      <c r="J2737" s="81"/>
      <c r="K2737" s="81"/>
      <c r="L2737" s="81"/>
      <c r="M2737" s="81"/>
      <c r="N2737" s="81"/>
      <c r="O2737" s="81"/>
      <c r="P2737" s="81"/>
      <c r="Q2737" s="81"/>
      <c r="R2737" s="81"/>
      <c r="S2737" s="81"/>
      <c r="T2737" s="81"/>
      <c r="U2737" s="81"/>
      <c r="V2737" s="94"/>
      <c r="W2737" s="94"/>
    </row>
    <row r="2738" spans="1:23" ht="21" customHeight="1">
      <c r="A2738">
        <f>Table4[[#This Row],[Column1]]</f>
        <v>0</v>
      </c>
      <c r="B2738">
        <f>Table4[[#This Row],[Column2]]</f>
        <v>0</v>
      </c>
      <c r="C2738" s="81"/>
      <c r="D2738" s="81"/>
      <c r="E2738" s="81"/>
      <c r="F2738" s="81"/>
      <c r="G2738" s="81"/>
      <c r="H2738" s="81"/>
      <c r="I2738" s="81"/>
      <c r="J2738" s="81"/>
      <c r="K2738" s="81"/>
      <c r="L2738" s="81"/>
      <c r="M2738" s="81"/>
      <c r="N2738" s="81"/>
      <c r="O2738" s="81"/>
      <c r="P2738" s="81"/>
      <c r="Q2738" s="81"/>
      <c r="R2738" s="81"/>
      <c r="S2738" s="81"/>
      <c r="T2738" s="81"/>
      <c r="U2738" s="81"/>
      <c r="V2738" s="94"/>
      <c r="W2738" s="94"/>
    </row>
    <row r="2739" spans="1:23" ht="21" customHeight="1">
      <c r="A2739">
        <f>Table4[[#This Row],[Column1]]</f>
        <v>0</v>
      </c>
      <c r="B2739">
        <f>Table4[[#This Row],[Column2]]</f>
        <v>0</v>
      </c>
      <c r="C2739" s="81"/>
      <c r="D2739" s="81"/>
      <c r="E2739" s="81"/>
      <c r="F2739" s="81"/>
      <c r="G2739" s="81"/>
      <c r="H2739" s="81"/>
      <c r="I2739" s="81"/>
      <c r="J2739" s="81"/>
      <c r="K2739" s="81"/>
      <c r="L2739" s="81"/>
      <c r="M2739" s="81"/>
      <c r="N2739" s="81"/>
      <c r="O2739" s="81"/>
      <c r="P2739" s="81"/>
      <c r="Q2739" s="81"/>
      <c r="R2739" s="81"/>
      <c r="S2739" s="81"/>
      <c r="T2739" s="81"/>
      <c r="U2739" s="81"/>
      <c r="V2739" s="94"/>
      <c r="W2739" s="94"/>
    </row>
    <row r="2740" spans="1:23" ht="21" customHeight="1">
      <c r="A2740">
        <f>Table4[[#This Row],[Column1]]</f>
        <v>0</v>
      </c>
      <c r="B2740">
        <f>Table4[[#This Row],[Column2]]</f>
        <v>0</v>
      </c>
      <c r="C2740" s="81"/>
      <c r="D2740" s="81"/>
      <c r="E2740" s="81"/>
      <c r="F2740" s="81"/>
      <c r="G2740" s="81"/>
      <c r="H2740" s="81"/>
      <c r="I2740" s="81"/>
      <c r="J2740" s="81"/>
      <c r="K2740" s="81"/>
      <c r="L2740" s="81"/>
      <c r="M2740" s="81"/>
      <c r="N2740" s="81"/>
      <c r="O2740" s="81"/>
      <c r="P2740" s="81"/>
      <c r="Q2740" s="81"/>
      <c r="R2740" s="81"/>
      <c r="S2740" s="81"/>
      <c r="T2740" s="81"/>
      <c r="U2740" s="81"/>
      <c r="V2740" s="94"/>
      <c r="W2740" s="94"/>
    </row>
    <row r="2741" spans="1:23" ht="21" customHeight="1">
      <c r="A2741">
        <f>Table4[[#This Row],[Column1]]</f>
        <v>0</v>
      </c>
      <c r="B2741">
        <f>Table4[[#This Row],[Column2]]</f>
        <v>0</v>
      </c>
      <c r="C2741" s="81"/>
      <c r="D2741" s="81"/>
      <c r="E2741" s="81"/>
      <c r="F2741" s="81"/>
      <c r="G2741" s="81"/>
      <c r="H2741" s="81"/>
      <c r="I2741" s="81"/>
      <c r="J2741" s="81"/>
      <c r="K2741" s="81"/>
      <c r="L2741" s="81"/>
      <c r="M2741" s="81"/>
      <c r="N2741" s="81"/>
      <c r="O2741" s="81"/>
      <c r="P2741" s="81"/>
      <c r="Q2741" s="81"/>
      <c r="R2741" s="81"/>
      <c r="S2741" s="81"/>
      <c r="T2741" s="81"/>
      <c r="U2741" s="81"/>
      <c r="V2741" s="94"/>
      <c r="W2741" s="94"/>
    </row>
    <row r="2742" spans="1:23" ht="21" customHeight="1">
      <c r="A2742">
        <f>Table4[[#This Row],[Column1]]</f>
        <v>0</v>
      </c>
      <c r="B2742">
        <f>Table4[[#This Row],[Column2]]</f>
        <v>0</v>
      </c>
      <c r="C2742" s="81"/>
      <c r="D2742" s="81"/>
      <c r="E2742" s="81"/>
      <c r="F2742" s="81"/>
      <c r="G2742" s="81"/>
      <c r="H2742" s="81"/>
      <c r="I2742" s="81"/>
      <c r="J2742" s="81"/>
      <c r="K2742" s="81"/>
      <c r="L2742" s="81"/>
      <c r="M2742" s="81"/>
      <c r="N2742" s="81"/>
      <c r="O2742" s="81"/>
      <c r="P2742" s="81"/>
      <c r="Q2742" s="81"/>
      <c r="R2742" s="81"/>
      <c r="S2742" s="81"/>
      <c r="T2742" s="81"/>
      <c r="U2742" s="81"/>
      <c r="V2742" s="94"/>
      <c r="W2742" s="94"/>
    </row>
    <row r="2743" spans="1:23" ht="21" customHeight="1">
      <c r="A2743">
        <f>Table4[[#This Row],[Column1]]</f>
        <v>0</v>
      </c>
      <c r="B2743">
        <f>Table4[[#This Row],[Column2]]</f>
        <v>0</v>
      </c>
      <c r="C2743" s="81"/>
      <c r="D2743" s="81"/>
      <c r="E2743" s="81"/>
      <c r="F2743" s="81"/>
      <c r="G2743" s="81"/>
      <c r="H2743" s="81"/>
      <c r="I2743" s="81"/>
      <c r="J2743" s="81"/>
      <c r="K2743" s="81"/>
      <c r="L2743" s="81"/>
      <c r="M2743" s="81"/>
      <c r="N2743" s="81"/>
      <c r="O2743" s="81"/>
      <c r="P2743" s="81"/>
      <c r="Q2743" s="81"/>
      <c r="R2743" s="81"/>
      <c r="S2743" s="81"/>
      <c r="T2743" s="81"/>
      <c r="U2743" s="81"/>
      <c r="V2743" s="94"/>
      <c r="W2743" s="94"/>
    </row>
    <row r="2744" spans="1:23" ht="21" customHeight="1">
      <c r="A2744">
        <f>Table4[[#This Row],[Column1]]</f>
        <v>0</v>
      </c>
      <c r="B2744">
        <f>Table4[[#This Row],[Column2]]</f>
        <v>0</v>
      </c>
      <c r="C2744" s="81"/>
      <c r="D2744" s="81"/>
      <c r="E2744" s="81"/>
      <c r="F2744" s="81"/>
      <c r="G2744" s="81"/>
      <c r="H2744" s="81"/>
      <c r="I2744" s="81"/>
      <c r="J2744" s="81"/>
      <c r="K2744" s="81"/>
      <c r="L2744" s="81"/>
      <c r="M2744" s="81"/>
      <c r="N2744" s="81"/>
      <c r="O2744" s="81"/>
      <c r="P2744" s="81"/>
      <c r="Q2744" s="81"/>
      <c r="R2744" s="81"/>
      <c r="S2744" s="81"/>
      <c r="T2744" s="81"/>
      <c r="U2744" s="81"/>
      <c r="V2744" s="94"/>
      <c r="W2744" s="94"/>
    </row>
    <row r="2745" spans="1:23" ht="21" customHeight="1">
      <c r="A2745">
        <f>Table4[[#This Row],[Column1]]</f>
        <v>0</v>
      </c>
      <c r="B2745">
        <f>Table4[[#This Row],[Column2]]</f>
        <v>0</v>
      </c>
      <c r="C2745" s="81"/>
      <c r="D2745" s="81"/>
      <c r="E2745" s="81"/>
      <c r="F2745" s="81"/>
      <c r="G2745" s="81"/>
      <c r="H2745" s="81"/>
      <c r="I2745" s="81"/>
      <c r="J2745" s="81"/>
      <c r="K2745" s="81"/>
      <c r="L2745" s="81"/>
      <c r="M2745" s="81"/>
      <c r="N2745" s="81"/>
      <c r="O2745" s="81"/>
      <c r="P2745" s="81"/>
      <c r="Q2745" s="81"/>
      <c r="R2745" s="81"/>
      <c r="S2745" s="81"/>
      <c r="T2745" s="81"/>
      <c r="U2745" s="81"/>
      <c r="V2745" s="94"/>
      <c r="W2745" s="94"/>
    </row>
    <row r="2746" spans="1:23" ht="21" customHeight="1">
      <c r="A2746">
        <f>Table4[[#This Row],[Column1]]</f>
        <v>0</v>
      </c>
      <c r="B2746">
        <f>Table4[[#This Row],[Column2]]</f>
        <v>0</v>
      </c>
      <c r="C2746" s="81"/>
      <c r="D2746" s="81"/>
      <c r="E2746" s="81"/>
      <c r="F2746" s="81"/>
      <c r="G2746" s="81"/>
      <c r="H2746" s="81"/>
      <c r="I2746" s="81"/>
      <c r="J2746" s="81"/>
      <c r="K2746" s="81"/>
      <c r="L2746" s="81"/>
      <c r="M2746" s="81"/>
      <c r="N2746" s="81"/>
      <c r="O2746" s="81"/>
      <c r="P2746" s="81"/>
      <c r="Q2746" s="81"/>
      <c r="R2746" s="81"/>
      <c r="S2746" s="81"/>
      <c r="T2746" s="81"/>
      <c r="U2746" s="81"/>
      <c r="V2746" s="94"/>
      <c r="W2746" s="94"/>
    </row>
    <row r="2747" spans="1:23" ht="21" customHeight="1">
      <c r="A2747">
        <f>Table4[[#This Row],[Column1]]</f>
        <v>0</v>
      </c>
      <c r="B2747">
        <f>Table4[[#This Row],[Column2]]</f>
        <v>0</v>
      </c>
      <c r="C2747" s="81"/>
      <c r="D2747" s="81"/>
      <c r="E2747" s="81"/>
      <c r="F2747" s="81"/>
      <c r="G2747" s="81"/>
      <c r="H2747" s="81"/>
      <c r="I2747" s="81"/>
      <c r="J2747" s="81"/>
      <c r="K2747" s="81"/>
      <c r="L2747" s="81"/>
      <c r="M2747" s="81"/>
      <c r="N2747" s="81"/>
      <c r="O2747" s="81"/>
      <c r="P2747" s="81"/>
      <c r="Q2747" s="81"/>
      <c r="R2747" s="81"/>
      <c r="S2747" s="81"/>
      <c r="T2747" s="81"/>
      <c r="U2747" s="81"/>
      <c r="V2747" s="94"/>
      <c r="W2747" s="94"/>
    </row>
    <row r="2748" spans="1:23" ht="21" customHeight="1">
      <c r="A2748">
        <f>Table4[[#This Row],[Column1]]</f>
        <v>0</v>
      </c>
      <c r="B2748">
        <f>Table4[[#This Row],[Column2]]</f>
        <v>0</v>
      </c>
      <c r="C2748" s="81"/>
      <c r="D2748" s="81"/>
      <c r="E2748" s="81"/>
      <c r="F2748" s="81"/>
      <c r="G2748" s="81"/>
      <c r="H2748" s="81"/>
      <c r="I2748" s="81"/>
      <c r="J2748" s="81"/>
      <c r="K2748" s="81"/>
      <c r="L2748" s="81"/>
      <c r="M2748" s="81"/>
      <c r="N2748" s="81"/>
      <c r="O2748" s="81"/>
      <c r="P2748" s="81"/>
      <c r="Q2748" s="81"/>
      <c r="R2748" s="81"/>
      <c r="S2748" s="81"/>
      <c r="T2748" s="81"/>
      <c r="U2748" s="81"/>
      <c r="V2748" s="94"/>
      <c r="W2748" s="94"/>
    </row>
    <row r="2749" spans="1:23" ht="21" customHeight="1">
      <c r="A2749">
        <f>Table4[[#This Row],[Column1]]</f>
        <v>0</v>
      </c>
      <c r="B2749">
        <f>Table4[[#This Row],[Column2]]</f>
        <v>0</v>
      </c>
      <c r="C2749" s="81"/>
      <c r="D2749" s="81"/>
      <c r="E2749" s="81"/>
      <c r="F2749" s="81"/>
      <c r="G2749" s="81"/>
      <c r="H2749" s="81"/>
      <c r="I2749" s="81"/>
      <c r="J2749" s="81"/>
      <c r="K2749" s="81"/>
      <c r="L2749" s="81"/>
      <c r="M2749" s="81"/>
      <c r="N2749" s="81"/>
      <c r="O2749" s="81"/>
      <c r="P2749" s="81"/>
      <c r="Q2749" s="81"/>
      <c r="R2749" s="81"/>
      <c r="S2749" s="81"/>
      <c r="T2749" s="81"/>
      <c r="U2749" s="81"/>
      <c r="V2749" s="94"/>
      <c r="W2749" s="94"/>
    </row>
    <row r="2750" spans="1:23" ht="21" customHeight="1">
      <c r="A2750">
        <f>Table4[[#This Row],[Column1]]</f>
        <v>0</v>
      </c>
      <c r="B2750">
        <f>Table4[[#This Row],[Column2]]</f>
        <v>0</v>
      </c>
      <c r="C2750" s="81"/>
      <c r="D2750" s="81"/>
      <c r="E2750" s="81"/>
      <c r="F2750" s="81"/>
      <c r="G2750" s="81"/>
      <c r="H2750" s="81"/>
      <c r="I2750" s="81"/>
      <c r="J2750" s="81"/>
      <c r="K2750" s="81"/>
      <c r="L2750" s="81"/>
      <c r="M2750" s="81"/>
      <c r="N2750" s="81"/>
      <c r="O2750" s="81"/>
      <c r="P2750" s="81"/>
      <c r="Q2750" s="81"/>
      <c r="R2750" s="81"/>
      <c r="S2750" s="81"/>
      <c r="T2750" s="81"/>
      <c r="U2750" s="81"/>
      <c r="V2750" s="94"/>
      <c r="W2750" s="94"/>
    </row>
    <row r="2751" spans="1:23" ht="21" customHeight="1">
      <c r="A2751">
        <f>Table4[[#This Row],[Column1]]</f>
        <v>0</v>
      </c>
      <c r="B2751">
        <f>Table4[[#This Row],[Column2]]</f>
        <v>0</v>
      </c>
      <c r="C2751" s="81"/>
      <c r="D2751" s="81"/>
      <c r="E2751" s="81"/>
      <c r="F2751" s="81"/>
      <c r="G2751" s="81"/>
      <c r="H2751" s="81"/>
      <c r="I2751" s="81"/>
      <c r="J2751" s="81"/>
      <c r="K2751" s="81"/>
      <c r="L2751" s="81"/>
      <c r="M2751" s="81"/>
      <c r="N2751" s="81"/>
      <c r="O2751" s="81"/>
      <c r="P2751" s="81"/>
      <c r="Q2751" s="81"/>
      <c r="R2751" s="81"/>
      <c r="S2751" s="81"/>
      <c r="T2751" s="81"/>
      <c r="U2751" s="81"/>
      <c r="V2751" s="94"/>
      <c r="W2751" s="94"/>
    </row>
    <row r="2752" spans="1:23" ht="21" customHeight="1">
      <c r="A2752">
        <f>Table4[[#This Row],[Column1]]</f>
        <v>0</v>
      </c>
      <c r="B2752">
        <f>Table4[[#This Row],[Column2]]</f>
        <v>0</v>
      </c>
      <c r="C2752" s="81"/>
      <c r="D2752" s="81"/>
      <c r="E2752" s="81"/>
      <c r="F2752" s="81"/>
      <c r="G2752" s="81"/>
      <c r="H2752" s="81"/>
      <c r="I2752" s="81"/>
      <c r="J2752" s="81"/>
      <c r="K2752" s="81"/>
      <c r="L2752" s="81"/>
      <c r="M2752" s="81"/>
      <c r="N2752" s="81"/>
      <c r="O2752" s="81"/>
      <c r="P2752" s="81"/>
      <c r="Q2752" s="81"/>
      <c r="R2752" s="81"/>
      <c r="S2752" s="81"/>
      <c r="T2752" s="81"/>
      <c r="U2752" s="81"/>
      <c r="V2752" s="94"/>
      <c r="W2752" s="94"/>
    </row>
    <row r="2753" spans="1:23" ht="21" customHeight="1">
      <c r="A2753">
        <f>Table4[[#This Row],[Column1]]</f>
        <v>0</v>
      </c>
      <c r="B2753">
        <f>Table4[[#This Row],[Column2]]</f>
        <v>0</v>
      </c>
      <c r="C2753" s="81"/>
      <c r="D2753" s="81"/>
      <c r="E2753" s="81"/>
      <c r="F2753" s="81"/>
      <c r="G2753" s="81"/>
      <c r="H2753" s="81"/>
      <c r="I2753" s="81"/>
      <c r="J2753" s="81"/>
      <c r="K2753" s="81"/>
      <c r="L2753" s="81"/>
      <c r="M2753" s="81"/>
      <c r="N2753" s="81"/>
      <c r="O2753" s="81"/>
      <c r="P2753" s="81"/>
      <c r="Q2753" s="81"/>
      <c r="R2753" s="81"/>
      <c r="S2753" s="81"/>
      <c r="T2753" s="81"/>
      <c r="U2753" s="81"/>
      <c r="V2753" s="94"/>
      <c r="W2753" s="94"/>
    </row>
    <row r="2754" spans="1:23" ht="21" customHeight="1">
      <c r="A2754">
        <f>Table4[[#This Row],[Column1]]</f>
        <v>0</v>
      </c>
      <c r="B2754">
        <f>Table4[[#This Row],[Column2]]</f>
        <v>0</v>
      </c>
      <c r="C2754" s="81"/>
      <c r="D2754" s="81"/>
      <c r="E2754" s="81"/>
      <c r="F2754" s="81"/>
      <c r="G2754" s="81"/>
      <c r="H2754" s="81"/>
      <c r="I2754" s="81"/>
      <c r="J2754" s="81"/>
      <c r="K2754" s="81"/>
      <c r="L2754" s="81"/>
      <c r="M2754" s="81"/>
      <c r="N2754" s="81"/>
      <c r="O2754" s="81"/>
      <c r="P2754" s="81"/>
      <c r="Q2754" s="81"/>
      <c r="R2754" s="81"/>
      <c r="S2754" s="81"/>
      <c r="T2754" s="81"/>
      <c r="U2754" s="81"/>
      <c r="V2754" s="94"/>
      <c r="W2754" s="94"/>
    </row>
    <row r="2755" spans="1:23" ht="21" customHeight="1">
      <c r="A2755">
        <f>Table4[[#This Row],[Column1]]</f>
        <v>0</v>
      </c>
      <c r="B2755">
        <f>Table4[[#This Row],[Column2]]</f>
        <v>0</v>
      </c>
      <c r="C2755" s="81"/>
      <c r="D2755" s="81"/>
      <c r="E2755" s="81"/>
      <c r="F2755" s="81"/>
      <c r="G2755" s="81"/>
      <c r="H2755" s="81"/>
      <c r="I2755" s="81"/>
      <c r="J2755" s="81"/>
      <c r="K2755" s="81"/>
      <c r="L2755" s="81"/>
      <c r="M2755" s="81"/>
      <c r="N2755" s="81"/>
      <c r="O2755" s="81"/>
      <c r="P2755" s="81"/>
      <c r="Q2755" s="81"/>
      <c r="R2755" s="81"/>
      <c r="S2755" s="81"/>
      <c r="T2755" s="81"/>
      <c r="U2755" s="81"/>
      <c r="V2755" s="94"/>
      <c r="W2755" s="94"/>
    </row>
    <row r="2756" spans="1:23" ht="21" customHeight="1">
      <c r="A2756">
        <f>Table4[[#This Row],[Column1]]</f>
        <v>0</v>
      </c>
      <c r="B2756">
        <f>Table4[[#This Row],[Column2]]</f>
        <v>0</v>
      </c>
      <c r="C2756" s="81"/>
      <c r="D2756" s="81"/>
      <c r="E2756" s="81"/>
      <c r="F2756" s="81"/>
      <c r="G2756" s="81"/>
      <c r="H2756" s="81"/>
      <c r="I2756" s="81"/>
      <c r="J2756" s="81"/>
      <c r="K2756" s="81"/>
      <c r="L2756" s="81"/>
      <c r="M2756" s="81"/>
      <c r="N2756" s="81"/>
      <c r="O2756" s="81"/>
      <c r="P2756" s="81"/>
      <c r="Q2756" s="81"/>
      <c r="R2756" s="81"/>
      <c r="S2756" s="81"/>
      <c r="T2756" s="81"/>
      <c r="U2756" s="81"/>
      <c r="V2756" s="94"/>
      <c r="W2756" s="94"/>
    </row>
    <row r="2757" spans="1:23" ht="21" customHeight="1">
      <c r="A2757">
        <f>Table4[[#This Row],[Column1]]</f>
        <v>0</v>
      </c>
      <c r="B2757">
        <f>Table4[[#This Row],[Column2]]</f>
        <v>0</v>
      </c>
      <c r="C2757" s="81"/>
      <c r="D2757" s="81"/>
      <c r="E2757" s="81"/>
      <c r="F2757" s="81"/>
      <c r="G2757" s="81"/>
      <c r="H2757" s="81"/>
      <c r="I2757" s="81"/>
      <c r="J2757" s="81"/>
      <c r="K2757" s="81"/>
      <c r="L2757" s="81"/>
      <c r="M2757" s="81"/>
      <c r="N2757" s="81"/>
      <c r="O2757" s="81"/>
      <c r="P2757" s="81"/>
      <c r="Q2757" s="81"/>
      <c r="R2757" s="81"/>
      <c r="S2757" s="81"/>
      <c r="T2757" s="81"/>
      <c r="U2757" s="81"/>
      <c r="V2757" s="94"/>
      <c r="W2757" s="94"/>
    </row>
    <row r="2758" spans="1:23" ht="21" customHeight="1">
      <c r="A2758">
        <f>Table4[[#This Row],[Column1]]</f>
        <v>0</v>
      </c>
      <c r="B2758">
        <f>Table4[[#This Row],[Column2]]</f>
        <v>0</v>
      </c>
      <c r="C2758" s="81"/>
      <c r="D2758" s="81"/>
      <c r="E2758" s="81"/>
      <c r="F2758" s="81"/>
      <c r="G2758" s="81"/>
      <c r="H2758" s="81"/>
      <c r="I2758" s="81"/>
      <c r="J2758" s="81"/>
      <c r="K2758" s="81"/>
      <c r="L2758" s="81"/>
      <c r="M2758" s="81"/>
      <c r="N2758" s="81"/>
      <c r="O2758" s="81"/>
      <c r="P2758" s="81"/>
      <c r="Q2758" s="81"/>
      <c r="R2758" s="81"/>
      <c r="S2758" s="81"/>
      <c r="T2758" s="81"/>
      <c r="U2758" s="81"/>
      <c r="V2758" s="94"/>
      <c r="W2758" s="94"/>
    </row>
    <row r="2759" spans="1:23" ht="21" customHeight="1">
      <c r="A2759">
        <f>Table4[[#This Row],[Column1]]</f>
        <v>0</v>
      </c>
      <c r="B2759">
        <f>Table4[[#This Row],[Column2]]</f>
        <v>0</v>
      </c>
      <c r="C2759" s="81"/>
      <c r="D2759" s="81"/>
      <c r="E2759" s="81"/>
      <c r="F2759" s="81"/>
      <c r="G2759" s="81"/>
      <c r="H2759" s="81"/>
      <c r="I2759" s="81"/>
      <c r="J2759" s="81"/>
      <c r="K2759" s="81"/>
      <c r="L2759" s="81"/>
      <c r="M2759" s="81"/>
      <c r="N2759" s="81"/>
      <c r="O2759" s="81"/>
      <c r="P2759" s="81"/>
      <c r="Q2759" s="81"/>
      <c r="R2759" s="81"/>
      <c r="S2759" s="81"/>
      <c r="T2759" s="81"/>
      <c r="U2759" s="81"/>
      <c r="V2759" s="94"/>
      <c r="W2759" s="94"/>
    </row>
    <row r="2760" spans="1:23" ht="21" customHeight="1">
      <c r="A2760">
        <f>Table4[[#This Row],[Column1]]</f>
        <v>0</v>
      </c>
      <c r="B2760">
        <f>Table4[[#This Row],[Column2]]</f>
        <v>0</v>
      </c>
      <c r="C2760" s="81"/>
      <c r="D2760" s="81"/>
      <c r="E2760" s="81"/>
      <c r="F2760" s="81"/>
      <c r="G2760" s="81"/>
      <c r="H2760" s="81"/>
      <c r="I2760" s="81"/>
      <c r="J2760" s="81"/>
      <c r="K2760" s="81"/>
      <c r="L2760" s="81"/>
      <c r="M2760" s="81"/>
      <c r="N2760" s="81"/>
      <c r="O2760" s="81"/>
      <c r="P2760" s="81"/>
      <c r="Q2760" s="81"/>
      <c r="R2760" s="81"/>
      <c r="S2760" s="81"/>
      <c r="T2760" s="81"/>
      <c r="U2760" s="81"/>
      <c r="V2760" s="94"/>
      <c r="W2760" s="94"/>
    </row>
    <row r="2761" spans="1:23" ht="21" customHeight="1">
      <c r="A2761">
        <f>Table4[[#This Row],[Column1]]</f>
        <v>0</v>
      </c>
      <c r="B2761">
        <f>Table4[[#This Row],[Column2]]</f>
        <v>0</v>
      </c>
      <c r="C2761" s="81"/>
      <c r="D2761" s="81"/>
      <c r="E2761" s="81"/>
      <c r="F2761" s="81"/>
      <c r="G2761" s="81"/>
      <c r="H2761" s="81"/>
      <c r="I2761" s="81"/>
      <c r="J2761" s="81"/>
      <c r="K2761" s="81"/>
      <c r="L2761" s="81"/>
      <c r="M2761" s="81"/>
      <c r="N2761" s="81"/>
      <c r="O2761" s="81"/>
      <c r="P2761" s="81"/>
      <c r="Q2761" s="81"/>
      <c r="R2761" s="81"/>
      <c r="S2761" s="81"/>
      <c r="T2761" s="81"/>
      <c r="U2761" s="81"/>
      <c r="V2761" s="94"/>
      <c r="W2761" s="94"/>
    </row>
    <row r="2762" spans="1:23" ht="21" customHeight="1">
      <c r="A2762">
        <f>Table4[[#This Row],[Column1]]</f>
        <v>0</v>
      </c>
      <c r="B2762">
        <f>Table4[[#This Row],[Column2]]</f>
        <v>0</v>
      </c>
      <c r="C2762" s="81"/>
      <c r="D2762" s="81"/>
      <c r="E2762" s="81"/>
      <c r="F2762" s="81"/>
      <c r="G2762" s="81"/>
      <c r="H2762" s="81"/>
      <c r="I2762" s="81"/>
      <c r="J2762" s="81"/>
      <c r="K2762" s="81"/>
      <c r="L2762" s="81"/>
      <c r="M2762" s="81"/>
      <c r="N2762" s="81"/>
      <c r="O2762" s="81"/>
      <c r="P2762" s="81"/>
      <c r="Q2762" s="81"/>
      <c r="R2762" s="81"/>
      <c r="S2762" s="81"/>
      <c r="T2762" s="81"/>
      <c r="U2762" s="81"/>
      <c r="V2762" s="94"/>
      <c r="W2762" s="94"/>
    </row>
    <row r="2763" spans="1:23" ht="21" customHeight="1">
      <c r="A2763">
        <f>Table4[[#This Row],[Column1]]</f>
        <v>0</v>
      </c>
      <c r="B2763">
        <f>Table4[[#This Row],[Column2]]</f>
        <v>0</v>
      </c>
      <c r="C2763" s="81"/>
      <c r="D2763" s="81"/>
      <c r="E2763" s="81"/>
      <c r="F2763" s="81"/>
      <c r="G2763" s="81"/>
      <c r="H2763" s="81"/>
      <c r="I2763" s="81"/>
      <c r="J2763" s="81"/>
      <c r="K2763" s="81"/>
      <c r="L2763" s="81"/>
      <c r="M2763" s="81"/>
      <c r="N2763" s="81"/>
      <c r="O2763" s="81"/>
      <c r="P2763" s="81"/>
      <c r="Q2763" s="81"/>
      <c r="R2763" s="81"/>
      <c r="S2763" s="81"/>
      <c r="T2763" s="81"/>
      <c r="U2763" s="81"/>
      <c r="V2763" s="94"/>
      <c r="W2763" s="94"/>
    </row>
    <row r="2764" spans="1:23" ht="21" customHeight="1">
      <c r="A2764">
        <f>Table4[[#This Row],[Column1]]</f>
        <v>0</v>
      </c>
      <c r="B2764">
        <f>Table4[[#This Row],[Column2]]</f>
        <v>0</v>
      </c>
      <c r="C2764" s="81"/>
      <c r="D2764" s="81"/>
      <c r="E2764" s="81"/>
      <c r="F2764" s="81"/>
      <c r="G2764" s="81"/>
      <c r="H2764" s="81"/>
      <c r="I2764" s="81"/>
      <c r="J2764" s="81"/>
      <c r="K2764" s="81"/>
      <c r="L2764" s="81"/>
      <c r="M2764" s="81"/>
      <c r="N2764" s="81"/>
      <c r="O2764" s="81"/>
      <c r="P2764" s="81"/>
      <c r="Q2764" s="81"/>
      <c r="R2764" s="81"/>
      <c r="S2764" s="81"/>
      <c r="T2764" s="81"/>
      <c r="U2764" s="81"/>
      <c r="V2764" s="94"/>
      <c r="W2764" s="94"/>
    </row>
    <row r="2765" spans="1:23" ht="21" customHeight="1">
      <c r="A2765">
        <f>Table4[[#This Row],[Column1]]</f>
        <v>0</v>
      </c>
      <c r="B2765">
        <f>Table4[[#This Row],[Column2]]</f>
        <v>0</v>
      </c>
      <c r="C2765" s="81"/>
      <c r="D2765" s="81"/>
      <c r="E2765" s="81"/>
      <c r="F2765" s="81"/>
      <c r="G2765" s="81"/>
      <c r="H2765" s="81"/>
      <c r="I2765" s="81"/>
      <c r="J2765" s="81"/>
      <c r="K2765" s="81"/>
      <c r="L2765" s="81"/>
      <c r="M2765" s="81"/>
      <c r="N2765" s="81"/>
      <c r="O2765" s="81"/>
      <c r="P2765" s="81"/>
      <c r="Q2765" s="81"/>
      <c r="R2765" s="81"/>
      <c r="S2765" s="81"/>
      <c r="T2765" s="81"/>
      <c r="U2765" s="81"/>
      <c r="V2765" s="94"/>
      <c r="W2765" s="94"/>
    </row>
    <row r="2766" spans="1:23" ht="21" customHeight="1">
      <c r="A2766">
        <f>Table4[[#This Row],[Column1]]</f>
        <v>0</v>
      </c>
      <c r="B2766">
        <f>Table4[[#This Row],[Column2]]</f>
        <v>0</v>
      </c>
      <c r="C2766" s="81"/>
      <c r="D2766" s="81"/>
      <c r="E2766" s="81"/>
      <c r="F2766" s="81"/>
      <c r="G2766" s="81"/>
      <c r="H2766" s="81"/>
      <c r="I2766" s="81"/>
      <c r="J2766" s="81"/>
      <c r="K2766" s="81"/>
      <c r="L2766" s="81"/>
      <c r="M2766" s="81"/>
      <c r="N2766" s="81"/>
      <c r="O2766" s="81"/>
      <c r="P2766" s="81"/>
      <c r="Q2766" s="81"/>
      <c r="R2766" s="81"/>
      <c r="S2766" s="81"/>
      <c r="T2766" s="81"/>
      <c r="U2766" s="81"/>
      <c r="V2766" s="94"/>
      <c r="W2766" s="94"/>
    </row>
    <row r="2767" spans="1:23" ht="21" customHeight="1">
      <c r="A2767">
        <f>Table4[[#This Row],[Column1]]</f>
        <v>0</v>
      </c>
      <c r="B2767">
        <f>Table4[[#This Row],[Column2]]</f>
        <v>0</v>
      </c>
      <c r="C2767" s="81"/>
      <c r="D2767" s="81"/>
      <c r="E2767" s="81"/>
      <c r="F2767" s="81"/>
      <c r="G2767" s="81"/>
      <c r="H2767" s="81"/>
      <c r="I2767" s="81"/>
      <c r="J2767" s="81"/>
      <c r="K2767" s="81"/>
      <c r="L2767" s="81"/>
      <c r="M2767" s="81"/>
      <c r="N2767" s="81"/>
      <c r="O2767" s="81"/>
      <c r="P2767" s="81"/>
      <c r="Q2767" s="81"/>
      <c r="R2767" s="81"/>
      <c r="S2767" s="81"/>
      <c r="T2767" s="81"/>
      <c r="U2767" s="81"/>
      <c r="V2767" s="94"/>
      <c r="W2767" s="94"/>
    </row>
    <row r="2768" spans="1:23" ht="21" customHeight="1">
      <c r="A2768">
        <f>Table4[[#This Row],[Column1]]</f>
        <v>0</v>
      </c>
      <c r="B2768">
        <f>Table4[[#This Row],[Column2]]</f>
        <v>0</v>
      </c>
      <c r="C2768" s="81"/>
      <c r="D2768" s="81"/>
      <c r="E2768" s="81"/>
      <c r="F2768" s="81"/>
      <c r="G2768" s="81"/>
      <c r="H2768" s="81"/>
      <c r="I2768" s="81"/>
      <c r="J2768" s="81"/>
      <c r="K2768" s="81"/>
      <c r="L2768" s="81"/>
      <c r="M2768" s="81"/>
      <c r="N2768" s="81"/>
      <c r="O2768" s="81"/>
      <c r="P2768" s="81"/>
      <c r="Q2768" s="81"/>
      <c r="R2768" s="81"/>
      <c r="S2768" s="81"/>
      <c r="T2768" s="81"/>
      <c r="U2768" s="81"/>
      <c r="V2768" s="94"/>
      <c r="W2768" s="94"/>
    </row>
    <row r="2769" spans="1:23" ht="21" customHeight="1">
      <c r="A2769">
        <f>Table4[[#This Row],[Column1]]</f>
        <v>0</v>
      </c>
      <c r="B2769">
        <f>Table4[[#This Row],[Column2]]</f>
        <v>0</v>
      </c>
      <c r="C2769" s="81"/>
      <c r="D2769" s="81"/>
      <c r="E2769" s="81"/>
      <c r="F2769" s="81"/>
      <c r="G2769" s="81"/>
      <c r="H2769" s="81"/>
      <c r="I2769" s="81"/>
      <c r="J2769" s="81"/>
      <c r="K2769" s="81"/>
      <c r="L2769" s="81"/>
      <c r="M2769" s="81"/>
      <c r="N2769" s="81"/>
      <c r="O2769" s="81"/>
      <c r="P2769" s="81"/>
      <c r="Q2769" s="81"/>
      <c r="R2769" s="81"/>
      <c r="S2769" s="81"/>
      <c r="T2769" s="81"/>
      <c r="U2769" s="81"/>
      <c r="V2769" s="94"/>
      <c r="W2769" s="94"/>
    </row>
    <row r="2770" spans="1:23" ht="21" customHeight="1">
      <c r="A2770">
        <f>Table4[[#This Row],[Column1]]</f>
        <v>0</v>
      </c>
      <c r="B2770">
        <f>Table4[[#This Row],[Column2]]</f>
        <v>0</v>
      </c>
      <c r="C2770" s="81"/>
      <c r="D2770" s="81"/>
      <c r="E2770" s="81"/>
      <c r="F2770" s="81"/>
      <c r="G2770" s="81"/>
      <c r="H2770" s="81"/>
      <c r="I2770" s="81"/>
      <c r="J2770" s="81"/>
      <c r="K2770" s="81"/>
      <c r="L2770" s="81"/>
      <c r="M2770" s="81"/>
      <c r="N2770" s="81"/>
      <c r="O2770" s="81"/>
      <c r="P2770" s="81"/>
      <c r="Q2770" s="81"/>
      <c r="R2770" s="81"/>
      <c r="S2770" s="81"/>
      <c r="T2770" s="81"/>
      <c r="U2770" s="81"/>
      <c r="V2770" s="94"/>
      <c r="W2770" s="94"/>
    </row>
    <row r="2771" spans="1:23" ht="21" customHeight="1">
      <c r="A2771">
        <f>Table4[[#This Row],[Column1]]</f>
        <v>0</v>
      </c>
      <c r="B2771">
        <f>Table4[[#This Row],[Column2]]</f>
        <v>0</v>
      </c>
      <c r="C2771" s="81"/>
      <c r="D2771" s="81"/>
      <c r="E2771" s="81"/>
      <c r="F2771" s="81"/>
      <c r="G2771" s="81"/>
      <c r="H2771" s="81"/>
      <c r="I2771" s="81"/>
      <c r="J2771" s="81"/>
      <c r="K2771" s="81"/>
      <c r="L2771" s="81"/>
      <c r="M2771" s="81"/>
      <c r="N2771" s="81"/>
      <c r="O2771" s="81"/>
      <c r="P2771" s="81"/>
      <c r="Q2771" s="81"/>
      <c r="R2771" s="81"/>
      <c r="S2771" s="81"/>
      <c r="T2771" s="81"/>
      <c r="U2771" s="81"/>
      <c r="V2771" s="94"/>
      <c r="W2771" s="94"/>
    </row>
    <row r="2772" spans="1:23" ht="21" customHeight="1">
      <c r="A2772">
        <f>Table4[[#This Row],[Column1]]</f>
        <v>0</v>
      </c>
      <c r="B2772">
        <f>Table4[[#This Row],[Column2]]</f>
        <v>0</v>
      </c>
      <c r="C2772" s="81"/>
      <c r="D2772" s="81"/>
      <c r="E2772" s="81"/>
      <c r="F2772" s="81"/>
      <c r="G2772" s="81"/>
      <c r="H2772" s="81"/>
      <c r="I2772" s="81"/>
      <c r="J2772" s="81"/>
      <c r="K2772" s="81"/>
      <c r="L2772" s="81"/>
      <c r="M2772" s="81"/>
      <c r="N2772" s="81"/>
      <c r="O2772" s="81"/>
      <c r="P2772" s="81"/>
      <c r="Q2772" s="81"/>
      <c r="R2772" s="81"/>
      <c r="S2772" s="81"/>
      <c r="T2772" s="81"/>
      <c r="U2772" s="81"/>
      <c r="V2772" s="94"/>
      <c r="W2772" s="94"/>
    </row>
    <row r="2773" spans="1:23" ht="21" customHeight="1">
      <c r="A2773">
        <f>Table4[[#This Row],[Column1]]</f>
        <v>0</v>
      </c>
      <c r="B2773">
        <f>Table4[[#This Row],[Column2]]</f>
        <v>0</v>
      </c>
      <c r="C2773" s="81"/>
      <c r="D2773" s="81"/>
      <c r="E2773" s="81"/>
      <c r="F2773" s="81"/>
      <c r="G2773" s="81"/>
      <c r="H2773" s="81"/>
      <c r="I2773" s="81"/>
      <c r="J2773" s="81"/>
      <c r="K2773" s="81"/>
      <c r="L2773" s="81"/>
      <c r="M2773" s="81"/>
      <c r="N2773" s="81"/>
      <c r="O2773" s="81"/>
      <c r="P2773" s="81"/>
      <c r="Q2773" s="81"/>
      <c r="R2773" s="81"/>
      <c r="S2773" s="81"/>
      <c r="T2773" s="81"/>
      <c r="U2773" s="81"/>
      <c r="V2773" s="94"/>
      <c r="W2773" s="94"/>
    </row>
    <row r="2774" spans="1:23" ht="21" customHeight="1">
      <c r="A2774">
        <f>Table4[[#This Row],[Column1]]</f>
        <v>0</v>
      </c>
      <c r="B2774">
        <f>Table4[[#This Row],[Column2]]</f>
        <v>0</v>
      </c>
      <c r="C2774" s="81"/>
      <c r="D2774" s="81"/>
      <c r="E2774" s="81"/>
      <c r="F2774" s="81"/>
      <c r="G2774" s="81"/>
      <c r="H2774" s="81"/>
      <c r="I2774" s="81"/>
      <c r="J2774" s="81"/>
      <c r="K2774" s="81"/>
      <c r="L2774" s="81"/>
      <c r="M2774" s="81"/>
      <c r="N2774" s="81"/>
      <c r="O2774" s="81"/>
      <c r="P2774" s="81"/>
      <c r="Q2774" s="81"/>
      <c r="R2774" s="81"/>
      <c r="S2774" s="81"/>
      <c r="T2774" s="81"/>
      <c r="U2774" s="81"/>
      <c r="V2774" s="94"/>
      <c r="W2774" s="94"/>
    </row>
    <row r="2775" spans="1:23" ht="21" customHeight="1">
      <c r="A2775">
        <f>Table4[[#This Row],[Column1]]</f>
        <v>0</v>
      </c>
      <c r="B2775">
        <f>Table4[[#This Row],[Column2]]</f>
        <v>0</v>
      </c>
      <c r="C2775" s="81"/>
      <c r="D2775" s="81"/>
      <c r="E2775" s="81"/>
      <c r="F2775" s="81"/>
      <c r="G2775" s="81"/>
      <c r="H2775" s="81"/>
      <c r="I2775" s="81"/>
      <c r="J2775" s="81"/>
      <c r="K2775" s="81"/>
      <c r="L2775" s="81"/>
      <c r="M2775" s="81"/>
      <c r="N2775" s="81"/>
      <c r="O2775" s="81"/>
      <c r="P2775" s="81"/>
      <c r="Q2775" s="81"/>
      <c r="R2775" s="81"/>
      <c r="S2775" s="81"/>
      <c r="T2775" s="81"/>
      <c r="U2775" s="81"/>
      <c r="V2775" s="94"/>
      <c r="W2775" s="94"/>
    </row>
    <row r="2776" spans="1:23" ht="21" customHeight="1">
      <c r="A2776">
        <f>Table4[[#This Row],[Column1]]</f>
        <v>0</v>
      </c>
      <c r="B2776">
        <f>Table4[[#This Row],[Column2]]</f>
        <v>0</v>
      </c>
      <c r="C2776" s="81"/>
      <c r="D2776" s="81"/>
      <c r="E2776" s="81"/>
      <c r="F2776" s="81"/>
      <c r="G2776" s="81"/>
      <c r="H2776" s="81"/>
      <c r="I2776" s="81"/>
      <c r="J2776" s="81"/>
      <c r="K2776" s="81"/>
      <c r="L2776" s="81"/>
      <c r="M2776" s="81"/>
      <c r="N2776" s="81"/>
      <c r="O2776" s="81"/>
      <c r="P2776" s="81"/>
      <c r="Q2776" s="81"/>
      <c r="R2776" s="81"/>
      <c r="S2776" s="81"/>
      <c r="T2776" s="81"/>
      <c r="U2776" s="81"/>
      <c r="V2776" s="94"/>
      <c r="W2776" s="94"/>
    </row>
    <row r="2777" spans="1:23" ht="21" customHeight="1">
      <c r="A2777">
        <f>Table4[[#This Row],[Column1]]</f>
        <v>0</v>
      </c>
      <c r="B2777">
        <f>Table4[[#This Row],[Column2]]</f>
        <v>0</v>
      </c>
      <c r="C2777" s="81"/>
      <c r="D2777" s="81"/>
      <c r="E2777" s="81"/>
      <c r="F2777" s="81"/>
      <c r="G2777" s="81"/>
      <c r="H2777" s="81"/>
      <c r="I2777" s="81"/>
      <c r="J2777" s="81"/>
      <c r="K2777" s="81"/>
      <c r="L2777" s="81"/>
      <c r="M2777" s="81"/>
      <c r="N2777" s="81"/>
      <c r="O2777" s="81"/>
      <c r="P2777" s="81"/>
      <c r="Q2777" s="81"/>
      <c r="R2777" s="81"/>
      <c r="S2777" s="81"/>
      <c r="T2777" s="81"/>
      <c r="U2777" s="81"/>
      <c r="V2777" s="94"/>
      <c r="W2777" s="94"/>
    </row>
    <row r="2778" spans="1:23" ht="21" customHeight="1">
      <c r="A2778">
        <f>Table4[[#This Row],[Column1]]</f>
        <v>0</v>
      </c>
      <c r="B2778">
        <f>Table4[[#This Row],[Column2]]</f>
        <v>0</v>
      </c>
      <c r="C2778" s="81"/>
      <c r="D2778" s="81"/>
      <c r="E2778" s="81"/>
      <c r="F2778" s="81"/>
      <c r="G2778" s="81"/>
      <c r="H2778" s="81"/>
      <c r="I2778" s="81"/>
      <c r="J2778" s="81"/>
      <c r="K2778" s="81"/>
      <c r="L2778" s="81"/>
      <c r="M2778" s="81"/>
      <c r="N2778" s="81"/>
      <c r="O2778" s="81"/>
      <c r="P2778" s="81"/>
      <c r="Q2778" s="81"/>
      <c r="R2778" s="81"/>
      <c r="S2778" s="81"/>
      <c r="T2778" s="81"/>
      <c r="U2778" s="81"/>
      <c r="V2778" s="94"/>
      <c r="W2778" s="94"/>
    </row>
    <row r="2779" spans="1:23" ht="21" customHeight="1">
      <c r="A2779">
        <f>Table4[[#This Row],[Column1]]</f>
        <v>0</v>
      </c>
      <c r="B2779">
        <f>Table4[[#This Row],[Column2]]</f>
        <v>0</v>
      </c>
      <c r="C2779" s="81"/>
      <c r="D2779" s="81"/>
      <c r="E2779" s="81"/>
      <c r="F2779" s="81"/>
      <c r="G2779" s="81"/>
      <c r="H2779" s="81"/>
      <c r="I2779" s="81"/>
      <c r="J2779" s="81"/>
      <c r="K2779" s="81"/>
      <c r="L2779" s="81"/>
      <c r="M2779" s="81"/>
      <c r="N2779" s="81"/>
      <c r="O2779" s="81"/>
      <c r="P2779" s="81"/>
      <c r="Q2779" s="81"/>
      <c r="R2779" s="81"/>
      <c r="S2779" s="81"/>
      <c r="T2779" s="81"/>
      <c r="U2779" s="81"/>
      <c r="V2779" s="94"/>
      <c r="W2779" s="94"/>
    </row>
    <row r="2780" spans="1:23" ht="21" customHeight="1">
      <c r="A2780">
        <f>Table4[[#This Row],[Column1]]</f>
        <v>0</v>
      </c>
      <c r="B2780">
        <f>Table4[[#This Row],[Column2]]</f>
        <v>0</v>
      </c>
      <c r="C2780" s="81"/>
      <c r="D2780" s="81"/>
      <c r="E2780" s="81"/>
      <c r="F2780" s="81"/>
      <c r="G2780" s="81"/>
      <c r="H2780" s="81"/>
      <c r="I2780" s="81"/>
      <c r="J2780" s="81"/>
      <c r="K2780" s="81"/>
      <c r="L2780" s="81"/>
      <c r="M2780" s="81"/>
      <c r="N2780" s="81"/>
      <c r="O2780" s="81"/>
      <c r="P2780" s="81"/>
      <c r="Q2780" s="81"/>
      <c r="R2780" s="81"/>
      <c r="S2780" s="81"/>
      <c r="T2780" s="81"/>
      <c r="U2780" s="81"/>
      <c r="V2780" s="94"/>
      <c r="W2780" s="94"/>
    </row>
    <row r="2781" spans="1:23" ht="21" customHeight="1">
      <c r="A2781">
        <f>Table4[[#This Row],[Column1]]</f>
        <v>0</v>
      </c>
      <c r="B2781">
        <f>Table4[[#This Row],[Column2]]</f>
        <v>0</v>
      </c>
      <c r="C2781" s="81"/>
      <c r="D2781" s="81"/>
      <c r="E2781" s="81"/>
      <c r="F2781" s="81"/>
      <c r="G2781" s="81"/>
      <c r="H2781" s="81"/>
      <c r="I2781" s="81"/>
      <c r="J2781" s="81"/>
      <c r="K2781" s="81"/>
      <c r="L2781" s="81"/>
      <c r="M2781" s="81"/>
      <c r="N2781" s="81"/>
      <c r="O2781" s="81"/>
      <c r="P2781" s="81"/>
      <c r="Q2781" s="81"/>
      <c r="R2781" s="81"/>
      <c r="S2781" s="81"/>
      <c r="T2781" s="81"/>
      <c r="U2781" s="81"/>
      <c r="V2781" s="94"/>
      <c r="W2781" s="94"/>
    </row>
    <row r="2782" spans="1:23" ht="21" customHeight="1">
      <c r="A2782">
        <f>Table4[[#This Row],[Column1]]</f>
        <v>0</v>
      </c>
      <c r="B2782">
        <f>Table4[[#This Row],[Column2]]</f>
        <v>0</v>
      </c>
      <c r="C2782" s="81"/>
      <c r="D2782" s="81"/>
      <c r="E2782" s="81"/>
      <c r="F2782" s="81"/>
      <c r="G2782" s="81"/>
      <c r="H2782" s="81"/>
      <c r="I2782" s="81"/>
      <c r="J2782" s="81"/>
      <c r="K2782" s="81"/>
      <c r="L2782" s="81"/>
      <c r="M2782" s="81"/>
      <c r="N2782" s="81"/>
      <c r="O2782" s="81"/>
      <c r="P2782" s="81"/>
      <c r="Q2782" s="81"/>
      <c r="R2782" s="81"/>
      <c r="S2782" s="81"/>
      <c r="T2782" s="81"/>
      <c r="U2782" s="81"/>
      <c r="V2782" s="94"/>
      <c r="W2782" s="94"/>
    </row>
    <row r="2783" spans="1:23" ht="21" customHeight="1">
      <c r="A2783">
        <f>Table4[[#This Row],[Column1]]</f>
        <v>0</v>
      </c>
      <c r="B2783">
        <f>Table4[[#This Row],[Column2]]</f>
        <v>0</v>
      </c>
      <c r="C2783" s="81"/>
      <c r="D2783" s="81"/>
      <c r="E2783" s="81"/>
      <c r="F2783" s="81"/>
      <c r="G2783" s="81"/>
      <c r="H2783" s="81"/>
      <c r="I2783" s="81"/>
      <c r="J2783" s="81"/>
      <c r="K2783" s="81"/>
      <c r="L2783" s="81"/>
      <c r="M2783" s="81"/>
      <c r="N2783" s="81"/>
      <c r="O2783" s="81"/>
      <c r="P2783" s="81"/>
      <c r="Q2783" s="81"/>
      <c r="R2783" s="81"/>
      <c r="S2783" s="81"/>
      <c r="T2783" s="81"/>
      <c r="U2783" s="81"/>
      <c r="V2783" s="94"/>
      <c r="W2783" s="94"/>
    </row>
    <row r="2784" spans="1:23" ht="21" customHeight="1">
      <c r="A2784">
        <f>Table4[[#This Row],[Column1]]</f>
        <v>0</v>
      </c>
      <c r="B2784">
        <f>Table4[[#This Row],[Column2]]</f>
        <v>0</v>
      </c>
      <c r="C2784" s="81"/>
      <c r="D2784" s="81"/>
      <c r="E2784" s="81"/>
      <c r="F2784" s="81"/>
      <c r="G2784" s="81"/>
      <c r="H2784" s="81"/>
      <c r="I2784" s="81"/>
      <c r="J2784" s="81"/>
      <c r="K2784" s="81"/>
      <c r="L2784" s="81"/>
      <c r="M2784" s="81"/>
      <c r="N2784" s="81"/>
      <c r="O2784" s="81"/>
      <c r="P2784" s="81"/>
      <c r="Q2784" s="81"/>
      <c r="R2784" s="81"/>
      <c r="S2784" s="81"/>
      <c r="T2784" s="81"/>
      <c r="U2784" s="81"/>
      <c r="V2784" s="94"/>
      <c r="W2784" s="94"/>
    </row>
    <row r="2785" spans="1:23" ht="21" customHeight="1">
      <c r="A2785">
        <f>Table4[[#This Row],[Column1]]</f>
        <v>0</v>
      </c>
      <c r="B2785">
        <f>Table4[[#This Row],[Column2]]</f>
        <v>0</v>
      </c>
      <c r="C2785" s="81"/>
      <c r="D2785" s="81"/>
      <c r="E2785" s="81"/>
      <c r="F2785" s="81"/>
      <c r="G2785" s="81"/>
      <c r="H2785" s="81"/>
      <c r="I2785" s="81"/>
      <c r="J2785" s="81"/>
      <c r="K2785" s="81"/>
      <c r="L2785" s="81"/>
      <c r="M2785" s="81"/>
      <c r="N2785" s="81"/>
      <c r="O2785" s="81"/>
      <c r="P2785" s="81"/>
      <c r="Q2785" s="81"/>
      <c r="R2785" s="81"/>
      <c r="S2785" s="81"/>
      <c r="T2785" s="81"/>
      <c r="U2785" s="81"/>
      <c r="V2785" s="94"/>
      <c r="W2785" s="94"/>
    </row>
    <row r="2786" spans="1:23" ht="21" customHeight="1">
      <c r="A2786">
        <f>Table4[[#This Row],[Column1]]</f>
        <v>0</v>
      </c>
      <c r="B2786">
        <f>Table4[[#This Row],[Column2]]</f>
        <v>0</v>
      </c>
      <c r="C2786" s="81"/>
      <c r="D2786" s="81"/>
      <c r="E2786" s="81"/>
      <c r="F2786" s="81"/>
      <c r="G2786" s="81"/>
      <c r="H2786" s="81"/>
      <c r="I2786" s="81"/>
      <c r="J2786" s="81"/>
      <c r="K2786" s="81"/>
      <c r="L2786" s="81"/>
      <c r="M2786" s="81"/>
      <c r="N2786" s="81"/>
      <c r="O2786" s="81"/>
      <c r="P2786" s="81"/>
      <c r="Q2786" s="81"/>
      <c r="R2786" s="81"/>
      <c r="S2786" s="81"/>
      <c r="T2786" s="81"/>
      <c r="U2786" s="81"/>
      <c r="V2786" s="94"/>
      <c r="W2786" s="94"/>
    </row>
    <row r="2787" spans="1:23" ht="21" customHeight="1">
      <c r="A2787">
        <f>Table4[[#This Row],[Column1]]</f>
        <v>0</v>
      </c>
      <c r="B2787">
        <f>Table4[[#This Row],[Column2]]</f>
        <v>0</v>
      </c>
      <c r="C2787" s="81"/>
      <c r="D2787" s="81"/>
      <c r="E2787" s="81"/>
      <c r="F2787" s="81"/>
      <c r="G2787" s="81"/>
      <c r="H2787" s="81"/>
      <c r="I2787" s="81"/>
      <c r="J2787" s="81"/>
      <c r="K2787" s="81"/>
      <c r="L2787" s="81"/>
      <c r="M2787" s="81"/>
      <c r="N2787" s="81"/>
      <c r="O2787" s="81"/>
      <c r="P2787" s="81"/>
      <c r="Q2787" s="81"/>
      <c r="R2787" s="81"/>
      <c r="S2787" s="81"/>
      <c r="T2787" s="81"/>
      <c r="U2787" s="81"/>
      <c r="V2787" s="94"/>
      <c r="W2787" s="94"/>
    </row>
    <row r="2788" spans="1:23" ht="21" customHeight="1">
      <c r="A2788">
        <f>Table4[[#This Row],[Column1]]</f>
        <v>0</v>
      </c>
      <c r="B2788">
        <f>Table4[[#This Row],[Column2]]</f>
        <v>0</v>
      </c>
      <c r="C2788" s="81"/>
      <c r="D2788" s="81"/>
      <c r="E2788" s="81"/>
      <c r="F2788" s="81"/>
      <c r="G2788" s="81"/>
      <c r="H2788" s="81"/>
      <c r="I2788" s="81"/>
      <c r="J2788" s="81"/>
      <c r="K2788" s="81"/>
      <c r="L2788" s="81"/>
      <c r="M2788" s="81"/>
      <c r="N2788" s="81"/>
      <c r="O2788" s="81"/>
      <c r="P2788" s="81"/>
      <c r="Q2788" s="81"/>
      <c r="R2788" s="81"/>
      <c r="S2788" s="81"/>
      <c r="T2788" s="81"/>
      <c r="U2788" s="81"/>
      <c r="V2788" s="94"/>
      <c r="W2788" s="94"/>
    </row>
    <row r="2789" spans="1:23" ht="21" customHeight="1">
      <c r="A2789">
        <f>Table4[[#This Row],[Column1]]</f>
        <v>0</v>
      </c>
      <c r="B2789">
        <f>Table4[[#This Row],[Column2]]</f>
        <v>0</v>
      </c>
      <c r="C2789" s="81"/>
      <c r="D2789" s="81"/>
      <c r="E2789" s="81"/>
      <c r="F2789" s="81"/>
      <c r="G2789" s="81"/>
      <c r="H2789" s="81"/>
      <c r="I2789" s="81"/>
      <c r="J2789" s="81"/>
      <c r="K2789" s="81"/>
      <c r="L2789" s="81"/>
      <c r="M2789" s="81"/>
      <c r="N2789" s="81"/>
      <c r="O2789" s="81"/>
      <c r="P2789" s="81"/>
      <c r="Q2789" s="81"/>
      <c r="R2789" s="81"/>
      <c r="S2789" s="81"/>
      <c r="T2789" s="81"/>
      <c r="U2789" s="81"/>
      <c r="V2789" s="94"/>
      <c r="W2789" s="94"/>
    </row>
    <row r="2790" spans="1:23" ht="21" customHeight="1">
      <c r="A2790">
        <f>Table4[[#This Row],[Column1]]</f>
        <v>0</v>
      </c>
      <c r="B2790">
        <f>Table4[[#This Row],[Column2]]</f>
        <v>0</v>
      </c>
      <c r="C2790" s="81"/>
      <c r="D2790" s="81"/>
      <c r="E2790" s="81"/>
      <c r="F2790" s="81"/>
      <c r="G2790" s="81"/>
      <c r="H2790" s="81"/>
      <c r="I2790" s="81"/>
      <c r="J2790" s="81"/>
      <c r="K2790" s="81"/>
      <c r="L2790" s="81"/>
      <c r="M2790" s="81"/>
      <c r="N2790" s="81"/>
      <c r="O2790" s="81"/>
      <c r="P2790" s="81"/>
      <c r="Q2790" s="81"/>
      <c r="R2790" s="81"/>
      <c r="S2790" s="81"/>
      <c r="T2790" s="81"/>
      <c r="U2790" s="81"/>
      <c r="V2790" s="94"/>
      <c r="W2790" s="94"/>
    </row>
    <row r="2791" spans="1:23" ht="21" customHeight="1">
      <c r="A2791">
        <f>Table4[[#This Row],[Column1]]</f>
        <v>0</v>
      </c>
      <c r="B2791">
        <f>Table4[[#This Row],[Column2]]</f>
        <v>0</v>
      </c>
      <c r="C2791" s="81"/>
      <c r="D2791" s="81"/>
      <c r="E2791" s="81"/>
      <c r="F2791" s="81"/>
      <c r="G2791" s="81"/>
      <c r="H2791" s="81"/>
      <c r="I2791" s="81"/>
      <c r="J2791" s="81"/>
      <c r="K2791" s="81"/>
      <c r="L2791" s="81"/>
      <c r="M2791" s="81"/>
      <c r="N2791" s="81"/>
      <c r="O2791" s="81"/>
      <c r="P2791" s="81"/>
      <c r="Q2791" s="81"/>
      <c r="R2791" s="81"/>
      <c r="S2791" s="81"/>
      <c r="T2791" s="81"/>
      <c r="U2791" s="81"/>
      <c r="V2791" s="94"/>
      <c r="W2791" s="94"/>
    </row>
    <row r="2792" spans="1:23" ht="21" customHeight="1">
      <c r="A2792">
        <f>Table4[[#This Row],[Column1]]</f>
        <v>0</v>
      </c>
      <c r="B2792">
        <f>Table4[[#This Row],[Column2]]</f>
        <v>0</v>
      </c>
      <c r="C2792" s="81"/>
      <c r="D2792" s="81"/>
      <c r="E2792" s="81"/>
      <c r="F2792" s="81"/>
      <c r="G2792" s="81"/>
      <c r="H2792" s="81"/>
      <c r="I2792" s="81"/>
      <c r="J2792" s="81"/>
      <c r="K2792" s="81"/>
      <c r="L2792" s="81"/>
      <c r="M2792" s="81"/>
      <c r="N2792" s="81"/>
      <c r="O2792" s="81"/>
      <c r="P2792" s="81"/>
      <c r="Q2792" s="81"/>
      <c r="R2792" s="81"/>
      <c r="S2792" s="81"/>
      <c r="T2792" s="81"/>
      <c r="U2792" s="81"/>
      <c r="V2792" s="94"/>
      <c r="W2792" s="94"/>
    </row>
    <row r="2793" spans="1:23" ht="21" customHeight="1">
      <c r="A2793">
        <f>Table4[[#This Row],[Column1]]</f>
        <v>0</v>
      </c>
      <c r="B2793">
        <f>Table4[[#This Row],[Column2]]</f>
        <v>0</v>
      </c>
      <c r="C2793" s="81"/>
      <c r="D2793" s="81"/>
      <c r="E2793" s="81"/>
      <c r="F2793" s="81"/>
      <c r="G2793" s="81"/>
      <c r="H2793" s="81"/>
      <c r="I2793" s="81"/>
      <c r="J2793" s="81"/>
      <c r="K2793" s="81"/>
      <c r="L2793" s="81"/>
      <c r="M2793" s="81"/>
      <c r="N2793" s="81"/>
      <c r="O2793" s="81"/>
      <c r="P2793" s="81"/>
      <c r="Q2793" s="81"/>
      <c r="R2793" s="81"/>
      <c r="S2793" s="81"/>
      <c r="T2793" s="81"/>
      <c r="U2793" s="81"/>
      <c r="V2793" s="94"/>
      <c r="W2793" s="94"/>
    </row>
    <row r="2794" spans="1:23" ht="21" customHeight="1">
      <c r="A2794">
        <f>Table4[[#This Row],[Column1]]</f>
        <v>0</v>
      </c>
      <c r="B2794">
        <f>Table4[[#This Row],[Column2]]</f>
        <v>0</v>
      </c>
      <c r="C2794" s="81"/>
      <c r="D2794" s="81"/>
      <c r="E2794" s="81"/>
      <c r="F2794" s="81"/>
      <c r="G2794" s="81"/>
      <c r="H2794" s="81"/>
      <c r="I2794" s="81"/>
      <c r="J2794" s="81"/>
      <c r="K2794" s="81"/>
      <c r="L2794" s="81"/>
      <c r="M2794" s="81"/>
      <c r="N2794" s="81"/>
      <c r="O2794" s="81"/>
      <c r="P2794" s="81"/>
      <c r="Q2794" s="81"/>
      <c r="R2794" s="81"/>
      <c r="S2794" s="81"/>
      <c r="T2794" s="81"/>
      <c r="U2794" s="81"/>
      <c r="V2794" s="94"/>
      <c r="W2794" s="94"/>
    </row>
    <row r="2795" spans="1:23" ht="21" customHeight="1">
      <c r="A2795">
        <f>Table4[[#This Row],[Column1]]</f>
        <v>0</v>
      </c>
      <c r="B2795">
        <f>Table4[[#This Row],[Column2]]</f>
        <v>0</v>
      </c>
      <c r="C2795" s="81"/>
      <c r="D2795" s="81"/>
      <c r="E2795" s="81"/>
      <c r="F2795" s="81"/>
      <c r="G2795" s="81"/>
      <c r="H2795" s="81"/>
      <c r="I2795" s="81"/>
      <c r="J2795" s="81"/>
      <c r="K2795" s="81"/>
      <c r="L2795" s="81"/>
      <c r="M2795" s="81"/>
      <c r="N2795" s="81"/>
      <c r="O2795" s="81"/>
      <c r="P2795" s="81"/>
      <c r="Q2795" s="81"/>
      <c r="R2795" s="81"/>
      <c r="S2795" s="81"/>
      <c r="T2795" s="81"/>
      <c r="U2795" s="81"/>
      <c r="V2795" s="94"/>
      <c r="W2795" s="94"/>
    </row>
    <row r="2796" spans="1:23" ht="21" customHeight="1">
      <c r="A2796">
        <f>Table4[[#This Row],[Column1]]</f>
        <v>0</v>
      </c>
      <c r="B2796">
        <f>Table4[[#This Row],[Column2]]</f>
        <v>0</v>
      </c>
      <c r="C2796" s="81"/>
      <c r="D2796" s="81"/>
      <c r="E2796" s="81"/>
      <c r="F2796" s="81"/>
      <c r="G2796" s="81"/>
      <c r="H2796" s="81"/>
      <c r="I2796" s="81"/>
      <c r="J2796" s="81"/>
      <c r="K2796" s="81"/>
      <c r="L2796" s="81"/>
      <c r="M2796" s="81"/>
      <c r="N2796" s="81"/>
      <c r="O2796" s="81"/>
      <c r="P2796" s="81"/>
      <c r="Q2796" s="81"/>
      <c r="R2796" s="81"/>
      <c r="S2796" s="81"/>
      <c r="T2796" s="81"/>
      <c r="U2796" s="81"/>
      <c r="V2796" s="94"/>
      <c r="W2796" s="94"/>
    </row>
    <row r="2797" spans="1:23" ht="21" customHeight="1">
      <c r="A2797">
        <f>Table4[[#This Row],[Column1]]</f>
        <v>0</v>
      </c>
      <c r="B2797">
        <f>Table4[[#This Row],[Column2]]</f>
        <v>0</v>
      </c>
      <c r="C2797" s="81"/>
      <c r="D2797" s="81"/>
      <c r="E2797" s="81"/>
      <c r="F2797" s="81"/>
      <c r="G2797" s="81"/>
      <c r="H2797" s="81"/>
      <c r="I2797" s="81"/>
      <c r="J2797" s="81"/>
      <c r="K2797" s="81"/>
      <c r="L2797" s="81"/>
      <c r="M2797" s="81"/>
      <c r="N2797" s="81"/>
      <c r="O2797" s="81"/>
      <c r="P2797" s="81"/>
      <c r="Q2797" s="81"/>
      <c r="R2797" s="81"/>
      <c r="S2797" s="81"/>
      <c r="T2797" s="81"/>
      <c r="U2797" s="81"/>
      <c r="V2797" s="94"/>
      <c r="W2797" s="94"/>
    </row>
    <row r="2798" spans="1:23" ht="21" customHeight="1">
      <c r="A2798">
        <f>Table4[[#This Row],[Column1]]</f>
        <v>0</v>
      </c>
      <c r="B2798">
        <f>Table4[[#This Row],[Column2]]</f>
        <v>0</v>
      </c>
      <c r="C2798" s="81"/>
      <c r="D2798" s="81"/>
      <c r="E2798" s="81"/>
      <c r="F2798" s="81"/>
      <c r="G2798" s="81"/>
      <c r="H2798" s="81"/>
      <c r="I2798" s="81"/>
      <c r="J2798" s="81"/>
      <c r="K2798" s="81"/>
      <c r="L2798" s="81"/>
      <c r="M2798" s="81"/>
      <c r="N2798" s="81"/>
      <c r="O2798" s="81"/>
      <c r="P2798" s="81"/>
      <c r="Q2798" s="81"/>
      <c r="R2798" s="81"/>
      <c r="S2798" s="81"/>
      <c r="T2798" s="81"/>
      <c r="U2798" s="81"/>
      <c r="V2798" s="94"/>
      <c r="W2798" s="94"/>
    </row>
    <row r="2799" spans="1:23" ht="21" customHeight="1">
      <c r="A2799">
        <f>Table4[[#This Row],[Column1]]</f>
        <v>0</v>
      </c>
      <c r="B2799">
        <f>Table4[[#This Row],[Column2]]</f>
        <v>0</v>
      </c>
      <c r="C2799" s="81"/>
      <c r="D2799" s="81"/>
      <c r="E2799" s="81"/>
      <c r="F2799" s="81"/>
      <c r="G2799" s="81"/>
      <c r="H2799" s="81"/>
      <c r="I2799" s="81"/>
      <c r="J2799" s="81"/>
      <c r="K2799" s="81"/>
      <c r="L2799" s="81"/>
      <c r="M2799" s="81"/>
      <c r="N2799" s="81"/>
      <c r="O2799" s="81"/>
      <c r="P2799" s="81"/>
      <c r="Q2799" s="81"/>
      <c r="R2799" s="81"/>
      <c r="S2799" s="81"/>
      <c r="T2799" s="81"/>
      <c r="U2799" s="81"/>
      <c r="V2799" s="94"/>
      <c r="W2799" s="94"/>
    </row>
    <row r="2800" spans="1:23" ht="21" customHeight="1">
      <c r="A2800">
        <f>Table4[[#This Row],[Column1]]</f>
        <v>0</v>
      </c>
      <c r="B2800">
        <f>Table4[[#This Row],[Column2]]</f>
        <v>0</v>
      </c>
      <c r="C2800" s="81"/>
      <c r="D2800" s="81"/>
      <c r="E2800" s="81"/>
      <c r="F2800" s="81"/>
      <c r="G2800" s="81"/>
      <c r="H2800" s="81"/>
      <c r="I2800" s="81"/>
      <c r="J2800" s="81"/>
      <c r="K2800" s="81"/>
      <c r="L2800" s="81"/>
      <c r="M2800" s="81"/>
      <c r="N2800" s="81"/>
      <c r="O2800" s="81"/>
      <c r="P2800" s="81"/>
      <c r="Q2800" s="81"/>
      <c r="R2800" s="81"/>
      <c r="S2800" s="81"/>
      <c r="T2800" s="81"/>
      <c r="U2800" s="81"/>
      <c r="V2800" s="94"/>
      <c r="W2800" s="94"/>
    </row>
    <row r="2801" spans="1:23" ht="21" customHeight="1">
      <c r="A2801">
        <f>Table4[[#This Row],[Column1]]</f>
        <v>0</v>
      </c>
      <c r="B2801">
        <f>Table4[[#This Row],[Column2]]</f>
        <v>0</v>
      </c>
      <c r="C2801" s="81"/>
      <c r="D2801" s="81"/>
      <c r="E2801" s="81"/>
      <c r="F2801" s="81"/>
      <c r="G2801" s="81"/>
      <c r="H2801" s="81"/>
      <c r="I2801" s="81"/>
      <c r="J2801" s="81"/>
      <c r="K2801" s="81"/>
      <c r="L2801" s="81"/>
      <c r="M2801" s="81"/>
      <c r="N2801" s="81"/>
      <c r="O2801" s="81"/>
      <c r="P2801" s="81"/>
      <c r="Q2801" s="81"/>
      <c r="R2801" s="81"/>
      <c r="S2801" s="81"/>
      <c r="T2801" s="81"/>
      <c r="U2801" s="81"/>
      <c r="V2801" s="94"/>
      <c r="W2801" s="94"/>
    </row>
    <row r="2802" spans="1:23" ht="21" customHeight="1">
      <c r="A2802">
        <f>Table4[[#This Row],[Column1]]</f>
        <v>0</v>
      </c>
      <c r="B2802">
        <f>Table4[[#This Row],[Column2]]</f>
        <v>0</v>
      </c>
      <c r="C2802" s="81"/>
      <c r="D2802" s="81"/>
      <c r="E2802" s="81"/>
      <c r="F2802" s="81"/>
      <c r="G2802" s="81"/>
      <c r="H2802" s="81"/>
      <c r="I2802" s="81"/>
      <c r="J2802" s="81"/>
      <c r="K2802" s="81"/>
      <c r="L2802" s="81"/>
      <c r="M2802" s="81"/>
      <c r="N2802" s="81"/>
      <c r="O2802" s="81"/>
      <c r="P2802" s="81"/>
      <c r="Q2802" s="81"/>
      <c r="R2802" s="81"/>
      <c r="S2802" s="81"/>
      <c r="T2802" s="81"/>
      <c r="U2802" s="81"/>
      <c r="V2802" s="94"/>
      <c r="W2802" s="94"/>
    </row>
    <row r="2803" spans="1:23" ht="21" customHeight="1">
      <c r="A2803">
        <f>Table4[[#This Row],[Column1]]</f>
        <v>0</v>
      </c>
      <c r="B2803">
        <f>Table4[[#This Row],[Column2]]</f>
        <v>0</v>
      </c>
      <c r="C2803" s="81"/>
      <c r="D2803" s="81"/>
      <c r="E2803" s="81"/>
      <c r="F2803" s="81"/>
      <c r="G2803" s="81"/>
      <c r="H2803" s="81"/>
      <c r="I2803" s="81"/>
      <c r="J2803" s="81"/>
      <c r="K2803" s="81"/>
      <c r="L2803" s="81"/>
      <c r="M2803" s="81"/>
      <c r="N2803" s="81"/>
      <c r="O2803" s="81"/>
      <c r="P2803" s="81"/>
      <c r="Q2803" s="81"/>
      <c r="R2803" s="81"/>
      <c r="S2803" s="81"/>
      <c r="T2803" s="81"/>
      <c r="U2803" s="81"/>
      <c r="V2803" s="94"/>
      <c r="W2803" s="94"/>
    </row>
    <row r="2804" spans="1:23" ht="21" customHeight="1">
      <c r="A2804">
        <f>Table4[[#This Row],[Column1]]</f>
        <v>0</v>
      </c>
      <c r="B2804">
        <f>Table4[[#This Row],[Column2]]</f>
        <v>0</v>
      </c>
      <c r="C2804" s="81"/>
      <c r="D2804" s="81"/>
      <c r="E2804" s="81"/>
      <c r="F2804" s="81"/>
      <c r="G2804" s="81"/>
      <c r="H2804" s="81"/>
      <c r="I2804" s="81"/>
      <c r="J2804" s="81"/>
      <c r="K2804" s="81"/>
      <c r="L2804" s="81"/>
      <c r="M2804" s="81"/>
      <c r="N2804" s="81"/>
      <c r="O2804" s="81"/>
      <c r="P2804" s="81"/>
      <c r="Q2804" s="81"/>
      <c r="R2804" s="81"/>
      <c r="S2804" s="81"/>
      <c r="T2804" s="81"/>
      <c r="U2804" s="81"/>
      <c r="V2804" s="94"/>
      <c r="W2804" s="94"/>
    </row>
    <row r="2805" spans="1:23" ht="21" customHeight="1">
      <c r="A2805">
        <f>Table4[[#This Row],[Column1]]</f>
        <v>0</v>
      </c>
      <c r="B2805">
        <f>Table4[[#This Row],[Column2]]</f>
        <v>0</v>
      </c>
      <c r="C2805" s="81"/>
      <c r="D2805" s="81"/>
      <c r="E2805" s="81"/>
      <c r="F2805" s="81"/>
      <c r="G2805" s="81"/>
      <c r="H2805" s="81"/>
      <c r="I2805" s="81"/>
      <c r="J2805" s="81"/>
      <c r="K2805" s="81"/>
      <c r="L2805" s="81"/>
      <c r="M2805" s="81"/>
      <c r="N2805" s="81"/>
      <c r="O2805" s="81"/>
      <c r="P2805" s="81"/>
      <c r="Q2805" s="81"/>
      <c r="R2805" s="81"/>
      <c r="S2805" s="81"/>
      <c r="T2805" s="81"/>
      <c r="U2805" s="81"/>
      <c r="V2805" s="94"/>
      <c r="W2805" s="94"/>
    </row>
    <row r="2806" spans="1:23" ht="21" customHeight="1">
      <c r="A2806">
        <f>Table4[[#This Row],[Column1]]</f>
        <v>0</v>
      </c>
      <c r="B2806">
        <f>Table4[[#This Row],[Column2]]</f>
        <v>0</v>
      </c>
      <c r="C2806" s="81"/>
      <c r="D2806" s="81"/>
      <c r="E2806" s="81"/>
      <c r="F2806" s="81"/>
      <c r="G2806" s="81"/>
      <c r="H2806" s="81"/>
      <c r="I2806" s="81"/>
      <c r="J2806" s="81"/>
      <c r="K2806" s="81"/>
      <c r="L2806" s="81"/>
      <c r="M2806" s="81"/>
      <c r="N2806" s="81"/>
      <c r="O2806" s="81"/>
      <c r="P2806" s="81"/>
      <c r="Q2806" s="81"/>
      <c r="R2806" s="81"/>
      <c r="S2806" s="81"/>
      <c r="T2806" s="81"/>
      <c r="U2806" s="81"/>
      <c r="V2806" s="94"/>
      <c r="W2806" s="94"/>
    </row>
    <row r="2807" spans="1:23" ht="21" customHeight="1">
      <c r="A2807">
        <f>Table4[[#This Row],[Column1]]</f>
        <v>0</v>
      </c>
      <c r="B2807">
        <f>Table4[[#This Row],[Column2]]</f>
        <v>0</v>
      </c>
      <c r="C2807" s="81"/>
      <c r="D2807" s="81"/>
      <c r="E2807" s="81"/>
      <c r="F2807" s="81"/>
      <c r="G2807" s="81"/>
      <c r="H2807" s="81"/>
      <c r="I2807" s="81"/>
      <c r="J2807" s="81"/>
      <c r="K2807" s="81"/>
      <c r="L2807" s="81"/>
      <c r="M2807" s="81"/>
      <c r="N2807" s="81"/>
      <c r="O2807" s="81"/>
      <c r="P2807" s="81"/>
      <c r="Q2807" s="81"/>
      <c r="R2807" s="81"/>
      <c r="S2807" s="81"/>
      <c r="T2807" s="81"/>
      <c r="U2807" s="81"/>
      <c r="V2807" s="94"/>
      <c r="W2807" s="94"/>
    </row>
    <row r="2808" spans="1:23" ht="21" customHeight="1">
      <c r="A2808">
        <f>Table4[[#This Row],[Column1]]</f>
        <v>0</v>
      </c>
      <c r="B2808">
        <f>Table4[[#This Row],[Column2]]</f>
        <v>0</v>
      </c>
      <c r="C2808" s="81"/>
      <c r="D2808" s="81"/>
      <c r="E2808" s="81"/>
      <c r="F2808" s="81"/>
      <c r="G2808" s="81"/>
      <c r="H2808" s="81"/>
      <c r="I2808" s="81"/>
      <c r="J2808" s="81"/>
      <c r="K2808" s="81"/>
      <c r="L2808" s="81"/>
      <c r="M2808" s="81"/>
      <c r="N2808" s="81"/>
      <c r="O2808" s="81"/>
      <c r="P2808" s="81"/>
      <c r="Q2808" s="81"/>
      <c r="R2808" s="81"/>
      <c r="S2808" s="81"/>
      <c r="T2808" s="81"/>
      <c r="U2808" s="81"/>
      <c r="V2808" s="94"/>
      <c r="W2808" s="94"/>
    </row>
    <row r="2809" spans="1:23" ht="21" customHeight="1">
      <c r="A2809">
        <f>Table4[[#This Row],[Column1]]</f>
        <v>0</v>
      </c>
      <c r="B2809">
        <f>Table4[[#This Row],[Column2]]</f>
        <v>0</v>
      </c>
      <c r="C2809" s="81"/>
      <c r="D2809" s="81"/>
      <c r="E2809" s="81"/>
      <c r="F2809" s="81"/>
      <c r="G2809" s="81"/>
      <c r="H2809" s="81"/>
      <c r="I2809" s="81"/>
      <c r="J2809" s="81"/>
      <c r="K2809" s="81"/>
      <c r="L2809" s="81"/>
      <c r="M2809" s="81"/>
      <c r="N2809" s="81"/>
      <c r="O2809" s="81"/>
      <c r="P2809" s="81"/>
      <c r="Q2809" s="81"/>
      <c r="R2809" s="81"/>
      <c r="S2809" s="81"/>
      <c r="T2809" s="81"/>
      <c r="U2809" s="81"/>
      <c r="V2809" s="94"/>
      <c r="W2809" s="94"/>
    </row>
    <row r="2810" spans="1:23" ht="21" customHeight="1">
      <c r="A2810">
        <f>Table4[[#This Row],[Column1]]</f>
        <v>0</v>
      </c>
      <c r="B2810">
        <f>Table4[[#This Row],[Column2]]</f>
        <v>0</v>
      </c>
      <c r="C2810" s="81"/>
      <c r="D2810" s="81"/>
      <c r="E2810" s="81"/>
      <c r="F2810" s="81"/>
      <c r="G2810" s="81"/>
      <c r="H2810" s="81"/>
      <c r="I2810" s="81"/>
      <c r="J2810" s="81"/>
      <c r="K2810" s="81"/>
      <c r="L2810" s="81"/>
      <c r="M2810" s="81"/>
      <c r="N2810" s="81"/>
      <c r="O2810" s="81"/>
      <c r="P2810" s="81"/>
      <c r="Q2810" s="81"/>
      <c r="R2810" s="81"/>
      <c r="S2810" s="81"/>
      <c r="T2810" s="81"/>
      <c r="U2810" s="81"/>
      <c r="V2810" s="94"/>
      <c r="W2810" s="94"/>
    </row>
    <row r="2811" spans="1:23" ht="21" customHeight="1">
      <c r="A2811">
        <f>Table4[[#This Row],[Column1]]</f>
        <v>0</v>
      </c>
      <c r="B2811">
        <f>Table4[[#This Row],[Column2]]</f>
        <v>0</v>
      </c>
      <c r="C2811" s="81"/>
      <c r="D2811" s="81"/>
      <c r="E2811" s="81"/>
      <c r="F2811" s="81"/>
      <c r="G2811" s="81"/>
      <c r="H2811" s="81"/>
      <c r="I2811" s="81"/>
      <c r="J2811" s="81"/>
      <c r="K2811" s="81"/>
      <c r="L2811" s="81"/>
      <c r="M2811" s="81"/>
      <c r="N2811" s="81"/>
      <c r="O2811" s="81"/>
      <c r="P2811" s="81"/>
      <c r="Q2811" s="81"/>
      <c r="R2811" s="81"/>
      <c r="S2811" s="81"/>
      <c r="T2811" s="81"/>
      <c r="U2811" s="81"/>
      <c r="V2811" s="94"/>
      <c r="W2811" s="94"/>
    </row>
    <row r="2812" spans="1:23" ht="21" customHeight="1">
      <c r="A2812">
        <f>Table4[[#This Row],[Column1]]</f>
        <v>0</v>
      </c>
      <c r="B2812">
        <f>Table4[[#This Row],[Column2]]</f>
        <v>0</v>
      </c>
      <c r="C2812" s="81"/>
      <c r="D2812" s="81"/>
      <c r="E2812" s="81"/>
      <c r="F2812" s="81"/>
      <c r="G2812" s="81"/>
      <c r="H2812" s="81"/>
      <c r="I2812" s="81"/>
      <c r="J2812" s="81"/>
      <c r="K2812" s="81"/>
      <c r="L2812" s="81"/>
      <c r="M2812" s="81"/>
      <c r="N2812" s="81"/>
      <c r="O2812" s="81"/>
      <c r="P2812" s="81"/>
      <c r="Q2812" s="81"/>
      <c r="R2812" s="81"/>
      <c r="S2812" s="81"/>
      <c r="T2812" s="81"/>
      <c r="U2812" s="81"/>
      <c r="V2812" s="94"/>
      <c r="W2812" s="94"/>
    </row>
    <row r="2813" spans="1:23" ht="21" customHeight="1">
      <c r="A2813">
        <f>Table4[[#This Row],[Column1]]</f>
        <v>0</v>
      </c>
      <c r="B2813">
        <f>Table4[[#This Row],[Column2]]</f>
        <v>0</v>
      </c>
      <c r="C2813" s="81"/>
      <c r="D2813" s="81"/>
      <c r="E2813" s="81"/>
      <c r="F2813" s="81"/>
      <c r="G2813" s="81"/>
      <c r="H2813" s="81"/>
      <c r="I2813" s="81"/>
      <c r="J2813" s="81"/>
      <c r="K2813" s="81"/>
      <c r="L2813" s="81"/>
      <c r="M2813" s="81"/>
      <c r="N2813" s="81"/>
      <c r="O2813" s="81"/>
      <c r="P2813" s="81"/>
      <c r="Q2813" s="81"/>
      <c r="R2813" s="81"/>
      <c r="S2813" s="81"/>
      <c r="T2813" s="81"/>
      <c r="U2813" s="81"/>
      <c r="V2813" s="94"/>
      <c r="W2813" s="94"/>
    </row>
    <row r="2814" spans="1:23" ht="21" customHeight="1">
      <c r="A2814">
        <f>Table4[[#This Row],[Column1]]</f>
        <v>0</v>
      </c>
      <c r="B2814">
        <f>Table4[[#This Row],[Column2]]</f>
        <v>0</v>
      </c>
      <c r="C2814" s="81"/>
      <c r="D2814" s="81"/>
      <c r="E2814" s="81"/>
      <c r="F2814" s="81"/>
      <c r="G2814" s="81"/>
      <c r="H2814" s="81"/>
      <c r="I2814" s="81"/>
      <c r="J2814" s="81"/>
      <c r="K2814" s="81"/>
      <c r="L2814" s="81"/>
      <c r="M2814" s="81"/>
      <c r="N2814" s="81"/>
      <c r="O2814" s="81"/>
      <c r="P2814" s="81"/>
      <c r="Q2814" s="81"/>
      <c r="R2814" s="81"/>
      <c r="S2814" s="81"/>
      <c r="T2814" s="81"/>
      <c r="U2814" s="81"/>
      <c r="V2814" s="94"/>
      <c r="W2814" s="94"/>
    </row>
    <row r="2815" spans="1:23" ht="21" customHeight="1">
      <c r="A2815">
        <f>Table4[[#This Row],[Column1]]</f>
        <v>0</v>
      </c>
      <c r="B2815">
        <f>Table4[[#This Row],[Column2]]</f>
        <v>0</v>
      </c>
      <c r="C2815" s="81"/>
      <c r="D2815" s="81"/>
      <c r="E2815" s="81"/>
      <c r="F2815" s="81"/>
      <c r="G2815" s="81"/>
      <c r="H2815" s="81"/>
      <c r="I2815" s="81"/>
      <c r="J2815" s="81"/>
      <c r="K2815" s="81"/>
      <c r="L2815" s="81"/>
      <c r="M2815" s="81"/>
      <c r="N2815" s="81"/>
      <c r="O2815" s="81"/>
      <c r="P2815" s="81"/>
      <c r="Q2815" s="81"/>
      <c r="R2815" s="81"/>
      <c r="S2815" s="81"/>
      <c r="T2815" s="81"/>
      <c r="U2815" s="81"/>
      <c r="V2815" s="94"/>
      <c r="W2815" s="94"/>
    </row>
    <row r="2816" spans="1:23" ht="21" customHeight="1">
      <c r="A2816">
        <f>Table4[[#This Row],[Column1]]</f>
        <v>0</v>
      </c>
      <c r="B2816">
        <f>Table4[[#This Row],[Column2]]</f>
        <v>0</v>
      </c>
      <c r="C2816" s="81"/>
      <c r="D2816" s="81"/>
      <c r="E2816" s="81"/>
      <c r="F2816" s="81"/>
      <c r="G2816" s="81"/>
      <c r="H2816" s="81"/>
      <c r="I2816" s="81"/>
      <c r="J2816" s="81"/>
      <c r="K2816" s="81"/>
      <c r="L2816" s="81"/>
      <c r="M2816" s="81"/>
      <c r="N2816" s="81"/>
      <c r="O2816" s="81"/>
      <c r="P2816" s="81"/>
      <c r="Q2816" s="81"/>
      <c r="R2816" s="81"/>
      <c r="S2816" s="81"/>
      <c r="T2816" s="81"/>
      <c r="U2816" s="81"/>
      <c r="V2816" s="94"/>
      <c r="W2816" s="94"/>
    </row>
    <row r="2817" spans="1:23" ht="21" customHeight="1">
      <c r="A2817">
        <f>Table4[[#This Row],[Column1]]</f>
        <v>0</v>
      </c>
      <c r="B2817">
        <f>Table4[[#This Row],[Column2]]</f>
        <v>0</v>
      </c>
      <c r="C2817" s="81"/>
      <c r="D2817" s="81"/>
      <c r="E2817" s="81"/>
      <c r="F2817" s="81"/>
      <c r="G2817" s="81"/>
      <c r="H2817" s="81"/>
      <c r="I2817" s="81"/>
      <c r="J2817" s="81"/>
      <c r="K2817" s="81"/>
      <c r="L2817" s="81"/>
      <c r="M2817" s="81"/>
      <c r="N2817" s="81"/>
      <c r="O2817" s="81"/>
      <c r="P2817" s="81"/>
      <c r="Q2817" s="81"/>
      <c r="R2817" s="81"/>
      <c r="S2817" s="81"/>
      <c r="T2817" s="81"/>
      <c r="U2817" s="81"/>
      <c r="V2817" s="94"/>
      <c r="W2817" s="94"/>
    </row>
    <row r="2818" spans="1:23" ht="21" customHeight="1">
      <c r="A2818">
        <f>Table4[[#This Row],[Column1]]</f>
        <v>0</v>
      </c>
      <c r="B2818">
        <f>Table4[[#This Row],[Column2]]</f>
        <v>0</v>
      </c>
      <c r="C2818" s="81"/>
      <c r="D2818" s="81"/>
      <c r="E2818" s="81"/>
      <c r="F2818" s="81"/>
      <c r="G2818" s="81"/>
      <c r="H2818" s="81"/>
      <c r="I2818" s="81"/>
      <c r="J2818" s="81"/>
      <c r="K2818" s="81"/>
      <c r="L2818" s="81"/>
      <c r="M2818" s="81"/>
      <c r="N2818" s="81"/>
      <c r="O2818" s="81"/>
      <c r="P2818" s="81"/>
      <c r="Q2818" s="81"/>
      <c r="R2818" s="81"/>
      <c r="S2818" s="81"/>
      <c r="T2818" s="81"/>
      <c r="U2818" s="81"/>
      <c r="V2818" s="94"/>
      <c r="W2818" s="94"/>
    </row>
    <row r="2819" spans="1:23" ht="21" customHeight="1">
      <c r="A2819">
        <f>Table4[[#This Row],[Column1]]</f>
        <v>0</v>
      </c>
      <c r="B2819">
        <f>Table4[[#This Row],[Column2]]</f>
        <v>0</v>
      </c>
      <c r="C2819" s="81"/>
      <c r="D2819" s="81"/>
      <c r="E2819" s="81"/>
      <c r="F2819" s="81"/>
      <c r="G2819" s="81"/>
      <c r="H2819" s="81"/>
      <c r="I2819" s="81"/>
      <c r="J2819" s="81"/>
      <c r="K2819" s="81"/>
      <c r="L2819" s="81"/>
      <c r="M2819" s="81"/>
      <c r="N2819" s="81"/>
      <c r="O2819" s="81"/>
      <c r="P2819" s="81"/>
      <c r="Q2819" s="81"/>
      <c r="R2819" s="81"/>
      <c r="S2819" s="81"/>
      <c r="T2819" s="81"/>
      <c r="U2819" s="81"/>
      <c r="V2819" s="94"/>
      <c r="W2819" s="94"/>
    </row>
    <row r="2820" spans="1:23" ht="21" customHeight="1">
      <c r="A2820">
        <f>Table4[[#This Row],[Column1]]</f>
        <v>0</v>
      </c>
      <c r="B2820">
        <f>Table4[[#This Row],[Column2]]</f>
        <v>0</v>
      </c>
      <c r="C2820" s="81"/>
      <c r="D2820" s="81"/>
      <c r="E2820" s="81"/>
      <c r="F2820" s="81"/>
      <c r="G2820" s="81"/>
      <c r="H2820" s="81"/>
      <c r="I2820" s="81"/>
      <c r="J2820" s="81"/>
      <c r="K2820" s="81"/>
      <c r="L2820" s="81"/>
      <c r="M2820" s="81"/>
      <c r="N2820" s="81"/>
      <c r="O2820" s="81"/>
      <c r="P2820" s="81"/>
      <c r="Q2820" s="81"/>
      <c r="R2820" s="81"/>
      <c r="S2820" s="81"/>
      <c r="T2820" s="81"/>
      <c r="U2820" s="81"/>
      <c r="V2820" s="94"/>
      <c r="W2820" s="94"/>
    </row>
    <row r="2821" spans="1:23" ht="21" customHeight="1">
      <c r="A2821">
        <f>Table4[[#This Row],[Column1]]</f>
        <v>0</v>
      </c>
      <c r="B2821">
        <f>Table4[[#This Row],[Column2]]</f>
        <v>0</v>
      </c>
      <c r="C2821" s="81"/>
      <c r="D2821" s="81"/>
      <c r="E2821" s="81"/>
      <c r="F2821" s="81"/>
      <c r="G2821" s="81"/>
      <c r="H2821" s="81"/>
      <c r="I2821" s="81"/>
      <c r="J2821" s="81"/>
      <c r="K2821" s="81"/>
      <c r="L2821" s="81"/>
      <c r="M2821" s="81"/>
      <c r="N2821" s="81"/>
      <c r="O2821" s="81"/>
      <c r="P2821" s="81"/>
      <c r="Q2821" s="81"/>
      <c r="R2821" s="81"/>
      <c r="S2821" s="81"/>
      <c r="T2821" s="81"/>
      <c r="U2821" s="81"/>
      <c r="V2821" s="94"/>
      <c r="W2821" s="94"/>
    </row>
    <row r="2822" spans="1:23" ht="21" customHeight="1">
      <c r="A2822">
        <f>Table4[[#This Row],[Column1]]</f>
        <v>0</v>
      </c>
      <c r="B2822">
        <f>Table4[[#This Row],[Column2]]</f>
        <v>0</v>
      </c>
      <c r="C2822" s="81"/>
      <c r="D2822" s="81"/>
      <c r="E2822" s="81"/>
      <c r="F2822" s="81"/>
      <c r="G2822" s="81"/>
      <c r="H2822" s="81"/>
      <c r="I2822" s="81"/>
      <c r="J2822" s="81"/>
      <c r="K2822" s="81"/>
      <c r="L2822" s="81"/>
      <c r="M2822" s="81"/>
      <c r="N2822" s="81"/>
      <c r="O2822" s="81"/>
      <c r="P2822" s="81"/>
      <c r="Q2822" s="81"/>
      <c r="R2822" s="81"/>
      <c r="S2822" s="81"/>
      <c r="T2822" s="81"/>
      <c r="U2822" s="81"/>
      <c r="V2822" s="94"/>
      <c r="W2822" s="94"/>
    </row>
    <row r="2823" spans="1:23" ht="21" customHeight="1">
      <c r="A2823">
        <f>Table4[[#This Row],[Column1]]</f>
        <v>0</v>
      </c>
      <c r="B2823">
        <f>Table4[[#This Row],[Column2]]</f>
        <v>0</v>
      </c>
      <c r="C2823" s="81"/>
      <c r="D2823" s="81"/>
      <c r="E2823" s="81"/>
      <c r="F2823" s="81"/>
      <c r="G2823" s="81"/>
      <c r="H2823" s="81"/>
      <c r="I2823" s="81"/>
      <c r="J2823" s="81"/>
      <c r="K2823" s="81"/>
      <c r="L2823" s="81"/>
      <c r="M2823" s="81"/>
      <c r="N2823" s="81"/>
      <c r="O2823" s="81"/>
      <c r="P2823" s="81"/>
      <c r="Q2823" s="81"/>
      <c r="R2823" s="81"/>
      <c r="S2823" s="81"/>
      <c r="T2823" s="81"/>
      <c r="U2823" s="81"/>
      <c r="V2823" s="94"/>
      <c r="W2823" s="94"/>
    </row>
    <row r="2824" spans="1:23" ht="21" customHeight="1">
      <c r="A2824">
        <f>Table4[[#This Row],[Column1]]</f>
        <v>0</v>
      </c>
      <c r="B2824">
        <f>Table4[[#This Row],[Column2]]</f>
        <v>0</v>
      </c>
      <c r="C2824" s="81"/>
      <c r="D2824" s="81"/>
      <c r="E2824" s="81"/>
      <c r="F2824" s="81"/>
      <c r="G2824" s="81"/>
      <c r="H2824" s="81"/>
      <c r="I2824" s="81"/>
      <c r="J2824" s="81"/>
      <c r="K2824" s="81"/>
      <c r="L2824" s="81"/>
      <c r="M2824" s="81"/>
      <c r="N2824" s="81"/>
      <c r="O2824" s="81"/>
      <c r="P2824" s="81"/>
      <c r="Q2824" s="81"/>
      <c r="R2824" s="81"/>
      <c r="S2824" s="81"/>
      <c r="T2824" s="81"/>
      <c r="U2824" s="81"/>
      <c r="V2824" s="94"/>
      <c r="W2824" s="94"/>
    </row>
    <row r="2825" spans="1:23" ht="21" customHeight="1">
      <c r="A2825">
        <f>Table4[[#This Row],[Column1]]</f>
        <v>0</v>
      </c>
      <c r="B2825">
        <f>Table4[[#This Row],[Column2]]</f>
        <v>0</v>
      </c>
      <c r="C2825" s="81"/>
      <c r="D2825" s="81"/>
      <c r="E2825" s="81"/>
      <c r="F2825" s="81"/>
      <c r="G2825" s="81"/>
      <c r="H2825" s="81"/>
      <c r="I2825" s="81"/>
      <c r="J2825" s="81"/>
      <c r="K2825" s="81"/>
      <c r="L2825" s="81"/>
      <c r="M2825" s="81"/>
      <c r="N2825" s="81"/>
      <c r="O2825" s="81"/>
      <c r="P2825" s="81"/>
      <c r="Q2825" s="81"/>
      <c r="R2825" s="81"/>
      <c r="S2825" s="81"/>
      <c r="T2825" s="81"/>
      <c r="U2825" s="81"/>
      <c r="V2825" s="94"/>
      <c r="W2825" s="94"/>
    </row>
    <row r="2826" spans="1:23" ht="21" customHeight="1">
      <c r="A2826">
        <f>Table4[[#This Row],[Column1]]</f>
        <v>0</v>
      </c>
      <c r="B2826">
        <f>Table4[[#This Row],[Column2]]</f>
        <v>0</v>
      </c>
      <c r="C2826" s="81"/>
      <c r="D2826" s="81"/>
      <c r="E2826" s="81"/>
      <c r="F2826" s="81"/>
      <c r="G2826" s="81"/>
      <c r="H2826" s="81"/>
      <c r="I2826" s="81"/>
      <c r="J2826" s="81"/>
      <c r="K2826" s="81"/>
      <c r="L2826" s="81"/>
      <c r="M2826" s="81"/>
      <c r="N2826" s="81"/>
      <c r="O2826" s="81"/>
      <c r="P2826" s="81"/>
      <c r="Q2826" s="81"/>
      <c r="R2826" s="81"/>
      <c r="S2826" s="81"/>
      <c r="T2826" s="81"/>
      <c r="U2826" s="81"/>
      <c r="V2826" s="94"/>
      <c r="W2826" s="94"/>
    </row>
    <row r="2827" spans="1:23" ht="21" customHeight="1">
      <c r="A2827">
        <f>Table4[[#This Row],[Column1]]</f>
        <v>0</v>
      </c>
      <c r="B2827">
        <f>Table4[[#This Row],[Column2]]</f>
        <v>0</v>
      </c>
      <c r="C2827" s="81"/>
      <c r="D2827" s="81"/>
      <c r="E2827" s="81"/>
      <c r="F2827" s="81"/>
      <c r="G2827" s="81"/>
      <c r="H2827" s="81"/>
      <c r="I2827" s="81"/>
      <c r="J2827" s="81"/>
      <c r="K2827" s="81"/>
      <c r="L2827" s="81"/>
      <c r="M2827" s="81"/>
      <c r="N2827" s="81"/>
      <c r="O2827" s="81"/>
      <c r="P2827" s="81"/>
      <c r="Q2827" s="81"/>
      <c r="R2827" s="81"/>
      <c r="S2827" s="81"/>
      <c r="T2827" s="81"/>
      <c r="U2827" s="81"/>
      <c r="V2827" s="94"/>
      <c r="W2827" s="94"/>
    </row>
    <row r="2828" spans="1:23" ht="21" customHeight="1">
      <c r="A2828">
        <f>Table4[[#This Row],[Column1]]</f>
        <v>0</v>
      </c>
      <c r="B2828">
        <f>Table4[[#This Row],[Column2]]</f>
        <v>0</v>
      </c>
      <c r="C2828" s="81"/>
      <c r="D2828" s="81"/>
      <c r="E2828" s="81"/>
      <c r="F2828" s="81"/>
      <c r="G2828" s="81"/>
      <c r="H2828" s="81"/>
      <c r="I2828" s="81"/>
      <c r="J2828" s="81"/>
      <c r="K2828" s="81"/>
      <c r="L2828" s="81"/>
      <c r="M2828" s="81"/>
      <c r="N2828" s="81"/>
      <c r="O2828" s="81"/>
      <c r="P2828" s="81"/>
      <c r="Q2828" s="81"/>
      <c r="R2828" s="81"/>
      <c r="S2828" s="81"/>
      <c r="T2828" s="81"/>
      <c r="U2828" s="81"/>
      <c r="V2828" s="94"/>
      <c r="W2828" s="94"/>
    </row>
    <row r="2829" spans="1:23" ht="21" customHeight="1">
      <c r="A2829">
        <f>Table4[[#This Row],[Column1]]</f>
        <v>0</v>
      </c>
      <c r="B2829">
        <f>Table4[[#This Row],[Column2]]</f>
        <v>0</v>
      </c>
      <c r="C2829" s="81"/>
      <c r="D2829" s="81"/>
      <c r="E2829" s="81"/>
      <c r="F2829" s="81"/>
      <c r="G2829" s="81"/>
      <c r="H2829" s="81"/>
      <c r="I2829" s="81"/>
      <c r="J2829" s="81"/>
      <c r="K2829" s="81"/>
      <c r="L2829" s="81"/>
      <c r="M2829" s="81"/>
      <c r="N2829" s="81"/>
      <c r="O2829" s="81"/>
      <c r="P2829" s="81"/>
      <c r="Q2829" s="81"/>
      <c r="R2829" s="81"/>
      <c r="S2829" s="81"/>
      <c r="T2829" s="81"/>
      <c r="U2829" s="81"/>
      <c r="V2829" s="94"/>
      <c r="W2829" s="94"/>
    </row>
    <row r="2830" spans="1:23" ht="21" customHeight="1">
      <c r="A2830">
        <f>Table4[[#This Row],[Column1]]</f>
        <v>0</v>
      </c>
      <c r="B2830">
        <f>Table4[[#This Row],[Column2]]</f>
        <v>0</v>
      </c>
      <c r="C2830" s="81"/>
      <c r="D2830" s="81"/>
      <c r="E2830" s="81"/>
      <c r="F2830" s="81"/>
      <c r="G2830" s="81"/>
      <c r="H2830" s="81"/>
      <c r="I2830" s="81"/>
      <c r="J2830" s="81"/>
      <c r="K2830" s="81"/>
      <c r="L2830" s="81"/>
      <c r="M2830" s="81"/>
      <c r="N2830" s="81"/>
      <c r="O2830" s="81"/>
      <c r="P2830" s="81"/>
      <c r="Q2830" s="81"/>
      <c r="R2830" s="81"/>
      <c r="S2830" s="81"/>
      <c r="T2830" s="81"/>
      <c r="U2830" s="81"/>
      <c r="V2830" s="94"/>
      <c r="W2830" s="94"/>
    </row>
    <row r="2831" spans="1:23" ht="21" customHeight="1">
      <c r="A2831">
        <f>Table4[[#This Row],[Column1]]</f>
        <v>0</v>
      </c>
      <c r="B2831">
        <f>Table4[[#This Row],[Column2]]</f>
        <v>0</v>
      </c>
      <c r="C2831" s="81"/>
      <c r="D2831" s="81"/>
      <c r="E2831" s="81"/>
      <c r="F2831" s="81"/>
      <c r="G2831" s="81"/>
      <c r="H2831" s="81"/>
      <c r="I2831" s="81"/>
      <c r="J2831" s="81"/>
      <c r="K2831" s="81"/>
      <c r="L2831" s="81"/>
      <c r="M2831" s="81"/>
      <c r="N2831" s="81"/>
      <c r="O2831" s="81"/>
      <c r="P2831" s="81"/>
      <c r="Q2831" s="81"/>
      <c r="R2831" s="81"/>
      <c r="S2831" s="81"/>
      <c r="T2831" s="81"/>
      <c r="U2831" s="81"/>
      <c r="V2831" s="94"/>
      <c r="W2831" s="94"/>
    </row>
    <row r="2832" spans="1:23" ht="21" customHeight="1">
      <c r="A2832">
        <f>Table4[[#This Row],[Column1]]</f>
        <v>0</v>
      </c>
      <c r="B2832">
        <f>Table4[[#This Row],[Column2]]</f>
        <v>0</v>
      </c>
      <c r="C2832" s="81"/>
      <c r="D2832" s="81"/>
      <c r="E2832" s="81"/>
      <c r="F2832" s="81"/>
      <c r="G2832" s="81"/>
      <c r="H2832" s="81"/>
      <c r="I2832" s="81"/>
      <c r="J2832" s="81"/>
      <c r="K2832" s="81"/>
      <c r="L2832" s="81"/>
      <c r="M2832" s="81"/>
      <c r="N2832" s="81"/>
      <c r="O2832" s="81"/>
      <c r="P2832" s="81"/>
      <c r="Q2832" s="81"/>
      <c r="R2832" s="81"/>
      <c r="S2832" s="81"/>
      <c r="T2832" s="81"/>
      <c r="U2832" s="81"/>
      <c r="V2832" s="94"/>
      <c r="W2832" s="94"/>
    </row>
    <row r="2833" spans="1:23" ht="21" customHeight="1">
      <c r="A2833">
        <f>Table4[[#This Row],[Column1]]</f>
        <v>0</v>
      </c>
      <c r="B2833">
        <f>Table4[[#This Row],[Column2]]</f>
        <v>0</v>
      </c>
      <c r="C2833" s="81"/>
      <c r="D2833" s="81"/>
      <c r="E2833" s="81"/>
      <c r="F2833" s="81"/>
      <c r="G2833" s="81"/>
      <c r="H2833" s="81"/>
      <c r="I2833" s="81"/>
      <c r="J2833" s="81"/>
      <c r="K2833" s="81"/>
      <c r="L2833" s="81"/>
      <c r="M2833" s="81"/>
      <c r="N2833" s="81"/>
      <c r="O2833" s="81"/>
      <c r="P2833" s="81"/>
      <c r="Q2833" s="81"/>
      <c r="R2833" s="81"/>
      <c r="S2833" s="81"/>
      <c r="T2833" s="81"/>
      <c r="U2833" s="81"/>
      <c r="V2833" s="94"/>
      <c r="W2833" s="94"/>
    </row>
    <row r="2834" spans="1:23" ht="21" customHeight="1">
      <c r="A2834">
        <f>Table4[[#This Row],[Column1]]</f>
        <v>0</v>
      </c>
      <c r="B2834">
        <f>Table4[[#This Row],[Column2]]</f>
        <v>0</v>
      </c>
      <c r="C2834" s="81"/>
      <c r="D2834" s="81"/>
      <c r="E2834" s="81"/>
      <c r="F2834" s="81"/>
      <c r="G2834" s="81"/>
      <c r="H2834" s="81"/>
      <c r="I2834" s="81"/>
      <c r="J2834" s="81"/>
      <c r="K2834" s="81"/>
      <c r="L2834" s="81"/>
      <c r="M2834" s="81"/>
      <c r="N2834" s="81"/>
      <c r="O2834" s="81"/>
      <c r="P2834" s="81"/>
      <c r="Q2834" s="81"/>
      <c r="R2834" s="81"/>
      <c r="S2834" s="81"/>
      <c r="T2834" s="81"/>
      <c r="U2834" s="81"/>
      <c r="V2834" s="94"/>
      <c r="W2834" s="94"/>
    </row>
    <row r="2835" spans="1:23" ht="21" customHeight="1">
      <c r="A2835">
        <f>Table4[[#This Row],[Column1]]</f>
        <v>0</v>
      </c>
      <c r="B2835">
        <f>Table4[[#This Row],[Column2]]</f>
        <v>0</v>
      </c>
      <c r="C2835" s="81"/>
      <c r="D2835" s="81"/>
      <c r="E2835" s="81"/>
      <c r="F2835" s="81"/>
      <c r="G2835" s="81"/>
      <c r="H2835" s="81"/>
      <c r="I2835" s="81"/>
      <c r="J2835" s="81"/>
      <c r="K2835" s="81"/>
      <c r="L2835" s="81"/>
      <c r="M2835" s="81"/>
      <c r="N2835" s="81"/>
      <c r="O2835" s="81"/>
      <c r="P2835" s="81"/>
      <c r="Q2835" s="81"/>
      <c r="R2835" s="81"/>
      <c r="S2835" s="81"/>
      <c r="T2835" s="81"/>
      <c r="U2835" s="81"/>
      <c r="V2835" s="94"/>
      <c r="W2835" s="94"/>
    </row>
    <row r="2836" spans="1:23" ht="21" customHeight="1">
      <c r="A2836">
        <f>Table4[[#This Row],[Column1]]</f>
        <v>0</v>
      </c>
      <c r="B2836">
        <f>Table4[[#This Row],[Column2]]</f>
        <v>0</v>
      </c>
      <c r="C2836" s="81"/>
      <c r="D2836" s="81"/>
      <c r="E2836" s="81"/>
      <c r="F2836" s="81"/>
      <c r="G2836" s="81"/>
      <c r="H2836" s="81"/>
      <c r="I2836" s="81"/>
      <c r="J2836" s="81"/>
      <c r="K2836" s="81"/>
      <c r="L2836" s="81"/>
      <c r="M2836" s="81"/>
      <c r="N2836" s="81"/>
      <c r="O2836" s="81"/>
      <c r="P2836" s="81"/>
      <c r="Q2836" s="81"/>
      <c r="R2836" s="81"/>
      <c r="S2836" s="81"/>
      <c r="T2836" s="81"/>
      <c r="U2836" s="81"/>
      <c r="V2836" s="94"/>
      <c r="W2836" s="94"/>
    </row>
    <row r="2837" spans="1:23" ht="21" customHeight="1">
      <c r="A2837">
        <f>Table4[[#This Row],[Column1]]</f>
        <v>0</v>
      </c>
      <c r="B2837">
        <f>Table4[[#This Row],[Column2]]</f>
        <v>0</v>
      </c>
      <c r="C2837" s="81"/>
      <c r="D2837" s="81"/>
      <c r="E2837" s="81"/>
      <c r="F2837" s="81"/>
      <c r="G2837" s="81"/>
      <c r="H2837" s="81"/>
      <c r="I2837" s="81"/>
      <c r="J2837" s="81"/>
      <c r="K2837" s="81"/>
      <c r="L2837" s="81"/>
      <c r="M2837" s="81"/>
      <c r="N2837" s="81"/>
      <c r="O2837" s="81"/>
      <c r="P2837" s="81"/>
      <c r="Q2837" s="81"/>
      <c r="R2837" s="81"/>
      <c r="S2837" s="81"/>
      <c r="T2837" s="81"/>
      <c r="U2837" s="81"/>
      <c r="V2837" s="94"/>
      <c r="W2837" s="94"/>
    </row>
    <row r="2838" spans="1:23" ht="21" customHeight="1">
      <c r="A2838">
        <f>Table4[[#This Row],[Column1]]</f>
        <v>0</v>
      </c>
      <c r="B2838">
        <f>Table4[[#This Row],[Column2]]</f>
        <v>0</v>
      </c>
      <c r="C2838" s="81"/>
      <c r="D2838" s="81"/>
      <c r="E2838" s="81"/>
      <c r="F2838" s="81"/>
      <c r="G2838" s="81"/>
      <c r="H2838" s="81"/>
      <c r="I2838" s="81"/>
      <c r="J2838" s="81"/>
      <c r="K2838" s="81"/>
      <c r="L2838" s="81"/>
      <c r="M2838" s="81"/>
      <c r="N2838" s="81"/>
      <c r="O2838" s="81"/>
      <c r="P2838" s="81"/>
      <c r="Q2838" s="81"/>
      <c r="R2838" s="81"/>
      <c r="S2838" s="81"/>
      <c r="T2838" s="81"/>
      <c r="U2838" s="81"/>
      <c r="V2838" s="94"/>
      <c r="W2838" s="94"/>
    </row>
    <row r="2839" spans="1:23" ht="21" customHeight="1">
      <c r="A2839">
        <f>Table4[[#This Row],[Column1]]</f>
        <v>0</v>
      </c>
      <c r="B2839">
        <f>Table4[[#This Row],[Column2]]</f>
        <v>0</v>
      </c>
      <c r="C2839" s="81"/>
      <c r="D2839" s="81"/>
      <c r="E2839" s="81"/>
      <c r="F2839" s="81"/>
      <c r="G2839" s="81"/>
      <c r="H2839" s="81"/>
      <c r="I2839" s="81"/>
      <c r="J2839" s="81"/>
      <c r="K2839" s="81"/>
      <c r="L2839" s="81"/>
      <c r="M2839" s="81"/>
      <c r="N2839" s="81"/>
      <c r="O2839" s="81"/>
      <c r="P2839" s="81"/>
      <c r="Q2839" s="81"/>
      <c r="R2839" s="81"/>
      <c r="S2839" s="81"/>
      <c r="T2839" s="81"/>
      <c r="U2839" s="81"/>
      <c r="V2839" s="94"/>
      <c r="W2839" s="94"/>
    </row>
    <row r="2840" spans="1:23" ht="21" customHeight="1">
      <c r="A2840">
        <f>Table4[[#This Row],[Column1]]</f>
        <v>0</v>
      </c>
      <c r="B2840">
        <f>Table4[[#This Row],[Column2]]</f>
        <v>0</v>
      </c>
      <c r="C2840" s="81"/>
      <c r="D2840" s="81"/>
      <c r="E2840" s="81"/>
      <c r="F2840" s="81"/>
      <c r="G2840" s="81"/>
      <c r="H2840" s="81"/>
      <c r="I2840" s="81"/>
      <c r="J2840" s="81"/>
      <c r="K2840" s="81"/>
      <c r="L2840" s="81"/>
      <c r="M2840" s="81"/>
      <c r="N2840" s="81"/>
      <c r="O2840" s="81"/>
      <c r="P2840" s="81"/>
      <c r="Q2840" s="81"/>
      <c r="R2840" s="81"/>
      <c r="S2840" s="81"/>
      <c r="T2840" s="81"/>
      <c r="U2840" s="81"/>
      <c r="V2840" s="94"/>
      <c r="W2840" s="94"/>
    </row>
    <row r="2841" spans="1:23" ht="21" customHeight="1">
      <c r="A2841">
        <f>Table4[[#This Row],[Column1]]</f>
        <v>0</v>
      </c>
      <c r="B2841">
        <f>Table4[[#This Row],[Column2]]</f>
        <v>0</v>
      </c>
      <c r="C2841" s="81"/>
      <c r="D2841" s="81"/>
      <c r="E2841" s="81"/>
      <c r="F2841" s="81"/>
      <c r="G2841" s="81"/>
      <c r="H2841" s="81"/>
      <c r="I2841" s="81"/>
      <c r="J2841" s="81"/>
      <c r="K2841" s="81"/>
      <c r="L2841" s="81"/>
      <c r="M2841" s="81"/>
      <c r="N2841" s="81"/>
      <c r="O2841" s="81"/>
      <c r="P2841" s="81"/>
      <c r="Q2841" s="81"/>
      <c r="R2841" s="81"/>
      <c r="S2841" s="81"/>
      <c r="T2841" s="81"/>
      <c r="U2841" s="81"/>
      <c r="V2841" s="94"/>
      <c r="W2841" s="94"/>
    </row>
    <row r="2842" spans="1:23" ht="21" customHeight="1">
      <c r="A2842">
        <f>Table4[[#This Row],[Column1]]</f>
        <v>0</v>
      </c>
      <c r="B2842">
        <f>Table4[[#This Row],[Column2]]</f>
        <v>0</v>
      </c>
      <c r="C2842" s="81"/>
      <c r="D2842" s="81"/>
      <c r="E2842" s="81"/>
      <c r="F2842" s="81"/>
      <c r="G2842" s="81"/>
      <c r="H2842" s="81"/>
      <c r="I2842" s="81"/>
      <c r="J2842" s="81"/>
      <c r="K2842" s="81"/>
      <c r="L2842" s="81"/>
      <c r="M2842" s="81"/>
      <c r="N2842" s="81"/>
      <c r="O2842" s="81"/>
      <c r="P2842" s="81"/>
      <c r="Q2842" s="81"/>
      <c r="R2842" s="81"/>
      <c r="S2842" s="81"/>
      <c r="T2842" s="81"/>
      <c r="U2842" s="81"/>
      <c r="V2842" s="94"/>
      <c r="W2842" s="94"/>
    </row>
    <row r="2843" spans="1:23" ht="21" customHeight="1">
      <c r="A2843">
        <f>Table4[[#This Row],[Column1]]</f>
        <v>0</v>
      </c>
      <c r="B2843">
        <f>Table4[[#This Row],[Column2]]</f>
        <v>0</v>
      </c>
      <c r="C2843" s="81"/>
      <c r="D2843" s="81"/>
      <c r="E2843" s="81"/>
      <c r="F2843" s="81"/>
      <c r="G2843" s="81"/>
      <c r="H2843" s="81"/>
      <c r="I2843" s="81"/>
      <c r="J2843" s="81"/>
      <c r="K2843" s="81"/>
      <c r="L2843" s="81"/>
      <c r="M2843" s="81"/>
      <c r="N2843" s="81"/>
      <c r="O2843" s="81"/>
      <c r="P2843" s="81"/>
      <c r="Q2843" s="81"/>
      <c r="R2843" s="81"/>
      <c r="S2843" s="81"/>
      <c r="T2843" s="81"/>
      <c r="U2843" s="81"/>
      <c r="V2843" s="94"/>
      <c r="W2843" s="94"/>
    </row>
    <row r="2844" spans="1:23" ht="21" customHeight="1">
      <c r="A2844">
        <f>Table4[[#This Row],[Column1]]</f>
        <v>0</v>
      </c>
      <c r="B2844">
        <f>Table4[[#This Row],[Column2]]</f>
        <v>0</v>
      </c>
      <c r="C2844" s="81"/>
      <c r="D2844" s="81"/>
      <c r="E2844" s="81"/>
      <c r="F2844" s="81"/>
      <c r="G2844" s="81"/>
      <c r="H2844" s="81"/>
      <c r="I2844" s="81"/>
      <c r="J2844" s="81"/>
      <c r="K2844" s="81"/>
      <c r="L2844" s="81"/>
      <c r="M2844" s="81"/>
      <c r="N2844" s="81"/>
      <c r="O2844" s="81"/>
      <c r="P2844" s="81"/>
      <c r="Q2844" s="81"/>
      <c r="R2844" s="81"/>
      <c r="S2844" s="81"/>
      <c r="T2844" s="81"/>
      <c r="U2844" s="81"/>
      <c r="V2844" s="94"/>
      <c r="W2844" s="94"/>
    </row>
    <row r="2845" spans="1:23" ht="21" customHeight="1">
      <c r="A2845">
        <f>Table4[[#This Row],[Column1]]</f>
        <v>0</v>
      </c>
      <c r="B2845">
        <f>Table4[[#This Row],[Column2]]</f>
        <v>0</v>
      </c>
      <c r="C2845" s="81"/>
      <c r="D2845" s="81"/>
      <c r="E2845" s="81"/>
      <c r="F2845" s="81"/>
      <c r="G2845" s="81"/>
      <c r="H2845" s="81"/>
      <c r="I2845" s="81"/>
      <c r="J2845" s="81"/>
      <c r="K2845" s="81"/>
      <c r="L2845" s="81"/>
      <c r="M2845" s="81"/>
      <c r="N2845" s="81"/>
      <c r="O2845" s="81"/>
      <c r="P2845" s="81"/>
      <c r="Q2845" s="81"/>
      <c r="R2845" s="81"/>
      <c r="S2845" s="81"/>
      <c r="T2845" s="81"/>
      <c r="U2845" s="81"/>
      <c r="V2845" s="94"/>
      <c r="W2845" s="94"/>
    </row>
    <row r="2846" spans="1:23" ht="21" customHeight="1">
      <c r="A2846">
        <f>Table4[[#This Row],[Column1]]</f>
        <v>0</v>
      </c>
      <c r="B2846">
        <f>Table4[[#This Row],[Column2]]</f>
        <v>0</v>
      </c>
      <c r="C2846" s="81"/>
      <c r="D2846" s="81"/>
      <c r="E2846" s="81"/>
      <c r="F2846" s="81"/>
      <c r="G2846" s="81"/>
      <c r="H2846" s="81"/>
      <c r="I2846" s="81"/>
      <c r="J2846" s="81"/>
      <c r="K2846" s="81"/>
      <c r="L2846" s="81"/>
      <c r="M2846" s="81"/>
      <c r="N2846" s="81"/>
      <c r="O2846" s="81"/>
      <c r="P2846" s="81"/>
      <c r="Q2846" s="81"/>
      <c r="R2846" s="81"/>
      <c r="S2846" s="81"/>
      <c r="T2846" s="81"/>
      <c r="U2846" s="81"/>
      <c r="V2846" s="94"/>
      <c r="W2846" s="94"/>
    </row>
    <row r="2847" spans="1:23" ht="21" customHeight="1">
      <c r="A2847">
        <f>Table4[[#This Row],[Column1]]</f>
        <v>0</v>
      </c>
      <c r="B2847">
        <f>Table4[[#This Row],[Column2]]</f>
        <v>0</v>
      </c>
      <c r="C2847" s="81"/>
      <c r="D2847" s="81"/>
      <c r="E2847" s="81"/>
      <c r="F2847" s="81"/>
      <c r="G2847" s="81"/>
      <c r="H2847" s="81"/>
      <c r="I2847" s="81"/>
      <c r="J2847" s="81"/>
      <c r="K2847" s="81"/>
      <c r="L2847" s="81"/>
      <c r="M2847" s="81"/>
      <c r="N2847" s="81"/>
      <c r="O2847" s="81"/>
      <c r="P2847" s="81"/>
      <c r="Q2847" s="81"/>
      <c r="R2847" s="81"/>
      <c r="S2847" s="81"/>
      <c r="T2847" s="81"/>
      <c r="U2847" s="81"/>
      <c r="V2847" s="94"/>
      <c r="W2847" s="94"/>
    </row>
    <row r="2848" spans="1:23" ht="21" customHeight="1">
      <c r="A2848">
        <f>Table4[[#This Row],[Column1]]</f>
        <v>0</v>
      </c>
      <c r="B2848">
        <f>Table4[[#This Row],[Column2]]</f>
        <v>0</v>
      </c>
      <c r="C2848" s="81"/>
      <c r="D2848" s="81"/>
      <c r="E2848" s="81"/>
      <c r="F2848" s="81"/>
      <c r="G2848" s="81"/>
      <c r="H2848" s="81"/>
      <c r="I2848" s="81"/>
      <c r="J2848" s="81"/>
      <c r="K2848" s="81"/>
      <c r="L2848" s="81"/>
      <c r="M2848" s="81"/>
      <c r="N2848" s="81"/>
      <c r="O2848" s="81"/>
      <c r="P2848" s="81"/>
      <c r="Q2848" s="81"/>
      <c r="R2848" s="81"/>
      <c r="S2848" s="81"/>
      <c r="T2848" s="81"/>
      <c r="U2848" s="81"/>
      <c r="V2848" s="94"/>
      <c r="W2848" s="94"/>
    </row>
    <row r="2849" spans="1:23" ht="21" customHeight="1">
      <c r="A2849">
        <f>Table4[[#This Row],[Column1]]</f>
        <v>0</v>
      </c>
      <c r="B2849">
        <f>Table4[[#This Row],[Column2]]</f>
        <v>0</v>
      </c>
      <c r="C2849" s="81"/>
      <c r="D2849" s="81"/>
      <c r="E2849" s="81"/>
      <c r="F2849" s="81"/>
      <c r="G2849" s="81"/>
      <c r="H2849" s="81"/>
      <c r="I2849" s="81"/>
      <c r="J2849" s="81"/>
      <c r="K2849" s="81"/>
      <c r="L2849" s="81"/>
      <c r="M2849" s="81"/>
      <c r="N2849" s="81"/>
      <c r="O2849" s="81"/>
      <c r="P2849" s="81"/>
      <c r="Q2849" s="81"/>
      <c r="R2849" s="81"/>
      <c r="S2849" s="81"/>
      <c r="T2849" s="81"/>
      <c r="U2849" s="81"/>
      <c r="V2849" s="94"/>
      <c r="W2849" s="94"/>
    </row>
    <row r="2850" spans="1:23" ht="21" customHeight="1">
      <c r="A2850">
        <f>Table4[[#This Row],[Column1]]</f>
        <v>0</v>
      </c>
      <c r="B2850">
        <f>Table4[[#This Row],[Column2]]</f>
        <v>0</v>
      </c>
      <c r="C2850" s="81"/>
      <c r="D2850" s="81"/>
      <c r="E2850" s="81"/>
      <c r="F2850" s="81"/>
      <c r="G2850" s="81"/>
      <c r="H2850" s="81"/>
      <c r="I2850" s="81"/>
      <c r="J2850" s="81"/>
      <c r="K2850" s="81"/>
      <c r="L2850" s="81"/>
      <c r="M2850" s="81"/>
      <c r="N2850" s="81"/>
      <c r="O2850" s="81"/>
      <c r="P2850" s="81"/>
      <c r="Q2850" s="81"/>
      <c r="R2850" s="81"/>
      <c r="S2850" s="81"/>
      <c r="T2850" s="81"/>
      <c r="U2850" s="81"/>
      <c r="V2850" s="94"/>
      <c r="W2850" s="94"/>
    </row>
    <row r="2851" spans="1:23" ht="21" customHeight="1">
      <c r="A2851">
        <f>Table4[[#This Row],[Column1]]</f>
        <v>0</v>
      </c>
      <c r="B2851">
        <f>Table4[[#This Row],[Column2]]</f>
        <v>0</v>
      </c>
      <c r="C2851" s="81"/>
      <c r="D2851" s="81"/>
      <c r="E2851" s="81"/>
      <c r="F2851" s="81"/>
      <c r="G2851" s="81"/>
      <c r="H2851" s="81"/>
      <c r="I2851" s="81"/>
      <c r="J2851" s="81"/>
      <c r="K2851" s="81"/>
      <c r="L2851" s="81"/>
      <c r="M2851" s="81"/>
      <c r="N2851" s="81"/>
      <c r="O2851" s="81"/>
      <c r="P2851" s="81"/>
      <c r="Q2851" s="81"/>
      <c r="R2851" s="81"/>
      <c r="S2851" s="81"/>
      <c r="T2851" s="81"/>
      <c r="U2851" s="81"/>
      <c r="V2851" s="94"/>
      <c r="W2851" s="94"/>
    </row>
    <row r="2852" spans="1:23" ht="21" customHeight="1">
      <c r="A2852">
        <f>Table4[[#This Row],[Column1]]</f>
        <v>0</v>
      </c>
      <c r="B2852">
        <f>Table4[[#This Row],[Column2]]</f>
        <v>0</v>
      </c>
      <c r="C2852" s="81"/>
      <c r="D2852" s="81"/>
      <c r="E2852" s="81"/>
      <c r="F2852" s="81"/>
      <c r="G2852" s="81"/>
      <c r="H2852" s="81"/>
      <c r="I2852" s="81"/>
      <c r="J2852" s="81"/>
      <c r="K2852" s="81"/>
      <c r="L2852" s="81"/>
      <c r="M2852" s="81"/>
      <c r="N2852" s="81"/>
      <c r="O2852" s="81"/>
      <c r="P2852" s="81"/>
      <c r="Q2852" s="81"/>
      <c r="R2852" s="81"/>
      <c r="S2852" s="81"/>
      <c r="T2852" s="81"/>
      <c r="U2852" s="81"/>
      <c r="V2852" s="94"/>
      <c r="W2852" s="94"/>
    </row>
    <row r="2853" spans="1:23" ht="21" customHeight="1">
      <c r="A2853">
        <f>Table4[[#This Row],[Column1]]</f>
        <v>0</v>
      </c>
      <c r="B2853">
        <f>Table4[[#This Row],[Column2]]</f>
        <v>0</v>
      </c>
      <c r="C2853" s="81"/>
      <c r="D2853" s="81"/>
      <c r="E2853" s="81"/>
      <c r="F2853" s="81"/>
      <c r="G2853" s="81"/>
      <c r="H2853" s="81"/>
      <c r="I2853" s="81"/>
      <c r="J2853" s="81"/>
      <c r="K2853" s="81"/>
      <c r="L2853" s="81"/>
      <c r="M2853" s="81"/>
      <c r="N2853" s="81"/>
      <c r="O2853" s="81"/>
      <c r="P2853" s="81"/>
      <c r="Q2853" s="81"/>
      <c r="R2853" s="81"/>
      <c r="S2853" s="81"/>
      <c r="T2853" s="81"/>
      <c r="U2853" s="81"/>
      <c r="V2853" s="94"/>
      <c r="W2853" s="94"/>
    </row>
    <row r="2854" spans="1:23" ht="21" customHeight="1">
      <c r="A2854">
        <f>Table4[[#This Row],[Column1]]</f>
        <v>0</v>
      </c>
      <c r="B2854">
        <f>Table4[[#This Row],[Column2]]</f>
        <v>0</v>
      </c>
      <c r="C2854" s="81"/>
      <c r="D2854" s="81"/>
      <c r="E2854" s="81"/>
      <c r="F2854" s="81"/>
      <c r="G2854" s="81"/>
      <c r="H2854" s="81"/>
      <c r="I2854" s="81"/>
      <c r="J2854" s="81"/>
      <c r="K2854" s="81"/>
      <c r="L2854" s="81"/>
      <c r="M2854" s="81"/>
      <c r="N2854" s="81"/>
      <c r="O2854" s="81"/>
      <c r="P2854" s="81"/>
      <c r="Q2854" s="81"/>
      <c r="R2854" s="81"/>
      <c r="S2854" s="81"/>
      <c r="T2854" s="81"/>
      <c r="U2854" s="81"/>
      <c r="V2854" s="94"/>
      <c r="W2854" s="94"/>
    </row>
    <row r="2855" spans="1:23" ht="21" customHeight="1">
      <c r="A2855">
        <f>Table4[[#This Row],[Column1]]</f>
        <v>0</v>
      </c>
      <c r="B2855">
        <f>Table4[[#This Row],[Column2]]</f>
        <v>0</v>
      </c>
      <c r="C2855" s="81"/>
      <c r="D2855" s="81"/>
      <c r="E2855" s="81"/>
      <c r="F2855" s="81"/>
      <c r="G2855" s="81"/>
      <c r="H2855" s="81"/>
      <c r="I2855" s="81"/>
      <c r="J2855" s="81"/>
      <c r="K2855" s="81"/>
      <c r="L2855" s="81"/>
      <c r="M2855" s="81"/>
      <c r="N2855" s="81"/>
      <c r="O2855" s="81"/>
      <c r="P2855" s="81"/>
      <c r="Q2855" s="81"/>
      <c r="R2855" s="81"/>
      <c r="S2855" s="81"/>
      <c r="T2855" s="81"/>
      <c r="U2855" s="81"/>
      <c r="V2855" s="94"/>
      <c r="W2855" s="94"/>
    </row>
    <row r="2856" spans="1:23" ht="21" customHeight="1">
      <c r="A2856">
        <f>Table4[[#This Row],[Column1]]</f>
        <v>0</v>
      </c>
      <c r="B2856">
        <f>Table4[[#This Row],[Column2]]</f>
        <v>0</v>
      </c>
      <c r="C2856" s="81"/>
      <c r="D2856" s="81"/>
      <c r="E2856" s="81"/>
      <c r="F2856" s="81"/>
      <c r="G2856" s="81"/>
      <c r="H2856" s="81"/>
      <c r="I2856" s="81"/>
      <c r="J2856" s="81"/>
      <c r="K2856" s="81"/>
      <c r="L2856" s="81"/>
      <c r="M2856" s="81"/>
      <c r="N2856" s="81"/>
      <c r="O2856" s="81"/>
      <c r="P2856" s="81"/>
      <c r="Q2856" s="81"/>
      <c r="R2856" s="81"/>
      <c r="S2856" s="81"/>
      <c r="T2856" s="81"/>
      <c r="U2856" s="81"/>
      <c r="V2856" s="94"/>
      <c r="W2856" s="94"/>
    </row>
    <row r="2857" spans="1:23" ht="21" customHeight="1">
      <c r="A2857">
        <f>Table4[[#This Row],[Column1]]</f>
        <v>0</v>
      </c>
      <c r="B2857">
        <f>Table4[[#This Row],[Column2]]</f>
        <v>0</v>
      </c>
      <c r="C2857" s="81"/>
      <c r="D2857" s="81"/>
      <c r="E2857" s="81"/>
      <c r="F2857" s="81"/>
      <c r="G2857" s="81"/>
      <c r="H2857" s="81"/>
      <c r="I2857" s="81"/>
      <c r="J2857" s="81"/>
      <c r="K2857" s="81"/>
      <c r="L2857" s="81"/>
      <c r="M2857" s="81"/>
      <c r="N2857" s="81"/>
      <c r="O2857" s="81"/>
      <c r="P2857" s="81"/>
      <c r="Q2857" s="81"/>
      <c r="R2857" s="81"/>
      <c r="S2857" s="81"/>
      <c r="T2857" s="81"/>
      <c r="U2857" s="81"/>
      <c r="V2857" s="94"/>
      <c r="W2857" s="94"/>
    </row>
    <row r="2858" spans="1:23" ht="21" customHeight="1">
      <c r="A2858">
        <f>Table4[[#This Row],[Column1]]</f>
        <v>0</v>
      </c>
      <c r="B2858">
        <f>Table4[[#This Row],[Column2]]</f>
        <v>0</v>
      </c>
      <c r="C2858" s="81"/>
      <c r="D2858" s="81"/>
      <c r="E2858" s="81"/>
      <c r="F2858" s="81"/>
      <c r="G2858" s="81"/>
      <c r="H2858" s="81"/>
      <c r="I2858" s="81"/>
      <c r="J2858" s="81"/>
      <c r="K2858" s="81"/>
      <c r="L2858" s="81"/>
      <c r="M2858" s="81"/>
      <c r="N2858" s="81"/>
      <c r="O2858" s="81"/>
      <c r="P2858" s="81"/>
      <c r="Q2858" s="81"/>
      <c r="R2858" s="81"/>
      <c r="S2858" s="81"/>
      <c r="T2858" s="81"/>
      <c r="U2858" s="81"/>
      <c r="V2858" s="94"/>
      <c r="W2858" s="94"/>
    </row>
    <row r="2859" spans="1:23" ht="21" customHeight="1">
      <c r="A2859">
        <f>Table4[[#This Row],[Column1]]</f>
        <v>0</v>
      </c>
      <c r="B2859">
        <f>Table4[[#This Row],[Column2]]</f>
        <v>0</v>
      </c>
      <c r="C2859" s="81"/>
      <c r="D2859" s="81"/>
      <c r="E2859" s="81"/>
      <c r="F2859" s="81"/>
      <c r="G2859" s="81"/>
      <c r="H2859" s="81"/>
      <c r="I2859" s="81"/>
      <c r="J2859" s="81"/>
      <c r="K2859" s="81"/>
      <c r="L2859" s="81"/>
      <c r="M2859" s="81"/>
      <c r="N2859" s="81"/>
      <c r="O2859" s="81"/>
      <c r="P2859" s="81"/>
      <c r="Q2859" s="81"/>
      <c r="R2859" s="81"/>
      <c r="S2859" s="81"/>
      <c r="T2859" s="81"/>
      <c r="U2859" s="81"/>
      <c r="V2859" s="94"/>
      <c r="W2859" s="94"/>
    </row>
    <row r="2860" spans="1:23" ht="21" customHeight="1">
      <c r="A2860">
        <f>Table4[[#This Row],[Column1]]</f>
        <v>0</v>
      </c>
      <c r="B2860">
        <f>Table4[[#This Row],[Column2]]</f>
        <v>0</v>
      </c>
      <c r="C2860" s="81"/>
      <c r="D2860" s="81"/>
      <c r="E2860" s="81"/>
      <c r="F2860" s="81"/>
      <c r="G2860" s="81"/>
      <c r="H2860" s="81"/>
      <c r="I2860" s="81"/>
      <c r="J2860" s="81"/>
      <c r="K2860" s="81"/>
      <c r="L2860" s="81"/>
      <c r="M2860" s="81"/>
      <c r="N2860" s="81"/>
      <c r="O2860" s="81"/>
      <c r="P2860" s="81"/>
      <c r="Q2860" s="81"/>
      <c r="R2860" s="81"/>
      <c r="S2860" s="81"/>
      <c r="T2860" s="81"/>
      <c r="U2860" s="81"/>
      <c r="V2860" s="94"/>
      <c r="W2860" s="94"/>
    </row>
    <row r="2861" spans="1:23" ht="21" customHeight="1">
      <c r="A2861">
        <f>Table4[[#This Row],[Column1]]</f>
        <v>0</v>
      </c>
      <c r="B2861">
        <f>Table4[[#This Row],[Column2]]</f>
        <v>0</v>
      </c>
      <c r="C2861" s="81"/>
      <c r="D2861" s="81"/>
      <c r="E2861" s="81"/>
      <c r="F2861" s="81"/>
      <c r="G2861" s="81"/>
      <c r="H2861" s="81"/>
      <c r="I2861" s="81"/>
      <c r="J2861" s="81"/>
      <c r="K2861" s="81"/>
      <c r="L2861" s="81"/>
      <c r="M2861" s="81"/>
      <c r="N2861" s="81"/>
      <c r="O2861" s="81"/>
      <c r="P2861" s="81"/>
      <c r="Q2861" s="81"/>
      <c r="R2861" s="81"/>
      <c r="S2861" s="81"/>
      <c r="T2861" s="81"/>
      <c r="U2861" s="81"/>
      <c r="V2861" s="94"/>
      <c r="W2861" s="94"/>
    </row>
    <row r="2862" spans="1:23" ht="21" customHeight="1">
      <c r="A2862">
        <f>Table4[[#This Row],[Column1]]</f>
        <v>0</v>
      </c>
      <c r="B2862">
        <f>Table4[[#This Row],[Column2]]</f>
        <v>0</v>
      </c>
      <c r="C2862" s="81"/>
      <c r="D2862" s="81"/>
      <c r="E2862" s="81"/>
      <c r="F2862" s="81"/>
      <c r="G2862" s="81"/>
      <c r="H2862" s="81"/>
      <c r="I2862" s="81"/>
      <c r="J2862" s="81"/>
      <c r="K2862" s="81"/>
      <c r="L2862" s="81"/>
      <c r="M2862" s="81"/>
      <c r="N2862" s="81"/>
      <c r="O2862" s="81"/>
      <c r="P2862" s="81"/>
      <c r="Q2862" s="81"/>
      <c r="R2862" s="81"/>
      <c r="S2862" s="81"/>
      <c r="T2862" s="81"/>
      <c r="U2862" s="81"/>
      <c r="V2862" s="94"/>
      <c r="W2862" s="94"/>
    </row>
    <row r="2863" spans="1:23" ht="21" customHeight="1">
      <c r="A2863">
        <f>Table4[[#This Row],[Column1]]</f>
        <v>0</v>
      </c>
      <c r="B2863">
        <f>Table4[[#This Row],[Column2]]</f>
        <v>0</v>
      </c>
      <c r="C2863" s="81"/>
      <c r="D2863" s="81"/>
      <c r="E2863" s="81"/>
      <c r="F2863" s="81"/>
      <c r="G2863" s="81"/>
      <c r="H2863" s="81"/>
      <c r="I2863" s="81"/>
      <c r="J2863" s="81"/>
      <c r="K2863" s="81"/>
      <c r="L2863" s="81"/>
      <c r="M2863" s="81"/>
      <c r="N2863" s="81"/>
      <c r="O2863" s="81"/>
      <c r="P2863" s="81"/>
      <c r="Q2863" s="81"/>
      <c r="R2863" s="81"/>
      <c r="S2863" s="81"/>
      <c r="T2863" s="81"/>
      <c r="U2863" s="81"/>
      <c r="V2863" s="94"/>
      <c r="W2863" s="94"/>
    </row>
    <row r="2864" spans="1:23" ht="21" customHeight="1">
      <c r="A2864">
        <f>Table4[[#This Row],[Column1]]</f>
        <v>0</v>
      </c>
      <c r="B2864">
        <f>Table4[[#This Row],[Column2]]</f>
        <v>0</v>
      </c>
      <c r="C2864" s="81"/>
      <c r="D2864" s="81"/>
      <c r="E2864" s="81"/>
      <c r="F2864" s="81"/>
      <c r="G2864" s="81"/>
      <c r="H2864" s="81"/>
      <c r="I2864" s="81"/>
      <c r="J2864" s="81"/>
      <c r="K2864" s="81"/>
      <c r="L2864" s="81"/>
      <c r="M2864" s="81"/>
      <c r="N2864" s="81"/>
      <c r="O2864" s="81"/>
      <c r="P2864" s="81"/>
      <c r="Q2864" s="81"/>
      <c r="R2864" s="81"/>
      <c r="S2864" s="81"/>
      <c r="T2864" s="81"/>
      <c r="U2864" s="81"/>
      <c r="V2864" s="94"/>
      <c r="W2864" s="94"/>
    </row>
    <row r="2865" spans="1:23" ht="21" customHeight="1">
      <c r="A2865">
        <f>Table4[[#This Row],[Column1]]</f>
        <v>0</v>
      </c>
      <c r="B2865">
        <f>Table4[[#This Row],[Column2]]</f>
        <v>0</v>
      </c>
      <c r="C2865" s="81"/>
      <c r="D2865" s="81"/>
      <c r="E2865" s="81"/>
      <c r="F2865" s="81"/>
      <c r="G2865" s="81"/>
      <c r="H2865" s="81"/>
      <c r="I2865" s="81"/>
      <c r="J2865" s="81"/>
      <c r="K2865" s="81"/>
      <c r="L2865" s="81"/>
      <c r="M2865" s="81"/>
      <c r="N2865" s="81"/>
      <c r="O2865" s="81"/>
      <c r="P2865" s="81"/>
      <c r="Q2865" s="81"/>
      <c r="R2865" s="81"/>
      <c r="S2865" s="81"/>
      <c r="T2865" s="81"/>
      <c r="U2865" s="81"/>
      <c r="V2865" s="94"/>
      <c r="W2865" s="94"/>
    </row>
    <row r="2866" spans="1:23" ht="21" customHeight="1">
      <c r="A2866">
        <f>Table4[[#This Row],[Column1]]</f>
        <v>0</v>
      </c>
      <c r="B2866">
        <f>Table4[[#This Row],[Column2]]</f>
        <v>0</v>
      </c>
      <c r="C2866" s="81"/>
      <c r="D2866" s="81"/>
      <c r="E2866" s="81"/>
      <c r="F2866" s="81"/>
      <c r="G2866" s="81"/>
      <c r="H2866" s="81"/>
      <c r="I2866" s="81"/>
      <c r="J2866" s="81"/>
      <c r="K2866" s="81"/>
      <c r="L2866" s="81"/>
      <c r="M2866" s="81"/>
      <c r="N2866" s="81"/>
      <c r="O2866" s="81"/>
      <c r="P2866" s="81"/>
      <c r="Q2866" s="81"/>
      <c r="R2866" s="81"/>
      <c r="S2866" s="81"/>
      <c r="T2866" s="81"/>
      <c r="U2866" s="81"/>
      <c r="V2866" s="94"/>
      <c r="W2866" s="94"/>
    </row>
    <row r="2867" spans="1:23" ht="21" customHeight="1">
      <c r="A2867">
        <f>Table4[[#This Row],[Column1]]</f>
        <v>0</v>
      </c>
      <c r="B2867">
        <f>Table4[[#This Row],[Column2]]</f>
        <v>0</v>
      </c>
      <c r="C2867" s="81"/>
      <c r="D2867" s="81"/>
      <c r="E2867" s="81"/>
      <c r="F2867" s="81"/>
      <c r="G2867" s="81"/>
      <c r="H2867" s="81"/>
      <c r="I2867" s="81"/>
      <c r="J2867" s="81"/>
      <c r="K2867" s="81"/>
      <c r="L2867" s="81"/>
      <c r="M2867" s="81"/>
      <c r="N2867" s="81"/>
      <c r="O2867" s="81"/>
      <c r="P2867" s="81"/>
      <c r="Q2867" s="81"/>
      <c r="R2867" s="81"/>
      <c r="S2867" s="81"/>
      <c r="T2867" s="81"/>
      <c r="U2867" s="81"/>
      <c r="V2867" s="94"/>
      <c r="W2867" s="94"/>
    </row>
    <row r="2868" spans="1:23" ht="21" customHeight="1">
      <c r="A2868">
        <f>Table4[[#This Row],[Column1]]</f>
        <v>0</v>
      </c>
      <c r="B2868">
        <f>Table4[[#This Row],[Column2]]</f>
        <v>0</v>
      </c>
      <c r="C2868" s="81"/>
      <c r="D2868" s="81"/>
      <c r="E2868" s="81"/>
      <c r="F2868" s="81"/>
      <c r="G2868" s="81"/>
      <c r="H2868" s="81"/>
      <c r="I2868" s="81"/>
      <c r="J2868" s="81"/>
      <c r="K2868" s="81"/>
      <c r="L2868" s="81"/>
      <c r="M2868" s="81"/>
      <c r="N2868" s="81"/>
      <c r="O2868" s="81"/>
      <c r="P2868" s="81"/>
      <c r="Q2868" s="81"/>
      <c r="R2868" s="81"/>
      <c r="S2868" s="81"/>
      <c r="T2868" s="81"/>
      <c r="U2868" s="81"/>
      <c r="V2868" s="94"/>
      <c r="W2868" s="94"/>
    </row>
    <row r="2869" spans="1:23" ht="21" customHeight="1">
      <c r="A2869">
        <f>Table4[[#This Row],[Column1]]</f>
        <v>0</v>
      </c>
      <c r="B2869">
        <f>Table4[[#This Row],[Column2]]</f>
        <v>0</v>
      </c>
      <c r="C2869" s="81"/>
      <c r="D2869" s="81"/>
      <c r="E2869" s="81"/>
      <c r="F2869" s="81"/>
      <c r="G2869" s="81"/>
      <c r="H2869" s="81"/>
      <c r="I2869" s="81"/>
      <c r="J2869" s="81"/>
      <c r="K2869" s="81"/>
      <c r="L2869" s="81"/>
      <c r="M2869" s="81"/>
      <c r="N2869" s="81"/>
      <c r="O2869" s="81"/>
      <c r="P2869" s="81"/>
      <c r="Q2869" s="81"/>
      <c r="R2869" s="81"/>
      <c r="S2869" s="81"/>
      <c r="T2869" s="81"/>
      <c r="U2869" s="81"/>
      <c r="V2869" s="94"/>
      <c r="W2869" s="94"/>
    </row>
    <row r="2870" spans="1:23" ht="21" customHeight="1">
      <c r="A2870">
        <f>Table4[[#This Row],[Column1]]</f>
        <v>0</v>
      </c>
      <c r="B2870">
        <f>Table4[[#This Row],[Column2]]</f>
        <v>0</v>
      </c>
      <c r="C2870" s="81"/>
      <c r="D2870" s="81"/>
      <c r="E2870" s="81"/>
      <c r="F2870" s="81"/>
      <c r="G2870" s="81"/>
      <c r="H2870" s="81"/>
      <c r="I2870" s="81"/>
      <c r="J2870" s="81"/>
      <c r="K2870" s="81"/>
      <c r="L2870" s="81"/>
      <c r="M2870" s="81"/>
      <c r="N2870" s="81"/>
      <c r="O2870" s="81"/>
      <c r="P2870" s="81"/>
      <c r="Q2870" s="81"/>
      <c r="R2870" s="81"/>
      <c r="S2870" s="81"/>
      <c r="T2870" s="81"/>
      <c r="U2870" s="81"/>
      <c r="V2870" s="94"/>
      <c r="W2870" s="94"/>
    </row>
    <row r="2871" spans="1:23" ht="21" customHeight="1">
      <c r="A2871">
        <f>Table4[[#This Row],[Column1]]</f>
        <v>0</v>
      </c>
      <c r="B2871">
        <f>Table4[[#This Row],[Column2]]</f>
        <v>0</v>
      </c>
      <c r="C2871" s="81"/>
      <c r="D2871" s="81"/>
      <c r="E2871" s="81"/>
      <c r="F2871" s="81"/>
      <c r="G2871" s="81"/>
      <c r="H2871" s="81"/>
      <c r="I2871" s="81"/>
      <c r="J2871" s="81"/>
      <c r="K2871" s="81"/>
      <c r="L2871" s="81"/>
      <c r="M2871" s="81"/>
      <c r="N2871" s="81"/>
      <c r="O2871" s="81"/>
      <c r="P2871" s="81"/>
      <c r="Q2871" s="81"/>
      <c r="R2871" s="81"/>
      <c r="S2871" s="81"/>
      <c r="T2871" s="81"/>
      <c r="U2871" s="81"/>
      <c r="V2871" s="94"/>
      <c r="W2871" s="94"/>
    </row>
    <row r="2872" spans="1:23" ht="21" customHeight="1">
      <c r="A2872">
        <f>Table4[[#This Row],[Column1]]</f>
        <v>0</v>
      </c>
      <c r="B2872">
        <f>Table4[[#This Row],[Column2]]</f>
        <v>0</v>
      </c>
      <c r="C2872" s="81"/>
      <c r="D2872" s="81"/>
      <c r="E2872" s="81"/>
      <c r="F2872" s="81"/>
      <c r="G2872" s="81"/>
      <c r="H2872" s="81"/>
      <c r="I2872" s="81"/>
      <c r="J2872" s="81"/>
      <c r="K2872" s="81"/>
      <c r="L2872" s="81"/>
      <c r="M2872" s="81"/>
      <c r="N2872" s="81"/>
      <c r="O2872" s="81"/>
      <c r="P2872" s="81"/>
      <c r="Q2872" s="81"/>
      <c r="R2872" s="81"/>
      <c r="S2872" s="81"/>
      <c r="T2872" s="81"/>
      <c r="U2872" s="81"/>
      <c r="V2872" s="94"/>
      <c r="W2872" s="94"/>
    </row>
    <row r="2873" spans="1:23" ht="21" customHeight="1">
      <c r="A2873">
        <f>Table4[[#This Row],[Column1]]</f>
        <v>0</v>
      </c>
      <c r="B2873">
        <f>Table4[[#This Row],[Column2]]</f>
        <v>0</v>
      </c>
      <c r="C2873" s="81"/>
      <c r="D2873" s="81"/>
      <c r="E2873" s="81"/>
      <c r="F2873" s="81"/>
      <c r="G2873" s="81"/>
      <c r="H2873" s="81"/>
      <c r="I2873" s="81"/>
      <c r="J2873" s="81"/>
      <c r="K2873" s="81"/>
      <c r="L2873" s="81"/>
      <c r="M2873" s="81"/>
      <c r="N2873" s="81"/>
      <c r="O2873" s="81"/>
      <c r="P2873" s="81"/>
      <c r="Q2873" s="81"/>
      <c r="R2873" s="81"/>
      <c r="S2873" s="81"/>
      <c r="T2873" s="81"/>
      <c r="U2873" s="81"/>
      <c r="V2873" s="94"/>
      <c r="W2873" s="94"/>
    </row>
    <row r="2874" spans="1:23" ht="21" customHeight="1">
      <c r="A2874">
        <f>Table4[[#This Row],[Column1]]</f>
        <v>0</v>
      </c>
      <c r="B2874">
        <f>Table4[[#This Row],[Column2]]</f>
        <v>0</v>
      </c>
      <c r="C2874" s="81"/>
      <c r="D2874" s="81"/>
      <c r="E2874" s="81"/>
      <c r="F2874" s="81"/>
      <c r="G2874" s="81"/>
      <c r="H2874" s="81"/>
      <c r="I2874" s="81"/>
      <c r="J2874" s="81"/>
      <c r="K2874" s="81"/>
      <c r="L2874" s="81"/>
      <c r="M2874" s="81"/>
      <c r="N2874" s="81"/>
      <c r="O2874" s="81"/>
      <c r="P2874" s="81"/>
      <c r="Q2874" s="81"/>
      <c r="R2874" s="81"/>
      <c r="S2874" s="81"/>
      <c r="T2874" s="81"/>
      <c r="U2874" s="81"/>
      <c r="V2874" s="94"/>
      <c r="W2874" s="94"/>
    </row>
    <row r="2875" spans="1:23" ht="21" customHeight="1">
      <c r="A2875">
        <f>Table4[[#This Row],[Column1]]</f>
        <v>0</v>
      </c>
      <c r="B2875">
        <f>Table4[[#This Row],[Column2]]</f>
        <v>0</v>
      </c>
      <c r="C2875" s="81"/>
      <c r="D2875" s="81"/>
      <c r="E2875" s="81"/>
      <c r="F2875" s="81"/>
      <c r="G2875" s="81"/>
      <c r="H2875" s="81"/>
      <c r="I2875" s="81"/>
      <c r="J2875" s="81"/>
      <c r="K2875" s="81"/>
      <c r="L2875" s="81"/>
      <c r="M2875" s="81"/>
      <c r="N2875" s="81"/>
      <c r="O2875" s="81"/>
      <c r="P2875" s="81"/>
      <c r="Q2875" s="81"/>
      <c r="R2875" s="81"/>
      <c r="S2875" s="81"/>
      <c r="T2875" s="81"/>
      <c r="U2875" s="81"/>
      <c r="V2875" s="94"/>
      <c r="W2875" s="94"/>
    </row>
    <row r="2876" spans="1:23" ht="21" customHeight="1">
      <c r="A2876">
        <f>Table4[[#This Row],[Column1]]</f>
        <v>0</v>
      </c>
      <c r="B2876">
        <f>Table4[[#This Row],[Column2]]</f>
        <v>0</v>
      </c>
      <c r="C2876" s="81"/>
      <c r="D2876" s="81"/>
      <c r="E2876" s="81"/>
      <c r="F2876" s="81"/>
      <c r="G2876" s="81"/>
      <c r="H2876" s="81"/>
      <c r="I2876" s="81"/>
      <c r="J2876" s="81"/>
      <c r="K2876" s="81"/>
      <c r="L2876" s="81"/>
      <c r="M2876" s="81"/>
      <c r="N2876" s="81"/>
      <c r="O2876" s="81"/>
      <c r="P2876" s="81"/>
      <c r="Q2876" s="81"/>
      <c r="R2876" s="81"/>
      <c r="S2876" s="81"/>
      <c r="T2876" s="81"/>
      <c r="U2876" s="81"/>
      <c r="V2876" s="94"/>
      <c r="W2876" s="94"/>
    </row>
    <row r="2877" spans="1:23" ht="21" customHeight="1">
      <c r="A2877">
        <f>Table4[[#This Row],[Column1]]</f>
        <v>0</v>
      </c>
      <c r="B2877">
        <f>Table4[[#This Row],[Column2]]</f>
        <v>0</v>
      </c>
      <c r="C2877" s="81"/>
      <c r="D2877" s="81"/>
      <c r="E2877" s="81"/>
      <c r="F2877" s="81"/>
      <c r="G2877" s="81"/>
      <c r="H2877" s="81"/>
      <c r="I2877" s="81"/>
      <c r="J2877" s="81"/>
      <c r="K2877" s="81"/>
      <c r="L2877" s="81"/>
      <c r="M2877" s="81"/>
      <c r="N2877" s="81"/>
      <c r="O2877" s="81"/>
      <c r="P2877" s="81"/>
      <c r="Q2877" s="81"/>
      <c r="R2877" s="81"/>
      <c r="S2877" s="81"/>
      <c r="T2877" s="81"/>
      <c r="U2877" s="81"/>
      <c r="V2877" s="94"/>
      <c r="W2877" s="94"/>
    </row>
    <row r="2878" spans="1:23" ht="21" customHeight="1">
      <c r="A2878">
        <f>Table4[[#This Row],[Column1]]</f>
        <v>0</v>
      </c>
      <c r="B2878">
        <f>Table4[[#This Row],[Column2]]</f>
        <v>0</v>
      </c>
      <c r="C2878" s="81"/>
      <c r="D2878" s="81"/>
      <c r="E2878" s="81"/>
      <c r="F2878" s="81"/>
      <c r="G2878" s="81"/>
      <c r="H2878" s="81"/>
      <c r="I2878" s="81"/>
      <c r="J2878" s="81"/>
      <c r="K2878" s="81"/>
      <c r="L2878" s="81"/>
      <c r="M2878" s="81"/>
      <c r="N2878" s="81"/>
      <c r="O2878" s="81"/>
      <c r="P2878" s="81"/>
      <c r="Q2878" s="81"/>
      <c r="R2878" s="81"/>
      <c r="S2878" s="81"/>
      <c r="T2878" s="81"/>
      <c r="U2878" s="81"/>
      <c r="V2878" s="94"/>
      <c r="W2878" s="94"/>
    </row>
    <row r="2879" spans="1:23" ht="21" customHeight="1">
      <c r="A2879">
        <f>Table4[[#This Row],[Column1]]</f>
        <v>0</v>
      </c>
      <c r="B2879">
        <f>Table4[[#This Row],[Column2]]</f>
        <v>0</v>
      </c>
      <c r="C2879" s="81"/>
      <c r="D2879" s="81"/>
      <c r="E2879" s="81"/>
      <c r="F2879" s="81"/>
      <c r="G2879" s="81"/>
      <c r="H2879" s="81"/>
      <c r="I2879" s="81"/>
      <c r="J2879" s="81"/>
      <c r="K2879" s="81"/>
      <c r="L2879" s="81"/>
      <c r="M2879" s="81"/>
      <c r="N2879" s="81"/>
      <c r="O2879" s="81"/>
      <c r="P2879" s="81"/>
      <c r="Q2879" s="81"/>
      <c r="R2879" s="81"/>
      <c r="S2879" s="81"/>
      <c r="T2879" s="81"/>
      <c r="U2879" s="81"/>
      <c r="V2879" s="94"/>
      <c r="W2879" s="94"/>
    </row>
    <row r="2880" spans="1:23" ht="21" customHeight="1">
      <c r="A2880">
        <f>Table4[[#This Row],[Column1]]</f>
        <v>0</v>
      </c>
      <c r="B2880">
        <f>Table4[[#This Row],[Column2]]</f>
        <v>0</v>
      </c>
      <c r="C2880" s="81"/>
      <c r="D2880" s="81"/>
      <c r="E2880" s="81"/>
      <c r="F2880" s="81"/>
      <c r="G2880" s="81"/>
      <c r="H2880" s="81"/>
      <c r="I2880" s="81"/>
      <c r="J2880" s="81"/>
      <c r="K2880" s="81"/>
      <c r="L2880" s="81"/>
      <c r="M2880" s="81"/>
      <c r="N2880" s="81"/>
      <c r="O2880" s="81"/>
      <c r="P2880" s="81"/>
      <c r="Q2880" s="81"/>
      <c r="R2880" s="81"/>
      <c r="S2880" s="81"/>
      <c r="T2880" s="81"/>
      <c r="U2880" s="81"/>
      <c r="V2880" s="94"/>
      <c r="W2880" s="94"/>
    </row>
    <row r="2881" spans="1:23" ht="21" customHeight="1">
      <c r="A2881">
        <f>Table4[[#This Row],[Column1]]</f>
        <v>0</v>
      </c>
      <c r="B2881">
        <f>Table4[[#This Row],[Column2]]</f>
        <v>0</v>
      </c>
      <c r="C2881" s="81"/>
      <c r="D2881" s="81"/>
      <c r="E2881" s="81"/>
      <c r="F2881" s="81"/>
      <c r="G2881" s="81"/>
      <c r="H2881" s="81"/>
      <c r="I2881" s="81"/>
      <c r="J2881" s="81"/>
      <c r="K2881" s="81"/>
      <c r="L2881" s="81"/>
      <c r="M2881" s="81"/>
      <c r="N2881" s="81"/>
      <c r="O2881" s="81"/>
      <c r="P2881" s="81"/>
      <c r="Q2881" s="81"/>
      <c r="R2881" s="81"/>
      <c r="S2881" s="81"/>
      <c r="T2881" s="81"/>
      <c r="U2881" s="81"/>
      <c r="V2881" s="94"/>
      <c r="W2881" s="94"/>
    </row>
    <row r="2882" spans="1:23" ht="21" customHeight="1">
      <c r="A2882">
        <f>Table4[[#This Row],[Column1]]</f>
        <v>0</v>
      </c>
      <c r="B2882">
        <f>Table4[[#This Row],[Column2]]</f>
        <v>0</v>
      </c>
      <c r="C2882" s="81"/>
      <c r="D2882" s="81"/>
      <c r="E2882" s="81"/>
      <c r="F2882" s="81"/>
      <c r="G2882" s="81"/>
      <c r="H2882" s="81"/>
      <c r="I2882" s="81"/>
      <c r="J2882" s="81"/>
      <c r="K2882" s="81"/>
      <c r="L2882" s="81"/>
      <c r="M2882" s="81"/>
      <c r="N2882" s="81"/>
      <c r="O2882" s="81"/>
      <c r="P2882" s="81"/>
      <c r="Q2882" s="81"/>
      <c r="R2882" s="81"/>
      <c r="S2882" s="81"/>
      <c r="T2882" s="81"/>
      <c r="U2882" s="81"/>
      <c r="V2882" s="94"/>
      <c r="W2882" s="94"/>
    </row>
    <row r="2883" spans="1:23" ht="21" customHeight="1">
      <c r="A2883">
        <f>Table4[[#This Row],[Column1]]</f>
        <v>0</v>
      </c>
      <c r="B2883">
        <f>Table4[[#This Row],[Column2]]</f>
        <v>0</v>
      </c>
      <c r="C2883" s="81"/>
      <c r="D2883" s="81"/>
      <c r="E2883" s="81"/>
      <c r="F2883" s="81"/>
      <c r="G2883" s="81"/>
      <c r="H2883" s="81"/>
      <c r="I2883" s="81"/>
      <c r="J2883" s="81"/>
      <c r="K2883" s="81"/>
      <c r="L2883" s="81"/>
      <c r="M2883" s="81"/>
      <c r="N2883" s="81"/>
      <c r="O2883" s="81"/>
      <c r="P2883" s="81"/>
      <c r="Q2883" s="81"/>
      <c r="R2883" s="81"/>
      <c r="S2883" s="81"/>
      <c r="T2883" s="81"/>
      <c r="U2883" s="81"/>
      <c r="V2883" s="94"/>
      <c r="W2883" s="94"/>
    </row>
    <row r="2884" spans="1:23" ht="21" customHeight="1">
      <c r="A2884">
        <f>Table4[[#This Row],[Column1]]</f>
        <v>0</v>
      </c>
      <c r="B2884">
        <f>Table4[[#This Row],[Column2]]</f>
        <v>0</v>
      </c>
      <c r="C2884" s="81"/>
      <c r="D2884" s="81"/>
      <c r="E2884" s="81"/>
      <c r="F2884" s="81"/>
      <c r="G2884" s="81"/>
      <c r="H2884" s="81"/>
      <c r="I2884" s="81"/>
      <c r="J2884" s="81"/>
      <c r="K2884" s="81"/>
      <c r="L2884" s="81"/>
      <c r="M2884" s="81"/>
      <c r="N2884" s="81"/>
      <c r="O2884" s="81"/>
      <c r="P2884" s="81"/>
      <c r="Q2884" s="81"/>
      <c r="R2884" s="81"/>
      <c r="S2884" s="81"/>
      <c r="T2884" s="81"/>
      <c r="U2884" s="81"/>
      <c r="V2884" s="94"/>
      <c r="W2884" s="94"/>
    </row>
    <row r="2885" spans="1:23" ht="21" customHeight="1">
      <c r="A2885">
        <f>Table4[[#This Row],[Column1]]</f>
        <v>0</v>
      </c>
      <c r="B2885">
        <f>Table4[[#This Row],[Column2]]</f>
        <v>0</v>
      </c>
      <c r="C2885" s="81"/>
      <c r="D2885" s="81"/>
      <c r="E2885" s="81"/>
      <c r="F2885" s="81"/>
      <c r="G2885" s="81"/>
      <c r="H2885" s="81"/>
      <c r="I2885" s="81"/>
      <c r="J2885" s="81"/>
      <c r="K2885" s="81"/>
      <c r="L2885" s="81"/>
      <c r="M2885" s="81"/>
      <c r="N2885" s="81"/>
      <c r="O2885" s="81"/>
      <c r="P2885" s="81"/>
      <c r="Q2885" s="81"/>
      <c r="R2885" s="81"/>
      <c r="S2885" s="81"/>
      <c r="T2885" s="81"/>
      <c r="U2885" s="81"/>
      <c r="V2885" s="94"/>
      <c r="W2885" s="94"/>
    </row>
    <row r="2886" spans="1:23" ht="21" customHeight="1">
      <c r="A2886">
        <f>Table4[[#This Row],[Column1]]</f>
        <v>0</v>
      </c>
      <c r="B2886">
        <f>Table4[[#This Row],[Column2]]</f>
        <v>0</v>
      </c>
      <c r="C2886" s="81"/>
      <c r="D2886" s="81"/>
      <c r="E2886" s="81"/>
      <c r="F2886" s="81"/>
      <c r="G2886" s="81"/>
      <c r="H2886" s="81"/>
      <c r="I2886" s="81"/>
      <c r="J2886" s="81"/>
      <c r="K2886" s="81"/>
      <c r="L2886" s="81"/>
      <c r="M2886" s="81"/>
      <c r="N2886" s="81"/>
      <c r="O2886" s="81"/>
      <c r="P2886" s="81"/>
      <c r="Q2886" s="81"/>
      <c r="R2886" s="81"/>
      <c r="S2886" s="81"/>
      <c r="T2886" s="81"/>
      <c r="U2886" s="81"/>
      <c r="V2886" s="94"/>
      <c r="W2886" s="94"/>
    </row>
    <row r="2887" spans="1:23" ht="21" customHeight="1">
      <c r="A2887">
        <f>Table4[[#This Row],[Column1]]</f>
        <v>0</v>
      </c>
      <c r="B2887">
        <f>Table4[[#This Row],[Column2]]</f>
        <v>0</v>
      </c>
      <c r="C2887" s="81"/>
      <c r="D2887" s="81"/>
      <c r="E2887" s="81"/>
      <c r="F2887" s="81"/>
      <c r="G2887" s="81"/>
      <c r="H2887" s="81"/>
      <c r="I2887" s="81"/>
      <c r="J2887" s="81"/>
      <c r="K2887" s="81"/>
      <c r="L2887" s="81"/>
      <c r="M2887" s="81"/>
      <c r="N2887" s="81"/>
      <c r="O2887" s="81"/>
      <c r="P2887" s="81"/>
      <c r="Q2887" s="81"/>
      <c r="R2887" s="81"/>
      <c r="S2887" s="81"/>
      <c r="T2887" s="81"/>
      <c r="U2887" s="81"/>
      <c r="V2887" s="94"/>
      <c r="W2887" s="94"/>
    </row>
    <row r="2888" spans="1:23" ht="21" customHeight="1">
      <c r="A2888">
        <f>Table4[[#This Row],[Column1]]</f>
        <v>0</v>
      </c>
      <c r="B2888">
        <f>Table4[[#This Row],[Column2]]</f>
        <v>0</v>
      </c>
      <c r="C2888" s="81"/>
      <c r="D2888" s="81"/>
      <c r="E2888" s="81"/>
      <c r="F2888" s="81"/>
      <c r="G2888" s="81"/>
      <c r="H2888" s="81"/>
      <c r="I2888" s="81"/>
      <c r="J2888" s="81"/>
      <c r="K2888" s="81"/>
      <c r="L2888" s="81"/>
      <c r="M2888" s="81"/>
      <c r="N2888" s="81"/>
      <c r="O2888" s="81"/>
      <c r="P2888" s="81"/>
      <c r="Q2888" s="81"/>
      <c r="R2888" s="81"/>
      <c r="S2888" s="81"/>
      <c r="T2888" s="81"/>
      <c r="U2888" s="81"/>
      <c r="V2888" s="94"/>
      <c r="W2888" s="94"/>
    </row>
    <row r="2889" spans="1:23" ht="21" customHeight="1">
      <c r="A2889">
        <f>Table4[[#This Row],[Column1]]</f>
        <v>0</v>
      </c>
      <c r="B2889">
        <f>Table4[[#This Row],[Column2]]</f>
        <v>0</v>
      </c>
      <c r="C2889" s="81"/>
      <c r="D2889" s="81"/>
      <c r="E2889" s="81"/>
      <c r="F2889" s="81"/>
      <c r="G2889" s="81"/>
      <c r="H2889" s="81"/>
      <c r="I2889" s="81"/>
      <c r="J2889" s="81"/>
      <c r="K2889" s="81"/>
      <c r="L2889" s="81"/>
      <c r="M2889" s="81"/>
      <c r="N2889" s="81"/>
      <c r="O2889" s="81"/>
      <c r="P2889" s="81"/>
      <c r="Q2889" s="81"/>
      <c r="R2889" s="81"/>
      <c r="S2889" s="81"/>
      <c r="T2889" s="81"/>
      <c r="U2889" s="81"/>
      <c r="V2889" s="94"/>
      <c r="W2889" s="94"/>
    </row>
    <row r="2890" spans="1:23" ht="21" customHeight="1">
      <c r="A2890">
        <f>Table4[[#This Row],[Column1]]</f>
        <v>0</v>
      </c>
      <c r="B2890">
        <f>Table4[[#This Row],[Column2]]</f>
        <v>0</v>
      </c>
      <c r="C2890" s="81"/>
      <c r="D2890" s="81"/>
      <c r="E2890" s="81"/>
      <c r="F2890" s="81"/>
      <c r="G2890" s="81"/>
      <c r="H2890" s="81"/>
      <c r="I2890" s="81"/>
      <c r="J2890" s="81"/>
      <c r="K2890" s="81"/>
      <c r="L2890" s="81"/>
      <c r="M2890" s="81"/>
      <c r="N2890" s="81"/>
      <c r="O2890" s="81"/>
      <c r="P2890" s="81"/>
      <c r="Q2890" s="81"/>
      <c r="R2890" s="81"/>
      <c r="S2890" s="81"/>
      <c r="T2890" s="81"/>
      <c r="U2890" s="81"/>
      <c r="V2890" s="94"/>
      <c r="W2890" s="94"/>
    </row>
    <row r="2891" spans="1:23" ht="21" customHeight="1">
      <c r="A2891">
        <f>Table4[[#This Row],[Column1]]</f>
        <v>0</v>
      </c>
      <c r="B2891">
        <f>Table4[[#This Row],[Column2]]</f>
        <v>0</v>
      </c>
      <c r="C2891" s="81"/>
      <c r="D2891" s="81"/>
      <c r="E2891" s="81"/>
      <c r="F2891" s="81"/>
      <c r="G2891" s="81"/>
      <c r="H2891" s="81"/>
      <c r="I2891" s="81"/>
      <c r="J2891" s="81"/>
      <c r="K2891" s="81"/>
      <c r="L2891" s="81"/>
      <c r="M2891" s="81"/>
      <c r="N2891" s="81"/>
      <c r="O2891" s="81"/>
      <c r="P2891" s="81"/>
      <c r="Q2891" s="81"/>
      <c r="R2891" s="81"/>
      <c r="S2891" s="81"/>
      <c r="T2891" s="81"/>
      <c r="U2891" s="81"/>
      <c r="V2891" s="94"/>
      <c r="W2891" s="94"/>
    </row>
    <row r="2892" spans="1:23" ht="21" customHeight="1">
      <c r="A2892">
        <f>Table4[[#This Row],[Column1]]</f>
        <v>0</v>
      </c>
      <c r="B2892">
        <f>Table4[[#This Row],[Column2]]</f>
        <v>0</v>
      </c>
      <c r="C2892" s="81"/>
      <c r="D2892" s="81"/>
      <c r="E2892" s="81"/>
      <c r="F2892" s="81"/>
      <c r="G2892" s="81"/>
      <c r="H2892" s="81"/>
      <c r="I2892" s="81"/>
      <c r="J2892" s="81"/>
      <c r="K2892" s="81"/>
      <c r="L2892" s="81"/>
      <c r="M2892" s="81"/>
      <c r="N2892" s="81"/>
      <c r="O2892" s="81"/>
      <c r="P2892" s="81"/>
      <c r="Q2892" s="81"/>
      <c r="R2892" s="81"/>
      <c r="S2892" s="81"/>
      <c r="T2892" s="81"/>
      <c r="U2892" s="81"/>
      <c r="V2892" s="94"/>
      <c r="W2892" s="94"/>
    </row>
    <row r="2893" spans="1:23" ht="21" customHeight="1">
      <c r="A2893">
        <f>Table4[[#This Row],[Column1]]</f>
        <v>0</v>
      </c>
      <c r="B2893">
        <f>Table4[[#This Row],[Column2]]</f>
        <v>0</v>
      </c>
      <c r="C2893" s="81"/>
      <c r="D2893" s="81"/>
      <c r="E2893" s="81"/>
      <c r="F2893" s="81"/>
      <c r="G2893" s="81"/>
      <c r="H2893" s="81"/>
      <c r="I2893" s="81"/>
      <c r="J2893" s="81"/>
      <c r="K2893" s="81"/>
      <c r="L2893" s="81"/>
      <c r="M2893" s="81"/>
      <c r="N2893" s="81"/>
      <c r="O2893" s="81"/>
      <c r="P2893" s="81"/>
      <c r="Q2893" s="81"/>
      <c r="R2893" s="81"/>
      <c r="S2893" s="81"/>
      <c r="T2893" s="81"/>
      <c r="U2893" s="81"/>
      <c r="V2893" s="94"/>
      <c r="W2893" s="94"/>
    </row>
    <row r="2894" spans="1:23" ht="21" customHeight="1">
      <c r="A2894">
        <f>Table4[[#This Row],[Column1]]</f>
        <v>0</v>
      </c>
      <c r="B2894">
        <f>Table4[[#This Row],[Column2]]</f>
        <v>0</v>
      </c>
      <c r="C2894" s="81"/>
      <c r="D2894" s="81"/>
      <c r="E2894" s="81"/>
      <c r="F2894" s="81"/>
      <c r="G2894" s="81"/>
      <c r="H2894" s="81"/>
      <c r="I2894" s="81"/>
      <c r="J2894" s="81"/>
      <c r="K2894" s="81"/>
      <c r="L2894" s="81"/>
      <c r="M2894" s="81"/>
      <c r="N2894" s="81"/>
      <c r="O2894" s="81"/>
      <c r="P2894" s="81"/>
      <c r="Q2894" s="81"/>
      <c r="R2894" s="81"/>
      <c r="S2894" s="81"/>
      <c r="T2894" s="81"/>
      <c r="U2894" s="81"/>
      <c r="V2894" s="94"/>
      <c r="W2894" s="94"/>
    </row>
    <row r="2895" spans="1:23" ht="21" customHeight="1">
      <c r="A2895">
        <f>Table4[[#This Row],[Column1]]</f>
        <v>0</v>
      </c>
      <c r="B2895">
        <f>Table4[[#This Row],[Column2]]</f>
        <v>0</v>
      </c>
      <c r="C2895" s="81"/>
      <c r="D2895" s="81"/>
      <c r="E2895" s="81"/>
      <c r="F2895" s="81"/>
      <c r="G2895" s="81"/>
      <c r="H2895" s="81"/>
      <c r="I2895" s="81"/>
      <c r="J2895" s="81"/>
      <c r="K2895" s="81"/>
      <c r="L2895" s="81"/>
      <c r="M2895" s="81"/>
      <c r="N2895" s="81"/>
      <c r="O2895" s="81"/>
      <c r="P2895" s="81"/>
      <c r="Q2895" s="81"/>
      <c r="R2895" s="81"/>
      <c r="S2895" s="81"/>
      <c r="T2895" s="81"/>
      <c r="U2895" s="81"/>
      <c r="V2895" s="94"/>
      <c r="W2895" s="94"/>
    </row>
    <row r="2896" spans="1:23" ht="21" customHeight="1">
      <c r="A2896">
        <f>Table4[[#This Row],[Column1]]</f>
        <v>0</v>
      </c>
      <c r="B2896">
        <f>Table4[[#This Row],[Column2]]</f>
        <v>0</v>
      </c>
      <c r="C2896" s="81"/>
      <c r="D2896" s="81"/>
      <c r="E2896" s="81"/>
      <c r="F2896" s="81"/>
      <c r="G2896" s="81"/>
      <c r="H2896" s="81"/>
      <c r="I2896" s="81"/>
      <c r="J2896" s="81"/>
      <c r="K2896" s="81"/>
      <c r="L2896" s="81"/>
      <c r="M2896" s="81"/>
      <c r="N2896" s="81"/>
      <c r="O2896" s="81"/>
      <c r="P2896" s="81"/>
      <c r="Q2896" s="81"/>
      <c r="R2896" s="81"/>
      <c r="S2896" s="81"/>
      <c r="T2896" s="81"/>
      <c r="U2896" s="81"/>
      <c r="V2896" s="94"/>
      <c r="W2896" s="94"/>
    </row>
    <row r="2897" spans="1:23" ht="21" customHeight="1">
      <c r="A2897">
        <f>Table4[[#This Row],[Column1]]</f>
        <v>0</v>
      </c>
      <c r="B2897">
        <f>Table4[[#This Row],[Column2]]</f>
        <v>0</v>
      </c>
      <c r="C2897" s="81"/>
      <c r="D2897" s="81"/>
      <c r="E2897" s="81"/>
      <c r="F2897" s="81"/>
      <c r="G2897" s="81"/>
      <c r="H2897" s="81"/>
      <c r="I2897" s="81"/>
      <c r="J2897" s="81"/>
      <c r="K2897" s="81"/>
      <c r="L2897" s="81"/>
      <c r="M2897" s="81"/>
      <c r="N2897" s="81"/>
      <c r="O2897" s="81"/>
      <c r="P2897" s="81"/>
      <c r="Q2897" s="81"/>
      <c r="R2897" s="81"/>
      <c r="S2897" s="81"/>
      <c r="T2897" s="81"/>
      <c r="U2897" s="81"/>
      <c r="V2897" s="94"/>
      <c r="W2897" s="94"/>
    </row>
    <row r="2898" spans="1:23" ht="21" customHeight="1">
      <c r="A2898">
        <f>Table4[[#This Row],[Column1]]</f>
        <v>0</v>
      </c>
      <c r="B2898">
        <f>Table4[[#This Row],[Column2]]</f>
        <v>0</v>
      </c>
      <c r="C2898" s="81"/>
      <c r="D2898" s="81"/>
      <c r="E2898" s="81"/>
      <c r="F2898" s="81"/>
      <c r="G2898" s="81"/>
      <c r="H2898" s="81"/>
      <c r="I2898" s="81"/>
      <c r="J2898" s="81"/>
      <c r="K2898" s="81"/>
      <c r="L2898" s="81"/>
      <c r="M2898" s="81"/>
      <c r="N2898" s="81"/>
      <c r="O2898" s="81"/>
      <c r="P2898" s="81"/>
      <c r="Q2898" s="81"/>
      <c r="R2898" s="81"/>
      <c r="S2898" s="81"/>
      <c r="T2898" s="81"/>
      <c r="U2898" s="81"/>
      <c r="V2898" s="94"/>
      <c r="W2898" s="94"/>
    </row>
    <row r="2899" spans="1:23" ht="21" customHeight="1">
      <c r="A2899">
        <f>Table4[[#This Row],[Column1]]</f>
        <v>0</v>
      </c>
      <c r="B2899">
        <f>Table4[[#This Row],[Column2]]</f>
        <v>0</v>
      </c>
      <c r="C2899" s="81"/>
      <c r="D2899" s="81"/>
      <c r="E2899" s="81"/>
      <c r="F2899" s="81"/>
      <c r="G2899" s="81"/>
      <c r="H2899" s="81"/>
      <c r="I2899" s="81"/>
      <c r="J2899" s="81"/>
      <c r="K2899" s="81"/>
      <c r="L2899" s="81"/>
      <c r="M2899" s="81"/>
      <c r="N2899" s="81"/>
      <c r="O2899" s="81"/>
      <c r="P2899" s="81"/>
      <c r="Q2899" s="81"/>
      <c r="R2899" s="81"/>
      <c r="S2899" s="81"/>
      <c r="T2899" s="81"/>
      <c r="U2899" s="81"/>
      <c r="V2899" s="94"/>
      <c r="W2899" s="94"/>
    </row>
    <row r="2900" spans="1:23" ht="21" customHeight="1">
      <c r="A2900">
        <f>Table4[[#This Row],[Column1]]</f>
        <v>0</v>
      </c>
      <c r="B2900">
        <f>Table4[[#This Row],[Column2]]</f>
        <v>0</v>
      </c>
      <c r="C2900" s="81"/>
      <c r="D2900" s="81"/>
      <c r="E2900" s="81"/>
      <c r="F2900" s="81"/>
      <c r="G2900" s="81"/>
      <c r="H2900" s="81"/>
      <c r="I2900" s="81"/>
      <c r="J2900" s="81"/>
      <c r="K2900" s="81"/>
      <c r="L2900" s="81"/>
      <c r="M2900" s="81"/>
      <c r="N2900" s="81"/>
      <c r="O2900" s="81"/>
      <c r="P2900" s="81"/>
      <c r="Q2900" s="81"/>
      <c r="R2900" s="81"/>
      <c r="S2900" s="81"/>
      <c r="T2900" s="81"/>
      <c r="U2900" s="81"/>
      <c r="V2900" s="94"/>
      <c r="W2900" s="94"/>
    </row>
    <row r="2901" spans="1:23" ht="21" customHeight="1">
      <c r="A2901">
        <f>Table4[[#This Row],[Column1]]</f>
        <v>0</v>
      </c>
      <c r="B2901">
        <f>Table4[[#This Row],[Column2]]</f>
        <v>0</v>
      </c>
      <c r="C2901" s="81"/>
      <c r="D2901" s="81"/>
      <c r="E2901" s="81"/>
      <c r="F2901" s="81"/>
      <c r="G2901" s="81"/>
      <c r="H2901" s="81"/>
      <c r="I2901" s="81"/>
      <c r="J2901" s="81"/>
      <c r="K2901" s="81"/>
      <c r="L2901" s="81"/>
      <c r="M2901" s="81"/>
      <c r="N2901" s="81"/>
      <c r="O2901" s="81"/>
      <c r="P2901" s="81"/>
      <c r="Q2901" s="81"/>
      <c r="R2901" s="81"/>
      <c r="S2901" s="81"/>
      <c r="T2901" s="81"/>
      <c r="U2901" s="81"/>
      <c r="V2901" s="94"/>
      <c r="W2901" s="94"/>
    </row>
    <row r="2902" spans="1:23" ht="21" customHeight="1">
      <c r="A2902">
        <f>Table4[[#This Row],[Column1]]</f>
        <v>0</v>
      </c>
      <c r="B2902">
        <f>Table4[[#This Row],[Column2]]</f>
        <v>0</v>
      </c>
      <c r="C2902" s="81"/>
      <c r="D2902" s="81"/>
      <c r="E2902" s="81"/>
      <c r="F2902" s="81"/>
      <c r="G2902" s="81"/>
      <c r="H2902" s="81"/>
      <c r="I2902" s="81"/>
      <c r="J2902" s="81"/>
      <c r="K2902" s="81"/>
      <c r="L2902" s="81"/>
      <c r="M2902" s="81"/>
      <c r="N2902" s="81"/>
      <c r="O2902" s="81"/>
      <c r="P2902" s="81"/>
      <c r="Q2902" s="81"/>
      <c r="R2902" s="81"/>
      <c r="S2902" s="81"/>
      <c r="T2902" s="81"/>
      <c r="U2902" s="81"/>
      <c r="V2902" s="94"/>
      <c r="W2902" s="94"/>
    </row>
    <row r="2903" spans="1:23" ht="21" customHeight="1">
      <c r="A2903">
        <f>Table4[[#This Row],[Column1]]</f>
        <v>0</v>
      </c>
      <c r="B2903">
        <f>Table4[[#This Row],[Column2]]</f>
        <v>0</v>
      </c>
      <c r="C2903" s="81"/>
      <c r="D2903" s="81"/>
      <c r="E2903" s="81"/>
      <c r="F2903" s="81"/>
      <c r="G2903" s="81"/>
      <c r="H2903" s="81"/>
      <c r="I2903" s="81"/>
      <c r="J2903" s="81"/>
      <c r="K2903" s="81"/>
      <c r="L2903" s="81"/>
      <c r="M2903" s="81"/>
      <c r="N2903" s="81"/>
      <c r="O2903" s="81"/>
      <c r="P2903" s="81"/>
      <c r="Q2903" s="81"/>
      <c r="R2903" s="81"/>
      <c r="S2903" s="81"/>
      <c r="T2903" s="81"/>
      <c r="U2903" s="81"/>
      <c r="V2903" s="94"/>
      <c r="W2903" s="94"/>
    </row>
    <row r="2904" spans="1:23" ht="21" customHeight="1">
      <c r="A2904">
        <f>Table4[[#This Row],[Column1]]</f>
        <v>0</v>
      </c>
      <c r="B2904">
        <f>Table4[[#This Row],[Column2]]</f>
        <v>0</v>
      </c>
      <c r="C2904" s="81"/>
      <c r="D2904" s="81"/>
      <c r="E2904" s="81"/>
      <c r="F2904" s="81"/>
      <c r="G2904" s="81"/>
      <c r="H2904" s="81"/>
      <c r="I2904" s="81"/>
      <c r="J2904" s="81"/>
      <c r="K2904" s="81"/>
      <c r="L2904" s="81"/>
      <c r="M2904" s="81"/>
      <c r="N2904" s="81"/>
      <c r="O2904" s="81"/>
      <c r="P2904" s="81"/>
      <c r="Q2904" s="81"/>
      <c r="R2904" s="81"/>
      <c r="S2904" s="81"/>
      <c r="T2904" s="81"/>
      <c r="U2904" s="81"/>
      <c r="V2904" s="94"/>
      <c r="W2904" s="94"/>
    </row>
    <row r="2905" spans="1:23" ht="21" customHeight="1">
      <c r="A2905">
        <f>Table4[[#This Row],[Column1]]</f>
        <v>0</v>
      </c>
      <c r="B2905">
        <f>Table4[[#This Row],[Column2]]</f>
        <v>0</v>
      </c>
      <c r="C2905" s="81"/>
      <c r="D2905" s="81"/>
      <c r="E2905" s="81"/>
      <c r="F2905" s="81"/>
      <c r="G2905" s="81"/>
      <c r="H2905" s="81"/>
      <c r="I2905" s="81"/>
      <c r="J2905" s="81"/>
      <c r="K2905" s="81"/>
      <c r="L2905" s="81"/>
      <c r="M2905" s="81"/>
      <c r="N2905" s="81"/>
      <c r="O2905" s="81"/>
      <c r="P2905" s="81"/>
      <c r="Q2905" s="81"/>
      <c r="R2905" s="81"/>
      <c r="S2905" s="81"/>
      <c r="T2905" s="81"/>
      <c r="U2905" s="81"/>
      <c r="V2905" s="94"/>
      <c r="W2905" s="94"/>
    </row>
    <row r="2906" spans="1:23" ht="21" customHeight="1">
      <c r="A2906">
        <f>Table4[[#This Row],[Column1]]</f>
        <v>0</v>
      </c>
      <c r="B2906">
        <f>Table4[[#This Row],[Column2]]</f>
        <v>0</v>
      </c>
      <c r="C2906" s="81"/>
      <c r="D2906" s="81"/>
      <c r="E2906" s="81"/>
      <c r="F2906" s="81"/>
      <c r="G2906" s="81"/>
      <c r="H2906" s="81"/>
      <c r="I2906" s="81"/>
      <c r="J2906" s="81"/>
      <c r="K2906" s="81"/>
      <c r="L2906" s="81"/>
      <c r="M2906" s="81"/>
      <c r="N2906" s="81"/>
      <c r="O2906" s="81"/>
      <c r="P2906" s="81"/>
      <c r="Q2906" s="81"/>
      <c r="R2906" s="81"/>
      <c r="S2906" s="81"/>
      <c r="T2906" s="81"/>
      <c r="U2906" s="81"/>
      <c r="V2906" s="94"/>
      <c r="W2906" s="94"/>
    </row>
    <row r="2907" spans="1:23" ht="21" customHeight="1">
      <c r="A2907">
        <f>Table4[[#This Row],[Column1]]</f>
        <v>0</v>
      </c>
      <c r="B2907">
        <f>Table4[[#This Row],[Column2]]</f>
        <v>0</v>
      </c>
      <c r="C2907" s="81"/>
      <c r="D2907" s="81"/>
      <c r="E2907" s="81"/>
      <c r="F2907" s="81"/>
      <c r="G2907" s="81"/>
      <c r="H2907" s="81"/>
      <c r="I2907" s="81"/>
      <c r="J2907" s="81"/>
      <c r="K2907" s="81"/>
      <c r="L2907" s="81"/>
      <c r="M2907" s="81"/>
      <c r="N2907" s="81"/>
      <c r="O2907" s="81"/>
      <c r="P2907" s="81"/>
      <c r="Q2907" s="81"/>
      <c r="R2907" s="81"/>
      <c r="S2907" s="81"/>
      <c r="T2907" s="81"/>
      <c r="U2907" s="81"/>
      <c r="V2907" s="94"/>
      <c r="W2907" s="94"/>
    </row>
    <row r="2908" spans="1:23" ht="21" customHeight="1">
      <c r="A2908">
        <f>Table4[[#This Row],[Column1]]</f>
        <v>0</v>
      </c>
      <c r="B2908">
        <f>Table4[[#This Row],[Column2]]</f>
        <v>0</v>
      </c>
      <c r="C2908" s="81"/>
      <c r="D2908" s="81"/>
      <c r="E2908" s="81"/>
      <c r="F2908" s="81"/>
      <c r="G2908" s="81"/>
      <c r="H2908" s="81"/>
      <c r="I2908" s="81"/>
      <c r="J2908" s="81"/>
      <c r="K2908" s="81"/>
      <c r="L2908" s="81"/>
      <c r="M2908" s="81"/>
      <c r="N2908" s="81"/>
      <c r="O2908" s="81"/>
      <c r="P2908" s="81"/>
      <c r="Q2908" s="81"/>
      <c r="R2908" s="81"/>
      <c r="S2908" s="81"/>
      <c r="T2908" s="81"/>
      <c r="U2908" s="81"/>
      <c r="V2908" s="94"/>
      <c r="W2908" s="94"/>
    </row>
    <row r="2909" spans="1:23" ht="21" customHeight="1">
      <c r="A2909">
        <f>Table4[[#This Row],[Column1]]</f>
        <v>0</v>
      </c>
      <c r="B2909">
        <f>Table4[[#This Row],[Column2]]</f>
        <v>0</v>
      </c>
      <c r="C2909" s="81"/>
      <c r="D2909" s="81"/>
      <c r="E2909" s="81"/>
      <c r="F2909" s="81"/>
      <c r="G2909" s="81"/>
      <c r="H2909" s="81"/>
      <c r="I2909" s="81"/>
      <c r="J2909" s="81"/>
      <c r="K2909" s="81"/>
      <c r="L2909" s="81"/>
      <c r="M2909" s="81"/>
      <c r="N2909" s="81"/>
      <c r="O2909" s="81"/>
      <c r="P2909" s="81"/>
      <c r="Q2909" s="81"/>
      <c r="R2909" s="81"/>
      <c r="S2909" s="81"/>
      <c r="T2909" s="81"/>
      <c r="U2909" s="81"/>
      <c r="V2909" s="94"/>
      <c r="W2909" s="94"/>
    </row>
    <row r="2910" spans="1:23" ht="21" customHeight="1">
      <c r="A2910">
        <f>Table4[[#This Row],[Column1]]</f>
        <v>0</v>
      </c>
      <c r="B2910">
        <f>Table4[[#This Row],[Column2]]</f>
        <v>0</v>
      </c>
      <c r="C2910" s="81"/>
      <c r="D2910" s="81"/>
      <c r="E2910" s="81"/>
      <c r="F2910" s="81"/>
      <c r="G2910" s="81"/>
      <c r="H2910" s="81"/>
      <c r="I2910" s="81"/>
      <c r="J2910" s="81"/>
      <c r="K2910" s="81"/>
      <c r="L2910" s="81"/>
      <c r="M2910" s="81"/>
      <c r="N2910" s="81"/>
      <c r="O2910" s="81"/>
      <c r="P2910" s="81"/>
      <c r="Q2910" s="81"/>
      <c r="R2910" s="81"/>
      <c r="S2910" s="81"/>
      <c r="T2910" s="81"/>
      <c r="U2910" s="81"/>
      <c r="V2910" s="94"/>
      <c r="W2910" s="94"/>
    </row>
    <row r="2911" spans="1:23" ht="21" customHeight="1">
      <c r="A2911">
        <f>Table4[[#This Row],[Column1]]</f>
        <v>0</v>
      </c>
      <c r="B2911">
        <f>Table4[[#This Row],[Column2]]</f>
        <v>0</v>
      </c>
      <c r="C2911" s="81"/>
      <c r="D2911" s="81"/>
      <c r="E2911" s="81"/>
      <c r="F2911" s="81"/>
      <c r="G2911" s="81"/>
      <c r="H2911" s="81"/>
      <c r="I2911" s="81"/>
      <c r="J2911" s="81"/>
      <c r="K2911" s="81"/>
      <c r="L2911" s="81"/>
      <c r="M2911" s="81"/>
      <c r="N2911" s="81"/>
      <c r="O2911" s="81"/>
      <c r="P2911" s="81"/>
      <c r="Q2911" s="81"/>
      <c r="R2911" s="81"/>
      <c r="S2911" s="81"/>
      <c r="T2911" s="81"/>
      <c r="U2911" s="81"/>
      <c r="V2911" s="94"/>
      <c r="W2911" s="94"/>
    </row>
    <row r="2912" spans="1:23" ht="21" customHeight="1">
      <c r="A2912">
        <f>Table4[[#This Row],[Column1]]</f>
        <v>0</v>
      </c>
      <c r="B2912">
        <f>Table4[[#This Row],[Column2]]</f>
        <v>0</v>
      </c>
      <c r="C2912" s="81"/>
      <c r="D2912" s="81"/>
      <c r="E2912" s="81"/>
      <c r="F2912" s="81"/>
      <c r="G2912" s="81"/>
      <c r="H2912" s="81"/>
      <c r="I2912" s="81"/>
      <c r="J2912" s="81"/>
      <c r="K2912" s="81"/>
      <c r="L2912" s="81"/>
      <c r="M2912" s="81"/>
      <c r="N2912" s="81"/>
      <c r="O2912" s="81"/>
      <c r="P2912" s="81"/>
      <c r="Q2912" s="81"/>
      <c r="R2912" s="81"/>
      <c r="S2912" s="81"/>
      <c r="T2912" s="81"/>
      <c r="U2912" s="81"/>
      <c r="V2912" s="94"/>
      <c r="W2912" s="94"/>
    </row>
    <row r="2913" spans="1:23" ht="21" customHeight="1">
      <c r="A2913">
        <f>Table4[[#This Row],[Column1]]</f>
        <v>0</v>
      </c>
      <c r="B2913">
        <f>Table4[[#This Row],[Column2]]</f>
        <v>0</v>
      </c>
      <c r="C2913" s="81"/>
      <c r="D2913" s="81"/>
      <c r="E2913" s="81"/>
      <c r="F2913" s="81"/>
      <c r="G2913" s="81"/>
      <c r="H2913" s="81"/>
      <c r="I2913" s="81"/>
      <c r="J2913" s="81"/>
      <c r="K2913" s="81"/>
      <c r="L2913" s="81"/>
      <c r="M2913" s="81"/>
      <c r="N2913" s="81"/>
      <c r="O2913" s="81"/>
      <c r="P2913" s="81"/>
      <c r="Q2913" s="81"/>
      <c r="R2913" s="81"/>
      <c r="S2913" s="81"/>
      <c r="T2913" s="81"/>
      <c r="U2913" s="81"/>
      <c r="V2913" s="94"/>
      <c r="W2913" s="94"/>
    </row>
    <row r="2914" spans="1:23" ht="21" customHeight="1">
      <c r="A2914">
        <f>Table4[[#This Row],[Column1]]</f>
        <v>0</v>
      </c>
      <c r="B2914">
        <f>Table4[[#This Row],[Column2]]</f>
        <v>0</v>
      </c>
      <c r="C2914" s="81"/>
      <c r="D2914" s="81"/>
      <c r="E2914" s="81"/>
      <c r="F2914" s="81"/>
      <c r="G2914" s="81"/>
      <c r="H2914" s="81"/>
      <c r="I2914" s="81"/>
      <c r="J2914" s="81"/>
      <c r="K2914" s="81"/>
      <c r="L2914" s="81"/>
      <c r="M2914" s="81"/>
      <c r="N2914" s="81"/>
      <c r="O2914" s="81"/>
      <c r="P2914" s="81"/>
      <c r="Q2914" s="81"/>
      <c r="R2914" s="81"/>
      <c r="S2914" s="81"/>
      <c r="T2914" s="81"/>
      <c r="U2914" s="81"/>
      <c r="V2914" s="94"/>
      <c r="W2914" s="94"/>
    </row>
    <row r="2915" spans="1:23" ht="21" customHeight="1">
      <c r="A2915">
        <f>Table4[[#This Row],[Column1]]</f>
        <v>0</v>
      </c>
      <c r="B2915">
        <f>Table4[[#This Row],[Column2]]</f>
        <v>0</v>
      </c>
      <c r="C2915" s="81"/>
      <c r="D2915" s="81"/>
      <c r="E2915" s="81"/>
      <c r="F2915" s="81"/>
      <c r="G2915" s="81"/>
      <c r="H2915" s="81"/>
      <c r="I2915" s="81"/>
      <c r="J2915" s="81"/>
      <c r="K2915" s="81"/>
      <c r="L2915" s="81"/>
      <c r="M2915" s="81"/>
      <c r="N2915" s="81"/>
      <c r="O2915" s="81"/>
      <c r="P2915" s="81"/>
      <c r="Q2915" s="81"/>
      <c r="R2915" s="81"/>
      <c r="S2915" s="81"/>
      <c r="T2915" s="81"/>
      <c r="U2915" s="81"/>
      <c r="V2915" s="94"/>
      <c r="W2915" s="94"/>
    </row>
    <row r="2916" spans="1:23" ht="21" customHeight="1">
      <c r="A2916">
        <f>Table4[[#This Row],[Column1]]</f>
        <v>0</v>
      </c>
      <c r="B2916">
        <f>Table4[[#This Row],[Column2]]</f>
        <v>0</v>
      </c>
      <c r="C2916" s="81"/>
      <c r="D2916" s="81"/>
      <c r="E2916" s="81"/>
      <c r="F2916" s="81"/>
      <c r="G2916" s="81"/>
      <c r="H2916" s="81"/>
      <c r="I2916" s="81"/>
      <c r="J2916" s="81"/>
      <c r="K2916" s="81"/>
      <c r="L2916" s="81"/>
      <c r="M2916" s="81"/>
      <c r="N2916" s="81"/>
      <c r="O2916" s="81"/>
      <c r="P2916" s="81"/>
      <c r="Q2916" s="81"/>
      <c r="R2916" s="81"/>
      <c r="S2916" s="81"/>
      <c r="T2916" s="81"/>
      <c r="U2916" s="81"/>
      <c r="V2916" s="94"/>
      <c r="W2916" s="94"/>
    </row>
    <row r="2917" spans="1:23" ht="21" customHeight="1">
      <c r="A2917">
        <f>Table4[[#This Row],[Column1]]</f>
        <v>0</v>
      </c>
      <c r="B2917">
        <f>Table4[[#This Row],[Column2]]</f>
        <v>0</v>
      </c>
      <c r="C2917" s="81"/>
      <c r="D2917" s="81"/>
      <c r="E2917" s="81"/>
      <c r="F2917" s="81"/>
      <c r="G2917" s="81"/>
      <c r="H2917" s="81"/>
      <c r="I2917" s="81"/>
      <c r="J2917" s="81"/>
      <c r="K2917" s="81"/>
      <c r="L2917" s="81"/>
      <c r="M2917" s="81"/>
      <c r="N2917" s="81"/>
      <c r="O2917" s="81"/>
      <c r="P2917" s="81"/>
      <c r="Q2917" s="81"/>
      <c r="R2917" s="81"/>
      <c r="S2917" s="81"/>
      <c r="T2917" s="81"/>
      <c r="U2917" s="81"/>
      <c r="V2917" s="94"/>
      <c r="W2917" s="94"/>
    </row>
    <row r="2918" spans="1:23" ht="21" customHeight="1">
      <c r="A2918">
        <f>Table4[[#This Row],[Column1]]</f>
        <v>0</v>
      </c>
      <c r="B2918">
        <f>Table4[[#This Row],[Column2]]</f>
        <v>0</v>
      </c>
      <c r="C2918" s="81"/>
      <c r="D2918" s="81"/>
      <c r="E2918" s="81"/>
      <c r="F2918" s="81"/>
      <c r="G2918" s="81"/>
      <c r="H2918" s="81"/>
      <c r="I2918" s="81"/>
      <c r="J2918" s="81"/>
      <c r="K2918" s="81"/>
      <c r="L2918" s="81"/>
      <c r="M2918" s="81"/>
      <c r="N2918" s="81"/>
      <c r="O2918" s="81"/>
      <c r="P2918" s="81"/>
      <c r="Q2918" s="81"/>
      <c r="R2918" s="81"/>
      <c r="S2918" s="81"/>
      <c r="T2918" s="81"/>
      <c r="U2918" s="81"/>
      <c r="V2918" s="94"/>
      <c r="W2918" s="94"/>
    </row>
    <row r="2919" spans="1:23" ht="21" customHeight="1">
      <c r="A2919">
        <f>Table4[[#This Row],[Column1]]</f>
        <v>0</v>
      </c>
      <c r="B2919">
        <f>Table4[[#This Row],[Column2]]</f>
        <v>0</v>
      </c>
      <c r="C2919" s="81"/>
      <c r="D2919" s="81"/>
      <c r="E2919" s="81"/>
      <c r="F2919" s="81"/>
      <c r="G2919" s="81"/>
      <c r="H2919" s="81"/>
      <c r="I2919" s="81"/>
      <c r="J2919" s="81"/>
      <c r="K2919" s="81"/>
      <c r="L2919" s="81"/>
      <c r="M2919" s="81"/>
      <c r="N2919" s="81"/>
      <c r="O2919" s="81"/>
      <c r="P2919" s="81"/>
      <c r="Q2919" s="81"/>
      <c r="R2919" s="81"/>
      <c r="S2919" s="81"/>
      <c r="T2919" s="81"/>
      <c r="U2919" s="81"/>
      <c r="V2919" s="94"/>
      <c r="W2919" s="94"/>
    </row>
    <row r="2920" spans="1:23" ht="21" customHeight="1">
      <c r="A2920">
        <f>Table4[[#This Row],[Column1]]</f>
        <v>0</v>
      </c>
      <c r="B2920">
        <f>Table4[[#This Row],[Column2]]</f>
        <v>0</v>
      </c>
      <c r="C2920" s="81"/>
      <c r="D2920" s="81"/>
      <c r="E2920" s="81"/>
      <c r="F2920" s="81"/>
      <c r="G2920" s="81"/>
      <c r="H2920" s="81"/>
      <c r="I2920" s="81"/>
      <c r="J2920" s="81"/>
      <c r="K2920" s="81"/>
      <c r="L2920" s="81"/>
      <c r="M2920" s="81"/>
      <c r="N2920" s="81"/>
      <c r="O2920" s="81"/>
      <c r="P2920" s="81"/>
      <c r="Q2920" s="81"/>
      <c r="R2920" s="81"/>
      <c r="S2920" s="81"/>
      <c r="T2920" s="81"/>
      <c r="U2920" s="81"/>
      <c r="V2920" s="94"/>
      <c r="W2920" s="94"/>
    </row>
    <row r="2921" spans="1:23" ht="21" customHeight="1">
      <c r="A2921">
        <f>Table4[[#This Row],[Column1]]</f>
        <v>0</v>
      </c>
      <c r="B2921">
        <f>Table4[[#This Row],[Column2]]</f>
        <v>0</v>
      </c>
      <c r="C2921" s="81"/>
      <c r="D2921" s="81"/>
      <c r="E2921" s="81"/>
      <c r="F2921" s="81"/>
      <c r="G2921" s="81"/>
      <c r="H2921" s="81"/>
      <c r="I2921" s="81"/>
      <c r="J2921" s="81"/>
      <c r="K2921" s="81"/>
      <c r="L2921" s="81"/>
      <c r="M2921" s="81"/>
      <c r="N2921" s="81"/>
      <c r="O2921" s="81"/>
      <c r="P2921" s="81"/>
      <c r="Q2921" s="81"/>
      <c r="R2921" s="81"/>
      <c r="S2921" s="81"/>
      <c r="T2921" s="81"/>
      <c r="U2921" s="81"/>
      <c r="V2921" s="94"/>
      <c r="W2921" s="94"/>
    </row>
    <row r="2922" spans="1:23" ht="21" customHeight="1">
      <c r="A2922">
        <f>Table4[[#This Row],[Column1]]</f>
        <v>0</v>
      </c>
      <c r="B2922">
        <f>Table4[[#This Row],[Column2]]</f>
        <v>0</v>
      </c>
      <c r="C2922" s="81"/>
      <c r="D2922" s="81"/>
      <c r="E2922" s="81"/>
      <c r="F2922" s="81"/>
      <c r="G2922" s="81"/>
      <c r="H2922" s="81"/>
      <c r="I2922" s="81"/>
      <c r="J2922" s="81"/>
      <c r="K2922" s="81"/>
      <c r="L2922" s="81"/>
      <c r="M2922" s="81"/>
      <c r="N2922" s="81"/>
      <c r="O2922" s="81"/>
      <c r="P2922" s="81"/>
      <c r="Q2922" s="81"/>
      <c r="R2922" s="81"/>
      <c r="S2922" s="81"/>
      <c r="T2922" s="81"/>
      <c r="U2922" s="81"/>
      <c r="V2922" s="94"/>
      <c r="W2922" s="94"/>
    </row>
    <row r="2923" spans="1:23" ht="21" customHeight="1">
      <c r="A2923">
        <f>Table4[[#This Row],[Column1]]</f>
        <v>0</v>
      </c>
      <c r="B2923">
        <f>Table4[[#This Row],[Column2]]</f>
        <v>0</v>
      </c>
      <c r="C2923" s="81"/>
      <c r="D2923" s="81"/>
      <c r="E2923" s="81"/>
      <c r="F2923" s="81"/>
      <c r="G2923" s="81"/>
      <c r="H2923" s="81"/>
      <c r="I2923" s="81"/>
      <c r="J2923" s="81"/>
      <c r="K2923" s="81"/>
      <c r="L2923" s="81"/>
      <c r="M2923" s="81"/>
      <c r="N2923" s="81"/>
      <c r="O2923" s="81"/>
      <c r="P2923" s="81"/>
      <c r="Q2923" s="81"/>
      <c r="R2923" s="81"/>
      <c r="S2923" s="81"/>
      <c r="T2923" s="81"/>
      <c r="U2923" s="81"/>
      <c r="V2923" s="94"/>
      <c r="W2923" s="94"/>
    </row>
    <row r="2924" spans="1:23" ht="21" customHeight="1">
      <c r="A2924">
        <f>Table4[[#This Row],[Column1]]</f>
        <v>0</v>
      </c>
      <c r="B2924">
        <f>Table4[[#This Row],[Column2]]</f>
        <v>0</v>
      </c>
      <c r="C2924" s="81"/>
      <c r="D2924" s="81"/>
      <c r="E2924" s="81"/>
      <c r="F2924" s="81"/>
      <c r="G2924" s="81"/>
      <c r="H2924" s="81"/>
      <c r="I2924" s="81"/>
      <c r="J2924" s="81"/>
      <c r="K2924" s="81"/>
      <c r="L2924" s="81"/>
      <c r="M2924" s="81"/>
      <c r="N2924" s="81"/>
      <c r="O2924" s="81"/>
      <c r="P2924" s="81"/>
      <c r="Q2924" s="81"/>
      <c r="R2924" s="81"/>
      <c r="S2924" s="81"/>
      <c r="T2924" s="81"/>
      <c r="U2924" s="81"/>
      <c r="V2924" s="94"/>
      <c r="W2924" s="94"/>
    </row>
    <row r="2925" spans="1:23" ht="21" customHeight="1">
      <c r="A2925">
        <f>Table4[[#This Row],[Column1]]</f>
        <v>0</v>
      </c>
      <c r="B2925">
        <f>Table4[[#This Row],[Column2]]</f>
        <v>0</v>
      </c>
      <c r="C2925" s="81"/>
      <c r="D2925" s="81"/>
      <c r="E2925" s="81"/>
      <c r="F2925" s="81"/>
      <c r="G2925" s="81"/>
      <c r="H2925" s="81"/>
      <c r="I2925" s="81"/>
      <c r="J2925" s="81"/>
      <c r="K2925" s="81"/>
      <c r="L2925" s="81"/>
      <c r="M2925" s="81"/>
      <c r="N2925" s="81"/>
      <c r="O2925" s="81"/>
      <c r="P2925" s="81"/>
      <c r="Q2925" s="81"/>
      <c r="R2925" s="81"/>
      <c r="S2925" s="81"/>
      <c r="T2925" s="81"/>
      <c r="U2925" s="81"/>
      <c r="V2925" s="94"/>
      <c r="W2925" s="94"/>
    </row>
    <row r="2926" spans="1:23" ht="21" customHeight="1">
      <c r="A2926">
        <f>Table4[[#This Row],[Column1]]</f>
        <v>0</v>
      </c>
      <c r="B2926">
        <f>Table4[[#This Row],[Column2]]</f>
        <v>0</v>
      </c>
      <c r="C2926" s="81"/>
      <c r="D2926" s="81"/>
      <c r="E2926" s="81"/>
      <c r="F2926" s="81"/>
      <c r="G2926" s="81"/>
      <c r="H2926" s="81"/>
      <c r="I2926" s="81"/>
      <c r="J2926" s="81"/>
      <c r="K2926" s="81"/>
      <c r="L2926" s="81"/>
      <c r="M2926" s="81"/>
      <c r="N2926" s="81"/>
      <c r="O2926" s="81"/>
      <c r="P2926" s="81"/>
      <c r="Q2926" s="81"/>
      <c r="R2926" s="81"/>
      <c r="S2926" s="81"/>
      <c r="T2926" s="81"/>
      <c r="U2926" s="81"/>
      <c r="V2926" s="94"/>
      <c r="W2926" s="94"/>
    </row>
    <row r="2927" spans="1:23" ht="21" customHeight="1">
      <c r="A2927">
        <f>Table4[[#This Row],[Column1]]</f>
        <v>0</v>
      </c>
      <c r="B2927">
        <f>Table4[[#This Row],[Column2]]</f>
        <v>0</v>
      </c>
      <c r="C2927" s="81"/>
      <c r="D2927" s="81"/>
      <c r="E2927" s="81"/>
      <c r="F2927" s="81"/>
      <c r="G2927" s="81"/>
      <c r="H2927" s="81"/>
      <c r="I2927" s="81"/>
      <c r="J2927" s="81"/>
      <c r="K2927" s="81"/>
      <c r="L2927" s="81"/>
      <c r="M2927" s="81"/>
      <c r="N2927" s="81"/>
      <c r="O2927" s="81"/>
      <c r="P2927" s="81"/>
      <c r="Q2927" s="81"/>
      <c r="R2927" s="81"/>
      <c r="S2927" s="81"/>
      <c r="T2927" s="81"/>
      <c r="U2927" s="81"/>
      <c r="V2927" s="94"/>
      <c r="W2927" s="94"/>
    </row>
    <row r="2928" spans="1:23" ht="21" customHeight="1">
      <c r="A2928">
        <f>Table4[[#This Row],[Column1]]</f>
        <v>0</v>
      </c>
      <c r="B2928">
        <f>Table4[[#This Row],[Column2]]</f>
        <v>0</v>
      </c>
      <c r="C2928" s="81"/>
      <c r="D2928" s="81"/>
      <c r="E2928" s="81"/>
      <c r="F2928" s="81"/>
      <c r="G2928" s="81"/>
      <c r="H2928" s="81"/>
      <c r="I2928" s="81"/>
      <c r="J2928" s="81"/>
      <c r="K2928" s="81"/>
      <c r="L2928" s="81"/>
      <c r="M2928" s="81"/>
      <c r="N2928" s="81"/>
      <c r="O2928" s="81"/>
      <c r="P2928" s="81"/>
      <c r="Q2928" s="81"/>
      <c r="R2928" s="81"/>
      <c r="S2928" s="81"/>
      <c r="T2928" s="81"/>
      <c r="U2928" s="81"/>
      <c r="V2928" s="94"/>
      <c r="W2928" s="94"/>
    </row>
    <row r="2929" spans="1:23" ht="21" customHeight="1">
      <c r="A2929">
        <f>Table4[[#This Row],[Column1]]</f>
        <v>0</v>
      </c>
      <c r="B2929">
        <f>Table4[[#This Row],[Column2]]</f>
        <v>0</v>
      </c>
      <c r="C2929" s="81"/>
      <c r="D2929" s="81"/>
      <c r="E2929" s="81"/>
      <c r="F2929" s="81"/>
      <c r="G2929" s="81"/>
      <c r="H2929" s="81"/>
      <c r="I2929" s="81"/>
      <c r="J2929" s="81"/>
      <c r="K2929" s="81"/>
      <c r="L2929" s="81"/>
      <c r="M2929" s="81"/>
      <c r="N2929" s="81"/>
      <c r="O2929" s="81"/>
      <c r="P2929" s="81"/>
      <c r="Q2929" s="81"/>
      <c r="R2929" s="81"/>
      <c r="S2929" s="81"/>
      <c r="T2929" s="81"/>
      <c r="U2929" s="81"/>
      <c r="V2929" s="94"/>
      <c r="W2929" s="94"/>
    </row>
    <row r="2930" spans="1:23" ht="21" customHeight="1">
      <c r="A2930">
        <f>Table4[[#This Row],[Column1]]</f>
        <v>0</v>
      </c>
      <c r="B2930">
        <f>Table4[[#This Row],[Column2]]</f>
        <v>0</v>
      </c>
      <c r="C2930" s="81"/>
      <c r="D2930" s="81"/>
      <c r="E2930" s="81"/>
      <c r="F2930" s="81"/>
      <c r="G2930" s="81"/>
      <c r="H2930" s="81"/>
      <c r="I2930" s="81"/>
      <c r="J2930" s="81"/>
      <c r="K2930" s="81"/>
      <c r="L2930" s="81"/>
      <c r="M2930" s="81"/>
      <c r="N2930" s="81"/>
      <c r="O2930" s="81"/>
      <c r="P2930" s="81"/>
      <c r="Q2930" s="81"/>
      <c r="R2930" s="81"/>
      <c r="S2930" s="81"/>
      <c r="T2930" s="81"/>
      <c r="U2930" s="81"/>
      <c r="V2930" s="94"/>
      <c r="W2930" s="94"/>
    </row>
    <row r="2931" spans="1:23" ht="21" customHeight="1">
      <c r="A2931">
        <f>Table4[[#This Row],[Column1]]</f>
        <v>0</v>
      </c>
      <c r="B2931">
        <f>Table4[[#This Row],[Column2]]</f>
        <v>0</v>
      </c>
      <c r="C2931" s="81"/>
      <c r="D2931" s="81"/>
      <c r="E2931" s="81"/>
      <c r="F2931" s="81"/>
      <c r="G2931" s="81"/>
      <c r="H2931" s="81"/>
      <c r="I2931" s="81"/>
      <c r="J2931" s="81"/>
      <c r="K2931" s="81"/>
      <c r="L2931" s="81"/>
      <c r="M2931" s="81"/>
      <c r="N2931" s="81"/>
      <c r="O2931" s="81"/>
      <c r="P2931" s="81"/>
      <c r="Q2931" s="81"/>
      <c r="R2931" s="81"/>
      <c r="S2931" s="81"/>
      <c r="T2931" s="81"/>
      <c r="U2931" s="81"/>
      <c r="V2931" s="94"/>
      <c r="W2931" s="94"/>
    </row>
    <row r="2932" spans="1:23" ht="21" customHeight="1">
      <c r="A2932">
        <f>Table4[[#This Row],[Column1]]</f>
        <v>0</v>
      </c>
      <c r="B2932">
        <f>Table4[[#This Row],[Column2]]</f>
        <v>0</v>
      </c>
      <c r="C2932" s="81"/>
      <c r="D2932" s="81"/>
      <c r="E2932" s="81"/>
      <c r="F2932" s="81"/>
      <c r="G2932" s="81"/>
      <c r="H2932" s="81"/>
      <c r="I2932" s="81"/>
      <c r="J2932" s="81"/>
      <c r="K2932" s="81"/>
      <c r="L2932" s="81"/>
      <c r="M2932" s="81"/>
      <c r="N2932" s="81"/>
      <c r="O2932" s="81"/>
      <c r="P2932" s="81"/>
      <c r="Q2932" s="81"/>
      <c r="R2932" s="81"/>
      <c r="S2932" s="81"/>
      <c r="T2932" s="81"/>
      <c r="U2932" s="81"/>
      <c r="V2932" s="94"/>
      <c r="W2932" s="94"/>
    </row>
    <row r="2933" spans="1:23" ht="21" customHeight="1">
      <c r="A2933">
        <f>Table4[[#This Row],[Column1]]</f>
        <v>0</v>
      </c>
      <c r="B2933">
        <f>Table4[[#This Row],[Column2]]</f>
        <v>0</v>
      </c>
      <c r="C2933" s="81"/>
      <c r="D2933" s="81"/>
      <c r="E2933" s="81"/>
      <c r="F2933" s="81"/>
      <c r="G2933" s="81"/>
      <c r="H2933" s="81"/>
      <c r="I2933" s="81"/>
      <c r="J2933" s="81"/>
      <c r="K2933" s="81"/>
      <c r="L2933" s="81"/>
      <c r="M2933" s="81"/>
      <c r="N2933" s="81"/>
      <c r="O2933" s="81"/>
      <c r="P2933" s="81"/>
      <c r="Q2933" s="81"/>
      <c r="R2933" s="81"/>
      <c r="S2933" s="81"/>
      <c r="T2933" s="81"/>
      <c r="U2933" s="81"/>
      <c r="V2933" s="94"/>
      <c r="W2933" s="94"/>
    </row>
    <row r="2934" spans="1:23" ht="21" customHeight="1">
      <c r="A2934">
        <f>Table4[[#This Row],[Column1]]</f>
        <v>0</v>
      </c>
      <c r="B2934">
        <f>Table4[[#This Row],[Column2]]</f>
        <v>0</v>
      </c>
      <c r="C2934" s="81"/>
      <c r="D2934" s="81"/>
      <c r="E2934" s="81"/>
      <c r="F2934" s="81"/>
      <c r="G2934" s="81"/>
      <c r="H2934" s="81"/>
      <c r="I2934" s="81"/>
      <c r="J2934" s="81"/>
      <c r="K2934" s="81"/>
      <c r="L2934" s="81"/>
      <c r="M2934" s="81"/>
      <c r="N2934" s="81"/>
      <c r="O2934" s="81"/>
      <c r="P2934" s="81"/>
      <c r="Q2934" s="81"/>
      <c r="R2934" s="81"/>
      <c r="S2934" s="81"/>
      <c r="T2934" s="81"/>
      <c r="U2934" s="81"/>
      <c r="V2934" s="94"/>
      <c r="W2934" s="94"/>
    </row>
    <row r="2935" spans="1:23" ht="21" customHeight="1">
      <c r="A2935">
        <f>Table4[[#This Row],[Column1]]</f>
        <v>0</v>
      </c>
      <c r="B2935">
        <f>Table4[[#This Row],[Column2]]</f>
        <v>0</v>
      </c>
      <c r="C2935" s="81"/>
      <c r="D2935" s="81"/>
      <c r="E2935" s="81"/>
      <c r="F2935" s="81"/>
      <c r="G2935" s="81"/>
      <c r="H2935" s="81"/>
      <c r="I2935" s="81"/>
      <c r="J2935" s="81"/>
      <c r="K2935" s="81"/>
      <c r="L2935" s="81"/>
      <c r="M2935" s="81"/>
      <c r="N2935" s="81"/>
      <c r="O2935" s="81"/>
      <c r="P2935" s="81"/>
      <c r="Q2935" s="81"/>
      <c r="R2935" s="81"/>
      <c r="S2935" s="81"/>
      <c r="T2935" s="81"/>
      <c r="U2935" s="81"/>
      <c r="V2935" s="94"/>
      <c r="W2935" s="94"/>
    </row>
    <row r="2936" spans="1:23" ht="21" customHeight="1">
      <c r="A2936">
        <f>Table4[[#This Row],[Column1]]</f>
        <v>0</v>
      </c>
      <c r="B2936">
        <f>Table4[[#This Row],[Column2]]</f>
        <v>0</v>
      </c>
      <c r="C2936" s="81"/>
      <c r="D2936" s="81"/>
      <c r="E2936" s="81"/>
      <c r="F2936" s="81"/>
      <c r="G2936" s="81"/>
      <c r="H2936" s="81"/>
      <c r="I2936" s="81"/>
      <c r="J2936" s="81"/>
      <c r="K2936" s="81"/>
      <c r="L2936" s="81"/>
      <c r="M2936" s="81"/>
      <c r="N2936" s="81"/>
      <c r="O2936" s="81"/>
      <c r="P2936" s="81"/>
      <c r="Q2936" s="81"/>
      <c r="R2936" s="81"/>
      <c r="S2936" s="81"/>
      <c r="T2936" s="81"/>
      <c r="U2936" s="81"/>
      <c r="V2936" s="94"/>
      <c r="W2936" s="94"/>
    </row>
    <row r="2937" spans="1:23" ht="21" customHeight="1">
      <c r="A2937">
        <f>Table4[[#This Row],[Column1]]</f>
        <v>0</v>
      </c>
      <c r="B2937">
        <f>Table4[[#This Row],[Column2]]</f>
        <v>0</v>
      </c>
      <c r="C2937" s="81"/>
      <c r="D2937" s="81"/>
      <c r="E2937" s="81"/>
      <c r="F2937" s="81"/>
      <c r="G2937" s="81"/>
      <c r="H2937" s="81"/>
      <c r="I2937" s="81"/>
      <c r="J2937" s="81"/>
      <c r="K2937" s="81"/>
      <c r="L2937" s="81"/>
      <c r="M2937" s="81"/>
      <c r="N2937" s="81"/>
      <c r="O2937" s="81"/>
      <c r="P2937" s="81"/>
      <c r="Q2937" s="81"/>
      <c r="R2937" s="81"/>
      <c r="S2937" s="81"/>
      <c r="T2937" s="81"/>
      <c r="U2937" s="81"/>
      <c r="V2937" s="94"/>
      <c r="W2937" s="94"/>
    </row>
    <row r="2938" spans="1:23" ht="21" customHeight="1">
      <c r="A2938">
        <f>Table4[[#This Row],[Column1]]</f>
        <v>0</v>
      </c>
      <c r="B2938">
        <f>Table4[[#This Row],[Column2]]</f>
        <v>0</v>
      </c>
      <c r="C2938" s="81"/>
      <c r="D2938" s="81"/>
      <c r="E2938" s="81"/>
      <c r="F2938" s="81"/>
      <c r="G2938" s="81"/>
      <c r="H2938" s="81"/>
      <c r="I2938" s="81"/>
      <c r="J2938" s="81"/>
      <c r="K2938" s="81"/>
      <c r="L2938" s="81"/>
      <c r="M2938" s="81"/>
      <c r="N2938" s="81"/>
      <c r="O2938" s="81"/>
      <c r="P2938" s="81"/>
      <c r="Q2938" s="81"/>
      <c r="R2938" s="81"/>
      <c r="S2938" s="81"/>
      <c r="T2938" s="81"/>
      <c r="U2938" s="81"/>
      <c r="V2938" s="94"/>
      <c r="W2938" s="94"/>
    </row>
    <row r="2939" spans="1:23" ht="21" customHeight="1">
      <c r="A2939">
        <f>Table4[[#This Row],[Column1]]</f>
        <v>0</v>
      </c>
      <c r="B2939">
        <f>Table4[[#This Row],[Column2]]</f>
        <v>0</v>
      </c>
      <c r="C2939" s="81"/>
      <c r="D2939" s="81"/>
      <c r="E2939" s="81"/>
      <c r="F2939" s="81"/>
      <c r="G2939" s="81"/>
      <c r="H2939" s="81"/>
      <c r="I2939" s="81"/>
      <c r="J2939" s="81"/>
      <c r="K2939" s="81"/>
      <c r="L2939" s="81"/>
      <c r="M2939" s="81"/>
      <c r="N2939" s="81"/>
      <c r="O2939" s="81"/>
      <c r="P2939" s="81"/>
      <c r="Q2939" s="81"/>
      <c r="R2939" s="81"/>
      <c r="S2939" s="81"/>
      <c r="T2939" s="81"/>
      <c r="U2939" s="81"/>
      <c r="V2939" s="94"/>
      <c r="W2939" s="94"/>
    </row>
    <row r="2940" spans="1:23" ht="21" customHeight="1">
      <c r="A2940">
        <f>Table4[[#This Row],[Column1]]</f>
        <v>0</v>
      </c>
      <c r="B2940">
        <f>Table4[[#This Row],[Column2]]</f>
        <v>0</v>
      </c>
      <c r="C2940" s="81"/>
      <c r="D2940" s="81"/>
      <c r="E2940" s="81"/>
      <c r="F2940" s="81"/>
      <c r="G2940" s="81"/>
      <c r="H2940" s="81"/>
      <c r="I2940" s="81"/>
      <c r="J2940" s="81"/>
      <c r="K2940" s="81"/>
      <c r="L2940" s="81"/>
      <c r="M2940" s="81"/>
      <c r="N2940" s="81"/>
      <c r="O2940" s="81"/>
      <c r="P2940" s="81"/>
      <c r="Q2940" s="81"/>
      <c r="R2940" s="81"/>
      <c r="S2940" s="81"/>
      <c r="T2940" s="81"/>
      <c r="U2940" s="81"/>
      <c r="V2940" s="94"/>
      <c r="W2940" s="94"/>
    </row>
    <row r="2941" spans="1:23" ht="21" customHeight="1">
      <c r="A2941">
        <f>Table4[[#This Row],[Column1]]</f>
        <v>0</v>
      </c>
      <c r="B2941">
        <f>Table4[[#This Row],[Column2]]</f>
        <v>0</v>
      </c>
      <c r="C2941" s="81"/>
      <c r="D2941" s="81"/>
      <c r="E2941" s="81"/>
      <c r="F2941" s="81"/>
      <c r="G2941" s="81"/>
      <c r="H2941" s="81"/>
      <c r="I2941" s="81"/>
      <c r="J2941" s="81"/>
      <c r="K2941" s="81"/>
      <c r="L2941" s="81"/>
      <c r="M2941" s="81"/>
      <c r="N2941" s="81"/>
      <c r="O2941" s="81"/>
      <c r="P2941" s="81"/>
      <c r="Q2941" s="81"/>
      <c r="R2941" s="81"/>
      <c r="S2941" s="81"/>
      <c r="T2941" s="81"/>
      <c r="U2941" s="81"/>
      <c r="V2941" s="94"/>
      <c r="W2941" s="94"/>
    </row>
    <row r="2942" spans="1:23" ht="21" customHeight="1">
      <c r="A2942">
        <f>Table4[[#This Row],[Column1]]</f>
        <v>0</v>
      </c>
      <c r="B2942">
        <f>Table4[[#This Row],[Column2]]</f>
        <v>0</v>
      </c>
      <c r="C2942" s="81"/>
      <c r="D2942" s="81"/>
      <c r="E2942" s="81"/>
      <c r="F2942" s="81"/>
      <c r="G2942" s="81"/>
      <c r="H2942" s="81"/>
      <c r="I2942" s="81"/>
      <c r="J2942" s="81"/>
      <c r="K2942" s="81"/>
      <c r="L2942" s="81"/>
      <c r="M2942" s="81"/>
      <c r="N2942" s="81"/>
      <c r="O2942" s="81"/>
      <c r="P2942" s="81"/>
      <c r="Q2942" s="81"/>
      <c r="R2942" s="81"/>
      <c r="S2942" s="81"/>
      <c r="T2942" s="81"/>
      <c r="U2942" s="81"/>
      <c r="V2942" s="94"/>
      <c r="W2942" s="94"/>
    </row>
    <row r="2943" spans="1:23" ht="21" customHeight="1">
      <c r="A2943">
        <f>Table4[[#This Row],[Column1]]</f>
        <v>0</v>
      </c>
      <c r="B2943">
        <f>Table4[[#This Row],[Column2]]</f>
        <v>0</v>
      </c>
      <c r="C2943" s="81"/>
      <c r="D2943" s="81"/>
      <c r="E2943" s="81"/>
      <c r="F2943" s="81"/>
      <c r="G2943" s="81"/>
      <c r="H2943" s="81"/>
      <c r="I2943" s="81"/>
      <c r="J2943" s="81"/>
      <c r="K2943" s="81"/>
      <c r="L2943" s="81"/>
      <c r="M2943" s="81"/>
      <c r="N2943" s="81"/>
      <c r="O2943" s="81"/>
      <c r="P2943" s="81"/>
      <c r="Q2943" s="81"/>
      <c r="R2943" s="81"/>
      <c r="S2943" s="81"/>
      <c r="T2943" s="81"/>
      <c r="U2943" s="81"/>
      <c r="V2943" s="94"/>
      <c r="W2943" s="94"/>
    </row>
    <row r="2944" spans="1:23" ht="21" customHeight="1">
      <c r="A2944">
        <f>Table4[[#This Row],[Column1]]</f>
        <v>0</v>
      </c>
      <c r="B2944">
        <f>Table4[[#This Row],[Column2]]</f>
        <v>0</v>
      </c>
      <c r="C2944" s="81"/>
      <c r="D2944" s="81"/>
      <c r="E2944" s="81"/>
      <c r="F2944" s="81"/>
      <c r="G2944" s="81"/>
      <c r="H2944" s="81"/>
      <c r="I2944" s="81"/>
      <c r="J2944" s="81"/>
      <c r="K2944" s="81"/>
      <c r="L2944" s="81"/>
      <c r="M2944" s="81"/>
      <c r="N2944" s="81"/>
      <c r="O2944" s="81"/>
      <c r="P2944" s="81"/>
      <c r="Q2944" s="81"/>
      <c r="R2944" s="81"/>
      <c r="S2944" s="81"/>
      <c r="T2944" s="81"/>
      <c r="U2944" s="81"/>
      <c r="V2944" s="94"/>
      <c r="W2944" s="94"/>
    </row>
    <row r="2945" spans="1:23" ht="21" customHeight="1">
      <c r="A2945">
        <f>Table4[[#This Row],[Column1]]</f>
        <v>0</v>
      </c>
      <c r="B2945">
        <f>Table4[[#This Row],[Column2]]</f>
        <v>0</v>
      </c>
      <c r="C2945" s="81"/>
      <c r="D2945" s="81"/>
      <c r="E2945" s="81"/>
      <c r="F2945" s="81"/>
      <c r="G2945" s="81"/>
      <c r="H2945" s="81"/>
      <c r="I2945" s="81"/>
      <c r="J2945" s="81"/>
      <c r="K2945" s="81"/>
      <c r="L2945" s="81"/>
      <c r="M2945" s="81"/>
      <c r="N2945" s="81"/>
      <c r="O2945" s="81"/>
      <c r="P2945" s="81"/>
      <c r="Q2945" s="81"/>
      <c r="R2945" s="81"/>
      <c r="S2945" s="81"/>
      <c r="T2945" s="81"/>
      <c r="U2945" s="81"/>
      <c r="V2945" s="94"/>
      <c r="W2945" s="94"/>
    </row>
    <row r="2946" spans="1:23" ht="21" customHeight="1">
      <c r="A2946">
        <f>Table4[[#This Row],[Column1]]</f>
        <v>0</v>
      </c>
      <c r="B2946">
        <f>Table4[[#This Row],[Column2]]</f>
        <v>0</v>
      </c>
      <c r="C2946" s="81"/>
      <c r="D2946" s="81"/>
      <c r="E2946" s="81"/>
      <c r="F2946" s="81"/>
      <c r="G2946" s="81"/>
      <c r="H2946" s="81"/>
      <c r="I2946" s="81"/>
      <c r="J2946" s="81"/>
      <c r="K2946" s="81"/>
      <c r="L2946" s="81"/>
      <c r="M2946" s="81"/>
      <c r="N2946" s="81"/>
      <c r="O2946" s="81"/>
      <c r="P2946" s="81"/>
      <c r="Q2946" s="81"/>
      <c r="R2946" s="81"/>
      <c r="S2946" s="81"/>
      <c r="T2946" s="81"/>
      <c r="U2946" s="81"/>
      <c r="V2946" s="94"/>
      <c r="W2946" s="94"/>
    </row>
    <row r="2947" spans="1:23" ht="21" customHeight="1">
      <c r="A2947">
        <f>Table4[[#This Row],[Column1]]</f>
        <v>0</v>
      </c>
      <c r="B2947">
        <f>Table4[[#This Row],[Column2]]</f>
        <v>0</v>
      </c>
      <c r="C2947" s="81"/>
      <c r="D2947" s="81"/>
      <c r="E2947" s="81"/>
      <c r="F2947" s="81"/>
      <c r="G2947" s="81"/>
      <c r="H2947" s="81"/>
      <c r="I2947" s="81"/>
      <c r="J2947" s="81"/>
      <c r="K2947" s="81"/>
      <c r="L2947" s="81"/>
      <c r="M2947" s="81"/>
      <c r="N2947" s="81"/>
      <c r="O2947" s="81"/>
      <c r="P2947" s="81"/>
      <c r="Q2947" s="81"/>
      <c r="R2947" s="81"/>
      <c r="S2947" s="81"/>
      <c r="T2947" s="81"/>
      <c r="U2947" s="81"/>
      <c r="V2947" s="94"/>
      <c r="W2947" s="94"/>
    </row>
    <row r="2948" spans="1:23" ht="21" customHeight="1">
      <c r="A2948">
        <f>Table4[[#This Row],[Column1]]</f>
        <v>0</v>
      </c>
      <c r="B2948">
        <f>Table4[[#This Row],[Column2]]</f>
        <v>0</v>
      </c>
      <c r="C2948" s="81"/>
      <c r="D2948" s="81"/>
      <c r="E2948" s="81"/>
      <c r="F2948" s="81"/>
      <c r="G2948" s="81"/>
      <c r="H2948" s="81"/>
      <c r="I2948" s="81"/>
      <c r="J2948" s="81"/>
      <c r="K2948" s="81"/>
      <c r="L2948" s="81"/>
      <c r="M2948" s="81"/>
      <c r="N2948" s="81"/>
      <c r="O2948" s="81"/>
      <c r="P2948" s="81"/>
      <c r="Q2948" s="81"/>
      <c r="R2948" s="81"/>
      <c r="S2948" s="81"/>
      <c r="T2948" s="81"/>
      <c r="U2948" s="81"/>
      <c r="V2948" s="94"/>
      <c r="W2948" s="94"/>
    </row>
    <row r="2949" spans="1:23" ht="21" customHeight="1">
      <c r="A2949">
        <f>Table4[[#This Row],[Column1]]</f>
        <v>0</v>
      </c>
      <c r="B2949">
        <f>Table4[[#This Row],[Column2]]</f>
        <v>0</v>
      </c>
      <c r="C2949" s="81"/>
      <c r="D2949" s="81"/>
      <c r="E2949" s="81"/>
      <c r="F2949" s="81"/>
      <c r="G2949" s="81"/>
      <c r="H2949" s="81"/>
      <c r="I2949" s="81"/>
      <c r="J2949" s="81"/>
      <c r="K2949" s="81"/>
      <c r="L2949" s="81"/>
      <c r="M2949" s="81"/>
      <c r="N2949" s="81"/>
      <c r="O2949" s="81"/>
      <c r="P2949" s="81"/>
      <c r="Q2949" s="81"/>
      <c r="R2949" s="81"/>
      <c r="S2949" s="81"/>
      <c r="T2949" s="81"/>
      <c r="U2949" s="81"/>
      <c r="V2949" s="94"/>
      <c r="W2949" s="94"/>
    </row>
    <row r="2950" spans="1:23" ht="21" customHeight="1">
      <c r="A2950">
        <f>Table4[[#This Row],[Column1]]</f>
        <v>0</v>
      </c>
      <c r="B2950">
        <f>Table4[[#This Row],[Column2]]</f>
        <v>0</v>
      </c>
      <c r="C2950" s="81"/>
      <c r="D2950" s="81"/>
      <c r="E2950" s="81"/>
      <c r="F2950" s="81"/>
      <c r="G2950" s="81"/>
      <c r="H2950" s="81"/>
      <c r="I2950" s="81"/>
      <c r="J2950" s="81"/>
      <c r="K2950" s="81"/>
      <c r="L2950" s="81"/>
      <c r="M2950" s="81"/>
      <c r="N2950" s="81"/>
      <c r="O2950" s="81"/>
      <c r="P2950" s="81"/>
      <c r="Q2950" s="81"/>
      <c r="R2950" s="81"/>
      <c r="S2950" s="81"/>
      <c r="T2950" s="81"/>
      <c r="U2950" s="81"/>
      <c r="V2950" s="94"/>
      <c r="W2950" s="94"/>
    </row>
    <row r="2951" spans="1:23" ht="21" customHeight="1">
      <c r="A2951">
        <f>Table4[[#This Row],[Column1]]</f>
        <v>0</v>
      </c>
      <c r="B2951">
        <f>Table4[[#This Row],[Column2]]</f>
        <v>0</v>
      </c>
      <c r="C2951" s="81"/>
      <c r="D2951" s="81"/>
      <c r="E2951" s="81"/>
      <c r="F2951" s="81"/>
      <c r="G2951" s="81"/>
      <c r="H2951" s="81"/>
      <c r="I2951" s="81"/>
      <c r="J2951" s="81"/>
      <c r="K2951" s="81"/>
      <c r="L2951" s="81"/>
      <c r="M2951" s="81"/>
      <c r="N2951" s="81"/>
      <c r="O2951" s="81"/>
      <c r="P2951" s="81"/>
      <c r="Q2951" s="81"/>
      <c r="R2951" s="81"/>
      <c r="S2951" s="81"/>
      <c r="T2951" s="81"/>
      <c r="U2951" s="81"/>
      <c r="V2951" s="94"/>
      <c r="W2951" s="94"/>
    </row>
    <row r="2952" spans="1:23" ht="21" customHeight="1">
      <c r="A2952">
        <f>Table4[[#This Row],[Column1]]</f>
        <v>0</v>
      </c>
      <c r="B2952">
        <f>Table4[[#This Row],[Column2]]</f>
        <v>0</v>
      </c>
      <c r="C2952" s="81"/>
      <c r="D2952" s="81"/>
      <c r="E2952" s="81"/>
      <c r="F2952" s="81"/>
      <c r="G2952" s="81"/>
      <c r="H2952" s="81"/>
      <c r="I2952" s="81"/>
      <c r="J2952" s="81"/>
      <c r="K2952" s="81"/>
      <c r="L2952" s="81"/>
      <c r="M2952" s="81"/>
      <c r="N2952" s="81"/>
      <c r="O2952" s="81"/>
      <c r="P2952" s="81"/>
      <c r="Q2952" s="81"/>
      <c r="R2952" s="81"/>
      <c r="S2952" s="81"/>
      <c r="T2952" s="81"/>
      <c r="U2952" s="81"/>
      <c r="V2952" s="94"/>
      <c r="W2952" s="94"/>
    </row>
    <row r="2953" spans="1:23" ht="21" customHeight="1">
      <c r="A2953">
        <f>Table4[[#This Row],[Column1]]</f>
        <v>0</v>
      </c>
      <c r="B2953">
        <f>Table4[[#This Row],[Column2]]</f>
        <v>0</v>
      </c>
      <c r="C2953" s="81"/>
      <c r="D2953" s="81"/>
      <c r="E2953" s="81"/>
      <c r="F2953" s="81"/>
      <c r="G2953" s="81"/>
      <c r="H2953" s="81"/>
      <c r="I2953" s="81"/>
      <c r="J2953" s="81"/>
      <c r="K2953" s="81"/>
      <c r="L2953" s="81"/>
      <c r="M2953" s="81"/>
      <c r="N2953" s="81"/>
      <c r="O2953" s="81"/>
      <c r="P2953" s="81"/>
      <c r="Q2953" s="81"/>
      <c r="R2953" s="81"/>
      <c r="S2953" s="81"/>
      <c r="T2953" s="81"/>
      <c r="U2953" s="81"/>
      <c r="V2953" s="94"/>
      <c r="W2953" s="94"/>
    </row>
    <row r="2954" spans="1:23" ht="21" customHeight="1">
      <c r="A2954">
        <f>Table4[[#This Row],[Column1]]</f>
        <v>0</v>
      </c>
      <c r="B2954">
        <f>Table4[[#This Row],[Column2]]</f>
        <v>0</v>
      </c>
      <c r="C2954" s="81"/>
      <c r="D2954" s="81"/>
      <c r="E2954" s="81"/>
      <c r="F2954" s="81"/>
      <c r="G2954" s="81"/>
      <c r="H2954" s="81"/>
      <c r="I2954" s="81"/>
      <c r="J2954" s="81"/>
      <c r="K2954" s="81"/>
      <c r="L2954" s="81"/>
      <c r="M2954" s="81"/>
      <c r="N2954" s="81"/>
      <c r="O2954" s="81"/>
      <c r="P2954" s="81"/>
      <c r="Q2954" s="81"/>
      <c r="R2954" s="81"/>
      <c r="S2954" s="81"/>
      <c r="T2954" s="81"/>
      <c r="U2954" s="81"/>
      <c r="V2954" s="94"/>
      <c r="W2954" s="94"/>
    </row>
    <row r="2955" spans="1:23" ht="21" customHeight="1">
      <c r="A2955">
        <f>Table4[[#This Row],[Column1]]</f>
        <v>0</v>
      </c>
      <c r="B2955">
        <f>Table4[[#This Row],[Column2]]</f>
        <v>0</v>
      </c>
      <c r="C2955" s="81"/>
      <c r="D2955" s="81"/>
      <c r="E2955" s="81"/>
      <c r="F2955" s="81"/>
      <c r="G2955" s="81"/>
      <c r="H2955" s="81"/>
      <c r="I2955" s="81"/>
      <c r="J2955" s="81"/>
      <c r="K2955" s="81"/>
      <c r="L2955" s="81"/>
      <c r="M2955" s="81"/>
      <c r="N2955" s="81"/>
      <c r="O2955" s="81"/>
      <c r="P2955" s="81"/>
      <c r="Q2955" s="81"/>
      <c r="R2955" s="81"/>
      <c r="S2955" s="81"/>
      <c r="T2955" s="81"/>
      <c r="U2955" s="81"/>
      <c r="V2955" s="94"/>
      <c r="W2955" s="94"/>
    </row>
    <row r="2956" spans="1:23" ht="21" customHeight="1">
      <c r="A2956">
        <f>Table4[[#This Row],[Column1]]</f>
        <v>0</v>
      </c>
      <c r="B2956">
        <f>Table4[[#This Row],[Column2]]</f>
        <v>0</v>
      </c>
      <c r="C2956" s="81"/>
      <c r="D2956" s="81"/>
      <c r="E2956" s="81"/>
      <c r="F2956" s="81"/>
      <c r="G2956" s="81"/>
      <c r="H2956" s="81"/>
      <c r="I2956" s="81"/>
      <c r="J2956" s="81"/>
      <c r="K2956" s="81"/>
      <c r="L2956" s="81"/>
      <c r="M2956" s="81"/>
      <c r="N2956" s="81"/>
      <c r="O2956" s="81"/>
      <c r="P2956" s="81"/>
      <c r="Q2956" s="81"/>
      <c r="R2956" s="81"/>
      <c r="S2956" s="81"/>
      <c r="T2956" s="81"/>
      <c r="U2956" s="81"/>
      <c r="V2956" s="94"/>
      <c r="W2956" s="94"/>
    </row>
    <row r="2957" spans="1:23" ht="21" customHeight="1">
      <c r="A2957">
        <f>Table4[[#This Row],[Column1]]</f>
        <v>0</v>
      </c>
      <c r="B2957">
        <f>Table4[[#This Row],[Column2]]</f>
        <v>0</v>
      </c>
      <c r="C2957" s="81"/>
      <c r="D2957" s="81"/>
      <c r="E2957" s="81"/>
      <c r="F2957" s="81"/>
      <c r="G2957" s="81"/>
      <c r="H2957" s="81"/>
      <c r="I2957" s="81"/>
      <c r="J2957" s="81"/>
      <c r="K2957" s="81"/>
      <c r="L2957" s="81"/>
      <c r="M2957" s="81"/>
      <c r="N2957" s="81"/>
      <c r="O2957" s="81"/>
      <c r="P2957" s="81"/>
      <c r="Q2957" s="81"/>
      <c r="R2957" s="81"/>
      <c r="S2957" s="81"/>
      <c r="T2957" s="81"/>
      <c r="U2957" s="81"/>
      <c r="V2957" s="94"/>
      <c r="W2957" s="94"/>
    </row>
    <row r="2958" spans="1:23" ht="21" customHeight="1">
      <c r="A2958">
        <f>Table4[[#This Row],[Column1]]</f>
        <v>0</v>
      </c>
      <c r="B2958">
        <f>Table4[[#This Row],[Column2]]</f>
        <v>0</v>
      </c>
      <c r="C2958" s="81"/>
      <c r="D2958" s="81"/>
      <c r="E2958" s="81"/>
      <c r="F2958" s="81"/>
      <c r="G2958" s="81"/>
      <c r="H2958" s="81"/>
      <c r="I2958" s="81"/>
      <c r="J2958" s="81"/>
      <c r="K2958" s="81"/>
      <c r="L2958" s="81"/>
      <c r="M2958" s="81"/>
      <c r="N2958" s="81"/>
      <c r="O2958" s="81"/>
      <c r="P2958" s="81"/>
      <c r="Q2958" s="81"/>
      <c r="R2958" s="81"/>
      <c r="S2958" s="81"/>
      <c r="T2958" s="81"/>
      <c r="U2958" s="81"/>
      <c r="V2958" s="94"/>
      <c r="W2958" s="94"/>
    </row>
    <row r="2959" spans="1:23" ht="21" customHeight="1">
      <c r="A2959">
        <f>Table4[[#This Row],[Column1]]</f>
        <v>0</v>
      </c>
      <c r="B2959">
        <f>Table4[[#This Row],[Column2]]</f>
        <v>0</v>
      </c>
      <c r="C2959" s="81"/>
      <c r="D2959" s="81"/>
      <c r="E2959" s="81"/>
      <c r="F2959" s="81"/>
      <c r="G2959" s="81"/>
      <c r="H2959" s="81"/>
      <c r="I2959" s="81"/>
      <c r="J2959" s="81"/>
      <c r="K2959" s="81"/>
      <c r="L2959" s="81"/>
      <c r="M2959" s="81"/>
      <c r="N2959" s="81"/>
      <c r="O2959" s="81"/>
      <c r="P2959" s="81"/>
      <c r="Q2959" s="81"/>
      <c r="R2959" s="81"/>
      <c r="S2959" s="81"/>
      <c r="T2959" s="81"/>
      <c r="U2959" s="81"/>
      <c r="V2959" s="94"/>
      <c r="W2959" s="94"/>
    </row>
    <row r="2960" spans="1:23" ht="21" customHeight="1">
      <c r="A2960">
        <f>Table4[[#This Row],[Column1]]</f>
        <v>0</v>
      </c>
      <c r="B2960">
        <f>Table4[[#This Row],[Column2]]</f>
        <v>0</v>
      </c>
      <c r="C2960" s="81"/>
      <c r="D2960" s="81"/>
      <c r="E2960" s="81"/>
      <c r="F2960" s="81"/>
      <c r="G2960" s="81"/>
      <c r="H2960" s="81"/>
      <c r="I2960" s="81"/>
      <c r="J2960" s="81"/>
      <c r="K2960" s="81"/>
      <c r="L2960" s="81"/>
      <c r="M2960" s="81"/>
      <c r="N2960" s="81"/>
      <c r="O2960" s="81"/>
      <c r="P2960" s="81"/>
      <c r="Q2960" s="81"/>
      <c r="R2960" s="81"/>
      <c r="S2960" s="81"/>
      <c r="T2960" s="81"/>
      <c r="U2960" s="81"/>
      <c r="V2960" s="94"/>
      <c r="W2960" s="94"/>
    </row>
    <row r="2961" spans="1:23" ht="21" customHeight="1">
      <c r="A2961">
        <f>Table4[[#This Row],[Column1]]</f>
        <v>0</v>
      </c>
      <c r="B2961">
        <f>Table4[[#This Row],[Column2]]</f>
        <v>0</v>
      </c>
      <c r="C2961" s="81"/>
      <c r="D2961" s="81"/>
      <c r="E2961" s="81"/>
      <c r="F2961" s="81"/>
      <c r="G2961" s="81"/>
      <c r="H2961" s="81"/>
      <c r="I2961" s="81"/>
      <c r="J2961" s="81"/>
      <c r="K2961" s="81"/>
      <c r="L2961" s="81"/>
      <c r="M2961" s="81"/>
      <c r="N2961" s="81"/>
      <c r="O2961" s="81"/>
      <c r="P2961" s="81"/>
      <c r="Q2961" s="81"/>
      <c r="R2961" s="81"/>
      <c r="S2961" s="81"/>
      <c r="T2961" s="81"/>
      <c r="U2961" s="81"/>
      <c r="V2961" s="94"/>
      <c r="W2961" s="94"/>
    </row>
    <row r="2962" spans="1:23" ht="21" customHeight="1">
      <c r="A2962">
        <f>Table4[[#This Row],[Column1]]</f>
        <v>0</v>
      </c>
      <c r="B2962">
        <f>Table4[[#This Row],[Column2]]</f>
        <v>0</v>
      </c>
      <c r="C2962" s="81"/>
      <c r="D2962" s="81"/>
      <c r="E2962" s="81"/>
      <c r="F2962" s="81"/>
      <c r="G2962" s="81"/>
      <c r="H2962" s="81"/>
      <c r="I2962" s="81"/>
      <c r="J2962" s="81"/>
      <c r="K2962" s="81"/>
      <c r="L2962" s="81"/>
      <c r="M2962" s="81"/>
      <c r="N2962" s="81"/>
      <c r="O2962" s="81"/>
      <c r="P2962" s="81"/>
      <c r="Q2962" s="81"/>
      <c r="R2962" s="81"/>
      <c r="S2962" s="81"/>
      <c r="T2962" s="81"/>
      <c r="U2962" s="81"/>
      <c r="V2962" s="94"/>
      <c r="W2962" s="94"/>
    </row>
    <row r="2963" spans="1:23" ht="21" customHeight="1">
      <c r="A2963">
        <f>Table4[[#This Row],[Column1]]</f>
        <v>0</v>
      </c>
      <c r="B2963">
        <f>Table4[[#This Row],[Column2]]</f>
        <v>0</v>
      </c>
      <c r="C2963" s="81"/>
      <c r="D2963" s="81"/>
      <c r="E2963" s="81"/>
      <c r="F2963" s="81"/>
      <c r="G2963" s="81"/>
      <c r="H2963" s="81"/>
      <c r="I2963" s="81"/>
      <c r="J2963" s="81"/>
      <c r="K2963" s="81"/>
      <c r="L2963" s="81"/>
      <c r="M2963" s="81"/>
      <c r="N2963" s="81"/>
      <c r="O2963" s="81"/>
      <c r="P2963" s="81"/>
      <c r="Q2963" s="81"/>
      <c r="R2963" s="81"/>
      <c r="S2963" s="81"/>
      <c r="T2963" s="81"/>
      <c r="U2963" s="81"/>
      <c r="V2963" s="94"/>
      <c r="W2963" s="94"/>
    </row>
    <row r="2964" spans="1:23" ht="21" customHeight="1">
      <c r="A2964">
        <f>Table4[[#This Row],[Column1]]</f>
        <v>0</v>
      </c>
      <c r="B2964">
        <f>Table4[[#This Row],[Column2]]</f>
        <v>0</v>
      </c>
      <c r="C2964" s="81"/>
      <c r="D2964" s="81"/>
      <c r="E2964" s="81"/>
      <c r="F2964" s="81"/>
      <c r="G2964" s="81"/>
      <c r="H2964" s="81"/>
      <c r="I2964" s="81"/>
      <c r="J2964" s="81"/>
      <c r="K2964" s="81"/>
      <c r="L2964" s="81"/>
      <c r="M2964" s="81"/>
      <c r="N2964" s="81"/>
      <c r="O2964" s="81"/>
      <c r="P2964" s="81"/>
      <c r="Q2964" s="81"/>
      <c r="R2964" s="81"/>
      <c r="S2964" s="81"/>
      <c r="T2964" s="81"/>
      <c r="U2964" s="81"/>
      <c r="V2964" s="94"/>
      <c r="W2964" s="94"/>
    </row>
    <row r="2965" spans="1:23" ht="21" customHeight="1">
      <c r="A2965">
        <f>Table4[[#This Row],[Column1]]</f>
        <v>0</v>
      </c>
      <c r="B2965">
        <f>Table4[[#This Row],[Column2]]</f>
        <v>0</v>
      </c>
      <c r="C2965" s="81"/>
      <c r="D2965" s="81"/>
      <c r="E2965" s="81"/>
      <c r="F2965" s="81"/>
      <c r="G2965" s="81"/>
      <c r="H2965" s="81"/>
      <c r="I2965" s="81"/>
      <c r="J2965" s="81"/>
      <c r="K2965" s="81"/>
      <c r="L2965" s="81"/>
      <c r="M2965" s="81"/>
      <c r="N2965" s="81"/>
      <c r="O2965" s="81"/>
      <c r="P2965" s="81"/>
      <c r="Q2965" s="81"/>
      <c r="R2965" s="81"/>
      <c r="S2965" s="81"/>
      <c r="T2965" s="81"/>
      <c r="U2965" s="81"/>
      <c r="V2965" s="94"/>
      <c r="W2965" s="94"/>
    </row>
    <row r="2966" spans="1:23" ht="21" customHeight="1">
      <c r="A2966">
        <f>Table4[[#This Row],[Column1]]</f>
        <v>0</v>
      </c>
      <c r="B2966">
        <f>Table4[[#This Row],[Column2]]</f>
        <v>0</v>
      </c>
      <c r="C2966" s="81"/>
      <c r="D2966" s="81"/>
      <c r="E2966" s="81"/>
      <c r="F2966" s="81"/>
      <c r="G2966" s="81"/>
      <c r="H2966" s="81"/>
      <c r="I2966" s="81"/>
      <c r="J2966" s="81"/>
      <c r="K2966" s="81"/>
      <c r="L2966" s="81"/>
      <c r="M2966" s="81"/>
      <c r="N2966" s="81"/>
      <c r="O2966" s="81"/>
      <c r="P2966" s="81"/>
      <c r="Q2966" s="81"/>
      <c r="R2966" s="81"/>
      <c r="S2966" s="81"/>
      <c r="T2966" s="81"/>
      <c r="U2966" s="81"/>
      <c r="V2966" s="94"/>
      <c r="W2966" s="94"/>
    </row>
    <row r="2967" spans="1:23" ht="21" customHeight="1">
      <c r="A2967">
        <f>Table4[[#This Row],[Column1]]</f>
        <v>0</v>
      </c>
      <c r="B2967">
        <f>Table4[[#This Row],[Column2]]</f>
        <v>0</v>
      </c>
      <c r="C2967" s="81"/>
      <c r="D2967" s="81"/>
      <c r="E2967" s="81"/>
      <c r="F2967" s="81"/>
      <c r="G2967" s="81"/>
      <c r="H2967" s="81"/>
      <c r="I2967" s="81"/>
      <c r="J2967" s="81"/>
      <c r="K2967" s="81"/>
      <c r="L2967" s="81"/>
      <c r="M2967" s="81"/>
      <c r="N2967" s="81"/>
      <c r="O2967" s="81"/>
      <c r="P2967" s="81"/>
      <c r="Q2967" s="81"/>
      <c r="R2967" s="81"/>
      <c r="S2967" s="81"/>
      <c r="T2967" s="81"/>
      <c r="U2967" s="81"/>
      <c r="V2967" s="94"/>
      <c r="W2967" s="94"/>
    </row>
    <row r="2968" spans="1:23" ht="21" customHeight="1">
      <c r="A2968">
        <f>Table4[[#This Row],[Column1]]</f>
        <v>0</v>
      </c>
      <c r="B2968">
        <f>Table4[[#This Row],[Column2]]</f>
        <v>0</v>
      </c>
      <c r="C2968" s="81"/>
      <c r="D2968" s="81"/>
      <c r="E2968" s="81"/>
      <c r="F2968" s="81"/>
      <c r="G2968" s="81"/>
      <c r="H2968" s="81"/>
      <c r="I2968" s="81"/>
      <c r="J2968" s="81"/>
      <c r="K2968" s="81"/>
      <c r="L2968" s="81"/>
      <c r="M2968" s="81"/>
      <c r="N2968" s="81"/>
      <c r="O2968" s="81"/>
      <c r="P2968" s="81"/>
      <c r="Q2968" s="81"/>
      <c r="R2968" s="81"/>
      <c r="S2968" s="81"/>
      <c r="T2968" s="81"/>
      <c r="U2968" s="81"/>
      <c r="V2968" s="94"/>
      <c r="W2968" s="94"/>
    </row>
    <row r="2969" spans="1:23" ht="21" customHeight="1">
      <c r="A2969">
        <f>Table4[[#This Row],[Column1]]</f>
        <v>0</v>
      </c>
      <c r="B2969">
        <f>Table4[[#This Row],[Column2]]</f>
        <v>0</v>
      </c>
      <c r="C2969" s="81"/>
      <c r="D2969" s="81"/>
      <c r="E2969" s="81"/>
      <c r="F2969" s="81"/>
      <c r="G2969" s="81"/>
      <c r="H2969" s="81"/>
      <c r="I2969" s="81"/>
      <c r="J2969" s="81"/>
      <c r="K2969" s="81"/>
      <c r="L2969" s="81"/>
      <c r="M2969" s="81"/>
      <c r="N2969" s="81"/>
      <c r="O2969" s="81"/>
      <c r="P2969" s="81"/>
      <c r="Q2969" s="81"/>
      <c r="R2969" s="81"/>
      <c r="S2969" s="81"/>
      <c r="T2969" s="81"/>
      <c r="U2969" s="81"/>
      <c r="V2969" s="94"/>
      <c r="W2969" s="94"/>
    </row>
    <row r="2970" spans="1:23" ht="21" customHeight="1">
      <c r="A2970">
        <f>Table4[[#This Row],[Column1]]</f>
        <v>0</v>
      </c>
      <c r="B2970">
        <f>Table4[[#This Row],[Column2]]</f>
        <v>0</v>
      </c>
      <c r="C2970" s="81"/>
      <c r="D2970" s="81"/>
      <c r="E2970" s="81"/>
      <c r="F2970" s="81"/>
      <c r="G2970" s="81"/>
      <c r="H2970" s="81"/>
      <c r="I2970" s="81"/>
      <c r="J2970" s="81"/>
      <c r="K2970" s="81"/>
      <c r="L2970" s="81"/>
      <c r="M2970" s="81"/>
      <c r="N2970" s="81"/>
      <c r="O2970" s="81"/>
      <c r="P2970" s="81"/>
      <c r="Q2970" s="81"/>
      <c r="R2970" s="81"/>
      <c r="S2970" s="81"/>
      <c r="T2970" s="81"/>
      <c r="U2970" s="81"/>
      <c r="V2970" s="94"/>
      <c r="W2970" s="94"/>
    </row>
    <row r="2971" spans="1:23" ht="21" customHeight="1">
      <c r="A2971">
        <f>Table4[[#This Row],[Column1]]</f>
        <v>0</v>
      </c>
      <c r="B2971">
        <f>Table4[[#This Row],[Column2]]</f>
        <v>0</v>
      </c>
      <c r="C2971" s="81"/>
      <c r="D2971" s="81"/>
      <c r="E2971" s="81"/>
      <c r="F2971" s="81"/>
      <c r="G2971" s="81"/>
      <c r="H2971" s="81"/>
      <c r="I2971" s="81"/>
      <c r="J2971" s="81"/>
      <c r="K2971" s="81"/>
      <c r="L2971" s="81"/>
      <c r="M2971" s="81"/>
      <c r="N2971" s="81"/>
      <c r="O2971" s="81"/>
      <c r="P2971" s="81"/>
      <c r="Q2971" s="81"/>
      <c r="R2971" s="81"/>
      <c r="S2971" s="81"/>
      <c r="T2971" s="81"/>
      <c r="U2971" s="81"/>
      <c r="V2971" s="94"/>
      <c r="W2971" s="94"/>
    </row>
    <row r="2972" spans="1:23" ht="21" customHeight="1">
      <c r="A2972">
        <f>Table4[[#This Row],[Column1]]</f>
        <v>0</v>
      </c>
      <c r="B2972">
        <f>Table4[[#This Row],[Column2]]</f>
        <v>0</v>
      </c>
      <c r="C2972" s="81"/>
      <c r="D2972" s="81"/>
      <c r="E2972" s="81"/>
      <c r="F2972" s="81"/>
      <c r="G2972" s="81"/>
      <c r="H2972" s="81"/>
      <c r="I2972" s="81"/>
      <c r="J2972" s="81"/>
      <c r="K2972" s="81"/>
      <c r="L2972" s="81"/>
      <c r="M2972" s="81"/>
      <c r="N2972" s="81"/>
      <c r="O2972" s="81"/>
      <c r="P2972" s="81"/>
      <c r="Q2972" s="81"/>
      <c r="R2972" s="81"/>
      <c r="S2972" s="81"/>
      <c r="T2972" s="81"/>
      <c r="U2972" s="81"/>
      <c r="V2972" s="94"/>
      <c r="W2972" s="94"/>
    </row>
    <row r="2973" spans="1:23" ht="21" customHeight="1">
      <c r="A2973">
        <f>Table4[[#This Row],[Column1]]</f>
        <v>0</v>
      </c>
      <c r="B2973">
        <f>Table4[[#This Row],[Column2]]</f>
        <v>0</v>
      </c>
      <c r="C2973" s="81"/>
      <c r="D2973" s="81"/>
      <c r="E2973" s="81"/>
      <c r="F2973" s="81"/>
      <c r="G2973" s="81"/>
      <c r="H2973" s="81"/>
      <c r="I2973" s="81"/>
      <c r="J2973" s="81"/>
      <c r="K2973" s="81"/>
      <c r="L2973" s="81"/>
      <c r="M2973" s="81"/>
      <c r="N2973" s="81"/>
      <c r="O2973" s="81"/>
      <c r="P2973" s="81"/>
      <c r="Q2973" s="81"/>
      <c r="R2973" s="81"/>
      <c r="S2973" s="81"/>
      <c r="T2973" s="81"/>
      <c r="U2973" s="81"/>
      <c r="V2973" s="94"/>
      <c r="W2973" s="94"/>
    </row>
    <row r="2974" spans="1:23" ht="21" customHeight="1">
      <c r="A2974">
        <f>Table4[[#This Row],[Column1]]</f>
        <v>0</v>
      </c>
      <c r="B2974">
        <f>Table4[[#This Row],[Column2]]</f>
        <v>0</v>
      </c>
      <c r="C2974" s="81"/>
      <c r="D2974" s="81"/>
      <c r="E2974" s="81"/>
      <c r="F2974" s="81"/>
      <c r="G2974" s="81"/>
      <c r="H2974" s="81"/>
      <c r="I2974" s="81"/>
      <c r="J2974" s="81"/>
      <c r="K2974" s="81"/>
      <c r="L2974" s="81"/>
      <c r="M2974" s="81"/>
      <c r="N2974" s="81"/>
      <c r="O2974" s="81"/>
      <c r="P2974" s="81"/>
      <c r="Q2974" s="81"/>
      <c r="R2974" s="81"/>
      <c r="S2974" s="81"/>
      <c r="T2974" s="81"/>
      <c r="U2974" s="81"/>
      <c r="V2974" s="94"/>
      <c r="W2974" s="94"/>
    </row>
    <row r="2975" spans="1:23" ht="21" customHeight="1">
      <c r="A2975">
        <f>Table4[[#This Row],[Column1]]</f>
        <v>0</v>
      </c>
      <c r="B2975">
        <f>Table4[[#This Row],[Column2]]</f>
        <v>0</v>
      </c>
      <c r="C2975" s="81"/>
      <c r="D2975" s="81"/>
      <c r="E2975" s="81"/>
      <c r="F2975" s="81"/>
      <c r="G2975" s="81"/>
      <c r="H2975" s="81"/>
      <c r="I2975" s="81"/>
      <c r="J2975" s="81"/>
      <c r="K2975" s="81"/>
      <c r="L2975" s="81"/>
      <c r="M2975" s="81"/>
      <c r="N2975" s="81"/>
      <c r="O2975" s="81"/>
      <c r="P2975" s="81"/>
      <c r="Q2975" s="81"/>
      <c r="R2975" s="81"/>
      <c r="S2975" s="81"/>
      <c r="T2975" s="81"/>
      <c r="U2975" s="81"/>
      <c r="V2975" s="94"/>
      <c r="W2975" s="94"/>
    </row>
    <row r="2976" spans="1:23" ht="21" customHeight="1">
      <c r="A2976">
        <f>Table4[[#This Row],[Column1]]</f>
        <v>0</v>
      </c>
      <c r="B2976">
        <f>Table4[[#This Row],[Column2]]</f>
        <v>0</v>
      </c>
      <c r="C2976" s="81"/>
      <c r="D2976" s="81"/>
      <c r="E2976" s="81"/>
      <c r="F2976" s="81"/>
      <c r="G2976" s="81"/>
      <c r="H2976" s="81"/>
      <c r="I2976" s="81"/>
      <c r="J2976" s="81"/>
      <c r="K2976" s="81"/>
      <c r="L2976" s="81"/>
      <c r="M2976" s="81"/>
      <c r="N2976" s="81"/>
      <c r="O2976" s="81"/>
      <c r="P2976" s="81"/>
      <c r="Q2976" s="81"/>
      <c r="R2976" s="81"/>
      <c r="S2976" s="81"/>
      <c r="T2976" s="81"/>
      <c r="U2976" s="81"/>
      <c r="V2976" s="94"/>
      <c r="W2976" s="94"/>
    </row>
    <row r="2977" spans="1:23" ht="21" customHeight="1">
      <c r="A2977">
        <f>Table4[[#This Row],[Column1]]</f>
        <v>0</v>
      </c>
      <c r="B2977">
        <f>Table4[[#This Row],[Column2]]</f>
        <v>0</v>
      </c>
      <c r="C2977" s="81"/>
      <c r="D2977" s="81"/>
      <c r="E2977" s="81"/>
      <c r="F2977" s="81"/>
      <c r="G2977" s="81"/>
      <c r="H2977" s="81"/>
      <c r="I2977" s="81"/>
      <c r="J2977" s="81"/>
      <c r="K2977" s="81"/>
      <c r="L2977" s="81"/>
      <c r="M2977" s="81"/>
      <c r="N2977" s="81"/>
      <c r="O2977" s="81"/>
      <c r="P2977" s="81"/>
      <c r="Q2977" s="81"/>
      <c r="R2977" s="81"/>
      <c r="S2977" s="81"/>
      <c r="T2977" s="81"/>
      <c r="U2977" s="81"/>
      <c r="V2977" s="94"/>
      <c r="W2977" s="94"/>
    </row>
    <row r="2978" spans="1:23" ht="21" customHeight="1">
      <c r="A2978">
        <f>Table4[[#This Row],[Column1]]</f>
        <v>0</v>
      </c>
      <c r="B2978">
        <f>Table4[[#This Row],[Column2]]</f>
        <v>0</v>
      </c>
      <c r="C2978" s="81"/>
      <c r="D2978" s="81"/>
      <c r="E2978" s="81"/>
      <c r="F2978" s="81"/>
      <c r="G2978" s="81"/>
      <c r="H2978" s="81"/>
      <c r="I2978" s="81"/>
      <c r="J2978" s="81"/>
      <c r="K2978" s="81"/>
      <c r="L2978" s="81"/>
      <c r="M2978" s="81"/>
      <c r="N2978" s="81"/>
      <c r="O2978" s="81"/>
      <c r="P2978" s="81"/>
      <c r="Q2978" s="81"/>
      <c r="R2978" s="81"/>
      <c r="S2978" s="81"/>
      <c r="T2978" s="81"/>
      <c r="U2978" s="81"/>
      <c r="V2978" s="94"/>
      <c r="W2978" s="94"/>
    </row>
    <row r="2979" spans="1:23" ht="21" customHeight="1">
      <c r="A2979">
        <f>Table4[[#This Row],[Column1]]</f>
        <v>0</v>
      </c>
      <c r="B2979">
        <f>Table4[[#This Row],[Column2]]</f>
        <v>0</v>
      </c>
      <c r="C2979" s="81"/>
      <c r="D2979" s="81"/>
      <c r="E2979" s="81"/>
      <c r="F2979" s="81"/>
      <c r="G2979" s="81"/>
      <c r="H2979" s="81"/>
      <c r="I2979" s="81"/>
      <c r="J2979" s="81"/>
      <c r="K2979" s="81"/>
      <c r="L2979" s="81"/>
      <c r="M2979" s="81"/>
      <c r="N2979" s="81"/>
      <c r="O2979" s="81"/>
      <c r="P2979" s="81"/>
      <c r="Q2979" s="81"/>
      <c r="R2979" s="81"/>
      <c r="S2979" s="81"/>
      <c r="T2979" s="81"/>
      <c r="U2979" s="81"/>
      <c r="V2979" s="94"/>
      <c r="W2979" s="94"/>
    </row>
    <row r="2980" spans="1:23" ht="21" customHeight="1">
      <c r="A2980">
        <f>Table4[[#This Row],[Column1]]</f>
        <v>0</v>
      </c>
      <c r="B2980">
        <f>Table4[[#This Row],[Column2]]</f>
        <v>0</v>
      </c>
      <c r="C2980" s="81"/>
      <c r="D2980" s="81"/>
      <c r="E2980" s="81"/>
      <c r="F2980" s="81"/>
      <c r="G2980" s="81"/>
      <c r="H2980" s="81"/>
      <c r="I2980" s="81"/>
      <c r="J2980" s="81"/>
      <c r="K2980" s="81"/>
      <c r="L2980" s="81"/>
      <c r="M2980" s="81"/>
      <c r="N2980" s="81"/>
      <c r="O2980" s="81"/>
      <c r="P2980" s="81"/>
      <c r="Q2980" s="81"/>
      <c r="R2980" s="81"/>
      <c r="S2980" s="81"/>
      <c r="T2980" s="81"/>
      <c r="U2980" s="81"/>
      <c r="V2980" s="94"/>
      <c r="W2980" s="94"/>
    </row>
    <row r="2981" spans="1:23" ht="21" customHeight="1">
      <c r="A2981">
        <f>Table4[[#This Row],[Column1]]</f>
        <v>0</v>
      </c>
      <c r="B2981">
        <f>Table4[[#This Row],[Column2]]</f>
        <v>0</v>
      </c>
      <c r="C2981" s="81"/>
      <c r="D2981" s="81"/>
      <c r="E2981" s="81"/>
      <c r="F2981" s="81"/>
      <c r="G2981" s="81"/>
      <c r="H2981" s="81"/>
      <c r="I2981" s="81"/>
      <c r="J2981" s="81"/>
      <c r="K2981" s="81"/>
      <c r="L2981" s="81"/>
      <c r="M2981" s="81"/>
      <c r="N2981" s="81"/>
      <c r="O2981" s="81"/>
      <c r="P2981" s="81"/>
      <c r="Q2981" s="81"/>
      <c r="R2981" s="81"/>
      <c r="S2981" s="81"/>
      <c r="T2981" s="81"/>
      <c r="U2981" s="81"/>
      <c r="V2981" s="94"/>
      <c r="W2981" s="94"/>
    </row>
    <row r="2982" spans="1:23" ht="21" customHeight="1">
      <c r="A2982">
        <f>Table4[[#This Row],[Column1]]</f>
        <v>0</v>
      </c>
      <c r="B2982">
        <f>Table4[[#This Row],[Column2]]</f>
        <v>0</v>
      </c>
      <c r="C2982" s="81"/>
      <c r="D2982" s="81"/>
      <c r="E2982" s="81"/>
      <c r="F2982" s="81"/>
      <c r="G2982" s="81"/>
      <c r="H2982" s="81"/>
      <c r="I2982" s="81"/>
      <c r="J2982" s="81"/>
      <c r="K2982" s="81"/>
      <c r="L2982" s="81"/>
      <c r="M2982" s="81"/>
      <c r="N2982" s="81"/>
      <c r="O2982" s="81"/>
      <c r="P2982" s="81"/>
      <c r="Q2982" s="81"/>
      <c r="R2982" s="81"/>
      <c r="S2982" s="81"/>
      <c r="T2982" s="81"/>
      <c r="U2982" s="81"/>
      <c r="V2982" s="94"/>
      <c r="W2982" s="94"/>
    </row>
    <row r="2983" spans="1:23" ht="21" customHeight="1">
      <c r="A2983">
        <f>Table4[[#This Row],[Column1]]</f>
        <v>0</v>
      </c>
      <c r="B2983">
        <f>Table4[[#This Row],[Column2]]</f>
        <v>0</v>
      </c>
      <c r="C2983" s="81"/>
      <c r="D2983" s="81"/>
      <c r="E2983" s="81"/>
      <c r="F2983" s="81"/>
      <c r="G2983" s="81"/>
      <c r="H2983" s="81"/>
      <c r="I2983" s="81"/>
      <c r="J2983" s="81"/>
      <c r="K2983" s="81"/>
      <c r="L2983" s="81"/>
      <c r="M2983" s="81"/>
      <c r="N2983" s="81"/>
      <c r="O2983" s="81"/>
      <c r="P2983" s="81"/>
      <c r="Q2983" s="81"/>
      <c r="R2983" s="81"/>
      <c r="S2983" s="81"/>
      <c r="T2983" s="81"/>
      <c r="U2983" s="81"/>
      <c r="V2983" s="94"/>
      <c r="W2983" s="94"/>
    </row>
    <row r="2984" spans="1:23" ht="21" customHeight="1">
      <c r="A2984">
        <f>Table4[[#This Row],[Column1]]</f>
        <v>0</v>
      </c>
      <c r="B2984">
        <f>Table4[[#This Row],[Column2]]</f>
        <v>0</v>
      </c>
      <c r="C2984" s="81"/>
      <c r="D2984" s="81"/>
      <c r="E2984" s="81"/>
      <c r="F2984" s="81"/>
      <c r="G2984" s="81"/>
      <c r="H2984" s="81"/>
      <c r="I2984" s="81"/>
      <c r="J2984" s="81"/>
      <c r="K2984" s="81"/>
      <c r="L2984" s="81"/>
      <c r="M2984" s="81"/>
      <c r="N2984" s="81"/>
      <c r="O2984" s="81"/>
      <c r="P2984" s="81"/>
      <c r="Q2984" s="81"/>
      <c r="R2984" s="81"/>
      <c r="S2984" s="81"/>
      <c r="T2984" s="81"/>
      <c r="U2984" s="81"/>
      <c r="V2984" s="94"/>
      <c r="W2984" s="94"/>
    </row>
    <row r="2985" spans="1:23" ht="21" customHeight="1">
      <c r="A2985">
        <f>Table4[[#This Row],[Column1]]</f>
        <v>0</v>
      </c>
      <c r="B2985">
        <f>Table4[[#This Row],[Column2]]</f>
        <v>0</v>
      </c>
      <c r="C2985" s="81"/>
      <c r="D2985" s="81"/>
      <c r="E2985" s="81"/>
      <c r="F2985" s="81"/>
      <c r="G2985" s="81"/>
      <c r="H2985" s="81"/>
      <c r="I2985" s="81"/>
      <c r="J2985" s="81"/>
      <c r="K2985" s="81"/>
      <c r="L2985" s="81"/>
      <c r="M2985" s="81"/>
      <c r="N2985" s="81"/>
      <c r="O2985" s="81"/>
      <c r="P2985" s="81"/>
      <c r="Q2985" s="81"/>
      <c r="R2985" s="81"/>
      <c r="S2985" s="81"/>
      <c r="T2985" s="81"/>
      <c r="U2985" s="81"/>
      <c r="V2985" s="94"/>
      <c r="W2985" s="94"/>
    </row>
    <row r="2986" spans="1:23" ht="21" customHeight="1">
      <c r="A2986">
        <f>Table4[[#This Row],[Column1]]</f>
        <v>0</v>
      </c>
      <c r="B2986">
        <f>Table4[[#This Row],[Column2]]</f>
        <v>0</v>
      </c>
      <c r="C2986" s="81"/>
      <c r="D2986" s="81"/>
      <c r="E2986" s="81"/>
      <c r="F2986" s="81"/>
      <c r="G2986" s="81"/>
      <c r="H2986" s="81"/>
      <c r="I2986" s="81"/>
      <c r="J2986" s="81"/>
      <c r="K2986" s="81"/>
      <c r="L2986" s="81"/>
      <c r="M2986" s="81"/>
      <c r="N2986" s="81"/>
      <c r="O2986" s="81"/>
      <c r="P2986" s="81"/>
      <c r="Q2986" s="81"/>
      <c r="R2986" s="81"/>
      <c r="S2986" s="81"/>
      <c r="T2986" s="81"/>
      <c r="U2986" s="81"/>
      <c r="V2986" s="94"/>
      <c r="W2986" s="94"/>
    </row>
    <row r="2987" spans="1:23" ht="21" customHeight="1">
      <c r="A2987">
        <f>Table4[[#This Row],[Column1]]</f>
        <v>0</v>
      </c>
      <c r="B2987">
        <f>Table4[[#This Row],[Column2]]</f>
        <v>0</v>
      </c>
      <c r="C2987" s="81"/>
      <c r="D2987" s="81"/>
      <c r="E2987" s="81"/>
      <c r="F2987" s="81"/>
      <c r="G2987" s="81"/>
      <c r="H2987" s="81"/>
      <c r="I2987" s="81"/>
      <c r="J2987" s="81"/>
      <c r="K2987" s="81"/>
      <c r="L2987" s="81"/>
      <c r="M2987" s="81"/>
      <c r="N2987" s="81"/>
      <c r="O2987" s="81"/>
      <c r="P2987" s="81"/>
      <c r="Q2987" s="81"/>
      <c r="R2987" s="81"/>
      <c r="S2987" s="81"/>
      <c r="T2987" s="81"/>
      <c r="U2987" s="81"/>
      <c r="V2987" s="94"/>
      <c r="W2987" s="94"/>
    </row>
    <row r="2988" spans="1:23" ht="21" customHeight="1">
      <c r="A2988">
        <f>Table4[[#This Row],[Column1]]</f>
        <v>0</v>
      </c>
      <c r="B2988">
        <f>Table4[[#This Row],[Column2]]</f>
        <v>0</v>
      </c>
      <c r="C2988" s="81"/>
      <c r="D2988" s="81"/>
      <c r="E2988" s="81"/>
      <c r="F2988" s="81"/>
      <c r="G2988" s="81"/>
      <c r="H2988" s="81"/>
      <c r="I2988" s="81"/>
      <c r="J2988" s="81"/>
      <c r="K2988" s="81"/>
      <c r="L2988" s="81"/>
      <c r="M2988" s="81"/>
      <c r="N2988" s="81"/>
      <c r="O2988" s="81"/>
      <c r="P2988" s="81"/>
      <c r="Q2988" s="81"/>
      <c r="R2988" s="81"/>
      <c r="S2988" s="81"/>
      <c r="T2988" s="81"/>
      <c r="U2988" s="81"/>
      <c r="V2988" s="94"/>
      <c r="W2988" s="94"/>
    </row>
    <row r="2989" spans="1:23" ht="21" customHeight="1">
      <c r="A2989">
        <f>Table4[[#This Row],[Column1]]</f>
        <v>0</v>
      </c>
      <c r="B2989">
        <f>Table4[[#This Row],[Column2]]</f>
        <v>0</v>
      </c>
      <c r="C2989" s="81"/>
      <c r="D2989" s="81"/>
      <c r="E2989" s="81"/>
      <c r="F2989" s="81"/>
      <c r="G2989" s="81"/>
      <c r="H2989" s="81"/>
      <c r="I2989" s="81"/>
      <c r="J2989" s="81"/>
      <c r="K2989" s="81"/>
      <c r="L2989" s="81"/>
      <c r="M2989" s="81"/>
      <c r="N2989" s="81"/>
      <c r="O2989" s="81"/>
      <c r="P2989" s="81"/>
      <c r="Q2989" s="81"/>
      <c r="R2989" s="81"/>
      <c r="S2989" s="81"/>
      <c r="T2989" s="81"/>
      <c r="U2989" s="81"/>
      <c r="V2989" s="94"/>
      <c r="W2989" s="94"/>
    </row>
    <row r="2990" spans="1:23" ht="21" customHeight="1">
      <c r="A2990">
        <f>Table4[[#This Row],[Column1]]</f>
        <v>0</v>
      </c>
      <c r="B2990">
        <f>Table4[[#This Row],[Column2]]</f>
        <v>0</v>
      </c>
      <c r="C2990" s="81"/>
      <c r="D2990" s="81"/>
      <c r="E2990" s="81"/>
      <c r="F2990" s="81"/>
      <c r="G2990" s="81"/>
      <c r="H2990" s="81"/>
      <c r="I2990" s="81"/>
      <c r="J2990" s="81"/>
      <c r="K2990" s="81"/>
      <c r="L2990" s="81"/>
      <c r="M2990" s="81"/>
      <c r="N2990" s="81"/>
      <c r="O2990" s="81"/>
      <c r="P2990" s="81"/>
      <c r="Q2990" s="81"/>
      <c r="R2990" s="81"/>
      <c r="S2990" s="81"/>
      <c r="T2990" s="81"/>
      <c r="U2990" s="81"/>
      <c r="V2990" s="94"/>
      <c r="W2990" s="94"/>
    </row>
    <row r="2991" spans="1:23" ht="21" customHeight="1">
      <c r="A2991">
        <f>Table4[[#This Row],[Column1]]</f>
        <v>0</v>
      </c>
      <c r="B2991">
        <f>Table4[[#This Row],[Column2]]</f>
        <v>0</v>
      </c>
      <c r="C2991" s="81"/>
      <c r="D2991" s="81"/>
      <c r="E2991" s="81"/>
      <c r="F2991" s="81"/>
      <c r="G2991" s="81"/>
      <c r="H2991" s="81"/>
      <c r="I2991" s="81"/>
      <c r="J2991" s="81"/>
      <c r="K2991" s="81"/>
      <c r="L2991" s="81"/>
      <c r="M2991" s="81"/>
      <c r="N2991" s="81"/>
      <c r="O2991" s="81"/>
      <c r="P2991" s="81"/>
      <c r="Q2991" s="81"/>
      <c r="R2991" s="81"/>
      <c r="S2991" s="81"/>
      <c r="T2991" s="81"/>
      <c r="U2991" s="81"/>
      <c r="V2991" s="94"/>
      <c r="W2991" s="94"/>
    </row>
    <row r="2992" spans="1:23" ht="21" customHeight="1">
      <c r="A2992">
        <f>Table4[[#This Row],[Column1]]</f>
        <v>0</v>
      </c>
      <c r="B2992">
        <f>Table4[[#This Row],[Column2]]</f>
        <v>0</v>
      </c>
      <c r="C2992" s="81"/>
      <c r="D2992" s="81"/>
      <c r="E2992" s="81"/>
      <c r="F2992" s="81"/>
      <c r="G2992" s="81"/>
      <c r="H2992" s="81"/>
      <c r="I2992" s="81"/>
      <c r="J2992" s="81"/>
      <c r="K2992" s="81"/>
      <c r="L2992" s="81"/>
      <c r="M2992" s="81"/>
      <c r="N2992" s="81"/>
      <c r="O2992" s="81"/>
      <c r="P2992" s="81"/>
      <c r="Q2992" s="81"/>
      <c r="R2992" s="81"/>
      <c r="S2992" s="81"/>
      <c r="T2992" s="81"/>
      <c r="U2992" s="81"/>
      <c r="V2992" s="94"/>
      <c r="W2992" s="94"/>
    </row>
    <row r="2993" spans="1:23" ht="21" customHeight="1">
      <c r="A2993">
        <f>Table4[[#This Row],[Column1]]</f>
        <v>0</v>
      </c>
      <c r="B2993">
        <f>Table4[[#This Row],[Column2]]</f>
        <v>0</v>
      </c>
      <c r="C2993" s="81"/>
      <c r="D2993" s="81"/>
      <c r="E2993" s="81"/>
      <c r="F2993" s="81"/>
      <c r="G2993" s="81"/>
      <c r="H2993" s="81"/>
      <c r="I2993" s="81"/>
      <c r="J2993" s="81"/>
      <c r="K2993" s="81"/>
      <c r="L2993" s="81"/>
      <c r="M2993" s="81"/>
      <c r="N2993" s="81"/>
      <c r="O2993" s="81"/>
      <c r="P2993" s="81"/>
      <c r="Q2993" s="81"/>
      <c r="R2993" s="81"/>
      <c r="S2993" s="81"/>
      <c r="T2993" s="81"/>
      <c r="U2993" s="81"/>
      <c r="V2993" s="94"/>
      <c r="W2993" s="94"/>
    </row>
    <row r="2994" spans="1:23" ht="21" customHeight="1">
      <c r="A2994">
        <f>Table4[[#This Row],[Column1]]</f>
        <v>0</v>
      </c>
      <c r="B2994">
        <f>Table4[[#This Row],[Column2]]</f>
        <v>0</v>
      </c>
      <c r="C2994" s="81"/>
      <c r="D2994" s="81"/>
      <c r="E2994" s="81"/>
      <c r="F2994" s="81"/>
      <c r="G2994" s="81"/>
      <c r="H2994" s="81"/>
      <c r="I2994" s="81"/>
      <c r="J2994" s="81"/>
      <c r="K2994" s="81"/>
      <c r="L2994" s="81"/>
      <c r="M2994" s="81"/>
      <c r="N2994" s="81"/>
      <c r="O2994" s="81"/>
      <c r="P2994" s="81"/>
      <c r="Q2994" s="81"/>
      <c r="R2994" s="81"/>
      <c r="S2994" s="81"/>
      <c r="T2994" s="81"/>
      <c r="U2994" s="81"/>
      <c r="V2994" s="94"/>
      <c r="W2994" s="94"/>
    </row>
    <row r="2995" spans="1:23" ht="21" customHeight="1">
      <c r="A2995">
        <f>Table4[[#This Row],[Column1]]</f>
        <v>0</v>
      </c>
      <c r="B2995">
        <f>Table4[[#This Row],[Column2]]</f>
        <v>0</v>
      </c>
      <c r="C2995" s="81"/>
      <c r="D2995" s="81"/>
      <c r="E2995" s="81"/>
      <c r="F2995" s="81"/>
      <c r="G2995" s="81"/>
      <c r="H2995" s="81"/>
      <c r="I2995" s="81"/>
      <c r="J2995" s="81"/>
      <c r="K2995" s="81"/>
      <c r="L2995" s="81"/>
      <c r="M2995" s="81"/>
      <c r="N2995" s="81"/>
      <c r="O2995" s="81"/>
      <c r="P2995" s="81"/>
      <c r="Q2995" s="81"/>
      <c r="R2995" s="81"/>
      <c r="S2995" s="81"/>
      <c r="T2995" s="81"/>
      <c r="U2995" s="81"/>
      <c r="V2995" s="94"/>
      <c r="W2995" s="94"/>
    </row>
    <row r="2996" spans="1:23" ht="21" customHeight="1">
      <c r="A2996">
        <f>Table4[[#This Row],[Column1]]</f>
        <v>0</v>
      </c>
      <c r="B2996">
        <f>Table4[[#This Row],[Column2]]</f>
        <v>0</v>
      </c>
      <c r="C2996" s="81"/>
      <c r="D2996" s="81"/>
      <c r="E2996" s="81"/>
      <c r="F2996" s="81"/>
      <c r="G2996" s="81"/>
      <c r="H2996" s="81"/>
      <c r="I2996" s="81"/>
      <c r="J2996" s="81"/>
      <c r="K2996" s="81"/>
      <c r="L2996" s="81"/>
      <c r="M2996" s="81"/>
      <c r="N2996" s="81"/>
      <c r="O2996" s="81"/>
      <c r="P2996" s="81"/>
      <c r="Q2996" s="81"/>
      <c r="R2996" s="81"/>
      <c r="S2996" s="81"/>
      <c r="T2996" s="81"/>
      <c r="U2996" s="81"/>
      <c r="V2996" s="94"/>
      <c r="W2996" s="94"/>
    </row>
    <row r="2997" spans="1:23" ht="21" customHeight="1">
      <c r="A2997">
        <f>Table4[[#This Row],[Column1]]</f>
        <v>0</v>
      </c>
      <c r="B2997">
        <f>Table4[[#This Row],[Column2]]</f>
        <v>0</v>
      </c>
      <c r="C2997" s="81"/>
      <c r="D2997" s="81"/>
      <c r="E2997" s="81"/>
      <c r="F2997" s="81"/>
      <c r="G2997" s="81"/>
      <c r="H2997" s="81"/>
      <c r="I2997" s="81"/>
      <c r="J2997" s="81"/>
      <c r="K2997" s="81"/>
      <c r="L2997" s="81"/>
      <c r="M2997" s="81"/>
      <c r="N2997" s="81"/>
      <c r="O2997" s="81"/>
      <c r="P2997" s="81"/>
      <c r="Q2997" s="81"/>
      <c r="R2997" s="81"/>
      <c r="S2997" s="81"/>
      <c r="T2997" s="81"/>
      <c r="U2997" s="81"/>
      <c r="V2997" s="94"/>
      <c r="W2997" s="94"/>
    </row>
    <row r="2998" spans="1:23" ht="21" customHeight="1">
      <c r="A2998">
        <f>Table4[[#This Row],[Column1]]</f>
        <v>0</v>
      </c>
      <c r="B2998">
        <f>Table4[[#This Row],[Column2]]</f>
        <v>0</v>
      </c>
      <c r="C2998" s="81"/>
      <c r="D2998" s="81"/>
      <c r="E2998" s="81"/>
      <c r="F2998" s="81"/>
      <c r="G2998" s="81"/>
      <c r="H2998" s="81"/>
      <c r="I2998" s="81"/>
      <c r="J2998" s="81"/>
      <c r="K2998" s="81"/>
      <c r="L2998" s="81"/>
      <c r="M2998" s="81"/>
      <c r="N2998" s="81"/>
      <c r="O2998" s="81"/>
      <c r="P2998" s="81"/>
      <c r="Q2998" s="81"/>
      <c r="R2998" s="81"/>
      <c r="S2998" s="81"/>
      <c r="T2998" s="81"/>
      <c r="U2998" s="81"/>
      <c r="V2998" s="94"/>
      <c r="W2998" s="94"/>
    </row>
    <row r="2999" spans="1:23" ht="21" customHeight="1">
      <c r="A2999">
        <f>Table4[[#This Row],[Column1]]</f>
        <v>0</v>
      </c>
      <c r="B2999">
        <f>Table4[[#This Row],[Column2]]</f>
        <v>0</v>
      </c>
      <c r="C2999" s="81"/>
      <c r="D2999" s="81"/>
      <c r="E2999" s="81"/>
      <c r="F2999" s="81"/>
      <c r="G2999" s="81"/>
      <c r="H2999" s="81"/>
      <c r="I2999" s="81"/>
      <c r="J2999" s="81"/>
      <c r="K2999" s="81"/>
      <c r="L2999" s="81"/>
      <c r="M2999" s="81"/>
      <c r="N2999" s="81"/>
      <c r="O2999" s="81"/>
      <c r="P2999" s="81"/>
      <c r="Q2999" s="81"/>
      <c r="R2999" s="81"/>
      <c r="S2999" s="81"/>
      <c r="T2999" s="81"/>
      <c r="U2999" s="81"/>
      <c r="V2999" s="94"/>
      <c r="W2999" s="94"/>
    </row>
    <row r="3000" spans="1:23" ht="21" customHeight="1">
      <c r="A3000">
        <f>Table4[[#This Row],[Column1]]</f>
        <v>0</v>
      </c>
      <c r="B3000">
        <f>Table4[[#This Row],[Column2]]</f>
        <v>0</v>
      </c>
      <c r="C3000" s="81"/>
      <c r="D3000" s="81"/>
      <c r="E3000" s="81"/>
      <c r="F3000" s="81"/>
      <c r="G3000" s="81"/>
      <c r="H3000" s="81"/>
      <c r="I3000" s="81"/>
      <c r="J3000" s="81"/>
      <c r="K3000" s="81"/>
      <c r="L3000" s="81"/>
      <c r="M3000" s="81"/>
      <c r="N3000" s="81"/>
      <c r="O3000" s="81"/>
      <c r="P3000" s="81"/>
      <c r="Q3000" s="81"/>
      <c r="R3000" s="81"/>
      <c r="S3000" s="81"/>
      <c r="T3000" s="81"/>
      <c r="U3000" s="81"/>
      <c r="V3000" s="94"/>
      <c r="W3000" s="94"/>
    </row>
    <row r="3001" spans="1:23" ht="21" customHeight="1">
      <c r="A3001">
        <f>Table4[[#This Row],[Column1]]</f>
        <v>0</v>
      </c>
      <c r="B3001">
        <f>Table4[[#This Row],[Column2]]</f>
        <v>0</v>
      </c>
      <c r="C3001" s="81"/>
      <c r="D3001" s="81"/>
      <c r="E3001" s="81"/>
      <c r="F3001" s="81"/>
      <c r="G3001" s="81"/>
      <c r="H3001" s="81"/>
      <c r="I3001" s="81"/>
      <c r="J3001" s="81"/>
      <c r="K3001" s="81"/>
      <c r="L3001" s="81"/>
      <c r="M3001" s="81"/>
      <c r="N3001" s="81"/>
      <c r="O3001" s="81"/>
      <c r="P3001" s="81"/>
      <c r="Q3001" s="81"/>
      <c r="R3001" s="81"/>
      <c r="S3001" s="81"/>
      <c r="T3001" s="81"/>
      <c r="U3001" s="81"/>
      <c r="V3001" s="94"/>
      <c r="W3001" s="94"/>
    </row>
    <row r="3002" spans="1:23" ht="21" customHeight="1">
      <c r="A3002">
        <f>Table4[[#This Row],[Column1]]</f>
        <v>0</v>
      </c>
      <c r="B3002">
        <f>Table4[[#This Row],[Column2]]</f>
        <v>0</v>
      </c>
      <c r="C3002" s="81"/>
      <c r="D3002" s="81"/>
      <c r="E3002" s="81"/>
      <c r="F3002" s="81"/>
      <c r="G3002" s="81"/>
      <c r="H3002" s="81"/>
      <c r="I3002" s="81"/>
      <c r="J3002" s="81"/>
      <c r="K3002" s="81"/>
      <c r="L3002" s="81"/>
      <c r="M3002" s="81"/>
      <c r="N3002" s="81"/>
      <c r="O3002" s="81"/>
      <c r="P3002" s="81"/>
      <c r="Q3002" s="81"/>
      <c r="R3002" s="81"/>
      <c r="S3002" s="81"/>
      <c r="T3002" s="81"/>
      <c r="U3002" s="81"/>
      <c r="V3002" s="94"/>
      <c r="W3002" s="94"/>
    </row>
  </sheetData>
  <conditionalFormatting sqref="A627:B3002">
    <cfRule type="cellIs" dxfId="161" priority="10" operator="equal">
      <formula>0</formula>
    </cfRule>
  </conditionalFormatting>
  <conditionalFormatting sqref="A627:U3002 S43:T44 S57:T58 I5:Q5 T98 S106:T106 S109:T109 S113:T114 S129:T129 S141:T141 S137:T137 D139:J141 S147:T147 S149:T149 D128:J129 D138:T138 K141:Q141 I7:T42 I43:Q43 Q44 Q45:T48 Q57:Q58 Q95:T97 Q109 Q107:T108 Q99:T105 Q98:R98 Q112:T112 Q115:T115 Q113:Q114 Q143:T146 Q148:T148 Q151 Q150:T150 Q147 Q105:Q106 Q51:T56 S151:T152 Q149 D152:Q152 S154:T157 S160:T161 S163:T163 D158:T159 C5:H6 C2:Q4 D7:H61 I44:P48 I49:T50 I51:P58 I59:T61 D62:T94 D95:P109 D110:T111 D112:P115 D116:T127 K128:T128 K129:Q129 D130:T136 D137:Q137 K139:T140 D142:T142 D143:P151 D153:T153 D160:Q160 Q161 Q162:T162 D161:P163 D154:Q157 T2:U5 I6:U6 U7:U163 Q163 C7:C165 C166:Q166 S166:U166 S168:U168 C164:U165 S171:U172 C168:Q168 C167:U167 C173:U174 C175:Q175 S175:U175 C171:Q172 C169:U170 S179:U179 S181:U181 C176:U178 C182:U626 C179:Q179 C181:Q181 D180:U180">
    <cfRule type="containsBlanks" dxfId="160" priority="9">
      <formula>LEN(TRIM(A2))=0</formula>
    </cfRule>
  </conditionalFormatting>
  <conditionalFormatting sqref="A2:B4">
    <cfRule type="cellIs" dxfId="159" priority="8" operator="equal">
      <formula>0</formula>
    </cfRule>
  </conditionalFormatting>
  <conditionalFormatting sqref="A2:B4">
    <cfRule type="containsBlanks" dxfId="158" priority="7">
      <formula>LEN(TRIM(A2))=0</formula>
    </cfRule>
  </conditionalFormatting>
  <conditionalFormatting sqref="A5:B626">
    <cfRule type="cellIs" dxfId="157" priority="6" operator="equal">
      <formula>0</formula>
    </cfRule>
  </conditionalFormatting>
  <conditionalFormatting sqref="A5:B626">
    <cfRule type="containsBlanks" dxfId="156" priority="5">
      <formula>LEN(TRIM(A5))=0</formula>
    </cfRule>
  </conditionalFormatting>
  <conditionalFormatting sqref="R2:R5">
    <cfRule type="containsBlanks" dxfId="155" priority="4">
      <formula>LEN(TRIM(R2))=0</formula>
    </cfRule>
  </conditionalFormatting>
  <conditionalFormatting sqref="S2:S5">
    <cfRule type="containsBlanks" dxfId="154" priority="3">
      <formula>LEN(TRIM(S2))=0</formula>
    </cfRule>
  </conditionalFormatting>
  <conditionalFormatting sqref="C180">
    <cfRule type="containsBlanks" dxfId="153" priority="1">
      <formula>LEN(TRIM(C180))=0</formula>
    </cfRule>
  </conditionalFormatting>
  <pageMargins left="0.7" right="0.7" top="0.75" bottom="0.75" header="0.3" footer="0.3"/>
  <pageSetup paperSize="9" orientation="portrait" r:id="rId1"/>
  <tableParts count="2">
    <tablePart r:id="rId2"/>
    <tablePart r:id="rId3"/>
  </tableParts>
  <extLst>
    <ext xmlns:x14="http://schemas.microsoft.com/office/spreadsheetml/2009/9/main" uri="{CCE6A557-97BC-4b89-ADB6-D9C93CAAB3DF}">
      <x14:dataValidations xmlns:xm="http://schemas.microsoft.com/office/excel/2006/main" count="11">
        <x14:dataValidation type="list" allowBlank="1" showInputMessage="1" showErrorMessage="1">
          <x14:formula1>
            <xm:f>'Answers+SOP'!$B$19:$B$23</xm:f>
          </x14:formula1>
          <xm:sqref>G2:G3002</xm:sqref>
        </x14:dataValidation>
        <x14:dataValidation type="list" allowBlank="1" showInputMessage="1" showErrorMessage="1">
          <x14:formula1>
            <xm:f>'Answers+SOP'!$B$27:$B$30</xm:f>
          </x14:formula1>
          <xm:sqref>H2:H3002</xm:sqref>
        </x14:dataValidation>
        <x14:dataValidation type="list" allowBlank="1" showInputMessage="1" showErrorMessage="1">
          <x14:formula1>
            <xm:f>'Answers+SOP'!$B$34:$B$37</xm:f>
          </x14:formula1>
          <xm:sqref>K2:K3002</xm:sqref>
        </x14:dataValidation>
        <x14:dataValidation type="list" allowBlank="1" showInputMessage="1" showErrorMessage="1">
          <x14:formula1>
            <xm:f>'Answers+SOP'!$B$48:$B$53</xm:f>
          </x14:formula1>
          <xm:sqref>M2:M178 M180:M3002</xm:sqref>
        </x14:dataValidation>
        <x14:dataValidation type="list" allowBlank="1" showInputMessage="1" showErrorMessage="1">
          <x14:formula1>
            <xm:f>'Answers+SOP'!$B$57:$B$62</xm:f>
          </x14:formula1>
          <xm:sqref>N2:N3002</xm:sqref>
        </x14:dataValidation>
        <x14:dataValidation type="list" allowBlank="1" showInputMessage="1" showErrorMessage="1">
          <x14:formula1>
            <xm:f>'Answers+SOP'!$B$66:$B$77</xm:f>
          </x14:formula1>
          <xm:sqref>O2:O3002</xm:sqref>
        </x14:dataValidation>
        <x14:dataValidation type="list" allowBlank="1" showInputMessage="1" showErrorMessage="1">
          <x14:formula1>
            <xm:f>'Answers+SOP'!$B$81:$B$86</xm:f>
          </x14:formula1>
          <xm:sqref>P1:P1048576</xm:sqref>
        </x14:dataValidation>
        <x14:dataValidation type="list" allowBlank="1" showInputMessage="1" showErrorMessage="1">
          <x14:formula1>
            <xm:f>'Answers+SOP'!$B$90:$B$91</xm:f>
          </x14:formula1>
          <xm:sqref>R6</xm:sqref>
        </x14:dataValidation>
        <x14:dataValidation type="list" allowBlank="1" showInputMessage="1" showErrorMessage="1">
          <x14:formula1>
            <xm:f>'Answers+SOP'!$B$97:$B$99</xm:f>
          </x14:formula1>
          <xm:sqref>U1 U3003:U1048576</xm:sqref>
        </x14:dataValidation>
        <x14:dataValidation type="list" allowBlank="1" showInputMessage="1" showErrorMessage="1">
          <x14:formula1>
            <xm:f>'Answers+SOP'!$B$103:$B$107</xm:f>
          </x14:formula1>
          <xm:sqref>V1:V1048576</xm:sqref>
        </x14:dataValidation>
        <x14:dataValidation type="list" allowBlank="1" showInputMessage="1" showErrorMessage="1">
          <x14:formula1>
            <xm:f>'Answers+SOP'!$B$111:$B$115</xm:f>
          </x14:formula1>
          <xm:sqref>W1:W1048576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L3002"/>
  <sheetViews>
    <sheetView topLeftCell="A164" zoomScale="80" zoomScaleNormal="80" workbookViewId="0">
      <pane xSplit="2" topLeftCell="C1" activePane="topRight" state="frozen"/>
      <selection activeCell="AA20" sqref="AA20"/>
      <selection pane="topRight" activeCell="F180" sqref="F180"/>
    </sheetView>
  </sheetViews>
  <sheetFormatPr defaultRowHeight="22.5" customHeight="1"/>
  <cols>
    <col min="1" max="1" width="14.140625" bestFit="1" customWidth="1"/>
    <col min="2" max="2" width="16.7109375" customWidth="1"/>
    <col min="3" max="3" width="22.28515625" bestFit="1" customWidth="1"/>
    <col min="4" max="4" width="18.85546875" customWidth="1"/>
    <col min="5" max="5" width="18.28515625" customWidth="1"/>
    <col min="6" max="6" width="17.140625" customWidth="1"/>
    <col min="7" max="7" width="12.7109375" customWidth="1"/>
    <col min="8" max="8" width="17.5703125" customWidth="1"/>
    <col min="9" max="9" width="12.140625" customWidth="1"/>
    <col min="10" max="10" width="12.5703125" customWidth="1"/>
    <col min="11" max="11" width="26.85546875" customWidth="1"/>
    <col min="12" max="12" width="31.85546875" style="65" customWidth="1"/>
  </cols>
  <sheetData>
    <row r="1" spans="1:12" ht="22.5" customHeight="1">
      <c r="A1" t="s">
        <v>662</v>
      </c>
      <c r="B1" t="s">
        <v>663</v>
      </c>
      <c r="C1" s="8" t="s">
        <v>729</v>
      </c>
      <c r="D1" s="8" t="s">
        <v>731</v>
      </c>
      <c r="E1" s="8" t="s">
        <v>733</v>
      </c>
      <c r="F1" s="8" t="s">
        <v>734</v>
      </c>
      <c r="G1" s="8" t="s">
        <v>736</v>
      </c>
      <c r="H1" s="8" t="s">
        <v>737</v>
      </c>
      <c r="I1" s="8" t="s">
        <v>739</v>
      </c>
      <c r="J1" s="8" t="s">
        <v>740</v>
      </c>
      <c r="K1" s="8" t="s">
        <v>742</v>
      </c>
      <c r="L1" s="8" t="s">
        <v>741</v>
      </c>
    </row>
    <row r="2" spans="1:12" ht="22.5" customHeight="1">
      <c r="A2">
        <f>Table4[[#This Row],[Column1]]</f>
        <v>0</v>
      </c>
      <c r="B2">
        <f>Table4[[#This Row],[Column2]]</f>
        <v>0</v>
      </c>
      <c r="C2" t="s">
        <v>54</v>
      </c>
      <c r="D2" t="s">
        <v>56</v>
      </c>
      <c r="E2" t="s">
        <v>25</v>
      </c>
      <c r="F2" t="s">
        <v>4</v>
      </c>
      <c r="G2" t="s">
        <v>3</v>
      </c>
      <c r="I2" t="s">
        <v>3</v>
      </c>
      <c r="J2" t="s">
        <v>3</v>
      </c>
      <c r="K2" t="s">
        <v>25</v>
      </c>
      <c r="L2"/>
    </row>
    <row r="3" spans="1:12" ht="22.5" customHeight="1">
      <c r="A3">
        <f>Table4[[#This Row],[Column1]]</f>
        <v>0</v>
      </c>
      <c r="B3">
        <f>Table4[[#This Row],[Column2]]</f>
        <v>0</v>
      </c>
      <c r="C3" t="s">
        <v>55</v>
      </c>
      <c r="D3" t="s">
        <v>56</v>
      </c>
      <c r="E3" t="s">
        <v>56</v>
      </c>
      <c r="F3" t="s">
        <v>4</v>
      </c>
      <c r="G3" t="s">
        <v>3</v>
      </c>
      <c r="H3" t="s">
        <v>3</v>
      </c>
      <c r="I3" t="s">
        <v>3</v>
      </c>
      <c r="J3" t="s">
        <v>3</v>
      </c>
      <c r="K3" t="s">
        <v>64</v>
      </c>
      <c r="L3"/>
    </row>
    <row r="4" spans="1:12" ht="22.5" customHeight="1">
      <c r="A4">
        <f>Table4[[#This Row],[Column1]]</f>
        <v>0</v>
      </c>
      <c r="B4">
        <f>Table4[[#This Row],[Column2]]</f>
        <v>0</v>
      </c>
      <c r="C4" t="s">
        <v>54</v>
      </c>
      <c r="D4" t="s">
        <v>25</v>
      </c>
      <c r="E4" t="s">
        <v>25</v>
      </c>
      <c r="F4" t="s">
        <v>4</v>
      </c>
      <c r="G4" t="s">
        <v>3</v>
      </c>
      <c r="I4" t="s">
        <v>3</v>
      </c>
      <c r="J4" t="s">
        <v>3</v>
      </c>
      <c r="K4" t="s">
        <v>64</v>
      </c>
      <c r="L4"/>
    </row>
    <row r="5" spans="1:12" ht="22.5" customHeight="1">
      <c r="A5">
        <f>Table4[[#This Row],[Column1]]</f>
        <v>0</v>
      </c>
      <c r="B5">
        <f>Table4[[#This Row],[Column2]]</f>
        <v>0</v>
      </c>
      <c r="L5"/>
    </row>
    <row r="6" spans="1:12" ht="22.5" customHeight="1">
      <c r="A6">
        <f>Table4[[#This Row],[Column1]]</f>
        <v>0</v>
      </c>
      <c r="B6">
        <f>Table4[[#This Row],[Column2]]</f>
        <v>0</v>
      </c>
      <c r="C6" t="s">
        <v>57</v>
      </c>
      <c r="D6" t="s">
        <v>55</v>
      </c>
      <c r="E6" t="s">
        <v>25</v>
      </c>
      <c r="F6" t="s">
        <v>4</v>
      </c>
      <c r="G6" t="s">
        <v>3</v>
      </c>
      <c r="I6" t="s">
        <v>4</v>
      </c>
      <c r="J6" t="s">
        <v>3</v>
      </c>
      <c r="K6" t="s">
        <v>64</v>
      </c>
      <c r="L6"/>
    </row>
    <row r="7" spans="1:12" ht="22.5" customHeight="1">
      <c r="A7">
        <f>Table4[[#This Row],[Column1]]</f>
        <v>0</v>
      </c>
      <c r="B7">
        <f>Table4[[#This Row],[Column2]]</f>
        <v>0</v>
      </c>
      <c r="C7" t="s">
        <v>57</v>
      </c>
      <c r="D7" t="s">
        <v>56</v>
      </c>
      <c r="E7" t="s">
        <v>56</v>
      </c>
      <c r="F7" t="s">
        <v>4</v>
      </c>
      <c r="G7" t="s">
        <v>3</v>
      </c>
      <c r="I7" t="s">
        <v>3</v>
      </c>
      <c r="J7" t="s">
        <v>3</v>
      </c>
      <c r="K7" t="s">
        <v>25</v>
      </c>
      <c r="L7"/>
    </row>
    <row r="8" spans="1:12" ht="22.5" customHeight="1">
      <c r="A8">
        <f>Table4[[#This Row],[Column1]]</f>
        <v>0</v>
      </c>
      <c r="B8">
        <f>Table4[[#This Row],[Column2]]</f>
        <v>0</v>
      </c>
      <c r="C8" t="s">
        <v>57</v>
      </c>
      <c r="D8" t="s">
        <v>56</v>
      </c>
      <c r="E8" t="s">
        <v>56</v>
      </c>
      <c r="F8" t="s">
        <v>4</v>
      </c>
      <c r="G8" t="s">
        <v>3</v>
      </c>
      <c r="I8" t="s">
        <v>3</v>
      </c>
      <c r="J8" t="s">
        <v>3</v>
      </c>
      <c r="K8" t="s">
        <v>25</v>
      </c>
      <c r="L8"/>
    </row>
    <row r="9" spans="1:12" ht="22.5" customHeight="1">
      <c r="A9">
        <f>Table4[[#This Row],[Column1]]</f>
        <v>0</v>
      </c>
      <c r="B9">
        <f>Table4[[#This Row],[Column2]]</f>
        <v>0</v>
      </c>
      <c r="C9" t="s">
        <v>57</v>
      </c>
      <c r="D9" t="s">
        <v>56</v>
      </c>
      <c r="E9" t="s">
        <v>56</v>
      </c>
      <c r="F9" t="s">
        <v>4</v>
      </c>
      <c r="G9" t="s">
        <v>3</v>
      </c>
      <c r="I9" t="s">
        <v>4</v>
      </c>
      <c r="J9" t="s">
        <v>3</v>
      </c>
      <c r="K9" t="s">
        <v>25</v>
      </c>
      <c r="L9"/>
    </row>
    <row r="10" spans="1:12" ht="22.5" customHeight="1">
      <c r="A10">
        <f>Table4[[#This Row],[Column1]]</f>
        <v>0</v>
      </c>
      <c r="B10">
        <f>Table4[[#This Row],[Column2]]</f>
        <v>0</v>
      </c>
      <c r="C10" t="s">
        <v>57</v>
      </c>
      <c r="D10" t="s">
        <v>56</v>
      </c>
      <c r="E10" t="s">
        <v>56</v>
      </c>
      <c r="F10" t="s">
        <v>3</v>
      </c>
      <c r="G10" t="s">
        <v>3</v>
      </c>
      <c r="I10" t="s">
        <v>3</v>
      </c>
      <c r="J10" t="s">
        <v>3</v>
      </c>
      <c r="K10" t="s">
        <v>25</v>
      </c>
      <c r="L10"/>
    </row>
    <row r="11" spans="1:12" ht="22.5" customHeight="1">
      <c r="A11">
        <f>Table4[[#This Row],[Column1]]</f>
        <v>0</v>
      </c>
      <c r="B11">
        <f>Table4[[#This Row],[Column2]]</f>
        <v>0</v>
      </c>
      <c r="C11" t="s">
        <v>57</v>
      </c>
      <c r="D11" t="s">
        <v>56</v>
      </c>
      <c r="E11" t="s">
        <v>56</v>
      </c>
      <c r="F11" t="s">
        <v>4</v>
      </c>
      <c r="G11" t="s">
        <v>3</v>
      </c>
      <c r="I11" t="s">
        <v>4</v>
      </c>
      <c r="J11" t="s">
        <v>3</v>
      </c>
      <c r="K11" t="s">
        <v>25</v>
      </c>
      <c r="L11"/>
    </row>
    <row r="12" spans="1:12" ht="22.5" customHeight="1">
      <c r="A12">
        <f>Table4[[#This Row],[Column1]]</f>
        <v>0</v>
      </c>
      <c r="B12">
        <f>Table4[[#This Row],[Column2]]</f>
        <v>0</v>
      </c>
      <c r="C12" t="s">
        <v>57</v>
      </c>
      <c r="D12" t="s">
        <v>55</v>
      </c>
      <c r="E12" t="s">
        <v>25</v>
      </c>
      <c r="F12" t="s">
        <v>3</v>
      </c>
      <c r="G12" t="s">
        <v>3</v>
      </c>
      <c r="I12" t="s">
        <v>3</v>
      </c>
      <c r="J12" t="s">
        <v>3</v>
      </c>
      <c r="K12" t="s">
        <v>25</v>
      </c>
      <c r="L12"/>
    </row>
    <row r="13" spans="1:12" ht="22.5" customHeight="1">
      <c r="A13">
        <f>Table4[[#This Row],[Column1]]</f>
        <v>0</v>
      </c>
      <c r="B13">
        <f>Table4[[#This Row],[Column2]]</f>
        <v>0</v>
      </c>
      <c r="C13" t="s">
        <v>57</v>
      </c>
      <c r="D13" t="s">
        <v>55</v>
      </c>
      <c r="E13" t="s">
        <v>55</v>
      </c>
      <c r="F13" t="s">
        <v>4</v>
      </c>
      <c r="G13" t="s">
        <v>3</v>
      </c>
      <c r="I13" t="s">
        <v>3</v>
      </c>
      <c r="J13" t="s">
        <v>3</v>
      </c>
      <c r="K13" t="s">
        <v>25</v>
      </c>
      <c r="L13"/>
    </row>
    <row r="14" spans="1:12" ht="22.5" customHeight="1">
      <c r="A14">
        <f>Table4[[#This Row],[Column1]]</f>
        <v>0</v>
      </c>
      <c r="B14">
        <f>Table4[[#This Row],[Column2]]</f>
        <v>0</v>
      </c>
      <c r="C14" t="s">
        <v>57</v>
      </c>
      <c r="D14" t="s">
        <v>25</v>
      </c>
      <c r="E14" t="s">
        <v>25</v>
      </c>
      <c r="F14" t="s">
        <v>4</v>
      </c>
      <c r="G14" t="s">
        <v>4</v>
      </c>
      <c r="H14" t="s">
        <v>777</v>
      </c>
      <c r="I14" t="s">
        <v>4</v>
      </c>
      <c r="J14" t="s">
        <v>4</v>
      </c>
      <c r="K14" t="s">
        <v>67</v>
      </c>
      <c r="L14"/>
    </row>
    <row r="15" spans="1:12" ht="22.5" customHeight="1">
      <c r="A15">
        <f>Table4[[#This Row],[Column1]]</f>
        <v>0</v>
      </c>
      <c r="B15">
        <f>Table4[[#This Row],[Column2]]</f>
        <v>0</v>
      </c>
      <c r="C15" t="s">
        <v>57</v>
      </c>
      <c r="D15" t="s">
        <v>56</v>
      </c>
      <c r="E15" t="s">
        <v>56</v>
      </c>
      <c r="F15" t="s">
        <v>4</v>
      </c>
      <c r="G15" t="s">
        <v>4</v>
      </c>
      <c r="H15" t="s">
        <v>777</v>
      </c>
      <c r="I15" t="s">
        <v>4</v>
      </c>
      <c r="J15" t="s">
        <v>4</v>
      </c>
      <c r="K15" t="s">
        <v>25</v>
      </c>
      <c r="L15"/>
    </row>
    <row r="16" spans="1:12" ht="22.5" customHeight="1">
      <c r="A16">
        <f>Table4[[#This Row],[Column1]]</f>
        <v>0</v>
      </c>
      <c r="B16">
        <f>Table4[[#This Row],[Column2]]</f>
        <v>0</v>
      </c>
      <c r="C16" t="s">
        <v>54</v>
      </c>
      <c r="D16" t="s">
        <v>55</v>
      </c>
      <c r="E16" t="s">
        <v>55</v>
      </c>
      <c r="F16" t="s">
        <v>4</v>
      </c>
      <c r="G16" t="s">
        <v>3</v>
      </c>
      <c r="I16" t="s">
        <v>3</v>
      </c>
      <c r="J16" t="s">
        <v>4</v>
      </c>
      <c r="K16" t="s">
        <v>25</v>
      </c>
      <c r="L16"/>
    </row>
    <row r="17" spans="1:12" ht="22.5" customHeight="1">
      <c r="A17">
        <f>Table4[[#This Row],[Column1]]</f>
        <v>0</v>
      </c>
      <c r="B17">
        <f>Table4[[#This Row],[Column2]]</f>
        <v>0</v>
      </c>
      <c r="C17" t="s">
        <v>57</v>
      </c>
      <c r="D17" t="s">
        <v>56</v>
      </c>
      <c r="E17" t="s">
        <v>56</v>
      </c>
      <c r="F17" t="s">
        <v>3</v>
      </c>
      <c r="G17" t="s">
        <v>3</v>
      </c>
      <c r="I17" t="s">
        <v>3</v>
      </c>
      <c r="J17" t="s">
        <v>3</v>
      </c>
      <c r="K17" t="s">
        <v>25</v>
      </c>
      <c r="L17"/>
    </row>
    <row r="18" spans="1:12" ht="22.5" customHeight="1">
      <c r="A18">
        <f>Table4[[#This Row],[Column1]]</f>
        <v>0</v>
      </c>
      <c r="B18">
        <f>Table4[[#This Row],[Column2]]</f>
        <v>0</v>
      </c>
      <c r="C18" t="s">
        <v>57</v>
      </c>
      <c r="D18" t="s">
        <v>55</v>
      </c>
      <c r="E18" t="s">
        <v>25</v>
      </c>
      <c r="F18" t="s">
        <v>4</v>
      </c>
      <c r="G18" t="s">
        <v>3</v>
      </c>
      <c r="I18" t="s">
        <v>4</v>
      </c>
      <c r="J18" t="s">
        <v>3</v>
      </c>
      <c r="K18" t="s">
        <v>25</v>
      </c>
      <c r="L18"/>
    </row>
    <row r="19" spans="1:12" ht="22.5" customHeight="1">
      <c r="A19">
        <f>Table4[[#This Row],[Column1]]</f>
        <v>0</v>
      </c>
      <c r="B19">
        <f>Table4[[#This Row],[Column2]]</f>
        <v>0</v>
      </c>
      <c r="C19" t="s">
        <v>54</v>
      </c>
      <c r="D19" t="s">
        <v>55</v>
      </c>
      <c r="E19" t="s">
        <v>55</v>
      </c>
      <c r="F19" t="s">
        <v>3</v>
      </c>
      <c r="G19" t="s">
        <v>3</v>
      </c>
      <c r="I19" t="s">
        <v>3</v>
      </c>
      <c r="J19" t="s">
        <v>3</v>
      </c>
      <c r="K19" t="s">
        <v>25</v>
      </c>
      <c r="L19"/>
    </row>
    <row r="20" spans="1:12" ht="22.5" customHeight="1">
      <c r="A20">
        <f>Table4[[#This Row],[Column1]]</f>
        <v>0</v>
      </c>
      <c r="B20">
        <f>Table4[[#This Row],[Column2]]</f>
        <v>0</v>
      </c>
      <c r="C20" t="s">
        <v>54</v>
      </c>
      <c r="D20" t="s">
        <v>55</v>
      </c>
      <c r="E20" t="s">
        <v>55</v>
      </c>
      <c r="F20" t="s">
        <v>4</v>
      </c>
      <c r="G20" t="s">
        <v>4</v>
      </c>
      <c r="H20" t="s">
        <v>777</v>
      </c>
      <c r="I20" t="s">
        <v>4</v>
      </c>
      <c r="J20" t="s">
        <v>3</v>
      </c>
      <c r="K20" t="s">
        <v>25</v>
      </c>
      <c r="L20"/>
    </row>
    <row r="21" spans="1:12" ht="22.5" customHeight="1">
      <c r="A21">
        <f>Table4[[#This Row],[Column1]]</f>
        <v>0</v>
      </c>
      <c r="B21">
        <f>Table4[[#This Row],[Column2]]</f>
        <v>0</v>
      </c>
      <c r="C21" t="s">
        <v>55</v>
      </c>
      <c r="D21" t="s">
        <v>55</v>
      </c>
      <c r="E21" t="s">
        <v>55</v>
      </c>
      <c r="F21" t="s">
        <v>4</v>
      </c>
      <c r="G21" t="s">
        <v>3</v>
      </c>
      <c r="H21" t="s">
        <v>4</v>
      </c>
      <c r="I21" t="s">
        <v>3</v>
      </c>
      <c r="J21" t="s">
        <v>4</v>
      </c>
      <c r="K21" t="s">
        <v>25</v>
      </c>
      <c r="L21"/>
    </row>
    <row r="22" spans="1:12" ht="22.5" customHeight="1">
      <c r="A22">
        <f>Table4[[#This Row],[Column1]]</f>
        <v>0</v>
      </c>
      <c r="B22">
        <f>Table4[[#This Row],[Column2]]</f>
        <v>0</v>
      </c>
      <c r="C22" t="s">
        <v>55</v>
      </c>
      <c r="D22" t="s">
        <v>56</v>
      </c>
      <c r="E22" t="s">
        <v>56</v>
      </c>
      <c r="F22" t="s">
        <v>4</v>
      </c>
      <c r="G22" t="s">
        <v>4</v>
      </c>
      <c r="H22" t="s">
        <v>777</v>
      </c>
      <c r="I22" t="s">
        <v>4</v>
      </c>
      <c r="J22" t="s">
        <v>3</v>
      </c>
      <c r="K22" t="s">
        <v>25</v>
      </c>
      <c r="L22"/>
    </row>
    <row r="23" spans="1:12" ht="22.5" customHeight="1">
      <c r="A23">
        <f>Table4[[#This Row],[Column1]]</f>
        <v>0</v>
      </c>
      <c r="B23">
        <f>Table4[[#This Row],[Column2]]</f>
        <v>0</v>
      </c>
      <c r="C23" t="s">
        <v>57</v>
      </c>
      <c r="D23" t="s">
        <v>56</v>
      </c>
      <c r="E23" t="s">
        <v>56</v>
      </c>
      <c r="F23" t="s">
        <v>4</v>
      </c>
      <c r="G23" t="s">
        <v>3</v>
      </c>
      <c r="I23" t="s">
        <v>4</v>
      </c>
      <c r="J23" t="s">
        <v>3</v>
      </c>
      <c r="K23" t="s">
        <v>25</v>
      </c>
      <c r="L23"/>
    </row>
    <row r="24" spans="1:12" ht="22.5" customHeight="1">
      <c r="A24">
        <f>Table4[[#This Row],[Column1]]</f>
        <v>0</v>
      </c>
      <c r="B24">
        <f>Table4[[#This Row],[Column2]]</f>
        <v>0</v>
      </c>
      <c r="C24" t="s">
        <v>57</v>
      </c>
      <c r="D24" t="s">
        <v>56</v>
      </c>
      <c r="E24" t="s">
        <v>56</v>
      </c>
      <c r="F24" t="s">
        <v>4</v>
      </c>
      <c r="G24" t="s">
        <v>3</v>
      </c>
      <c r="I24" t="s">
        <v>3</v>
      </c>
      <c r="J24" t="s">
        <v>3</v>
      </c>
      <c r="K24" t="s">
        <v>25</v>
      </c>
      <c r="L24"/>
    </row>
    <row r="25" spans="1:12" ht="22.5" customHeight="1">
      <c r="A25">
        <f>Table4[[#This Row],[Column1]]</f>
        <v>0</v>
      </c>
      <c r="B25">
        <f>Table4[[#This Row],[Column2]]</f>
        <v>0</v>
      </c>
      <c r="C25" t="s">
        <v>57</v>
      </c>
      <c r="D25" t="s">
        <v>56</v>
      </c>
      <c r="E25" t="s">
        <v>56</v>
      </c>
      <c r="F25" t="s">
        <v>4</v>
      </c>
      <c r="G25" t="s">
        <v>4</v>
      </c>
      <c r="H25" t="s">
        <v>777</v>
      </c>
      <c r="I25" t="s">
        <v>4</v>
      </c>
      <c r="J25" t="s">
        <v>4</v>
      </c>
      <c r="K25" t="s">
        <v>140</v>
      </c>
      <c r="L25"/>
    </row>
    <row r="26" spans="1:12" ht="22.5" customHeight="1">
      <c r="A26">
        <f>Table4[[#This Row],[Column1]]</f>
        <v>0</v>
      </c>
      <c r="B26">
        <f>Table4[[#This Row],[Column2]]</f>
        <v>0</v>
      </c>
      <c r="C26" t="s">
        <v>57</v>
      </c>
      <c r="D26" t="s">
        <v>56</v>
      </c>
      <c r="E26" t="s">
        <v>56</v>
      </c>
      <c r="F26" t="s">
        <v>4</v>
      </c>
      <c r="G26" t="s">
        <v>3</v>
      </c>
      <c r="H26" t="s">
        <v>4</v>
      </c>
      <c r="I26" t="s">
        <v>4</v>
      </c>
      <c r="J26" t="s">
        <v>4</v>
      </c>
      <c r="K26" t="s">
        <v>25</v>
      </c>
      <c r="L26"/>
    </row>
    <row r="27" spans="1:12" ht="22.5" customHeight="1">
      <c r="A27">
        <f>Table4[[#This Row],[Column1]]</f>
        <v>0</v>
      </c>
      <c r="B27">
        <f>Table4[[#This Row],[Column2]]</f>
        <v>0</v>
      </c>
      <c r="C27" t="s">
        <v>57</v>
      </c>
      <c r="D27" t="s">
        <v>56</v>
      </c>
      <c r="E27" t="s">
        <v>56</v>
      </c>
      <c r="F27" t="s">
        <v>3</v>
      </c>
      <c r="G27" t="s">
        <v>3</v>
      </c>
      <c r="I27" t="s">
        <v>3</v>
      </c>
      <c r="J27" t="s">
        <v>3</v>
      </c>
      <c r="K27" t="s">
        <v>25</v>
      </c>
      <c r="L27"/>
    </row>
    <row r="28" spans="1:12" ht="22.5" customHeight="1">
      <c r="A28">
        <f>Table4[[#This Row],[Column1]]</f>
        <v>0</v>
      </c>
      <c r="B28">
        <f>Table4[[#This Row],[Column2]]</f>
        <v>0</v>
      </c>
      <c r="C28" t="s">
        <v>57</v>
      </c>
      <c r="D28" t="s">
        <v>56</v>
      </c>
      <c r="E28" t="s">
        <v>56</v>
      </c>
      <c r="F28" t="s">
        <v>4</v>
      </c>
      <c r="G28" t="s">
        <v>3</v>
      </c>
      <c r="I28" t="s">
        <v>3</v>
      </c>
      <c r="J28" t="s">
        <v>3</v>
      </c>
      <c r="K28" t="s">
        <v>25</v>
      </c>
      <c r="L28"/>
    </row>
    <row r="29" spans="1:12" ht="22.5" customHeight="1">
      <c r="A29">
        <f>Table4[[#This Row],[Column1]]</f>
        <v>0</v>
      </c>
      <c r="B29">
        <f>Table4[[#This Row],[Column2]]</f>
        <v>0</v>
      </c>
      <c r="C29" t="s">
        <v>57</v>
      </c>
      <c r="D29" t="s">
        <v>56</v>
      </c>
      <c r="E29" t="s">
        <v>56</v>
      </c>
      <c r="F29" t="s">
        <v>4</v>
      </c>
      <c r="G29" t="s">
        <v>3</v>
      </c>
      <c r="I29" t="s">
        <v>3</v>
      </c>
      <c r="J29" t="s">
        <v>3</v>
      </c>
      <c r="K29" t="s">
        <v>25</v>
      </c>
      <c r="L29"/>
    </row>
    <row r="30" spans="1:12" ht="22.5" customHeight="1">
      <c r="A30">
        <f>Table4[[#This Row],[Column1]]</f>
        <v>0</v>
      </c>
      <c r="B30">
        <f>Table4[[#This Row],[Column2]]</f>
        <v>0</v>
      </c>
      <c r="C30" t="s">
        <v>57</v>
      </c>
      <c r="D30" t="s">
        <v>55</v>
      </c>
      <c r="E30" t="s">
        <v>55</v>
      </c>
      <c r="F30" t="s">
        <v>4</v>
      </c>
      <c r="G30" t="s">
        <v>3</v>
      </c>
      <c r="I30" t="s">
        <v>3</v>
      </c>
      <c r="J30" t="s">
        <v>3</v>
      </c>
      <c r="K30" t="s">
        <v>25</v>
      </c>
      <c r="L30"/>
    </row>
    <row r="31" spans="1:12" ht="22.5" customHeight="1">
      <c r="A31">
        <f>Table4[[#This Row],[Column1]]</f>
        <v>0</v>
      </c>
      <c r="B31">
        <f>Table4[[#This Row],[Column2]]</f>
        <v>0</v>
      </c>
      <c r="L31"/>
    </row>
    <row r="32" spans="1:12" ht="22.5" customHeight="1">
      <c r="A32">
        <f>Table4[[#This Row],[Column1]]</f>
        <v>0</v>
      </c>
      <c r="B32">
        <f>Table4[[#This Row],[Column2]]</f>
        <v>0</v>
      </c>
      <c r="C32" t="s">
        <v>57</v>
      </c>
      <c r="D32" t="s">
        <v>56</v>
      </c>
      <c r="E32" t="s">
        <v>56</v>
      </c>
      <c r="F32" t="s">
        <v>4</v>
      </c>
      <c r="G32" t="s">
        <v>3</v>
      </c>
      <c r="I32" t="s">
        <v>3</v>
      </c>
      <c r="J32" t="s">
        <v>3</v>
      </c>
      <c r="K32" t="s">
        <v>25</v>
      </c>
      <c r="L32"/>
    </row>
    <row r="33" spans="1:12" ht="22.5" customHeight="1">
      <c r="A33">
        <f>Table4[[#This Row],[Column1]]</f>
        <v>0</v>
      </c>
      <c r="B33">
        <f>Table4[[#This Row],[Column2]]</f>
        <v>0</v>
      </c>
      <c r="C33" t="s">
        <v>57</v>
      </c>
      <c r="D33" t="s">
        <v>56</v>
      </c>
      <c r="E33" t="s">
        <v>56</v>
      </c>
      <c r="F33" t="s">
        <v>3</v>
      </c>
      <c r="G33" t="s">
        <v>3</v>
      </c>
      <c r="I33" t="s">
        <v>3</v>
      </c>
      <c r="J33" t="s">
        <v>3</v>
      </c>
      <c r="K33" t="s">
        <v>25</v>
      </c>
      <c r="L33"/>
    </row>
    <row r="34" spans="1:12" ht="22.5" customHeight="1">
      <c r="A34">
        <f>Table4[[#This Row],[Column1]]</f>
        <v>0</v>
      </c>
      <c r="B34">
        <f>Table4[[#This Row],[Column2]]</f>
        <v>0</v>
      </c>
      <c r="C34" t="s">
        <v>57</v>
      </c>
      <c r="D34" t="s">
        <v>55</v>
      </c>
      <c r="E34" t="s">
        <v>55</v>
      </c>
      <c r="F34" t="s">
        <v>4</v>
      </c>
      <c r="G34" t="s">
        <v>3</v>
      </c>
      <c r="I34" t="s">
        <v>3</v>
      </c>
      <c r="J34" t="s">
        <v>4</v>
      </c>
      <c r="K34" t="s">
        <v>25</v>
      </c>
      <c r="L34"/>
    </row>
    <row r="35" spans="1:12" ht="22.5" customHeight="1">
      <c r="A35">
        <f>Table4[[#This Row],[Column1]]</f>
        <v>0</v>
      </c>
      <c r="B35">
        <f>Table4[[#This Row],[Column2]]</f>
        <v>0</v>
      </c>
      <c r="C35" t="s">
        <v>54</v>
      </c>
      <c r="D35" t="s">
        <v>25</v>
      </c>
      <c r="E35" t="s">
        <v>25</v>
      </c>
      <c r="F35" t="s">
        <v>4</v>
      </c>
      <c r="G35" t="s">
        <v>3</v>
      </c>
      <c r="I35" t="s">
        <v>4</v>
      </c>
      <c r="J35" t="s">
        <v>3</v>
      </c>
      <c r="K35" t="s">
        <v>25</v>
      </c>
      <c r="L35"/>
    </row>
    <row r="36" spans="1:12" ht="22.5" customHeight="1">
      <c r="A36">
        <f>Table4[[#This Row],[Column1]]</f>
        <v>0</v>
      </c>
      <c r="B36">
        <f>Table4[[#This Row],[Column2]]</f>
        <v>0</v>
      </c>
      <c r="C36" t="s">
        <v>54</v>
      </c>
      <c r="D36" t="s">
        <v>55</v>
      </c>
      <c r="E36" t="s">
        <v>25</v>
      </c>
      <c r="F36" t="s">
        <v>4</v>
      </c>
      <c r="G36" t="s">
        <v>3</v>
      </c>
      <c r="I36" t="s">
        <v>4</v>
      </c>
      <c r="J36" t="s">
        <v>3</v>
      </c>
      <c r="K36" t="s">
        <v>25</v>
      </c>
      <c r="L36"/>
    </row>
    <row r="37" spans="1:12" ht="22.5" customHeight="1">
      <c r="A37">
        <f>Table4[[#This Row],[Column1]]</f>
        <v>0</v>
      </c>
      <c r="B37">
        <f>Table4[[#This Row],[Column2]]</f>
        <v>0</v>
      </c>
      <c r="C37" t="s">
        <v>57</v>
      </c>
      <c r="D37" t="s">
        <v>56</v>
      </c>
      <c r="E37" t="s">
        <v>56</v>
      </c>
      <c r="F37" t="s">
        <v>4</v>
      </c>
      <c r="G37" t="s">
        <v>4</v>
      </c>
      <c r="I37" t="s">
        <v>4</v>
      </c>
      <c r="J37" t="s">
        <v>3</v>
      </c>
      <c r="K37" t="s">
        <v>25</v>
      </c>
      <c r="L37"/>
    </row>
    <row r="38" spans="1:12" ht="22.5" customHeight="1">
      <c r="A38">
        <f>Table4[[#This Row],[Column1]]</f>
        <v>0</v>
      </c>
      <c r="B38">
        <f>Table4[[#This Row],[Column2]]</f>
        <v>0</v>
      </c>
      <c r="C38" t="s">
        <v>57</v>
      </c>
      <c r="D38" t="s">
        <v>56</v>
      </c>
      <c r="E38" t="s">
        <v>56</v>
      </c>
      <c r="F38" t="s">
        <v>4</v>
      </c>
      <c r="G38" t="s">
        <v>4</v>
      </c>
      <c r="H38" t="s">
        <v>777</v>
      </c>
      <c r="I38" t="s">
        <v>4</v>
      </c>
      <c r="J38" t="s">
        <v>3</v>
      </c>
      <c r="K38" t="s">
        <v>25</v>
      </c>
      <c r="L38"/>
    </row>
    <row r="39" spans="1:12" ht="22.5" customHeight="1">
      <c r="A39">
        <f>Table4[[#This Row],[Column1]]</f>
        <v>0</v>
      </c>
      <c r="B39">
        <f>Table4[[#This Row],[Column2]]</f>
        <v>0</v>
      </c>
      <c r="C39" t="s">
        <v>57</v>
      </c>
      <c r="D39" t="s">
        <v>56</v>
      </c>
      <c r="E39" t="s">
        <v>56</v>
      </c>
      <c r="F39" t="s">
        <v>4</v>
      </c>
      <c r="G39" t="s">
        <v>4</v>
      </c>
      <c r="H39" t="s">
        <v>777</v>
      </c>
      <c r="I39" t="s">
        <v>4</v>
      </c>
      <c r="J39" t="s">
        <v>3</v>
      </c>
      <c r="K39" t="s">
        <v>140</v>
      </c>
      <c r="L39"/>
    </row>
    <row r="40" spans="1:12" ht="22.5" customHeight="1">
      <c r="A40">
        <f>Table4[[#This Row],[Column1]]</f>
        <v>0</v>
      </c>
      <c r="B40">
        <f>Table4[[#This Row],[Column2]]</f>
        <v>0</v>
      </c>
      <c r="C40" t="s">
        <v>57</v>
      </c>
      <c r="D40" t="s">
        <v>56</v>
      </c>
      <c r="E40" t="s">
        <v>56</v>
      </c>
      <c r="F40" t="s">
        <v>4</v>
      </c>
      <c r="G40" t="s">
        <v>3</v>
      </c>
      <c r="I40" t="s">
        <v>4</v>
      </c>
      <c r="J40" t="s">
        <v>3</v>
      </c>
      <c r="K40" t="s">
        <v>64</v>
      </c>
      <c r="L40"/>
    </row>
    <row r="41" spans="1:12" ht="22.5" customHeight="1">
      <c r="A41">
        <f>Table4[[#This Row],[Column1]]</f>
        <v>0</v>
      </c>
      <c r="B41">
        <f>Table4[[#This Row],[Column2]]</f>
        <v>0</v>
      </c>
      <c r="C41" t="s">
        <v>57</v>
      </c>
      <c r="D41" t="s">
        <v>56</v>
      </c>
      <c r="E41" t="s">
        <v>56</v>
      </c>
      <c r="F41" t="s">
        <v>4</v>
      </c>
      <c r="G41" t="s">
        <v>3</v>
      </c>
      <c r="H41" t="s">
        <v>3</v>
      </c>
      <c r="I41" t="s">
        <v>3</v>
      </c>
      <c r="J41" t="s">
        <v>3</v>
      </c>
      <c r="K41" t="s">
        <v>25</v>
      </c>
      <c r="L41"/>
    </row>
    <row r="42" spans="1:12" ht="22.5" customHeight="1">
      <c r="A42">
        <f>Table4[[#This Row],[Column1]]</f>
        <v>0</v>
      </c>
      <c r="B42">
        <f>Table4[[#This Row],[Column2]]</f>
        <v>0</v>
      </c>
      <c r="C42" t="s">
        <v>57</v>
      </c>
      <c r="D42" t="s">
        <v>56</v>
      </c>
      <c r="E42" t="s">
        <v>25</v>
      </c>
      <c r="F42" t="s">
        <v>4</v>
      </c>
      <c r="G42" t="s">
        <v>3</v>
      </c>
      <c r="I42" t="s">
        <v>3</v>
      </c>
      <c r="J42" t="s">
        <v>3</v>
      </c>
      <c r="K42" t="s">
        <v>25</v>
      </c>
      <c r="L42"/>
    </row>
    <row r="43" spans="1:12" ht="22.5" customHeight="1">
      <c r="A43">
        <f>Table4[[#This Row],[Column1]]</f>
        <v>0</v>
      </c>
      <c r="B43">
        <f>Table4[[#This Row],[Column2]]</f>
        <v>0</v>
      </c>
      <c r="C43" t="s">
        <v>57</v>
      </c>
      <c r="D43" t="s">
        <v>56</v>
      </c>
      <c r="E43" t="s">
        <v>56</v>
      </c>
      <c r="F43" t="s">
        <v>4</v>
      </c>
      <c r="G43" t="s">
        <v>3</v>
      </c>
      <c r="I43" t="s">
        <v>3</v>
      </c>
      <c r="J43" t="s">
        <v>3</v>
      </c>
      <c r="K43" t="s">
        <v>25</v>
      </c>
      <c r="L43"/>
    </row>
    <row r="44" spans="1:12" ht="22.5" customHeight="1">
      <c r="A44">
        <f>Table4[[#This Row],[Column1]]</f>
        <v>0</v>
      </c>
      <c r="B44">
        <f>Table4[[#This Row],[Column2]]</f>
        <v>0</v>
      </c>
      <c r="C44" t="s">
        <v>57</v>
      </c>
      <c r="D44" t="s">
        <v>56</v>
      </c>
      <c r="E44" t="s">
        <v>56</v>
      </c>
      <c r="F44" t="s">
        <v>4</v>
      </c>
      <c r="G44" t="s">
        <v>3</v>
      </c>
      <c r="I44" t="s">
        <v>3</v>
      </c>
      <c r="J44" t="s">
        <v>4</v>
      </c>
      <c r="K44" t="s">
        <v>25</v>
      </c>
      <c r="L44"/>
    </row>
    <row r="45" spans="1:12" ht="22.5" customHeight="1">
      <c r="A45">
        <f>Table4[[#This Row],[Column1]]</f>
        <v>0</v>
      </c>
      <c r="B45">
        <f>Table4[[#This Row],[Column2]]</f>
        <v>0</v>
      </c>
      <c r="C45" t="s">
        <v>57</v>
      </c>
      <c r="D45" t="s">
        <v>56</v>
      </c>
      <c r="E45" t="s">
        <v>56</v>
      </c>
      <c r="F45" t="s">
        <v>4</v>
      </c>
      <c r="G45" t="s">
        <v>3</v>
      </c>
      <c r="H45" t="s">
        <v>4</v>
      </c>
      <c r="I45" t="s">
        <v>4</v>
      </c>
      <c r="J45" t="s">
        <v>3</v>
      </c>
      <c r="K45" t="s">
        <v>25</v>
      </c>
      <c r="L45"/>
    </row>
    <row r="46" spans="1:12" ht="22.5" customHeight="1">
      <c r="A46">
        <f>Table4[[#This Row],[Column1]]</f>
        <v>0</v>
      </c>
      <c r="B46">
        <f>Table4[[#This Row],[Column2]]</f>
        <v>0</v>
      </c>
      <c r="C46" t="s">
        <v>54</v>
      </c>
      <c r="D46" t="s">
        <v>56</v>
      </c>
      <c r="E46" t="s">
        <v>56</v>
      </c>
      <c r="F46" t="s">
        <v>3</v>
      </c>
      <c r="G46" t="s">
        <v>3</v>
      </c>
      <c r="I46" t="s">
        <v>3</v>
      </c>
      <c r="J46" t="s">
        <v>4</v>
      </c>
      <c r="K46" t="s">
        <v>25</v>
      </c>
      <c r="L46"/>
    </row>
    <row r="47" spans="1:12" ht="22.5" customHeight="1">
      <c r="A47">
        <f>Table4[[#This Row],[Column1]]</f>
        <v>0</v>
      </c>
      <c r="B47">
        <f>Table4[[#This Row],[Column2]]</f>
        <v>0</v>
      </c>
      <c r="C47" t="s">
        <v>57</v>
      </c>
      <c r="D47" t="s">
        <v>56</v>
      </c>
      <c r="E47" t="s">
        <v>25</v>
      </c>
      <c r="F47" t="s">
        <v>4</v>
      </c>
      <c r="G47" t="s">
        <v>4</v>
      </c>
      <c r="H47" t="s">
        <v>777</v>
      </c>
      <c r="I47" t="s">
        <v>4</v>
      </c>
      <c r="J47" t="s">
        <v>3</v>
      </c>
      <c r="K47" t="s">
        <v>25</v>
      </c>
      <c r="L47"/>
    </row>
    <row r="48" spans="1:12" ht="22.5" customHeight="1">
      <c r="A48">
        <f>Table4[[#This Row],[Column1]]</f>
        <v>0</v>
      </c>
      <c r="B48">
        <f>Table4[[#This Row],[Column2]]</f>
        <v>0</v>
      </c>
      <c r="C48" t="s">
        <v>54</v>
      </c>
      <c r="D48" t="s">
        <v>56</v>
      </c>
      <c r="E48" t="s">
        <v>56</v>
      </c>
      <c r="F48" t="s">
        <v>3</v>
      </c>
      <c r="G48" t="s">
        <v>3</v>
      </c>
      <c r="I48" t="s">
        <v>3</v>
      </c>
      <c r="J48" t="s">
        <v>3</v>
      </c>
      <c r="K48" t="s">
        <v>25</v>
      </c>
      <c r="L48"/>
    </row>
    <row r="49" spans="1:12" ht="22.5" customHeight="1">
      <c r="A49">
        <f>Table4[[#This Row],[Column1]]</f>
        <v>0</v>
      </c>
      <c r="B49">
        <f>Table4[[#This Row],[Column2]]</f>
        <v>0</v>
      </c>
      <c r="C49" t="s">
        <v>57</v>
      </c>
      <c r="D49" t="s">
        <v>56</v>
      </c>
      <c r="E49" t="s">
        <v>56</v>
      </c>
      <c r="F49" t="s">
        <v>4</v>
      </c>
      <c r="G49" t="s">
        <v>3</v>
      </c>
      <c r="H49" t="s">
        <v>3</v>
      </c>
      <c r="I49" t="s">
        <v>3</v>
      </c>
      <c r="J49" t="s">
        <v>3</v>
      </c>
      <c r="K49" t="s">
        <v>25</v>
      </c>
      <c r="L49"/>
    </row>
    <row r="50" spans="1:12" ht="22.5" customHeight="1">
      <c r="A50">
        <f>Table4[[#This Row],[Column1]]</f>
        <v>0</v>
      </c>
      <c r="B50">
        <f>Table4[[#This Row],[Column2]]</f>
        <v>0</v>
      </c>
      <c r="C50" t="s">
        <v>54</v>
      </c>
      <c r="D50" t="s">
        <v>55</v>
      </c>
      <c r="E50" t="s">
        <v>55</v>
      </c>
      <c r="F50" t="s">
        <v>4</v>
      </c>
      <c r="G50" t="s">
        <v>3</v>
      </c>
      <c r="I50" t="s">
        <v>3</v>
      </c>
      <c r="J50" t="s">
        <v>4</v>
      </c>
      <c r="K50" t="s">
        <v>25</v>
      </c>
      <c r="L50"/>
    </row>
    <row r="51" spans="1:12" ht="22.5" customHeight="1">
      <c r="A51">
        <f>Table4[[#This Row],[Column1]]</f>
        <v>0</v>
      </c>
      <c r="B51">
        <f>Table4[[#This Row],[Column2]]</f>
        <v>0</v>
      </c>
      <c r="C51" t="s">
        <v>54</v>
      </c>
      <c r="D51" t="s">
        <v>25</v>
      </c>
      <c r="E51" t="s">
        <v>25</v>
      </c>
      <c r="F51" t="s">
        <v>3</v>
      </c>
      <c r="G51" t="s">
        <v>3</v>
      </c>
      <c r="I51" t="s">
        <v>3</v>
      </c>
      <c r="J51" t="s">
        <v>3</v>
      </c>
      <c r="K51" t="s">
        <v>25</v>
      </c>
      <c r="L51"/>
    </row>
    <row r="52" spans="1:12" ht="22.5" customHeight="1">
      <c r="A52">
        <f>Table4[[#This Row],[Column1]]</f>
        <v>0</v>
      </c>
      <c r="B52">
        <f>Table4[[#This Row],[Column2]]</f>
        <v>0</v>
      </c>
      <c r="C52" t="s">
        <v>54</v>
      </c>
      <c r="D52" t="s">
        <v>56</v>
      </c>
      <c r="E52" t="s">
        <v>56</v>
      </c>
      <c r="F52" s="68" t="s">
        <v>3</v>
      </c>
      <c r="G52" s="68" t="s">
        <v>3</v>
      </c>
      <c r="I52" s="68" t="s">
        <v>3</v>
      </c>
      <c r="J52" s="68" t="s">
        <v>3</v>
      </c>
      <c r="K52" s="68" t="s">
        <v>25</v>
      </c>
      <c r="L52"/>
    </row>
    <row r="53" spans="1:12" ht="22.5" customHeight="1">
      <c r="A53">
        <f>Table4[[#This Row],[Column1]]</f>
        <v>0</v>
      </c>
      <c r="B53">
        <f>Table4[[#This Row],[Column2]]</f>
        <v>0</v>
      </c>
      <c r="C53" t="s">
        <v>54</v>
      </c>
      <c r="D53" t="s">
        <v>56</v>
      </c>
      <c r="E53" s="71" t="s">
        <v>56</v>
      </c>
      <c r="F53" s="68" t="s">
        <v>3</v>
      </c>
      <c r="G53" s="68" t="s">
        <v>3</v>
      </c>
      <c r="I53" s="68" t="s">
        <v>3</v>
      </c>
      <c r="J53" s="68" t="s">
        <v>3</v>
      </c>
      <c r="K53" s="68" t="s">
        <v>25</v>
      </c>
      <c r="L53"/>
    </row>
    <row r="54" spans="1:12" ht="22.5" customHeight="1">
      <c r="A54">
        <f>Table4[[#This Row],[Column1]]</f>
        <v>0</v>
      </c>
      <c r="B54">
        <f>Table4[[#This Row],[Column2]]</f>
        <v>0</v>
      </c>
      <c r="C54" t="s">
        <v>54</v>
      </c>
      <c r="D54" t="s">
        <v>56</v>
      </c>
      <c r="E54" t="s">
        <v>56</v>
      </c>
      <c r="F54" t="s">
        <v>3</v>
      </c>
      <c r="G54" t="s">
        <v>3</v>
      </c>
      <c r="I54" t="s">
        <v>3</v>
      </c>
      <c r="J54" t="s">
        <v>3</v>
      </c>
      <c r="K54" t="s">
        <v>25</v>
      </c>
      <c r="L54"/>
    </row>
    <row r="55" spans="1:12" ht="22.5" customHeight="1">
      <c r="A55">
        <f>Table4[[#This Row],[Column1]]</f>
        <v>0</v>
      </c>
      <c r="B55">
        <f>Table4[[#This Row],[Column2]]</f>
        <v>0</v>
      </c>
      <c r="C55" t="s">
        <v>54</v>
      </c>
      <c r="D55" t="s">
        <v>55</v>
      </c>
      <c r="E55" t="s">
        <v>25</v>
      </c>
      <c r="F55" t="s">
        <v>3</v>
      </c>
      <c r="G55" t="s">
        <v>3</v>
      </c>
      <c r="I55" t="s">
        <v>3</v>
      </c>
      <c r="J55" t="s">
        <v>3</v>
      </c>
      <c r="K55" t="s">
        <v>25</v>
      </c>
      <c r="L55"/>
    </row>
    <row r="56" spans="1:12" ht="22.5" customHeight="1">
      <c r="A56">
        <f>Table4[[#This Row],[Column1]]</f>
        <v>0</v>
      </c>
      <c r="B56">
        <f>Table4[[#This Row],[Column2]]</f>
        <v>0</v>
      </c>
      <c r="C56" t="s">
        <v>54</v>
      </c>
      <c r="D56" t="s">
        <v>56</v>
      </c>
      <c r="E56" t="s">
        <v>56</v>
      </c>
      <c r="F56" t="s">
        <v>3</v>
      </c>
      <c r="G56" t="s">
        <v>3</v>
      </c>
      <c r="I56" t="s">
        <v>3</v>
      </c>
      <c r="J56" t="s">
        <v>3</v>
      </c>
      <c r="K56" t="s">
        <v>25</v>
      </c>
      <c r="L56"/>
    </row>
    <row r="57" spans="1:12" ht="22.5" customHeight="1">
      <c r="A57">
        <f>Table4[[#This Row],[Column1]]</f>
        <v>0</v>
      </c>
      <c r="B57">
        <f>Table4[[#This Row],[Column2]]</f>
        <v>0</v>
      </c>
      <c r="C57" t="s">
        <v>54</v>
      </c>
      <c r="D57" t="s">
        <v>56</v>
      </c>
      <c r="E57" t="s">
        <v>56</v>
      </c>
      <c r="F57" t="s">
        <v>3</v>
      </c>
      <c r="G57" t="s">
        <v>3</v>
      </c>
      <c r="I57" t="s">
        <v>3</v>
      </c>
      <c r="J57" t="s">
        <v>3</v>
      </c>
      <c r="K57" t="s">
        <v>25</v>
      </c>
      <c r="L57"/>
    </row>
    <row r="58" spans="1:12" ht="22.5" customHeight="1">
      <c r="A58">
        <f>Table4[[#This Row],[Column1]]</f>
        <v>0</v>
      </c>
      <c r="B58">
        <f>Table4[[#This Row],[Column2]]</f>
        <v>0</v>
      </c>
      <c r="C58" t="s">
        <v>54</v>
      </c>
      <c r="D58" t="s">
        <v>55</v>
      </c>
      <c r="E58" t="s">
        <v>25</v>
      </c>
      <c r="F58" t="s">
        <v>4</v>
      </c>
      <c r="G58" t="s">
        <v>3</v>
      </c>
      <c r="I58" t="s">
        <v>3</v>
      </c>
      <c r="J58" t="s">
        <v>3</v>
      </c>
      <c r="K58" t="s">
        <v>25</v>
      </c>
      <c r="L58"/>
    </row>
    <row r="59" spans="1:12" ht="22.5" customHeight="1">
      <c r="A59">
        <f>Table4[[#This Row],[Column1]]</f>
        <v>0</v>
      </c>
      <c r="B59">
        <f>Table4[[#This Row],[Column2]]</f>
        <v>0</v>
      </c>
      <c r="C59" t="s">
        <v>54</v>
      </c>
      <c r="D59" t="s">
        <v>56</v>
      </c>
      <c r="E59" t="s">
        <v>56</v>
      </c>
      <c r="F59" t="s">
        <v>3</v>
      </c>
      <c r="G59" t="s">
        <v>3</v>
      </c>
      <c r="I59" t="s">
        <v>3</v>
      </c>
      <c r="J59" t="s">
        <v>4</v>
      </c>
      <c r="K59" t="s">
        <v>25</v>
      </c>
      <c r="L59"/>
    </row>
    <row r="60" spans="1:12" ht="22.5" customHeight="1">
      <c r="A60">
        <f>Table4[[#This Row],[Column1]]</f>
        <v>0</v>
      </c>
      <c r="B60">
        <f>Table4[[#This Row],[Column2]]</f>
        <v>0</v>
      </c>
      <c r="C60" t="s">
        <v>54</v>
      </c>
      <c r="D60" t="s">
        <v>55</v>
      </c>
      <c r="E60" t="s">
        <v>25</v>
      </c>
      <c r="F60" t="s">
        <v>3</v>
      </c>
      <c r="G60" t="s">
        <v>3</v>
      </c>
      <c r="I60" t="s">
        <v>3</v>
      </c>
      <c r="J60" t="s">
        <v>3</v>
      </c>
      <c r="K60" t="s">
        <v>25</v>
      </c>
      <c r="L60"/>
    </row>
    <row r="61" spans="1:12" ht="22.5" customHeight="1">
      <c r="A61">
        <f>Table4[[#This Row],[Column1]]</f>
        <v>0</v>
      </c>
      <c r="B61">
        <f>Table4[[#This Row],[Column2]]</f>
        <v>0</v>
      </c>
      <c r="C61" t="s">
        <v>57</v>
      </c>
      <c r="D61" t="s">
        <v>56</v>
      </c>
      <c r="E61" t="s">
        <v>56</v>
      </c>
      <c r="F61" t="s">
        <v>4</v>
      </c>
      <c r="G61" t="s">
        <v>3</v>
      </c>
      <c r="I61" t="s">
        <v>3</v>
      </c>
      <c r="J61" t="s">
        <v>3</v>
      </c>
      <c r="K61" t="s">
        <v>25</v>
      </c>
      <c r="L61"/>
    </row>
    <row r="62" spans="1:12" ht="22.5" customHeight="1">
      <c r="A62">
        <f>Table4[[#This Row],[Column1]]</f>
        <v>0</v>
      </c>
      <c r="B62">
        <f>Table4[[#This Row],[Column2]]</f>
        <v>0</v>
      </c>
      <c r="L62"/>
    </row>
    <row r="63" spans="1:12" ht="22.5" customHeight="1">
      <c r="A63">
        <f>Table4[[#This Row],[Column1]]</f>
        <v>0</v>
      </c>
      <c r="B63">
        <f>Table4[[#This Row],[Column2]]</f>
        <v>0</v>
      </c>
      <c r="C63" t="s">
        <v>54</v>
      </c>
      <c r="D63" t="s">
        <v>56</v>
      </c>
      <c r="E63" t="s">
        <v>56</v>
      </c>
      <c r="F63" t="s">
        <v>4</v>
      </c>
      <c r="G63" t="s">
        <v>3</v>
      </c>
      <c r="I63" t="s">
        <v>3</v>
      </c>
      <c r="J63" t="s">
        <v>3</v>
      </c>
      <c r="K63" t="s">
        <v>25</v>
      </c>
      <c r="L63"/>
    </row>
    <row r="64" spans="1:12" ht="22.5" customHeight="1">
      <c r="A64">
        <f>Table4[[#This Row],[Column1]]</f>
        <v>0</v>
      </c>
      <c r="B64">
        <f>Table4[[#This Row],[Column2]]</f>
        <v>0</v>
      </c>
      <c r="C64" t="s">
        <v>54</v>
      </c>
      <c r="D64" t="s">
        <v>56</v>
      </c>
      <c r="E64" t="s">
        <v>25</v>
      </c>
      <c r="F64" t="s">
        <v>3</v>
      </c>
      <c r="G64" t="s">
        <v>3</v>
      </c>
      <c r="I64" t="s">
        <v>3</v>
      </c>
      <c r="J64" t="s">
        <v>3</v>
      </c>
      <c r="K64" t="s">
        <v>25</v>
      </c>
      <c r="L64"/>
    </row>
    <row r="65" spans="1:12" ht="22.5" customHeight="1">
      <c r="A65">
        <f>Table4[[#This Row],[Column1]]</f>
        <v>0</v>
      </c>
      <c r="B65">
        <f>Table4[[#This Row],[Column2]]</f>
        <v>0</v>
      </c>
      <c r="C65" t="s">
        <v>54</v>
      </c>
      <c r="D65" t="s">
        <v>56</v>
      </c>
      <c r="E65" t="s">
        <v>25</v>
      </c>
      <c r="F65" t="s">
        <v>4</v>
      </c>
      <c r="G65" t="s">
        <v>3</v>
      </c>
      <c r="H65" t="s">
        <v>4</v>
      </c>
      <c r="I65" t="s">
        <v>4</v>
      </c>
      <c r="J65" t="s">
        <v>3</v>
      </c>
      <c r="K65" t="s">
        <v>25</v>
      </c>
      <c r="L65"/>
    </row>
    <row r="66" spans="1:12" ht="22.5" customHeight="1">
      <c r="A66">
        <f>Table4[[#This Row],[Column1]]</f>
        <v>0</v>
      </c>
      <c r="B66">
        <f>Table4[[#This Row],[Column2]]</f>
        <v>0</v>
      </c>
      <c r="C66" t="s">
        <v>54</v>
      </c>
      <c r="D66" t="s">
        <v>56</v>
      </c>
      <c r="E66" t="s">
        <v>56</v>
      </c>
      <c r="F66" t="s">
        <v>4</v>
      </c>
      <c r="G66" t="s">
        <v>3</v>
      </c>
      <c r="I66" t="s">
        <v>3</v>
      </c>
      <c r="J66" t="s">
        <v>3</v>
      </c>
      <c r="K66" t="s">
        <v>25</v>
      </c>
      <c r="L66"/>
    </row>
    <row r="67" spans="1:12" ht="22.5" customHeight="1">
      <c r="A67">
        <f>Table4[[#This Row],[Column1]]</f>
        <v>0</v>
      </c>
      <c r="B67">
        <f>Table4[[#This Row],[Column2]]</f>
        <v>0</v>
      </c>
      <c r="C67" t="s">
        <v>54</v>
      </c>
      <c r="D67" t="s">
        <v>56</v>
      </c>
      <c r="E67" t="s">
        <v>56</v>
      </c>
      <c r="F67" t="s">
        <v>4</v>
      </c>
      <c r="G67" t="s">
        <v>3</v>
      </c>
      <c r="I67" t="s">
        <v>3</v>
      </c>
      <c r="J67" t="s">
        <v>3</v>
      </c>
      <c r="K67" t="s">
        <v>25</v>
      </c>
      <c r="L67"/>
    </row>
    <row r="68" spans="1:12" ht="22.5" customHeight="1">
      <c r="A68">
        <f>Table4[[#This Row],[Column1]]</f>
        <v>0</v>
      </c>
      <c r="B68">
        <f>Table4[[#This Row],[Column2]]</f>
        <v>0</v>
      </c>
      <c r="C68" t="s">
        <v>57</v>
      </c>
      <c r="D68" t="s">
        <v>56</v>
      </c>
      <c r="E68" t="s">
        <v>56</v>
      </c>
      <c r="F68" t="s">
        <v>3</v>
      </c>
      <c r="G68" t="s">
        <v>3</v>
      </c>
      <c r="I68" t="s">
        <v>3</v>
      </c>
      <c r="J68" t="s">
        <v>3</v>
      </c>
      <c r="K68" t="s">
        <v>25</v>
      </c>
      <c r="L68"/>
    </row>
    <row r="69" spans="1:12" ht="22.5" customHeight="1">
      <c r="A69">
        <f>Table4[[#This Row],[Column1]]</f>
        <v>0</v>
      </c>
      <c r="B69">
        <f>Table4[[#This Row],[Column2]]</f>
        <v>0</v>
      </c>
      <c r="C69" t="s">
        <v>54</v>
      </c>
      <c r="D69" t="s">
        <v>55</v>
      </c>
      <c r="E69" t="s">
        <v>55</v>
      </c>
      <c r="F69" t="s">
        <v>3</v>
      </c>
      <c r="G69" t="s">
        <v>3</v>
      </c>
      <c r="I69" t="s">
        <v>4</v>
      </c>
      <c r="J69" t="s">
        <v>4</v>
      </c>
      <c r="K69" t="s">
        <v>25</v>
      </c>
      <c r="L69"/>
    </row>
    <row r="70" spans="1:12" ht="22.5" customHeight="1">
      <c r="A70">
        <f>Table4[[#This Row],[Column1]]</f>
        <v>0</v>
      </c>
      <c r="B70">
        <f>Table4[[#This Row],[Column2]]</f>
        <v>0</v>
      </c>
      <c r="L70"/>
    </row>
    <row r="71" spans="1:12" ht="22.5" customHeight="1">
      <c r="A71">
        <f>Table4[[#This Row],[Column1]]</f>
        <v>0</v>
      </c>
      <c r="B71">
        <f>Table4[[#This Row],[Column2]]</f>
        <v>0</v>
      </c>
      <c r="C71" t="s">
        <v>54</v>
      </c>
      <c r="D71" t="s">
        <v>56</v>
      </c>
      <c r="E71" t="s">
        <v>56</v>
      </c>
      <c r="F71" t="s">
        <v>4</v>
      </c>
      <c r="G71" t="s">
        <v>3</v>
      </c>
      <c r="I71" t="s">
        <v>3</v>
      </c>
      <c r="J71" t="s">
        <v>3</v>
      </c>
      <c r="K71" t="s">
        <v>25</v>
      </c>
      <c r="L71"/>
    </row>
    <row r="72" spans="1:12" ht="22.5" customHeight="1">
      <c r="A72">
        <f>Table4[[#This Row],[Column1]]</f>
        <v>0</v>
      </c>
      <c r="B72">
        <f>Table4[[#This Row],[Column2]]</f>
        <v>0</v>
      </c>
      <c r="L72"/>
    </row>
    <row r="73" spans="1:12" ht="22.5" customHeight="1">
      <c r="A73">
        <f>Table4[[#This Row],[Column1]]</f>
        <v>0</v>
      </c>
      <c r="B73">
        <f>Table4[[#This Row],[Column2]]</f>
        <v>0</v>
      </c>
      <c r="C73" t="s">
        <v>54</v>
      </c>
      <c r="D73" t="s">
        <v>56</v>
      </c>
      <c r="E73" t="s">
        <v>56</v>
      </c>
      <c r="F73" t="s">
        <v>3</v>
      </c>
      <c r="G73" t="s">
        <v>3</v>
      </c>
      <c r="I73" t="s">
        <v>3</v>
      </c>
      <c r="J73" t="s">
        <v>3</v>
      </c>
      <c r="K73" t="s">
        <v>65</v>
      </c>
      <c r="L73"/>
    </row>
    <row r="74" spans="1:12" ht="22.5" customHeight="1">
      <c r="A74">
        <f>Table4[[#This Row],[Column1]]</f>
        <v>0</v>
      </c>
      <c r="B74">
        <f>Table4[[#This Row],[Column2]]</f>
        <v>0</v>
      </c>
      <c r="C74" t="s">
        <v>55</v>
      </c>
      <c r="D74" t="s">
        <v>56</v>
      </c>
      <c r="E74" t="s">
        <v>56</v>
      </c>
      <c r="F74" t="s">
        <v>4</v>
      </c>
      <c r="G74" t="s">
        <v>3</v>
      </c>
      <c r="I74" t="s">
        <v>3</v>
      </c>
      <c r="J74" t="s">
        <v>3</v>
      </c>
      <c r="K74" t="s">
        <v>25</v>
      </c>
      <c r="L74"/>
    </row>
    <row r="75" spans="1:12" ht="22.5" customHeight="1">
      <c r="A75">
        <f>Table4[[#This Row],[Column1]]</f>
        <v>0</v>
      </c>
      <c r="B75">
        <f>Table4[[#This Row],[Column2]]</f>
        <v>0</v>
      </c>
      <c r="C75" t="s">
        <v>57</v>
      </c>
      <c r="D75" t="s">
        <v>56</v>
      </c>
      <c r="E75" t="s">
        <v>56</v>
      </c>
      <c r="F75" t="s">
        <v>4</v>
      </c>
      <c r="G75" t="s">
        <v>4</v>
      </c>
      <c r="H75" t="s">
        <v>777</v>
      </c>
      <c r="I75" t="s">
        <v>4</v>
      </c>
      <c r="J75" t="s">
        <v>3</v>
      </c>
      <c r="K75" t="s">
        <v>64</v>
      </c>
      <c r="L75"/>
    </row>
    <row r="76" spans="1:12" ht="22.5" customHeight="1">
      <c r="A76">
        <f>Table4[[#This Row],[Column1]]</f>
        <v>0</v>
      </c>
      <c r="B76">
        <f>Table4[[#This Row],[Column2]]</f>
        <v>0</v>
      </c>
      <c r="C76" t="s">
        <v>54</v>
      </c>
      <c r="D76" t="s">
        <v>56</v>
      </c>
      <c r="E76" t="s">
        <v>56</v>
      </c>
      <c r="F76" t="s">
        <v>4</v>
      </c>
      <c r="G76" t="s">
        <v>4</v>
      </c>
      <c r="H76" t="s">
        <v>777</v>
      </c>
      <c r="I76" t="s">
        <v>4</v>
      </c>
      <c r="J76" t="s">
        <v>4</v>
      </c>
      <c r="K76" t="s">
        <v>25</v>
      </c>
      <c r="L76"/>
    </row>
    <row r="77" spans="1:12" ht="22.5" customHeight="1">
      <c r="A77">
        <f>Table4[[#This Row],[Column1]]</f>
        <v>0</v>
      </c>
      <c r="B77">
        <f>Table4[[#This Row],[Column2]]</f>
        <v>0</v>
      </c>
      <c r="C77" t="s">
        <v>54</v>
      </c>
      <c r="D77" t="s">
        <v>56</v>
      </c>
      <c r="E77" t="s">
        <v>56</v>
      </c>
      <c r="F77" t="s">
        <v>3</v>
      </c>
      <c r="G77" t="s">
        <v>3</v>
      </c>
      <c r="I77" t="s">
        <v>3</v>
      </c>
      <c r="J77" t="s">
        <v>3</v>
      </c>
      <c r="K77" t="s">
        <v>25</v>
      </c>
      <c r="L77"/>
    </row>
    <row r="78" spans="1:12" ht="22.5" customHeight="1">
      <c r="A78">
        <f>Table4[[#This Row],[Column1]]</f>
        <v>0</v>
      </c>
      <c r="B78">
        <f>Table4[[#This Row],[Column2]]</f>
        <v>0</v>
      </c>
      <c r="L78"/>
    </row>
    <row r="79" spans="1:12" ht="22.5" customHeight="1">
      <c r="A79">
        <f>Table4[[#This Row],[Column1]]</f>
        <v>0</v>
      </c>
      <c r="B79">
        <f>Table4[[#This Row],[Column2]]</f>
        <v>0</v>
      </c>
      <c r="C79" t="s">
        <v>54</v>
      </c>
      <c r="D79" t="s">
        <v>56</v>
      </c>
      <c r="E79" t="s">
        <v>56</v>
      </c>
      <c r="F79" t="s">
        <v>4</v>
      </c>
      <c r="G79" t="s">
        <v>3</v>
      </c>
      <c r="H79" t="s">
        <v>4</v>
      </c>
      <c r="I79" t="s">
        <v>3</v>
      </c>
      <c r="J79" t="s">
        <v>3</v>
      </c>
      <c r="K79" t="s">
        <v>25</v>
      </c>
      <c r="L79"/>
    </row>
    <row r="80" spans="1:12" ht="22.5" customHeight="1">
      <c r="A80">
        <f>Table4[[#This Row],[Column1]]</f>
        <v>0</v>
      </c>
      <c r="B80">
        <f>Table4[[#This Row],[Column2]]</f>
        <v>0</v>
      </c>
      <c r="C80" t="s">
        <v>54</v>
      </c>
      <c r="D80" t="s">
        <v>56</v>
      </c>
      <c r="E80" t="s">
        <v>25</v>
      </c>
      <c r="F80" t="s">
        <v>4</v>
      </c>
      <c r="G80" t="s">
        <v>3</v>
      </c>
      <c r="I80" t="s">
        <v>3</v>
      </c>
      <c r="J80" t="s">
        <v>3</v>
      </c>
      <c r="K80" t="s">
        <v>25</v>
      </c>
      <c r="L80"/>
    </row>
    <row r="81" spans="1:12" ht="22.5" customHeight="1">
      <c r="A81">
        <f>Table4[[#This Row],[Column1]]</f>
        <v>0</v>
      </c>
      <c r="B81">
        <f>Table4[[#This Row],[Column2]]</f>
        <v>0</v>
      </c>
      <c r="C81" t="s">
        <v>54</v>
      </c>
      <c r="D81" t="s">
        <v>56</v>
      </c>
      <c r="E81" t="s">
        <v>56</v>
      </c>
      <c r="F81" t="s">
        <v>4</v>
      </c>
      <c r="G81" t="s">
        <v>4</v>
      </c>
      <c r="H81" t="s">
        <v>777</v>
      </c>
      <c r="I81" t="s">
        <v>4</v>
      </c>
      <c r="J81" t="s">
        <v>3</v>
      </c>
      <c r="K81" t="s">
        <v>25</v>
      </c>
      <c r="L81"/>
    </row>
    <row r="82" spans="1:12" ht="22.5" customHeight="1">
      <c r="A82">
        <f>Table4[[#This Row],[Column1]]</f>
        <v>0</v>
      </c>
      <c r="B82">
        <f>Table4[[#This Row],[Column2]]</f>
        <v>0</v>
      </c>
      <c r="C82" t="s">
        <v>54</v>
      </c>
      <c r="D82" t="s">
        <v>56</v>
      </c>
      <c r="E82" t="s">
        <v>56</v>
      </c>
      <c r="F82" t="s">
        <v>4</v>
      </c>
      <c r="G82" t="s">
        <v>3</v>
      </c>
      <c r="H82" t="s">
        <v>4</v>
      </c>
      <c r="I82" t="s">
        <v>3</v>
      </c>
      <c r="J82" t="s">
        <v>3</v>
      </c>
      <c r="K82" t="s">
        <v>25</v>
      </c>
      <c r="L82"/>
    </row>
    <row r="83" spans="1:12" ht="22.5" customHeight="1">
      <c r="A83">
        <f>Table4[[#This Row],[Column1]]</f>
        <v>0</v>
      </c>
      <c r="B83">
        <f>Table4[[#This Row],[Column2]]</f>
        <v>0</v>
      </c>
      <c r="C83" t="s">
        <v>54</v>
      </c>
      <c r="D83" t="s">
        <v>56</v>
      </c>
      <c r="E83" t="s">
        <v>25</v>
      </c>
      <c r="F83" t="s">
        <v>3</v>
      </c>
      <c r="G83" t="s">
        <v>3</v>
      </c>
      <c r="H83" t="s">
        <v>3</v>
      </c>
      <c r="I83" t="s">
        <v>3</v>
      </c>
      <c r="J83" t="s">
        <v>3</v>
      </c>
      <c r="K83" t="s">
        <v>25</v>
      </c>
      <c r="L83"/>
    </row>
    <row r="84" spans="1:12" ht="22.5" customHeight="1">
      <c r="A84">
        <f>Table4[[#This Row],[Column1]]</f>
        <v>0</v>
      </c>
      <c r="B84">
        <f>Table4[[#This Row],[Column2]]</f>
        <v>0</v>
      </c>
      <c r="C84" t="s">
        <v>54</v>
      </c>
      <c r="D84" t="s">
        <v>56</v>
      </c>
      <c r="E84" t="s">
        <v>56</v>
      </c>
      <c r="F84" t="s">
        <v>3</v>
      </c>
      <c r="G84" t="s">
        <v>3</v>
      </c>
      <c r="H84" t="s">
        <v>3</v>
      </c>
      <c r="I84" t="s">
        <v>3</v>
      </c>
      <c r="J84" t="s">
        <v>4</v>
      </c>
      <c r="K84" t="s">
        <v>25</v>
      </c>
      <c r="L84"/>
    </row>
    <row r="85" spans="1:12" ht="22.5" customHeight="1">
      <c r="A85">
        <f>Table4[[#This Row],[Column1]]</f>
        <v>0</v>
      </c>
      <c r="B85">
        <f>Table4[[#This Row],[Column2]]</f>
        <v>0</v>
      </c>
      <c r="C85" t="s">
        <v>54</v>
      </c>
      <c r="D85" t="s">
        <v>56</v>
      </c>
      <c r="E85" t="s">
        <v>25</v>
      </c>
      <c r="F85" t="s">
        <v>4</v>
      </c>
      <c r="G85" t="s">
        <v>3</v>
      </c>
      <c r="I85" t="s">
        <v>3</v>
      </c>
      <c r="J85" t="s">
        <v>3</v>
      </c>
      <c r="K85" t="s">
        <v>25</v>
      </c>
      <c r="L85"/>
    </row>
    <row r="86" spans="1:12" ht="22.5" customHeight="1">
      <c r="A86">
        <f>Table4[[#This Row],[Column1]]</f>
        <v>0</v>
      </c>
      <c r="B86">
        <f>Table4[[#This Row],[Column2]]</f>
        <v>0</v>
      </c>
      <c r="C86" t="s">
        <v>54</v>
      </c>
      <c r="D86" t="s">
        <v>56</v>
      </c>
      <c r="E86" t="s">
        <v>25</v>
      </c>
      <c r="F86" t="s">
        <v>4</v>
      </c>
      <c r="G86" t="s">
        <v>3</v>
      </c>
      <c r="H86" t="s">
        <v>3</v>
      </c>
      <c r="I86" t="s">
        <v>3</v>
      </c>
      <c r="J86" t="s">
        <v>3</v>
      </c>
      <c r="K86" t="s">
        <v>25</v>
      </c>
      <c r="L86"/>
    </row>
    <row r="87" spans="1:12" ht="22.5" customHeight="1">
      <c r="A87">
        <f>Table4[[#This Row],[Column1]]</f>
        <v>0</v>
      </c>
      <c r="B87">
        <f>Table4[[#This Row],[Column2]]</f>
        <v>0</v>
      </c>
      <c r="C87" t="s">
        <v>54</v>
      </c>
      <c r="D87" t="s">
        <v>56</v>
      </c>
      <c r="E87" t="s">
        <v>25</v>
      </c>
      <c r="F87" t="s">
        <v>4</v>
      </c>
      <c r="G87" t="s">
        <v>3</v>
      </c>
      <c r="I87" t="s">
        <v>4</v>
      </c>
      <c r="J87" t="s">
        <v>4</v>
      </c>
      <c r="K87" t="s">
        <v>25</v>
      </c>
      <c r="L87"/>
    </row>
    <row r="88" spans="1:12" ht="22.5" customHeight="1">
      <c r="A88">
        <f>Table4[[#This Row],[Column1]]</f>
        <v>0</v>
      </c>
      <c r="B88">
        <f>Table4[[#This Row],[Column2]]</f>
        <v>0</v>
      </c>
      <c r="C88" t="s">
        <v>54</v>
      </c>
      <c r="D88" t="s">
        <v>56</v>
      </c>
      <c r="E88" t="s">
        <v>56</v>
      </c>
      <c r="F88" t="s">
        <v>3</v>
      </c>
      <c r="G88" t="s">
        <v>3</v>
      </c>
      <c r="H88" t="s">
        <v>3</v>
      </c>
      <c r="I88" t="s">
        <v>3</v>
      </c>
      <c r="J88" t="s">
        <v>3</v>
      </c>
      <c r="K88" t="s">
        <v>25</v>
      </c>
      <c r="L88"/>
    </row>
    <row r="89" spans="1:12" ht="22.5" customHeight="1">
      <c r="A89">
        <f>Table4[[#This Row],[Column1]]</f>
        <v>0</v>
      </c>
      <c r="B89">
        <f>Table4[[#This Row],[Column2]]</f>
        <v>0</v>
      </c>
      <c r="C89" t="s">
        <v>54</v>
      </c>
      <c r="D89" t="s">
        <v>55</v>
      </c>
      <c r="E89" t="s">
        <v>55</v>
      </c>
      <c r="F89" t="s">
        <v>3</v>
      </c>
      <c r="G89" t="s">
        <v>3</v>
      </c>
      <c r="H89" t="s">
        <v>3</v>
      </c>
      <c r="I89" t="s">
        <v>3</v>
      </c>
      <c r="J89" t="s">
        <v>3</v>
      </c>
      <c r="K89" t="s">
        <v>25</v>
      </c>
      <c r="L89"/>
    </row>
    <row r="90" spans="1:12" ht="22.5" customHeight="1">
      <c r="A90">
        <f>Table4[[#This Row],[Column1]]</f>
        <v>0</v>
      </c>
      <c r="B90">
        <f>Table4[[#This Row],[Column2]]</f>
        <v>0</v>
      </c>
      <c r="C90" t="s">
        <v>57</v>
      </c>
      <c r="D90" t="s">
        <v>55</v>
      </c>
      <c r="E90" t="s">
        <v>56</v>
      </c>
      <c r="F90" t="s">
        <v>4</v>
      </c>
      <c r="G90" t="s">
        <v>4</v>
      </c>
      <c r="H90" t="s">
        <v>777</v>
      </c>
      <c r="I90" t="s">
        <v>4</v>
      </c>
      <c r="J90" t="s">
        <v>4</v>
      </c>
      <c r="K90" t="s">
        <v>25</v>
      </c>
      <c r="L90"/>
    </row>
    <row r="91" spans="1:12" ht="22.5" customHeight="1">
      <c r="A91">
        <f>Table4[[#This Row],[Column1]]</f>
        <v>0</v>
      </c>
      <c r="B91">
        <f>Table4[[#This Row],[Column2]]</f>
        <v>0</v>
      </c>
      <c r="C91" t="s">
        <v>54</v>
      </c>
      <c r="D91" t="s">
        <v>56</v>
      </c>
      <c r="E91" t="s">
        <v>55</v>
      </c>
      <c r="F91" t="s">
        <v>4</v>
      </c>
      <c r="G91" t="s">
        <v>3</v>
      </c>
      <c r="H91" t="s">
        <v>3</v>
      </c>
      <c r="I91" t="s">
        <v>3</v>
      </c>
      <c r="J91" t="s">
        <v>3</v>
      </c>
      <c r="K91" t="s">
        <v>25</v>
      </c>
      <c r="L91"/>
    </row>
    <row r="92" spans="1:12" ht="22.5" customHeight="1">
      <c r="A92">
        <f>Table4[[#This Row],[Column1]]</f>
        <v>0</v>
      </c>
      <c r="B92">
        <f>Table4[[#This Row],[Column2]]</f>
        <v>0</v>
      </c>
      <c r="C92" t="s">
        <v>54</v>
      </c>
      <c r="D92" t="s">
        <v>56</v>
      </c>
      <c r="E92" t="s">
        <v>56</v>
      </c>
      <c r="F92" t="s">
        <v>4</v>
      </c>
      <c r="G92" t="s">
        <v>3</v>
      </c>
      <c r="H92" t="s">
        <v>4</v>
      </c>
      <c r="I92" t="s">
        <v>3</v>
      </c>
      <c r="J92" t="s">
        <v>4</v>
      </c>
      <c r="K92" t="s">
        <v>25</v>
      </c>
      <c r="L92"/>
    </row>
    <row r="93" spans="1:12" ht="22.5" customHeight="1">
      <c r="A93">
        <f>Table4[[#This Row],[Column1]]</f>
        <v>0</v>
      </c>
      <c r="B93">
        <f>Table4[[#This Row],[Column2]]</f>
        <v>0</v>
      </c>
      <c r="C93" t="s">
        <v>54</v>
      </c>
      <c r="D93" t="s">
        <v>55</v>
      </c>
      <c r="E93" t="s">
        <v>25</v>
      </c>
      <c r="F93" t="s">
        <v>4</v>
      </c>
      <c r="G93" t="s">
        <v>3</v>
      </c>
      <c r="H93" t="s">
        <v>4</v>
      </c>
      <c r="I93" t="s">
        <v>3</v>
      </c>
      <c r="J93" t="s">
        <v>3</v>
      </c>
      <c r="K93" t="s">
        <v>25</v>
      </c>
      <c r="L93"/>
    </row>
    <row r="94" spans="1:12" ht="22.5" customHeight="1">
      <c r="A94">
        <f>Table4[[#This Row],[Column1]]</f>
        <v>0</v>
      </c>
      <c r="B94">
        <f>Table4[[#This Row],[Column2]]</f>
        <v>0</v>
      </c>
      <c r="C94" t="s">
        <v>54</v>
      </c>
      <c r="D94" t="s">
        <v>56</v>
      </c>
      <c r="E94" t="s">
        <v>25</v>
      </c>
      <c r="F94" t="s">
        <v>4</v>
      </c>
      <c r="G94" t="s">
        <v>3</v>
      </c>
      <c r="H94" t="s">
        <v>4</v>
      </c>
      <c r="I94" t="s">
        <v>3</v>
      </c>
      <c r="J94" t="s">
        <v>3</v>
      </c>
      <c r="K94" t="s">
        <v>25</v>
      </c>
      <c r="L94"/>
    </row>
    <row r="95" spans="1:12" ht="22.5" customHeight="1">
      <c r="A95">
        <f>Table4[[#This Row],[Column1]]</f>
        <v>0</v>
      </c>
      <c r="B95">
        <f>Table4[[#This Row],[Column2]]</f>
        <v>0</v>
      </c>
      <c r="C95" t="s">
        <v>54</v>
      </c>
      <c r="D95" t="s">
        <v>56</v>
      </c>
      <c r="E95" t="s">
        <v>25</v>
      </c>
      <c r="F95" t="s">
        <v>4</v>
      </c>
      <c r="G95" t="s">
        <v>3</v>
      </c>
      <c r="H95" t="s">
        <v>4</v>
      </c>
      <c r="I95" t="s">
        <v>3</v>
      </c>
      <c r="J95" t="s">
        <v>3</v>
      </c>
      <c r="K95" t="s">
        <v>25</v>
      </c>
      <c r="L95"/>
    </row>
    <row r="96" spans="1:12" ht="22.5" customHeight="1">
      <c r="A96">
        <f>Table4[[#This Row],[Column1]]</f>
        <v>0</v>
      </c>
      <c r="B96">
        <f>Table4[[#This Row],[Column2]]</f>
        <v>0</v>
      </c>
      <c r="C96" t="s">
        <v>54</v>
      </c>
      <c r="D96" t="s">
        <v>56</v>
      </c>
      <c r="E96" t="s">
        <v>25</v>
      </c>
      <c r="F96" t="s">
        <v>3</v>
      </c>
      <c r="G96" t="s">
        <v>3</v>
      </c>
      <c r="H96" t="s">
        <v>4</v>
      </c>
      <c r="I96" t="s">
        <v>3</v>
      </c>
      <c r="J96" t="s">
        <v>4</v>
      </c>
      <c r="K96" t="s">
        <v>25</v>
      </c>
      <c r="L96" t="s">
        <v>3</v>
      </c>
    </row>
    <row r="97" spans="1:12" ht="22.5" customHeight="1">
      <c r="A97">
        <f>Table4[[#This Row],[Column1]]</f>
        <v>0</v>
      </c>
      <c r="B97">
        <f>Table4[[#This Row],[Column2]]</f>
        <v>0</v>
      </c>
      <c r="C97" t="s">
        <v>54</v>
      </c>
      <c r="D97" t="s">
        <v>56</v>
      </c>
      <c r="E97" t="s">
        <v>56</v>
      </c>
      <c r="F97" t="s">
        <v>4</v>
      </c>
      <c r="G97" t="s">
        <v>3</v>
      </c>
      <c r="H97" t="s">
        <v>4</v>
      </c>
      <c r="I97" t="s">
        <v>3</v>
      </c>
      <c r="J97" t="s">
        <v>3</v>
      </c>
      <c r="K97" t="s">
        <v>25</v>
      </c>
      <c r="L97" t="s">
        <v>3</v>
      </c>
    </row>
    <row r="98" spans="1:12" ht="22.5" customHeight="1">
      <c r="A98">
        <f>Table4[[#This Row],[Column1]]</f>
        <v>0</v>
      </c>
      <c r="B98">
        <f>Table4[[#This Row],[Column2]]</f>
        <v>0</v>
      </c>
      <c r="L98"/>
    </row>
    <row r="99" spans="1:12" ht="22.5" customHeight="1">
      <c r="A99">
        <f>Table4[[#This Row],[Column1]]</f>
        <v>0</v>
      </c>
      <c r="B99">
        <f>Table4[[#This Row],[Column2]]</f>
        <v>0</v>
      </c>
      <c r="C99" t="s">
        <v>57</v>
      </c>
      <c r="D99" t="s">
        <v>56</v>
      </c>
      <c r="E99" t="s">
        <v>55</v>
      </c>
      <c r="F99" t="s">
        <v>4</v>
      </c>
      <c r="G99" t="s">
        <v>4</v>
      </c>
      <c r="H99" t="s">
        <v>777</v>
      </c>
      <c r="I99" t="s">
        <v>4</v>
      </c>
      <c r="J99" t="s">
        <v>3</v>
      </c>
      <c r="K99" t="s">
        <v>25</v>
      </c>
      <c r="L99" t="s">
        <v>3</v>
      </c>
    </row>
    <row r="100" spans="1:12" ht="22.5" customHeight="1">
      <c r="A100">
        <f>Table4[[#This Row],[Column1]]</f>
        <v>0</v>
      </c>
      <c r="B100">
        <f>Table4[[#This Row],[Column2]]</f>
        <v>0</v>
      </c>
      <c r="C100" t="s">
        <v>54</v>
      </c>
      <c r="F100" t="s">
        <v>4</v>
      </c>
      <c r="G100" t="s">
        <v>3</v>
      </c>
      <c r="H100" t="s">
        <v>4</v>
      </c>
      <c r="I100" t="s">
        <v>4</v>
      </c>
      <c r="J100" t="s">
        <v>3</v>
      </c>
      <c r="K100" t="s">
        <v>25</v>
      </c>
      <c r="L100" t="s">
        <v>3</v>
      </c>
    </row>
    <row r="101" spans="1:12" ht="22.5" customHeight="1">
      <c r="A101">
        <f>Table4[[#This Row],[Column1]]</f>
        <v>0</v>
      </c>
      <c r="B101">
        <f>Table4[[#This Row],[Column2]]</f>
        <v>0</v>
      </c>
      <c r="C101" t="s">
        <v>54</v>
      </c>
      <c r="D101" t="s">
        <v>55</v>
      </c>
      <c r="F101" t="s">
        <v>4</v>
      </c>
      <c r="G101" t="s">
        <v>4</v>
      </c>
      <c r="H101" t="s">
        <v>777</v>
      </c>
      <c r="I101" t="s">
        <v>4</v>
      </c>
      <c r="J101" t="s">
        <v>3</v>
      </c>
      <c r="K101" t="s">
        <v>25</v>
      </c>
      <c r="L101" t="s">
        <v>3</v>
      </c>
    </row>
    <row r="102" spans="1:12" ht="22.5" customHeight="1">
      <c r="A102">
        <f>Table4[[#This Row],[Column1]]</f>
        <v>0</v>
      </c>
      <c r="B102">
        <f>Table4[[#This Row],[Column2]]</f>
        <v>0</v>
      </c>
      <c r="C102" t="s">
        <v>57</v>
      </c>
      <c r="D102" t="s">
        <v>55</v>
      </c>
      <c r="E102" t="s">
        <v>25</v>
      </c>
      <c r="F102" t="s">
        <v>4</v>
      </c>
      <c r="G102" t="s">
        <v>3</v>
      </c>
      <c r="H102" t="s">
        <v>3</v>
      </c>
      <c r="I102" t="s">
        <v>3</v>
      </c>
      <c r="J102" t="s">
        <v>4</v>
      </c>
      <c r="K102" t="s">
        <v>25</v>
      </c>
      <c r="L102" t="s">
        <v>3</v>
      </c>
    </row>
    <row r="103" spans="1:12" ht="22.5" customHeight="1">
      <c r="A103">
        <f>Table4[[#This Row],[Column1]]</f>
        <v>0</v>
      </c>
      <c r="B103">
        <f>Table4[[#This Row],[Column2]]</f>
        <v>0</v>
      </c>
      <c r="C103" t="s">
        <v>57</v>
      </c>
      <c r="D103" t="s">
        <v>55</v>
      </c>
      <c r="E103" t="s">
        <v>55</v>
      </c>
      <c r="F103" t="s">
        <v>4</v>
      </c>
      <c r="G103" t="s">
        <v>3</v>
      </c>
      <c r="H103" t="s">
        <v>4</v>
      </c>
      <c r="I103" t="s">
        <v>3</v>
      </c>
      <c r="J103" t="s">
        <v>3</v>
      </c>
      <c r="K103" t="s">
        <v>25</v>
      </c>
      <c r="L103" t="s">
        <v>3</v>
      </c>
    </row>
    <row r="104" spans="1:12" ht="22.5" customHeight="1">
      <c r="A104">
        <f>Table4[[#This Row],[Column1]]</f>
        <v>0</v>
      </c>
      <c r="B104">
        <f>Table4[[#This Row],[Column2]]</f>
        <v>0</v>
      </c>
      <c r="C104" t="s">
        <v>54</v>
      </c>
      <c r="D104" t="s">
        <v>55</v>
      </c>
      <c r="F104" t="s">
        <v>4</v>
      </c>
      <c r="G104" t="s">
        <v>3</v>
      </c>
      <c r="H104" t="s">
        <v>4</v>
      </c>
      <c r="I104" t="s">
        <v>4</v>
      </c>
      <c r="J104" t="s">
        <v>4</v>
      </c>
      <c r="K104" t="s">
        <v>25</v>
      </c>
      <c r="L104" t="s">
        <v>3</v>
      </c>
    </row>
    <row r="105" spans="1:12" ht="22.5" customHeight="1">
      <c r="A105">
        <f>Table4[[#This Row],[Column1]]</f>
        <v>0</v>
      </c>
      <c r="B105">
        <f>Table4[[#This Row],[Column2]]</f>
        <v>0</v>
      </c>
      <c r="C105" t="s">
        <v>57</v>
      </c>
      <c r="D105" t="s">
        <v>56</v>
      </c>
      <c r="E105" t="s">
        <v>56</v>
      </c>
      <c r="F105" t="s">
        <v>4</v>
      </c>
      <c r="G105" t="s">
        <v>4</v>
      </c>
      <c r="H105" t="s">
        <v>777</v>
      </c>
      <c r="I105" t="s">
        <v>4</v>
      </c>
      <c r="J105" t="s">
        <v>3</v>
      </c>
      <c r="K105" t="s">
        <v>25</v>
      </c>
      <c r="L105" t="s">
        <v>3</v>
      </c>
    </row>
    <row r="106" spans="1:12" ht="22.5" customHeight="1">
      <c r="A106">
        <f>Table4[[#This Row],[Column1]]</f>
        <v>0</v>
      </c>
      <c r="B106">
        <f>Table4[[#This Row],[Column2]]</f>
        <v>0</v>
      </c>
      <c r="C106" t="s">
        <v>54</v>
      </c>
      <c r="D106" t="s">
        <v>55</v>
      </c>
      <c r="E106" t="s">
        <v>25</v>
      </c>
      <c r="F106" t="s">
        <v>3</v>
      </c>
      <c r="G106" t="s">
        <v>3</v>
      </c>
      <c r="I106" t="s">
        <v>4</v>
      </c>
      <c r="J106" t="s">
        <v>3</v>
      </c>
      <c r="K106" t="s">
        <v>25</v>
      </c>
      <c r="L106" t="s">
        <v>3</v>
      </c>
    </row>
    <row r="107" spans="1:12" ht="22.5" customHeight="1">
      <c r="A107">
        <f>Table4[[#This Row],[Column1]]</f>
        <v>0</v>
      </c>
      <c r="B107">
        <f>Table4[[#This Row],[Column2]]</f>
        <v>0</v>
      </c>
      <c r="C107" t="s">
        <v>54</v>
      </c>
      <c r="D107" t="s">
        <v>55</v>
      </c>
      <c r="E107" t="s">
        <v>25</v>
      </c>
      <c r="F107" t="s">
        <v>4</v>
      </c>
      <c r="G107" t="s">
        <v>3</v>
      </c>
      <c r="I107" t="s">
        <v>4</v>
      </c>
      <c r="J107" t="s">
        <v>4</v>
      </c>
      <c r="K107" t="s">
        <v>25</v>
      </c>
      <c r="L107" t="s">
        <v>3</v>
      </c>
    </row>
    <row r="108" spans="1:12" ht="22.5" customHeight="1">
      <c r="A108">
        <f>Table4[[#This Row],[Column1]]</f>
        <v>0</v>
      </c>
      <c r="B108">
        <f>Table4[[#This Row],[Column2]]</f>
        <v>0</v>
      </c>
      <c r="C108" t="s">
        <v>54</v>
      </c>
      <c r="D108" t="s">
        <v>55</v>
      </c>
      <c r="E108" t="s">
        <v>55</v>
      </c>
      <c r="F108" t="s">
        <v>4</v>
      </c>
      <c r="G108" t="s">
        <v>3</v>
      </c>
      <c r="H108" t="s">
        <v>4</v>
      </c>
      <c r="I108" t="s">
        <v>4</v>
      </c>
      <c r="J108" t="s">
        <v>3</v>
      </c>
      <c r="K108" t="s">
        <v>25</v>
      </c>
      <c r="L108" t="s">
        <v>3</v>
      </c>
    </row>
    <row r="109" spans="1:12" ht="22.5" customHeight="1">
      <c r="A109">
        <f>Table4[[#This Row],[Column1]]</f>
        <v>0</v>
      </c>
      <c r="B109">
        <f>Table4[[#This Row],[Column2]]</f>
        <v>0</v>
      </c>
      <c r="C109" t="s">
        <v>54</v>
      </c>
      <c r="D109" t="s">
        <v>55</v>
      </c>
      <c r="E109" t="s">
        <v>25</v>
      </c>
      <c r="F109" t="s">
        <v>3</v>
      </c>
      <c r="G109" t="s">
        <v>3</v>
      </c>
      <c r="H109" t="s">
        <v>4</v>
      </c>
      <c r="I109" t="s">
        <v>4</v>
      </c>
      <c r="J109" t="s">
        <v>3</v>
      </c>
      <c r="K109" t="s">
        <v>25</v>
      </c>
      <c r="L109" t="s">
        <v>3</v>
      </c>
    </row>
    <row r="110" spans="1:12" ht="22.5" customHeight="1">
      <c r="A110">
        <f>Table4[[#This Row],[Column1]]</f>
        <v>0</v>
      </c>
      <c r="B110">
        <f>Table4[[#This Row],[Column2]]</f>
        <v>0</v>
      </c>
      <c r="C110" t="s">
        <v>779</v>
      </c>
      <c r="D110" t="s">
        <v>779</v>
      </c>
      <c r="E110" t="s">
        <v>779</v>
      </c>
      <c r="F110" t="s">
        <v>4</v>
      </c>
      <c r="G110" t="s">
        <v>3</v>
      </c>
      <c r="H110" t="s">
        <v>4</v>
      </c>
      <c r="I110" t="s">
        <v>3</v>
      </c>
      <c r="J110" t="s">
        <v>3</v>
      </c>
      <c r="K110" t="s">
        <v>25</v>
      </c>
      <c r="L110" t="s">
        <v>3</v>
      </c>
    </row>
    <row r="111" spans="1:12" ht="22.5" customHeight="1">
      <c r="A111">
        <f>Table4[[#This Row],[Column1]]</f>
        <v>0</v>
      </c>
      <c r="B111">
        <f>Table4[[#This Row],[Column2]]</f>
        <v>0</v>
      </c>
      <c r="C111" t="s">
        <v>54</v>
      </c>
      <c r="D111" t="s">
        <v>56</v>
      </c>
      <c r="E111" t="s">
        <v>25</v>
      </c>
      <c r="F111" t="s">
        <v>3</v>
      </c>
      <c r="G111" t="s">
        <v>3</v>
      </c>
      <c r="H111" t="s">
        <v>3</v>
      </c>
      <c r="I111" t="s">
        <v>3</v>
      </c>
      <c r="J111" t="s">
        <v>3</v>
      </c>
      <c r="K111" t="s">
        <v>25</v>
      </c>
      <c r="L111" t="s">
        <v>3</v>
      </c>
    </row>
    <row r="112" spans="1:12" ht="22.5" customHeight="1">
      <c r="A112">
        <f>Table4[[#This Row],[Column1]]</f>
        <v>0</v>
      </c>
      <c r="B112">
        <f>Table4[[#This Row],[Column2]]</f>
        <v>0</v>
      </c>
      <c r="C112" t="s">
        <v>54</v>
      </c>
      <c r="D112" t="s">
        <v>56</v>
      </c>
      <c r="E112" t="s">
        <v>25</v>
      </c>
      <c r="F112" t="s">
        <v>4</v>
      </c>
      <c r="G112" t="s">
        <v>3</v>
      </c>
      <c r="H112" t="s">
        <v>4</v>
      </c>
      <c r="I112" t="s">
        <v>3</v>
      </c>
      <c r="J112" t="s">
        <v>3</v>
      </c>
      <c r="K112" t="s">
        <v>25</v>
      </c>
      <c r="L112" t="s">
        <v>3</v>
      </c>
    </row>
    <row r="113" spans="1:12" ht="22.5" customHeight="1">
      <c r="A113">
        <f>Table4[[#This Row],[Column1]]</f>
        <v>0</v>
      </c>
      <c r="B113">
        <f>Table4[[#This Row],[Column2]]</f>
        <v>0</v>
      </c>
      <c r="C113" t="s">
        <v>57</v>
      </c>
      <c r="D113" t="s">
        <v>56</v>
      </c>
      <c r="E113" t="s">
        <v>779</v>
      </c>
      <c r="F113" t="s">
        <v>4</v>
      </c>
      <c r="G113" t="s">
        <v>3</v>
      </c>
      <c r="H113" t="s">
        <v>4</v>
      </c>
      <c r="I113" t="s">
        <v>4</v>
      </c>
      <c r="J113" t="s">
        <v>3</v>
      </c>
      <c r="K113" t="s">
        <v>25</v>
      </c>
      <c r="L113" t="s">
        <v>3</v>
      </c>
    </row>
    <row r="114" spans="1:12" ht="22.5" customHeight="1">
      <c r="A114">
        <f>Table4[[#This Row],[Column1]]</f>
        <v>0</v>
      </c>
      <c r="B114">
        <f>Table4[[#This Row],[Column2]]</f>
        <v>0</v>
      </c>
      <c r="C114" t="s">
        <v>57</v>
      </c>
      <c r="D114" t="s">
        <v>56</v>
      </c>
      <c r="E114" t="s">
        <v>779</v>
      </c>
      <c r="F114" t="s">
        <v>4</v>
      </c>
      <c r="G114" t="s">
        <v>4</v>
      </c>
      <c r="H114" t="s">
        <v>777</v>
      </c>
      <c r="I114" t="s">
        <v>4</v>
      </c>
      <c r="J114" t="s">
        <v>3</v>
      </c>
      <c r="K114" t="s">
        <v>25</v>
      </c>
      <c r="L114" t="s">
        <v>3</v>
      </c>
    </row>
    <row r="115" spans="1:12" ht="22.5" customHeight="1">
      <c r="A115">
        <f>Table4[[#This Row],[Column1]]</f>
        <v>0</v>
      </c>
      <c r="B115">
        <f>Table4[[#This Row],[Column2]]</f>
        <v>0</v>
      </c>
      <c r="C115" t="s">
        <v>57</v>
      </c>
      <c r="D115" t="s">
        <v>56</v>
      </c>
      <c r="E115" t="s">
        <v>56</v>
      </c>
      <c r="F115" t="s">
        <v>4</v>
      </c>
      <c r="G115" t="s">
        <v>3</v>
      </c>
      <c r="H115" t="s">
        <v>4</v>
      </c>
      <c r="I115" t="s">
        <v>3</v>
      </c>
      <c r="J115" t="s">
        <v>3</v>
      </c>
      <c r="K115" t="s">
        <v>25</v>
      </c>
      <c r="L115" t="s">
        <v>3</v>
      </c>
    </row>
    <row r="116" spans="1:12" ht="22.5" customHeight="1">
      <c r="A116">
        <f>Table4[[#This Row],[Column1]]</f>
        <v>0</v>
      </c>
      <c r="B116">
        <f>Table4[[#This Row],[Column2]]</f>
        <v>0</v>
      </c>
      <c r="C116" t="s">
        <v>54</v>
      </c>
      <c r="D116" t="s">
        <v>55</v>
      </c>
      <c r="E116" t="s">
        <v>25</v>
      </c>
      <c r="F116" t="s">
        <v>4</v>
      </c>
      <c r="G116" t="s">
        <v>3</v>
      </c>
      <c r="H116" t="s">
        <v>4</v>
      </c>
      <c r="I116" t="s">
        <v>3</v>
      </c>
      <c r="J116" t="s">
        <v>3</v>
      </c>
      <c r="K116" t="s">
        <v>25</v>
      </c>
      <c r="L116" t="s">
        <v>3</v>
      </c>
    </row>
    <row r="117" spans="1:12" ht="22.5" customHeight="1">
      <c r="A117">
        <f>Table4[[#This Row],[Column1]]</f>
        <v>0</v>
      </c>
      <c r="B117">
        <f>Table4[[#This Row],[Column2]]</f>
        <v>0</v>
      </c>
      <c r="C117" t="s">
        <v>54</v>
      </c>
      <c r="D117" t="s">
        <v>779</v>
      </c>
      <c r="E117" t="s">
        <v>779</v>
      </c>
      <c r="F117" t="s">
        <v>4</v>
      </c>
      <c r="G117" t="s">
        <v>4</v>
      </c>
      <c r="H117" t="s">
        <v>777</v>
      </c>
      <c r="I117" t="s">
        <v>4</v>
      </c>
      <c r="J117" t="s">
        <v>4</v>
      </c>
      <c r="K117" t="s">
        <v>25</v>
      </c>
      <c r="L117" t="s">
        <v>3</v>
      </c>
    </row>
    <row r="118" spans="1:12" ht="22.5" customHeight="1">
      <c r="A118">
        <f>Table4[[#This Row],[Column1]]</f>
        <v>0</v>
      </c>
      <c r="B118">
        <f>Table4[[#This Row],[Column2]]</f>
        <v>0</v>
      </c>
      <c r="C118" t="s">
        <v>54</v>
      </c>
      <c r="D118" t="s">
        <v>55</v>
      </c>
      <c r="E118" t="s">
        <v>25</v>
      </c>
      <c r="F118" t="s">
        <v>4</v>
      </c>
      <c r="G118" t="s">
        <v>3</v>
      </c>
      <c r="H118" t="s">
        <v>4</v>
      </c>
      <c r="I118" t="s">
        <v>3</v>
      </c>
      <c r="J118" t="s">
        <v>3</v>
      </c>
      <c r="K118" t="s">
        <v>25</v>
      </c>
      <c r="L118" t="s">
        <v>3</v>
      </c>
    </row>
    <row r="119" spans="1:12" ht="22.5" customHeight="1">
      <c r="A119">
        <f>Table4[[#This Row],[Column1]]</f>
        <v>0</v>
      </c>
      <c r="B119">
        <f>Table4[[#This Row],[Column2]]</f>
        <v>0</v>
      </c>
      <c r="C119" t="s">
        <v>54</v>
      </c>
      <c r="D119" t="s">
        <v>56</v>
      </c>
      <c r="E119" t="s">
        <v>779</v>
      </c>
      <c r="F119" t="s">
        <v>4</v>
      </c>
      <c r="G119" t="s">
        <v>3</v>
      </c>
      <c r="H119" t="s">
        <v>4</v>
      </c>
      <c r="I119" t="s">
        <v>3</v>
      </c>
      <c r="J119" t="s">
        <v>3</v>
      </c>
      <c r="K119" t="s">
        <v>25</v>
      </c>
      <c r="L119" t="s">
        <v>3</v>
      </c>
    </row>
    <row r="120" spans="1:12" ht="22.5" customHeight="1">
      <c r="A120">
        <f>Table4[[#This Row],[Column1]]</f>
        <v>0</v>
      </c>
      <c r="B120">
        <f>Table4[[#This Row],[Column2]]</f>
        <v>0</v>
      </c>
      <c r="C120" t="s">
        <v>54</v>
      </c>
      <c r="D120" t="s">
        <v>56</v>
      </c>
      <c r="E120" t="s">
        <v>56</v>
      </c>
      <c r="F120" t="s">
        <v>3</v>
      </c>
      <c r="G120" t="s">
        <v>3</v>
      </c>
      <c r="H120" t="s">
        <v>4</v>
      </c>
      <c r="I120" t="s">
        <v>4</v>
      </c>
      <c r="J120" t="s">
        <v>3</v>
      </c>
      <c r="K120" t="s">
        <v>25</v>
      </c>
      <c r="L120" t="s">
        <v>3</v>
      </c>
    </row>
    <row r="121" spans="1:12" ht="22.5" customHeight="1">
      <c r="A121">
        <f>Table4[[#This Row],[Column1]]</f>
        <v>0</v>
      </c>
      <c r="B121">
        <f>Table4[[#This Row],[Column2]]</f>
        <v>0</v>
      </c>
      <c r="C121" t="s">
        <v>56</v>
      </c>
      <c r="D121" t="s">
        <v>56</v>
      </c>
      <c r="E121" t="s">
        <v>56</v>
      </c>
      <c r="F121" t="s">
        <v>4</v>
      </c>
      <c r="G121" t="s">
        <v>4</v>
      </c>
      <c r="H121" t="s">
        <v>777</v>
      </c>
      <c r="I121" t="s">
        <v>4</v>
      </c>
      <c r="J121" t="s">
        <v>3</v>
      </c>
      <c r="K121" t="s">
        <v>25</v>
      </c>
      <c r="L121" t="s">
        <v>3</v>
      </c>
    </row>
    <row r="122" spans="1:12" ht="22.5" customHeight="1">
      <c r="A122">
        <f>Table4[[#This Row],[Column1]]</f>
        <v>0</v>
      </c>
      <c r="B122">
        <f>Table4[[#This Row],[Column2]]</f>
        <v>0</v>
      </c>
      <c r="C122" t="s">
        <v>54</v>
      </c>
      <c r="D122" t="s">
        <v>779</v>
      </c>
      <c r="E122" t="s">
        <v>779</v>
      </c>
      <c r="F122" t="s">
        <v>4</v>
      </c>
      <c r="G122" t="s">
        <v>3</v>
      </c>
      <c r="H122" t="s">
        <v>4</v>
      </c>
      <c r="I122" t="s">
        <v>4</v>
      </c>
      <c r="J122" t="s">
        <v>3</v>
      </c>
      <c r="K122" t="s">
        <v>25</v>
      </c>
      <c r="L122" t="s">
        <v>3</v>
      </c>
    </row>
    <row r="123" spans="1:12" ht="22.5" customHeight="1">
      <c r="A123">
        <f>Table4[[#This Row],[Column1]]</f>
        <v>0</v>
      </c>
      <c r="B123">
        <f>Table4[[#This Row],[Column2]]</f>
        <v>0</v>
      </c>
      <c r="C123" t="s">
        <v>54</v>
      </c>
      <c r="D123" t="s">
        <v>55</v>
      </c>
      <c r="E123" t="s">
        <v>25</v>
      </c>
      <c r="F123" t="s">
        <v>3</v>
      </c>
      <c r="G123" t="s">
        <v>3</v>
      </c>
      <c r="H123" t="s">
        <v>4</v>
      </c>
      <c r="I123" t="s">
        <v>3</v>
      </c>
      <c r="J123" t="s">
        <v>4</v>
      </c>
      <c r="K123" t="s">
        <v>25</v>
      </c>
      <c r="L123" t="s">
        <v>3</v>
      </c>
    </row>
    <row r="124" spans="1:12" ht="22.5" customHeight="1">
      <c r="A124">
        <f>Table4[[#This Row],[Column1]]</f>
        <v>0</v>
      </c>
      <c r="B124">
        <f>Table4[[#This Row],[Column2]]</f>
        <v>0</v>
      </c>
      <c r="C124" t="s">
        <v>54</v>
      </c>
      <c r="D124" t="s">
        <v>55</v>
      </c>
      <c r="E124" t="s">
        <v>55</v>
      </c>
      <c r="F124" t="s">
        <v>4</v>
      </c>
      <c r="G124" t="s">
        <v>4</v>
      </c>
      <c r="H124" t="s">
        <v>777</v>
      </c>
      <c r="I124" t="s">
        <v>4</v>
      </c>
      <c r="J124" t="s">
        <v>3</v>
      </c>
      <c r="K124" t="s">
        <v>25</v>
      </c>
      <c r="L124" t="s">
        <v>3</v>
      </c>
    </row>
    <row r="125" spans="1:12" ht="22.5" customHeight="1">
      <c r="A125">
        <f>Table4[[#This Row],[Column1]]</f>
        <v>0</v>
      </c>
      <c r="B125">
        <f>Table4[[#This Row],[Column2]]</f>
        <v>0</v>
      </c>
      <c r="C125" t="s">
        <v>55</v>
      </c>
      <c r="D125" t="s">
        <v>56</v>
      </c>
      <c r="E125" t="s">
        <v>56</v>
      </c>
      <c r="F125" t="s">
        <v>4</v>
      </c>
      <c r="G125" t="s">
        <v>4</v>
      </c>
      <c r="H125" t="s">
        <v>777</v>
      </c>
      <c r="I125" t="s">
        <v>4</v>
      </c>
      <c r="J125" t="s">
        <v>3</v>
      </c>
      <c r="K125" t="s">
        <v>25</v>
      </c>
      <c r="L125" t="s">
        <v>3</v>
      </c>
    </row>
    <row r="126" spans="1:12" ht="22.5" customHeight="1">
      <c r="A126">
        <f>Table4[[#This Row],[Column1]]</f>
        <v>0</v>
      </c>
      <c r="B126">
        <f>Table4[[#This Row],[Column2]]</f>
        <v>0</v>
      </c>
      <c r="C126" t="s">
        <v>54</v>
      </c>
      <c r="D126" t="s">
        <v>56</v>
      </c>
      <c r="E126" t="s">
        <v>25</v>
      </c>
      <c r="F126" t="s">
        <v>4</v>
      </c>
      <c r="G126" t="s">
        <v>3</v>
      </c>
      <c r="H126" t="s">
        <v>3</v>
      </c>
      <c r="I126" t="s">
        <v>3</v>
      </c>
      <c r="J126" t="s">
        <v>3</v>
      </c>
      <c r="K126" t="s">
        <v>25</v>
      </c>
      <c r="L126" t="s">
        <v>3</v>
      </c>
    </row>
    <row r="127" spans="1:12" ht="22.5" customHeight="1">
      <c r="A127">
        <f>Table4[[#This Row],[Column1]]</f>
        <v>0</v>
      </c>
      <c r="B127">
        <f>Table4[[#This Row],[Column2]]</f>
        <v>0</v>
      </c>
      <c r="C127" t="s">
        <v>54</v>
      </c>
      <c r="D127" t="s">
        <v>55</v>
      </c>
      <c r="E127" t="s">
        <v>55</v>
      </c>
      <c r="F127" t="s">
        <v>4</v>
      </c>
      <c r="G127" t="s">
        <v>3</v>
      </c>
      <c r="H127" t="s">
        <v>4</v>
      </c>
      <c r="I127" t="s">
        <v>3</v>
      </c>
      <c r="J127" t="s">
        <v>3</v>
      </c>
      <c r="K127" t="s">
        <v>25</v>
      </c>
      <c r="L127" t="s">
        <v>3</v>
      </c>
    </row>
    <row r="128" spans="1:12" ht="22.5" customHeight="1">
      <c r="A128">
        <f>Table4[[#This Row],[Column1]]</f>
        <v>0</v>
      </c>
      <c r="B128">
        <f>Table4[[#This Row],[Column2]]</f>
        <v>0</v>
      </c>
      <c r="C128" t="s">
        <v>54</v>
      </c>
      <c r="D128" t="s">
        <v>56</v>
      </c>
      <c r="E128" t="s">
        <v>56</v>
      </c>
      <c r="F128" t="s">
        <v>4</v>
      </c>
      <c r="G128" t="s">
        <v>4</v>
      </c>
      <c r="H128" t="s">
        <v>777</v>
      </c>
      <c r="I128" t="s">
        <v>4</v>
      </c>
      <c r="J128" t="s">
        <v>3</v>
      </c>
      <c r="K128" t="s">
        <v>25</v>
      </c>
      <c r="L128" t="s">
        <v>3</v>
      </c>
    </row>
    <row r="129" spans="1:12" ht="22.5" customHeight="1">
      <c r="A129">
        <f>Table4[[#This Row],[Column1]]</f>
        <v>0</v>
      </c>
      <c r="B129">
        <f>Table4[[#This Row],[Column2]]</f>
        <v>0</v>
      </c>
      <c r="C129" t="s">
        <v>57</v>
      </c>
      <c r="D129" t="s">
        <v>25</v>
      </c>
      <c r="E129" t="s">
        <v>25</v>
      </c>
      <c r="F129" t="s">
        <v>4</v>
      </c>
      <c r="G129" t="s">
        <v>3</v>
      </c>
      <c r="H129" t="s">
        <v>4</v>
      </c>
      <c r="I129" t="s">
        <v>4</v>
      </c>
      <c r="J129" t="s">
        <v>4</v>
      </c>
      <c r="K129" t="s">
        <v>25</v>
      </c>
      <c r="L129" t="s">
        <v>3</v>
      </c>
    </row>
    <row r="130" spans="1:12" ht="22.5" customHeight="1">
      <c r="A130">
        <f>Table4[[#This Row],[Column1]]</f>
        <v>0</v>
      </c>
      <c r="B130">
        <f>Table4[[#This Row],[Column2]]</f>
        <v>0</v>
      </c>
      <c r="C130" t="s">
        <v>57</v>
      </c>
      <c r="D130" t="s">
        <v>56</v>
      </c>
      <c r="E130" t="s">
        <v>56</v>
      </c>
      <c r="F130" t="s">
        <v>3</v>
      </c>
      <c r="G130" t="s">
        <v>3</v>
      </c>
      <c r="H130" t="s">
        <v>3</v>
      </c>
      <c r="I130" t="s">
        <v>3</v>
      </c>
      <c r="J130" t="s">
        <v>4</v>
      </c>
      <c r="K130" t="s">
        <v>25</v>
      </c>
      <c r="L130" t="s">
        <v>3</v>
      </c>
    </row>
    <row r="131" spans="1:12" ht="22.5" customHeight="1">
      <c r="A131">
        <f>Table4[[#This Row],[Column1]]</f>
        <v>0</v>
      </c>
      <c r="B131">
        <f>Table4[[#This Row],[Column2]]</f>
        <v>0</v>
      </c>
      <c r="C131" t="s">
        <v>54</v>
      </c>
      <c r="D131" t="s">
        <v>25</v>
      </c>
      <c r="E131" t="s">
        <v>25</v>
      </c>
      <c r="F131" t="s">
        <v>4</v>
      </c>
      <c r="G131" t="s">
        <v>3</v>
      </c>
      <c r="H131" t="s">
        <v>4</v>
      </c>
      <c r="I131" t="s">
        <v>3</v>
      </c>
      <c r="J131" t="s">
        <v>3</v>
      </c>
      <c r="K131" t="s">
        <v>25</v>
      </c>
      <c r="L131" t="s">
        <v>3</v>
      </c>
    </row>
    <row r="132" spans="1:12" ht="22.5" customHeight="1">
      <c r="A132">
        <f>Table4[[#This Row],[Column1]]</f>
        <v>0</v>
      </c>
      <c r="B132">
        <f>Table4[[#This Row],[Column2]]</f>
        <v>0</v>
      </c>
      <c r="C132" t="s">
        <v>54</v>
      </c>
      <c r="D132" t="s">
        <v>56</v>
      </c>
      <c r="E132" t="s">
        <v>25</v>
      </c>
      <c r="F132" t="s">
        <v>3</v>
      </c>
      <c r="G132" t="s">
        <v>3</v>
      </c>
      <c r="H132" t="s">
        <v>3</v>
      </c>
      <c r="I132" t="s">
        <v>3</v>
      </c>
      <c r="J132" t="s">
        <v>3</v>
      </c>
      <c r="K132" t="s">
        <v>25</v>
      </c>
      <c r="L132" t="s">
        <v>3</v>
      </c>
    </row>
    <row r="133" spans="1:12" ht="22.5" customHeight="1">
      <c r="A133">
        <f>Table4[[#This Row],[Column1]]</f>
        <v>0</v>
      </c>
      <c r="B133">
        <f>Table4[[#This Row],[Column2]]</f>
        <v>0</v>
      </c>
      <c r="C133" t="s">
        <v>56</v>
      </c>
      <c r="D133" t="s">
        <v>55</v>
      </c>
      <c r="E133" t="s">
        <v>55</v>
      </c>
      <c r="F133" t="s">
        <v>4</v>
      </c>
      <c r="G133" t="s">
        <v>4</v>
      </c>
      <c r="H133" t="s">
        <v>777</v>
      </c>
      <c r="I133" t="s">
        <v>4</v>
      </c>
      <c r="J133" t="s">
        <v>3</v>
      </c>
      <c r="K133" t="s">
        <v>25</v>
      </c>
      <c r="L133" t="s">
        <v>3</v>
      </c>
    </row>
    <row r="134" spans="1:12" ht="22.5" customHeight="1">
      <c r="A134">
        <f>Table4[[#This Row],[Column1]]</f>
        <v>0</v>
      </c>
      <c r="B134">
        <f>Table4[[#This Row],[Column2]]</f>
        <v>0</v>
      </c>
      <c r="C134" t="s">
        <v>54</v>
      </c>
      <c r="D134" t="s">
        <v>56</v>
      </c>
      <c r="E134" t="s">
        <v>56</v>
      </c>
      <c r="F134" t="s">
        <v>4</v>
      </c>
      <c r="G134" t="s">
        <v>3</v>
      </c>
      <c r="H134" t="s">
        <v>4</v>
      </c>
      <c r="I134" t="s">
        <v>4</v>
      </c>
      <c r="J134" t="s">
        <v>3</v>
      </c>
      <c r="K134" t="s">
        <v>25</v>
      </c>
      <c r="L134" t="s">
        <v>3</v>
      </c>
    </row>
    <row r="135" spans="1:12" ht="22.5" customHeight="1">
      <c r="A135">
        <f>Table4[[#This Row],[Column1]]</f>
        <v>0</v>
      </c>
      <c r="B135">
        <f>Table4[[#This Row],[Column2]]</f>
        <v>0</v>
      </c>
      <c r="C135" t="s">
        <v>57</v>
      </c>
      <c r="D135" t="s">
        <v>55</v>
      </c>
      <c r="E135" t="s">
        <v>128</v>
      </c>
      <c r="F135" t="s">
        <v>4</v>
      </c>
      <c r="G135" t="s">
        <v>4</v>
      </c>
      <c r="H135" t="s">
        <v>777</v>
      </c>
      <c r="I135" t="s">
        <v>4</v>
      </c>
      <c r="J135" t="s">
        <v>3</v>
      </c>
      <c r="K135" t="s">
        <v>25</v>
      </c>
      <c r="L135" t="s">
        <v>3</v>
      </c>
    </row>
    <row r="136" spans="1:12" ht="22.5" customHeight="1">
      <c r="A136">
        <f>Table4[[#This Row],[Column1]]</f>
        <v>0</v>
      </c>
      <c r="B136">
        <f>Table4[[#This Row],[Column2]]</f>
        <v>0</v>
      </c>
      <c r="C136" t="s">
        <v>54</v>
      </c>
      <c r="D136" t="s">
        <v>56</v>
      </c>
      <c r="E136" t="s">
        <v>25</v>
      </c>
      <c r="F136" t="s">
        <v>4</v>
      </c>
      <c r="G136" t="s">
        <v>3</v>
      </c>
      <c r="H136" t="s">
        <v>4</v>
      </c>
      <c r="I136" t="s">
        <v>3</v>
      </c>
      <c r="J136" t="s">
        <v>3</v>
      </c>
      <c r="K136" t="s">
        <v>25</v>
      </c>
      <c r="L136" t="s">
        <v>3</v>
      </c>
    </row>
    <row r="137" spans="1:12" ht="22.5" customHeight="1">
      <c r="A137">
        <f>Table4[[#This Row],[Column1]]</f>
        <v>0</v>
      </c>
      <c r="B137">
        <f>Table4[[#This Row],[Column2]]</f>
        <v>0</v>
      </c>
      <c r="C137" t="s">
        <v>54</v>
      </c>
      <c r="D137" t="s">
        <v>56</v>
      </c>
      <c r="E137" t="s">
        <v>25</v>
      </c>
      <c r="F137" t="s">
        <v>4</v>
      </c>
      <c r="G137" t="s">
        <v>3</v>
      </c>
      <c r="H137" t="s">
        <v>4</v>
      </c>
      <c r="I137" t="s">
        <v>3</v>
      </c>
      <c r="J137" t="s">
        <v>3</v>
      </c>
      <c r="K137" t="s">
        <v>25</v>
      </c>
      <c r="L137" t="s">
        <v>3</v>
      </c>
    </row>
    <row r="138" spans="1:12" ht="22.5" customHeight="1">
      <c r="A138">
        <f>Table4[[#This Row],[Column1]]</f>
        <v>0</v>
      </c>
      <c r="B138">
        <f>Table4[[#This Row],[Column2]]</f>
        <v>0</v>
      </c>
      <c r="C138" t="s">
        <v>57</v>
      </c>
      <c r="D138" t="s">
        <v>56</v>
      </c>
      <c r="E138" t="s">
        <v>56</v>
      </c>
      <c r="F138" t="s">
        <v>4</v>
      </c>
      <c r="G138" t="s">
        <v>4</v>
      </c>
      <c r="H138" t="s">
        <v>777</v>
      </c>
      <c r="I138" t="s">
        <v>4</v>
      </c>
      <c r="J138" t="s">
        <v>3</v>
      </c>
      <c r="K138" t="s">
        <v>25</v>
      </c>
      <c r="L138" t="s">
        <v>3</v>
      </c>
    </row>
    <row r="139" spans="1:12" ht="22.5" customHeight="1">
      <c r="A139">
        <f>Table4[[#This Row],[Column1]]</f>
        <v>0</v>
      </c>
      <c r="B139">
        <f>Table4[[#This Row],[Column2]]</f>
        <v>0</v>
      </c>
      <c r="C139" t="s">
        <v>54</v>
      </c>
      <c r="D139" t="s">
        <v>56</v>
      </c>
      <c r="E139" t="s">
        <v>25</v>
      </c>
      <c r="F139" t="s">
        <v>3</v>
      </c>
      <c r="G139" t="s">
        <v>3</v>
      </c>
      <c r="H139" t="s">
        <v>4</v>
      </c>
      <c r="I139" t="s">
        <v>3</v>
      </c>
      <c r="J139" t="s">
        <v>3</v>
      </c>
      <c r="K139" t="s">
        <v>25</v>
      </c>
      <c r="L139" t="s">
        <v>3</v>
      </c>
    </row>
    <row r="140" spans="1:12" ht="22.5" customHeight="1">
      <c r="A140">
        <f>Table4[[#This Row],[Column1]]</f>
        <v>0</v>
      </c>
      <c r="B140">
        <f>Table4[[#This Row],[Column2]]</f>
        <v>0</v>
      </c>
      <c r="C140" t="s">
        <v>54</v>
      </c>
      <c r="D140" t="s">
        <v>56</v>
      </c>
      <c r="E140" t="s">
        <v>25</v>
      </c>
      <c r="F140" t="s">
        <v>3</v>
      </c>
      <c r="G140" t="s">
        <v>3</v>
      </c>
      <c r="H140" t="s">
        <v>3</v>
      </c>
      <c r="I140" t="s">
        <v>3</v>
      </c>
      <c r="J140" t="s">
        <v>3</v>
      </c>
      <c r="K140" t="s">
        <v>25</v>
      </c>
      <c r="L140" t="s">
        <v>3</v>
      </c>
    </row>
    <row r="141" spans="1:12" ht="22.5" customHeight="1">
      <c r="A141">
        <f>Table4[[#This Row],[Column1]]</f>
        <v>0</v>
      </c>
      <c r="B141">
        <f>Table4[[#This Row],[Column2]]</f>
        <v>0</v>
      </c>
      <c r="C141" t="s">
        <v>54</v>
      </c>
      <c r="D141" t="s">
        <v>56</v>
      </c>
      <c r="E141" t="s">
        <v>25</v>
      </c>
      <c r="F141" t="s">
        <v>4</v>
      </c>
      <c r="G141" t="s">
        <v>3</v>
      </c>
      <c r="H141" t="s">
        <v>4</v>
      </c>
      <c r="I141" t="s">
        <v>4</v>
      </c>
      <c r="J141" t="s">
        <v>3</v>
      </c>
      <c r="K141" t="s">
        <v>25</v>
      </c>
      <c r="L141" t="s">
        <v>3</v>
      </c>
    </row>
    <row r="142" spans="1:12" ht="22.5" customHeight="1">
      <c r="A142">
        <f>Table4[[#This Row],[Column1]]</f>
        <v>0</v>
      </c>
      <c r="B142">
        <f>Table4[[#This Row],[Column2]]</f>
        <v>0</v>
      </c>
      <c r="C142" t="s">
        <v>54</v>
      </c>
      <c r="D142" t="s">
        <v>56</v>
      </c>
      <c r="E142" t="s">
        <v>56</v>
      </c>
      <c r="F142" t="s">
        <v>4</v>
      </c>
      <c r="G142" t="s">
        <v>4</v>
      </c>
      <c r="H142" t="s">
        <v>777</v>
      </c>
      <c r="I142" t="s">
        <v>4</v>
      </c>
      <c r="J142" t="s">
        <v>4</v>
      </c>
      <c r="K142" t="s">
        <v>25</v>
      </c>
      <c r="L142" t="s">
        <v>3</v>
      </c>
    </row>
    <row r="143" spans="1:12" ht="22.5" customHeight="1">
      <c r="A143">
        <f>Table4[[#This Row],[Column1]]</f>
        <v>0</v>
      </c>
      <c r="B143">
        <f>Table4[[#This Row],[Column2]]</f>
        <v>0</v>
      </c>
      <c r="C143" t="s">
        <v>56</v>
      </c>
      <c r="D143" t="s">
        <v>55</v>
      </c>
      <c r="E143" t="s">
        <v>55</v>
      </c>
      <c r="F143" t="s">
        <v>4</v>
      </c>
      <c r="G143" t="s">
        <v>4</v>
      </c>
      <c r="H143" t="s">
        <v>777</v>
      </c>
      <c r="I143" t="s">
        <v>4</v>
      </c>
      <c r="J143" t="s">
        <v>3</v>
      </c>
      <c r="K143" t="s">
        <v>64</v>
      </c>
      <c r="L143" t="s">
        <v>3</v>
      </c>
    </row>
    <row r="144" spans="1:12" ht="22.5" customHeight="1">
      <c r="A144">
        <f>Table4[[#This Row],[Column1]]</f>
        <v>0</v>
      </c>
      <c r="B144">
        <f>Table4[[#This Row],[Column2]]</f>
        <v>0</v>
      </c>
      <c r="C144" t="s">
        <v>54</v>
      </c>
      <c r="D144" t="s">
        <v>56</v>
      </c>
      <c r="E144" t="s">
        <v>56</v>
      </c>
      <c r="F144" t="s">
        <v>4</v>
      </c>
      <c r="G144" t="s">
        <v>3</v>
      </c>
      <c r="H144" t="s">
        <v>3</v>
      </c>
      <c r="I144" t="s">
        <v>3</v>
      </c>
      <c r="J144" t="s">
        <v>3</v>
      </c>
      <c r="K144" t="s">
        <v>25</v>
      </c>
      <c r="L144" t="s">
        <v>624</v>
      </c>
    </row>
    <row r="145" spans="1:12" ht="22.5" customHeight="1">
      <c r="A145">
        <f>Table4[[#This Row],[Column1]]</f>
        <v>0</v>
      </c>
      <c r="B145">
        <f>Table4[[#This Row],[Column2]]</f>
        <v>0</v>
      </c>
      <c r="C145" t="s">
        <v>54</v>
      </c>
      <c r="D145" t="s">
        <v>55</v>
      </c>
      <c r="E145" t="s">
        <v>55</v>
      </c>
      <c r="F145" t="s">
        <v>4</v>
      </c>
      <c r="G145" t="s">
        <v>3</v>
      </c>
      <c r="H145" t="s">
        <v>4</v>
      </c>
      <c r="I145" t="s">
        <v>3</v>
      </c>
      <c r="J145" t="s">
        <v>3</v>
      </c>
      <c r="K145" t="s">
        <v>25</v>
      </c>
      <c r="L145" t="s">
        <v>3</v>
      </c>
    </row>
    <row r="146" spans="1:12" ht="22.5" customHeight="1">
      <c r="A146">
        <f>Table4[[#This Row],[Column1]]</f>
        <v>0</v>
      </c>
      <c r="B146">
        <f>Table4[[#This Row],[Column2]]</f>
        <v>0</v>
      </c>
      <c r="C146" t="s">
        <v>54</v>
      </c>
      <c r="D146" t="s">
        <v>56</v>
      </c>
      <c r="E146" t="s">
        <v>56</v>
      </c>
      <c r="F146" t="s">
        <v>4</v>
      </c>
      <c r="G146" t="s">
        <v>3</v>
      </c>
      <c r="H146" t="s">
        <v>3</v>
      </c>
      <c r="I146" t="s">
        <v>4</v>
      </c>
      <c r="J146" t="s">
        <v>4</v>
      </c>
      <c r="K146" t="s">
        <v>25</v>
      </c>
      <c r="L146" t="s">
        <v>3</v>
      </c>
    </row>
    <row r="147" spans="1:12" ht="22.5" customHeight="1">
      <c r="A147">
        <f>Table4[[#This Row],[Column1]]</f>
        <v>0</v>
      </c>
      <c r="B147">
        <f>Table4[[#This Row],[Column2]]</f>
        <v>0</v>
      </c>
      <c r="C147" t="s">
        <v>54</v>
      </c>
      <c r="D147" t="s">
        <v>779</v>
      </c>
      <c r="E147" t="s">
        <v>779</v>
      </c>
      <c r="F147" t="s">
        <v>3</v>
      </c>
      <c r="G147" t="s">
        <v>3</v>
      </c>
      <c r="H147" t="s">
        <v>4</v>
      </c>
      <c r="I147" t="s">
        <v>3</v>
      </c>
      <c r="J147" t="s">
        <v>4</v>
      </c>
      <c r="K147" t="s">
        <v>25</v>
      </c>
      <c r="L147" t="s">
        <v>3</v>
      </c>
    </row>
    <row r="148" spans="1:12" ht="22.5" customHeight="1">
      <c r="A148">
        <f>Table4[[#This Row],[Column1]]</f>
        <v>0</v>
      </c>
      <c r="B148">
        <f>Table4[[#This Row],[Column2]]</f>
        <v>0</v>
      </c>
      <c r="C148" t="s">
        <v>56</v>
      </c>
      <c r="D148" t="s">
        <v>56</v>
      </c>
      <c r="E148" t="s">
        <v>56</v>
      </c>
      <c r="F148" t="s">
        <v>4</v>
      </c>
      <c r="G148" t="s">
        <v>4</v>
      </c>
      <c r="H148" t="s">
        <v>777</v>
      </c>
      <c r="I148" t="s">
        <v>4</v>
      </c>
      <c r="J148" t="s">
        <v>3</v>
      </c>
      <c r="K148" t="s">
        <v>25</v>
      </c>
      <c r="L148" t="s">
        <v>3</v>
      </c>
    </row>
    <row r="149" spans="1:12" ht="22.5" customHeight="1">
      <c r="A149">
        <f>Table4[[#This Row],[Column1]]</f>
        <v>0</v>
      </c>
      <c r="B149">
        <f>Table4[[#This Row],[Column2]]</f>
        <v>0</v>
      </c>
      <c r="C149" t="s">
        <v>54</v>
      </c>
      <c r="D149" t="s">
        <v>56</v>
      </c>
      <c r="E149" t="s">
        <v>56</v>
      </c>
      <c r="F149" t="s">
        <v>4</v>
      </c>
      <c r="G149" t="s">
        <v>3</v>
      </c>
      <c r="H149" t="s">
        <v>3</v>
      </c>
      <c r="I149" t="s">
        <v>3</v>
      </c>
      <c r="J149" t="s">
        <v>3</v>
      </c>
      <c r="K149" t="s">
        <v>25</v>
      </c>
      <c r="L149" t="s">
        <v>3</v>
      </c>
    </row>
    <row r="150" spans="1:12" ht="22.5" customHeight="1">
      <c r="A150">
        <f>Table4[[#This Row],[Column1]]</f>
        <v>0</v>
      </c>
      <c r="B150">
        <f>Table4[[#This Row],[Column2]]</f>
        <v>0</v>
      </c>
      <c r="L150"/>
    </row>
    <row r="151" spans="1:12" ht="22.5" customHeight="1">
      <c r="A151">
        <f>Table4[[#This Row],[Column1]]</f>
        <v>0</v>
      </c>
      <c r="B151">
        <f>Table4[[#This Row],[Column2]]</f>
        <v>0</v>
      </c>
      <c r="C151" t="s">
        <v>779</v>
      </c>
      <c r="D151" t="s">
        <v>779</v>
      </c>
      <c r="E151" t="s">
        <v>779</v>
      </c>
      <c r="F151" t="s">
        <v>3</v>
      </c>
      <c r="G151" t="s">
        <v>3</v>
      </c>
      <c r="H151" t="s">
        <v>779</v>
      </c>
      <c r="I151" t="s">
        <v>3</v>
      </c>
      <c r="J151" t="s">
        <v>3</v>
      </c>
      <c r="K151" t="s">
        <v>25</v>
      </c>
      <c r="L151" t="s">
        <v>3</v>
      </c>
    </row>
    <row r="152" spans="1:12" ht="22.5" customHeight="1">
      <c r="A152">
        <f>Table4[[#This Row],[Column1]]</f>
        <v>0</v>
      </c>
      <c r="B152">
        <f>Table4[[#This Row],[Column2]]</f>
        <v>0</v>
      </c>
      <c r="C152" t="s">
        <v>779</v>
      </c>
      <c r="D152" t="s">
        <v>779</v>
      </c>
      <c r="E152" t="s">
        <v>779</v>
      </c>
      <c r="F152" t="s">
        <v>3</v>
      </c>
      <c r="G152" t="s">
        <v>3</v>
      </c>
      <c r="H152" t="s">
        <v>779</v>
      </c>
      <c r="I152" t="s">
        <v>3</v>
      </c>
      <c r="J152" t="s">
        <v>3</v>
      </c>
      <c r="K152" t="s">
        <v>25</v>
      </c>
      <c r="L152" t="s">
        <v>3</v>
      </c>
    </row>
    <row r="153" spans="1:12" ht="22.5" customHeight="1">
      <c r="A153">
        <f>Table4[[#This Row],[Column1]]</f>
        <v>0</v>
      </c>
      <c r="B153">
        <f>Table4[[#This Row],[Column2]]</f>
        <v>0</v>
      </c>
      <c r="C153" t="s">
        <v>57</v>
      </c>
      <c r="D153" t="s">
        <v>25</v>
      </c>
      <c r="E153" t="s">
        <v>25</v>
      </c>
      <c r="F153" t="s">
        <v>4</v>
      </c>
      <c r="G153" t="s">
        <v>4</v>
      </c>
      <c r="H153" t="s">
        <v>777</v>
      </c>
      <c r="I153" t="s">
        <v>4</v>
      </c>
      <c r="J153" t="s">
        <v>3</v>
      </c>
      <c r="K153" t="s">
        <v>25</v>
      </c>
      <c r="L153" t="s">
        <v>3</v>
      </c>
    </row>
    <row r="154" spans="1:12" ht="22.5" customHeight="1">
      <c r="A154">
        <f>Table4[[#This Row],[Column1]]</f>
        <v>0</v>
      </c>
      <c r="B154">
        <f>Table4[[#This Row],[Column2]]</f>
        <v>0</v>
      </c>
      <c r="C154" t="s">
        <v>54</v>
      </c>
      <c r="D154" t="s">
        <v>56</v>
      </c>
      <c r="E154" t="s">
        <v>25</v>
      </c>
      <c r="F154" t="s">
        <v>4</v>
      </c>
      <c r="G154" t="s">
        <v>3</v>
      </c>
      <c r="H154" t="s">
        <v>4</v>
      </c>
      <c r="I154" t="s">
        <v>4</v>
      </c>
      <c r="J154" t="s">
        <v>3</v>
      </c>
      <c r="K154" t="s">
        <v>25</v>
      </c>
      <c r="L154" t="s">
        <v>3</v>
      </c>
    </row>
    <row r="155" spans="1:12" ht="22.5" customHeight="1">
      <c r="A155">
        <f>Table4[[#This Row],[Column1]]</f>
        <v>0</v>
      </c>
      <c r="B155">
        <f>Table4[[#This Row],[Column2]]</f>
        <v>0</v>
      </c>
      <c r="C155" t="s">
        <v>54</v>
      </c>
      <c r="D155" t="s">
        <v>56</v>
      </c>
      <c r="E155" t="s">
        <v>56</v>
      </c>
      <c r="F155" t="s">
        <v>4</v>
      </c>
      <c r="G155" t="s">
        <v>3</v>
      </c>
      <c r="H155" t="s">
        <v>4</v>
      </c>
      <c r="I155" t="s">
        <v>3</v>
      </c>
      <c r="J155" t="s">
        <v>3</v>
      </c>
      <c r="K155" t="s">
        <v>25</v>
      </c>
      <c r="L155" t="s">
        <v>3</v>
      </c>
    </row>
    <row r="156" spans="1:12" ht="22.5" customHeight="1">
      <c r="A156">
        <f>Table4[[#This Row],[Column1]]</f>
        <v>0</v>
      </c>
      <c r="B156">
        <f>Table4[[#This Row],[Column2]]</f>
        <v>0</v>
      </c>
      <c r="C156" t="s">
        <v>54</v>
      </c>
      <c r="D156" t="s">
        <v>56</v>
      </c>
      <c r="E156" t="s">
        <v>25</v>
      </c>
      <c r="F156" t="s">
        <v>4</v>
      </c>
      <c r="G156" t="s">
        <v>3</v>
      </c>
      <c r="H156" t="s">
        <v>3</v>
      </c>
      <c r="I156" t="s">
        <v>3</v>
      </c>
      <c r="J156" t="s">
        <v>3</v>
      </c>
      <c r="K156" t="s">
        <v>25</v>
      </c>
      <c r="L156" t="s">
        <v>3</v>
      </c>
    </row>
    <row r="157" spans="1:12" ht="22.5" customHeight="1">
      <c r="A157">
        <f>Table4[[#This Row],[Column1]]</f>
        <v>0</v>
      </c>
      <c r="B157">
        <f>Table4[[#This Row],[Column2]]</f>
        <v>0</v>
      </c>
      <c r="C157" t="s">
        <v>779</v>
      </c>
      <c r="D157" t="s">
        <v>56</v>
      </c>
      <c r="E157" t="s">
        <v>779</v>
      </c>
      <c r="F157" t="s">
        <v>4</v>
      </c>
      <c r="G157" t="s">
        <v>4</v>
      </c>
      <c r="H157" t="s">
        <v>777</v>
      </c>
      <c r="I157" t="s">
        <v>4</v>
      </c>
      <c r="J157" t="s">
        <v>4</v>
      </c>
      <c r="K157" t="s">
        <v>64</v>
      </c>
      <c r="L157" t="s">
        <v>3</v>
      </c>
    </row>
    <row r="158" spans="1:12" ht="22.5" customHeight="1">
      <c r="A158">
        <f>Table4[[#This Row],[Column1]]</f>
        <v>0</v>
      </c>
      <c r="B158">
        <f>Table4[[#This Row],[Column2]]</f>
        <v>0</v>
      </c>
      <c r="C158" t="s">
        <v>54</v>
      </c>
      <c r="D158" t="s">
        <v>55</v>
      </c>
      <c r="E158" t="s">
        <v>55</v>
      </c>
      <c r="F158" t="s">
        <v>4</v>
      </c>
      <c r="G158" t="s">
        <v>3</v>
      </c>
      <c r="H158" t="s">
        <v>4</v>
      </c>
      <c r="I158" t="s">
        <v>4</v>
      </c>
      <c r="J158" t="s">
        <v>4</v>
      </c>
      <c r="K158" t="s">
        <v>25</v>
      </c>
      <c r="L158" t="s">
        <v>3</v>
      </c>
    </row>
    <row r="159" spans="1:12" ht="22.5" customHeight="1">
      <c r="A159">
        <f>Table4[[#This Row],[Column1]]</f>
        <v>0</v>
      </c>
      <c r="B159">
        <f>Table4[[#This Row],[Column2]]</f>
        <v>0</v>
      </c>
      <c r="C159" t="s">
        <v>54</v>
      </c>
      <c r="D159" t="s">
        <v>55</v>
      </c>
      <c r="E159" t="s">
        <v>25</v>
      </c>
      <c r="F159" t="s">
        <v>3</v>
      </c>
      <c r="G159" t="s">
        <v>3</v>
      </c>
      <c r="H159" t="s">
        <v>3</v>
      </c>
      <c r="I159" t="s">
        <v>3</v>
      </c>
      <c r="J159" t="s">
        <v>3</v>
      </c>
      <c r="K159" t="s">
        <v>25</v>
      </c>
      <c r="L159" t="s">
        <v>3</v>
      </c>
    </row>
    <row r="160" spans="1:12" ht="22.5" customHeight="1">
      <c r="A160">
        <f>Table4[[#This Row],[Column1]]</f>
        <v>0</v>
      </c>
      <c r="B160">
        <f>Table4[[#This Row],[Column2]]</f>
        <v>0</v>
      </c>
      <c r="C160" t="s">
        <v>54</v>
      </c>
      <c r="D160" t="s">
        <v>55</v>
      </c>
      <c r="E160" t="s">
        <v>55</v>
      </c>
      <c r="F160" t="s">
        <v>4</v>
      </c>
      <c r="G160" t="s">
        <v>3</v>
      </c>
      <c r="H160" t="s">
        <v>3</v>
      </c>
      <c r="I160" t="s">
        <v>3</v>
      </c>
      <c r="J160" t="s">
        <v>3</v>
      </c>
      <c r="K160" t="s">
        <v>25</v>
      </c>
      <c r="L160" t="s">
        <v>3</v>
      </c>
    </row>
    <row r="161" spans="1:12" ht="22.5" customHeight="1">
      <c r="A161">
        <f>Table4[[#This Row],[Column1]]</f>
        <v>0</v>
      </c>
      <c r="B161">
        <f>Table4[[#This Row],[Column2]]</f>
        <v>0</v>
      </c>
      <c r="C161" t="s">
        <v>54</v>
      </c>
      <c r="D161" t="s">
        <v>56</v>
      </c>
      <c r="E161" t="s">
        <v>56</v>
      </c>
      <c r="F161" t="s">
        <v>3</v>
      </c>
      <c r="G161" t="s">
        <v>3</v>
      </c>
      <c r="H161" t="s">
        <v>3</v>
      </c>
      <c r="I161" t="s">
        <v>3</v>
      </c>
      <c r="J161" t="s">
        <v>3</v>
      </c>
      <c r="K161" t="s">
        <v>25</v>
      </c>
      <c r="L161" t="s">
        <v>3</v>
      </c>
    </row>
    <row r="162" spans="1:12" ht="22.5" customHeight="1">
      <c r="A162">
        <f>Table4[[#This Row],[Column1]]</f>
        <v>0</v>
      </c>
      <c r="B162">
        <f>Table4[[#This Row],[Column2]]</f>
        <v>0</v>
      </c>
      <c r="C162" t="s">
        <v>57</v>
      </c>
      <c r="D162" t="s">
        <v>56</v>
      </c>
      <c r="E162" t="s">
        <v>56</v>
      </c>
      <c r="F162" t="s">
        <v>4</v>
      </c>
      <c r="G162" t="s">
        <v>4</v>
      </c>
      <c r="H162" t="s">
        <v>777</v>
      </c>
      <c r="I162" t="s">
        <v>4</v>
      </c>
      <c r="J162" t="s">
        <v>3</v>
      </c>
      <c r="K162" t="s">
        <v>25</v>
      </c>
      <c r="L162" t="s">
        <v>3</v>
      </c>
    </row>
    <row r="163" spans="1:12" ht="22.5" customHeight="1">
      <c r="A163">
        <f>Table4[[#This Row],[Column1]]</f>
        <v>0</v>
      </c>
      <c r="B163">
        <f>Table4[[#This Row],[Column2]]</f>
        <v>0</v>
      </c>
      <c r="C163" t="s">
        <v>54</v>
      </c>
      <c r="D163" t="s">
        <v>56</v>
      </c>
      <c r="E163" t="s">
        <v>25</v>
      </c>
      <c r="F163" t="s">
        <v>4</v>
      </c>
      <c r="G163" t="s">
        <v>3</v>
      </c>
      <c r="H163" t="s">
        <v>4</v>
      </c>
      <c r="I163" t="s">
        <v>3</v>
      </c>
      <c r="J163" t="s">
        <v>3</v>
      </c>
      <c r="K163" t="s">
        <v>25</v>
      </c>
      <c r="L163" t="s">
        <v>3</v>
      </c>
    </row>
    <row r="164" spans="1:12" ht="22.5" customHeight="1">
      <c r="A164">
        <f>Table4[[#This Row],[Column1]]</f>
        <v>0</v>
      </c>
      <c r="B164">
        <f>Table4[[#This Row],[Column2]]</f>
        <v>0</v>
      </c>
      <c r="C164" t="s">
        <v>55</v>
      </c>
      <c r="D164" t="s">
        <v>56</v>
      </c>
      <c r="E164" t="s">
        <v>56</v>
      </c>
      <c r="F164" t="s">
        <v>4</v>
      </c>
      <c r="G164" t="s">
        <v>781</v>
      </c>
      <c r="H164" t="s">
        <v>777</v>
      </c>
      <c r="I164" t="s">
        <v>781</v>
      </c>
      <c r="J164" t="s">
        <v>4</v>
      </c>
      <c r="K164" t="s">
        <v>25</v>
      </c>
      <c r="L164" t="s">
        <v>3</v>
      </c>
    </row>
    <row r="165" spans="1:12" ht="22.5" customHeight="1">
      <c r="A165">
        <f>Table4[[#This Row],[Column1]]</f>
        <v>0</v>
      </c>
      <c r="B165">
        <f>Table4[[#This Row],[Column2]]</f>
        <v>0</v>
      </c>
      <c r="C165" t="s">
        <v>55</v>
      </c>
      <c r="D165" t="s">
        <v>56</v>
      </c>
      <c r="E165" t="s">
        <v>56</v>
      </c>
      <c r="F165" t="s">
        <v>4</v>
      </c>
      <c r="G165" t="s">
        <v>781</v>
      </c>
      <c r="H165" t="s">
        <v>777</v>
      </c>
      <c r="I165" t="s">
        <v>781</v>
      </c>
      <c r="J165" t="s">
        <v>3</v>
      </c>
      <c r="K165" t="s">
        <v>25</v>
      </c>
      <c r="L165" t="s">
        <v>3</v>
      </c>
    </row>
    <row r="166" spans="1:12" ht="22.5" customHeight="1">
      <c r="A166">
        <f>Table4[[#This Row],[Column1]]</f>
        <v>0</v>
      </c>
      <c r="B166">
        <f>Table4[[#This Row],[Column2]]</f>
        <v>0</v>
      </c>
      <c r="C166" t="s">
        <v>780</v>
      </c>
      <c r="D166" t="s">
        <v>56</v>
      </c>
      <c r="E166" t="s">
        <v>25</v>
      </c>
      <c r="F166" t="s">
        <v>3</v>
      </c>
      <c r="G166" t="s">
        <v>3</v>
      </c>
      <c r="H166" t="s">
        <v>3</v>
      </c>
      <c r="I166" t="s">
        <v>3</v>
      </c>
      <c r="J166" t="s">
        <v>3</v>
      </c>
      <c r="K166" t="s">
        <v>25</v>
      </c>
      <c r="L166" t="s">
        <v>3</v>
      </c>
    </row>
    <row r="167" spans="1:12" ht="22.5" customHeight="1">
      <c r="A167">
        <f>Table4[[#This Row],[Column1]]</f>
        <v>0</v>
      </c>
      <c r="B167">
        <f>Table4[[#This Row],[Column2]]</f>
        <v>0</v>
      </c>
      <c r="C167" t="s">
        <v>54</v>
      </c>
      <c r="D167" t="s">
        <v>56</v>
      </c>
      <c r="E167" t="s">
        <v>56</v>
      </c>
      <c r="F167" t="s">
        <v>4</v>
      </c>
      <c r="G167" t="s">
        <v>3</v>
      </c>
      <c r="H167" t="s">
        <v>4</v>
      </c>
      <c r="I167" t="s">
        <v>3</v>
      </c>
      <c r="J167" t="s">
        <v>3</v>
      </c>
      <c r="K167" t="s">
        <v>25</v>
      </c>
      <c r="L167" t="s">
        <v>3</v>
      </c>
    </row>
    <row r="168" spans="1:12" ht="22.5" customHeight="1">
      <c r="A168">
        <f>Table4[[#This Row],[Column1]]</f>
        <v>0</v>
      </c>
      <c r="B168">
        <f>Table4[[#This Row],[Column2]]</f>
        <v>0</v>
      </c>
      <c r="C168" t="s">
        <v>54</v>
      </c>
      <c r="D168" t="s">
        <v>56</v>
      </c>
      <c r="E168" t="s">
        <v>25</v>
      </c>
      <c r="F168" t="s">
        <v>4</v>
      </c>
      <c r="G168" t="s">
        <v>3</v>
      </c>
      <c r="H168" t="s">
        <v>4</v>
      </c>
      <c r="I168" t="s">
        <v>3</v>
      </c>
      <c r="J168" t="s">
        <v>3</v>
      </c>
      <c r="K168" t="s">
        <v>25</v>
      </c>
      <c r="L168" t="s">
        <v>3</v>
      </c>
    </row>
    <row r="169" spans="1:12" ht="22.5" customHeight="1">
      <c r="A169">
        <f>Table4[[#This Row],[Column1]]</f>
        <v>0</v>
      </c>
      <c r="B169">
        <f>Table4[[#This Row],[Column2]]</f>
        <v>0</v>
      </c>
      <c r="C169" t="s">
        <v>56</v>
      </c>
      <c r="D169" t="s">
        <v>56</v>
      </c>
      <c r="E169" t="s">
        <v>56</v>
      </c>
      <c r="F169" t="s">
        <v>4</v>
      </c>
      <c r="G169" t="s">
        <v>781</v>
      </c>
      <c r="H169" t="s">
        <v>777</v>
      </c>
      <c r="I169" t="s">
        <v>781</v>
      </c>
      <c r="J169" t="s">
        <v>3</v>
      </c>
      <c r="K169" t="s">
        <v>140</v>
      </c>
      <c r="L169" t="s">
        <v>3</v>
      </c>
    </row>
    <row r="170" spans="1:12" ht="22.5" customHeight="1">
      <c r="A170">
        <f>Table4[[#This Row],[Column1]]</f>
        <v>0</v>
      </c>
      <c r="B170">
        <f>Table4[[#This Row],[Column2]]</f>
        <v>0</v>
      </c>
      <c r="C170" t="s">
        <v>780</v>
      </c>
      <c r="D170" t="s">
        <v>56</v>
      </c>
      <c r="E170" t="s">
        <v>25</v>
      </c>
      <c r="F170" t="s">
        <v>3</v>
      </c>
      <c r="G170" t="s">
        <v>3</v>
      </c>
      <c r="H170" t="s">
        <v>3</v>
      </c>
      <c r="I170" t="s">
        <v>4</v>
      </c>
      <c r="J170" t="s">
        <v>3</v>
      </c>
      <c r="K170" t="s">
        <v>25</v>
      </c>
      <c r="L170" t="s">
        <v>3</v>
      </c>
    </row>
    <row r="171" spans="1:12" ht="22.5" customHeight="1">
      <c r="A171">
        <f>Table4[[#This Row],[Column1]]</f>
        <v>0</v>
      </c>
      <c r="B171">
        <f>Table4[[#This Row],[Column2]]</f>
        <v>0</v>
      </c>
      <c r="L171"/>
    </row>
    <row r="172" spans="1:12" ht="22.5" customHeight="1">
      <c r="A172">
        <f>Table4[[#This Row],[Column1]]</f>
        <v>0</v>
      </c>
      <c r="B172">
        <f>Table4[[#This Row],[Column2]]</f>
        <v>0</v>
      </c>
      <c r="C172" t="s">
        <v>780</v>
      </c>
      <c r="D172" t="s">
        <v>56</v>
      </c>
      <c r="E172" t="s">
        <v>56</v>
      </c>
      <c r="F172" t="s">
        <v>4</v>
      </c>
      <c r="G172" t="s">
        <v>3</v>
      </c>
      <c r="H172" t="s">
        <v>4</v>
      </c>
      <c r="I172" t="s">
        <v>3</v>
      </c>
      <c r="J172" t="s">
        <v>3</v>
      </c>
      <c r="K172" t="s">
        <v>25</v>
      </c>
      <c r="L172" t="s">
        <v>3</v>
      </c>
    </row>
    <row r="173" spans="1:12" ht="22.5" customHeight="1">
      <c r="A173">
        <f>Table4[[#This Row],[Column1]]</f>
        <v>0</v>
      </c>
      <c r="B173">
        <f>Table4[[#This Row],[Column2]]</f>
        <v>0</v>
      </c>
      <c r="L173"/>
    </row>
    <row r="174" spans="1:12" ht="22.5" customHeight="1">
      <c r="A174">
        <f>Table4[[#This Row],[Column1]]</f>
        <v>0</v>
      </c>
      <c r="B174">
        <f>Table4[[#This Row],[Column2]]</f>
        <v>0</v>
      </c>
      <c r="L174"/>
    </row>
    <row r="175" spans="1:12" ht="22.5" customHeight="1">
      <c r="A175">
        <f>Table4[[#This Row],[Column1]]</f>
        <v>0</v>
      </c>
      <c r="B175">
        <f>Table4[[#This Row],[Column2]]</f>
        <v>0</v>
      </c>
      <c r="L175"/>
    </row>
    <row r="176" spans="1:12" ht="22.5" customHeight="1">
      <c r="A176">
        <f>Table4[[#This Row],[Column1]]</f>
        <v>0</v>
      </c>
      <c r="B176">
        <f>Table4[[#This Row],[Column2]]</f>
        <v>0</v>
      </c>
      <c r="L176"/>
    </row>
    <row r="177" spans="1:12" ht="22.5" customHeight="1">
      <c r="A177">
        <f>Table4[[#This Row],[Column1]]</f>
        <v>0</v>
      </c>
      <c r="B177">
        <f>Table4[[#This Row],[Column2]]</f>
        <v>0</v>
      </c>
      <c r="C177" t="s">
        <v>54</v>
      </c>
      <c r="D177" t="s">
        <v>55</v>
      </c>
      <c r="E177" t="s">
        <v>55</v>
      </c>
      <c r="F177" t="s">
        <v>4</v>
      </c>
      <c r="G177" t="s">
        <v>3</v>
      </c>
      <c r="H177" t="s">
        <v>4</v>
      </c>
      <c r="I177" t="s">
        <v>4</v>
      </c>
      <c r="J177" t="s">
        <v>4</v>
      </c>
      <c r="K177" t="s">
        <v>25</v>
      </c>
      <c r="L177" t="s">
        <v>3</v>
      </c>
    </row>
    <row r="178" spans="1:12" ht="22.5" customHeight="1">
      <c r="A178">
        <f>Table4[[#This Row],[Column1]]</f>
        <v>0</v>
      </c>
      <c r="B178">
        <f>Table4[[#This Row],[Column2]]</f>
        <v>0</v>
      </c>
      <c r="C178" t="s">
        <v>54</v>
      </c>
      <c r="D178" t="s">
        <v>55</v>
      </c>
      <c r="E178" t="s">
        <v>25</v>
      </c>
      <c r="F178" t="s">
        <v>4</v>
      </c>
      <c r="G178" t="s">
        <v>3</v>
      </c>
      <c r="H178" t="s">
        <v>4</v>
      </c>
      <c r="I178" t="s">
        <v>4</v>
      </c>
      <c r="J178" t="s">
        <v>4</v>
      </c>
      <c r="K178" t="s">
        <v>25</v>
      </c>
      <c r="L178" t="s">
        <v>3</v>
      </c>
    </row>
    <row r="179" spans="1:12" ht="22.5" customHeight="1">
      <c r="A179">
        <f>Table4[[#This Row],[Column1]]</f>
        <v>0</v>
      </c>
      <c r="B179">
        <f>Table4[[#This Row],[Column2]]</f>
        <v>0</v>
      </c>
      <c r="C179" t="s">
        <v>780</v>
      </c>
      <c r="D179" t="s">
        <v>56</v>
      </c>
      <c r="E179" t="s">
        <v>25</v>
      </c>
      <c r="F179" t="s">
        <v>3</v>
      </c>
      <c r="G179" t="s">
        <v>3</v>
      </c>
      <c r="H179" t="s">
        <v>3</v>
      </c>
      <c r="I179" t="s">
        <v>3</v>
      </c>
      <c r="J179" t="s">
        <v>3</v>
      </c>
      <c r="K179" t="s">
        <v>25</v>
      </c>
      <c r="L179" t="s">
        <v>3</v>
      </c>
    </row>
    <row r="180" spans="1:12" ht="22.5" customHeight="1">
      <c r="A180">
        <f>Table4[[#This Row],[Column1]]</f>
        <v>0</v>
      </c>
      <c r="B180">
        <f>Table4[[#This Row],[Column2]]</f>
        <v>0</v>
      </c>
      <c r="C180" t="s">
        <v>780</v>
      </c>
      <c r="D180" t="s">
        <v>56</v>
      </c>
      <c r="E180" t="s">
        <v>25</v>
      </c>
      <c r="F180" t="s">
        <v>4</v>
      </c>
      <c r="G180" t="s">
        <v>3</v>
      </c>
      <c r="H180" t="s">
        <v>4</v>
      </c>
      <c r="I180" t="s">
        <v>4</v>
      </c>
      <c r="J180" t="s">
        <v>3</v>
      </c>
      <c r="K180" t="s">
        <v>25</v>
      </c>
      <c r="L180" t="s">
        <v>3</v>
      </c>
    </row>
    <row r="181" spans="1:12" ht="22.5" customHeight="1">
      <c r="A181">
        <f>Table4[[#This Row],[Column1]]</f>
        <v>0</v>
      </c>
      <c r="B181">
        <f>Table4[[#This Row],[Column2]]</f>
        <v>0</v>
      </c>
      <c r="C181" t="s">
        <v>780</v>
      </c>
      <c r="D181" t="s">
        <v>56</v>
      </c>
      <c r="E181" t="s">
        <v>25</v>
      </c>
      <c r="F181" t="s">
        <v>4</v>
      </c>
      <c r="G181" t="s">
        <v>3</v>
      </c>
      <c r="H181" t="s">
        <v>4</v>
      </c>
      <c r="I181" t="s">
        <v>4</v>
      </c>
      <c r="J181" t="s">
        <v>3</v>
      </c>
      <c r="K181" t="s">
        <v>25</v>
      </c>
      <c r="L181" t="s">
        <v>3</v>
      </c>
    </row>
    <row r="182" spans="1:12" ht="22.5" customHeight="1">
      <c r="A182">
        <f>Table4[[#This Row],[Column1]]</f>
        <v>0</v>
      </c>
      <c r="B182">
        <f>Table4[[#This Row],[Column2]]</f>
        <v>0</v>
      </c>
      <c r="L182"/>
    </row>
    <row r="183" spans="1:12" ht="22.5" customHeight="1">
      <c r="A183">
        <f>Table4[[#This Row],[Column1]]</f>
        <v>0</v>
      </c>
      <c r="B183">
        <f>Table4[[#This Row],[Column2]]</f>
        <v>0</v>
      </c>
      <c r="C183" t="s">
        <v>780</v>
      </c>
      <c r="D183" t="s">
        <v>55</v>
      </c>
      <c r="E183" t="s">
        <v>25</v>
      </c>
      <c r="F183" t="s">
        <v>3</v>
      </c>
      <c r="G183" t="s">
        <v>3</v>
      </c>
      <c r="H183" t="s">
        <v>3</v>
      </c>
      <c r="I183" t="s">
        <v>3</v>
      </c>
      <c r="J183" t="s">
        <v>3</v>
      </c>
      <c r="K183" t="s">
        <v>25</v>
      </c>
      <c r="L183" t="s">
        <v>3</v>
      </c>
    </row>
    <row r="184" spans="1:12" ht="22.5" customHeight="1">
      <c r="A184">
        <f>Table4[[#This Row],[Column1]]</f>
        <v>0</v>
      </c>
      <c r="B184">
        <f>Table4[[#This Row],[Column2]]</f>
        <v>0</v>
      </c>
      <c r="C184" t="s">
        <v>54</v>
      </c>
      <c r="D184" t="s">
        <v>55</v>
      </c>
      <c r="E184" t="s">
        <v>25</v>
      </c>
      <c r="F184" t="s">
        <v>4</v>
      </c>
      <c r="G184" t="s">
        <v>3</v>
      </c>
      <c r="H184" t="s">
        <v>4</v>
      </c>
      <c r="I184" t="s">
        <v>4</v>
      </c>
      <c r="J184" t="s">
        <v>4</v>
      </c>
      <c r="K184" t="s">
        <v>25</v>
      </c>
      <c r="L184" t="s">
        <v>3</v>
      </c>
    </row>
    <row r="185" spans="1:12" ht="22.5" customHeight="1">
      <c r="A185">
        <f>Table4[[#This Row],[Column1]]</f>
        <v>0</v>
      </c>
      <c r="B185">
        <f>Table4[[#This Row],[Column2]]</f>
        <v>0</v>
      </c>
      <c r="C185" t="s">
        <v>780</v>
      </c>
      <c r="D185" t="s">
        <v>55</v>
      </c>
      <c r="E185" t="s">
        <v>25</v>
      </c>
      <c r="F185" t="s">
        <v>3</v>
      </c>
      <c r="G185" t="s">
        <v>3</v>
      </c>
      <c r="H185" t="s">
        <v>4</v>
      </c>
      <c r="I185" t="s">
        <v>3</v>
      </c>
      <c r="J185" t="s">
        <v>3</v>
      </c>
      <c r="K185" t="s">
        <v>25</v>
      </c>
      <c r="L185" t="s">
        <v>3</v>
      </c>
    </row>
    <row r="186" spans="1:12" ht="22.5" customHeight="1">
      <c r="A186">
        <f>Table4[[#This Row],[Column1]]</f>
        <v>0</v>
      </c>
      <c r="B186">
        <f>Table4[[#This Row],[Column2]]</f>
        <v>0</v>
      </c>
      <c r="L186"/>
    </row>
    <row r="187" spans="1:12" ht="22.5" customHeight="1">
      <c r="A187">
        <f>Table4[[#This Row],[Column1]]</f>
        <v>0</v>
      </c>
      <c r="B187">
        <f>Table4[[#This Row],[Column2]]</f>
        <v>0</v>
      </c>
      <c r="L187"/>
    </row>
    <row r="188" spans="1:12" ht="22.5" customHeight="1">
      <c r="A188">
        <f>Table4[[#This Row],[Column1]]</f>
        <v>0</v>
      </c>
      <c r="B188">
        <f>Table4[[#This Row],[Column2]]</f>
        <v>0</v>
      </c>
      <c r="L188"/>
    </row>
    <row r="189" spans="1:12" ht="22.5" customHeight="1">
      <c r="A189">
        <f>Table4[[#This Row],[Column1]]</f>
        <v>0</v>
      </c>
      <c r="B189">
        <f>Table4[[#This Row],[Column2]]</f>
        <v>0</v>
      </c>
      <c r="L189"/>
    </row>
    <row r="190" spans="1:12" ht="22.5" customHeight="1">
      <c r="A190">
        <f>Table4[[#This Row],[Column1]]</f>
        <v>0</v>
      </c>
      <c r="B190">
        <f>Table4[[#This Row],[Column2]]</f>
        <v>0</v>
      </c>
      <c r="L190"/>
    </row>
    <row r="191" spans="1:12" ht="22.5" customHeight="1">
      <c r="A191">
        <f>Table4[[#This Row],[Column1]]</f>
        <v>0</v>
      </c>
      <c r="B191">
        <f>Table4[[#This Row],[Column2]]</f>
        <v>0</v>
      </c>
      <c r="L191"/>
    </row>
    <row r="192" spans="1:12" ht="22.5" customHeight="1">
      <c r="A192">
        <f>Table4[[#This Row],[Column1]]</f>
        <v>0</v>
      </c>
      <c r="B192">
        <f>Table4[[#This Row],[Column2]]</f>
        <v>0</v>
      </c>
      <c r="L192"/>
    </row>
    <row r="193" spans="1:12" ht="22.5" customHeight="1">
      <c r="A193">
        <f>Table4[[#This Row],[Column1]]</f>
        <v>0</v>
      </c>
      <c r="B193">
        <f>Table4[[#This Row],[Column2]]</f>
        <v>0</v>
      </c>
      <c r="L193"/>
    </row>
    <row r="194" spans="1:12" ht="22.5" customHeight="1">
      <c r="A194">
        <f>Table4[[#This Row],[Column1]]</f>
        <v>0</v>
      </c>
      <c r="B194">
        <f>Table4[[#This Row],[Column2]]</f>
        <v>0</v>
      </c>
      <c r="L194"/>
    </row>
    <row r="195" spans="1:12" ht="22.5" customHeight="1">
      <c r="A195">
        <f>Table4[[#This Row],[Column1]]</f>
        <v>0</v>
      </c>
      <c r="B195">
        <f>Table4[[#This Row],[Column2]]</f>
        <v>0</v>
      </c>
      <c r="L195"/>
    </row>
    <row r="196" spans="1:12" ht="22.5" customHeight="1">
      <c r="A196">
        <f>Table4[[#This Row],[Column1]]</f>
        <v>0</v>
      </c>
      <c r="B196">
        <f>Table4[[#This Row],[Column2]]</f>
        <v>0</v>
      </c>
      <c r="L196"/>
    </row>
    <row r="197" spans="1:12" ht="22.5" customHeight="1">
      <c r="A197">
        <f>Table4[[#This Row],[Column1]]</f>
        <v>0</v>
      </c>
      <c r="B197">
        <f>Table4[[#This Row],[Column2]]</f>
        <v>0</v>
      </c>
      <c r="L197"/>
    </row>
    <row r="198" spans="1:12" ht="22.5" customHeight="1">
      <c r="A198">
        <f>Table4[[#This Row],[Column1]]</f>
        <v>0</v>
      </c>
      <c r="B198">
        <f>Table4[[#This Row],[Column2]]</f>
        <v>0</v>
      </c>
      <c r="L198"/>
    </row>
    <row r="199" spans="1:12" ht="22.5" customHeight="1">
      <c r="A199">
        <f>Table4[[#This Row],[Column1]]</f>
        <v>0</v>
      </c>
      <c r="B199">
        <f>Table4[[#This Row],[Column2]]</f>
        <v>0</v>
      </c>
      <c r="L199"/>
    </row>
    <row r="200" spans="1:12" ht="22.5" customHeight="1">
      <c r="A200">
        <f>Table4[[#This Row],[Column1]]</f>
        <v>0</v>
      </c>
      <c r="B200">
        <f>Table4[[#This Row],[Column2]]</f>
        <v>0</v>
      </c>
      <c r="L200"/>
    </row>
    <row r="201" spans="1:12" ht="22.5" customHeight="1">
      <c r="A201">
        <f>Table4[[#This Row],[Column1]]</f>
        <v>0</v>
      </c>
      <c r="B201">
        <f>Table4[[#This Row],[Column2]]</f>
        <v>0</v>
      </c>
      <c r="L201"/>
    </row>
    <row r="202" spans="1:12" ht="22.5" customHeight="1">
      <c r="A202">
        <f>Table4[[#This Row],[Column1]]</f>
        <v>0</v>
      </c>
      <c r="B202">
        <f>Table4[[#This Row],[Column2]]</f>
        <v>0</v>
      </c>
      <c r="L202"/>
    </row>
    <row r="203" spans="1:12" ht="22.5" customHeight="1">
      <c r="A203">
        <f>Table4[[#This Row],[Column1]]</f>
        <v>0</v>
      </c>
      <c r="B203">
        <f>Table4[[#This Row],[Column2]]</f>
        <v>0</v>
      </c>
      <c r="L203"/>
    </row>
    <row r="204" spans="1:12" ht="22.5" customHeight="1">
      <c r="A204">
        <f>Table4[[#This Row],[Column1]]</f>
        <v>0</v>
      </c>
      <c r="B204">
        <f>Table4[[#This Row],[Column2]]</f>
        <v>0</v>
      </c>
      <c r="L204"/>
    </row>
    <row r="205" spans="1:12" ht="22.5" customHeight="1">
      <c r="A205">
        <f>Table4[[#This Row],[Column1]]</f>
        <v>0</v>
      </c>
      <c r="B205">
        <f>Table4[[#This Row],[Column2]]</f>
        <v>0</v>
      </c>
      <c r="L205"/>
    </row>
    <row r="206" spans="1:12" ht="22.5" customHeight="1">
      <c r="A206">
        <f>Table4[[#This Row],[Column1]]</f>
        <v>0</v>
      </c>
      <c r="B206">
        <f>Table4[[#This Row],[Column2]]</f>
        <v>0</v>
      </c>
      <c r="L206"/>
    </row>
    <row r="207" spans="1:12" ht="22.5" customHeight="1">
      <c r="A207">
        <f>Table4[[#This Row],[Column1]]</f>
        <v>0</v>
      </c>
      <c r="B207">
        <f>Table4[[#This Row],[Column2]]</f>
        <v>0</v>
      </c>
      <c r="L207"/>
    </row>
    <row r="208" spans="1:12" ht="22.5" customHeight="1">
      <c r="A208">
        <f>Table4[[#This Row],[Column1]]</f>
        <v>0</v>
      </c>
      <c r="B208">
        <f>Table4[[#This Row],[Column2]]</f>
        <v>0</v>
      </c>
      <c r="L208"/>
    </row>
    <row r="209" spans="1:12" ht="22.5" customHeight="1">
      <c r="A209">
        <f>Table4[[#This Row],[Column1]]</f>
        <v>0</v>
      </c>
      <c r="B209">
        <f>Table4[[#This Row],[Column2]]</f>
        <v>0</v>
      </c>
      <c r="L209"/>
    </row>
    <row r="210" spans="1:12" ht="22.5" customHeight="1">
      <c r="A210">
        <f>Table4[[#This Row],[Column1]]</f>
        <v>0</v>
      </c>
      <c r="B210">
        <f>Table4[[#This Row],[Column2]]</f>
        <v>0</v>
      </c>
      <c r="L210"/>
    </row>
    <row r="211" spans="1:12" ht="22.5" customHeight="1">
      <c r="A211">
        <f>Table4[[#This Row],[Column1]]</f>
        <v>0</v>
      </c>
      <c r="B211">
        <f>Table4[[#This Row],[Column2]]</f>
        <v>0</v>
      </c>
      <c r="L211"/>
    </row>
    <row r="212" spans="1:12" ht="22.5" customHeight="1">
      <c r="A212">
        <f>Table4[[#This Row],[Column1]]</f>
        <v>0</v>
      </c>
      <c r="B212">
        <f>Table4[[#This Row],[Column2]]</f>
        <v>0</v>
      </c>
      <c r="L212"/>
    </row>
    <row r="213" spans="1:12" ht="22.5" customHeight="1">
      <c r="A213">
        <f>Table4[[#This Row],[Column1]]</f>
        <v>0</v>
      </c>
      <c r="B213">
        <f>Table4[[#This Row],[Column2]]</f>
        <v>0</v>
      </c>
      <c r="L213"/>
    </row>
    <row r="214" spans="1:12" ht="22.5" customHeight="1">
      <c r="A214">
        <f>Table4[[#This Row],[Column1]]</f>
        <v>0</v>
      </c>
      <c r="B214">
        <f>Table4[[#This Row],[Column2]]</f>
        <v>0</v>
      </c>
      <c r="L214"/>
    </row>
    <row r="215" spans="1:12" ht="22.5" customHeight="1">
      <c r="A215">
        <f>Table4[[#This Row],[Column1]]</f>
        <v>0</v>
      </c>
      <c r="B215">
        <f>Table4[[#This Row],[Column2]]</f>
        <v>0</v>
      </c>
      <c r="L215"/>
    </row>
    <row r="216" spans="1:12" ht="22.5" customHeight="1">
      <c r="A216">
        <f>Table4[[#This Row],[Column1]]</f>
        <v>0</v>
      </c>
      <c r="B216">
        <f>Table4[[#This Row],[Column2]]</f>
        <v>0</v>
      </c>
      <c r="L216"/>
    </row>
    <row r="217" spans="1:12" ht="22.5" customHeight="1">
      <c r="A217">
        <f>Table4[[#This Row],[Column1]]</f>
        <v>0</v>
      </c>
      <c r="B217">
        <f>Table4[[#This Row],[Column2]]</f>
        <v>0</v>
      </c>
      <c r="L217"/>
    </row>
    <row r="218" spans="1:12" ht="22.5" customHeight="1">
      <c r="A218">
        <f>Table4[[#This Row],[Column1]]</f>
        <v>0</v>
      </c>
      <c r="B218">
        <f>Table4[[#This Row],[Column2]]</f>
        <v>0</v>
      </c>
      <c r="L218"/>
    </row>
    <row r="219" spans="1:12" ht="22.5" customHeight="1">
      <c r="A219">
        <f>Table4[[#This Row],[Column1]]</f>
        <v>0</v>
      </c>
      <c r="B219">
        <f>Table4[[#This Row],[Column2]]</f>
        <v>0</v>
      </c>
      <c r="L219"/>
    </row>
    <row r="220" spans="1:12" ht="22.5" customHeight="1">
      <c r="A220">
        <f>Table4[[#This Row],[Column1]]</f>
        <v>0</v>
      </c>
      <c r="B220">
        <f>Table4[[#This Row],[Column2]]</f>
        <v>0</v>
      </c>
      <c r="L220"/>
    </row>
    <row r="221" spans="1:12" ht="22.5" customHeight="1">
      <c r="A221">
        <f>Table4[[#This Row],[Column1]]</f>
        <v>0</v>
      </c>
      <c r="B221">
        <f>Table4[[#This Row],[Column2]]</f>
        <v>0</v>
      </c>
      <c r="L221"/>
    </row>
    <row r="222" spans="1:12" ht="22.5" customHeight="1">
      <c r="A222">
        <f>Table4[[#This Row],[Column1]]</f>
        <v>0</v>
      </c>
      <c r="B222">
        <f>Table4[[#This Row],[Column2]]</f>
        <v>0</v>
      </c>
      <c r="L222"/>
    </row>
    <row r="223" spans="1:12" ht="22.5" customHeight="1">
      <c r="A223">
        <f>Table4[[#This Row],[Column1]]</f>
        <v>0</v>
      </c>
      <c r="B223">
        <f>Table4[[#This Row],[Column2]]</f>
        <v>0</v>
      </c>
      <c r="L223"/>
    </row>
    <row r="224" spans="1:12" ht="22.5" customHeight="1">
      <c r="A224">
        <f>Table4[[#This Row],[Column1]]</f>
        <v>0</v>
      </c>
      <c r="B224">
        <f>Table4[[#This Row],[Column2]]</f>
        <v>0</v>
      </c>
      <c r="L224"/>
    </row>
    <row r="225" spans="1:12" ht="22.5" customHeight="1">
      <c r="A225">
        <f>Table4[[#This Row],[Column1]]</f>
        <v>0</v>
      </c>
      <c r="B225">
        <f>Table4[[#This Row],[Column2]]</f>
        <v>0</v>
      </c>
      <c r="L225"/>
    </row>
    <row r="226" spans="1:12" ht="22.5" customHeight="1">
      <c r="A226">
        <f>Table4[[#This Row],[Column1]]</f>
        <v>0</v>
      </c>
      <c r="B226">
        <f>Table4[[#This Row],[Column2]]</f>
        <v>0</v>
      </c>
      <c r="L226"/>
    </row>
    <row r="227" spans="1:12" ht="22.5" customHeight="1">
      <c r="A227">
        <f>Table4[[#This Row],[Column1]]</f>
        <v>0</v>
      </c>
      <c r="B227">
        <f>Table4[[#This Row],[Column2]]</f>
        <v>0</v>
      </c>
      <c r="L227"/>
    </row>
    <row r="228" spans="1:12" ht="22.5" customHeight="1">
      <c r="A228">
        <f>Table4[[#This Row],[Column1]]</f>
        <v>0</v>
      </c>
      <c r="B228">
        <f>Table4[[#This Row],[Column2]]</f>
        <v>0</v>
      </c>
      <c r="L228"/>
    </row>
    <row r="229" spans="1:12" ht="22.5" customHeight="1">
      <c r="A229">
        <f>Table4[[#This Row],[Column1]]</f>
        <v>0</v>
      </c>
      <c r="B229">
        <f>Table4[[#This Row],[Column2]]</f>
        <v>0</v>
      </c>
      <c r="L229"/>
    </row>
    <row r="230" spans="1:12" ht="22.5" customHeight="1">
      <c r="A230">
        <f>Table4[[#This Row],[Column1]]</f>
        <v>0</v>
      </c>
      <c r="B230">
        <f>Table4[[#This Row],[Column2]]</f>
        <v>0</v>
      </c>
      <c r="L230"/>
    </row>
    <row r="231" spans="1:12" ht="22.5" customHeight="1">
      <c r="A231">
        <f>Table4[[#This Row],[Column1]]</f>
        <v>0</v>
      </c>
      <c r="B231">
        <f>Table4[[#This Row],[Column2]]</f>
        <v>0</v>
      </c>
      <c r="L231"/>
    </row>
    <row r="232" spans="1:12" ht="22.5" customHeight="1">
      <c r="A232">
        <f>Table4[[#This Row],[Column1]]</f>
        <v>0</v>
      </c>
      <c r="B232">
        <f>Table4[[#This Row],[Column2]]</f>
        <v>0</v>
      </c>
      <c r="L232"/>
    </row>
    <row r="233" spans="1:12" ht="22.5" customHeight="1">
      <c r="A233">
        <f>Table4[[#This Row],[Column1]]</f>
        <v>0</v>
      </c>
      <c r="B233">
        <f>Table4[[#This Row],[Column2]]</f>
        <v>0</v>
      </c>
      <c r="L233"/>
    </row>
    <row r="234" spans="1:12" ht="22.5" customHeight="1">
      <c r="A234">
        <f>Table4[[#This Row],[Column1]]</f>
        <v>0</v>
      </c>
      <c r="B234">
        <f>Table4[[#This Row],[Column2]]</f>
        <v>0</v>
      </c>
      <c r="L234"/>
    </row>
    <row r="235" spans="1:12" ht="22.5" customHeight="1">
      <c r="A235">
        <f>Table4[[#This Row],[Column1]]</f>
        <v>0</v>
      </c>
      <c r="B235">
        <f>Table4[[#This Row],[Column2]]</f>
        <v>0</v>
      </c>
      <c r="L235"/>
    </row>
    <row r="236" spans="1:12" ht="22.5" customHeight="1">
      <c r="A236">
        <f>Table4[[#This Row],[Column1]]</f>
        <v>0</v>
      </c>
      <c r="B236">
        <f>Table4[[#This Row],[Column2]]</f>
        <v>0</v>
      </c>
      <c r="L236"/>
    </row>
    <row r="237" spans="1:12" ht="22.5" customHeight="1">
      <c r="A237">
        <f>Table4[[#This Row],[Column1]]</f>
        <v>0</v>
      </c>
      <c r="B237">
        <f>Table4[[#This Row],[Column2]]</f>
        <v>0</v>
      </c>
      <c r="L237"/>
    </row>
    <row r="238" spans="1:12" ht="22.5" customHeight="1">
      <c r="A238">
        <f>Table4[[#This Row],[Column1]]</f>
        <v>0</v>
      </c>
      <c r="B238">
        <f>Table4[[#This Row],[Column2]]</f>
        <v>0</v>
      </c>
      <c r="L238"/>
    </row>
    <row r="239" spans="1:12" ht="22.5" customHeight="1">
      <c r="A239">
        <f>Table4[[#This Row],[Column1]]</f>
        <v>0</v>
      </c>
      <c r="B239">
        <f>Table4[[#This Row],[Column2]]</f>
        <v>0</v>
      </c>
      <c r="L239"/>
    </row>
    <row r="240" spans="1:12" ht="22.5" customHeight="1">
      <c r="A240">
        <f>Table4[[#This Row],[Column1]]</f>
        <v>0</v>
      </c>
      <c r="B240">
        <f>Table4[[#This Row],[Column2]]</f>
        <v>0</v>
      </c>
      <c r="L240"/>
    </row>
    <row r="241" spans="1:12" ht="22.5" customHeight="1">
      <c r="A241">
        <f>Table4[[#This Row],[Column1]]</f>
        <v>0</v>
      </c>
      <c r="B241">
        <f>Table4[[#This Row],[Column2]]</f>
        <v>0</v>
      </c>
      <c r="L241"/>
    </row>
    <row r="242" spans="1:12" ht="22.5" customHeight="1">
      <c r="A242">
        <f>Table4[[#This Row],[Column1]]</f>
        <v>0</v>
      </c>
      <c r="B242">
        <f>Table4[[#This Row],[Column2]]</f>
        <v>0</v>
      </c>
      <c r="L242"/>
    </row>
    <row r="243" spans="1:12" ht="22.5" customHeight="1">
      <c r="A243">
        <f>Table4[[#This Row],[Column1]]</f>
        <v>0</v>
      </c>
      <c r="B243">
        <f>Table4[[#This Row],[Column2]]</f>
        <v>0</v>
      </c>
      <c r="L243"/>
    </row>
    <row r="244" spans="1:12" ht="22.5" customHeight="1">
      <c r="A244">
        <f>Table4[[#This Row],[Column1]]</f>
        <v>0</v>
      </c>
      <c r="B244">
        <f>Table4[[#This Row],[Column2]]</f>
        <v>0</v>
      </c>
      <c r="L244"/>
    </row>
    <row r="245" spans="1:12" ht="22.5" customHeight="1">
      <c r="A245">
        <f>Table4[[#This Row],[Column1]]</f>
        <v>0</v>
      </c>
      <c r="B245">
        <f>Table4[[#This Row],[Column2]]</f>
        <v>0</v>
      </c>
      <c r="L245"/>
    </row>
    <row r="246" spans="1:12" ht="22.5" customHeight="1">
      <c r="A246">
        <f>Table4[[#This Row],[Column1]]</f>
        <v>0</v>
      </c>
      <c r="B246">
        <f>Table4[[#This Row],[Column2]]</f>
        <v>0</v>
      </c>
      <c r="L246"/>
    </row>
    <row r="247" spans="1:12" ht="22.5" customHeight="1">
      <c r="A247">
        <f>Table4[[#This Row],[Column1]]</f>
        <v>0</v>
      </c>
      <c r="B247">
        <f>Table4[[#This Row],[Column2]]</f>
        <v>0</v>
      </c>
      <c r="L247"/>
    </row>
    <row r="248" spans="1:12" ht="22.5" customHeight="1">
      <c r="A248">
        <f>Table4[[#This Row],[Column1]]</f>
        <v>0</v>
      </c>
      <c r="B248">
        <f>Table4[[#This Row],[Column2]]</f>
        <v>0</v>
      </c>
      <c r="L248"/>
    </row>
    <row r="249" spans="1:12" ht="22.5" customHeight="1">
      <c r="A249">
        <f>Table4[[#This Row],[Column1]]</f>
        <v>0</v>
      </c>
      <c r="B249">
        <f>Table4[[#This Row],[Column2]]</f>
        <v>0</v>
      </c>
      <c r="L249"/>
    </row>
    <row r="250" spans="1:12" ht="22.5" customHeight="1">
      <c r="A250">
        <f>Table4[[#This Row],[Column1]]</f>
        <v>0</v>
      </c>
      <c r="B250">
        <f>Table4[[#This Row],[Column2]]</f>
        <v>0</v>
      </c>
      <c r="L250"/>
    </row>
    <row r="251" spans="1:12" ht="22.5" customHeight="1">
      <c r="A251">
        <f>Table4[[#This Row],[Column1]]</f>
        <v>0</v>
      </c>
      <c r="B251">
        <f>Table4[[#This Row],[Column2]]</f>
        <v>0</v>
      </c>
      <c r="L251"/>
    </row>
    <row r="252" spans="1:12" ht="22.5" customHeight="1">
      <c r="A252">
        <f>Table4[[#This Row],[Column1]]</f>
        <v>0</v>
      </c>
      <c r="B252">
        <f>Table4[[#This Row],[Column2]]</f>
        <v>0</v>
      </c>
      <c r="L252"/>
    </row>
    <row r="253" spans="1:12" ht="22.5" customHeight="1">
      <c r="A253">
        <f>Table4[[#This Row],[Column1]]</f>
        <v>0</v>
      </c>
      <c r="B253">
        <f>Table4[[#This Row],[Column2]]</f>
        <v>0</v>
      </c>
      <c r="L253"/>
    </row>
    <row r="254" spans="1:12" ht="22.5" customHeight="1">
      <c r="A254">
        <f>Table4[[#This Row],[Column1]]</f>
        <v>0</v>
      </c>
      <c r="B254">
        <f>Table4[[#This Row],[Column2]]</f>
        <v>0</v>
      </c>
      <c r="L254"/>
    </row>
    <row r="255" spans="1:12" ht="22.5" customHeight="1">
      <c r="A255">
        <f>Table4[[#This Row],[Column1]]</f>
        <v>0</v>
      </c>
      <c r="B255">
        <f>Table4[[#This Row],[Column2]]</f>
        <v>0</v>
      </c>
      <c r="L255"/>
    </row>
    <row r="256" spans="1:12" ht="22.5" customHeight="1">
      <c r="A256">
        <f>Table4[[#This Row],[Column1]]</f>
        <v>0</v>
      </c>
      <c r="B256">
        <f>Table4[[#This Row],[Column2]]</f>
        <v>0</v>
      </c>
      <c r="L256"/>
    </row>
    <row r="257" spans="1:12" ht="22.5" customHeight="1">
      <c r="A257">
        <f>Table4[[#This Row],[Column1]]</f>
        <v>0</v>
      </c>
      <c r="B257">
        <f>Table4[[#This Row],[Column2]]</f>
        <v>0</v>
      </c>
      <c r="L257"/>
    </row>
    <row r="258" spans="1:12" ht="22.5" customHeight="1">
      <c r="A258">
        <f>Table4[[#This Row],[Column1]]</f>
        <v>0</v>
      </c>
      <c r="B258">
        <f>Table4[[#This Row],[Column2]]</f>
        <v>0</v>
      </c>
      <c r="L258"/>
    </row>
    <row r="259" spans="1:12" ht="22.5" customHeight="1">
      <c r="A259">
        <f>Table4[[#This Row],[Column1]]</f>
        <v>0</v>
      </c>
      <c r="B259">
        <f>Table4[[#This Row],[Column2]]</f>
        <v>0</v>
      </c>
      <c r="L259"/>
    </row>
    <row r="260" spans="1:12" ht="22.5" customHeight="1">
      <c r="A260">
        <f>Table4[[#This Row],[Column1]]</f>
        <v>0</v>
      </c>
      <c r="B260">
        <f>Table4[[#This Row],[Column2]]</f>
        <v>0</v>
      </c>
      <c r="L260"/>
    </row>
    <row r="261" spans="1:12" ht="22.5" customHeight="1">
      <c r="A261">
        <f>Table4[[#This Row],[Column1]]</f>
        <v>0</v>
      </c>
      <c r="B261">
        <f>Table4[[#This Row],[Column2]]</f>
        <v>0</v>
      </c>
      <c r="L261"/>
    </row>
    <row r="262" spans="1:12" ht="22.5" customHeight="1">
      <c r="A262">
        <f>Table4[[#This Row],[Column1]]</f>
        <v>0</v>
      </c>
      <c r="B262">
        <f>Table4[[#This Row],[Column2]]</f>
        <v>0</v>
      </c>
      <c r="L262"/>
    </row>
    <row r="263" spans="1:12" ht="22.5" customHeight="1">
      <c r="A263">
        <f>Table4[[#This Row],[Column1]]</f>
        <v>0</v>
      </c>
      <c r="B263">
        <f>Table4[[#This Row],[Column2]]</f>
        <v>0</v>
      </c>
      <c r="L263"/>
    </row>
    <row r="264" spans="1:12" ht="22.5" customHeight="1">
      <c r="A264">
        <f>Table4[[#This Row],[Column1]]</f>
        <v>0</v>
      </c>
      <c r="B264">
        <f>Table4[[#This Row],[Column2]]</f>
        <v>0</v>
      </c>
      <c r="L264"/>
    </row>
    <row r="265" spans="1:12" ht="22.5" customHeight="1">
      <c r="A265">
        <f>Table4[[#This Row],[Column1]]</f>
        <v>0</v>
      </c>
      <c r="B265">
        <f>Table4[[#This Row],[Column2]]</f>
        <v>0</v>
      </c>
      <c r="L265"/>
    </row>
    <row r="266" spans="1:12" ht="22.5" customHeight="1">
      <c r="A266">
        <f>Table4[[#This Row],[Column1]]</f>
        <v>0</v>
      </c>
      <c r="B266">
        <f>Table4[[#This Row],[Column2]]</f>
        <v>0</v>
      </c>
      <c r="L266"/>
    </row>
    <row r="267" spans="1:12" ht="22.5" customHeight="1">
      <c r="A267">
        <f>Table4[[#This Row],[Column1]]</f>
        <v>0</v>
      </c>
      <c r="B267">
        <f>Table4[[#This Row],[Column2]]</f>
        <v>0</v>
      </c>
      <c r="L267"/>
    </row>
    <row r="268" spans="1:12" ht="22.5" customHeight="1">
      <c r="A268">
        <f>Table4[[#This Row],[Column1]]</f>
        <v>0</v>
      </c>
      <c r="B268">
        <f>Table4[[#This Row],[Column2]]</f>
        <v>0</v>
      </c>
      <c r="L268"/>
    </row>
    <row r="269" spans="1:12" ht="22.5" customHeight="1">
      <c r="A269">
        <f>Table4[[#This Row],[Column1]]</f>
        <v>0</v>
      </c>
      <c r="B269">
        <f>Table4[[#This Row],[Column2]]</f>
        <v>0</v>
      </c>
      <c r="L269"/>
    </row>
    <row r="270" spans="1:12" ht="22.5" customHeight="1">
      <c r="A270">
        <f>Table4[[#This Row],[Column1]]</f>
        <v>0</v>
      </c>
      <c r="B270">
        <f>Table4[[#This Row],[Column2]]</f>
        <v>0</v>
      </c>
      <c r="L270"/>
    </row>
    <row r="271" spans="1:12" ht="22.5" customHeight="1">
      <c r="A271">
        <f>Table4[[#This Row],[Column1]]</f>
        <v>0</v>
      </c>
      <c r="B271">
        <f>Table4[[#This Row],[Column2]]</f>
        <v>0</v>
      </c>
      <c r="L271"/>
    </row>
    <row r="272" spans="1:12" ht="22.5" customHeight="1">
      <c r="A272">
        <f>Table4[[#This Row],[Column1]]</f>
        <v>0</v>
      </c>
      <c r="B272">
        <f>Table4[[#This Row],[Column2]]</f>
        <v>0</v>
      </c>
      <c r="L272"/>
    </row>
    <row r="273" spans="1:12" ht="22.5" customHeight="1">
      <c r="A273">
        <f>Table4[[#This Row],[Column1]]</f>
        <v>0</v>
      </c>
      <c r="B273">
        <f>Table4[[#This Row],[Column2]]</f>
        <v>0</v>
      </c>
      <c r="L273"/>
    </row>
    <row r="274" spans="1:12" ht="22.5" customHeight="1">
      <c r="A274">
        <f>Table4[[#This Row],[Column1]]</f>
        <v>0</v>
      </c>
      <c r="B274">
        <f>Table4[[#This Row],[Column2]]</f>
        <v>0</v>
      </c>
      <c r="L274"/>
    </row>
    <row r="275" spans="1:12" ht="22.5" customHeight="1">
      <c r="A275">
        <f>Table4[[#This Row],[Column1]]</f>
        <v>0</v>
      </c>
      <c r="B275">
        <f>Table4[[#This Row],[Column2]]</f>
        <v>0</v>
      </c>
      <c r="L275"/>
    </row>
    <row r="276" spans="1:12" ht="22.5" customHeight="1">
      <c r="A276">
        <f>Table4[[#This Row],[Column1]]</f>
        <v>0</v>
      </c>
      <c r="B276">
        <f>Table4[[#This Row],[Column2]]</f>
        <v>0</v>
      </c>
      <c r="L276"/>
    </row>
    <row r="277" spans="1:12" ht="22.5" customHeight="1">
      <c r="A277">
        <f>Table4[[#This Row],[Column1]]</f>
        <v>0</v>
      </c>
      <c r="B277">
        <f>Table4[[#This Row],[Column2]]</f>
        <v>0</v>
      </c>
      <c r="L277"/>
    </row>
    <row r="278" spans="1:12" ht="22.5" customHeight="1">
      <c r="A278">
        <f>Table4[[#This Row],[Column1]]</f>
        <v>0</v>
      </c>
      <c r="B278">
        <f>Table4[[#This Row],[Column2]]</f>
        <v>0</v>
      </c>
      <c r="L278"/>
    </row>
    <row r="279" spans="1:12" ht="22.5" customHeight="1">
      <c r="A279">
        <f>Table4[[#This Row],[Column1]]</f>
        <v>0</v>
      </c>
      <c r="B279">
        <f>Table4[[#This Row],[Column2]]</f>
        <v>0</v>
      </c>
      <c r="L279"/>
    </row>
    <row r="280" spans="1:12" ht="22.5" customHeight="1">
      <c r="A280">
        <f>Table4[[#This Row],[Column1]]</f>
        <v>0</v>
      </c>
      <c r="B280">
        <f>Table4[[#This Row],[Column2]]</f>
        <v>0</v>
      </c>
      <c r="L280"/>
    </row>
    <row r="281" spans="1:12" ht="22.5" customHeight="1">
      <c r="A281">
        <f>Table4[[#This Row],[Column1]]</f>
        <v>0</v>
      </c>
      <c r="B281">
        <f>Table4[[#This Row],[Column2]]</f>
        <v>0</v>
      </c>
      <c r="L281"/>
    </row>
    <row r="282" spans="1:12" ht="22.5" customHeight="1">
      <c r="A282">
        <f>Table4[[#This Row],[Column1]]</f>
        <v>0</v>
      </c>
      <c r="B282">
        <f>Table4[[#This Row],[Column2]]</f>
        <v>0</v>
      </c>
      <c r="L282"/>
    </row>
    <row r="283" spans="1:12" ht="22.5" customHeight="1">
      <c r="A283">
        <f>Table4[[#This Row],[Column1]]</f>
        <v>0</v>
      </c>
      <c r="B283">
        <f>Table4[[#This Row],[Column2]]</f>
        <v>0</v>
      </c>
      <c r="L283"/>
    </row>
    <row r="284" spans="1:12" ht="22.5" customHeight="1">
      <c r="A284">
        <f>Table4[[#This Row],[Column1]]</f>
        <v>0</v>
      </c>
      <c r="B284">
        <f>Table4[[#This Row],[Column2]]</f>
        <v>0</v>
      </c>
      <c r="L284"/>
    </row>
    <row r="285" spans="1:12" ht="22.5" customHeight="1">
      <c r="A285">
        <f>Table4[[#This Row],[Column1]]</f>
        <v>0</v>
      </c>
      <c r="B285">
        <f>Table4[[#This Row],[Column2]]</f>
        <v>0</v>
      </c>
      <c r="L285"/>
    </row>
    <row r="286" spans="1:12" ht="22.5" customHeight="1">
      <c r="A286">
        <f>Table4[[#This Row],[Column1]]</f>
        <v>0</v>
      </c>
      <c r="B286">
        <f>Table4[[#This Row],[Column2]]</f>
        <v>0</v>
      </c>
      <c r="L286"/>
    </row>
    <row r="287" spans="1:12" ht="22.5" customHeight="1">
      <c r="A287">
        <f>Table4[[#This Row],[Column1]]</f>
        <v>0</v>
      </c>
      <c r="B287">
        <f>Table4[[#This Row],[Column2]]</f>
        <v>0</v>
      </c>
      <c r="L287"/>
    </row>
    <row r="288" spans="1:12" ht="22.5" customHeight="1">
      <c r="A288">
        <f>Table4[[#This Row],[Column1]]</f>
        <v>0</v>
      </c>
      <c r="B288">
        <f>Table4[[#This Row],[Column2]]</f>
        <v>0</v>
      </c>
      <c r="L288"/>
    </row>
    <row r="289" spans="1:12" ht="22.5" customHeight="1">
      <c r="A289">
        <f>Table4[[#This Row],[Column1]]</f>
        <v>0</v>
      </c>
      <c r="B289">
        <f>Table4[[#This Row],[Column2]]</f>
        <v>0</v>
      </c>
      <c r="L289"/>
    </row>
    <row r="290" spans="1:12" ht="22.5" customHeight="1">
      <c r="A290">
        <f>Table4[[#This Row],[Column1]]</f>
        <v>0</v>
      </c>
      <c r="B290">
        <f>Table4[[#This Row],[Column2]]</f>
        <v>0</v>
      </c>
      <c r="L290"/>
    </row>
    <row r="291" spans="1:12" ht="22.5" customHeight="1">
      <c r="A291">
        <f>Table4[[#This Row],[Column1]]</f>
        <v>0</v>
      </c>
      <c r="B291">
        <f>Table4[[#This Row],[Column2]]</f>
        <v>0</v>
      </c>
      <c r="L291"/>
    </row>
    <row r="292" spans="1:12" ht="22.5" customHeight="1">
      <c r="A292">
        <f>Table4[[#This Row],[Column1]]</f>
        <v>0</v>
      </c>
      <c r="B292">
        <f>Table4[[#This Row],[Column2]]</f>
        <v>0</v>
      </c>
      <c r="L292"/>
    </row>
    <row r="293" spans="1:12" ht="22.5" customHeight="1">
      <c r="A293">
        <f>Table4[[#This Row],[Column1]]</f>
        <v>0</v>
      </c>
      <c r="B293">
        <f>Table4[[#This Row],[Column2]]</f>
        <v>0</v>
      </c>
      <c r="L293"/>
    </row>
    <row r="294" spans="1:12" ht="22.5" customHeight="1">
      <c r="A294">
        <f>Table4[[#This Row],[Column1]]</f>
        <v>0</v>
      </c>
      <c r="B294">
        <f>Table4[[#This Row],[Column2]]</f>
        <v>0</v>
      </c>
      <c r="L294"/>
    </row>
    <row r="295" spans="1:12" ht="22.5" customHeight="1">
      <c r="A295">
        <f>Table4[[#This Row],[Column1]]</f>
        <v>0</v>
      </c>
      <c r="B295">
        <f>Table4[[#This Row],[Column2]]</f>
        <v>0</v>
      </c>
      <c r="L295"/>
    </row>
    <row r="296" spans="1:12" ht="22.5" customHeight="1">
      <c r="A296">
        <f>Table4[[#This Row],[Column1]]</f>
        <v>0</v>
      </c>
      <c r="B296">
        <f>Table4[[#This Row],[Column2]]</f>
        <v>0</v>
      </c>
      <c r="L296"/>
    </row>
    <row r="297" spans="1:12" ht="22.5" customHeight="1">
      <c r="A297">
        <f>Table4[[#This Row],[Column1]]</f>
        <v>0</v>
      </c>
      <c r="B297">
        <f>Table4[[#This Row],[Column2]]</f>
        <v>0</v>
      </c>
      <c r="L297"/>
    </row>
    <row r="298" spans="1:12" ht="22.5" customHeight="1">
      <c r="A298">
        <f>Table4[[#This Row],[Column1]]</f>
        <v>0</v>
      </c>
      <c r="B298">
        <f>Table4[[#This Row],[Column2]]</f>
        <v>0</v>
      </c>
      <c r="L298"/>
    </row>
    <row r="299" spans="1:12" ht="22.5" customHeight="1">
      <c r="A299">
        <f>Table4[[#This Row],[Column1]]</f>
        <v>0</v>
      </c>
      <c r="B299">
        <f>Table4[[#This Row],[Column2]]</f>
        <v>0</v>
      </c>
      <c r="L299"/>
    </row>
    <row r="300" spans="1:12" ht="22.5" customHeight="1">
      <c r="A300">
        <f>Table4[[#This Row],[Column1]]</f>
        <v>0</v>
      </c>
      <c r="B300">
        <f>Table4[[#This Row],[Column2]]</f>
        <v>0</v>
      </c>
      <c r="L300"/>
    </row>
    <row r="301" spans="1:12" ht="22.5" customHeight="1">
      <c r="A301">
        <f>Table4[[#This Row],[Column1]]</f>
        <v>0</v>
      </c>
      <c r="B301">
        <f>Table4[[#This Row],[Column2]]</f>
        <v>0</v>
      </c>
      <c r="L301"/>
    </row>
    <row r="302" spans="1:12" ht="22.5" customHeight="1">
      <c r="A302">
        <f>Table4[[#This Row],[Column1]]</f>
        <v>0</v>
      </c>
      <c r="B302">
        <f>Table4[[#This Row],[Column2]]</f>
        <v>0</v>
      </c>
      <c r="L302"/>
    </row>
    <row r="303" spans="1:12" ht="22.5" customHeight="1">
      <c r="A303">
        <f>Table4[[#This Row],[Column1]]</f>
        <v>0</v>
      </c>
      <c r="B303">
        <f>Table4[[#This Row],[Column2]]</f>
        <v>0</v>
      </c>
      <c r="L303"/>
    </row>
    <row r="304" spans="1:12" ht="22.5" customHeight="1">
      <c r="A304">
        <f>Table4[[#This Row],[Column1]]</f>
        <v>0</v>
      </c>
      <c r="B304">
        <f>Table4[[#This Row],[Column2]]</f>
        <v>0</v>
      </c>
      <c r="L304"/>
    </row>
    <row r="305" spans="1:12" ht="22.5" customHeight="1">
      <c r="A305">
        <f>Table4[[#This Row],[Column1]]</f>
        <v>0</v>
      </c>
      <c r="B305">
        <f>Table4[[#This Row],[Column2]]</f>
        <v>0</v>
      </c>
      <c r="L305"/>
    </row>
    <row r="306" spans="1:12" ht="22.5" customHeight="1">
      <c r="A306">
        <f>Table4[[#This Row],[Column1]]</f>
        <v>0</v>
      </c>
      <c r="B306">
        <f>Table4[[#This Row],[Column2]]</f>
        <v>0</v>
      </c>
      <c r="L306"/>
    </row>
    <row r="307" spans="1:12" ht="22.5" customHeight="1">
      <c r="A307">
        <f>Table4[[#This Row],[Column1]]</f>
        <v>0</v>
      </c>
      <c r="B307">
        <f>Table4[[#This Row],[Column2]]</f>
        <v>0</v>
      </c>
      <c r="L307"/>
    </row>
    <row r="308" spans="1:12" ht="22.5" customHeight="1">
      <c r="A308">
        <f>Table4[[#This Row],[Column1]]</f>
        <v>0</v>
      </c>
      <c r="B308">
        <f>Table4[[#This Row],[Column2]]</f>
        <v>0</v>
      </c>
      <c r="L308"/>
    </row>
    <row r="309" spans="1:12" ht="22.5" customHeight="1">
      <c r="A309">
        <f>Table4[[#This Row],[Column1]]</f>
        <v>0</v>
      </c>
      <c r="B309">
        <f>Table4[[#This Row],[Column2]]</f>
        <v>0</v>
      </c>
      <c r="L309"/>
    </row>
    <row r="310" spans="1:12" ht="22.5" customHeight="1">
      <c r="A310">
        <f>Table4[[#This Row],[Column1]]</f>
        <v>0</v>
      </c>
      <c r="B310">
        <f>Table4[[#This Row],[Column2]]</f>
        <v>0</v>
      </c>
      <c r="L310"/>
    </row>
    <row r="311" spans="1:12" ht="22.5" customHeight="1">
      <c r="A311">
        <f>Table4[[#This Row],[Column1]]</f>
        <v>0</v>
      </c>
      <c r="B311">
        <f>Table4[[#This Row],[Column2]]</f>
        <v>0</v>
      </c>
      <c r="L311"/>
    </row>
    <row r="312" spans="1:12" ht="22.5" customHeight="1">
      <c r="A312">
        <f>Table4[[#This Row],[Column1]]</f>
        <v>0</v>
      </c>
      <c r="B312">
        <f>Table4[[#This Row],[Column2]]</f>
        <v>0</v>
      </c>
      <c r="L312"/>
    </row>
    <row r="313" spans="1:12" ht="22.5" customHeight="1">
      <c r="A313">
        <f>Table4[[#This Row],[Column1]]</f>
        <v>0</v>
      </c>
      <c r="B313">
        <f>Table4[[#This Row],[Column2]]</f>
        <v>0</v>
      </c>
      <c r="L313"/>
    </row>
    <row r="314" spans="1:12" ht="22.5" customHeight="1">
      <c r="A314">
        <f>Table4[[#This Row],[Column1]]</f>
        <v>0</v>
      </c>
      <c r="B314">
        <f>Table4[[#This Row],[Column2]]</f>
        <v>0</v>
      </c>
      <c r="L314"/>
    </row>
    <row r="315" spans="1:12" ht="22.5" customHeight="1">
      <c r="A315">
        <f>Table4[[#This Row],[Column1]]</f>
        <v>0</v>
      </c>
      <c r="B315">
        <f>Table4[[#This Row],[Column2]]</f>
        <v>0</v>
      </c>
      <c r="L315"/>
    </row>
    <row r="316" spans="1:12" ht="22.5" customHeight="1">
      <c r="A316">
        <f>Table4[[#This Row],[Column1]]</f>
        <v>0</v>
      </c>
      <c r="B316">
        <f>Table4[[#This Row],[Column2]]</f>
        <v>0</v>
      </c>
      <c r="L316"/>
    </row>
    <row r="317" spans="1:12" ht="22.5" customHeight="1">
      <c r="A317">
        <f>Table4[[#This Row],[Column1]]</f>
        <v>0</v>
      </c>
      <c r="B317">
        <f>Table4[[#This Row],[Column2]]</f>
        <v>0</v>
      </c>
      <c r="L317"/>
    </row>
    <row r="318" spans="1:12" ht="22.5" customHeight="1">
      <c r="A318">
        <f>Table4[[#This Row],[Column1]]</f>
        <v>0</v>
      </c>
      <c r="B318">
        <f>Table4[[#This Row],[Column2]]</f>
        <v>0</v>
      </c>
      <c r="L318"/>
    </row>
    <row r="319" spans="1:12" ht="22.5" customHeight="1">
      <c r="A319">
        <f>Table4[[#This Row],[Column1]]</f>
        <v>0</v>
      </c>
      <c r="B319">
        <f>Table4[[#This Row],[Column2]]</f>
        <v>0</v>
      </c>
      <c r="L319"/>
    </row>
    <row r="320" spans="1:12" ht="22.5" customHeight="1">
      <c r="A320">
        <f>Table4[[#This Row],[Column1]]</f>
        <v>0</v>
      </c>
      <c r="B320">
        <f>Table4[[#This Row],[Column2]]</f>
        <v>0</v>
      </c>
      <c r="L320"/>
    </row>
    <row r="321" spans="1:12" ht="22.5" customHeight="1">
      <c r="A321">
        <f>Table4[[#This Row],[Column1]]</f>
        <v>0</v>
      </c>
      <c r="B321">
        <f>Table4[[#This Row],[Column2]]</f>
        <v>0</v>
      </c>
      <c r="L321"/>
    </row>
    <row r="322" spans="1:12" ht="22.5" customHeight="1">
      <c r="A322">
        <f>Table4[[#This Row],[Column1]]</f>
        <v>0</v>
      </c>
      <c r="B322">
        <f>Table4[[#This Row],[Column2]]</f>
        <v>0</v>
      </c>
      <c r="L322"/>
    </row>
    <row r="323" spans="1:12" ht="22.5" customHeight="1">
      <c r="A323">
        <f>Table4[[#This Row],[Column1]]</f>
        <v>0</v>
      </c>
      <c r="B323">
        <f>Table4[[#This Row],[Column2]]</f>
        <v>0</v>
      </c>
      <c r="L323"/>
    </row>
    <row r="324" spans="1:12" ht="22.5" customHeight="1">
      <c r="A324">
        <f>Table4[[#This Row],[Column1]]</f>
        <v>0</v>
      </c>
      <c r="B324">
        <f>Table4[[#This Row],[Column2]]</f>
        <v>0</v>
      </c>
      <c r="L324"/>
    </row>
    <row r="325" spans="1:12" ht="22.5" customHeight="1">
      <c r="A325">
        <f>Table4[[#This Row],[Column1]]</f>
        <v>0</v>
      </c>
      <c r="B325">
        <f>Table4[[#This Row],[Column2]]</f>
        <v>0</v>
      </c>
      <c r="L325"/>
    </row>
    <row r="326" spans="1:12" ht="22.5" customHeight="1">
      <c r="A326">
        <f>Table4[[#This Row],[Column1]]</f>
        <v>0</v>
      </c>
      <c r="B326">
        <f>Table4[[#This Row],[Column2]]</f>
        <v>0</v>
      </c>
      <c r="L326"/>
    </row>
    <row r="327" spans="1:12" ht="22.5" customHeight="1">
      <c r="A327">
        <f>Table4[[#This Row],[Column1]]</f>
        <v>0</v>
      </c>
      <c r="B327">
        <f>Table4[[#This Row],[Column2]]</f>
        <v>0</v>
      </c>
      <c r="L327"/>
    </row>
    <row r="328" spans="1:12" ht="22.5" customHeight="1">
      <c r="A328">
        <f>Table4[[#This Row],[Column1]]</f>
        <v>0</v>
      </c>
      <c r="B328">
        <f>Table4[[#This Row],[Column2]]</f>
        <v>0</v>
      </c>
      <c r="L328"/>
    </row>
    <row r="329" spans="1:12" ht="22.5" customHeight="1">
      <c r="A329">
        <f>Table4[[#This Row],[Column1]]</f>
        <v>0</v>
      </c>
      <c r="B329">
        <f>Table4[[#This Row],[Column2]]</f>
        <v>0</v>
      </c>
      <c r="L329"/>
    </row>
    <row r="330" spans="1:12" ht="22.5" customHeight="1">
      <c r="A330">
        <f>Table4[[#This Row],[Column1]]</f>
        <v>0</v>
      </c>
      <c r="B330">
        <f>Table4[[#This Row],[Column2]]</f>
        <v>0</v>
      </c>
      <c r="L330"/>
    </row>
    <row r="331" spans="1:12" ht="22.5" customHeight="1">
      <c r="A331">
        <f>Table4[[#This Row],[Column1]]</f>
        <v>0</v>
      </c>
      <c r="B331">
        <f>Table4[[#This Row],[Column2]]</f>
        <v>0</v>
      </c>
      <c r="L331"/>
    </row>
    <row r="332" spans="1:12" ht="22.5" customHeight="1">
      <c r="A332">
        <f>Table4[[#This Row],[Column1]]</f>
        <v>0</v>
      </c>
      <c r="B332">
        <f>Table4[[#This Row],[Column2]]</f>
        <v>0</v>
      </c>
      <c r="L332"/>
    </row>
    <row r="333" spans="1:12" ht="22.5" customHeight="1">
      <c r="A333">
        <f>Table4[[#This Row],[Column1]]</f>
        <v>0</v>
      </c>
      <c r="B333">
        <f>Table4[[#This Row],[Column2]]</f>
        <v>0</v>
      </c>
      <c r="L333"/>
    </row>
    <row r="334" spans="1:12" ht="22.5" customHeight="1">
      <c r="A334">
        <f>Table4[[#This Row],[Column1]]</f>
        <v>0</v>
      </c>
      <c r="B334">
        <f>Table4[[#This Row],[Column2]]</f>
        <v>0</v>
      </c>
      <c r="L334"/>
    </row>
    <row r="335" spans="1:12" ht="22.5" customHeight="1">
      <c r="A335">
        <f>Table4[[#This Row],[Column1]]</f>
        <v>0</v>
      </c>
      <c r="B335">
        <f>Table4[[#This Row],[Column2]]</f>
        <v>0</v>
      </c>
      <c r="L335"/>
    </row>
    <row r="336" spans="1:12" ht="22.5" customHeight="1">
      <c r="A336">
        <f>Table4[[#This Row],[Column1]]</f>
        <v>0</v>
      </c>
      <c r="B336">
        <f>Table4[[#This Row],[Column2]]</f>
        <v>0</v>
      </c>
      <c r="L336"/>
    </row>
    <row r="337" spans="1:12" ht="22.5" customHeight="1">
      <c r="A337">
        <f>Table4[[#This Row],[Column1]]</f>
        <v>0</v>
      </c>
      <c r="B337">
        <f>Table4[[#This Row],[Column2]]</f>
        <v>0</v>
      </c>
      <c r="L337"/>
    </row>
    <row r="338" spans="1:12" ht="22.5" customHeight="1">
      <c r="A338">
        <f>Table4[[#This Row],[Column1]]</f>
        <v>0</v>
      </c>
      <c r="B338">
        <f>Table4[[#This Row],[Column2]]</f>
        <v>0</v>
      </c>
      <c r="L338"/>
    </row>
    <row r="339" spans="1:12" ht="22.5" customHeight="1">
      <c r="A339">
        <f>Table4[[#This Row],[Column1]]</f>
        <v>0</v>
      </c>
      <c r="B339">
        <f>Table4[[#This Row],[Column2]]</f>
        <v>0</v>
      </c>
      <c r="L339"/>
    </row>
    <row r="340" spans="1:12" ht="22.5" customHeight="1">
      <c r="A340">
        <f>Table4[[#This Row],[Column1]]</f>
        <v>0</v>
      </c>
      <c r="B340">
        <f>Table4[[#This Row],[Column2]]</f>
        <v>0</v>
      </c>
      <c r="L340"/>
    </row>
    <row r="341" spans="1:12" ht="22.5" customHeight="1">
      <c r="A341">
        <f>Table4[[#This Row],[Column1]]</f>
        <v>0</v>
      </c>
      <c r="B341">
        <f>Table4[[#This Row],[Column2]]</f>
        <v>0</v>
      </c>
      <c r="L341"/>
    </row>
    <row r="342" spans="1:12" ht="22.5" customHeight="1">
      <c r="A342">
        <f>Table4[[#This Row],[Column1]]</f>
        <v>0</v>
      </c>
      <c r="B342">
        <f>Table4[[#This Row],[Column2]]</f>
        <v>0</v>
      </c>
      <c r="L342"/>
    </row>
    <row r="343" spans="1:12" ht="22.5" customHeight="1">
      <c r="A343">
        <f>Table4[[#This Row],[Column1]]</f>
        <v>0</v>
      </c>
      <c r="B343">
        <f>Table4[[#This Row],[Column2]]</f>
        <v>0</v>
      </c>
      <c r="L343"/>
    </row>
    <row r="344" spans="1:12" ht="22.5" customHeight="1">
      <c r="A344">
        <f>Table4[[#This Row],[Column1]]</f>
        <v>0</v>
      </c>
      <c r="B344">
        <f>Table4[[#This Row],[Column2]]</f>
        <v>0</v>
      </c>
      <c r="L344"/>
    </row>
    <row r="345" spans="1:12" ht="22.5" customHeight="1">
      <c r="A345">
        <f>Table4[[#This Row],[Column1]]</f>
        <v>0</v>
      </c>
      <c r="B345">
        <f>Table4[[#This Row],[Column2]]</f>
        <v>0</v>
      </c>
      <c r="L345"/>
    </row>
    <row r="346" spans="1:12" ht="22.5" customHeight="1">
      <c r="A346">
        <f>Table4[[#This Row],[Column1]]</f>
        <v>0</v>
      </c>
      <c r="B346">
        <f>Table4[[#This Row],[Column2]]</f>
        <v>0</v>
      </c>
      <c r="L346"/>
    </row>
    <row r="347" spans="1:12" ht="22.5" customHeight="1">
      <c r="A347">
        <f>Table4[[#This Row],[Column1]]</f>
        <v>0</v>
      </c>
      <c r="B347">
        <f>Table4[[#This Row],[Column2]]</f>
        <v>0</v>
      </c>
      <c r="L347"/>
    </row>
    <row r="348" spans="1:12" ht="22.5" customHeight="1">
      <c r="A348">
        <f>Table4[[#This Row],[Column1]]</f>
        <v>0</v>
      </c>
      <c r="B348">
        <f>Table4[[#This Row],[Column2]]</f>
        <v>0</v>
      </c>
      <c r="L348"/>
    </row>
    <row r="349" spans="1:12" ht="22.5" customHeight="1">
      <c r="A349">
        <f>Table4[[#This Row],[Column1]]</f>
        <v>0</v>
      </c>
      <c r="B349">
        <f>Table4[[#This Row],[Column2]]</f>
        <v>0</v>
      </c>
      <c r="L349"/>
    </row>
    <row r="350" spans="1:12" ht="22.5" customHeight="1">
      <c r="A350">
        <f>Table4[[#This Row],[Column1]]</f>
        <v>0</v>
      </c>
      <c r="B350">
        <f>Table4[[#This Row],[Column2]]</f>
        <v>0</v>
      </c>
      <c r="L350"/>
    </row>
    <row r="351" spans="1:12" ht="22.5" customHeight="1">
      <c r="A351">
        <f>Table4[[#This Row],[Column1]]</f>
        <v>0</v>
      </c>
      <c r="B351">
        <f>Table4[[#This Row],[Column2]]</f>
        <v>0</v>
      </c>
      <c r="L351"/>
    </row>
    <row r="352" spans="1:12" ht="22.5" customHeight="1">
      <c r="A352">
        <f>Table4[[#This Row],[Column1]]</f>
        <v>0</v>
      </c>
      <c r="B352">
        <f>Table4[[#This Row],[Column2]]</f>
        <v>0</v>
      </c>
      <c r="L352"/>
    </row>
    <row r="353" spans="1:12" ht="22.5" customHeight="1">
      <c r="A353">
        <f>Table4[[#This Row],[Column1]]</f>
        <v>0</v>
      </c>
      <c r="B353">
        <f>Table4[[#This Row],[Column2]]</f>
        <v>0</v>
      </c>
      <c r="L353"/>
    </row>
    <row r="354" spans="1:12" ht="22.5" customHeight="1">
      <c r="A354">
        <f>Table4[[#This Row],[Column1]]</f>
        <v>0</v>
      </c>
      <c r="B354">
        <f>Table4[[#This Row],[Column2]]</f>
        <v>0</v>
      </c>
      <c r="L354"/>
    </row>
    <row r="355" spans="1:12" ht="22.5" customHeight="1">
      <c r="A355">
        <f>Table4[[#This Row],[Column1]]</f>
        <v>0</v>
      </c>
      <c r="B355">
        <f>Table4[[#This Row],[Column2]]</f>
        <v>0</v>
      </c>
      <c r="L355"/>
    </row>
    <row r="356" spans="1:12" ht="22.5" customHeight="1">
      <c r="A356">
        <f>Table4[[#This Row],[Column1]]</f>
        <v>0</v>
      </c>
      <c r="B356">
        <f>Table4[[#This Row],[Column2]]</f>
        <v>0</v>
      </c>
      <c r="L356"/>
    </row>
    <row r="357" spans="1:12" ht="22.5" customHeight="1">
      <c r="A357">
        <f>Table4[[#This Row],[Column1]]</f>
        <v>0</v>
      </c>
      <c r="B357">
        <f>Table4[[#This Row],[Column2]]</f>
        <v>0</v>
      </c>
      <c r="L357"/>
    </row>
    <row r="358" spans="1:12" ht="22.5" customHeight="1">
      <c r="A358">
        <f>Table4[[#This Row],[Column1]]</f>
        <v>0</v>
      </c>
      <c r="B358">
        <f>Table4[[#This Row],[Column2]]</f>
        <v>0</v>
      </c>
      <c r="L358"/>
    </row>
    <row r="359" spans="1:12" ht="22.5" customHeight="1">
      <c r="A359">
        <f>Table4[[#This Row],[Column1]]</f>
        <v>0</v>
      </c>
      <c r="B359">
        <f>Table4[[#This Row],[Column2]]</f>
        <v>0</v>
      </c>
      <c r="L359"/>
    </row>
    <row r="360" spans="1:12" ht="22.5" customHeight="1">
      <c r="A360">
        <f>Table4[[#This Row],[Column1]]</f>
        <v>0</v>
      </c>
      <c r="B360">
        <f>Table4[[#This Row],[Column2]]</f>
        <v>0</v>
      </c>
      <c r="L360"/>
    </row>
    <row r="361" spans="1:12" ht="22.5" customHeight="1">
      <c r="A361">
        <f>Table4[[#This Row],[Column1]]</f>
        <v>0</v>
      </c>
      <c r="B361">
        <f>Table4[[#This Row],[Column2]]</f>
        <v>0</v>
      </c>
      <c r="L361"/>
    </row>
    <row r="362" spans="1:12" ht="22.5" customHeight="1">
      <c r="A362">
        <f>Table4[[#This Row],[Column1]]</f>
        <v>0</v>
      </c>
      <c r="B362">
        <f>Table4[[#This Row],[Column2]]</f>
        <v>0</v>
      </c>
      <c r="L362"/>
    </row>
    <row r="363" spans="1:12" ht="22.5" customHeight="1">
      <c r="A363">
        <f>Table4[[#This Row],[Column1]]</f>
        <v>0</v>
      </c>
      <c r="B363">
        <f>Table4[[#This Row],[Column2]]</f>
        <v>0</v>
      </c>
      <c r="L363"/>
    </row>
    <row r="364" spans="1:12" ht="22.5" customHeight="1">
      <c r="A364">
        <f>Table4[[#This Row],[Column1]]</f>
        <v>0</v>
      </c>
      <c r="B364">
        <f>Table4[[#This Row],[Column2]]</f>
        <v>0</v>
      </c>
      <c r="L364"/>
    </row>
    <row r="365" spans="1:12" ht="22.5" customHeight="1">
      <c r="A365">
        <f>Table4[[#This Row],[Column1]]</f>
        <v>0</v>
      </c>
      <c r="B365">
        <f>Table4[[#This Row],[Column2]]</f>
        <v>0</v>
      </c>
      <c r="L365"/>
    </row>
    <row r="366" spans="1:12" ht="22.5" customHeight="1">
      <c r="A366">
        <f>Table4[[#This Row],[Column1]]</f>
        <v>0</v>
      </c>
      <c r="B366">
        <f>Table4[[#This Row],[Column2]]</f>
        <v>0</v>
      </c>
      <c r="L366"/>
    </row>
    <row r="367" spans="1:12" ht="22.5" customHeight="1">
      <c r="A367">
        <f>Table4[[#This Row],[Column1]]</f>
        <v>0</v>
      </c>
      <c r="B367">
        <f>Table4[[#This Row],[Column2]]</f>
        <v>0</v>
      </c>
      <c r="L367"/>
    </row>
    <row r="368" spans="1:12" ht="22.5" customHeight="1">
      <c r="A368">
        <f>Table4[[#This Row],[Column1]]</f>
        <v>0</v>
      </c>
      <c r="B368">
        <f>Table4[[#This Row],[Column2]]</f>
        <v>0</v>
      </c>
      <c r="L368"/>
    </row>
    <row r="369" spans="1:12" ht="22.5" customHeight="1">
      <c r="A369">
        <f>Table4[[#This Row],[Column1]]</f>
        <v>0</v>
      </c>
      <c r="B369">
        <f>Table4[[#This Row],[Column2]]</f>
        <v>0</v>
      </c>
      <c r="L369"/>
    </row>
    <row r="370" spans="1:12" ht="22.5" customHeight="1">
      <c r="A370">
        <f>Table4[[#This Row],[Column1]]</f>
        <v>0</v>
      </c>
      <c r="B370">
        <f>Table4[[#This Row],[Column2]]</f>
        <v>0</v>
      </c>
      <c r="L370"/>
    </row>
    <row r="371" spans="1:12" ht="22.5" customHeight="1">
      <c r="A371">
        <f>Table4[[#This Row],[Column1]]</f>
        <v>0</v>
      </c>
      <c r="B371">
        <f>Table4[[#This Row],[Column2]]</f>
        <v>0</v>
      </c>
      <c r="L371"/>
    </row>
    <row r="372" spans="1:12" ht="22.5" customHeight="1">
      <c r="A372">
        <f>Table4[[#This Row],[Column1]]</f>
        <v>0</v>
      </c>
      <c r="B372">
        <f>Table4[[#This Row],[Column2]]</f>
        <v>0</v>
      </c>
      <c r="L372"/>
    </row>
    <row r="373" spans="1:12" ht="22.5" customHeight="1">
      <c r="A373">
        <f>Table4[[#This Row],[Column1]]</f>
        <v>0</v>
      </c>
      <c r="B373">
        <f>Table4[[#This Row],[Column2]]</f>
        <v>0</v>
      </c>
      <c r="L373"/>
    </row>
    <row r="374" spans="1:12" ht="22.5" customHeight="1">
      <c r="A374">
        <f>Table4[[#This Row],[Column1]]</f>
        <v>0</v>
      </c>
      <c r="B374">
        <f>Table4[[#This Row],[Column2]]</f>
        <v>0</v>
      </c>
      <c r="L374"/>
    </row>
    <row r="375" spans="1:12" ht="22.5" customHeight="1">
      <c r="A375">
        <f>Table4[[#This Row],[Column1]]</f>
        <v>0</v>
      </c>
      <c r="B375">
        <f>Table4[[#This Row],[Column2]]</f>
        <v>0</v>
      </c>
      <c r="L375"/>
    </row>
    <row r="376" spans="1:12" ht="22.5" customHeight="1">
      <c r="A376">
        <f>Table4[[#This Row],[Column1]]</f>
        <v>0</v>
      </c>
      <c r="B376">
        <f>Table4[[#This Row],[Column2]]</f>
        <v>0</v>
      </c>
      <c r="L376"/>
    </row>
    <row r="377" spans="1:12" ht="22.5" customHeight="1">
      <c r="A377">
        <f>Table4[[#This Row],[Column1]]</f>
        <v>0</v>
      </c>
      <c r="B377">
        <f>Table4[[#This Row],[Column2]]</f>
        <v>0</v>
      </c>
      <c r="L377"/>
    </row>
    <row r="378" spans="1:12" ht="22.5" customHeight="1">
      <c r="A378">
        <f>Table4[[#This Row],[Column1]]</f>
        <v>0</v>
      </c>
      <c r="B378">
        <f>Table4[[#This Row],[Column2]]</f>
        <v>0</v>
      </c>
      <c r="L378"/>
    </row>
    <row r="379" spans="1:12" ht="22.5" customHeight="1">
      <c r="A379">
        <f>Table4[[#This Row],[Column1]]</f>
        <v>0</v>
      </c>
      <c r="B379">
        <f>Table4[[#This Row],[Column2]]</f>
        <v>0</v>
      </c>
      <c r="L379"/>
    </row>
    <row r="380" spans="1:12" ht="22.5" customHeight="1">
      <c r="A380">
        <f>Table4[[#This Row],[Column1]]</f>
        <v>0</v>
      </c>
      <c r="B380">
        <f>Table4[[#This Row],[Column2]]</f>
        <v>0</v>
      </c>
      <c r="L380"/>
    </row>
    <row r="381" spans="1:12" ht="22.5" customHeight="1">
      <c r="A381">
        <f>Table4[[#This Row],[Column1]]</f>
        <v>0</v>
      </c>
      <c r="B381">
        <f>Table4[[#This Row],[Column2]]</f>
        <v>0</v>
      </c>
      <c r="L381"/>
    </row>
    <row r="382" spans="1:12" ht="22.5" customHeight="1">
      <c r="A382">
        <f>Table4[[#This Row],[Column1]]</f>
        <v>0</v>
      </c>
      <c r="B382">
        <f>Table4[[#This Row],[Column2]]</f>
        <v>0</v>
      </c>
      <c r="L382"/>
    </row>
    <row r="383" spans="1:12" ht="22.5" customHeight="1">
      <c r="A383">
        <f>Table4[[#This Row],[Column1]]</f>
        <v>0</v>
      </c>
      <c r="B383">
        <f>Table4[[#This Row],[Column2]]</f>
        <v>0</v>
      </c>
      <c r="L383"/>
    </row>
    <row r="384" spans="1:12" ht="22.5" customHeight="1">
      <c r="A384">
        <f>Table4[[#This Row],[Column1]]</f>
        <v>0</v>
      </c>
      <c r="B384">
        <f>Table4[[#This Row],[Column2]]</f>
        <v>0</v>
      </c>
      <c r="L384"/>
    </row>
    <row r="385" spans="1:12" ht="22.5" customHeight="1">
      <c r="A385">
        <f>Table4[[#This Row],[Column1]]</f>
        <v>0</v>
      </c>
      <c r="B385">
        <f>Table4[[#This Row],[Column2]]</f>
        <v>0</v>
      </c>
      <c r="L385"/>
    </row>
    <row r="386" spans="1:12" ht="22.5" customHeight="1">
      <c r="A386">
        <f>Table4[[#This Row],[Column1]]</f>
        <v>0</v>
      </c>
      <c r="B386">
        <f>Table4[[#This Row],[Column2]]</f>
        <v>0</v>
      </c>
      <c r="L386"/>
    </row>
    <row r="387" spans="1:12" ht="22.5" customHeight="1">
      <c r="A387">
        <f>Table4[[#This Row],[Column1]]</f>
        <v>0</v>
      </c>
      <c r="B387">
        <f>Table4[[#This Row],[Column2]]</f>
        <v>0</v>
      </c>
      <c r="L387"/>
    </row>
    <row r="388" spans="1:12" ht="22.5" customHeight="1">
      <c r="A388">
        <f>Table4[[#This Row],[Column1]]</f>
        <v>0</v>
      </c>
      <c r="B388">
        <f>Table4[[#This Row],[Column2]]</f>
        <v>0</v>
      </c>
      <c r="L388"/>
    </row>
    <row r="389" spans="1:12" ht="22.5" customHeight="1">
      <c r="A389">
        <f>Table4[[#This Row],[Column1]]</f>
        <v>0</v>
      </c>
      <c r="B389">
        <f>Table4[[#This Row],[Column2]]</f>
        <v>0</v>
      </c>
      <c r="L389"/>
    </row>
    <row r="390" spans="1:12" ht="22.5" customHeight="1">
      <c r="A390">
        <f>Table4[[#This Row],[Column1]]</f>
        <v>0</v>
      </c>
      <c r="B390">
        <f>Table4[[#This Row],[Column2]]</f>
        <v>0</v>
      </c>
      <c r="L390"/>
    </row>
    <row r="391" spans="1:12" ht="22.5" customHeight="1">
      <c r="A391">
        <f>Table4[[#This Row],[Column1]]</f>
        <v>0</v>
      </c>
      <c r="B391">
        <f>Table4[[#This Row],[Column2]]</f>
        <v>0</v>
      </c>
      <c r="L391"/>
    </row>
    <row r="392" spans="1:12" ht="22.5" customHeight="1">
      <c r="A392">
        <f>Table4[[#This Row],[Column1]]</f>
        <v>0</v>
      </c>
      <c r="B392">
        <f>Table4[[#This Row],[Column2]]</f>
        <v>0</v>
      </c>
      <c r="L392"/>
    </row>
    <row r="393" spans="1:12" ht="22.5" customHeight="1">
      <c r="A393">
        <f>Table4[[#This Row],[Column1]]</f>
        <v>0</v>
      </c>
      <c r="B393">
        <f>Table4[[#This Row],[Column2]]</f>
        <v>0</v>
      </c>
      <c r="L393"/>
    </row>
    <row r="394" spans="1:12" ht="22.5" customHeight="1">
      <c r="A394">
        <f>Table4[[#This Row],[Column1]]</f>
        <v>0</v>
      </c>
      <c r="B394">
        <f>Table4[[#This Row],[Column2]]</f>
        <v>0</v>
      </c>
      <c r="L394"/>
    </row>
    <row r="395" spans="1:12" ht="22.5" customHeight="1">
      <c r="A395">
        <f>Table4[[#This Row],[Column1]]</f>
        <v>0</v>
      </c>
      <c r="B395">
        <f>Table4[[#This Row],[Column2]]</f>
        <v>0</v>
      </c>
      <c r="L395"/>
    </row>
    <row r="396" spans="1:12" ht="22.5" customHeight="1">
      <c r="A396">
        <f>Table4[[#This Row],[Column1]]</f>
        <v>0</v>
      </c>
      <c r="B396">
        <f>Table4[[#This Row],[Column2]]</f>
        <v>0</v>
      </c>
      <c r="L396"/>
    </row>
    <row r="397" spans="1:12" ht="22.5" customHeight="1">
      <c r="A397">
        <f>Table4[[#This Row],[Column1]]</f>
        <v>0</v>
      </c>
      <c r="B397">
        <f>Table4[[#This Row],[Column2]]</f>
        <v>0</v>
      </c>
      <c r="L397"/>
    </row>
    <row r="398" spans="1:12" ht="22.5" customHeight="1">
      <c r="A398">
        <f>Table4[[#This Row],[Column1]]</f>
        <v>0</v>
      </c>
      <c r="B398">
        <f>Table4[[#This Row],[Column2]]</f>
        <v>0</v>
      </c>
      <c r="L398"/>
    </row>
    <row r="399" spans="1:12" ht="22.5" customHeight="1">
      <c r="A399">
        <f>Table4[[#This Row],[Column1]]</f>
        <v>0</v>
      </c>
      <c r="B399">
        <f>Table4[[#This Row],[Column2]]</f>
        <v>0</v>
      </c>
      <c r="L399"/>
    </row>
    <row r="400" spans="1:12" ht="22.5" customHeight="1">
      <c r="A400">
        <f>Table4[[#This Row],[Column1]]</f>
        <v>0</v>
      </c>
      <c r="B400">
        <f>Table4[[#This Row],[Column2]]</f>
        <v>0</v>
      </c>
      <c r="L400"/>
    </row>
    <row r="401" spans="1:12" ht="22.5" customHeight="1">
      <c r="A401">
        <f>Table4[[#This Row],[Column1]]</f>
        <v>0</v>
      </c>
      <c r="B401">
        <f>Table4[[#This Row],[Column2]]</f>
        <v>0</v>
      </c>
      <c r="L401"/>
    </row>
    <row r="402" spans="1:12" ht="22.5" customHeight="1">
      <c r="A402">
        <f>Table4[[#This Row],[Column1]]</f>
        <v>0</v>
      </c>
      <c r="B402">
        <f>Table4[[#This Row],[Column2]]</f>
        <v>0</v>
      </c>
      <c r="L402"/>
    </row>
    <row r="403" spans="1:12" ht="22.5" customHeight="1">
      <c r="A403">
        <f>Table4[[#This Row],[Column1]]</f>
        <v>0</v>
      </c>
      <c r="B403">
        <f>Table4[[#This Row],[Column2]]</f>
        <v>0</v>
      </c>
      <c r="L403"/>
    </row>
    <row r="404" spans="1:12" ht="22.5" customHeight="1">
      <c r="A404">
        <f>Table4[[#This Row],[Column1]]</f>
        <v>0</v>
      </c>
      <c r="B404">
        <f>Table4[[#This Row],[Column2]]</f>
        <v>0</v>
      </c>
      <c r="L404"/>
    </row>
    <row r="405" spans="1:12" ht="22.5" customHeight="1">
      <c r="A405">
        <f>Table4[[#This Row],[Column1]]</f>
        <v>0</v>
      </c>
      <c r="B405">
        <f>Table4[[#This Row],[Column2]]</f>
        <v>0</v>
      </c>
      <c r="L405"/>
    </row>
    <row r="406" spans="1:12" ht="22.5" customHeight="1">
      <c r="A406">
        <f>Table4[[#This Row],[Column1]]</f>
        <v>0</v>
      </c>
      <c r="B406">
        <f>Table4[[#This Row],[Column2]]</f>
        <v>0</v>
      </c>
      <c r="L406"/>
    </row>
    <row r="407" spans="1:12" ht="22.5" customHeight="1">
      <c r="A407">
        <f>Table4[[#This Row],[Column1]]</f>
        <v>0</v>
      </c>
      <c r="B407">
        <f>Table4[[#This Row],[Column2]]</f>
        <v>0</v>
      </c>
      <c r="L407"/>
    </row>
    <row r="408" spans="1:12" ht="22.5" customHeight="1">
      <c r="A408">
        <f>Table4[[#This Row],[Column1]]</f>
        <v>0</v>
      </c>
      <c r="B408">
        <f>Table4[[#This Row],[Column2]]</f>
        <v>0</v>
      </c>
      <c r="L408"/>
    </row>
    <row r="409" spans="1:12" ht="22.5" customHeight="1">
      <c r="A409">
        <f>Table4[[#This Row],[Column1]]</f>
        <v>0</v>
      </c>
      <c r="B409">
        <f>Table4[[#This Row],[Column2]]</f>
        <v>0</v>
      </c>
      <c r="L409"/>
    </row>
    <row r="410" spans="1:12" ht="22.5" customHeight="1">
      <c r="A410">
        <f>Table4[[#This Row],[Column1]]</f>
        <v>0</v>
      </c>
      <c r="B410">
        <f>Table4[[#This Row],[Column2]]</f>
        <v>0</v>
      </c>
      <c r="L410"/>
    </row>
    <row r="411" spans="1:12" ht="22.5" customHeight="1">
      <c r="A411">
        <f>Table4[[#This Row],[Column1]]</f>
        <v>0</v>
      </c>
      <c r="B411">
        <f>Table4[[#This Row],[Column2]]</f>
        <v>0</v>
      </c>
      <c r="L411"/>
    </row>
    <row r="412" spans="1:12" ht="22.5" customHeight="1">
      <c r="A412">
        <f>Table4[[#This Row],[Column1]]</f>
        <v>0</v>
      </c>
      <c r="B412">
        <f>Table4[[#This Row],[Column2]]</f>
        <v>0</v>
      </c>
      <c r="L412"/>
    </row>
    <row r="413" spans="1:12" ht="22.5" customHeight="1">
      <c r="A413">
        <f>Table4[[#This Row],[Column1]]</f>
        <v>0</v>
      </c>
      <c r="B413">
        <f>Table4[[#This Row],[Column2]]</f>
        <v>0</v>
      </c>
      <c r="L413"/>
    </row>
    <row r="414" spans="1:12" ht="22.5" customHeight="1">
      <c r="A414">
        <f>Table4[[#This Row],[Column1]]</f>
        <v>0</v>
      </c>
      <c r="B414">
        <f>Table4[[#This Row],[Column2]]</f>
        <v>0</v>
      </c>
      <c r="L414"/>
    </row>
    <row r="415" spans="1:12" ht="22.5" customHeight="1">
      <c r="A415">
        <f>Table4[[#This Row],[Column1]]</f>
        <v>0</v>
      </c>
      <c r="B415">
        <f>Table4[[#This Row],[Column2]]</f>
        <v>0</v>
      </c>
      <c r="L415"/>
    </row>
    <row r="416" spans="1:12" ht="22.5" customHeight="1">
      <c r="A416">
        <f>Table4[[#This Row],[Column1]]</f>
        <v>0</v>
      </c>
      <c r="B416">
        <f>Table4[[#This Row],[Column2]]</f>
        <v>0</v>
      </c>
      <c r="L416"/>
    </row>
    <row r="417" spans="1:12" ht="22.5" customHeight="1">
      <c r="A417">
        <f>Table4[[#This Row],[Column1]]</f>
        <v>0</v>
      </c>
      <c r="B417">
        <f>Table4[[#This Row],[Column2]]</f>
        <v>0</v>
      </c>
      <c r="L417"/>
    </row>
    <row r="418" spans="1:12" ht="22.5" customHeight="1">
      <c r="A418">
        <f>Table4[[#This Row],[Column1]]</f>
        <v>0</v>
      </c>
      <c r="B418">
        <f>Table4[[#This Row],[Column2]]</f>
        <v>0</v>
      </c>
      <c r="L418"/>
    </row>
    <row r="419" spans="1:12" ht="22.5" customHeight="1">
      <c r="A419">
        <f>Table4[[#This Row],[Column1]]</f>
        <v>0</v>
      </c>
      <c r="B419">
        <f>Table4[[#This Row],[Column2]]</f>
        <v>0</v>
      </c>
      <c r="L419"/>
    </row>
    <row r="420" spans="1:12" ht="22.5" customHeight="1">
      <c r="A420">
        <f>Table4[[#This Row],[Column1]]</f>
        <v>0</v>
      </c>
      <c r="B420">
        <f>Table4[[#This Row],[Column2]]</f>
        <v>0</v>
      </c>
      <c r="L420"/>
    </row>
    <row r="421" spans="1:12" ht="22.5" customHeight="1">
      <c r="A421">
        <f>Table4[[#This Row],[Column1]]</f>
        <v>0</v>
      </c>
      <c r="B421">
        <f>Table4[[#This Row],[Column2]]</f>
        <v>0</v>
      </c>
      <c r="L421"/>
    </row>
    <row r="422" spans="1:12" ht="22.5" customHeight="1">
      <c r="A422">
        <f>Table4[[#This Row],[Column1]]</f>
        <v>0</v>
      </c>
      <c r="B422">
        <f>Table4[[#This Row],[Column2]]</f>
        <v>0</v>
      </c>
      <c r="L422"/>
    </row>
    <row r="423" spans="1:12" ht="22.5" customHeight="1">
      <c r="A423">
        <f>Table4[[#This Row],[Column1]]</f>
        <v>0</v>
      </c>
      <c r="B423">
        <f>Table4[[#This Row],[Column2]]</f>
        <v>0</v>
      </c>
      <c r="L423"/>
    </row>
    <row r="424" spans="1:12" ht="22.5" customHeight="1">
      <c r="A424">
        <f>Table4[[#This Row],[Column1]]</f>
        <v>0</v>
      </c>
      <c r="B424">
        <f>Table4[[#This Row],[Column2]]</f>
        <v>0</v>
      </c>
      <c r="L424"/>
    </row>
    <row r="425" spans="1:12" ht="22.5" customHeight="1">
      <c r="A425">
        <f>Table4[[#This Row],[Column1]]</f>
        <v>0</v>
      </c>
      <c r="B425">
        <f>Table4[[#This Row],[Column2]]</f>
        <v>0</v>
      </c>
      <c r="L425"/>
    </row>
    <row r="426" spans="1:12" ht="22.5" customHeight="1">
      <c r="A426">
        <f>Table4[[#This Row],[Column1]]</f>
        <v>0</v>
      </c>
      <c r="B426">
        <f>Table4[[#This Row],[Column2]]</f>
        <v>0</v>
      </c>
      <c r="L426"/>
    </row>
    <row r="427" spans="1:12" ht="22.5" customHeight="1">
      <c r="A427">
        <f>Table4[[#This Row],[Column1]]</f>
        <v>0</v>
      </c>
      <c r="B427">
        <f>Table4[[#This Row],[Column2]]</f>
        <v>0</v>
      </c>
      <c r="L427"/>
    </row>
    <row r="428" spans="1:12" ht="22.5" customHeight="1">
      <c r="A428">
        <f>Table4[[#This Row],[Column1]]</f>
        <v>0</v>
      </c>
      <c r="B428">
        <f>Table4[[#This Row],[Column2]]</f>
        <v>0</v>
      </c>
      <c r="L428"/>
    </row>
    <row r="429" spans="1:12" ht="22.5" customHeight="1">
      <c r="A429">
        <f>Table4[[#This Row],[Column1]]</f>
        <v>0</v>
      </c>
      <c r="B429">
        <f>Table4[[#This Row],[Column2]]</f>
        <v>0</v>
      </c>
      <c r="L429"/>
    </row>
    <row r="430" spans="1:12" ht="22.5" customHeight="1">
      <c r="A430">
        <f>Table4[[#This Row],[Column1]]</f>
        <v>0</v>
      </c>
      <c r="B430">
        <f>Table4[[#This Row],[Column2]]</f>
        <v>0</v>
      </c>
      <c r="L430"/>
    </row>
    <row r="431" spans="1:12" ht="22.5" customHeight="1">
      <c r="A431">
        <f>Table4[[#This Row],[Column1]]</f>
        <v>0</v>
      </c>
      <c r="B431">
        <f>Table4[[#This Row],[Column2]]</f>
        <v>0</v>
      </c>
      <c r="L431"/>
    </row>
    <row r="432" spans="1:12" ht="22.5" customHeight="1">
      <c r="A432">
        <f>Table4[[#This Row],[Column1]]</f>
        <v>0</v>
      </c>
      <c r="B432">
        <f>Table4[[#This Row],[Column2]]</f>
        <v>0</v>
      </c>
      <c r="L432"/>
    </row>
    <row r="433" spans="1:12" ht="22.5" customHeight="1">
      <c r="A433">
        <f>Table4[[#This Row],[Column1]]</f>
        <v>0</v>
      </c>
      <c r="B433">
        <f>Table4[[#This Row],[Column2]]</f>
        <v>0</v>
      </c>
      <c r="L433"/>
    </row>
    <row r="434" spans="1:12" ht="22.5" customHeight="1">
      <c r="A434">
        <f>Table4[[#This Row],[Column1]]</f>
        <v>0</v>
      </c>
      <c r="B434">
        <f>Table4[[#This Row],[Column2]]</f>
        <v>0</v>
      </c>
      <c r="L434"/>
    </row>
    <row r="435" spans="1:12" ht="22.5" customHeight="1">
      <c r="A435">
        <f>Table4[[#This Row],[Column1]]</f>
        <v>0</v>
      </c>
      <c r="B435">
        <f>Table4[[#This Row],[Column2]]</f>
        <v>0</v>
      </c>
      <c r="L435"/>
    </row>
    <row r="436" spans="1:12" ht="22.5" customHeight="1">
      <c r="A436">
        <f>Table4[[#This Row],[Column1]]</f>
        <v>0</v>
      </c>
      <c r="B436">
        <f>Table4[[#This Row],[Column2]]</f>
        <v>0</v>
      </c>
      <c r="L436"/>
    </row>
    <row r="437" spans="1:12" ht="22.5" customHeight="1">
      <c r="A437">
        <f>Table4[[#This Row],[Column1]]</f>
        <v>0</v>
      </c>
      <c r="B437">
        <f>Table4[[#This Row],[Column2]]</f>
        <v>0</v>
      </c>
      <c r="L437"/>
    </row>
    <row r="438" spans="1:12" ht="22.5" customHeight="1">
      <c r="A438">
        <f>Table4[[#This Row],[Column1]]</f>
        <v>0</v>
      </c>
      <c r="B438">
        <f>Table4[[#This Row],[Column2]]</f>
        <v>0</v>
      </c>
      <c r="L438"/>
    </row>
    <row r="439" spans="1:12" ht="22.5" customHeight="1">
      <c r="A439">
        <f>Table4[[#This Row],[Column1]]</f>
        <v>0</v>
      </c>
      <c r="B439">
        <f>Table4[[#This Row],[Column2]]</f>
        <v>0</v>
      </c>
      <c r="L439"/>
    </row>
    <row r="440" spans="1:12" ht="22.5" customHeight="1">
      <c r="A440">
        <f>Table4[[#This Row],[Column1]]</f>
        <v>0</v>
      </c>
      <c r="B440">
        <f>Table4[[#This Row],[Column2]]</f>
        <v>0</v>
      </c>
      <c r="L440"/>
    </row>
    <row r="441" spans="1:12" ht="22.5" customHeight="1">
      <c r="A441">
        <f>Table4[[#This Row],[Column1]]</f>
        <v>0</v>
      </c>
      <c r="B441">
        <f>Table4[[#This Row],[Column2]]</f>
        <v>0</v>
      </c>
      <c r="L441"/>
    </row>
    <row r="442" spans="1:12" ht="22.5" customHeight="1">
      <c r="A442">
        <f>Table4[[#This Row],[Column1]]</f>
        <v>0</v>
      </c>
      <c r="B442">
        <f>Table4[[#This Row],[Column2]]</f>
        <v>0</v>
      </c>
      <c r="L442"/>
    </row>
    <row r="443" spans="1:12" ht="22.5" customHeight="1">
      <c r="A443">
        <f>Table4[[#This Row],[Column1]]</f>
        <v>0</v>
      </c>
      <c r="B443">
        <f>Table4[[#This Row],[Column2]]</f>
        <v>0</v>
      </c>
      <c r="L443"/>
    </row>
    <row r="444" spans="1:12" ht="22.5" customHeight="1">
      <c r="A444">
        <f>Table4[[#This Row],[Column1]]</f>
        <v>0</v>
      </c>
      <c r="B444">
        <f>Table4[[#This Row],[Column2]]</f>
        <v>0</v>
      </c>
      <c r="L444"/>
    </row>
    <row r="445" spans="1:12" ht="22.5" customHeight="1">
      <c r="A445">
        <f>Table4[[#This Row],[Column1]]</f>
        <v>0</v>
      </c>
      <c r="B445">
        <f>Table4[[#This Row],[Column2]]</f>
        <v>0</v>
      </c>
      <c r="L445"/>
    </row>
    <row r="446" spans="1:12" ht="22.5" customHeight="1">
      <c r="A446">
        <f>Table4[[#This Row],[Column1]]</f>
        <v>0</v>
      </c>
      <c r="B446">
        <f>Table4[[#This Row],[Column2]]</f>
        <v>0</v>
      </c>
      <c r="L446"/>
    </row>
    <row r="447" spans="1:12" ht="22.5" customHeight="1">
      <c r="A447">
        <f>Table4[[#This Row],[Column1]]</f>
        <v>0</v>
      </c>
      <c r="B447">
        <f>Table4[[#This Row],[Column2]]</f>
        <v>0</v>
      </c>
      <c r="L447"/>
    </row>
    <row r="448" spans="1:12" ht="22.5" customHeight="1">
      <c r="A448">
        <f>Table4[[#This Row],[Column1]]</f>
        <v>0</v>
      </c>
      <c r="B448">
        <f>Table4[[#This Row],[Column2]]</f>
        <v>0</v>
      </c>
      <c r="L448"/>
    </row>
    <row r="449" spans="1:12" ht="22.5" customHeight="1">
      <c r="A449">
        <f>Table4[[#This Row],[Column1]]</f>
        <v>0</v>
      </c>
      <c r="B449">
        <f>Table4[[#This Row],[Column2]]</f>
        <v>0</v>
      </c>
      <c r="L449"/>
    </row>
    <row r="450" spans="1:12" ht="22.5" customHeight="1">
      <c r="A450">
        <f>Table4[[#This Row],[Column1]]</f>
        <v>0</v>
      </c>
      <c r="B450">
        <f>Table4[[#This Row],[Column2]]</f>
        <v>0</v>
      </c>
      <c r="L450"/>
    </row>
    <row r="451" spans="1:12" ht="22.5" customHeight="1">
      <c r="A451">
        <f>Table4[[#This Row],[Column1]]</f>
        <v>0</v>
      </c>
      <c r="B451">
        <f>Table4[[#This Row],[Column2]]</f>
        <v>0</v>
      </c>
      <c r="L451"/>
    </row>
    <row r="452" spans="1:12" ht="22.5" customHeight="1">
      <c r="A452">
        <f>Table4[[#This Row],[Column1]]</f>
        <v>0</v>
      </c>
      <c r="B452">
        <f>Table4[[#This Row],[Column2]]</f>
        <v>0</v>
      </c>
      <c r="L452"/>
    </row>
    <row r="453" spans="1:12" ht="22.5" customHeight="1">
      <c r="A453">
        <f>Table4[[#This Row],[Column1]]</f>
        <v>0</v>
      </c>
      <c r="B453">
        <f>Table4[[#This Row],[Column2]]</f>
        <v>0</v>
      </c>
      <c r="L453"/>
    </row>
    <row r="454" spans="1:12" ht="22.5" customHeight="1">
      <c r="A454">
        <f>Table4[[#This Row],[Column1]]</f>
        <v>0</v>
      </c>
      <c r="B454">
        <f>Table4[[#This Row],[Column2]]</f>
        <v>0</v>
      </c>
      <c r="L454"/>
    </row>
    <row r="455" spans="1:12" ht="22.5" customHeight="1">
      <c r="A455">
        <f>Table4[[#This Row],[Column1]]</f>
        <v>0</v>
      </c>
      <c r="B455">
        <f>Table4[[#This Row],[Column2]]</f>
        <v>0</v>
      </c>
      <c r="L455"/>
    </row>
    <row r="456" spans="1:12" ht="22.5" customHeight="1">
      <c r="A456">
        <f>Table4[[#This Row],[Column1]]</f>
        <v>0</v>
      </c>
      <c r="B456">
        <f>Table4[[#This Row],[Column2]]</f>
        <v>0</v>
      </c>
      <c r="L456"/>
    </row>
    <row r="457" spans="1:12" ht="22.5" customHeight="1">
      <c r="A457">
        <f>Table4[[#This Row],[Column1]]</f>
        <v>0</v>
      </c>
      <c r="B457">
        <f>Table4[[#This Row],[Column2]]</f>
        <v>0</v>
      </c>
      <c r="L457"/>
    </row>
    <row r="458" spans="1:12" ht="22.5" customHeight="1">
      <c r="A458">
        <f>Table4[[#This Row],[Column1]]</f>
        <v>0</v>
      </c>
      <c r="B458">
        <f>Table4[[#This Row],[Column2]]</f>
        <v>0</v>
      </c>
      <c r="L458"/>
    </row>
    <row r="459" spans="1:12" ht="22.5" customHeight="1">
      <c r="A459">
        <f>Table4[[#This Row],[Column1]]</f>
        <v>0</v>
      </c>
      <c r="B459">
        <f>Table4[[#This Row],[Column2]]</f>
        <v>0</v>
      </c>
      <c r="L459"/>
    </row>
    <row r="460" spans="1:12" ht="22.5" customHeight="1">
      <c r="A460">
        <f>Table4[[#This Row],[Column1]]</f>
        <v>0</v>
      </c>
      <c r="B460">
        <f>Table4[[#This Row],[Column2]]</f>
        <v>0</v>
      </c>
      <c r="L460"/>
    </row>
    <row r="461" spans="1:12" ht="22.5" customHeight="1">
      <c r="A461">
        <f>Table4[[#This Row],[Column1]]</f>
        <v>0</v>
      </c>
      <c r="B461">
        <f>Table4[[#This Row],[Column2]]</f>
        <v>0</v>
      </c>
      <c r="L461"/>
    </row>
    <row r="462" spans="1:12" ht="22.5" customHeight="1">
      <c r="A462">
        <f>Table4[[#This Row],[Column1]]</f>
        <v>0</v>
      </c>
      <c r="B462">
        <f>Table4[[#This Row],[Column2]]</f>
        <v>0</v>
      </c>
      <c r="L462"/>
    </row>
    <row r="463" spans="1:12" ht="22.5" customHeight="1">
      <c r="A463">
        <f>Table4[[#This Row],[Column1]]</f>
        <v>0</v>
      </c>
      <c r="B463">
        <f>Table4[[#This Row],[Column2]]</f>
        <v>0</v>
      </c>
      <c r="L463"/>
    </row>
    <row r="464" spans="1:12" ht="22.5" customHeight="1">
      <c r="A464">
        <f>Table4[[#This Row],[Column1]]</f>
        <v>0</v>
      </c>
      <c r="B464">
        <f>Table4[[#This Row],[Column2]]</f>
        <v>0</v>
      </c>
      <c r="L464"/>
    </row>
    <row r="465" spans="1:12" ht="22.5" customHeight="1">
      <c r="A465">
        <f>Table4[[#This Row],[Column1]]</f>
        <v>0</v>
      </c>
      <c r="B465">
        <f>Table4[[#This Row],[Column2]]</f>
        <v>0</v>
      </c>
      <c r="L465"/>
    </row>
    <row r="466" spans="1:12" ht="22.5" customHeight="1">
      <c r="A466">
        <f>Table4[[#This Row],[Column1]]</f>
        <v>0</v>
      </c>
      <c r="B466">
        <f>Table4[[#This Row],[Column2]]</f>
        <v>0</v>
      </c>
      <c r="L466"/>
    </row>
    <row r="467" spans="1:12" ht="22.5" customHeight="1">
      <c r="A467">
        <f>Table4[[#This Row],[Column1]]</f>
        <v>0</v>
      </c>
      <c r="B467">
        <f>Table4[[#This Row],[Column2]]</f>
        <v>0</v>
      </c>
      <c r="L467"/>
    </row>
    <row r="468" spans="1:12" ht="22.5" customHeight="1">
      <c r="A468">
        <f>Table4[[#This Row],[Column1]]</f>
        <v>0</v>
      </c>
      <c r="B468">
        <f>Table4[[#This Row],[Column2]]</f>
        <v>0</v>
      </c>
      <c r="L468"/>
    </row>
    <row r="469" spans="1:12" ht="22.5" customHeight="1">
      <c r="A469">
        <f>Table4[[#This Row],[Column1]]</f>
        <v>0</v>
      </c>
      <c r="B469">
        <f>Table4[[#This Row],[Column2]]</f>
        <v>0</v>
      </c>
      <c r="L469"/>
    </row>
    <row r="470" spans="1:12" ht="22.5" customHeight="1">
      <c r="A470">
        <f>Table4[[#This Row],[Column1]]</f>
        <v>0</v>
      </c>
      <c r="B470">
        <f>Table4[[#This Row],[Column2]]</f>
        <v>0</v>
      </c>
      <c r="L470"/>
    </row>
    <row r="471" spans="1:12" ht="22.5" customHeight="1">
      <c r="A471">
        <f>Table4[[#This Row],[Column1]]</f>
        <v>0</v>
      </c>
      <c r="B471">
        <f>Table4[[#This Row],[Column2]]</f>
        <v>0</v>
      </c>
      <c r="L471"/>
    </row>
    <row r="472" spans="1:12" ht="22.5" customHeight="1">
      <c r="A472">
        <f>Table4[[#This Row],[Column1]]</f>
        <v>0</v>
      </c>
      <c r="B472">
        <f>Table4[[#This Row],[Column2]]</f>
        <v>0</v>
      </c>
      <c r="L472"/>
    </row>
    <row r="473" spans="1:12" ht="22.5" customHeight="1">
      <c r="A473">
        <f>Table4[[#This Row],[Column1]]</f>
        <v>0</v>
      </c>
      <c r="B473">
        <f>Table4[[#This Row],[Column2]]</f>
        <v>0</v>
      </c>
      <c r="L473"/>
    </row>
    <row r="474" spans="1:12" ht="22.5" customHeight="1">
      <c r="A474">
        <f>Table4[[#This Row],[Column1]]</f>
        <v>0</v>
      </c>
      <c r="B474">
        <f>Table4[[#This Row],[Column2]]</f>
        <v>0</v>
      </c>
      <c r="L474"/>
    </row>
    <row r="475" spans="1:12" ht="22.5" customHeight="1">
      <c r="A475">
        <f>Table4[[#This Row],[Column1]]</f>
        <v>0</v>
      </c>
      <c r="B475">
        <f>Table4[[#This Row],[Column2]]</f>
        <v>0</v>
      </c>
      <c r="L475"/>
    </row>
    <row r="476" spans="1:12" ht="22.5" customHeight="1">
      <c r="A476">
        <f>Table4[[#This Row],[Column1]]</f>
        <v>0</v>
      </c>
      <c r="B476">
        <f>Table4[[#This Row],[Column2]]</f>
        <v>0</v>
      </c>
      <c r="L476"/>
    </row>
    <row r="477" spans="1:12" ht="22.5" customHeight="1">
      <c r="A477">
        <f>Table4[[#This Row],[Column1]]</f>
        <v>0</v>
      </c>
      <c r="B477">
        <f>Table4[[#This Row],[Column2]]</f>
        <v>0</v>
      </c>
      <c r="L477"/>
    </row>
    <row r="478" spans="1:12" ht="22.5" customHeight="1">
      <c r="A478">
        <f>Table4[[#This Row],[Column1]]</f>
        <v>0</v>
      </c>
      <c r="B478">
        <f>Table4[[#This Row],[Column2]]</f>
        <v>0</v>
      </c>
      <c r="L478"/>
    </row>
    <row r="479" spans="1:12" ht="22.5" customHeight="1">
      <c r="A479">
        <f>Table4[[#This Row],[Column1]]</f>
        <v>0</v>
      </c>
      <c r="B479">
        <f>Table4[[#This Row],[Column2]]</f>
        <v>0</v>
      </c>
      <c r="L479"/>
    </row>
    <row r="480" spans="1:12" ht="22.5" customHeight="1">
      <c r="A480">
        <f>Table4[[#This Row],[Column1]]</f>
        <v>0</v>
      </c>
      <c r="B480">
        <f>Table4[[#This Row],[Column2]]</f>
        <v>0</v>
      </c>
      <c r="L480"/>
    </row>
    <row r="481" spans="1:12" ht="22.5" customHeight="1">
      <c r="A481">
        <f>Table4[[#This Row],[Column1]]</f>
        <v>0</v>
      </c>
      <c r="B481">
        <f>Table4[[#This Row],[Column2]]</f>
        <v>0</v>
      </c>
      <c r="L481"/>
    </row>
    <row r="482" spans="1:12" ht="22.5" customHeight="1">
      <c r="A482">
        <f>Table4[[#This Row],[Column1]]</f>
        <v>0</v>
      </c>
      <c r="B482">
        <f>Table4[[#This Row],[Column2]]</f>
        <v>0</v>
      </c>
      <c r="L482"/>
    </row>
    <row r="483" spans="1:12" ht="22.5" customHeight="1">
      <c r="A483">
        <f>Table4[[#This Row],[Column1]]</f>
        <v>0</v>
      </c>
      <c r="B483">
        <f>Table4[[#This Row],[Column2]]</f>
        <v>0</v>
      </c>
      <c r="L483"/>
    </row>
    <row r="484" spans="1:12" ht="22.5" customHeight="1">
      <c r="A484">
        <f>Table4[[#This Row],[Column1]]</f>
        <v>0</v>
      </c>
      <c r="B484">
        <f>Table4[[#This Row],[Column2]]</f>
        <v>0</v>
      </c>
      <c r="L484"/>
    </row>
    <row r="485" spans="1:12" ht="22.5" customHeight="1">
      <c r="A485">
        <f>Table4[[#This Row],[Column1]]</f>
        <v>0</v>
      </c>
      <c r="B485">
        <f>Table4[[#This Row],[Column2]]</f>
        <v>0</v>
      </c>
      <c r="L485"/>
    </row>
    <row r="486" spans="1:12" ht="22.5" customHeight="1">
      <c r="A486">
        <f>Table4[[#This Row],[Column1]]</f>
        <v>0</v>
      </c>
      <c r="B486">
        <f>Table4[[#This Row],[Column2]]</f>
        <v>0</v>
      </c>
      <c r="L486"/>
    </row>
    <row r="487" spans="1:12" ht="22.5" customHeight="1">
      <c r="A487">
        <f>Table4[[#This Row],[Column1]]</f>
        <v>0</v>
      </c>
      <c r="B487">
        <f>Table4[[#This Row],[Column2]]</f>
        <v>0</v>
      </c>
      <c r="L487"/>
    </row>
    <row r="488" spans="1:12" ht="22.5" customHeight="1">
      <c r="A488">
        <f>Table4[[#This Row],[Column1]]</f>
        <v>0</v>
      </c>
      <c r="B488">
        <f>Table4[[#This Row],[Column2]]</f>
        <v>0</v>
      </c>
      <c r="L488"/>
    </row>
    <row r="489" spans="1:12" ht="22.5" customHeight="1">
      <c r="A489">
        <f>Table4[[#This Row],[Column1]]</f>
        <v>0</v>
      </c>
      <c r="B489">
        <f>Table4[[#This Row],[Column2]]</f>
        <v>0</v>
      </c>
      <c r="L489"/>
    </row>
    <row r="490" spans="1:12" ht="22.5" customHeight="1">
      <c r="A490">
        <f>Table4[[#This Row],[Column1]]</f>
        <v>0</v>
      </c>
      <c r="B490">
        <f>Table4[[#This Row],[Column2]]</f>
        <v>0</v>
      </c>
      <c r="L490"/>
    </row>
    <row r="491" spans="1:12" ht="22.5" customHeight="1">
      <c r="A491">
        <f>Table4[[#This Row],[Column1]]</f>
        <v>0</v>
      </c>
      <c r="B491">
        <f>Table4[[#This Row],[Column2]]</f>
        <v>0</v>
      </c>
      <c r="L491"/>
    </row>
    <row r="492" spans="1:12" ht="22.5" customHeight="1">
      <c r="A492">
        <f>Table4[[#This Row],[Column1]]</f>
        <v>0</v>
      </c>
      <c r="B492">
        <f>Table4[[#This Row],[Column2]]</f>
        <v>0</v>
      </c>
      <c r="L492"/>
    </row>
    <row r="493" spans="1:12" ht="22.5" customHeight="1">
      <c r="A493">
        <f>Table4[[#This Row],[Column1]]</f>
        <v>0</v>
      </c>
      <c r="B493">
        <f>Table4[[#This Row],[Column2]]</f>
        <v>0</v>
      </c>
      <c r="L493"/>
    </row>
    <row r="494" spans="1:12" ht="22.5" customHeight="1">
      <c r="A494">
        <f>Table4[[#This Row],[Column1]]</f>
        <v>0</v>
      </c>
      <c r="B494">
        <f>Table4[[#This Row],[Column2]]</f>
        <v>0</v>
      </c>
      <c r="L494"/>
    </row>
    <row r="495" spans="1:12" ht="22.5" customHeight="1">
      <c r="A495">
        <f>Table4[[#This Row],[Column1]]</f>
        <v>0</v>
      </c>
      <c r="B495">
        <f>Table4[[#This Row],[Column2]]</f>
        <v>0</v>
      </c>
      <c r="L495"/>
    </row>
    <row r="496" spans="1:12" ht="22.5" customHeight="1">
      <c r="A496">
        <f>Table4[[#This Row],[Column1]]</f>
        <v>0</v>
      </c>
      <c r="B496">
        <f>Table4[[#This Row],[Column2]]</f>
        <v>0</v>
      </c>
      <c r="L496"/>
    </row>
    <row r="497" spans="1:12" ht="22.5" customHeight="1">
      <c r="A497">
        <f>Table4[[#This Row],[Column1]]</f>
        <v>0</v>
      </c>
      <c r="B497">
        <f>Table4[[#This Row],[Column2]]</f>
        <v>0</v>
      </c>
      <c r="L497"/>
    </row>
    <row r="498" spans="1:12" ht="22.5" customHeight="1">
      <c r="A498">
        <f>Table4[[#This Row],[Column1]]</f>
        <v>0</v>
      </c>
      <c r="B498">
        <f>Table4[[#This Row],[Column2]]</f>
        <v>0</v>
      </c>
      <c r="L498"/>
    </row>
    <row r="499" spans="1:12" ht="22.5" customHeight="1">
      <c r="A499">
        <f>Table4[[#This Row],[Column1]]</f>
        <v>0</v>
      </c>
      <c r="B499">
        <f>Table4[[#This Row],[Column2]]</f>
        <v>0</v>
      </c>
      <c r="L499"/>
    </row>
    <row r="500" spans="1:12" ht="22.5" customHeight="1">
      <c r="A500">
        <f>Table4[[#This Row],[Column1]]</f>
        <v>0</v>
      </c>
      <c r="B500">
        <f>Table4[[#This Row],[Column2]]</f>
        <v>0</v>
      </c>
      <c r="L500"/>
    </row>
    <row r="501" spans="1:12" ht="22.5" customHeight="1">
      <c r="A501">
        <f>Table4[[#This Row],[Column1]]</f>
        <v>0</v>
      </c>
      <c r="B501">
        <f>Table4[[#This Row],[Column2]]</f>
        <v>0</v>
      </c>
      <c r="L501"/>
    </row>
    <row r="502" spans="1:12" ht="22.5" customHeight="1">
      <c r="A502">
        <f>Table4[[#This Row],[Column1]]</f>
        <v>0</v>
      </c>
      <c r="B502">
        <f>Table4[[#This Row],[Column2]]</f>
        <v>0</v>
      </c>
      <c r="L502"/>
    </row>
    <row r="503" spans="1:12" ht="22.5" customHeight="1">
      <c r="A503">
        <f>Table4[[#This Row],[Column1]]</f>
        <v>0</v>
      </c>
      <c r="B503">
        <f>Table4[[#This Row],[Column2]]</f>
        <v>0</v>
      </c>
      <c r="L503"/>
    </row>
    <row r="504" spans="1:12" ht="22.5" customHeight="1">
      <c r="A504">
        <f>Table4[[#This Row],[Column1]]</f>
        <v>0</v>
      </c>
      <c r="B504">
        <f>Table4[[#This Row],[Column2]]</f>
        <v>0</v>
      </c>
      <c r="L504"/>
    </row>
    <row r="505" spans="1:12" ht="22.5" customHeight="1">
      <c r="A505">
        <f>Table4[[#This Row],[Column1]]</f>
        <v>0</v>
      </c>
      <c r="B505">
        <f>Table4[[#This Row],[Column2]]</f>
        <v>0</v>
      </c>
      <c r="L505"/>
    </row>
    <row r="506" spans="1:12" ht="22.5" customHeight="1">
      <c r="A506">
        <f>Table4[[#This Row],[Column1]]</f>
        <v>0</v>
      </c>
      <c r="B506">
        <f>Table4[[#This Row],[Column2]]</f>
        <v>0</v>
      </c>
      <c r="L506"/>
    </row>
    <row r="507" spans="1:12" ht="22.5" customHeight="1">
      <c r="A507">
        <f>Table4[[#This Row],[Column1]]</f>
        <v>0</v>
      </c>
      <c r="B507">
        <f>Table4[[#This Row],[Column2]]</f>
        <v>0</v>
      </c>
      <c r="L507"/>
    </row>
    <row r="508" spans="1:12" ht="22.5" customHeight="1">
      <c r="A508">
        <f>Table4[[#This Row],[Column1]]</f>
        <v>0</v>
      </c>
      <c r="B508">
        <f>Table4[[#This Row],[Column2]]</f>
        <v>0</v>
      </c>
      <c r="L508"/>
    </row>
    <row r="509" spans="1:12" ht="22.5" customHeight="1">
      <c r="A509">
        <f>Table4[[#This Row],[Column1]]</f>
        <v>0</v>
      </c>
      <c r="B509">
        <f>Table4[[#This Row],[Column2]]</f>
        <v>0</v>
      </c>
      <c r="L509"/>
    </row>
    <row r="510" spans="1:12" ht="22.5" customHeight="1">
      <c r="A510">
        <f>Table4[[#This Row],[Column1]]</f>
        <v>0</v>
      </c>
      <c r="B510">
        <f>Table4[[#This Row],[Column2]]</f>
        <v>0</v>
      </c>
      <c r="L510"/>
    </row>
    <row r="511" spans="1:12" ht="22.5" customHeight="1">
      <c r="A511">
        <f>Table4[[#This Row],[Column1]]</f>
        <v>0</v>
      </c>
      <c r="B511">
        <f>Table4[[#This Row],[Column2]]</f>
        <v>0</v>
      </c>
      <c r="L511"/>
    </row>
    <row r="512" spans="1:12" ht="22.5" customHeight="1">
      <c r="A512">
        <f>Table4[[#This Row],[Column1]]</f>
        <v>0</v>
      </c>
      <c r="B512">
        <f>Table4[[#This Row],[Column2]]</f>
        <v>0</v>
      </c>
      <c r="L512"/>
    </row>
    <row r="513" spans="1:12" ht="22.5" customHeight="1">
      <c r="A513">
        <f>Table4[[#This Row],[Column1]]</f>
        <v>0</v>
      </c>
      <c r="B513">
        <f>Table4[[#This Row],[Column2]]</f>
        <v>0</v>
      </c>
      <c r="L513"/>
    </row>
    <row r="514" spans="1:12" ht="22.5" customHeight="1">
      <c r="A514">
        <f>Table4[[#This Row],[Column1]]</f>
        <v>0</v>
      </c>
      <c r="B514">
        <f>Table4[[#This Row],[Column2]]</f>
        <v>0</v>
      </c>
      <c r="L514"/>
    </row>
    <row r="515" spans="1:12" ht="22.5" customHeight="1">
      <c r="A515">
        <f>Table4[[#This Row],[Column1]]</f>
        <v>0</v>
      </c>
      <c r="B515">
        <f>Table4[[#This Row],[Column2]]</f>
        <v>0</v>
      </c>
      <c r="L515"/>
    </row>
    <row r="516" spans="1:12" ht="22.5" customHeight="1">
      <c r="A516">
        <f>Table4[[#This Row],[Column1]]</f>
        <v>0</v>
      </c>
      <c r="B516">
        <f>Table4[[#This Row],[Column2]]</f>
        <v>0</v>
      </c>
      <c r="L516"/>
    </row>
    <row r="517" spans="1:12" ht="22.5" customHeight="1">
      <c r="A517">
        <f>Table4[[#This Row],[Column1]]</f>
        <v>0</v>
      </c>
      <c r="B517">
        <f>Table4[[#This Row],[Column2]]</f>
        <v>0</v>
      </c>
      <c r="L517"/>
    </row>
    <row r="518" spans="1:12" ht="22.5" customHeight="1">
      <c r="A518">
        <f>Table4[[#This Row],[Column1]]</f>
        <v>0</v>
      </c>
      <c r="B518">
        <f>Table4[[#This Row],[Column2]]</f>
        <v>0</v>
      </c>
      <c r="L518"/>
    </row>
    <row r="519" spans="1:12" ht="22.5" customHeight="1">
      <c r="A519">
        <f>Table4[[#This Row],[Column1]]</f>
        <v>0</v>
      </c>
      <c r="B519">
        <f>Table4[[#This Row],[Column2]]</f>
        <v>0</v>
      </c>
      <c r="L519"/>
    </row>
    <row r="520" spans="1:12" ht="22.5" customHeight="1">
      <c r="A520">
        <f>Table4[[#This Row],[Column1]]</f>
        <v>0</v>
      </c>
      <c r="B520">
        <f>Table4[[#This Row],[Column2]]</f>
        <v>0</v>
      </c>
      <c r="L520"/>
    </row>
    <row r="521" spans="1:12" ht="22.5" customHeight="1">
      <c r="A521">
        <f>Table4[[#This Row],[Column1]]</f>
        <v>0</v>
      </c>
      <c r="B521">
        <f>Table4[[#This Row],[Column2]]</f>
        <v>0</v>
      </c>
      <c r="L521"/>
    </row>
    <row r="522" spans="1:12" ht="22.5" customHeight="1">
      <c r="A522">
        <f>Table4[[#This Row],[Column1]]</f>
        <v>0</v>
      </c>
      <c r="B522">
        <f>Table4[[#This Row],[Column2]]</f>
        <v>0</v>
      </c>
      <c r="L522"/>
    </row>
    <row r="523" spans="1:12" ht="22.5" customHeight="1">
      <c r="A523">
        <f>Table4[[#This Row],[Column1]]</f>
        <v>0</v>
      </c>
      <c r="B523">
        <f>Table4[[#This Row],[Column2]]</f>
        <v>0</v>
      </c>
      <c r="L523"/>
    </row>
    <row r="524" spans="1:12" ht="22.5" customHeight="1">
      <c r="A524">
        <f>Table4[[#This Row],[Column1]]</f>
        <v>0</v>
      </c>
      <c r="B524">
        <f>Table4[[#This Row],[Column2]]</f>
        <v>0</v>
      </c>
      <c r="L524"/>
    </row>
    <row r="525" spans="1:12" ht="22.5" customHeight="1">
      <c r="A525">
        <f>Table4[[#This Row],[Column1]]</f>
        <v>0</v>
      </c>
      <c r="B525">
        <f>Table4[[#This Row],[Column2]]</f>
        <v>0</v>
      </c>
      <c r="L525"/>
    </row>
    <row r="526" spans="1:12" ht="22.5" customHeight="1">
      <c r="A526">
        <f>Table4[[#This Row],[Column1]]</f>
        <v>0</v>
      </c>
      <c r="B526">
        <f>Table4[[#This Row],[Column2]]</f>
        <v>0</v>
      </c>
      <c r="L526"/>
    </row>
    <row r="527" spans="1:12" ht="22.5" customHeight="1">
      <c r="A527">
        <f>Table4[[#This Row],[Column1]]</f>
        <v>0</v>
      </c>
      <c r="B527">
        <f>Table4[[#This Row],[Column2]]</f>
        <v>0</v>
      </c>
      <c r="L527"/>
    </row>
    <row r="528" spans="1:12" ht="22.5" customHeight="1">
      <c r="A528">
        <f>Table4[[#This Row],[Column1]]</f>
        <v>0</v>
      </c>
      <c r="B528">
        <f>Table4[[#This Row],[Column2]]</f>
        <v>0</v>
      </c>
      <c r="L528"/>
    </row>
    <row r="529" spans="1:12" ht="22.5" customHeight="1">
      <c r="A529">
        <f>Table4[[#This Row],[Column1]]</f>
        <v>0</v>
      </c>
      <c r="B529">
        <f>Table4[[#This Row],[Column2]]</f>
        <v>0</v>
      </c>
      <c r="L529"/>
    </row>
    <row r="530" spans="1:12" ht="22.5" customHeight="1">
      <c r="A530">
        <f>Table4[[#This Row],[Column1]]</f>
        <v>0</v>
      </c>
      <c r="B530">
        <f>Table4[[#This Row],[Column2]]</f>
        <v>0</v>
      </c>
      <c r="L530"/>
    </row>
    <row r="531" spans="1:12" ht="22.5" customHeight="1">
      <c r="A531">
        <f>Table4[[#This Row],[Column1]]</f>
        <v>0</v>
      </c>
      <c r="B531">
        <f>Table4[[#This Row],[Column2]]</f>
        <v>0</v>
      </c>
      <c r="L531"/>
    </row>
    <row r="532" spans="1:12" ht="22.5" customHeight="1">
      <c r="A532">
        <f>Table4[[#This Row],[Column1]]</f>
        <v>0</v>
      </c>
      <c r="B532">
        <f>Table4[[#This Row],[Column2]]</f>
        <v>0</v>
      </c>
      <c r="L532"/>
    </row>
    <row r="533" spans="1:12" ht="22.5" customHeight="1">
      <c r="A533">
        <f>Table4[[#This Row],[Column1]]</f>
        <v>0</v>
      </c>
      <c r="B533">
        <f>Table4[[#This Row],[Column2]]</f>
        <v>0</v>
      </c>
      <c r="L533"/>
    </row>
    <row r="534" spans="1:12" ht="22.5" customHeight="1">
      <c r="A534">
        <f>Table4[[#This Row],[Column1]]</f>
        <v>0</v>
      </c>
      <c r="B534">
        <f>Table4[[#This Row],[Column2]]</f>
        <v>0</v>
      </c>
      <c r="L534"/>
    </row>
    <row r="535" spans="1:12" ht="22.5" customHeight="1">
      <c r="A535">
        <f>Table4[[#This Row],[Column1]]</f>
        <v>0</v>
      </c>
      <c r="B535">
        <f>Table4[[#This Row],[Column2]]</f>
        <v>0</v>
      </c>
      <c r="L535"/>
    </row>
    <row r="536" spans="1:12" ht="22.5" customHeight="1">
      <c r="A536">
        <f>Table4[[#This Row],[Column1]]</f>
        <v>0</v>
      </c>
      <c r="B536">
        <f>Table4[[#This Row],[Column2]]</f>
        <v>0</v>
      </c>
      <c r="L536"/>
    </row>
    <row r="537" spans="1:12" ht="22.5" customHeight="1">
      <c r="A537">
        <f>Table4[[#This Row],[Column1]]</f>
        <v>0</v>
      </c>
      <c r="B537">
        <f>Table4[[#This Row],[Column2]]</f>
        <v>0</v>
      </c>
      <c r="L537"/>
    </row>
    <row r="538" spans="1:12" ht="22.5" customHeight="1">
      <c r="A538">
        <f>Table4[[#This Row],[Column1]]</f>
        <v>0</v>
      </c>
      <c r="B538">
        <f>Table4[[#This Row],[Column2]]</f>
        <v>0</v>
      </c>
      <c r="L538"/>
    </row>
    <row r="539" spans="1:12" ht="22.5" customHeight="1">
      <c r="A539">
        <f>Table4[[#This Row],[Column1]]</f>
        <v>0</v>
      </c>
      <c r="B539">
        <f>Table4[[#This Row],[Column2]]</f>
        <v>0</v>
      </c>
      <c r="L539"/>
    </row>
    <row r="540" spans="1:12" ht="22.5" customHeight="1">
      <c r="A540">
        <f>Table4[[#This Row],[Column1]]</f>
        <v>0</v>
      </c>
      <c r="B540">
        <f>Table4[[#This Row],[Column2]]</f>
        <v>0</v>
      </c>
      <c r="L540"/>
    </row>
    <row r="541" spans="1:12" ht="22.5" customHeight="1">
      <c r="A541">
        <f>Table4[[#This Row],[Column1]]</f>
        <v>0</v>
      </c>
      <c r="B541">
        <f>Table4[[#This Row],[Column2]]</f>
        <v>0</v>
      </c>
      <c r="L541"/>
    </row>
    <row r="542" spans="1:12" ht="22.5" customHeight="1">
      <c r="A542">
        <f>Table4[[#This Row],[Column1]]</f>
        <v>0</v>
      </c>
      <c r="B542">
        <f>Table4[[#This Row],[Column2]]</f>
        <v>0</v>
      </c>
      <c r="L542"/>
    </row>
    <row r="543" spans="1:12" ht="22.5" customHeight="1">
      <c r="A543">
        <f>Table4[[#This Row],[Column1]]</f>
        <v>0</v>
      </c>
      <c r="B543">
        <f>Table4[[#This Row],[Column2]]</f>
        <v>0</v>
      </c>
      <c r="L543"/>
    </row>
    <row r="544" spans="1:12" ht="22.5" customHeight="1">
      <c r="A544">
        <f>Table4[[#This Row],[Column1]]</f>
        <v>0</v>
      </c>
      <c r="B544">
        <f>Table4[[#This Row],[Column2]]</f>
        <v>0</v>
      </c>
      <c r="L544"/>
    </row>
    <row r="545" spans="1:12" ht="22.5" customHeight="1">
      <c r="A545">
        <f>Table4[[#This Row],[Column1]]</f>
        <v>0</v>
      </c>
      <c r="B545">
        <f>Table4[[#This Row],[Column2]]</f>
        <v>0</v>
      </c>
      <c r="L545"/>
    </row>
    <row r="546" spans="1:12" ht="22.5" customHeight="1">
      <c r="A546">
        <f>Table4[[#This Row],[Column1]]</f>
        <v>0</v>
      </c>
      <c r="B546">
        <f>Table4[[#This Row],[Column2]]</f>
        <v>0</v>
      </c>
      <c r="L546"/>
    </row>
    <row r="547" spans="1:12" ht="22.5" customHeight="1">
      <c r="A547">
        <f>Table4[[#This Row],[Column1]]</f>
        <v>0</v>
      </c>
      <c r="B547">
        <f>Table4[[#This Row],[Column2]]</f>
        <v>0</v>
      </c>
      <c r="L547"/>
    </row>
    <row r="548" spans="1:12" ht="22.5" customHeight="1">
      <c r="A548">
        <f>Table4[[#This Row],[Column1]]</f>
        <v>0</v>
      </c>
      <c r="B548">
        <f>Table4[[#This Row],[Column2]]</f>
        <v>0</v>
      </c>
      <c r="L548"/>
    </row>
    <row r="549" spans="1:12" ht="22.5" customHeight="1">
      <c r="A549">
        <f>Table4[[#This Row],[Column1]]</f>
        <v>0</v>
      </c>
      <c r="B549">
        <f>Table4[[#This Row],[Column2]]</f>
        <v>0</v>
      </c>
      <c r="L549"/>
    </row>
    <row r="550" spans="1:12" ht="22.5" customHeight="1">
      <c r="A550">
        <f>Table4[[#This Row],[Column1]]</f>
        <v>0</v>
      </c>
      <c r="B550">
        <f>Table4[[#This Row],[Column2]]</f>
        <v>0</v>
      </c>
      <c r="L550"/>
    </row>
    <row r="551" spans="1:12" ht="22.5" customHeight="1">
      <c r="A551">
        <f>Table4[[#This Row],[Column1]]</f>
        <v>0</v>
      </c>
      <c r="B551">
        <f>Table4[[#This Row],[Column2]]</f>
        <v>0</v>
      </c>
      <c r="L551"/>
    </row>
    <row r="552" spans="1:12" ht="22.5" customHeight="1">
      <c r="A552">
        <f>Table4[[#This Row],[Column1]]</f>
        <v>0</v>
      </c>
      <c r="B552">
        <f>Table4[[#This Row],[Column2]]</f>
        <v>0</v>
      </c>
      <c r="L552"/>
    </row>
    <row r="553" spans="1:12" ht="22.5" customHeight="1">
      <c r="A553">
        <f>Table4[[#This Row],[Column1]]</f>
        <v>0</v>
      </c>
      <c r="B553">
        <f>Table4[[#This Row],[Column2]]</f>
        <v>0</v>
      </c>
      <c r="L553"/>
    </row>
    <row r="554" spans="1:12" ht="22.5" customHeight="1">
      <c r="A554">
        <f>Table4[[#This Row],[Column1]]</f>
        <v>0</v>
      </c>
      <c r="B554">
        <f>Table4[[#This Row],[Column2]]</f>
        <v>0</v>
      </c>
      <c r="L554"/>
    </row>
    <row r="555" spans="1:12" ht="22.5" customHeight="1">
      <c r="A555">
        <f>Table4[[#This Row],[Column1]]</f>
        <v>0</v>
      </c>
      <c r="B555">
        <f>Table4[[#This Row],[Column2]]</f>
        <v>0</v>
      </c>
      <c r="L555"/>
    </row>
    <row r="556" spans="1:12" ht="22.5" customHeight="1">
      <c r="A556">
        <f>Table4[[#This Row],[Column1]]</f>
        <v>0</v>
      </c>
      <c r="B556">
        <f>Table4[[#This Row],[Column2]]</f>
        <v>0</v>
      </c>
      <c r="L556"/>
    </row>
    <row r="557" spans="1:12" ht="22.5" customHeight="1">
      <c r="A557">
        <f>Table4[[#This Row],[Column1]]</f>
        <v>0</v>
      </c>
      <c r="B557">
        <f>Table4[[#This Row],[Column2]]</f>
        <v>0</v>
      </c>
      <c r="L557"/>
    </row>
    <row r="558" spans="1:12" ht="22.5" customHeight="1">
      <c r="A558">
        <f>Table4[[#This Row],[Column1]]</f>
        <v>0</v>
      </c>
      <c r="B558">
        <f>Table4[[#This Row],[Column2]]</f>
        <v>0</v>
      </c>
      <c r="L558"/>
    </row>
    <row r="559" spans="1:12" ht="22.5" customHeight="1">
      <c r="A559">
        <f>Table4[[#This Row],[Column1]]</f>
        <v>0</v>
      </c>
      <c r="B559">
        <f>Table4[[#This Row],[Column2]]</f>
        <v>0</v>
      </c>
      <c r="L559"/>
    </row>
    <row r="560" spans="1:12" ht="22.5" customHeight="1">
      <c r="A560">
        <f>Table4[[#This Row],[Column1]]</f>
        <v>0</v>
      </c>
      <c r="B560">
        <f>Table4[[#This Row],[Column2]]</f>
        <v>0</v>
      </c>
      <c r="L560"/>
    </row>
    <row r="561" spans="1:12" ht="22.5" customHeight="1">
      <c r="A561">
        <f>Table4[[#This Row],[Column1]]</f>
        <v>0</v>
      </c>
      <c r="B561">
        <f>Table4[[#This Row],[Column2]]</f>
        <v>0</v>
      </c>
      <c r="L561"/>
    </row>
    <row r="562" spans="1:12" ht="22.5" customHeight="1">
      <c r="A562">
        <f>Table4[[#This Row],[Column1]]</f>
        <v>0</v>
      </c>
      <c r="B562">
        <f>Table4[[#This Row],[Column2]]</f>
        <v>0</v>
      </c>
      <c r="L562"/>
    </row>
    <row r="563" spans="1:12" ht="22.5" customHeight="1">
      <c r="A563">
        <f>Table4[[#This Row],[Column1]]</f>
        <v>0</v>
      </c>
      <c r="B563">
        <f>Table4[[#This Row],[Column2]]</f>
        <v>0</v>
      </c>
      <c r="L563"/>
    </row>
    <row r="564" spans="1:12" ht="22.5" customHeight="1">
      <c r="A564">
        <f>Table4[[#This Row],[Column1]]</f>
        <v>0</v>
      </c>
      <c r="B564">
        <f>Table4[[#This Row],[Column2]]</f>
        <v>0</v>
      </c>
      <c r="L564"/>
    </row>
    <row r="565" spans="1:12" ht="22.5" customHeight="1">
      <c r="A565">
        <f>Table4[[#This Row],[Column1]]</f>
        <v>0</v>
      </c>
      <c r="B565">
        <f>Table4[[#This Row],[Column2]]</f>
        <v>0</v>
      </c>
      <c r="L565"/>
    </row>
    <row r="566" spans="1:12" ht="22.5" customHeight="1">
      <c r="A566">
        <f>Table4[[#This Row],[Column1]]</f>
        <v>0</v>
      </c>
      <c r="B566">
        <f>Table4[[#This Row],[Column2]]</f>
        <v>0</v>
      </c>
      <c r="L566"/>
    </row>
    <row r="567" spans="1:12" ht="22.5" customHeight="1">
      <c r="A567">
        <f>Table4[[#This Row],[Column1]]</f>
        <v>0</v>
      </c>
      <c r="B567">
        <f>Table4[[#This Row],[Column2]]</f>
        <v>0</v>
      </c>
      <c r="L567"/>
    </row>
    <row r="568" spans="1:12" ht="22.5" customHeight="1">
      <c r="A568">
        <f>Table4[[#This Row],[Column1]]</f>
        <v>0</v>
      </c>
      <c r="B568">
        <f>Table4[[#This Row],[Column2]]</f>
        <v>0</v>
      </c>
      <c r="L568"/>
    </row>
    <row r="569" spans="1:12" ht="22.5" customHeight="1">
      <c r="A569">
        <f>Table4[[#This Row],[Column1]]</f>
        <v>0</v>
      </c>
      <c r="B569">
        <f>Table4[[#This Row],[Column2]]</f>
        <v>0</v>
      </c>
      <c r="L569"/>
    </row>
    <row r="570" spans="1:12" ht="22.5" customHeight="1">
      <c r="A570">
        <f>Table4[[#This Row],[Column1]]</f>
        <v>0</v>
      </c>
      <c r="B570">
        <f>Table4[[#This Row],[Column2]]</f>
        <v>0</v>
      </c>
      <c r="L570"/>
    </row>
    <row r="571" spans="1:12" ht="22.5" customHeight="1">
      <c r="A571">
        <f>Table4[[#This Row],[Column1]]</f>
        <v>0</v>
      </c>
      <c r="B571">
        <f>Table4[[#This Row],[Column2]]</f>
        <v>0</v>
      </c>
      <c r="L571"/>
    </row>
    <row r="572" spans="1:12" ht="22.5" customHeight="1">
      <c r="A572">
        <f>Table4[[#This Row],[Column1]]</f>
        <v>0</v>
      </c>
      <c r="B572">
        <f>Table4[[#This Row],[Column2]]</f>
        <v>0</v>
      </c>
      <c r="L572"/>
    </row>
    <row r="573" spans="1:12" ht="22.5" customHeight="1">
      <c r="A573">
        <f>Table4[[#This Row],[Column1]]</f>
        <v>0</v>
      </c>
      <c r="B573">
        <f>Table4[[#This Row],[Column2]]</f>
        <v>0</v>
      </c>
      <c r="L573"/>
    </row>
    <row r="574" spans="1:12" ht="22.5" customHeight="1">
      <c r="A574">
        <f>Table4[[#This Row],[Column1]]</f>
        <v>0</v>
      </c>
      <c r="B574">
        <f>Table4[[#This Row],[Column2]]</f>
        <v>0</v>
      </c>
      <c r="L574"/>
    </row>
    <row r="575" spans="1:12" ht="22.5" customHeight="1">
      <c r="A575">
        <f>Table4[[#This Row],[Column1]]</f>
        <v>0</v>
      </c>
      <c r="B575">
        <f>Table4[[#This Row],[Column2]]</f>
        <v>0</v>
      </c>
      <c r="L575"/>
    </row>
    <row r="576" spans="1:12" ht="22.5" customHeight="1">
      <c r="A576">
        <f>Table4[[#This Row],[Column1]]</f>
        <v>0</v>
      </c>
      <c r="B576">
        <f>Table4[[#This Row],[Column2]]</f>
        <v>0</v>
      </c>
      <c r="L576"/>
    </row>
    <row r="577" spans="1:12" ht="22.5" customHeight="1">
      <c r="A577">
        <f>Table4[[#This Row],[Column1]]</f>
        <v>0</v>
      </c>
      <c r="B577">
        <f>Table4[[#This Row],[Column2]]</f>
        <v>0</v>
      </c>
      <c r="L577"/>
    </row>
    <row r="578" spans="1:12" ht="22.5" customHeight="1">
      <c r="A578">
        <f>Table4[[#This Row],[Column1]]</f>
        <v>0</v>
      </c>
      <c r="B578">
        <f>Table4[[#This Row],[Column2]]</f>
        <v>0</v>
      </c>
      <c r="L578"/>
    </row>
    <row r="579" spans="1:12" ht="22.5" customHeight="1">
      <c r="A579">
        <f>Table4[[#This Row],[Column1]]</f>
        <v>0</v>
      </c>
      <c r="B579">
        <f>Table4[[#This Row],[Column2]]</f>
        <v>0</v>
      </c>
      <c r="L579"/>
    </row>
    <row r="580" spans="1:12" ht="22.5" customHeight="1">
      <c r="A580">
        <f>Table4[[#This Row],[Column1]]</f>
        <v>0</v>
      </c>
      <c r="B580">
        <f>Table4[[#This Row],[Column2]]</f>
        <v>0</v>
      </c>
      <c r="L580"/>
    </row>
    <row r="581" spans="1:12" ht="22.5" customHeight="1">
      <c r="A581">
        <f>Table4[[#This Row],[Column1]]</f>
        <v>0</v>
      </c>
      <c r="B581">
        <f>Table4[[#This Row],[Column2]]</f>
        <v>0</v>
      </c>
      <c r="L581"/>
    </row>
    <row r="582" spans="1:12" ht="22.5" customHeight="1">
      <c r="A582">
        <f>Table4[[#This Row],[Column1]]</f>
        <v>0</v>
      </c>
      <c r="B582">
        <f>Table4[[#This Row],[Column2]]</f>
        <v>0</v>
      </c>
      <c r="L582"/>
    </row>
    <row r="583" spans="1:12" ht="22.5" customHeight="1">
      <c r="A583">
        <f>Table4[[#This Row],[Column1]]</f>
        <v>0</v>
      </c>
      <c r="B583">
        <f>Table4[[#This Row],[Column2]]</f>
        <v>0</v>
      </c>
      <c r="L583"/>
    </row>
    <row r="584" spans="1:12" ht="22.5" customHeight="1">
      <c r="A584">
        <f>Table4[[#This Row],[Column1]]</f>
        <v>0</v>
      </c>
      <c r="B584">
        <f>Table4[[#This Row],[Column2]]</f>
        <v>0</v>
      </c>
      <c r="L584"/>
    </row>
    <row r="585" spans="1:12" ht="22.5" customHeight="1">
      <c r="A585">
        <f>Table4[[#This Row],[Column1]]</f>
        <v>0</v>
      </c>
      <c r="B585">
        <f>Table4[[#This Row],[Column2]]</f>
        <v>0</v>
      </c>
      <c r="L585"/>
    </row>
    <row r="586" spans="1:12" ht="22.5" customHeight="1">
      <c r="A586">
        <f>Table4[[#This Row],[Column1]]</f>
        <v>0</v>
      </c>
      <c r="B586">
        <f>Table4[[#This Row],[Column2]]</f>
        <v>0</v>
      </c>
      <c r="L586"/>
    </row>
    <row r="587" spans="1:12" ht="22.5" customHeight="1">
      <c r="A587">
        <f>Table4[[#This Row],[Column1]]</f>
        <v>0</v>
      </c>
      <c r="B587">
        <f>Table4[[#This Row],[Column2]]</f>
        <v>0</v>
      </c>
      <c r="L587"/>
    </row>
    <row r="588" spans="1:12" ht="22.5" customHeight="1">
      <c r="A588">
        <f>Table4[[#This Row],[Column1]]</f>
        <v>0</v>
      </c>
      <c r="B588">
        <f>Table4[[#This Row],[Column2]]</f>
        <v>0</v>
      </c>
      <c r="L588"/>
    </row>
    <row r="589" spans="1:12" ht="22.5" customHeight="1">
      <c r="A589">
        <f>Table4[[#This Row],[Column1]]</f>
        <v>0</v>
      </c>
      <c r="B589">
        <f>Table4[[#This Row],[Column2]]</f>
        <v>0</v>
      </c>
      <c r="L589"/>
    </row>
    <row r="590" spans="1:12" ht="22.5" customHeight="1">
      <c r="A590">
        <f>Table4[[#This Row],[Column1]]</f>
        <v>0</v>
      </c>
      <c r="B590">
        <f>Table4[[#This Row],[Column2]]</f>
        <v>0</v>
      </c>
      <c r="L590"/>
    </row>
    <row r="591" spans="1:12" ht="22.5" customHeight="1">
      <c r="A591">
        <f>Table4[[#This Row],[Column1]]</f>
        <v>0</v>
      </c>
      <c r="B591">
        <f>Table4[[#This Row],[Column2]]</f>
        <v>0</v>
      </c>
      <c r="L591"/>
    </row>
    <row r="592" spans="1:12" ht="22.5" customHeight="1">
      <c r="A592">
        <f>Table4[[#This Row],[Column1]]</f>
        <v>0</v>
      </c>
      <c r="B592">
        <f>Table4[[#This Row],[Column2]]</f>
        <v>0</v>
      </c>
      <c r="L592"/>
    </row>
    <row r="593" spans="1:12" ht="22.5" customHeight="1">
      <c r="A593">
        <f>Table4[[#This Row],[Column1]]</f>
        <v>0</v>
      </c>
      <c r="B593">
        <f>Table4[[#This Row],[Column2]]</f>
        <v>0</v>
      </c>
      <c r="L593"/>
    </row>
    <row r="594" spans="1:12" ht="22.5" customHeight="1">
      <c r="A594">
        <f>Table4[[#This Row],[Column1]]</f>
        <v>0</v>
      </c>
      <c r="B594">
        <f>Table4[[#This Row],[Column2]]</f>
        <v>0</v>
      </c>
      <c r="L594"/>
    </row>
    <row r="595" spans="1:12" ht="22.5" customHeight="1">
      <c r="A595">
        <f>Table4[[#This Row],[Column1]]</f>
        <v>0</v>
      </c>
      <c r="B595">
        <f>Table4[[#This Row],[Column2]]</f>
        <v>0</v>
      </c>
      <c r="L595"/>
    </row>
    <row r="596" spans="1:12" ht="22.5" customHeight="1">
      <c r="A596">
        <f>Table4[[#This Row],[Column1]]</f>
        <v>0</v>
      </c>
      <c r="B596">
        <f>Table4[[#This Row],[Column2]]</f>
        <v>0</v>
      </c>
      <c r="L596"/>
    </row>
    <row r="597" spans="1:12" ht="22.5" customHeight="1">
      <c r="A597">
        <f>Table4[[#This Row],[Column1]]</f>
        <v>0</v>
      </c>
      <c r="B597">
        <f>Table4[[#This Row],[Column2]]</f>
        <v>0</v>
      </c>
      <c r="L597"/>
    </row>
    <row r="598" spans="1:12" ht="22.5" customHeight="1">
      <c r="A598">
        <f>Table4[[#This Row],[Column1]]</f>
        <v>0</v>
      </c>
      <c r="B598">
        <f>Table4[[#This Row],[Column2]]</f>
        <v>0</v>
      </c>
      <c r="L598"/>
    </row>
    <row r="599" spans="1:12" ht="22.5" customHeight="1">
      <c r="A599">
        <f>Table4[[#This Row],[Column1]]</f>
        <v>0</v>
      </c>
      <c r="B599">
        <f>Table4[[#This Row],[Column2]]</f>
        <v>0</v>
      </c>
      <c r="L599"/>
    </row>
    <row r="600" spans="1:12" ht="22.5" customHeight="1">
      <c r="A600">
        <f>Table4[[#This Row],[Column1]]</f>
        <v>0</v>
      </c>
      <c r="B600">
        <f>Table4[[#This Row],[Column2]]</f>
        <v>0</v>
      </c>
      <c r="L600"/>
    </row>
    <row r="601" spans="1:12" ht="22.5" customHeight="1">
      <c r="A601">
        <f>Table4[[#This Row],[Column1]]</f>
        <v>0</v>
      </c>
      <c r="B601">
        <f>Table4[[#This Row],[Column2]]</f>
        <v>0</v>
      </c>
      <c r="L601"/>
    </row>
    <row r="602" spans="1:12" ht="22.5" customHeight="1">
      <c r="A602">
        <f>Table4[[#This Row],[Column1]]</f>
        <v>0</v>
      </c>
      <c r="B602">
        <f>Table4[[#This Row],[Column2]]</f>
        <v>0</v>
      </c>
      <c r="L602"/>
    </row>
    <row r="603" spans="1:12" ht="22.5" customHeight="1">
      <c r="A603">
        <f>Table4[[#This Row],[Column1]]</f>
        <v>0</v>
      </c>
      <c r="B603">
        <f>Table4[[#This Row],[Column2]]</f>
        <v>0</v>
      </c>
      <c r="L603"/>
    </row>
    <row r="604" spans="1:12" ht="22.5" customHeight="1">
      <c r="A604">
        <f>Table4[[#This Row],[Column1]]</f>
        <v>0</v>
      </c>
      <c r="B604">
        <f>Table4[[#This Row],[Column2]]</f>
        <v>0</v>
      </c>
      <c r="L604"/>
    </row>
    <row r="605" spans="1:12" ht="22.5" customHeight="1">
      <c r="A605">
        <f>Table4[[#This Row],[Column1]]</f>
        <v>0</v>
      </c>
      <c r="B605">
        <f>Table4[[#This Row],[Column2]]</f>
        <v>0</v>
      </c>
      <c r="L605"/>
    </row>
    <row r="606" spans="1:12" ht="22.5" customHeight="1">
      <c r="A606">
        <f>Table4[[#This Row],[Column1]]</f>
        <v>0</v>
      </c>
      <c r="B606">
        <f>Table4[[#This Row],[Column2]]</f>
        <v>0</v>
      </c>
      <c r="L606"/>
    </row>
    <row r="607" spans="1:12" ht="22.5" customHeight="1">
      <c r="A607">
        <f>Table4[[#This Row],[Column1]]</f>
        <v>0</v>
      </c>
      <c r="B607">
        <f>Table4[[#This Row],[Column2]]</f>
        <v>0</v>
      </c>
      <c r="L607"/>
    </row>
    <row r="608" spans="1:12" ht="22.5" customHeight="1">
      <c r="A608">
        <f>Table4[[#This Row],[Column1]]</f>
        <v>0</v>
      </c>
      <c r="B608">
        <f>Table4[[#This Row],[Column2]]</f>
        <v>0</v>
      </c>
      <c r="L608"/>
    </row>
    <row r="609" spans="1:12" ht="22.5" customHeight="1">
      <c r="A609">
        <f>Table4[[#This Row],[Column1]]</f>
        <v>0</v>
      </c>
      <c r="B609">
        <f>Table4[[#This Row],[Column2]]</f>
        <v>0</v>
      </c>
      <c r="L609"/>
    </row>
    <row r="610" spans="1:12" ht="22.5" customHeight="1">
      <c r="A610">
        <f>Table4[[#This Row],[Column1]]</f>
        <v>0</v>
      </c>
      <c r="B610">
        <f>Table4[[#This Row],[Column2]]</f>
        <v>0</v>
      </c>
      <c r="L610"/>
    </row>
    <row r="611" spans="1:12" ht="22.5" customHeight="1">
      <c r="A611">
        <f>Table4[[#This Row],[Column1]]</f>
        <v>0</v>
      </c>
      <c r="B611">
        <f>Table4[[#This Row],[Column2]]</f>
        <v>0</v>
      </c>
      <c r="L611"/>
    </row>
    <row r="612" spans="1:12" ht="22.5" customHeight="1">
      <c r="A612">
        <f>Table4[[#This Row],[Column1]]</f>
        <v>0</v>
      </c>
      <c r="B612">
        <f>Table4[[#This Row],[Column2]]</f>
        <v>0</v>
      </c>
      <c r="L612"/>
    </row>
    <row r="613" spans="1:12" ht="22.5" customHeight="1">
      <c r="A613">
        <f>Table4[[#This Row],[Column1]]</f>
        <v>0</v>
      </c>
      <c r="B613">
        <f>Table4[[#This Row],[Column2]]</f>
        <v>0</v>
      </c>
      <c r="L613"/>
    </row>
    <row r="614" spans="1:12" ht="22.5" customHeight="1">
      <c r="A614">
        <f>Table4[[#This Row],[Column1]]</f>
        <v>0</v>
      </c>
      <c r="B614">
        <f>Table4[[#This Row],[Column2]]</f>
        <v>0</v>
      </c>
      <c r="L614"/>
    </row>
    <row r="615" spans="1:12" ht="22.5" customHeight="1">
      <c r="A615">
        <f>Table4[[#This Row],[Column1]]</f>
        <v>0</v>
      </c>
      <c r="B615">
        <f>Table4[[#This Row],[Column2]]</f>
        <v>0</v>
      </c>
      <c r="L615"/>
    </row>
    <row r="616" spans="1:12" ht="22.5" customHeight="1">
      <c r="A616">
        <f>Table4[[#This Row],[Column1]]</f>
        <v>0</v>
      </c>
      <c r="B616">
        <f>Table4[[#This Row],[Column2]]</f>
        <v>0</v>
      </c>
      <c r="L616"/>
    </row>
    <row r="617" spans="1:12" ht="22.5" customHeight="1">
      <c r="A617">
        <f>Table4[[#This Row],[Column1]]</f>
        <v>0</v>
      </c>
      <c r="B617">
        <f>Table4[[#This Row],[Column2]]</f>
        <v>0</v>
      </c>
      <c r="L617"/>
    </row>
    <row r="618" spans="1:12" ht="22.5" customHeight="1">
      <c r="A618">
        <f>Table4[[#This Row],[Column1]]</f>
        <v>0</v>
      </c>
      <c r="B618">
        <f>Table4[[#This Row],[Column2]]</f>
        <v>0</v>
      </c>
      <c r="L618"/>
    </row>
    <row r="619" spans="1:12" ht="22.5" customHeight="1">
      <c r="A619">
        <f>Table4[[#This Row],[Column1]]</f>
        <v>0</v>
      </c>
      <c r="B619">
        <f>Table4[[#This Row],[Column2]]</f>
        <v>0</v>
      </c>
      <c r="L619"/>
    </row>
    <row r="620" spans="1:12" ht="22.5" customHeight="1">
      <c r="A620">
        <f>Table4[[#This Row],[Column1]]</f>
        <v>0</v>
      </c>
      <c r="B620">
        <f>Table4[[#This Row],[Column2]]</f>
        <v>0</v>
      </c>
      <c r="L620"/>
    </row>
    <row r="621" spans="1:12" ht="22.5" customHeight="1">
      <c r="A621">
        <f>Table4[[#This Row],[Column1]]</f>
        <v>0</v>
      </c>
      <c r="B621">
        <f>Table4[[#This Row],[Column2]]</f>
        <v>0</v>
      </c>
      <c r="L621"/>
    </row>
    <row r="622" spans="1:12" ht="22.5" customHeight="1">
      <c r="A622">
        <f>Table4[[#This Row],[Column1]]</f>
        <v>0</v>
      </c>
      <c r="B622">
        <f>Table4[[#This Row],[Column2]]</f>
        <v>0</v>
      </c>
      <c r="L622"/>
    </row>
    <row r="623" spans="1:12" ht="22.5" customHeight="1">
      <c r="A623">
        <f>Table4[[#This Row],[Column1]]</f>
        <v>0</v>
      </c>
      <c r="B623">
        <f>Table4[[#This Row],[Column2]]</f>
        <v>0</v>
      </c>
      <c r="L623"/>
    </row>
    <row r="624" spans="1:12" ht="22.5" customHeight="1">
      <c r="A624">
        <f>Table4[[#This Row],[Column1]]</f>
        <v>0</v>
      </c>
      <c r="B624">
        <f>Table4[[#This Row],[Column2]]</f>
        <v>0</v>
      </c>
      <c r="L624"/>
    </row>
    <row r="625" spans="1:12" ht="22.5" customHeight="1">
      <c r="A625">
        <f>Table4[[#This Row],[Column1]]</f>
        <v>0</v>
      </c>
      <c r="B625">
        <f>Table4[[#This Row],[Column2]]</f>
        <v>0</v>
      </c>
      <c r="L625"/>
    </row>
    <row r="626" spans="1:12" ht="22.5" customHeight="1">
      <c r="A626">
        <f>Table4[[#This Row],[Column1]]</f>
        <v>0</v>
      </c>
      <c r="B626">
        <f>Table4[[#This Row],[Column2]]</f>
        <v>0</v>
      </c>
      <c r="L626"/>
    </row>
    <row r="627" spans="1:12" ht="22.5" customHeight="1">
      <c r="A627">
        <f>Table4[[#This Row],[Column1]]</f>
        <v>0</v>
      </c>
      <c r="B627">
        <f>Table4[[#This Row],[Column2]]</f>
        <v>0</v>
      </c>
      <c r="L627"/>
    </row>
    <row r="628" spans="1:12" ht="22.5" customHeight="1">
      <c r="A628">
        <f>Table4[[#This Row],[Column1]]</f>
        <v>0</v>
      </c>
      <c r="B628">
        <f>Table4[[#This Row],[Column2]]</f>
        <v>0</v>
      </c>
      <c r="L628"/>
    </row>
    <row r="629" spans="1:12" ht="22.5" customHeight="1">
      <c r="A629">
        <f>Table4[[#This Row],[Column1]]</f>
        <v>0</v>
      </c>
      <c r="B629">
        <f>Table4[[#This Row],[Column2]]</f>
        <v>0</v>
      </c>
      <c r="L629"/>
    </row>
    <row r="630" spans="1:12" ht="22.5" customHeight="1">
      <c r="A630">
        <f>Table4[[#This Row],[Column1]]</f>
        <v>0</v>
      </c>
      <c r="B630">
        <f>Table4[[#This Row],[Column2]]</f>
        <v>0</v>
      </c>
      <c r="L630"/>
    </row>
    <row r="631" spans="1:12" ht="22.5" customHeight="1">
      <c r="A631">
        <f>Table4[[#This Row],[Column1]]</f>
        <v>0</v>
      </c>
      <c r="B631">
        <f>Table4[[#This Row],[Column2]]</f>
        <v>0</v>
      </c>
      <c r="L631"/>
    </row>
    <row r="632" spans="1:12" ht="22.5" customHeight="1">
      <c r="A632">
        <f>Table4[[#This Row],[Column1]]</f>
        <v>0</v>
      </c>
      <c r="B632">
        <f>Table4[[#This Row],[Column2]]</f>
        <v>0</v>
      </c>
      <c r="L632"/>
    </row>
    <row r="633" spans="1:12" ht="22.5" customHeight="1">
      <c r="A633">
        <f>Table4[[#This Row],[Column1]]</f>
        <v>0</v>
      </c>
      <c r="B633">
        <f>Table4[[#This Row],[Column2]]</f>
        <v>0</v>
      </c>
      <c r="L633"/>
    </row>
    <row r="634" spans="1:12" ht="22.5" customHeight="1">
      <c r="A634">
        <f>Table4[[#This Row],[Column1]]</f>
        <v>0</v>
      </c>
      <c r="B634">
        <f>Table4[[#This Row],[Column2]]</f>
        <v>0</v>
      </c>
      <c r="L634"/>
    </row>
    <row r="635" spans="1:12" ht="22.5" customHeight="1">
      <c r="A635">
        <f>Table4[[#This Row],[Column1]]</f>
        <v>0</v>
      </c>
      <c r="B635">
        <f>Table4[[#This Row],[Column2]]</f>
        <v>0</v>
      </c>
      <c r="L635"/>
    </row>
    <row r="636" spans="1:12" ht="22.5" customHeight="1">
      <c r="A636">
        <f>Table4[[#This Row],[Column1]]</f>
        <v>0</v>
      </c>
      <c r="B636">
        <f>Table4[[#This Row],[Column2]]</f>
        <v>0</v>
      </c>
      <c r="L636"/>
    </row>
    <row r="637" spans="1:12" ht="22.5" customHeight="1">
      <c r="A637">
        <f>Table4[[#This Row],[Column1]]</f>
        <v>0</v>
      </c>
      <c r="B637">
        <f>Table4[[#This Row],[Column2]]</f>
        <v>0</v>
      </c>
      <c r="L637"/>
    </row>
    <row r="638" spans="1:12" ht="22.5" customHeight="1">
      <c r="A638">
        <f>Table4[[#This Row],[Column1]]</f>
        <v>0</v>
      </c>
      <c r="B638">
        <f>Table4[[#This Row],[Column2]]</f>
        <v>0</v>
      </c>
      <c r="L638"/>
    </row>
    <row r="639" spans="1:12" ht="22.5" customHeight="1">
      <c r="A639">
        <f>Table4[[#This Row],[Column1]]</f>
        <v>0</v>
      </c>
      <c r="B639">
        <f>Table4[[#This Row],[Column2]]</f>
        <v>0</v>
      </c>
      <c r="L639"/>
    </row>
    <row r="640" spans="1:12" ht="22.5" customHeight="1">
      <c r="A640">
        <f>Table4[[#This Row],[Column1]]</f>
        <v>0</v>
      </c>
      <c r="B640">
        <f>Table4[[#This Row],[Column2]]</f>
        <v>0</v>
      </c>
      <c r="L640"/>
    </row>
    <row r="641" spans="1:12" ht="22.5" customHeight="1">
      <c r="A641">
        <f>Table4[[#This Row],[Column1]]</f>
        <v>0</v>
      </c>
      <c r="B641">
        <f>Table4[[#This Row],[Column2]]</f>
        <v>0</v>
      </c>
      <c r="L641"/>
    </row>
    <row r="642" spans="1:12" ht="22.5" customHeight="1">
      <c r="A642">
        <f>Table4[[#This Row],[Column1]]</f>
        <v>0</v>
      </c>
      <c r="B642">
        <f>Table4[[#This Row],[Column2]]</f>
        <v>0</v>
      </c>
      <c r="L642"/>
    </row>
    <row r="643" spans="1:12" ht="22.5" customHeight="1">
      <c r="A643">
        <f>Table4[[#This Row],[Column1]]</f>
        <v>0</v>
      </c>
      <c r="B643">
        <f>Table4[[#This Row],[Column2]]</f>
        <v>0</v>
      </c>
      <c r="L643"/>
    </row>
    <row r="644" spans="1:12" ht="22.5" customHeight="1">
      <c r="A644">
        <f>Table4[[#This Row],[Column1]]</f>
        <v>0</v>
      </c>
      <c r="B644">
        <f>Table4[[#This Row],[Column2]]</f>
        <v>0</v>
      </c>
      <c r="L644"/>
    </row>
    <row r="645" spans="1:12" ht="22.5" customHeight="1">
      <c r="A645">
        <f>Table4[[#This Row],[Column1]]</f>
        <v>0</v>
      </c>
      <c r="B645">
        <f>Table4[[#This Row],[Column2]]</f>
        <v>0</v>
      </c>
      <c r="L645"/>
    </row>
    <row r="646" spans="1:12" ht="22.5" customHeight="1">
      <c r="A646">
        <f>Table4[[#This Row],[Column1]]</f>
        <v>0</v>
      </c>
      <c r="B646">
        <f>Table4[[#This Row],[Column2]]</f>
        <v>0</v>
      </c>
      <c r="L646"/>
    </row>
    <row r="647" spans="1:12" ht="22.5" customHeight="1">
      <c r="A647">
        <f>Table4[[#This Row],[Column1]]</f>
        <v>0</v>
      </c>
      <c r="B647">
        <f>Table4[[#This Row],[Column2]]</f>
        <v>0</v>
      </c>
      <c r="L647"/>
    </row>
    <row r="648" spans="1:12" ht="22.5" customHeight="1">
      <c r="A648">
        <f>Table4[[#This Row],[Column1]]</f>
        <v>0</v>
      </c>
      <c r="B648">
        <f>Table4[[#This Row],[Column2]]</f>
        <v>0</v>
      </c>
      <c r="L648"/>
    </row>
    <row r="649" spans="1:12" ht="22.5" customHeight="1">
      <c r="A649">
        <f>Table4[[#This Row],[Column1]]</f>
        <v>0</v>
      </c>
      <c r="B649">
        <f>Table4[[#This Row],[Column2]]</f>
        <v>0</v>
      </c>
      <c r="L649"/>
    </row>
    <row r="650" spans="1:12" ht="22.5" customHeight="1">
      <c r="A650">
        <f>Table4[[#This Row],[Column1]]</f>
        <v>0</v>
      </c>
      <c r="B650">
        <f>Table4[[#This Row],[Column2]]</f>
        <v>0</v>
      </c>
      <c r="L650"/>
    </row>
    <row r="651" spans="1:12" ht="22.5" customHeight="1">
      <c r="A651">
        <f>Table4[[#This Row],[Column1]]</f>
        <v>0</v>
      </c>
      <c r="B651">
        <f>Table4[[#This Row],[Column2]]</f>
        <v>0</v>
      </c>
      <c r="L651"/>
    </row>
    <row r="652" spans="1:12" ht="22.5" customHeight="1">
      <c r="A652">
        <f>Table4[[#This Row],[Column1]]</f>
        <v>0</v>
      </c>
      <c r="B652">
        <f>Table4[[#This Row],[Column2]]</f>
        <v>0</v>
      </c>
      <c r="L652"/>
    </row>
    <row r="653" spans="1:12" ht="22.5" customHeight="1">
      <c r="A653">
        <f>Table4[[#This Row],[Column1]]</f>
        <v>0</v>
      </c>
      <c r="B653">
        <f>Table4[[#This Row],[Column2]]</f>
        <v>0</v>
      </c>
      <c r="L653"/>
    </row>
    <row r="654" spans="1:12" ht="22.5" customHeight="1">
      <c r="A654">
        <f>Table4[[#This Row],[Column1]]</f>
        <v>0</v>
      </c>
      <c r="B654">
        <f>Table4[[#This Row],[Column2]]</f>
        <v>0</v>
      </c>
      <c r="L654"/>
    </row>
    <row r="655" spans="1:12" ht="22.5" customHeight="1">
      <c r="A655">
        <f>Table4[[#This Row],[Column1]]</f>
        <v>0</v>
      </c>
      <c r="B655">
        <f>Table4[[#This Row],[Column2]]</f>
        <v>0</v>
      </c>
      <c r="L655"/>
    </row>
    <row r="656" spans="1:12" ht="22.5" customHeight="1">
      <c r="A656">
        <f>Table4[[#This Row],[Column1]]</f>
        <v>0</v>
      </c>
      <c r="B656">
        <f>Table4[[#This Row],[Column2]]</f>
        <v>0</v>
      </c>
      <c r="L656"/>
    </row>
    <row r="657" spans="1:12" ht="22.5" customHeight="1">
      <c r="A657">
        <f>Table4[[#This Row],[Column1]]</f>
        <v>0</v>
      </c>
      <c r="B657">
        <f>Table4[[#This Row],[Column2]]</f>
        <v>0</v>
      </c>
      <c r="L657"/>
    </row>
    <row r="658" spans="1:12" ht="22.5" customHeight="1">
      <c r="A658">
        <f>Table4[[#This Row],[Column1]]</f>
        <v>0</v>
      </c>
      <c r="B658">
        <f>Table4[[#This Row],[Column2]]</f>
        <v>0</v>
      </c>
      <c r="L658"/>
    </row>
    <row r="659" spans="1:12" ht="22.5" customHeight="1">
      <c r="A659">
        <f>Table4[[#This Row],[Column1]]</f>
        <v>0</v>
      </c>
      <c r="B659">
        <f>Table4[[#This Row],[Column2]]</f>
        <v>0</v>
      </c>
      <c r="L659"/>
    </row>
    <row r="660" spans="1:12" ht="22.5" customHeight="1">
      <c r="A660">
        <f>Table4[[#This Row],[Column1]]</f>
        <v>0</v>
      </c>
      <c r="B660">
        <f>Table4[[#This Row],[Column2]]</f>
        <v>0</v>
      </c>
      <c r="L660"/>
    </row>
    <row r="661" spans="1:12" ht="22.5" customHeight="1">
      <c r="A661">
        <f>Table4[[#This Row],[Column1]]</f>
        <v>0</v>
      </c>
      <c r="B661">
        <f>Table4[[#This Row],[Column2]]</f>
        <v>0</v>
      </c>
      <c r="L661"/>
    </row>
    <row r="662" spans="1:12" ht="22.5" customHeight="1">
      <c r="A662">
        <f>Table4[[#This Row],[Column1]]</f>
        <v>0</v>
      </c>
      <c r="B662">
        <f>Table4[[#This Row],[Column2]]</f>
        <v>0</v>
      </c>
      <c r="L662"/>
    </row>
    <row r="663" spans="1:12" ht="22.5" customHeight="1">
      <c r="A663">
        <f>Table4[[#This Row],[Column1]]</f>
        <v>0</v>
      </c>
      <c r="B663">
        <f>Table4[[#This Row],[Column2]]</f>
        <v>0</v>
      </c>
      <c r="L663"/>
    </row>
    <row r="664" spans="1:12" ht="22.5" customHeight="1">
      <c r="A664">
        <f>Table4[[#This Row],[Column1]]</f>
        <v>0</v>
      </c>
      <c r="B664">
        <f>Table4[[#This Row],[Column2]]</f>
        <v>0</v>
      </c>
      <c r="L664"/>
    </row>
    <row r="665" spans="1:12" ht="22.5" customHeight="1">
      <c r="A665">
        <f>Table4[[#This Row],[Column1]]</f>
        <v>0</v>
      </c>
      <c r="B665">
        <f>Table4[[#This Row],[Column2]]</f>
        <v>0</v>
      </c>
      <c r="L665"/>
    </row>
    <row r="666" spans="1:12" ht="22.5" customHeight="1">
      <c r="A666">
        <f>Table4[[#This Row],[Column1]]</f>
        <v>0</v>
      </c>
      <c r="B666">
        <f>Table4[[#This Row],[Column2]]</f>
        <v>0</v>
      </c>
      <c r="L666"/>
    </row>
    <row r="667" spans="1:12" ht="22.5" customHeight="1">
      <c r="A667">
        <f>Table4[[#This Row],[Column1]]</f>
        <v>0</v>
      </c>
      <c r="B667">
        <f>Table4[[#This Row],[Column2]]</f>
        <v>0</v>
      </c>
      <c r="L667"/>
    </row>
    <row r="668" spans="1:12" ht="22.5" customHeight="1">
      <c r="A668">
        <f>Table4[[#This Row],[Column1]]</f>
        <v>0</v>
      </c>
      <c r="B668">
        <f>Table4[[#This Row],[Column2]]</f>
        <v>0</v>
      </c>
      <c r="L668"/>
    </row>
    <row r="669" spans="1:12" ht="22.5" customHeight="1">
      <c r="A669">
        <f>Table4[[#This Row],[Column1]]</f>
        <v>0</v>
      </c>
      <c r="B669">
        <f>Table4[[#This Row],[Column2]]</f>
        <v>0</v>
      </c>
      <c r="L669"/>
    </row>
    <row r="670" spans="1:12" ht="22.5" customHeight="1">
      <c r="A670">
        <f>Table4[[#This Row],[Column1]]</f>
        <v>0</v>
      </c>
      <c r="B670">
        <f>Table4[[#This Row],[Column2]]</f>
        <v>0</v>
      </c>
      <c r="L670"/>
    </row>
    <row r="671" spans="1:12" ht="22.5" customHeight="1">
      <c r="A671">
        <f>Table4[[#This Row],[Column1]]</f>
        <v>0</v>
      </c>
      <c r="B671">
        <f>Table4[[#This Row],[Column2]]</f>
        <v>0</v>
      </c>
      <c r="L671"/>
    </row>
    <row r="672" spans="1:12" ht="22.5" customHeight="1">
      <c r="A672">
        <f>Table4[[#This Row],[Column1]]</f>
        <v>0</v>
      </c>
      <c r="B672">
        <f>Table4[[#This Row],[Column2]]</f>
        <v>0</v>
      </c>
      <c r="L672"/>
    </row>
    <row r="673" spans="1:12" ht="22.5" customHeight="1">
      <c r="A673">
        <f>Table4[[#This Row],[Column1]]</f>
        <v>0</v>
      </c>
      <c r="B673">
        <f>Table4[[#This Row],[Column2]]</f>
        <v>0</v>
      </c>
      <c r="L673"/>
    </row>
    <row r="674" spans="1:12" ht="22.5" customHeight="1">
      <c r="A674">
        <f>Table4[[#This Row],[Column1]]</f>
        <v>0</v>
      </c>
      <c r="B674">
        <f>Table4[[#This Row],[Column2]]</f>
        <v>0</v>
      </c>
      <c r="L674"/>
    </row>
    <row r="675" spans="1:12" ht="22.5" customHeight="1">
      <c r="A675">
        <f>Table4[[#This Row],[Column1]]</f>
        <v>0</v>
      </c>
      <c r="B675">
        <f>Table4[[#This Row],[Column2]]</f>
        <v>0</v>
      </c>
      <c r="L675"/>
    </row>
    <row r="676" spans="1:12" ht="22.5" customHeight="1">
      <c r="A676">
        <f>Table4[[#This Row],[Column1]]</f>
        <v>0</v>
      </c>
      <c r="B676">
        <f>Table4[[#This Row],[Column2]]</f>
        <v>0</v>
      </c>
      <c r="L676"/>
    </row>
    <row r="677" spans="1:12" ht="22.5" customHeight="1">
      <c r="A677">
        <f>Table4[[#This Row],[Column1]]</f>
        <v>0</v>
      </c>
      <c r="B677">
        <f>Table4[[#This Row],[Column2]]</f>
        <v>0</v>
      </c>
      <c r="L677"/>
    </row>
    <row r="678" spans="1:12" ht="22.5" customHeight="1">
      <c r="A678">
        <f>Table4[[#This Row],[Column1]]</f>
        <v>0</v>
      </c>
      <c r="B678">
        <f>Table4[[#This Row],[Column2]]</f>
        <v>0</v>
      </c>
      <c r="L678"/>
    </row>
    <row r="679" spans="1:12" ht="22.5" customHeight="1">
      <c r="A679">
        <f>Table4[[#This Row],[Column1]]</f>
        <v>0</v>
      </c>
      <c r="B679">
        <f>Table4[[#This Row],[Column2]]</f>
        <v>0</v>
      </c>
      <c r="L679"/>
    </row>
    <row r="680" spans="1:12" ht="22.5" customHeight="1">
      <c r="A680">
        <f>Table4[[#This Row],[Column1]]</f>
        <v>0</v>
      </c>
      <c r="B680">
        <f>Table4[[#This Row],[Column2]]</f>
        <v>0</v>
      </c>
      <c r="L680"/>
    </row>
    <row r="681" spans="1:12" ht="22.5" customHeight="1">
      <c r="A681">
        <f>Table4[[#This Row],[Column1]]</f>
        <v>0</v>
      </c>
      <c r="B681">
        <f>Table4[[#This Row],[Column2]]</f>
        <v>0</v>
      </c>
      <c r="L681"/>
    </row>
    <row r="682" spans="1:12" ht="22.5" customHeight="1">
      <c r="A682">
        <f>Table4[[#This Row],[Column1]]</f>
        <v>0</v>
      </c>
      <c r="B682">
        <f>Table4[[#This Row],[Column2]]</f>
        <v>0</v>
      </c>
      <c r="L682"/>
    </row>
    <row r="683" spans="1:12" ht="22.5" customHeight="1">
      <c r="A683">
        <f>Table4[[#This Row],[Column1]]</f>
        <v>0</v>
      </c>
      <c r="B683">
        <f>Table4[[#This Row],[Column2]]</f>
        <v>0</v>
      </c>
      <c r="L683"/>
    </row>
    <row r="684" spans="1:12" ht="22.5" customHeight="1">
      <c r="A684">
        <f>Table4[[#This Row],[Column1]]</f>
        <v>0</v>
      </c>
      <c r="B684">
        <f>Table4[[#This Row],[Column2]]</f>
        <v>0</v>
      </c>
      <c r="L684"/>
    </row>
    <row r="685" spans="1:12" ht="22.5" customHeight="1">
      <c r="A685">
        <f>Table4[[#This Row],[Column1]]</f>
        <v>0</v>
      </c>
      <c r="B685">
        <f>Table4[[#This Row],[Column2]]</f>
        <v>0</v>
      </c>
      <c r="L685"/>
    </row>
    <row r="686" spans="1:12" ht="22.5" customHeight="1">
      <c r="A686">
        <f>Table4[[#This Row],[Column1]]</f>
        <v>0</v>
      </c>
      <c r="B686">
        <f>Table4[[#This Row],[Column2]]</f>
        <v>0</v>
      </c>
      <c r="L686"/>
    </row>
    <row r="687" spans="1:12" ht="22.5" customHeight="1">
      <c r="A687">
        <f>Table4[[#This Row],[Column1]]</f>
        <v>0</v>
      </c>
      <c r="B687">
        <f>Table4[[#This Row],[Column2]]</f>
        <v>0</v>
      </c>
      <c r="L687"/>
    </row>
    <row r="688" spans="1:12" ht="22.5" customHeight="1">
      <c r="A688">
        <f>Table4[[#This Row],[Column1]]</f>
        <v>0</v>
      </c>
      <c r="B688">
        <f>Table4[[#This Row],[Column2]]</f>
        <v>0</v>
      </c>
      <c r="L688"/>
    </row>
    <row r="689" spans="1:12" ht="22.5" customHeight="1">
      <c r="A689">
        <f>Table4[[#This Row],[Column1]]</f>
        <v>0</v>
      </c>
      <c r="B689">
        <f>Table4[[#This Row],[Column2]]</f>
        <v>0</v>
      </c>
      <c r="L689"/>
    </row>
    <row r="690" spans="1:12" ht="22.5" customHeight="1">
      <c r="A690">
        <f>Table4[[#This Row],[Column1]]</f>
        <v>0</v>
      </c>
      <c r="B690">
        <f>Table4[[#This Row],[Column2]]</f>
        <v>0</v>
      </c>
      <c r="L690"/>
    </row>
    <row r="691" spans="1:12" ht="22.5" customHeight="1">
      <c r="A691">
        <f>Table4[[#This Row],[Column1]]</f>
        <v>0</v>
      </c>
      <c r="B691">
        <f>Table4[[#This Row],[Column2]]</f>
        <v>0</v>
      </c>
      <c r="L691"/>
    </row>
    <row r="692" spans="1:12" ht="22.5" customHeight="1">
      <c r="A692">
        <f>Table4[[#This Row],[Column1]]</f>
        <v>0</v>
      </c>
      <c r="B692">
        <f>Table4[[#This Row],[Column2]]</f>
        <v>0</v>
      </c>
      <c r="L692"/>
    </row>
    <row r="693" spans="1:12" ht="22.5" customHeight="1">
      <c r="A693">
        <f>Table4[[#This Row],[Column1]]</f>
        <v>0</v>
      </c>
      <c r="B693">
        <f>Table4[[#This Row],[Column2]]</f>
        <v>0</v>
      </c>
      <c r="L693"/>
    </row>
    <row r="694" spans="1:12" ht="22.5" customHeight="1">
      <c r="A694">
        <f>Table4[[#This Row],[Column1]]</f>
        <v>0</v>
      </c>
      <c r="B694">
        <f>Table4[[#This Row],[Column2]]</f>
        <v>0</v>
      </c>
      <c r="L694"/>
    </row>
    <row r="695" spans="1:12" ht="22.5" customHeight="1">
      <c r="A695">
        <f>Table4[[#This Row],[Column1]]</f>
        <v>0</v>
      </c>
      <c r="B695">
        <f>Table4[[#This Row],[Column2]]</f>
        <v>0</v>
      </c>
      <c r="L695"/>
    </row>
    <row r="696" spans="1:12" ht="22.5" customHeight="1">
      <c r="A696">
        <f>Table4[[#This Row],[Column1]]</f>
        <v>0</v>
      </c>
      <c r="B696">
        <f>Table4[[#This Row],[Column2]]</f>
        <v>0</v>
      </c>
      <c r="L696"/>
    </row>
    <row r="697" spans="1:12" ht="22.5" customHeight="1">
      <c r="A697">
        <f>Table4[[#This Row],[Column1]]</f>
        <v>0</v>
      </c>
      <c r="B697">
        <f>Table4[[#This Row],[Column2]]</f>
        <v>0</v>
      </c>
      <c r="L697"/>
    </row>
    <row r="698" spans="1:12" ht="22.5" customHeight="1">
      <c r="A698">
        <f>Table4[[#This Row],[Column1]]</f>
        <v>0</v>
      </c>
      <c r="B698">
        <f>Table4[[#This Row],[Column2]]</f>
        <v>0</v>
      </c>
      <c r="L698"/>
    </row>
    <row r="699" spans="1:12" ht="22.5" customHeight="1">
      <c r="A699">
        <f>Table4[[#This Row],[Column1]]</f>
        <v>0</v>
      </c>
      <c r="B699">
        <f>Table4[[#This Row],[Column2]]</f>
        <v>0</v>
      </c>
      <c r="L699"/>
    </row>
    <row r="700" spans="1:12" ht="22.5" customHeight="1">
      <c r="A700">
        <f>Table4[[#This Row],[Column1]]</f>
        <v>0</v>
      </c>
      <c r="B700">
        <f>Table4[[#This Row],[Column2]]</f>
        <v>0</v>
      </c>
      <c r="L700"/>
    </row>
    <row r="701" spans="1:12" ht="22.5" customHeight="1">
      <c r="A701">
        <f>Table4[[#This Row],[Column1]]</f>
        <v>0</v>
      </c>
      <c r="B701">
        <f>Table4[[#This Row],[Column2]]</f>
        <v>0</v>
      </c>
      <c r="L701"/>
    </row>
    <row r="702" spans="1:12" ht="22.5" customHeight="1">
      <c r="A702">
        <f>Table4[[#This Row],[Column1]]</f>
        <v>0</v>
      </c>
      <c r="B702">
        <f>Table4[[#This Row],[Column2]]</f>
        <v>0</v>
      </c>
      <c r="L702"/>
    </row>
    <row r="703" spans="1:12" ht="22.5" customHeight="1">
      <c r="A703">
        <f>Table4[[#This Row],[Column1]]</f>
        <v>0</v>
      </c>
      <c r="B703">
        <f>Table4[[#This Row],[Column2]]</f>
        <v>0</v>
      </c>
      <c r="L703"/>
    </row>
    <row r="704" spans="1:12" ht="22.5" customHeight="1">
      <c r="A704">
        <f>Table4[[#This Row],[Column1]]</f>
        <v>0</v>
      </c>
      <c r="B704">
        <f>Table4[[#This Row],[Column2]]</f>
        <v>0</v>
      </c>
      <c r="L704"/>
    </row>
    <row r="705" spans="1:12" ht="22.5" customHeight="1">
      <c r="A705">
        <f>Table4[[#This Row],[Column1]]</f>
        <v>0</v>
      </c>
      <c r="B705">
        <f>Table4[[#This Row],[Column2]]</f>
        <v>0</v>
      </c>
      <c r="L705"/>
    </row>
    <row r="706" spans="1:12" ht="22.5" customHeight="1">
      <c r="A706">
        <f>Table4[[#This Row],[Column1]]</f>
        <v>0</v>
      </c>
      <c r="B706">
        <f>Table4[[#This Row],[Column2]]</f>
        <v>0</v>
      </c>
      <c r="L706"/>
    </row>
    <row r="707" spans="1:12" ht="22.5" customHeight="1">
      <c r="A707">
        <f>Table4[[#This Row],[Column1]]</f>
        <v>0</v>
      </c>
      <c r="B707">
        <f>Table4[[#This Row],[Column2]]</f>
        <v>0</v>
      </c>
      <c r="L707"/>
    </row>
    <row r="708" spans="1:12" ht="22.5" customHeight="1">
      <c r="A708">
        <f>Table4[[#This Row],[Column1]]</f>
        <v>0</v>
      </c>
      <c r="B708">
        <f>Table4[[#This Row],[Column2]]</f>
        <v>0</v>
      </c>
      <c r="L708"/>
    </row>
    <row r="709" spans="1:12" ht="22.5" customHeight="1">
      <c r="A709">
        <f>Table4[[#This Row],[Column1]]</f>
        <v>0</v>
      </c>
      <c r="B709">
        <f>Table4[[#This Row],[Column2]]</f>
        <v>0</v>
      </c>
      <c r="L709"/>
    </row>
    <row r="710" spans="1:12" ht="22.5" customHeight="1">
      <c r="A710">
        <f>Table4[[#This Row],[Column1]]</f>
        <v>0</v>
      </c>
      <c r="B710">
        <f>Table4[[#This Row],[Column2]]</f>
        <v>0</v>
      </c>
      <c r="L710"/>
    </row>
    <row r="711" spans="1:12" ht="22.5" customHeight="1">
      <c r="A711">
        <f>Table4[[#This Row],[Column1]]</f>
        <v>0</v>
      </c>
      <c r="B711">
        <f>Table4[[#This Row],[Column2]]</f>
        <v>0</v>
      </c>
      <c r="L711"/>
    </row>
    <row r="712" spans="1:12" ht="22.5" customHeight="1">
      <c r="A712">
        <f>Table4[[#This Row],[Column1]]</f>
        <v>0</v>
      </c>
      <c r="B712">
        <f>Table4[[#This Row],[Column2]]</f>
        <v>0</v>
      </c>
      <c r="L712"/>
    </row>
    <row r="713" spans="1:12" ht="22.5" customHeight="1">
      <c r="A713">
        <f>Table4[[#This Row],[Column1]]</f>
        <v>0</v>
      </c>
      <c r="B713">
        <f>Table4[[#This Row],[Column2]]</f>
        <v>0</v>
      </c>
      <c r="L713"/>
    </row>
    <row r="714" spans="1:12" ht="22.5" customHeight="1">
      <c r="A714">
        <f>Table4[[#This Row],[Column1]]</f>
        <v>0</v>
      </c>
      <c r="B714">
        <f>Table4[[#This Row],[Column2]]</f>
        <v>0</v>
      </c>
      <c r="L714"/>
    </row>
    <row r="715" spans="1:12" ht="22.5" customHeight="1">
      <c r="A715">
        <f>Table4[[#This Row],[Column1]]</f>
        <v>0</v>
      </c>
      <c r="B715">
        <f>Table4[[#This Row],[Column2]]</f>
        <v>0</v>
      </c>
      <c r="L715"/>
    </row>
    <row r="716" spans="1:12" ht="22.5" customHeight="1">
      <c r="A716">
        <f>Table4[[#This Row],[Column1]]</f>
        <v>0</v>
      </c>
      <c r="B716">
        <f>Table4[[#This Row],[Column2]]</f>
        <v>0</v>
      </c>
      <c r="L716"/>
    </row>
    <row r="717" spans="1:12" ht="22.5" customHeight="1">
      <c r="A717">
        <f>Table4[[#This Row],[Column1]]</f>
        <v>0</v>
      </c>
      <c r="B717">
        <f>Table4[[#This Row],[Column2]]</f>
        <v>0</v>
      </c>
      <c r="L717"/>
    </row>
    <row r="718" spans="1:12" ht="22.5" customHeight="1">
      <c r="A718">
        <f>Table4[[#This Row],[Column1]]</f>
        <v>0</v>
      </c>
      <c r="B718">
        <f>Table4[[#This Row],[Column2]]</f>
        <v>0</v>
      </c>
      <c r="L718"/>
    </row>
    <row r="719" spans="1:12" ht="22.5" customHeight="1">
      <c r="A719">
        <f>Table4[[#This Row],[Column1]]</f>
        <v>0</v>
      </c>
      <c r="B719">
        <f>Table4[[#This Row],[Column2]]</f>
        <v>0</v>
      </c>
      <c r="L719"/>
    </row>
    <row r="720" spans="1:12" ht="22.5" customHeight="1">
      <c r="A720">
        <f>Table4[[#This Row],[Column1]]</f>
        <v>0</v>
      </c>
      <c r="B720">
        <f>Table4[[#This Row],[Column2]]</f>
        <v>0</v>
      </c>
      <c r="L720"/>
    </row>
    <row r="721" spans="1:12" ht="22.5" customHeight="1">
      <c r="A721">
        <f>Table4[[#This Row],[Column1]]</f>
        <v>0</v>
      </c>
      <c r="B721">
        <f>Table4[[#This Row],[Column2]]</f>
        <v>0</v>
      </c>
      <c r="L721"/>
    </row>
    <row r="722" spans="1:12" ht="22.5" customHeight="1">
      <c r="A722">
        <f>Table4[[#This Row],[Column1]]</f>
        <v>0</v>
      </c>
      <c r="B722">
        <f>Table4[[#This Row],[Column2]]</f>
        <v>0</v>
      </c>
      <c r="L722"/>
    </row>
    <row r="723" spans="1:12" ht="22.5" customHeight="1">
      <c r="A723">
        <f>Table4[[#This Row],[Column1]]</f>
        <v>0</v>
      </c>
      <c r="B723">
        <f>Table4[[#This Row],[Column2]]</f>
        <v>0</v>
      </c>
      <c r="L723"/>
    </row>
    <row r="724" spans="1:12" ht="22.5" customHeight="1">
      <c r="A724">
        <f>Table4[[#This Row],[Column1]]</f>
        <v>0</v>
      </c>
      <c r="B724">
        <f>Table4[[#This Row],[Column2]]</f>
        <v>0</v>
      </c>
      <c r="L724"/>
    </row>
    <row r="725" spans="1:12" ht="22.5" customHeight="1">
      <c r="A725">
        <f>Table4[[#This Row],[Column1]]</f>
        <v>0</v>
      </c>
      <c r="B725">
        <f>Table4[[#This Row],[Column2]]</f>
        <v>0</v>
      </c>
      <c r="L725"/>
    </row>
    <row r="726" spans="1:12" ht="22.5" customHeight="1">
      <c r="A726">
        <f>Table4[[#This Row],[Column1]]</f>
        <v>0</v>
      </c>
      <c r="B726">
        <f>Table4[[#This Row],[Column2]]</f>
        <v>0</v>
      </c>
      <c r="L726"/>
    </row>
    <row r="727" spans="1:12" ht="22.5" customHeight="1">
      <c r="A727">
        <f>Table4[[#This Row],[Column1]]</f>
        <v>0</v>
      </c>
      <c r="B727">
        <f>Table4[[#This Row],[Column2]]</f>
        <v>0</v>
      </c>
      <c r="L727"/>
    </row>
    <row r="728" spans="1:12" ht="22.5" customHeight="1">
      <c r="A728">
        <f>Table4[[#This Row],[Column1]]</f>
        <v>0</v>
      </c>
      <c r="B728">
        <f>Table4[[#This Row],[Column2]]</f>
        <v>0</v>
      </c>
      <c r="L728"/>
    </row>
    <row r="729" spans="1:12" ht="22.5" customHeight="1">
      <c r="A729">
        <f>Table4[[#This Row],[Column1]]</f>
        <v>0</v>
      </c>
      <c r="B729">
        <f>Table4[[#This Row],[Column2]]</f>
        <v>0</v>
      </c>
      <c r="L729"/>
    </row>
    <row r="730" spans="1:12" ht="22.5" customHeight="1">
      <c r="A730">
        <f>Table4[[#This Row],[Column1]]</f>
        <v>0</v>
      </c>
      <c r="B730">
        <f>Table4[[#This Row],[Column2]]</f>
        <v>0</v>
      </c>
      <c r="L730"/>
    </row>
    <row r="731" spans="1:12" ht="22.5" customHeight="1">
      <c r="A731">
        <f>Table4[[#This Row],[Column1]]</f>
        <v>0</v>
      </c>
      <c r="B731">
        <f>Table4[[#This Row],[Column2]]</f>
        <v>0</v>
      </c>
      <c r="L731"/>
    </row>
    <row r="732" spans="1:12" ht="22.5" customHeight="1">
      <c r="A732">
        <f>Table4[[#This Row],[Column1]]</f>
        <v>0</v>
      </c>
      <c r="B732">
        <f>Table4[[#This Row],[Column2]]</f>
        <v>0</v>
      </c>
      <c r="L732"/>
    </row>
    <row r="733" spans="1:12" ht="22.5" customHeight="1">
      <c r="A733">
        <f>Table4[[#This Row],[Column1]]</f>
        <v>0</v>
      </c>
      <c r="B733">
        <f>Table4[[#This Row],[Column2]]</f>
        <v>0</v>
      </c>
      <c r="L733"/>
    </row>
    <row r="734" spans="1:12" ht="22.5" customHeight="1">
      <c r="A734">
        <f>Table4[[#This Row],[Column1]]</f>
        <v>0</v>
      </c>
      <c r="B734">
        <f>Table4[[#This Row],[Column2]]</f>
        <v>0</v>
      </c>
      <c r="L734"/>
    </row>
    <row r="735" spans="1:12" ht="22.5" customHeight="1">
      <c r="A735">
        <f>Table4[[#This Row],[Column1]]</f>
        <v>0</v>
      </c>
      <c r="B735">
        <f>Table4[[#This Row],[Column2]]</f>
        <v>0</v>
      </c>
      <c r="L735"/>
    </row>
    <row r="736" spans="1:12" ht="22.5" customHeight="1">
      <c r="A736">
        <f>Table4[[#This Row],[Column1]]</f>
        <v>0</v>
      </c>
      <c r="B736">
        <f>Table4[[#This Row],[Column2]]</f>
        <v>0</v>
      </c>
      <c r="L736"/>
    </row>
    <row r="737" spans="1:12" ht="22.5" customHeight="1">
      <c r="A737">
        <f>Table4[[#This Row],[Column1]]</f>
        <v>0</v>
      </c>
      <c r="B737">
        <f>Table4[[#This Row],[Column2]]</f>
        <v>0</v>
      </c>
      <c r="L737"/>
    </row>
    <row r="738" spans="1:12" ht="22.5" customHeight="1">
      <c r="A738">
        <f>Table4[[#This Row],[Column1]]</f>
        <v>0</v>
      </c>
      <c r="B738">
        <f>Table4[[#This Row],[Column2]]</f>
        <v>0</v>
      </c>
      <c r="L738"/>
    </row>
    <row r="739" spans="1:12" ht="22.5" customHeight="1">
      <c r="A739">
        <f>Table4[[#This Row],[Column1]]</f>
        <v>0</v>
      </c>
      <c r="B739">
        <f>Table4[[#This Row],[Column2]]</f>
        <v>0</v>
      </c>
      <c r="L739"/>
    </row>
    <row r="740" spans="1:12" ht="22.5" customHeight="1">
      <c r="A740">
        <f>Table4[[#This Row],[Column1]]</f>
        <v>0</v>
      </c>
      <c r="B740">
        <f>Table4[[#This Row],[Column2]]</f>
        <v>0</v>
      </c>
      <c r="L740"/>
    </row>
    <row r="741" spans="1:12" ht="22.5" customHeight="1">
      <c r="A741">
        <f>Table4[[#This Row],[Column1]]</f>
        <v>0</v>
      </c>
      <c r="B741">
        <f>Table4[[#This Row],[Column2]]</f>
        <v>0</v>
      </c>
      <c r="L741"/>
    </row>
    <row r="742" spans="1:12" ht="22.5" customHeight="1">
      <c r="A742">
        <f>Table4[[#This Row],[Column1]]</f>
        <v>0</v>
      </c>
      <c r="B742">
        <f>Table4[[#This Row],[Column2]]</f>
        <v>0</v>
      </c>
      <c r="L742"/>
    </row>
    <row r="743" spans="1:12" ht="22.5" customHeight="1">
      <c r="A743">
        <f>Table4[[#This Row],[Column1]]</f>
        <v>0</v>
      </c>
      <c r="B743">
        <f>Table4[[#This Row],[Column2]]</f>
        <v>0</v>
      </c>
      <c r="L743"/>
    </row>
    <row r="744" spans="1:12" ht="22.5" customHeight="1">
      <c r="A744">
        <f>Table4[[#This Row],[Column1]]</f>
        <v>0</v>
      </c>
      <c r="B744">
        <f>Table4[[#This Row],[Column2]]</f>
        <v>0</v>
      </c>
      <c r="L744"/>
    </row>
    <row r="745" spans="1:12" ht="22.5" customHeight="1">
      <c r="A745">
        <f>Table4[[#This Row],[Column1]]</f>
        <v>0</v>
      </c>
      <c r="B745">
        <f>Table4[[#This Row],[Column2]]</f>
        <v>0</v>
      </c>
      <c r="L745"/>
    </row>
    <row r="746" spans="1:12" ht="22.5" customHeight="1">
      <c r="A746">
        <f>Table4[[#This Row],[Column1]]</f>
        <v>0</v>
      </c>
      <c r="B746">
        <f>Table4[[#This Row],[Column2]]</f>
        <v>0</v>
      </c>
      <c r="L746"/>
    </row>
    <row r="747" spans="1:12" ht="22.5" customHeight="1">
      <c r="A747">
        <f>Table4[[#This Row],[Column1]]</f>
        <v>0</v>
      </c>
      <c r="B747">
        <f>Table4[[#This Row],[Column2]]</f>
        <v>0</v>
      </c>
      <c r="L747"/>
    </row>
    <row r="748" spans="1:12" ht="22.5" customHeight="1">
      <c r="A748">
        <f>Table4[[#This Row],[Column1]]</f>
        <v>0</v>
      </c>
      <c r="B748">
        <f>Table4[[#This Row],[Column2]]</f>
        <v>0</v>
      </c>
      <c r="L748"/>
    </row>
    <row r="749" spans="1:12" ht="22.5" customHeight="1">
      <c r="A749">
        <f>Table4[[#This Row],[Column1]]</f>
        <v>0</v>
      </c>
      <c r="B749">
        <f>Table4[[#This Row],[Column2]]</f>
        <v>0</v>
      </c>
      <c r="L749"/>
    </row>
    <row r="750" spans="1:12" ht="22.5" customHeight="1">
      <c r="A750">
        <f>Table4[[#This Row],[Column1]]</f>
        <v>0</v>
      </c>
      <c r="B750">
        <f>Table4[[#This Row],[Column2]]</f>
        <v>0</v>
      </c>
      <c r="L750"/>
    </row>
    <row r="751" spans="1:12" ht="22.5" customHeight="1">
      <c r="A751">
        <f>Table4[[#This Row],[Column1]]</f>
        <v>0</v>
      </c>
      <c r="B751">
        <f>Table4[[#This Row],[Column2]]</f>
        <v>0</v>
      </c>
      <c r="L751"/>
    </row>
    <row r="752" spans="1:12" ht="22.5" customHeight="1">
      <c r="A752">
        <f>Table4[[#This Row],[Column1]]</f>
        <v>0</v>
      </c>
      <c r="B752">
        <f>Table4[[#This Row],[Column2]]</f>
        <v>0</v>
      </c>
      <c r="L752"/>
    </row>
    <row r="753" spans="1:12" ht="22.5" customHeight="1">
      <c r="A753">
        <f>Table4[[#This Row],[Column1]]</f>
        <v>0</v>
      </c>
      <c r="B753">
        <f>Table4[[#This Row],[Column2]]</f>
        <v>0</v>
      </c>
      <c r="L753"/>
    </row>
    <row r="754" spans="1:12" ht="22.5" customHeight="1">
      <c r="A754">
        <f>Table4[[#This Row],[Column1]]</f>
        <v>0</v>
      </c>
      <c r="B754">
        <f>Table4[[#This Row],[Column2]]</f>
        <v>0</v>
      </c>
      <c r="L754"/>
    </row>
    <row r="755" spans="1:12" ht="22.5" customHeight="1">
      <c r="A755">
        <f>Table4[[#This Row],[Column1]]</f>
        <v>0</v>
      </c>
      <c r="B755">
        <f>Table4[[#This Row],[Column2]]</f>
        <v>0</v>
      </c>
      <c r="L755"/>
    </row>
    <row r="756" spans="1:12" ht="22.5" customHeight="1">
      <c r="A756">
        <f>Table4[[#This Row],[Column1]]</f>
        <v>0</v>
      </c>
      <c r="B756">
        <f>Table4[[#This Row],[Column2]]</f>
        <v>0</v>
      </c>
      <c r="L756"/>
    </row>
    <row r="757" spans="1:12" ht="22.5" customHeight="1">
      <c r="A757">
        <f>Table4[[#This Row],[Column1]]</f>
        <v>0</v>
      </c>
      <c r="B757">
        <f>Table4[[#This Row],[Column2]]</f>
        <v>0</v>
      </c>
      <c r="L757"/>
    </row>
    <row r="758" spans="1:12" ht="22.5" customHeight="1">
      <c r="A758">
        <f>Table4[[#This Row],[Column1]]</f>
        <v>0</v>
      </c>
      <c r="B758">
        <f>Table4[[#This Row],[Column2]]</f>
        <v>0</v>
      </c>
      <c r="L758"/>
    </row>
    <row r="759" spans="1:12" ht="22.5" customHeight="1">
      <c r="A759">
        <f>Table4[[#This Row],[Column1]]</f>
        <v>0</v>
      </c>
      <c r="B759">
        <f>Table4[[#This Row],[Column2]]</f>
        <v>0</v>
      </c>
      <c r="L759"/>
    </row>
    <row r="760" spans="1:12" ht="22.5" customHeight="1">
      <c r="A760">
        <f>Table4[[#This Row],[Column1]]</f>
        <v>0</v>
      </c>
      <c r="B760">
        <f>Table4[[#This Row],[Column2]]</f>
        <v>0</v>
      </c>
      <c r="L760"/>
    </row>
    <row r="761" spans="1:12" ht="22.5" customHeight="1">
      <c r="A761">
        <f>Table4[[#This Row],[Column1]]</f>
        <v>0</v>
      </c>
      <c r="B761">
        <f>Table4[[#This Row],[Column2]]</f>
        <v>0</v>
      </c>
      <c r="L761"/>
    </row>
    <row r="762" spans="1:12" ht="22.5" customHeight="1">
      <c r="A762">
        <f>Table4[[#This Row],[Column1]]</f>
        <v>0</v>
      </c>
      <c r="B762">
        <f>Table4[[#This Row],[Column2]]</f>
        <v>0</v>
      </c>
      <c r="L762"/>
    </row>
    <row r="763" spans="1:12" ht="22.5" customHeight="1">
      <c r="A763">
        <f>Table4[[#This Row],[Column1]]</f>
        <v>0</v>
      </c>
      <c r="B763">
        <f>Table4[[#This Row],[Column2]]</f>
        <v>0</v>
      </c>
      <c r="L763"/>
    </row>
    <row r="764" spans="1:12" ht="22.5" customHeight="1">
      <c r="A764">
        <f>Table4[[#This Row],[Column1]]</f>
        <v>0</v>
      </c>
      <c r="B764">
        <f>Table4[[#This Row],[Column2]]</f>
        <v>0</v>
      </c>
      <c r="L764"/>
    </row>
    <row r="765" spans="1:12" ht="22.5" customHeight="1">
      <c r="A765">
        <f>Table4[[#This Row],[Column1]]</f>
        <v>0</v>
      </c>
      <c r="B765">
        <f>Table4[[#This Row],[Column2]]</f>
        <v>0</v>
      </c>
      <c r="L765"/>
    </row>
    <row r="766" spans="1:12" ht="22.5" customHeight="1">
      <c r="A766">
        <f>Table4[[#This Row],[Column1]]</f>
        <v>0</v>
      </c>
      <c r="B766">
        <f>Table4[[#This Row],[Column2]]</f>
        <v>0</v>
      </c>
      <c r="L766"/>
    </row>
    <row r="767" spans="1:12" ht="22.5" customHeight="1">
      <c r="A767">
        <f>Table4[[#This Row],[Column1]]</f>
        <v>0</v>
      </c>
      <c r="B767">
        <f>Table4[[#This Row],[Column2]]</f>
        <v>0</v>
      </c>
      <c r="L767"/>
    </row>
    <row r="768" spans="1:12" ht="22.5" customHeight="1">
      <c r="A768">
        <f>Table4[[#This Row],[Column1]]</f>
        <v>0</v>
      </c>
      <c r="B768">
        <f>Table4[[#This Row],[Column2]]</f>
        <v>0</v>
      </c>
      <c r="L768"/>
    </row>
    <row r="769" spans="1:12" ht="22.5" customHeight="1">
      <c r="A769">
        <f>Table4[[#This Row],[Column1]]</f>
        <v>0</v>
      </c>
      <c r="B769">
        <f>Table4[[#This Row],[Column2]]</f>
        <v>0</v>
      </c>
      <c r="L769"/>
    </row>
    <row r="770" spans="1:12" ht="22.5" customHeight="1">
      <c r="A770">
        <f>Table4[[#This Row],[Column1]]</f>
        <v>0</v>
      </c>
      <c r="B770">
        <f>Table4[[#This Row],[Column2]]</f>
        <v>0</v>
      </c>
      <c r="L770"/>
    </row>
    <row r="771" spans="1:12" ht="22.5" customHeight="1">
      <c r="A771">
        <f>Table4[[#This Row],[Column1]]</f>
        <v>0</v>
      </c>
      <c r="B771">
        <f>Table4[[#This Row],[Column2]]</f>
        <v>0</v>
      </c>
      <c r="L771"/>
    </row>
    <row r="772" spans="1:12" ht="22.5" customHeight="1">
      <c r="A772">
        <f>Table4[[#This Row],[Column1]]</f>
        <v>0</v>
      </c>
      <c r="B772">
        <f>Table4[[#This Row],[Column2]]</f>
        <v>0</v>
      </c>
      <c r="L772"/>
    </row>
    <row r="773" spans="1:12" ht="22.5" customHeight="1">
      <c r="A773">
        <f>Table4[[#This Row],[Column1]]</f>
        <v>0</v>
      </c>
      <c r="B773">
        <f>Table4[[#This Row],[Column2]]</f>
        <v>0</v>
      </c>
      <c r="L773"/>
    </row>
    <row r="774" spans="1:12" ht="22.5" customHeight="1">
      <c r="A774">
        <f>Table4[[#This Row],[Column1]]</f>
        <v>0</v>
      </c>
      <c r="B774">
        <f>Table4[[#This Row],[Column2]]</f>
        <v>0</v>
      </c>
      <c r="L774"/>
    </row>
    <row r="775" spans="1:12" ht="22.5" customHeight="1">
      <c r="A775">
        <f>Table4[[#This Row],[Column1]]</f>
        <v>0</v>
      </c>
      <c r="B775">
        <f>Table4[[#This Row],[Column2]]</f>
        <v>0</v>
      </c>
      <c r="L775"/>
    </row>
    <row r="776" spans="1:12" ht="22.5" customHeight="1">
      <c r="A776">
        <f>Table4[[#This Row],[Column1]]</f>
        <v>0</v>
      </c>
      <c r="B776">
        <f>Table4[[#This Row],[Column2]]</f>
        <v>0</v>
      </c>
      <c r="L776"/>
    </row>
    <row r="777" spans="1:12" ht="22.5" customHeight="1">
      <c r="A777">
        <f>Table4[[#This Row],[Column1]]</f>
        <v>0</v>
      </c>
      <c r="B777">
        <f>Table4[[#This Row],[Column2]]</f>
        <v>0</v>
      </c>
      <c r="L777"/>
    </row>
    <row r="778" spans="1:12" ht="22.5" customHeight="1">
      <c r="A778">
        <f>Table4[[#This Row],[Column1]]</f>
        <v>0</v>
      </c>
      <c r="B778">
        <f>Table4[[#This Row],[Column2]]</f>
        <v>0</v>
      </c>
      <c r="L778"/>
    </row>
    <row r="779" spans="1:12" ht="22.5" customHeight="1">
      <c r="A779">
        <f>Table4[[#This Row],[Column1]]</f>
        <v>0</v>
      </c>
      <c r="B779">
        <f>Table4[[#This Row],[Column2]]</f>
        <v>0</v>
      </c>
      <c r="L779"/>
    </row>
    <row r="780" spans="1:12" ht="22.5" customHeight="1">
      <c r="A780">
        <f>Table4[[#This Row],[Column1]]</f>
        <v>0</v>
      </c>
      <c r="B780">
        <f>Table4[[#This Row],[Column2]]</f>
        <v>0</v>
      </c>
      <c r="L780"/>
    </row>
    <row r="781" spans="1:12" ht="22.5" customHeight="1">
      <c r="A781">
        <f>Table4[[#This Row],[Column1]]</f>
        <v>0</v>
      </c>
      <c r="B781">
        <f>Table4[[#This Row],[Column2]]</f>
        <v>0</v>
      </c>
      <c r="L781"/>
    </row>
    <row r="782" spans="1:12" ht="22.5" customHeight="1">
      <c r="A782">
        <f>Table4[[#This Row],[Column1]]</f>
        <v>0</v>
      </c>
      <c r="B782">
        <f>Table4[[#This Row],[Column2]]</f>
        <v>0</v>
      </c>
      <c r="L782"/>
    </row>
    <row r="783" spans="1:12" ht="22.5" customHeight="1">
      <c r="A783">
        <f>Table4[[#This Row],[Column1]]</f>
        <v>0</v>
      </c>
      <c r="B783">
        <f>Table4[[#This Row],[Column2]]</f>
        <v>0</v>
      </c>
      <c r="L783"/>
    </row>
    <row r="784" spans="1:12" ht="22.5" customHeight="1">
      <c r="A784">
        <f>Table4[[#This Row],[Column1]]</f>
        <v>0</v>
      </c>
      <c r="B784">
        <f>Table4[[#This Row],[Column2]]</f>
        <v>0</v>
      </c>
      <c r="L784"/>
    </row>
    <row r="785" spans="1:12" ht="22.5" customHeight="1">
      <c r="A785">
        <f>Table4[[#This Row],[Column1]]</f>
        <v>0</v>
      </c>
      <c r="B785">
        <f>Table4[[#This Row],[Column2]]</f>
        <v>0</v>
      </c>
      <c r="L785"/>
    </row>
    <row r="786" spans="1:12" ht="22.5" customHeight="1">
      <c r="A786">
        <f>Table4[[#This Row],[Column1]]</f>
        <v>0</v>
      </c>
      <c r="B786">
        <f>Table4[[#This Row],[Column2]]</f>
        <v>0</v>
      </c>
      <c r="L786"/>
    </row>
    <row r="787" spans="1:12" ht="22.5" customHeight="1">
      <c r="A787">
        <f>Table4[[#This Row],[Column1]]</f>
        <v>0</v>
      </c>
      <c r="B787">
        <f>Table4[[#This Row],[Column2]]</f>
        <v>0</v>
      </c>
      <c r="L787"/>
    </row>
    <row r="788" spans="1:12" ht="22.5" customHeight="1">
      <c r="A788">
        <f>Table4[[#This Row],[Column1]]</f>
        <v>0</v>
      </c>
      <c r="B788">
        <f>Table4[[#This Row],[Column2]]</f>
        <v>0</v>
      </c>
      <c r="L788"/>
    </row>
    <row r="789" spans="1:12" ht="22.5" customHeight="1">
      <c r="A789">
        <f>Table4[[#This Row],[Column1]]</f>
        <v>0</v>
      </c>
      <c r="B789">
        <f>Table4[[#This Row],[Column2]]</f>
        <v>0</v>
      </c>
      <c r="L789"/>
    </row>
    <row r="790" spans="1:12" ht="22.5" customHeight="1">
      <c r="A790">
        <f>Table4[[#This Row],[Column1]]</f>
        <v>0</v>
      </c>
      <c r="B790">
        <f>Table4[[#This Row],[Column2]]</f>
        <v>0</v>
      </c>
      <c r="L790"/>
    </row>
    <row r="791" spans="1:12" ht="22.5" customHeight="1">
      <c r="A791">
        <f>Table4[[#This Row],[Column1]]</f>
        <v>0</v>
      </c>
      <c r="B791">
        <f>Table4[[#This Row],[Column2]]</f>
        <v>0</v>
      </c>
      <c r="L791"/>
    </row>
    <row r="792" spans="1:12" ht="22.5" customHeight="1">
      <c r="A792">
        <f>Table4[[#This Row],[Column1]]</f>
        <v>0</v>
      </c>
      <c r="B792">
        <f>Table4[[#This Row],[Column2]]</f>
        <v>0</v>
      </c>
      <c r="L792"/>
    </row>
    <row r="793" spans="1:12" ht="22.5" customHeight="1">
      <c r="A793">
        <f>Table4[[#This Row],[Column1]]</f>
        <v>0</v>
      </c>
      <c r="B793">
        <f>Table4[[#This Row],[Column2]]</f>
        <v>0</v>
      </c>
      <c r="L793"/>
    </row>
    <row r="794" spans="1:12" ht="22.5" customHeight="1">
      <c r="A794">
        <f>Table4[[#This Row],[Column1]]</f>
        <v>0</v>
      </c>
      <c r="B794">
        <f>Table4[[#This Row],[Column2]]</f>
        <v>0</v>
      </c>
      <c r="L794"/>
    </row>
    <row r="795" spans="1:12" ht="22.5" customHeight="1">
      <c r="A795">
        <f>Table4[[#This Row],[Column1]]</f>
        <v>0</v>
      </c>
      <c r="B795">
        <f>Table4[[#This Row],[Column2]]</f>
        <v>0</v>
      </c>
      <c r="L795"/>
    </row>
    <row r="796" spans="1:12" ht="22.5" customHeight="1">
      <c r="A796">
        <f>Table4[[#This Row],[Column1]]</f>
        <v>0</v>
      </c>
      <c r="B796">
        <f>Table4[[#This Row],[Column2]]</f>
        <v>0</v>
      </c>
      <c r="L796"/>
    </row>
    <row r="797" spans="1:12" ht="22.5" customHeight="1">
      <c r="A797">
        <f>Table4[[#This Row],[Column1]]</f>
        <v>0</v>
      </c>
      <c r="B797">
        <f>Table4[[#This Row],[Column2]]</f>
        <v>0</v>
      </c>
      <c r="L797"/>
    </row>
    <row r="798" spans="1:12" ht="22.5" customHeight="1">
      <c r="A798">
        <f>Table4[[#This Row],[Column1]]</f>
        <v>0</v>
      </c>
      <c r="B798">
        <f>Table4[[#This Row],[Column2]]</f>
        <v>0</v>
      </c>
      <c r="L798"/>
    </row>
    <row r="799" spans="1:12" ht="22.5" customHeight="1">
      <c r="A799">
        <f>Table4[[#This Row],[Column1]]</f>
        <v>0</v>
      </c>
      <c r="B799">
        <f>Table4[[#This Row],[Column2]]</f>
        <v>0</v>
      </c>
      <c r="L799"/>
    </row>
    <row r="800" spans="1:12" ht="22.5" customHeight="1">
      <c r="A800">
        <f>Table4[[#This Row],[Column1]]</f>
        <v>0</v>
      </c>
      <c r="B800">
        <f>Table4[[#This Row],[Column2]]</f>
        <v>0</v>
      </c>
      <c r="L800"/>
    </row>
    <row r="801" spans="1:12" ht="22.5" customHeight="1">
      <c r="A801">
        <f>Table4[[#This Row],[Column1]]</f>
        <v>0</v>
      </c>
      <c r="B801">
        <f>Table4[[#This Row],[Column2]]</f>
        <v>0</v>
      </c>
      <c r="L801"/>
    </row>
    <row r="802" spans="1:12" ht="22.5" customHeight="1">
      <c r="A802">
        <f>Table4[[#This Row],[Column1]]</f>
        <v>0</v>
      </c>
      <c r="B802">
        <f>Table4[[#This Row],[Column2]]</f>
        <v>0</v>
      </c>
      <c r="L802"/>
    </row>
    <row r="803" spans="1:12" ht="22.5" customHeight="1">
      <c r="A803">
        <f>Table4[[#This Row],[Column1]]</f>
        <v>0</v>
      </c>
      <c r="B803">
        <f>Table4[[#This Row],[Column2]]</f>
        <v>0</v>
      </c>
      <c r="L803"/>
    </row>
    <row r="804" spans="1:12" ht="22.5" customHeight="1">
      <c r="A804">
        <f>Table4[[#This Row],[Column1]]</f>
        <v>0</v>
      </c>
      <c r="B804">
        <f>Table4[[#This Row],[Column2]]</f>
        <v>0</v>
      </c>
      <c r="L804"/>
    </row>
    <row r="805" spans="1:12" ht="22.5" customHeight="1">
      <c r="A805">
        <f>Table4[[#This Row],[Column1]]</f>
        <v>0</v>
      </c>
      <c r="B805">
        <f>Table4[[#This Row],[Column2]]</f>
        <v>0</v>
      </c>
      <c r="L805"/>
    </row>
    <row r="806" spans="1:12" ht="22.5" customHeight="1">
      <c r="A806">
        <f>Table4[[#This Row],[Column1]]</f>
        <v>0</v>
      </c>
      <c r="B806">
        <f>Table4[[#This Row],[Column2]]</f>
        <v>0</v>
      </c>
      <c r="L806"/>
    </row>
    <row r="807" spans="1:12" ht="22.5" customHeight="1">
      <c r="A807">
        <f>Table4[[#This Row],[Column1]]</f>
        <v>0</v>
      </c>
      <c r="B807">
        <f>Table4[[#This Row],[Column2]]</f>
        <v>0</v>
      </c>
      <c r="L807"/>
    </row>
    <row r="808" spans="1:12" ht="22.5" customHeight="1">
      <c r="A808">
        <f>Table4[[#This Row],[Column1]]</f>
        <v>0</v>
      </c>
      <c r="B808">
        <f>Table4[[#This Row],[Column2]]</f>
        <v>0</v>
      </c>
      <c r="L808"/>
    </row>
    <row r="809" spans="1:12" ht="22.5" customHeight="1">
      <c r="A809">
        <f>Table4[[#This Row],[Column1]]</f>
        <v>0</v>
      </c>
      <c r="B809">
        <f>Table4[[#This Row],[Column2]]</f>
        <v>0</v>
      </c>
      <c r="L809"/>
    </row>
    <row r="810" spans="1:12" ht="22.5" customHeight="1">
      <c r="A810">
        <f>Table4[[#This Row],[Column1]]</f>
        <v>0</v>
      </c>
      <c r="B810">
        <f>Table4[[#This Row],[Column2]]</f>
        <v>0</v>
      </c>
      <c r="L810"/>
    </row>
    <row r="811" spans="1:12" ht="22.5" customHeight="1">
      <c r="A811">
        <f>Table4[[#This Row],[Column1]]</f>
        <v>0</v>
      </c>
      <c r="B811">
        <f>Table4[[#This Row],[Column2]]</f>
        <v>0</v>
      </c>
      <c r="L811"/>
    </row>
    <row r="812" spans="1:12" ht="22.5" customHeight="1">
      <c r="A812">
        <f>Table4[[#This Row],[Column1]]</f>
        <v>0</v>
      </c>
      <c r="B812">
        <f>Table4[[#This Row],[Column2]]</f>
        <v>0</v>
      </c>
      <c r="L812"/>
    </row>
    <row r="813" spans="1:12" ht="22.5" customHeight="1">
      <c r="A813">
        <f>Table4[[#This Row],[Column1]]</f>
        <v>0</v>
      </c>
      <c r="B813">
        <f>Table4[[#This Row],[Column2]]</f>
        <v>0</v>
      </c>
      <c r="L813"/>
    </row>
    <row r="814" spans="1:12" ht="22.5" customHeight="1">
      <c r="A814">
        <f>Table4[[#This Row],[Column1]]</f>
        <v>0</v>
      </c>
      <c r="B814">
        <f>Table4[[#This Row],[Column2]]</f>
        <v>0</v>
      </c>
      <c r="L814"/>
    </row>
    <row r="815" spans="1:12" ht="22.5" customHeight="1">
      <c r="A815">
        <f>Table4[[#This Row],[Column1]]</f>
        <v>0</v>
      </c>
      <c r="B815">
        <f>Table4[[#This Row],[Column2]]</f>
        <v>0</v>
      </c>
      <c r="L815"/>
    </row>
    <row r="816" spans="1:12" ht="22.5" customHeight="1">
      <c r="A816">
        <f>Table4[[#This Row],[Column1]]</f>
        <v>0</v>
      </c>
      <c r="B816">
        <f>Table4[[#This Row],[Column2]]</f>
        <v>0</v>
      </c>
      <c r="L816"/>
    </row>
    <row r="817" spans="1:12" ht="22.5" customHeight="1">
      <c r="A817">
        <f>Table4[[#This Row],[Column1]]</f>
        <v>0</v>
      </c>
      <c r="B817">
        <f>Table4[[#This Row],[Column2]]</f>
        <v>0</v>
      </c>
      <c r="L817"/>
    </row>
    <row r="818" spans="1:12" ht="22.5" customHeight="1">
      <c r="A818">
        <f>Table4[[#This Row],[Column1]]</f>
        <v>0</v>
      </c>
      <c r="B818">
        <f>Table4[[#This Row],[Column2]]</f>
        <v>0</v>
      </c>
      <c r="L818"/>
    </row>
    <row r="819" spans="1:12" ht="22.5" customHeight="1">
      <c r="A819">
        <f>Table4[[#This Row],[Column1]]</f>
        <v>0</v>
      </c>
      <c r="B819">
        <f>Table4[[#This Row],[Column2]]</f>
        <v>0</v>
      </c>
      <c r="L819"/>
    </row>
    <row r="820" spans="1:12" ht="22.5" customHeight="1">
      <c r="A820">
        <f>Table4[[#This Row],[Column1]]</f>
        <v>0</v>
      </c>
      <c r="B820">
        <f>Table4[[#This Row],[Column2]]</f>
        <v>0</v>
      </c>
      <c r="L820"/>
    </row>
    <row r="821" spans="1:12" ht="22.5" customHeight="1">
      <c r="A821">
        <f>Table4[[#This Row],[Column1]]</f>
        <v>0</v>
      </c>
      <c r="B821">
        <f>Table4[[#This Row],[Column2]]</f>
        <v>0</v>
      </c>
      <c r="L821"/>
    </row>
    <row r="822" spans="1:12" ht="22.5" customHeight="1">
      <c r="A822">
        <f>Table4[[#This Row],[Column1]]</f>
        <v>0</v>
      </c>
      <c r="B822">
        <f>Table4[[#This Row],[Column2]]</f>
        <v>0</v>
      </c>
      <c r="L822"/>
    </row>
    <row r="823" spans="1:12" ht="22.5" customHeight="1">
      <c r="A823">
        <f>Table4[[#This Row],[Column1]]</f>
        <v>0</v>
      </c>
      <c r="B823">
        <f>Table4[[#This Row],[Column2]]</f>
        <v>0</v>
      </c>
      <c r="L823"/>
    </row>
    <row r="824" spans="1:12" ht="22.5" customHeight="1">
      <c r="A824">
        <f>Table4[[#This Row],[Column1]]</f>
        <v>0</v>
      </c>
      <c r="B824">
        <f>Table4[[#This Row],[Column2]]</f>
        <v>0</v>
      </c>
      <c r="L824"/>
    </row>
    <row r="825" spans="1:12" ht="22.5" customHeight="1">
      <c r="A825">
        <f>Table4[[#This Row],[Column1]]</f>
        <v>0</v>
      </c>
      <c r="B825">
        <f>Table4[[#This Row],[Column2]]</f>
        <v>0</v>
      </c>
      <c r="L825"/>
    </row>
    <row r="826" spans="1:12" ht="22.5" customHeight="1">
      <c r="A826">
        <f>Table4[[#This Row],[Column1]]</f>
        <v>0</v>
      </c>
      <c r="B826">
        <f>Table4[[#This Row],[Column2]]</f>
        <v>0</v>
      </c>
      <c r="L826"/>
    </row>
    <row r="827" spans="1:12" ht="22.5" customHeight="1">
      <c r="A827">
        <f>Table4[[#This Row],[Column1]]</f>
        <v>0</v>
      </c>
      <c r="B827">
        <f>Table4[[#This Row],[Column2]]</f>
        <v>0</v>
      </c>
      <c r="L827"/>
    </row>
    <row r="828" spans="1:12" ht="22.5" customHeight="1">
      <c r="A828">
        <f>Table4[[#This Row],[Column1]]</f>
        <v>0</v>
      </c>
      <c r="B828">
        <f>Table4[[#This Row],[Column2]]</f>
        <v>0</v>
      </c>
      <c r="L828"/>
    </row>
    <row r="829" spans="1:12" ht="22.5" customHeight="1">
      <c r="A829">
        <f>Table4[[#This Row],[Column1]]</f>
        <v>0</v>
      </c>
      <c r="B829">
        <f>Table4[[#This Row],[Column2]]</f>
        <v>0</v>
      </c>
      <c r="L829"/>
    </row>
    <row r="830" spans="1:12" ht="22.5" customHeight="1">
      <c r="A830">
        <f>Table4[[#This Row],[Column1]]</f>
        <v>0</v>
      </c>
      <c r="B830">
        <f>Table4[[#This Row],[Column2]]</f>
        <v>0</v>
      </c>
      <c r="L830"/>
    </row>
    <row r="831" spans="1:12" ht="22.5" customHeight="1">
      <c r="A831">
        <f>Table4[[#This Row],[Column1]]</f>
        <v>0</v>
      </c>
      <c r="B831">
        <f>Table4[[#This Row],[Column2]]</f>
        <v>0</v>
      </c>
      <c r="L831"/>
    </row>
    <row r="832" spans="1:12" ht="22.5" customHeight="1">
      <c r="A832">
        <f>Table4[[#This Row],[Column1]]</f>
        <v>0</v>
      </c>
      <c r="B832">
        <f>Table4[[#This Row],[Column2]]</f>
        <v>0</v>
      </c>
      <c r="L832"/>
    </row>
    <row r="833" spans="1:12" ht="22.5" customHeight="1">
      <c r="A833">
        <f>Table4[[#This Row],[Column1]]</f>
        <v>0</v>
      </c>
      <c r="B833">
        <f>Table4[[#This Row],[Column2]]</f>
        <v>0</v>
      </c>
      <c r="L833"/>
    </row>
    <row r="834" spans="1:12" ht="22.5" customHeight="1">
      <c r="A834">
        <f>Table4[[#This Row],[Column1]]</f>
        <v>0</v>
      </c>
      <c r="B834">
        <f>Table4[[#This Row],[Column2]]</f>
        <v>0</v>
      </c>
      <c r="L834"/>
    </row>
    <row r="835" spans="1:12" ht="22.5" customHeight="1">
      <c r="A835">
        <f>Table4[[#This Row],[Column1]]</f>
        <v>0</v>
      </c>
      <c r="B835">
        <f>Table4[[#This Row],[Column2]]</f>
        <v>0</v>
      </c>
      <c r="L835"/>
    </row>
    <row r="836" spans="1:12" ht="22.5" customHeight="1">
      <c r="A836">
        <f>Table4[[#This Row],[Column1]]</f>
        <v>0</v>
      </c>
      <c r="B836">
        <f>Table4[[#This Row],[Column2]]</f>
        <v>0</v>
      </c>
      <c r="L836"/>
    </row>
    <row r="837" spans="1:12" ht="22.5" customHeight="1">
      <c r="A837">
        <f>Table4[[#This Row],[Column1]]</f>
        <v>0</v>
      </c>
      <c r="B837">
        <f>Table4[[#This Row],[Column2]]</f>
        <v>0</v>
      </c>
      <c r="L837"/>
    </row>
    <row r="838" spans="1:12" ht="22.5" customHeight="1">
      <c r="A838">
        <f>Table4[[#This Row],[Column1]]</f>
        <v>0</v>
      </c>
      <c r="B838">
        <f>Table4[[#This Row],[Column2]]</f>
        <v>0</v>
      </c>
      <c r="L838"/>
    </row>
    <row r="839" spans="1:12" ht="22.5" customHeight="1">
      <c r="A839">
        <f>Table4[[#This Row],[Column1]]</f>
        <v>0</v>
      </c>
      <c r="B839">
        <f>Table4[[#This Row],[Column2]]</f>
        <v>0</v>
      </c>
      <c r="L839"/>
    </row>
    <row r="840" spans="1:12" ht="22.5" customHeight="1">
      <c r="A840">
        <f>Table4[[#This Row],[Column1]]</f>
        <v>0</v>
      </c>
      <c r="B840">
        <f>Table4[[#This Row],[Column2]]</f>
        <v>0</v>
      </c>
      <c r="L840"/>
    </row>
    <row r="841" spans="1:12" ht="22.5" customHeight="1">
      <c r="A841">
        <f>Table4[[#This Row],[Column1]]</f>
        <v>0</v>
      </c>
      <c r="B841">
        <f>Table4[[#This Row],[Column2]]</f>
        <v>0</v>
      </c>
      <c r="L841"/>
    </row>
    <row r="842" spans="1:12" ht="22.5" customHeight="1">
      <c r="A842">
        <f>Table4[[#This Row],[Column1]]</f>
        <v>0</v>
      </c>
      <c r="B842">
        <f>Table4[[#This Row],[Column2]]</f>
        <v>0</v>
      </c>
      <c r="L842"/>
    </row>
    <row r="843" spans="1:12" ht="22.5" customHeight="1">
      <c r="A843">
        <f>Table4[[#This Row],[Column1]]</f>
        <v>0</v>
      </c>
      <c r="B843">
        <f>Table4[[#This Row],[Column2]]</f>
        <v>0</v>
      </c>
      <c r="L843"/>
    </row>
    <row r="844" spans="1:12" ht="22.5" customHeight="1">
      <c r="A844">
        <f>Table4[[#This Row],[Column1]]</f>
        <v>0</v>
      </c>
      <c r="B844">
        <f>Table4[[#This Row],[Column2]]</f>
        <v>0</v>
      </c>
      <c r="L844"/>
    </row>
    <row r="845" spans="1:12" ht="22.5" customHeight="1">
      <c r="A845">
        <f>Table4[[#This Row],[Column1]]</f>
        <v>0</v>
      </c>
      <c r="B845">
        <f>Table4[[#This Row],[Column2]]</f>
        <v>0</v>
      </c>
      <c r="L845"/>
    </row>
    <row r="846" spans="1:12" ht="22.5" customHeight="1">
      <c r="A846">
        <f>Table4[[#This Row],[Column1]]</f>
        <v>0</v>
      </c>
      <c r="B846">
        <f>Table4[[#This Row],[Column2]]</f>
        <v>0</v>
      </c>
      <c r="L846"/>
    </row>
    <row r="847" spans="1:12" ht="22.5" customHeight="1">
      <c r="A847">
        <f>Table4[[#This Row],[Column1]]</f>
        <v>0</v>
      </c>
      <c r="B847">
        <f>Table4[[#This Row],[Column2]]</f>
        <v>0</v>
      </c>
      <c r="L847"/>
    </row>
    <row r="848" spans="1:12" ht="22.5" customHeight="1">
      <c r="A848">
        <f>Table4[[#This Row],[Column1]]</f>
        <v>0</v>
      </c>
      <c r="B848">
        <f>Table4[[#This Row],[Column2]]</f>
        <v>0</v>
      </c>
      <c r="L848"/>
    </row>
    <row r="849" spans="1:12" ht="22.5" customHeight="1">
      <c r="A849">
        <f>Table4[[#This Row],[Column1]]</f>
        <v>0</v>
      </c>
      <c r="B849">
        <f>Table4[[#This Row],[Column2]]</f>
        <v>0</v>
      </c>
      <c r="L849"/>
    </row>
    <row r="850" spans="1:12" ht="22.5" customHeight="1">
      <c r="A850">
        <f>Table4[[#This Row],[Column1]]</f>
        <v>0</v>
      </c>
      <c r="B850">
        <f>Table4[[#This Row],[Column2]]</f>
        <v>0</v>
      </c>
      <c r="L850"/>
    </row>
    <row r="851" spans="1:12" ht="22.5" customHeight="1">
      <c r="A851">
        <f>Table4[[#This Row],[Column1]]</f>
        <v>0</v>
      </c>
      <c r="B851">
        <f>Table4[[#This Row],[Column2]]</f>
        <v>0</v>
      </c>
      <c r="L851"/>
    </row>
    <row r="852" spans="1:12" ht="22.5" customHeight="1">
      <c r="A852">
        <f>Table4[[#This Row],[Column1]]</f>
        <v>0</v>
      </c>
      <c r="B852">
        <f>Table4[[#This Row],[Column2]]</f>
        <v>0</v>
      </c>
      <c r="L852"/>
    </row>
    <row r="853" spans="1:12" ht="22.5" customHeight="1">
      <c r="A853">
        <f>Table4[[#This Row],[Column1]]</f>
        <v>0</v>
      </c>
      <c r="B853">
        <f>Table4[[#This Row],[Column2]]</f>
        <v>0</v>
      </c>
      <c r="L853"/>
    </row>
    <row r="854" spans="1:12" ht="22.5" customHeight="1">
      <c r="A854">
        <f>Table4[[#This Row],[Column1]]</f>
        <v>0</v>
      </c>
      <c r="B854">
        <f>Table4[[#This Row],[Column2]]</f>
        <v>0</v>
      </c>
      <c r="L854"/>
    </row>
    <row r="855" spans="1:12" ht="22.5" customHeight="1">
      <c r="A855">
        <f>Table4[[#This Row],[Column1]]</f>
        <v>0</v>
      </c>
      <c r="B855">
        <f>Table4[[#This Row],[Column2]]</f>
        <v>0</v>
      </c>
      <c r="L855"/>
    </row>
    <row r="856" spans="1:12" ht="22.5" customHeight="1">
      <c r="A856">
        <f>Table4[[#This Row],[Column1]]</f>
        <v>0</v>
      </c>
      <c r="B856">
        <f>Table4[[#This Row],[Column2]]</f>
        <v>0</v>
      </c>
      <c r="L856"/>
    </row>
    <row r="857" spans="1:12" ht="22.5" customHeight="1">
      <c r="A857">
        <f>Table4[[#This Row],[Column1]]</f>
        <v>0</v>
      </c>
      <c r="B857">
        <f>Table4[[#This Row],[Column2]]</f>
        <v>0</v>
      </c>
      <c r="L857"/>
    </row>
    <row r="858" spans="1:12" ht="22.5" customHeight="1">
      <c r="A858">
        <f>Table4[[#This Row],[Column1]]</f>
        <v>0</v>
      </c>
      <c r="B858">
        <f>Table4[[#This Row],[Column2]]</f>
        <v>0</v>
      </c>
      <c r="L858"/>
    </row>
    <row r="859" spans="1:12" ht="22.5" customHeight="1">
      <c r="A859">
        <f>Table4[[#This Row],[Column1]]</f>
        <v>0</v>
      </c>
      <c r="B859">
        <f>Table4[[#This Row],[Column2]]</f>
        <v>0</v>
      </c>
      <c r="L859"/>
    </row>
    <row r="860" spans="1:12" ht="22.5" customHeight="1">
      <c r="A860">
        <f>Table4[[#This Row],[Column1]]</f>
        <v>0</v>
      </c>
      <c r="B860">
        <f>Table4[[#This Row],[Column2]]</f>
        <v>0</v>
      </c>
      <c r="L860"/>
    </row>
    <row r="861" spans="1:12" ht="22.5" customHeight="1">
      <c r="A861">
        <f>Table4[[#This Row],[Column1]]</f>
        <v>0</v>
      </c>
      <c r="B861">
        <f>Table4[[#This Row],[Column2]]</f>
        <v>0</v>
      </c>
      <c r="L861"/>
    </row>
    <row r="862" spans="1:12" ht="22.5" customHeight="1">
      <c r="A862">
        <f>Table4[[#This Row],[Column1]]</f>
        <v>0</v>
      </c>
      <c r="B862">
        <f>Table4[[#This Row],[Column2]]</f>
        <v>0</v>
      </c>
      <c r="L862"/>
    </row>
    <row r="863" spans="1:12" ht="22.5" customHeight="1">
      <c r="A863">
        <f>Table4[[#This Row],[Column1]]</f>
        <v>0</v>
      </c>
      <c r="B863">
        <f>Table4[[#This Row],[Column2]]</f>
        <v>0</v>
      </c>
      <c r="L863"/>
    </row>
    <row r="864" spans="1:12" ht="22.5" customHeight="1">
      <c r="A864">
        <f>Table4[[#This Row],[Column1]]</f>
        <v>0</v>
      </c>
      <c r="B864">
        <f>Table4[[#This Row],[Column2]]</f>
        <v>0</v>
      </c>
      <c r="L864"/>
    </row>
    <row r="865" spans="1:12" ht="22.5" customHeight="1">
      <c r="A865">
        <f>Table4[[#This Row],[Column1]]</f>
        <v>0</v>
      </c>
      <c r="B865">
        <f>Table4[[#This Row],[Column2]]</f>
        <v>0</v>
      </c>
      <c r="L865"/>
    </row>
    <row r="866" spans="1:12" ht="22.5" customHeight="1">
      <c r="A866">
        <f>Table4[[#This Row],[Column1]]</f>
        <v>0</v>
      </c>
      <c r="B866">
        <f>Table4[[#This Row],[Column2]]</f>
        <v>0</v>
      </c>
      <c r="L866"/>
    </row>
    <row r="867" spans="1:12" ht="22.5" customHeight="1">
      <c r="A867">
        <f>Table4[[#This Row],[Column1]]</f>
        <v>0</v>
      </c>
      <c r="B867">
        <f>Table4[[#This Row],[Column2]]</f>
        <v>0</v>
      </c>
      <c r="L867"/>
    </row>
    <row r="868" spans="1:12" ht="22.5" customHeight="1">
      <c r="A868">
        <f>Table4[[#This Row],[Column1]]</f>
        <v>0</v>
      </c>
      <c r="B868">
        <f>Table4[[#This Row],[Column2]]</f>
        <v>0</v>
      </c>
      <c r="L868"/>
    </row>
    <row r="869" spans="1:12" ht="22.5" customHeight="1">
      <c r="A869">
        <f>Table4[[#This Row],[Column1]]</f>
        <v>0</v>
      </c>
      <c r="B869">
        <f>Table4[[#This Row],[Column2]]</f>
        <v>0</v>
      </c>
      <c r="L869"/>
    </row>
    <row r="870" spans="1:12" ht="22.5" customHeight="1">
      <c r="A870">
        <f>Table4[[#This Row],[Column1]]</f>
        <v>0</v>
      </c>
      <c r="B870">
        <f>Table4[[#This Row],[Column2]]</f>
        <v>0</v>
      </c>
      <c r="L870"/>
    </row>
    <row r="871" spans="1:12" ht="22.5" customHeight="1">
      <c r="A871">
        <f>Table4[[#This Row],[Column1]]</f>
        <v>0</v>
      </c>
      <c r="B871">
        <f>Table4[[#This Row],[Column2]]</f>
        <v>0</v>
      </c>
      <c r="L871"/>
    </row>
    <row r="872" spans="1:12" ht="22.5" customHeight="1">
      <c r="A872">
        <f>Table4[[#This Row],[Column1]]</f>
        <v>0</v>
      </c>
      <c r="B872">
        <f>Table4[[#This Row],[Column2]]</f>
        <v>0</v>
      </c>
      <c r="L872"/>
    </row>
    <row r="873" spans="1:12" ht="22.5" customHeight="1">
      <c r="A873">
        <f>Table4[[#This Row],[Column1]]</f>
        <v>0</v>
      </c>
      <c r="B873">
        <f>Table4[[#This Row],[Column2]]</f>
        <v>0</v>
      </c>
      <c r="L873"/>
    </row>
    <row r="874" spans="1:12" ht="22.5" customHeight="1">
      <c r="A874">
        <f>Table4[[#This Row],[Column1]]</f>
        <v>0</v>
      </c>
      <c r="B874">
        <f>Table4[[#This Row],[Column2]]</f>
        <v>0</v>
      </c>
      <c r="L874"/>
    </row>
    <row r="875" spans="1:12" ht="22.5" customHeight="1">
      <c r="A875">
        <f>Table4[[#This Row],[Column1]]</f>
        <v>0</v>
      </c>
      <c r="B875">
        <f>Table4[[#This Row],[Column2]]</f>
        <v>0</v>
      </c>
      <c r="L875"/>
    </row>
    <row r="876" spans="1:12" ht="22.5" customHeight="1">
      <c r="A876">
        <f>Table4[[#This Row],[Column1]]</f>
        <v>0</v>
      </c>
      <c r="B876">
        <f>Table4[[#This Row],[Column2]]</f>
        <v>0</v>
      </c>
      <c r="L876"/>
    </row>
    <row r="877" spans="1:12" ht="22.5" customHeight="1">
      <c r="A877">
        <f>Table4[[#This Row],[Column1]]</f>
        <v>0</v>
      </c>
      <c r="B877">
        <f>Table4[[#This Row],[Column2]]</f>
        <v>0</v>
      </c>
      <c r="L877"/>
    </row>
    <row r="878" spans="1:12" ht="22.5" customHeight="1">
      <c r="A878">
        <f>Table4[[#This Row],[Column1]]</f>
        <v>0</v>
      </c>
      <c r="B878">
        <f>Table4[[#This Row],[Column2]]</f>
        <v>0</v>
      </c>
      <c r="L878"/>
    </row>
    <row r="879" spans="1:12" ht="22.5" customHeight="1">
      <c r="A879">
        <f>Table4[[#This Row],[Column1]]</f>
        <v>0</v>
      </c>
      <c r="B879">
        <f>Table4[[#This Row],[Column2]]</f>
        <v>0</v>
      </c>
      <c r="L879"/>
    </row>
    <row r="880" spans="1:12" ht="22.5" customHeight="1">
      <c r="A880">
        <f>Table4[[#This Row],[Column1]]</f>
        <v>0</v>
      </c>
      <c r="B880">
        <f>Table4[[#This Row],[Column2]]</f>
        <v>0</v>
      </c>
      <c r="L880"/>
    </row>
    <row r="881" spans="1:12" ht="22.5" customHeight="1">
      <c r="A881">
        <f>Table4[[#This Row],[Column1]]</f>
        <v>0</v>
      </c>
      <c r="B881">
        <f>Table4[[#This Row],[Column2]]</f>
        <v>0</v>
      </c>
      <c r="L881"/>
    </row>
    <row r="882" spans="1:12" ht="22.5" customHeight="1">
      <c r="A882">
        <f>Table4[[#This Row],[Column1]]</f>
        <v>0</v>
      </c>
      <c r="B882">
        <f>Table4[[#This Row],[Column2]]</f>
        <v>0</v>
      </c>
      <c r="L882"/>
    </row>
    <row r="883" spans="1:12" ht="22.5" customHeight="1">
      <c r="A883">
        <f>Table4[[#This Row],[Column1]]</f>
        <v>0</v>
      </c>
      <c r="B883">
        <f>Table4[[#This Row],[Column2]]</f>
        <v>0</v>
      </c>
      <c r="L883"/>
    </row>
    <row r="884" spans="1:12" ht="22.5" customHeight="1">
      <c r="A884">
        <f>Table4[[#This Row],[Column1]]</f>
        <v>0</v>
      </c>
      <c r="B884">
        <f>Table4[[#This Row],[Column2]]</f>
        <v>0</v>
      </c>
      <c r="L884"/>
    </row>
    <row r="885" spans="1:12" ht="22.5" customHeight="1">
      <c r="A885">
        <f>Table4[[#This Row],[Column1]]</f>
        <v>0</v>
      </c>
      <c r="B885">
        <f>Table4[[#This Row],[Column2]]</f>
        <v>0</v>
      </c>
      <c r="L885"/>
    </row>
    <row r="886" spans="1:12" ht="22.5" customHeight="1">
      <c r="A886">
        <f>Table4[[#This Row],[Column1]]</f>
        <v>0</v>
      </c>
      <c r="B886">
        <f>Table4[[#This Row],[Column2]]</f>
        <v>0</v>
      </c>
      <c r="L886"/>
    </row>
    <row r="887" spans="1:12" ht="22.5" customHeight="1">
      <c r="A887">
        <f>Table4[[#This Row],[Column1]]</f>
        <v>0</v>
      </c>
      <c r="B887">
        <f>Table4[[#This Row],[Column2]]</f>
        <v>0</v>
      </c>
      <c r="L887"/>
    </row>
    <row r="888" spans="1:12" ht="22.5" customHeight="1">
      <c r="A888">
        <f>Table4[[#This Row],[Column1]]</f>
        <v>0</v>
      </c>
      <c r="B888">
        <f>Table4[[#This Row],[Column2]]</f>
        <v>0</v>
      </c>
      <c r="L888"/>
    </row>
    <row r="889" spans="1:12" ht="22.5" customHeight="1">
      <c r="A889">
        <f>Table4[[#This Row],[Column1]]</f>
        <v>0</v>
      </c>
      <c r="B889">
        <f>Table4[[#This Row],[Column2]]</f>
        <v>0</v>
      </c>
      <c r="L889"/>
    </row>
    <row r="890" spans="1:12" ht="22.5" customHeight="1">
      <c r="A890">
        <f>Table4[[#This Row],[Column1]]</f>
        <v>0</v>
      </c>
      <c r="B890">
        <f>Table4[[#This Row],[Column2]]</f>
        <v>0</v>
      </c>
      <c r="L890"/>
    </row>
    <row r="891" spans="1:12" ht="22.5" customHeight="1">
      <c r="A891">
        <f>Table4[[#This Row],[Column1]]</f>
        <v>0</v>
      </c>
      <c r="B891">
        <f>Table4[[#This Row],[Column2]]</f>
        <v>0</v>
      </c>
      <c r="L891"/>
    </row>
    <row r="892" spans="1:12" ht="22.5" customHeight="1">
      <c r="A892">
        <f>Table4[[#This Row],[Column1]]</f>
        <v>0</v>
      </c>
      <c r="B892">
        <f>Table4[[#This Row],[Column2]]</f>
        <v>0</v>
      </c>
      <c r="L892"/>
    </row>
    <row r="893" spans="1:12" ht="22.5" customHeight="1">
      <c r="A893">
        <f>Table4[[#This Row],[Column1]]</f>
        <v>0</v>
      </c>
      <c r="B893">
        <f>Table4[[#This Row],[Column2]]</f>
        <v>0</v>
      </c>
      <c r="L893"/>
    </row>
    <row r="894" spans="1:12" ht="22.5" customHeight="1">
      <c r="A894">
        <f>Table4[[#This Row],[Column1]]</f>
        <v>0</v>
      </c>
      <c r="B894">
        <f>Table4[[#This Row],[Column2]]</f>
        <v>0</v>
      </c>
      <c r="L894"/>
    </row>
    <row r="895" spans="1:12" ht="22.5" customHeight="1">
      <c r="A895">
        <f>Table4[[#This Row],[Column1]]</f>
        <v>0</v>
      </c>
      <c r="B895">
        <f>Table4[[#This Row],[Column2]]</f>
        <v>0</v>
      </c>
      <c r="L895"/>
    </row>
    <row r="896" spans="1:12" ht="22.5" customHeight="1">
      <c r="A896">
        <f>Table4[[#This Row],[Column1]]</f>
        <v>0</v>
      </c>
      <c r="B896">
        <f>Table4[[#This Row],[Column2]]</f>
        <v>0</v>
      </c>
      <c r="L896"/>
    </row>
    <row r="897" spans="1:12" ht="22.5" customHeight="1">
      <c r="A897">
        <f>Table4[[#This Row],[Column1]]</f>
        <v>0</v>
      </c>
      <c r="B897">
        <f>Table4[[#This Row],[Column2]]</f>
        <v>0</v>
      </c>
      <c r="L897"/>
    </row>
    <row r="898" spans="1:12" ht="22.5" customHeight="1">
      <c r="A898">
        <f>Table4[[#This Row],[Column1]]</f>
        <v>0</v>
      </c>
      <c r="B898">
        <f>Table4[[#This Row],[Column2]]</f>
        <v>0</v>
      </c>
      <c r="L898"/>
    </row>
    <row r="899" spans="1:12" ht="22.5" customHeight="1">
      <c r="A899">
        <f>Table4[[#This Row],[Column1]]</f>
        <v>0</v>
      </c>
      <c r="B899">
        <f>Table4[[#This Row],[Column2]]</f>
        <v>0</v>
      </c>
      <c r="L899"/>
    </row>
    <row r="900" spans="1:12" ht="22.5" customHeight="1">
      <c r="A900">
        <f>Table4[[#This Row],[Column1]]</f>
        <v>0</v>
      </c>
      <c r="B900">
        <f>Table4[[#This Row],[Column2]]</f>
        <v>0</v>
      </c>
      <c r="L900"/>
    </row>
    <row r="901" spans="1:12" ht="22.5" customHeight="1">
      <c r="A901">
        <f>Table4[[#This Row],[Column1]]</f>
        <v>0</v>
      </c>
      <c r="B901">
        <f>Table4[[#This Row],[Column2]]</f>
        <v>0</v>
      </c>
      <c r="L901"/>
    </row>
    <row r="902" spans="1:12" ht="22.5" customHeight="1">
      <c r="A902">
        <f>Table4[[#This Row],[Column1]]</f>
        <v>0</v>
      </c>
      <c r="B902">
        <f>Table4[[#This Row],[Column2]]</f>
        <v>0</v>
      </c>
      <c r="L902"/>
    </row>
    <row r="903" spans="1:12" ht="22.5" customHeight="1">
      <c r="A903">
        <f>Table4[[#This Row],[Column1]]</f>
        <v>0</v>
      </c>
      <c r="B903">
        <f>Table4[[#This Row],[Column2]]</f>
        <v>0</v>
      </c>
      <c r="L903"/>
    </row>
    <row r="904" spans="1:12" ht="22.5" customHeight="1">
      <c r="A904">
        <f>Table4[[#This Row],[Column1]]</f>
        <v>0</v>
      </c>
      <c r="B904">
        <f>Table4[[#This Row],[Column2]]</f>
        <v>0</v>
      </c>
      <c r="L904"/>
    </row>
    <row r="905" spans="1:12" ht="22.5" customHeight="1">
      <c r="A905">
        <f>Table4[[#This Row],[Column1]]</f>
        <v>0</v>
      </c>
      <c r="B905">
        <f>Table4[[#This Row],[Column2]]</f>
        <v>0</v>
      </c>
      <c r="L905"/>
    </row>
    <row r="906" spans="1:12" ht="22.5" customHeight="1">
      <c r="A906">
        <f>Table4[[#This Row],[Column1]]</f>
        <v>0</v>
      </c>
      <c r="B906">
        <f>Table4[[#This Row],[Column2]]</f>
        <v>0</v>
      </c>
      <c r="L906"/>
    </row>
    <row r="907" spans="1:12" ht="22.5" customHeight="1">
      <c r="A907">
        <f>Table4[[#This Row],[Column1]]</f>
        <v>0</v>
      </c>
      <c r="B907">
        <f>Table4[[#This Row],[Column2]]</f>
        <v>0</v>
      </c>
      <c r="L907"/>
    </row>
    <row r="908" spans="1:12" ht="22.5" customHeight="1">
      <c r="A908">
        <f>Table4[[#This Row],[Column1]]</f>
        <v>0</v>
      </c>
      <c r="B908">
        <f>Table4[[#This Row],[Column2]]</f>
        <v>0</v>
      </c>
      <c r="L908"/>
    </row>
    <row r="909" spans="1:12" ht="22.5" customHeight="1">
      <c r="A909">
        <f>Table4[[#This Row],[Column1]]</f>
        <v>0</v>
      </c>
      <c r="B909">
        <f>Table4[[#This Row],[Column2]]</f>
        <v>0</v>
      </c>
      <c r="L909"/>
    </row>
    <row r="910" spans="1:12" ht="22.5" customHeight="1">
      <c r="A910">
        <f>Table4[[#This Row],[Column1]]</f>
        <v>0</v>
      </c>
      <c r="B910">
        <f>Table4[[#This Row],[Column2]]</f>
        <v>0</v>
      </c>
      <c r="L910"/>
    </row>
    <row r="911" spans="1:12" ht="22.5" customHeight="1">
      <c r="A911">
        <f>Table4[[#This Row],[Column1]]</f>
        <v>0</v>
      </c>
      <c r="B911">
        <f>Table4[[#This Row],[Column2]]</f>
        <v>0</v>
      </c>
      <c r="L911"/>
    </row>
    <row r="912" spans="1:12" ht="22.5" customHeight="1">
      <c r="A912">
        <f>Table4[[#This Row],[Column1]]</f>
        <v>0</v>
      </c>
      <c r="B912">
        <f>Table4[[#This Row],[Column2]]</f>
        <v>0</v>
      </c>
      <c r="L912"/>
    </row>
    <row r="913" spans="1:12" ht="22.5" customHeight="1">
      <c r="A913">
        <f>Table4[[#This Row],[Column1]]</f>
        <v>0</v>
      </c>
      <c r="B913">
        <f>Table4[[#This Row],[Column2]]</f>
        <v>0</v>
      </c>
      <c r="L913"/>
    </row>
    <row r="914" spans="1:12" ht="22.5" customHeight="1">
      <c r="A914">
        <f>Table4[[#This Row],[Column1]]</f>
        <v>0</v>
      </c>
      <c r="B914">
        <f>Table4[[#This Row],[Column2]]</f>
        <v>0</v>
      </c>
      <c r="L914"/>
    </row>
    <row r="915" spans="1:12" ht="22.5" customHeight="1">
      <c r="A915">
        <f>Table4[[#This Row],[Column1]]</f>
        <v>0</v>
      </c>
      <c r="B915">
        <f>Table4[[#This Row],[Column2]]</f>
        <v>0</v>
      </c>
      <c r="L915"/>
    </row>
    <row r="916" spans="1:12" ht="22.5" customHeight="1">
      <c r="A916">
        <f>Table4[[#This Row],[Column1]]</f>
        <v>0</v>
      </c>
      <c r="B916">
        <f>Table4[[#This Row],[Column2]]</f>
        <v>0</v>
      </c>
      <c r="L916"/>
    </row>
    <row r="917" spans="1:12" ht="22.5" customHeight="1">
      <c r="A917">
        <f>Table4[[#This Row],[Column1]]</f>
        <v>0</v>
      </c>
      <c r="B917">
        <f>Table4[[#This Row],[Column2]]</f>
        <v>0</v>
      </c>
      <c r="L917"/>
    </row>
    <row r="918" spans="1:12" ht="22.5" customHeight="1">
      <c r="A918">
        <f>Table4[[#This Row],[Column1]]</f>
        <v>0</v>
      </c>
      <c r="B918">
        <f>Table4[[#This Row],[Column2]]</f>
        <v>0</v>
      </c>
      <c r="L918"/>
    </row>
    <row r="919" spans="1:12" ht="22.5" customHeight="1">
      <c r="A919">
        <f>Table4[[#This Row],[Column1]]</f>
        <v>0</v>
      </c>
      <c r="B919">
        <f>Table4[[#This Row],[Column2]]</f>
        <v>0</v>
      </c>
      <c r="L919"/>
    </row>
    <row r="920" spans="1:12" ht="22.5" customHeight="1">
      <c r="A920">
        <f>Table4[[#This Row],[Column1]]</f>
        <v>0</v>
      </c>
      <c r="B920">
        <f>Table4[[#This Row],[Column2]]</f>
        <v>0</v>
      </c>
      <c r="L920"/>
    </row>
    <row r="921" spans="1:12" ht="22.5" customHeight="1">
      <c r="A921">
        <f>Table4[[#This Row],[Column1]]</f>
        <v>0</v>
      </c>
      <c r="B921">
        <f>Table4[[#This Row],[Column2]]</f>
        <v>0</v>
      </c>
      <c r="L921"/>
    </row>
    <row r="922" spans="1:12" ht="22.5" customHeight="1">
      <c r="A922">
        <f>Table4[[#This Row],[Column1]]</f>
        <v>0</v>
      </c>
      <c r="B922">
        <f>Table4[[#This Row],[Column2]]</f>
        <v>0</v>
      </c>
      <c r="L922"/>
    </row>
    <row r="923" spans="1:12" ht="22.5" customHeight="1">
      <c r="A923">
        <f>Table4[[#This Row],[Column1]]</f>
        <v>0</v>
      </c>
      <c r="B923">
        <f>Table4[[#This Row],[Column2]]</f>
        <v>0</v>
      </c>
      <c r="L923"/>
    </row>
    <row r="924" spans="1:12" ht="22.5" customHeight="1">
      <c r="A924">
        <f>Table4[[#This Row],[Column1]]</f>
        <v>0</v>
      </c>
      <c r="B924">
        <f>Table4[[#This Row],[Column2]]</f>
        <v>0</v>
      </c>
      <c r="L924"/>
    </row>
    <row r="925" spans="1:12" ht="22.5" customHeight="1">
      <c r="A925">
        <f>Table4[[#This Row],[Column1]]</f>
        <v>0</v>
      </c>
      <c r="B925">
        <f>Table4[[#This Row],[Column2]]</f>
        <v>0</v>
      </c>
      <c r="L925"/>
    </row>
    <row r="926" spans="1:12" ht="22.5" customHeight="1">
      <c r="A926">
        <f>Table4[[#This Row],[Column1]]</f>
        <v>0</v>
      </c>
      <c r="B926">
        <f>Table4[[#This Row],[Column2]]</f>
        <v>0</v>
      </c>
      <c r="L926"/>
    </row>
    <row r="927" spans="1:12" ht="22.5" customHeight="1">
      <c r="A927">
        <f>Table4[[#This Row],[Column1]]</f>
        <v>0</v>
      </c>
      <c r="B927">
        <f>Table4[[#This Row],[Column2]]</f>
        <v>0</v>
      </c>
      <c r="L927"/>
    </row>
    <row r="928" spans="1:12" ht="22.5" customHeight="1">
      <c r="A928">
        <f>Table4[[#This Row],[Column1]]</f>
        <v>0</v>
      </c>
      <c r="B928">
        <f>Table4[[#This Row],[Column2]]</f>
        <v>0</v>
      </c>
      <c r="L928"/>
    </row>
    <row r="929" spans="1:12" ht="22.5" customHeight="1">
      <c r="A929">
        <f>Table4[[#This Row],[Column1]]</f>
        <v>0</v>
      </c>
      <c r="B929">
        <f>Table4[[#This Row],[Column2]]</f>
        <v>0</v>
      </c>
      <c r="L929"/>
    </row>
    <row r="930" spans="1:12" ht="22.5" customHeight="1">
      <c r="A930">
        <f>Table4[[#This Row],[Column1]]</f>
        <v>0</v>
      </c>
      <c r="B930">
        <f>Table4[[#This Row],[Column2]]</f>
        <v>0</v>
      </c>
      <c r="L930"/>
    </row>
    <row r="931" spans="1:12" ht="22.5" customHeight="1">
      <c r="A931">
        <f>Table4[[#This Row],[Column1]]</f>
        <v>0</v>
      </c>
      <c r="B931">
        <f>Table4[[#This Row],[Column2]]</f>
        <v>0</v>
      </c>
      <c r="L931"/>
    </row>
    <row r="932" spans="1:12" ht="22.5" customHeight="1">
      <c r="A932">
        <f>Table4[[#This Row],[Column1]]</f>
        <v>0</v>
      </c>
      <c r="B932">
        <f>Table4[[#This Row],[Column2]]</f>
        <v>0</v>
      </c>
      <c r="L932"/>
    </row>
    <row r="933" spans="1:12" ht="22.5" customHeight="1">
      <c r="A933">
        <f>Table4[[#This Row],[Column1]]</f>
        <v>0</v>
      </c>
      <c r="B933">
        <f>Table4[[#This Row],[Column2]]</f>
        <v>0</v>
      </c>
      <c r="L933"/>
    </row>
    <row r="934" spans="1:12" ht="22.5" customHeight="1">
      <c r="A934">
        <f>Table4[[#This Row],[Column1]]</f>
        <v>0</v>
      </c>
      <c r="B934">
        <f>Table4[[#This Row],[Column2]]</f>
        <v>0</v>
      </c>
      <c r="L934"/>
    </row>
    <row r="935" spans="1:12" ht="22.5" customHeight="1">
      <c r="A935">
        <f>Table4[[#This Row],[Column1]]</f>
        <v>0</v>
      </c>
      <c r="B935">
        <f>Table4[[#This Row],[Column2]]</f>
        <v>0</v>
      </c>
      <c r="L935"/>
    </row>
    <row r="936" spans="1:12" ht="22.5" customHeight="1">
      <c r="A936">
        <f>Table4[[#This Row],[Column1]]</f>
        <v>0</v>
      </c>
      <c r="B936">
        <f>Table4[[#This Row],[Column2]]</f>
        <v>0</v>
      </c>
      <c r="L936"/>
    </row>
    <row r="937" spans="1:12" ht="22.5" customHeight="1">
      <c r="A937">
        <f>Table4[[#This Row],[Column1]]</f>
        <v>0</v>
      </c>
      <c r="B937">
        <f>Table4[[#This Row],[Column2]]</f>
        <v>0</v>
      </c>
      <c r="L937"/>
    </row>
    <row r="938" spans="1:12" ht="22.5" customHeight="1">
      <c r="A938">
        <f>Table4[[#This Row],[Column1]]</f>
        <v>0</v>
      </c>
      <c r="B938">
        <f>Table4[[#This Row],[Column2]]</f>
        <v>0</v>
      </c>
      <c r="L938"/>
    </row>
    <row r="939" spans="1:12" ht="22.5" customHeight="1">
      <c r="A939">
        <f>Table4[[#This Row],[Column1]]</f>
        <v>0</v>
      </c>
      <c r="B939">
        <f>Table4[[#This Row],[Column2]]</f>
        <v>0</v>
      </c>
      <c r="L939"/>
    </row>
    <row r="940" spans="1:12" ht="22.5" customHeight="1">
      <c r="A940">
        <f>Table4[[#This Row],[Column1]]</f>
        <v>0</v>
      </c>
      <c r="B940">
        <f>Table4[[#This Row],[Column2]]</f>
        <v>0</v>
      </c>
      <c r="L940"/>
    </row>
    <row r="941" spans="1:12" ht="22.5" customHeight="1">
      <c r="A941">
        <f>Table4[[#This Row],[Column1]]</f>
        <v>0</v>
      </c>
      <c r="B941">
        <f>Table4[[#This Row],[Column2]]</f>
        <v>0</v>
      </c>
      <c r="L941"/>
    </row>
    <row r="942" spans="1:12" ht="22.5" customHeight="1">
      <c r="A942">
        <f>Table4[[#This Row],[Column1]]</f>
        <v>0</v>
      </c>
      <c r="B942">
        <f>Table4[[#This Row],[Column2]]</f>
        <v>0</v>
      </c>
      <c r="L942"/>
    </row>
    <row r="943" spans="1:12" ht="22.5" customHeight="1">
      <c r="A943">
        <f>Table4[[#This Row],[Column1]]</f>
        <v>0</v>
      </c>
      <c r="B943">
        <f>Table4[[#This Row],[Column2]]</f>
        <v>0</v>
      </c>
      <c r="L943"/>
    </row>
    <row r="944" spans="1:12" ht="22.5" customHeight="1">
      <c r="A944">
        <f>Table4[[#This Row],[Column1]]</f>
        <v>0</v>
      </c>
      <c r="B944">
        <f>Table4[[#This Row],[Column2]]</f>
        <v>0</v>
      </c>
      <c r="L944"/>
    </row>
    <row r="945" spans="1:12" ht="22.5" customHeight="1">
      <c r="A945">
        <f>Table4[[#This Row],[Column1]]</f>
        <v>0</v>
      </c>
      <c r="B945">
        <f>Table4[[#This Row],[Column2]]</f>
        <v>0</v>
      </c>
      <c r="L945"/>
    </row>
    <row r="946" spans="1:12" ht="22.5" customHeight="1">
      <c r="A946">
        <f>Table4[[#This Row],[Column1]]</f>
        <v>0</v>
      </c>
      <c r="B946">
        <f>Table4[[#This Row],[Column2]]</f>
        <v>0</v>
      </c>
      <c r="L946"/>
    </row>
    <row r="947" spans="1:12" ht="22.5" customHeight="1">
      <c r="A947">
        <f>Table4[[#This Row],[Column1]]</f>
        <v>0</v>
      </c>
      <c r="B947">
        <f>Table4[[#This Row],[Column2]]</f>
        <v>0</v>
      </c>
      <c r="L947"/>
    </row>
    <row r="948" spans="1:12" ht="22.5" customHeight="1">
      <c r="A948">
        <f>Table4[[#This Row],[Column1]]</f>
        <v>0</v>
      </c>
      <c r="B948">
        <f>Table4[[#This Row],[Column2]]</f>
        <v>0</v>
      </c>
      <c r="L948"/>
    </row>
    <row r="949" spans="1:12" ht="22.5" customHeight="1">
      <c r="A949">
        <f>Table4[[#This Row],[Column1]]</f>
        <v>0</v>
      </c>
      <c r="B949">
        <f>Table4[[#This Row],[Column2]]</f>
        <v>0</v>
      </c>
      <c r="L949"/>
    </row>
    <row r="950" spans="1:12" ht="22.5" customHeight="1">
      <c r="A950">
        <f>Table4[[#This Row],[Column1]]</f>
        <v>0</v>
      </c>
      <c r="B950">
        <f>Table4[[#This Row],[Column2]]</f>
        <v>0</v>
      </c>
      <c r="L950"/>
    </row>
    <row r="951" spans="1:12" ht="22.5" customHeight="1">
      <c r="A951">
        <f>Table4[[#This Row],[Column1]]</f>
        <v>0</v>
      </c>
      <c r="B951">
        <f>Table4[[#This Row],[Column2]]</f>
        <v>0</v>
      </c>
      <c r="L951"/>
    </row>
    <row r="952" spans="1:12" ht="22.5" customHeight="1">
      <c r="A952">
        <f>Table4[[#This Row],[Column1]]</f>
        <v>0</v>
      </c>
      <c r="B952">
        <f>Table4[[#This Row],[Column2]]</f>
        <v>0</v>
      </c>
      <c r="L952"/>
    </row>
    <row r="953" spans="1:12" ht="22.5" customHeight="1">
      <c r="A953">
        <f>Table4[[#This Row],[Column1]]</f>
        <v>0</v>
      </c>
      <c r="B953">
        <f>Table4[[#This Row],[Column2]]</f>
        <v>0</v>
      </c>
      <c r="L953"/>
    </row>
    <row r="954" spans="1:12" ht="22.5" customHeight="1">
      <c r="A954">
        <f>Table4[[#This Row],[Column1]]</f>
        <v>0</v>
      </c>
      <c r="B954">
        <f>Table4[[#This Row],[Column2]]</f>
        <v>0</v>
      </c>
      <c r="L954"/>
    </row>
    <row r="955" spans="1:12" ht="22.5" customHeight="1">
      <c r="A955">
        <f>Table4[[#This Row],[Column1]]</f>
        <v>0</v>
      </c>
      <c r="B955">
        <f>Table4[[#This Row],[Column2]]</f>
        <v>0</v>
      </c>
      <c r="L955"/>
    </row>
    <row r="956" spans="1:12" ht="22.5" customHeight="1">
      <c r="A956">
        <f>Table4[[#This Row],[Column1]]</f>
        <v>0</v>
      </c>
      <c r="B956">
        <f>Table4[[#This Row],[Column2]]</f>
        <v>0</v>
      </c>
      <c r="L956"/>
    </row>
    <row r="957" spans="1:12" ht="22.5" customHeight="1">
      <c r="A957">
        <f>Table4[[#This Row],[Column1]]</f>
        <v>0</v>
      </c>
      <c r="B957">
        <f>Table4[[#This Row],[Column2]]</f>
        <v>0</v>
      </c>
      <c r="L957"/>
    </row>
    <row r="958" spans="1:12" ht="22.5" customHeight="1">
      <c r="A958">
        <f>Table4[[#This Row],[Column1]]</f>
        <v>0</v>
      </c>
      <c r="B958">
        <f>Table4[[#This Row],[Column2]]</f>
        <v>0</v>
      </c>
      <c r="L958"/>
    </row>
    <row r="959" spans="1:12" ht="22.5" customHeight="1">
      <c r="A959">
        <f>Table4[[#This Row],[Column1]]</f>
        <v>0</v>
      </c>
      <c r="B959">
        <f>Table4[[#This Row],[Column2]]</f>
        <v>0</v>
      </c>
      <c r="L959"/>
    </row>
    <row r="960" spans="1:12" ht="22.5" customHeight="1">
      <c r="A960">
        <f>Table4[[#This Row],[Column1]]</f>
        <v>0</v>
      </c>
      <c r="B960">
        <f>Table4[[#This Row],[Column2]]</f>
        <v>0</v>
      </c>
      <c r="L960"/>
    </row>
    <row r="961" spans="1:12" ht="22.5" customHeight="1">
      <c r="A961">
        <f>Table4[[#This Row],[Column1]]</f>
        <v>0</v>
      </c>
      <c r="B961">
        <f>Table4[[#This Row],[Column2]]</f>
        <v>0</v>
      </c>
      <c r="L961"/>
    </row>
    <row r="962" spans="1:12" ht="22.5" customHeight="1">
      <c r="A962">
        <f>Table4[[#This Row],[Column1]]</f>
        <v>0</v>
      </c>
      <c r="B962">
        <f>Table4[[#This Row],[Column2]]</f>
        <v>0</v>
      </c>
      <c r="L962"/>
    </row>
    <row r="963" spans="1:12" ht="22.5" customHeight="1">
      <c r="A963">
        <f>Table4[[#This Row],[Column1]]</f>
        <v>0</v>
      </c>
      <c r="B963">
        <f>Table4[[#This Row],[Column2]]</f>
        <v>0</v>
      </c>
      <c r="L963"/>
    </row>
    <row r="964" spans="1:12" ht="22.5" customHeight="1">
      <c r="A964">
        <f>Table4[[#This Row],[Column1]]</f>
        <v>0</v>
      </c>
      <c r="B964">
        <f>Table4[[#This Row],[Column2]]</f>
        <v>0</v>
      </c>
      <c r="L964"/>
    </row>
    <row r="965" spans="1:12" ht="22.5" customHeight="1">
      <c r="A965">
        <f>Table4[[#This Row],[Column1]]</f>
        <v>0</v>
      </c>
      <c r="B965">
        <f>Table4[[#This Row],[Column2]]</f>
        <v>0</v>
      </c>
      <c r="L965"/>
    </row>
    <row r="966" spans="1:12" ht="22.5" customHeight="1">
      <c r="A966">
        <f>Table4[[#This Row],[Column1]]</f>
        <v>0</v>
      </c>
      <c r="B966">
        <f>Table4[[#This Row],[Column2]]</f>
        <v>0</v>
      </c>
      <c r="L966"/>
    </row>
    <row r="967" spans="1:12" ht="22.5" customHeight="1">
      <c r="A967">
        <f>Table4[[#This Row],[Column1]]</f>
        <v>0</v>
      </c>
      <c r="B967">
        <f>Table4[[#This Row],[Column2]]</f>
        <v>0</v>
      </c>
      <c r="L967"/>
    </row>
    <row r="968" spans="1:12" ht="22.5" customHeight="1">
      <c r="A968">
        <f>Table4[[#This Row],[Column1]]</f>
        <v>0</v>
      </c>
      <c r="B968">
        <f>Table4[[#This Row],[Column2]]</f>
        <v>0</v>
      </c>
      <c r="L968"/>
    </row>
    <row r="969" spans="1:12" ht="22.5" customHeight="1">
      <c r="A969">
        <f>Table4[[#This Row],[Column1]]</f>
        <v>0</v>
      </c>
      <c r="B969">
        <f>Table4[[#This Row],[Column2]]</f>
        <v>0</v>
      </c>
      <c r="L969"/>
    </row>
    <row r="970" spans="1:12" ht="22.5" customHeight="1">
      <c r="A970">
        <f>Table4[[#This Row],[Column1]]</f>
        <v>0</v>
      </c>
      <c r="B970">
        <f>Table4[[#This Row],[Column2]]</f>
        <v>0</v>
      </c>
      <c r="L970"/>
    </row>
    <row r="971" spans="1:12" ht="22.5" customHeight="1">
      <c r="A971">
        <f>Table4[[#This Row],[Column1]]</f>
        <v>0</v>
      </c>
      <c r="B971">
        <f>Table4[[#This Row],[Column2]]</f>
        <v>0</v>
      </c>
      <c r="L971"/>
    </row>
    <row r="972" spans="1:12" ht="22.5" customHeight="1">
      <c r="A972">
        <f>Table4[[#This Row],[Column1]]</f>
        <v>0</v>
      </c>
      <c r="B972">
        <f>Table4[[#This Row],[Column2]]</f>
        <v>0</v>
      </c>
      <c r="L972"/>
    </row>
    <row r="973" spans="1:12" ht="22.5" customHeight="1">
      <c r="A973">
        <f>Table4[[#This Row],[Column1]]</f>
        <v>0</v>
      </c>
      <c r="B973">
        <f>Table4[[#This Row],[Column2]]</f>
        <v>0</v>
      </c>
      <c r="L973"/>
    </row>
    <row r="974" spans="1:12" ht="22.5" customHeight="1">
      <c r="A974">
        <f>Table4[[#This Row],[Column1]]</f>
        <v>0</v>
      </c>
      <c r="B974">
        <f>Table4[[#This Row],[Column2]]</f>
        <v>0</v>
      </c>
      <c r="L974"/>
    </row>
    <row r="975" spans="1:12" ht="22.5" customHeight="1">
      <c r="A975">
        <f>Table4[[#This Row],[Column1]]</f>
        <v>0</v>
      </c>
      <c r="B975">
        <f>Table4[[#This Row],[Column2]]</f>
        <v>0</v>
      </c>
      <c r="L975"/>
    </row>
    <row r="976" spans="1:12" ht="22.5" customHeight="1">
      <c r="A976">
        <f>Table4[[#This Row],[Column1]]</f>
        <v>0</v>
      </c>
      <c r="B976">
        <f>Table4[[#This Row],[Column2]]</f>
        <v>0</v>
      </c>
      <c r="L976"/>
    </row>
    <row r="977" spans="1:12" ht="22.5" customHeight="1">
      <c r="A977">
        <f>Table4[[#This Row],[Column1]]</f>
        <v>0</v>
      </c>
      <c r="B977">
        <f>Table4[[#This Row],[Column2]]</f>
        <v>0</v>
      </c>
      <c r="L977"/>
    </row>
    <row r="978" spans="1:12" ht="22.5" customHeight="1">
      <c r="A978">
        <f>Table4[[#This Row],[Column1]]</f>
        <v>0</v>
      </c>
      <c r="B978">
        <f>Table4[[#This Row],[Column2]]</f>
        <v>0</v>
      </c>
      <c r="L978"/>
    </row>
    <row r="979" spans="1:12" ht="22.5" customHeight="1">
      <c r="A979">
        <f>Table4[[#This Row],[Column1]]</f>
        <v>0</v>
      </c>
      <c r="B979">
        <f>Table4[[#This Row],[Column2]]</f>
        <v>0</v>
      </c>
      <c r="L979"/>
    </row>
    <row r="980" spans="1:12" ht="22.5" customHeight="1">
      <c r="A980">
        <f>Table4[[#This Row],[Column1]]</f>
        <v>0</v>
      </c>
      <c r="B980">
        <f>Table4[[#This Row],[Column2]]</f>
        <v>0</v>
      </c>
      <c r="L980"/>
    </row>
    <row r="981" spans="1:12" ht="22.5" customHeight="1">
      <c r="A981">
        <f>Table4[[#This Row],[Column1]]</f>
        <v>0</v>
      </c>
      <c r="B981">
        <f>Table4[[#This Row],[Column2]]</f>
        <v>0</v>
      </c>
      <c r="L981"/>
    </row>
    <row r="982" spans="1:12" ht="22.5" customHeight="1">
      <c r="A982">
        <f>Table4[[#This Row],[Column1]]</f>
        <v>0</v>
      </c>
      <c r="B982">
        <f>Table4[[#This Row],[Column2]]</f>
        <v>0</v>
      </c>
      <c r="L982"/>
    </row>
    <row r="983" spans="1:12" ht="22.5" customHeight="1">
      <c r="A983">
        <f>Table4[[#This Row],[Column1]]</f>
        <v>0</v>
      </c>
      <c r="B983">
        <f>Table4[[#This Row],[Column2]]</f>
        <v>0</v>
      </c>
      <c r="L983"/>
    </row>
    <row r="984" spans="1:12" ht="22.5" customHeight="1">
      <c r="A984">
        <f>Table4[[#This Row],[Column1]]</f>
        <v>0</v>
      </c>
      <c r="B984">
        <f>Table4[[#This Row],[Column2]]</f>
        <v>0</v>
      </c>
      <c r="L984"/>
    </row>
    <row r="985" spans="1:12" ht="22.5" customHeight="1">
      <c r="A985">
        <f>Table4[[#This Row],[Column1]]</f>
        <v>0</v>
      </c>
      <c r="B985">
        <f>Table4[[#This Row],[Column2]]</f>
        <v>0</v>
      </c>
      <c r="L985"/>
    </row>
    <row r="986" spans="1:12" ht="22.5" customHeight="1">
      <c r="A986">
        <f>Table4[[#This Row],[Column1]]</f>
        <v>0</v>
      </c>
      <c r="B986">
        <f>Table4[[#This Row],[Column2]]</f>
        <v>0</v>
      </c>
      <c r="L986"/>
    </row>
    <row r="987" spans="1:12" ht="22.5" customHeight="1">
      <c r="A987">
        <f>Table4[[#This Row],[Column1]]</f>
        <v>0</v>
      </c>
      <c r="B987">
        <f>Table4[[#This Row],[Column2]]</f>
        <v>0</v>
      </c>
      <c r="L987"/>
    </row>
    <row r="988" spans="1:12" ht="22.5" customHeight="1">
      <c r="A988">
        <f>Table4[[#This Row],[Column1]]</f>
        <v>0</v>
      </c>
      <c r="B988">
        <f>Table4[[#This Row],[Column2]]</f>
        <v>0</v>
      </c>
      <c r="L988"/>
    </row>
    <row r="989" spans="1:12" ht="22.5" customHeight="1">
      <c r="A989">
        <f>Table4[[#This Row],[Column1]]</f>
        <v>0</v>
      </c>
      <c r="B989">
        <f>Table4[[#This Row],[Column2]]</f>
        <v>0</v>
      </c>
      <c r="L989"/>
    </row>
    <row r="990" spans="1:12" ht="22.5" customHeight="1">
      <c r="A990">
        <f>Table4[[#This Row],[Column1]]</f>
        <v>0</v>
      </c>
      <c r="B990">
        <f>Table4[[#This Row],[Column2]]</f>
        <v>0</v>
      </c>
      <c r="L990"/>
    </row>
    <row r="991" spans="1:12" ht="22.5" customHeight="1">
      <c r="A991">
        <f>Table4[[#This Row],[Column1]]</f>
        <v>0</v>
      </c>
      <c r="B991">
        <f>Table4[[#This Row],[Column2]]</f>
        <v>0</v>
      </c>
      <c r="L991"/>
    </row>
    <row r="992" spans="1:12" ht="22.5" customHeight="1">
      <c r="A992">
        <f>Table4[[#This Row],[Column1]]</f>
        <v>0</v>
      </c>
      <c r="B992">
        <f>Table4[[#This Row],[Column2]]</f>
        <v>0</v>
      </c>
      <c r="L992"/>
    </row>
    <row r="993" spans="1:12" ht="22.5" customHeight="1">
      <c r="A993">
        <f>Table4[[#This Row],[Column1]]</f>
        <v>0</v>
      </c>
      <c r="B993">
        <f>Table4[[#This Row],[Column2]]</f>
        <v>0</v>
      </c>
      <c r="L993"/>
    </row>
    <row r="994" spans="1:12" ht="22.5" customHeight="1">
      <c r="A994">
        <f>Table4[[#This Row],[Column1]]</f>
        <v>0</v>
      </c>
      <c r="B994">
        <f>Table4[[#This Row],[Column2]]</f>
        <v>0</v>
      </c>
      <c r="L994"/>
    </row>
    <row r="995" spans="1:12" ht="22.5" customHeight="1">
      <c r="A995">
        <f>Table4[[#This Row],[Column1]]</f>
        <v>0</v>
      </c>
      <c r="B995">
        <f>Table4[[#This Row],[Column2]]</f>
        <v>0</v>
      </c>
      <c r="L995"/>
    </row>
    <row r="996" spans="1:12" ht="22.5" customHeight="1">
      <c r="A996">
        <f>Table4[[#This Row],[Column1]]</f>
        <v>0</v>
      </c>
      <c r="B996">
        <f>Table4[[#This Row],[Column2]]</f>
        <v>0</v>
      </c>
      <c r="L996"/>
    </row>
    <row r="997" spans="1:12" ht="22.5" customHeight="1">
      <c r="A997">
        <f>Table4[[#This Row],[Column1]]</f>
        <v>0</v>
      </c>
      <c r="B997">
        <f>Table4[[#This Row],[Column2]]</f>
        <v>0</v>
      </c>
      <c r="L997"/>
    </row>
    <row r="998" spans="1:12" ht="22.5" customHeight="1">
      <c r="A998">
        <f>Table4[[#This Row],[Column1]]</f>
        <v>0</v>
      </c>
      <c r="B998">
        <f>Table4[[#This Row],[Column2]]</f>
        <v>0</v>
      </c>
      <c r="L998"/>
    </row>
    <row r="999" spans="1:12" ht="22.5" customHeight="1">
      <c r="A999">
        <f>Table4[[#This Row],[Column1]]</f>
        <v>0</v>
      </c>
      <c r="B999">
        <f>Table4[[#This Row],[Column2]]</f>
        <v>0</v>
      </c>
      <c r="L999"/>
    </row>
    <row r="1000" spans="1:12" ht="22.5" customHeight="1">
      <c r="A1000">
        <f>Table4[[#This Row],[Column1]]</f>
        <v>0</v>
      </c>
      <c r="B1000">
        <f>Table4[[#This Row],[Column2]]</f>
        <v>0</v>
      </c>
      <c r="L1000"/>
    </row>
    <row r="1001" spans="1:12" ht="22.5" customHeight="1">
      <c r="A1001">
        <f>Table4[[#This Row],[Column1]]</f>
        <v>0</v>
      </c>
      <c r="B1001">
        <f>Table4[[#This Row],[Column2]]</f>
        <v>0</v>
      </c>
      <c r="L1001"/>
    </row>
    <row r="1002" spans="1:12" ht="22.5" customHeight="1">
      <c r="A1002">
        <f>Table4[[#This Row],[Column1]]</f>
        <v>0</v>
      </c>
      <c r="B1002">
        <f>Table4[[#This Row],[Column2]]</f>
        <v>0</v>
      </c>
      <c r="L1002"/>
    </row>
    <row r="1003" spans="1:12" ht="22.5" customHeight="1">
      <c r="A1003">
        <f>Table4[[#This Row],[Column1]]</f>
        <v>0</v>
      </c>
      <c r="B1003">
        <f>Table4[[#This Row],[Column2]]</f>
        <v>0</v>
      </c>
      <c r="L1003"/>
    </row>
    <row r="1004" spans="1:12" ht="22.5" customHeight="1">
      <c r="A1004">
        <f>Table4[[#This Row],[Column1]]</f>
        <v>0</v>
      </c>
      <c r="B1004">
        <f>Table4[[#This Row],[Column2]]</f>
        <v>0</v>
      </c>
      <c r="L1004"/>
    </row>
    <row r="1005" spans="1:12" ht="22.5" customHeight="1">
      <c r="A1005">
        <f>Table4[[#This Row],[Column1]]</f>
        <v>0</v>
      </c>
      <c r="B1005">
        <f>Table4[[#This Row],[Column2]]</f>
        <v>0</v>
      </c>
      <c r="L1005"/>
    </row>
    <row r="1006" spans="1:12" ht="22.5" customHeight="1">
      <c r="A1006">
        <f>Table4[[#This Row],[Column1]]</f>
        <v>0</v>
      </c>
      <c r="B1006">
        <f>Table4[[#This Row],[Column2]]</f>
        <v>0</v>
      </c>
      <c r="L1006"/>
    </row>
    <row r="1007" spans="1:12" ht="22.5" customHeight="1">
      <c r="A1007">
        <f>Table4[[#This Row],[Column1]]</f>
        <v>0</v>
      </c>
      <c r="B1007">
        <f>Table4[[#This Row],[Column2]]</f>
        <v>0</v>
      </c>
      <c r="L1007"/>
    </row>
    <row r="1008" spans="1:12" ht="22.5" customHeight="1">
      <c r="A1008">
        <f>Table4[[#This Row],[Column1]]</f>
        <v>0</v>
      </c>
      <c r="B1008">
        <f>Table4[[#This Row],[Column2]]</f>
        <v>0</v>
      </c>
      <c r="L1008"/>
    </row>
    <row r="1009" spans="1:12" ht="22.5" customHeight="1">
      <c r="A1009">
        <f>Table4[[#This Row],[Column1]]</f>
        <v>0</v>
      </c>
      <c r="B1009">
        <f>Table4[[#This Row],[Column2]]</f>
        <v>0</v>
      </c>
      <c r="L1009"/>
    </row>
    <row r="1010" spans="1:12" ht="22.5" customHeight="1">
      <c r="A1010">
        <f>Table4[[#This Row],[Column1]]</f>
        <v>0</v>
      </c>
      <c r="B1010">
        <f>Table4[[#This Row],[Column2]]</f>
        <v>0</v>
      </c>
      <c r="L1010"/>
    </row>
    <row r="1011" spans="1:12" ht="22.5" customHeight="1">
      <c r="A1011">
        <f>Table4[[#This Row],[Column1]]</f>
        <v>0</v>
      </c>
      <c r="B1011">
        <f>Table4[[#This Row],[Column2]]</f>
        <v>0</v>
      </c>
      <c r="L1011"/>
    </row>
    <row r="1012" spans="1:12" ht="22.5" customHeight="1">
      <c r="A1012">
        <f>Table4[[#This Row],[Column1]]</f>
        <v>0</v>
      </c>
      <c r="B1012">
        <f>Table4[[#This Row],[Column2]]</f>
        <v>0</v>
      </c>
      <c r="L1012"/>
    </row>
    <row r="1013" spans="1:12" ht="22.5" customHeight="1">
      <c r="A1013">
        <f>Table4[[#This Row],[Column1]]</f>
        <v>0</v>
      </c>
      <c r="B1013">
        <f>Table4[[#This Row],[Column2]]</f>
        <v>0</v>
      </c>
      <c r="L1013"/>
    </row>
    <row r="1014" spans="1:12" ht="22.5" customHeight="1">
      <c r="A1014">
        <f>Table4[[#This Row],[Column1]]</f>
        <v>0</v>
      </c>
      <c r="B1014">
        <f>Table4[[#This Row],[Column2]]</f>
        <v>0</v>
      </c>
      <c r="L1014"/>
    </row>
    <row r="1015" spans="1:12" ht="22.5" customHeight="1">
      <c r="A1015">
        <f>Table4[[#This Row],[Column1]]</f>
        <v>0</v>
      </c>
      <c r="B1015">
        <f>Table4[[#This Row],[Column2]]</f>
        <v>0</v>
      </c>
      <c r="L1015"/>
    </row>
    <row r="1016" spans="1:12" ht="22.5" customHeight="1">
      <c r="A1016">
        <f>Table4[[#This Row],[Column1]]</f>
        <v>0</v>
      </c>
      <c r="B1016">
        <f>Table4[[#This Row],[Column2]]</f>
        <v>0</v>
      </c>
      <c r="L1016"/>
    </row>
    <row r="1017" spans="1:12" ht="22.5" customHeight="1">
      <c r="A1017">
        <f>Table4[[#This Row],[Column1]]</f>
        <v>0</v>
      </c>
      <c r="B1017">
        <f>Table4[[#This Row],[Column2]]</f>
        <v>0</v>
      </c>
      <c r="L1017"/>
    </row>
    <row r="1018" spans="1:12" ht="22.5" customHeight="1">
      <c r="A1018">
        <f>Table4[[#This Row],[Column1]]</f>
        <v>0</v>
      </c>
      <c r="B1018">
        <f>Table4[[#This Row],[Column2]]</f>
        <v>0</v>
      </c>
      <c r="L1018"/>
    </row>
    <row r="1019" spans="1:12" ht="22.5" customHeight="1">
      <c r="A1019">
        <f>Table4[[#This Row],[Column1]]</f>
        <v>0</v>
      </c>
      <c r="B1019">
        <f>Table4[[#This Row],[Column2]]</f>
        <v>0</v>
      </c>
      <c r="L1019"/>
    </row>
    <row r="1020" spans="1:12" ht="22.5" customHeight="1">
      <c r="A1020">
        <f>Table4[[#This Row],[Column1]]</f>
        <v>0</v>
      </c>
      <c r="B1020">
        <f>Table4[[#This Row],[Column2]]</f>
        <v>0</v>
      </c>
      <c r="L1020"/>
    </row>
    <row r="1021" spans="1:12" ht="22.5" customHeight="1">
      <c r="A1021">
        <f>Table4[[#This Row],[Column1]]</f>
        <v>0</v>
      </c>
      <c r="B1021">
        <f>Table4[[#This Row],[Column2]]</f>
        <v>0</v>
      </c>
      <c r="L1021"/>
    </row>
    <row r="1022" spans="1:12" ht="22.5" customHeight="1">
      <c r="A1022">
        <f>Table4[[#This Row],[Column1]]</f>
        <v>0</v>
      </c>
      <c r="B1022">
        <f>Table4[[#This Row],[Column2]]</f>
        <v>0</v>
      </c>
      <c r="L1022"/>
    </row>
    <row r="1023" spans="1:12" ht="22.5" customHeight="1">
      <c r="A1023">
        <f>Table4[[#This Row],[Column1]]</f>
        <v>0</v>
      </c>
      <c r="B1023">
        <f>Table4[[#This Row],[Column2]]</f>
        <v>0</v>
      </c>
      <c r="L1023"/>
    </row>
    <row r="1024" spans="1:12" ht="22.5" customHeight="1">
      <c r="A1024">
        <f>Table4[[#This Row],[Column1]]</f>
        <v>0</v>
      </c>
      <c r="B1024">
        <f>Table4[[#This Row],[Column2]]</f>
        <v>0</v>
      </c>
      <c r="L1024"/>
    </row>
    <row r="1025" spans="1:12" ht="22.5" customHeight="1">
      <c r="A1025">
        <f>Table4[[#This Row],[Column1]]</f>
        <v>0</v>
      </c>
      <c r="B1025">
        <f>Table4[[#This Row],[Column2]]</f>
        <v>0</v>
      </c>
      <c r="L1025"/>
    </row>
    <row r="1026" spans="1:12" ht="22.5" customHeight="1">
      <c r="A1026">
        <f>Table4[[#This Row],[Column1]]</f>
        <v>0</v>
      </c>
      <c r="B1026">
        <f>Table4[[#This Row],[Column2]]</f>
        <v>0</v>
      </c>
      <c r="L1026"/>
    </row>
    <row r="1027" spans="1:12" ht="22.5" customHeight="1">
      <c r="A1027">
        <f>Table4[[#This Row],[Column1]]</f>
        <v>0</v>
      </c>
      <c r="B1027">
        <f>Table4[[#This Row],[Column2]]</f>
        <v>0</v>
      </c>
      <c r="L1027"/>
    </row>
    <row r="1028" spans="1:12" ht="22.5" customHeight="1">
      <c r="A1028">
        <f>Table4[[#This Row],[Column1]]</f>
        <v>0</v>
      </c>
      <c r="B1028">
        <f>Table4[[#This Row],[Column2]]</f>
        <v>0</v>
      </c>
      <c r="L1028"/>
    </row>
    <row r="1029" spans="1:12" ht="22.5" customHeight="1">
      <c r="A1029">
        <f>Table4[[#This Row],[Column1]]</f>
        <v>0</v>
      </c>
      <c r="B1029">
        <f>Table4[[#This Row],[Column2]]</f>
        <v>0</v>
      </c>
      <c r="L1029"/>
    </row>
    <row r="1030" spans="1:12" ht="22.5" customHeight="1">
      <c r="A1030">
        <f>Table4[[#This Row],[Column1]]</f>
        <v>0</v>
      </c>
      <c r="B1030">
        <f>Table4[[#This Row],[Column2]]</f>
        <v>0</v>
      </c>
      <c r="L1030"/>
    </row>
    <row r="1031" spans="1:12" ht="22.5" customHeight="1">
      <c r="A1031">
        <f>Table4[[#This Row],[Column1]]</f>
        <v>0</v>
      </c>
      <c r="B1031">
        <f>Table4[[#This Row],[Column2]]</f>
        <v>0</v>
      </c>
      <c r="L1031"/>
    </row>
    <row r="1032" spans="1:12" ht="22.5" customHeight="1">
      <c r="A1032">
        <f>Table4[[#This Row],[Column1]]</f>
        <v>0</v>
      </c>
      <c r="B1032">
        <f>Table4[[#This Row],[Column2]]</f>
        <v>0</v>
      </c>
      <c r="L1032"/>
    </row>
    <row r="1033" spans="1:12" ht="22.5" customHeight="1">
      <c r="A1033">
        <f>Table4[[#This Row],[Column1]]</f>
        <v>0</v>
      </c>
      <c r="B1033">
        <f>Table4[[#This Row],[Column2]]</f>
        <v>0</v>
      </c>
      <c r="L1033"/>
    </row>
    <row r="1034" spans="1:12" ht="22.5" customHeight="1">
      <c r="A1034">
        <f>Table4[[#This Row],[Column1]]</f>
        <v>0</v>
      </c>
      <c r="B1034">
        <f>Table4[[#This Row],[Column2]]</f>
        <v>0</v>
      </c>
      <c r="L1034"/>
    </row>
    <row r="1035" spans="1:12" ht="22.5" customHeight="1">
      <c r="A1035">
        <f>Table4[[#This Row],[Column1]]</f>
        <v>0</v>
      </c>
      <c r="B1035">
        <f>Table4[[#This Row],[Column2]]</f>
        <v>0</v>
      </c>
      <c r="L1035"/>
    </row>
    <row r="1036" spans="1:12" ht="22.5" customHeight="1">
      <c r="A1036">
        <f>Table4[[#This Row],[Column1]]</f>
        <v>0</v>
      </c>
      <c r="B1036">
        <f>Table4[[#This Row],[Column2]]</f>
        <v>0</v>
      </c>
      <c r="L1036"/>
    </row>
    <row r="1037" spans="1:12" ht="22.5" customHeight="1">
      <c r="A1037">
        <f>Table4[[#This Row],[Column1]]</f>
        <v>0</v>
      </c>
      <c r="B1037">
        <f>Table4[[#This Row],[Column2]]</f>
        <v>0</v>
      </c>
      <c r="L1037"/>
    </row>
    <row r="1038" spans="1:12" ht="22.5" customHeight="1">
      <c r="A1038">
        <f>Table4[[#This Row],[Column1]]</f>
        <v>0</v>
      </c>
      <c r="B1038">
        <f>Table4[[#This Row],[Column2]]</f>
        <v>0</v>
      </c>
      <c r="L1038"/>
    </row>
    <row r="1039" spans="1:12" ht="22.5" customHeight="1">
      <c r="A1039">
        <f>Table4[[#This Row],[Column1]]</f>
        <v>0</v>
      </c>
      <c r="B1039">
        <f>Table4[[#This Row],[Column2]]</f>
        <v>0</v>
      </c>
      <c r="L1039"/>
    </row>
    <row r="1040" spans="1:12" ht="22.5" customHeight="1">
      <c r="A1040">
        <f>Table4[[#This Row],[Column1]]</f>
        <v>0</v>
      </c>
      <c r="B1040">
        <f>Table4[[#This Row],[Column2]]</f>
        <v>0</v>
      </c>
      <c r="L1040"/>
    </row>
    <row r="1041" spans="1:12" ht="22.5" customHeight="1">
      <c r="A1041">
        <f>Table4[[#This Row],[Column1]]</f>
        <v>0</v>
      </c>
      <c r="B1041">
        <f>Table4[[#This Row],[Column2]]</f>
        <v>0</v>
      </c>
      <c r="L1041"/>
    </row>
    <row r="1042" spans="1:12" ht="22.5" customHeight="1">
      <c r="A1042">
        <f>Table4[[#This Row],[Column1]]</f>
        <v>0</v>
      </c>
      <c r="B1042">
        <f>Table4[[#This Row],[Column2]]</f>
        <v>0</v>
      </c>
      <c r="L1042"/>
    </row>
    <row r="1043" spans="1:12" ht="22.5" customHeight="1">
      <c r="A1043">
        <f>Table4[[#This Row],[Column1]]</f>
        <v>0</v>
      </c>
      <c r="B1043">
        <f>Table4[[#This Row],[Column2]]</f>
        <v>0</v>
      </c>
      <c r="L1043"/>
    </row>
    <row r="1044" spans="1:12" ht="22.5" customHeight="1">
      <c r="A1044">
        <f>Table4[[#This Row],[Column1]]</f>
        <v>0</v>
      </c>
      <c r="B1044">
        <f>Table4[[#This Row],[Column2]]</f>
        <v>0</v>
      </c>
      <c r="L1044"/>
    </row>
    <row r="1045" spans="1:12" ht="22.5" customHeight="1">
      <c r="A1045">
        <f>Table4[[#This Row],[Column1]]</f>
        <v>0</v>
      </c>
      <c r="B1045">
        <f>Table4[[#This Row],[Column2]]</f>
        <v>0</v>
      </c>
      <c r="L1045"/>
    </row>
    <row r="1046" spans="1:12" ht="22.5" customHeight="1">
      <c r="A1046">
        <f>Table4[[#This Row],[Column1]]</f>
        <v>0</v>
      </c>
      <c r="B1046">
        <f>Table4[[#This Row],[Column2]]</f>
        <v>0</v>
      </c>
      <c r="L1046"/>
    </row>
    <row r="1047" spans="1:12" ht="22.5" customHeight="1">
      <c r="A1047">
        <f>Table4[[#This Row],[Column1]]</f>
        <v>0</v>
      </c>
      <c r="B1047">
        <f>Table4[[#This Row],[Column2]]</f>
        <v>0</v>
      </c>
      <c r="L1047"/>
    </row>
    <row r="1048" spans="1:12" ht="22.5" customHeight="1">
      <c r="A1048">
        <f>Table4[[#This Row],[Column1]]</f>
        <v>0</v>
      </c>
      <c r="B1048">
        <f>Table4[[#This Row],[Column2]]</f>
        <v>0</v>
      </c>
      <c r="L1048"/>
    </row>
    <row r="1049" spans="1:12" ht="22.5" customHeight="1">
      <c r="A1049">
        <f>Table4[[#This Row],[Column1]]</f>
        <v>0</v>
      </c>
      <c r="B1049">
        <f>Table4[[#This Row],[Column2]]</f>
        <v>0</v>
      </c>
      <c r="L1049"/>
    </row>
    <row r="1050" spans="1:12" ht="22.5" customHeight="1">
      <c r="A1050">
        <f>Table4[[#This Row],[Column1]]</f>
        <v>0</v>
      </c>
      <c r="B1050">
        <f>Table4[[#This Row],[Column2]]</f>
        <v>0</v>
      </c>
      <c r="L1050"/>
    </row>
    <row r="1051" spans="1:12" ht="22.5" customHeight="1">
      <c r="A1051">
        <f>Table4[[#This Row],[Column1]]</f>
        <v>0</v>
      </c>
      <c r="B1051">
        <f>Table4[[#This Row],[Column2]]</f>
        <v>0</v>
      </c>
      <c r="L1051"/>
    </row>
    <row r="1052" spans="1:12" ht="22.5" customHeight="1">
      <c r="A1052">
        <f>Table4[[#This Row],[Column1]]</f>
        <v>0</v>
      </c>
      <c r="B1052">
        <f>Table4[[#This Row],[Column2]]</f>
        <v>0</v>
      </c>
      <c r="L1052"/>
    </row>
    <row r="1053" spans="1:12" ht="22.5" customHeight="1">
      <c r="A1053">
        <f>Table4[[#This Row],[Column1]]</f>
        <v>0</v>
      </c>
      <c r="B1053">
        <f>Table4[[#This Row],[Column2]]</f>
        <v>0</v>
      </c>
      <c r="L1053"/>
    </row>
    <row r="1054" spans="1:12" ht="22.5" customHeight="1">
      <c r="A1054">
        <f>Table4[[#This Row],[Column1]]</f>
        <v>0</v>
      </c>
      <c r="B1054">
        <f>Table4[[#This Row],[Column2]]</f>
        <v>0</v>
      </c>
      <c r="L1054"/>
    </row>
    <row r="1055" spans="1:12" ht="22.5" customHeight="1">
      <c r="A1055">
        <f>Table4[[#This Row],[Column1]]</f>
        <v>0</v>
      </c>
      <c r="B1055">
        <f>Table4[[#This Row],[Column2]]</f>
        <v>0</v>
      </c>
      <c r="L1055"/>
    </row>
    <row r="1056" spans="1:12" ht="22.5" customHeight="1">
      <c r="A1056">
        <f>Table4[[#This Row],[Column1]]</f>
        <v>0</v>
      </c>
      <c r="B1056">
        <f>Table4[[#This Row],[Column2]]</f>
        <v>0</v>
      </c>
      <c r="L1056"/>
    </row>
    <row r="1057" spans="1:12" ht="22.5" customHeight="1">
      <c r="A1057">
        <f>Table4[[#This Row],[Column1]]</f>
        <v>0</v>
      </c>
      <c r="B1057">
        <f>Table4[[#This Row],[Column2]]</f>
        <v>0</v>
      </c>
      <c r="L1057"/>
    </row>
    <row r="1058" spans="1:12" ht="22.5" customHeight="1">
      <c r="A1058">
        <f>Table4[[#This Row],[Column1]]</f>
        <v>0</v>
      </c>
      <c r="B1058">
        <f>Table4[[#This Row],[Column2]]</f>
        <v>0</v>
      </c>
      <c r="L1058"/>
    </row>
    <row r="1059" spans="1:12" ht="22.5" customHeight="1">
      <c r="A1059">
        <f>Table4[[#This Row],[Column1]]</f>
        <v>0</v>
      </c>
      <c r="B1059">
        <f>Table4[[#This Row],[Column2]]</f>
        <v>0</v>
      </c>
      <c r="L1059"/>
    </row>
    <row r="1060" spans="1:12" ht="22.5" customHeight="1">
      <c r="A1060">
        <f>Table4[[#This Row],[Column1]]</f>
        <v>0</v>
      </c>
      <c r="B1060">
        <f>Table4[[#This Row],[Column2]]</f>
        <v>0</v>
      </c>
      <c r="L1060"/>
    </row>
    <row r="1061" spans="1:12" ht="22.5" customHeight="1">
      <c r="A1061">
        <f>Table4[[#This Row],[Column1]]</f>
        <v>0</v>
      </c>
      <c r="B1061">
        <f>Table4[[#This Row],[Column2]]</f>
        <v>0</v>
      </c>
      <c r="L1061"/>
    </row>
    <row r="1062" spans="1:12" ht="22.5" customHeight="1">
      <c r="A1062">
        <f>Table4[[#This Row],[Column1]]</f>
        <v>0</v>
      </c>
      <c r="B1062">
        <f>Table4[[#This Row],[Column2]]</f>
        <v>0</v>
      </c>
      <c r="L1062"/>
    </row>
    <row r="1063" spans="1:12" ht="22.5" customHeight="1">
      <c r="A1063">
        <f>Table4[[#This Row],[Column1]]</f>
        <v>0</v>
      </c>
      <c r="B1063">
        <f>Table4[[#This Row],[Column2]]</f>
        <v>0</v>
      </c>
      <c r="L1063"/>
    </row>
    <row r="1064" spans="1:12" ht="22.5" customHeight="1">
      <c r="A1064">
        <f>Table4[[#This Row],[Column1]]</f>
        <v>0</v>
      </c>
      <c r="B1064">
        <f>Table4[[#This Row],[Column2]]</f>
        <v>0</v>
      </c>
      <c r="L1064"/>
    </row>
    <row r="1065" spans="1:12" ht="22.5" customHeight="1">
      <c r="A1065">
        <f>Table4[[#This Row],[Column1]]</f>
        <v>0</v>
      </c>
      <c r="B1065">
        <f>Table4[[#This Row],[Column2]]</f>
        <v>0</v>
      </c>
      <c r="L1065"/>
    </row>
    <row r="1066" spans="1:12" ht="22.5" customHeight="1">
      <c r="A1066">
        <f>Table4[[#This Row],[Column1]]</f>
        <v>0</v>
      </c>
      <c r="B1066">
        <f>Table4[[#This Row],[Column2]]</f>
        <v>0</v>
      </c>
      <c r="L1066"/>
    </row>
    <row r="1067" spans="1:12" ht="22.5" customHeight="1">
      <c r="A1067">
        <f>Table4[[#This Row],[Column1]]</f>
        <v>0</v>
      </c>
      <c r="B1067">
        <f>Table4[[#This Row],[Column2]]</f>
        <v>0</v>
      </c>
      <c r="L1067"/>
    </row>
    <row r="1068" spans="1:12" ht="22.5" customHeight="1">
      <c r="A1068">
        <f>Table4[[#This Row],[Column1]]</f>
        <v>0</v>
      </c>
      <c r="B1068">
        <f>Table4[[#This Row],[Column2]]</f>
        <v>0</v>
      </c>
      <c r="L1068"/>
    </row>
    <row r="1069" spans="1:12" ht="22.5" customHeight="1">
      <c r="A1069">
        <f>Table4[[#This Row],[Column1]]</f>
        <v>0</v>
      </c>
      <c r="B1069">
        <f>Table4[[#This Row],[Column2]]</f>
        <v>0</v>
      </c>
      <c r="L1069"/>
    </row>
    <row r="1070" spans="1:12" ht="22.5" customHeight="1">
      <c r="A1070">
        <f>Table4[[#This Row],[Column1]]</f>
        <v>0</v>
      </c>
      <c r="B1070">
        <f>Table4[[#This Row],[Column2]]</f>
        <v>0</v>
      </c>
      <c r="L1070"/>
    </row>
    <row r="1071" spans="1:12" ht="22.5" customHeight="1">
      <c r="A1071">
        <f>Table4[[#This Row],[Column1]]</f>
        <v>0</v>
      </c>
      <c r="B1071">
        <f>Table4[[#This Row],[Column2]]</f>
        <v>0</v>
      </c>
      <c r="L1071"/>
    </row>
    <row r="1072" spans="1:12" ht="22.5" customHeight="1">
      <c r="A1072">
        <f>Table4[[#This Row],[Column1]]</f>
        <v>0</v>
      </c>
      <c r="B1072">
        <f>Table4[[#This Row],[Column2]]</f>
        <v>0</v>
      </c>
      <c r="L1072"/>
    </row>
    <row r="1073" spans="1:12" ht="22.5" customHeight="1">
      <c r="A1073">
        <f>Table4[[#This Row],[Column1]]</f>
        <v>0</v>
      </c>
      <c r="B1073">
        <f>Table4[[#This Row],[Column2]]</f>
        <v>0</v>
      </c>
      <c r="L1073"/>
    </row>
    <row r="1074" spans="1:12" ht="22.5" customHeight="1">
      <c r="A1074">
        <f>Table4[[#This Row],[Column1]]</f>
        <v>0</v>
      </c>
      <c r="B1074">
        <f>Table4[[#This Row],[Column2]]</f>
        <v>0</v>
      </c>
      <c r="L1074"/>
    </row>
    <row r="1075" spans="1:12" ht="22.5" customHeight="1">
      <c r="A1075">
        <f>Table4[[#This Row],[Column1]]</f>
        <v>0</v>
      </c>
      <c r="B1075">
        <f>Table4[[#This Row],[Column2]]</f>
        <v>0</v>
      </c>
      <c r="L1075"/>
    </row>
    <row r="1076" spans="1:12" ht="22.5" customHeight="1">
      <c r="A1076">
        <f>Table4[[#This Row],[Column1]]</f>
        <v>0</v>
      </c>
      <c r="B1076">
        <f>Table4[[#This Row],[Column2]]</f>
        <v>0</v>
      </c>
      <c r="L1076"/>
    </row>
    <row r="1077" spans="1:12" ht="22.5" customHeight="1">
      <c r="A1077">
        <f>Table4[[#This Row],[Column1]]</f>
        <v>0</v>
      </c>
      <c r="B1077">
        <f>Table4[[#This Row],[Column2]]</f>
        <v>0</v>
      </c>
      <c r="L1077"/>
    </row>
    <row r="1078" spans="1:12" ht="22.5" customHeight="1">
      <c r="A1078">
        <f>Table4[[#This Row],[Column1]]</f>
        <v>0</v>
      </c>
      <c r="B1078">
        <f>Table4[[#This Row],[Column2]]</f>
        <v>0</v>
      </c>
      <c r="L1078"/>
    </row>
    <row r="1079" spans="1:12" ht="22.5" customHeight="1">
      <c r="A1079">
        <f>Table4[[#This Row],[Column1]]</f>
        <v>0</v>
      </c>
      <c r="B1079">
        <f>Table4[[#This Row],[Column2]]</f>
        <v>0</v>
      </c>
      <c r="L1079"/>
    </row>
    <row r="1080" spans="1:12" ht="22.5" customHeight="1">
      <c r="A1080">
        <f>Table4[[#This Row],[Column1]]</f>
        <v>0</v>
      </c>
      <c r="B1080">
        <f>Table4[[#This Row],[Column2]]</f>
        <v>0</v>
      </c>
      <c r="L1080"/>
    </row>
    <row r="1081" spans="1:12" ht="22.5" customHeight="1">
      <c r="A1081">
        <f>Table4[[#This Row],[Column1]]</f>
        <v>0</v>
      </c>
      <c r="B1081">
        <f>Table4[[#This Row],[Column2]]</f>
        <v>0</v>
      </c>
      <c r="L1081"/>
    </row>
    <row r="1082" spans="1:12" ht="22.5" customHeight="1">
      <c r="A1082">
        <f>Table4[[#This Row],[Column1]]</f>
        <v>0</v>
      </c>
      <c r="B1082">
        <f>Table4[[#This Row],[Column2]]</f>
        <v>0</v>
      </c>
      <c r="L1082"/>
    </row>
    <row r="1083" spans="1:12" ht="22.5" customHeight="1">
      <c r="A1083">
        <f>Table4[[#This Row],[Column1]]</f>
        <v>0</v>
      </c>
      <c r="B1083">
        <f>Table4[[#This Row],[Column2]]</f>
        <v>0</v>
      </c>
      <c r="L1083"/>
    </row>
    <row r="1084" spans="1:12" ht="22.5" customHeight="1">
      <c r="A1084">
        <f>Table4[[#This Row],[Column1]]</f>
        <v>0</v>
      </c>
      <c r="B1084">
        <f>Table4[[#This Row],[Column2]]</f>
        <v>0</v>
      </c>
      <c r="L1084"/>
    </row>
    <row r="1085" spans="1:12" ht="22.5" customHeight="1">
      <c r="A1085">
        <f>Table4[[#This Row],[Column1]]</f>
        <v>0</v>
      </c>
      <c r="B1085">
        <f>Table4[[#This Row],[Column2]]</f>
        <v>0</v>
      </c>
      <c r="L1085"/>
    </row>
    <row r="1086" spans="1:12" ht="22.5" customHeight="1">
      <c r="A1086">
        <f>Table4[[#This Row],[Column1]]</f>
        <v>0</v>
      </c>
      <c r="B1086">
        <f>Table4[[#This Row],[Column2]]</f>
        <v>0</v>
      </c>
      <c r="L1086"/>
    </row>
    <row r="1087" spans="1:12" ht="22.5" customHeight="1">
      <c r="A1087">
        <f>Table4[[#This Row],[Column1]]</f>
        <v>0</v>
      </c>
      <c r="B1087">
        <f>Table4[[#This Row],[Column2]]</f>
        <v>0</v>
      </c>
      <c r="L1087"/>
    </row>
    <row r="1088" spans="1:12" ht="22.5" customHeight="1">
      <c r="A1088">
        <f>Table4[[#This Row],[Column1]]</f>
        <v>0</v>
      </c>
      <c r="B1088">
        <f>Table4[[#This Row],[Column2]]</f>
        <v>0</v>
      </c>
      <c r="L1088"/>
    </row>
    <row r="1089" spans="1:12" ht="22.5" customHeight="1">
      <c r="A1089">
        <f>Table4[[#This Row],[Column1]]</f>
        <v>0</v>
      </c>
      <c r="B1089">
        <f>Table4[[#This Row],[Column2]]</f>
        <v>0</v>
      </c>
      <c r="L1089"/>
    </row>
    <row r="1090" spans="1:12" ht="22.5" customHeight="1">
      <c r="A1090">
        <f>Table4[[#This Row],[Column1]]</f>
        <v>0</v>
      </c>
      <c r="B1090">
        <f>Table4[[#This Row],[Column2]]</f>
        <v>0</v>
      </c>
      <c r="L1090"/>
    </row>
    <row r="1091" spans="1:12" ht="22.5" customHeight="1">
      <c r="A1091">
        <f>Table4[[#This Row],[Column1]]</f>
        <v>0</v>
      </c>
      <c r="B1091">
        <f>Table4[[#This Row],[Column2]]</f>
        <v>0</v>
      </c>
      <c r="L1091"/>
    </row>
    <row r="1092" spans="1:12" ht="22.5" customHeight="1">
      <c r="A1092">
        <f>Table4[[#This Row],[Column1]]</f>
        <v>0</v>
      </c>
      <c r="B1092">
        <f>Table4[[#This Row],[Column2]]</f>
        <v>0</v>
      </c>
      <c r="L1092"/>
    </row>
    <row r="1093" spans="1:12" ht="22.5" customHeight="1">
      <c r="A1093">
        <f>Table4[[#This Row],[Column1]]</f>
        <v>0</v>
      </c>
      <c r="B1093">
        <f>Table4[[#This Row],[Column2]]</f>
        <v>0</v>
      </c>
      <c r="L1093"/>
    </row>
    <row r="1094" spans="1:12" ht="22.5" customHeight="1">
      <c r="A1094">
        <f>Table4[[#This Row],[Column1]]</f>
        <v>0</v>
      </c>
      <c r="B1094">
        <f>Table4[[#This Row],[Column2]]</f>
        <v>0</v>
      </c>
      <c r="L1094"/>
    </row>
    <row r="1095" spans="1:12" ht="22.5" customHeight="1">
      <c r="A1095">
        <f>Table4[[#This Row],[Column1]]</f>
        <v>0</v>
      </c>
      <c r="B1095">
        <f>Table4[[#This Row],[Column2]]</f>
        <v>0</v>
      </c>
      <c r="L1095"/>
    </row>
    <row r="1096" spans="1:12" ht="22.5" customHeight="1">
      <c r="A1096">
        <f>Table4[[#This Row],[Column1]]</f>
        <v>0</v>
      </c>
      <c r="B1096">
        <f>Table4[[#This Row],[Column2]]</f>
        <v>0</v>
      </c>
      <c r="L1096"/>
    </row>
    <row r="1097" spans="1:12" ht="22.5" customHeight="1">
      <c r="A1097">
        <f>Table4[[#This Row],[Column1]]</f>
        <v>0</v>
      </c>
      <c r="B1097">
        <f>Table4[[#This Row],[Column2]]</f>
        <v>0</v>
      </c>
      <c r="L1097"/>
    </row>
    <row r="1098" spans="1:12" ht="22.5" customHeight="1">
      <c r="A1098">
        <f>Table4[[#This Row],[Column1]]</f>
        <v>0</v>
      </c>
      <c r="B1098">
        <f>Table4[[#This Row],[Column2]]</f>
        <v>0</v>
      </c>
      <c r="L1098"/>
    </row>
    <row r="1099" spans="1:12" ht="22.5" customHeight="1">
      <c r="A1099">
        <f>Table4[[#This Row],[Column1]]</f>
        <v>0</v>
      </c>
      <c r="B1099">
        <f>Table4[[#This Row],[Column2]]</f>
        <v>0</v>
      </c>
      <c r="L1099"/>
    </row>
    <row r="1100" spans="1:12" ht="22.5" customHeight="1">
      <c r="A1100">
        <f>Table4[[#This Row],[Column1]]</f>
        <v>0</v>
      </c>
      <c r="B1100">
        <f>Table4[[#This Row],[Column2]]</f>
        <v>0</v>
      </c>
      <c r="L1100"/>
    </row>
    <row r="1101" spans="1:12" ht="22.5" customHeight="1">
      <c r="A1101">
        <f>Table4[[#This Row],[Column1]]</f>
        <v>0</v>
      </c>
      <c r="B1101">
        <f>Table4[[#This Row],[Column2]]</f>
        <v>0</v>
      </c>
      <c r="L1101"/>
    </row>
    <row r="1102" spans="1:12" ht="22.5" customHeight="1">
      <c r="A1102">
        <f>Table4[[#This Row],[Column1]]</f>
        <v>0</v>
      </c>
      <c r="B1102">
        <f>Table4[[#This Row],[Column2]]</f>
        <v>0</v>
      </c>
      <c r="L1102"/>
    </row>
    <row r="1103" spans="1:12" ht="22.5" customHeight="1">
      <c r="A1103">
        <f>Table4[[#This Row],[Column1]]</f>
        <v>0</v>
      </c>
      <c r="B1103">
        <f>Table4[[#This Row],[Column2]]</f>
        <v>0</v>
      </c>
      <c r="L1103"/>
    </row>
    <row r="1104" spans="1:12" ht="22.5" customHeight="1">
      <c r="A1104">
        <f>Table4[[#This Row],[Column1]]</f>
        <v>0</v>
      </c>
      <c r="B1104">
        <f>Table4[[#This Row],[Column2]]</f>
        <v>0</v>
      </c>
      <c r="L1104"/>
    </row>
    <row r="1105" spans="1:12" ht="22.5" customHeight="1">
      <c r="A1105">
        <f>Table4[[#This Row],[Column1]]</f>
        <v>0</v>
      </c>
      <c r="B1105">
        <f>Table4[[#This Row],[Column2]]</f>
        <v>0</v>
      </c>
      <c r="L1105"/>
    </row>
    <row r="1106" spans="1:12" ht="22.5" customHeight="1">
      <c r="A1106">
        <f>Table4[[#This Row],[Column1]]</f>
        <v>0</v>
      </c>
      <c r="B1106">
        <f>Table4[[#This Row],[Column2]]</f>
        <v>0</v>
      </c>
      <c r="L1106"/>
    </row>
    <row r="1107" spans="1:12" ht="22.5" customHeight="1">
      <c r="A1107">
        <f>Table4[[#This Row],[Column1]]</f>
        <v>0</v>
      </c>
      <c r="B1107">
        <f>Table4[[#This Row],[Column2]]</f>
        <v>0</v>
      </c>
      <c r="L1107"/>
    </row>
    <row r="1108" spans="1:12" ht="22.5" customHeight="1">
      <c r="A1108">
        <f>Table4[[#This Row],[Column1]]</f>
        <v>0</v>
      </c>
      <c r="B1108">
        <f>Table4[[#This Row],[Column2]]</f>
        <v>0</v>
      </c>
      <c r="L1108"/>
    </row>
    <row r="1109" spans="1:12" ht="22.5" customHeight="1">
      <c r="A1109">
        <f>Table4[[#This Row],[Column1]]</f>
        <v>0</v>
      </c>
      <c r="B1109">
        <f>Table4[[#This Row],[Column2]]</f>
        <v>0</v>
      </c>
      <c r="L1109"/>
    </row>
    <row r="1110" spans="1:12" ht="22.5" customHeight="1">
      <c r="A1110">
        <f>Table4[[#This Row],[Column1]]</f>
        <v>0</v>
      </c>
      <c r="B1110">
        <f>Table4[[#This Row],[Column2]]</f>
        <v>0</v>
      </c>
      <c r="L1110"/>
    </row>
    <row r="1111" spans="1:12" ht="22.5" customHeight="1">
      <c r="A1111">
        <f>Table4[[#This Row],[Column1]]</f>
        <v>0</v>
      </c>
      <c r="B1111">
        <f>Table4[[#This Row],[Column2]]</f>
        <v>0</v>
      </c>
      <c r="L1111"/>
    </row>
    <row r="1112" spans="1:12" ht="22.5" customHeight="1">
      <c r="A1112">
        <f>Table4[[#This Row],[Column1]]</f>
        <v>0</v>
      </c>
      <c r="B1112">
        <f>Table4[[#This Row],[Column2]]</f>
        <v>0</v>
      </c>
      <c r="L1112"/>
    </row>
    <row r="1113" spans="1:12" ht="22.5" customHeight="1">
      <c r="A1113">
        <f>Table4[[#This Row],[Column1]]</f>
        <v>0</v>
      </c>
      <c r="B1113">
        <f>Table4[[#This Row],[Column2]]</f>
        <v>0</v>
      </c>
      <c r="L1113"/>
    </row>
    <row r="1114" spans="1:12" ht="22.5" customHeight="1">
      <c r="A1114">
        <f>Table4[[#This Row],[Column1]]</f>
        <v>0</v>
      </c>
      <c r="B1114">
        <f>Table4[[#This Row],[Column2]]</f>
        <v>0</v>
      </c>
      <c r="L1114"/>
    </row>
    <row r="1115" spans="1:12" ht="22.5" customHeight="1">
      <c r="A1115">
        <f>Table4[[#This Row],[Column1]]</f>
        <v>0</v>
      </c>
      <c r="B1115">
        <f>Table4[[#This Row],[Column2]]</f>
        <v>0</v>
      </c>
      <c r="L1115"/>
    </row>
    <row r="1116" spans="1:12" ht="22.5" customHeight="1">
      <c r="A1116">
        <f>Table4[[#This Row],[Column1]]</f>
        <v>0</v>
      </c>
      <c r="B1116">
        <f>Table4[[#This Row],[Column2]]</f>
        <v>0</v>
      </c>
      <c r="L1116"/>
    </row>
    <row r="1117" spans="1:12" ht="22.5" customHeight="1">
      <c r="A1117">
        <f>Table4[[#This Row],[Column1]]</f>
        <v>0</v>
      </c>
      <c r="B1117">
        <f>Table4[[#This Row],[Column2]]</f>
        <v>0</v>
      </c>
      <c r="L1117"/>
    </row>
    <row r="1118" spans="1:12" ht="22.5" customHeight="1">
      <c r="A1118">
        <f>Table4[[#This Row],[Column1]]</f>
        <v>0</v>
      </c>
      <c r="B1118">
        <f>Table4[[#This Row],[Column2]]</f>
        <v>0</v>
      </c>
      <c r="L1118"/>
    </row>
    <row r="1119" spans="1:12" ht="22.5" customHeight="1">
      <c r="A1119">
        <f>Table4[[#This Row],[Column1]]</f>
        <v>0</v>
      </c>
      <c r="B1119">
        <f>Table4[[#This Row],[Column2]]</f>
        <v>0</v>
      </c>
      <c r="L1119"/>
    </row>
    <row r="1120" spans="1:12" ht="22.5" customHeight="1">
      <c r="A1120">
        <f>Table4[[#This Row],[Column1]]</f>
        <v>0</v>
      </c>
      <c r="B1120">
        <f>Table4[[#This Row],[Column2]]</f>
        <v>0</v>
      </c>
      <c r="L1120"/>
    </row>
    <row r="1121" spans="1:12" ht="22.5" customHeight="1">
      <c r="A1121">
        <f>Table4[[#This Row],[Column1]]</f>
        <v>0</v>
      </c>
      <c r="B1121">
        <f>Table4[[#This Row],[Column2]]</f>
        <v>0</v>
      </c>
      <c r="L1121"/>
    </row>
    <row r="1122" spans="1:12" ht="22.5" customHeight="1">
      <c r="A1122">
        <f>Table4[[#This Row],[Column1]]</f>
        <v>0</v>
      </c>
      <c r="B1122">
        <f>Table4[[#This Row],[Column2]]</f>
        <v>0</v>
      </c>
      <c r="L1122"/>
    </row>
    <row r="1123" spans="1:12" ht="22.5" customHeight="1">
      <c r="A1123">
        <f>Table4[[#This Row],[Column1]]</f>
        <v>0</v>
      </c>
      <c r="B1123">
        <f>Table4[[#This Row],[Column2]]</f>
        <v>0</v>
      </c>
      <c r="L1123"/>
    </row>
    <row r="1124" spans="1:12" ht="22.5" customHeight="1">
      <c r="A1124">
        <f>Table4[[#This Row],[Column1]]</f>
        <v>0</v>
      </c>
      <c r="B1124">
        <f>Table4[[#This Row],[Column2]]</f>
        <v>0</v>
      </c>
      <c r="L1124"/>
    </row>
    <row r="1125" spans="1:12" ht="22.5" customHeight="1">
      <c r="A1125">
        <f>Table4[[#This Row],[Column1]]</f>
        <v>0</v>
      </c>
      <c r="B1125">
        <f>Table4[[#This Row],[Column2]]</f>
        <v>0</v>
      </c>
      <c r="L1125"/>
    </row>
    <row r="1126" spans="1:12" ht="22.5" customHeight="1">
      <c r="A1126">
        <f>Table4[[#This Row],[Column1]]</f>
        <v>0</v>
      </c>
      <c r="B1126">
        <f>Table4[[#This Row],[Column2]]</f>
        <v>0</v>
      </c>
      <c r="L1126"/>
    </row>
    <row r="1127" spans="1:12" ht="22.5" customHeight="1">
      <c r="A1127">
        <f>Table4[[#This Row],[Column1]]</f>
        <v>0</v>
      </c>
      <c r="B1127">
        <f>Table4[[#This Row],[Column2]]</f>
        <v>0</v>
      </c>
      <c r="L1127"/>
    </row>
    <row r="1128" spans="1:12" ht="22.5" customHeight="1">
      <c r="A1128">
        <f>Table4[[#This Row],[Column1]]</f>
        <v>0</v>
      </c>
      <c r="B1128">
        <f>Table4[[#This Row],[Column2]]</f>
        <v>0</v>
      </c>
      <c r="L1128"/>
    </row>
    <row r="1129" spans="1:12" ht="22.5" customHeight="1">
      <c r="A1129">
        <f>Table4[[#This Row],[Column1]]</f>
        <v>0</v>
      </c>
      <c r="B1129">
        <f>Table4[[#This Row],[Column2]]</f>
        <v>0</v>
      </c>
      <c r="L1129"/>
    </row>
    <row r="1130" spans="1:12" ht="22.5" customHeight="1">
      <c r="A1130">
        <f>Table4[[#This Row],[Column1]]</f>
        <v>0</v>
      </c>
      <c r="B1130">
        <f>Table4[[#This Row],[Column2]]</f>
        <v>0</v>
      </c>
      <c r="L1130"/>
    </row>
    <row r="1131" spans="1:12" ht="22.5" customHeight="1">
      <c r="A1131">
        <f>Table4[[#This Row],[Column1]]</f>
        <v>0</v>
      </c>
      <c r="B1131">
        <f>Table4[[#This Row],[Column2]]</f>
        <v>0</v>
      </c>
      <c r="L1131"/>
    </row>
    <row r="1132" spans="1:12" ht="22.5" customHeight="1">
      <c r="A1132">
        <f>Table4[[#This Row],[Column1]]</f>
        <v>0</v>
      </c>
      <c r="B1132">
        <f>Table4[[#This Row],[Column2]]</f>
        <v>0</v>
      </c>
      <c r="L1132"/>
    </row>
    <row r="1133" spans="1:12" ht="22.5" customHeight="1">
      <c r="A1133">
        <f>Table4[[#This Row],[Column1]]</f>
        <v>0</v>
      </c>
      <c r="B1133">
        <f>Table4[[#This Row],[Column2]]</f>
        <v>0</v>
      </c>
      <c r="L1133"/>
    </row>
    <row r="1134" spans="1:12" ht="22.5" customHeight="1">
      <c r="A1134">
        <f>Table4[[#This Row],[Column1]]</f>
        <v>0</v>
      </c>
      <c r="B1134">
        <f>Table4[[#This Row],[Column2]]</f>
        <v>0</v>
      </c>
      <c r="L1134"/>
    </row>
    <row r="1135" spans="1:12" ht="22.5" customHeight="1">
      <c r="A1135">
        <f>Table4[[#This Row],[Column1]]</f>
        <v>0</v>
      </c>
      <c r="B1135">
        <f>Table4[[#This Row],[Column2]]</f>
        <v>0</v>
      </c>
      <c r="L1135"/>
    </row>
    <row r="1136" spans="1:12" ht="22.5" customHeight="1">
      <c r="A1136">
        <f>Table4[[#This Row],[Column1]]</f>
        <v>0</v>
      </c>
      <c r="B1136">
        <f>Table4[[#This Row],[Column2]]</f>
        <v>0</v>
      </c>
      <c r="L1136"/>
    </row>
    <row r="1137" spans="1:12" ht="22.5" customHeight="1">
      <c r="A1137">
        <f>Table4[[#This Row],[Column1]]</f>
        <v>0</v>
      </c>
      <c r="B1137">
        <f>Table4[[#This Row],[Column2]]</f>
        <v>0</v>
      </c>
      <c r="L1137"/>
    </row>
    <row r="1138" spans="1:12" ht="22.5" customHeight="1">
      <c r="A1138">
        <f>Table4[[#This Row],[Column1]]</f>
        <v>0</v>
      </c>
      <c r="B1138">
        <f>Table4[[#This Row],[Column2]]</f>
        <v>0</v>
      </c>
      <c r="L1138"/>
    </row>
    <row r="1139" spans="1:12" ht="22.5" customHeight="1">
      <c r="A1139">
        <f>Table4[[#This Row],[Column1]]</f>
        <v>0</v>
      </c>
      <c r="B1139">
        <f>Table4[[#This Row],[Column2]]</f>
        <v>0</v>
      </c>
      <c r="L1139"/>
    </row>
    <row r="1140" spans="1:12" ht="22.5" customHeight="1">
      <c r="A1140">
        <f>Table4[[#This Row],[Column1]]</f>
        <v>0</v>
      </c>
      <c r="B1140">
        <f>Table4[[#This Row],[Column2]]</f>
        <v>0</v>
      </c>
      <c r="L1140"/>
    </row>
    <row r="1141" spans="1:12" ht="22.5" customHeight="1">
      <c r="A1141">
        <f>Table4[[#This Row],[Column1]]</f>
        <v>0</v>
      </c>
      <c r="B1141">
        <f>Table4[[#This Row],[Column2]]</f>
        <v>0</v>
      </c>
      <c r="L1141"/>
    </row>
    <row r="1142" spans="1:12" ht="22.5" customHeight="1">
      <c r="A1142">
        <f>Table4[[#This Row],[Column1]]</f>
        <v>0</v>
      </c>
      <c r="B1142">
        <f>Table4[[#This Row],[Column2]]</f>
        <v>0</v>
      </c>
      <c r="L1142"/>
    </row>
    <row r="1143" spans="1:12" ht="22.5" customHeight="1">
      <c r="A1143">
        <f>Table4[[#This Row],[Column1]]</f>
        <v>0</v>
      </c>
      <c r="B1143">
        <f>Table4[[#This Row],[Column2]]</f>
        <v>0</v>
      </c>
      <c r="L1143"/>
    </row>
    <row r="1144" spans="1:12" ht="22.5" customHeight="1">
      <c r="A1144">
        <f>Table4[[#This Row],[Column1]]</f>
        <v>0</v>
      </c>
      <c r="B1144">
        <f>Table4[[#This Row],[Column2]]</f>
        <v>0</v>
      </c>
      <c r="L1144"/>
    </row>
    <row r="1145" spans="1:12" ht="22.5" customHeight="1">
      <c r="A1145">
        <f>Table4[[#This Row],[Column1]]</f>
        <v>0</v>
      </c>
      <c r="B1145">
        <f>Table4[[#This Row],[Column2]]</f>
        <v>0</v>
      </c>
      <c r="L1145"/>
    </row>
    <row r="1146" spans="1:12" ht="22.5" customHeight="1">
      <c r="A1146">
        <f>Table4[[#This Row],[Column1]]</f>
        <v>0</v>
      </c>
      <c r="B1146">
        <f>Table4[[#This Row],[Column2]]</f>
        <v>0</v>
      </c>
      <c r="L1146"/>
    </row>
    <row r="1147" spans="1:12" ht="22.5" customHeight="1">
      <c r="A1147">
        <f>Table4[[#This Row],[Column1]]</f>
        <v>0</v>
      </c>
      <c r="B1147">
        <f>Table4[[#This Row],[Column2]]</f>
        <v>0</v>
      </c>
      <c r="L1147"/>
    </row>
    <row r="1148" spans="1:12" ht="22.5" customHeight="1">
      <c r="A1148">
        <f>Table4[[#This Row],[Column1]]</f>
        <v>0</v>
      </c>
      <c r="B1148">
        <f>Table4[[#This Row],[Column2]]</f>
        <v>0</v>
      </c>
      <c r="L1148"/>
    </row>
    <row r="1149" spans="1:12" ht="22.5" customHeight="1">
      <c r="A1149">
        <f>Table4[[#This Row],[Column1]]</f>
        <v>0</v>
      </c>
      <c r="B1149">
        <f>Table4[[#This Row],[Column2]]</f>
        <v>0</v>
      </c>
      <c r="L1149"/>
    </row>
    <row r="1150" spans="1:12" ht="22.5" customHeight="1">
      <c r="A1150">
        <f>Table4[[#This Row],[Column1]]</f>
        <v>0</v>
      </c>
      <c r="B1150">
        <f>Table4[[#This Row],[Column2]]</f>
        <v>0</v>
      </c>
      <c r="L1150"/>
    </row>
    <row r="1151" spans="1:12" ht="22.5" customHeight="1">
      <c r="A1151">
        <f>Table4[[#This Row],[Column1]]</f>
        <v>0</v>
      </c>
      <c r="B1151">
        <f>Table4[[#This Row],[Column2]]</f>
        <v>0</v>
      </c>
      <c r="L1151"/>
    </row>
    <row r="1152" spans="1:12" ht="22.5" customHeight="1">
      <c r="A1152">
        <f>Table4[[#This Row],[Column1]]</f>
        <v>0</v>
      </c>
      <c r="B1152">
        <f>Table4[[#This Row],[Column2]]</f>
        <v>0</v>
      </c>
      <c r="L1152"/>
    </row>
    <row r="1153" spans="1:12" ht="22.5" customHeight="1">
      <c r="A1153">
        <f>Table4[[#This Row],[Column1]]</f>
        <v>0</v>
      </c>
      <c r="B1153">
        <f>Table4[[#This Row],[Column2]]</f>
        <v>0</v>
      </c>
      <c r="L1153"/>
    </row>
    <row r="1154" spans="1:12" ht="22.5" customHeight="1">
      <c r="A1154">
        <f>Table4[[#This Row],[Column1]]</f>
        <v>0</v>
      </c>
      <c r="B1154">
        <f>Table4[[#This Row],[Column2]]</f>
        <v>0</v>
      </c>
      <c r="L1154"/>
    </row>
    <row r="1155" spans="1:12" ht="22.5" customHeight="1">
      <c r="A1155">
        <f>Table4[[#This Row],[Column1]]</f>
        <v>0</v>
      </c>
      <c r="B1155">
        <f>Table4[[#This Row],[Column2]]</f>
        <v>0</v>
      </c>
      <c r="L1155"/>
    </row>
    <row r="1156" spans="1:12" ht="22.5" customHeight="1">
      <c r="A1156">
        <f>Table4[[#This Row],[Column1]]</f>
        <v>0</v>
      </c>
      <c r="B1156">
        <f>Table4[[#This Row],[Column2]]</f>
        <v>0</v>
      </c>
      <c r="L1156"/>
    </row>
    <row r="1157" spans="1:12" ht="22.5" customHeight="1">
      <c r="A1157">
        <f>Table4[[#This Row],[Column1]]</f>
        <v>0</v>
      </c>
      <c r="B1157">
        <f>Table4[[#This Row],[Column2]]</f>
        <v>0</v>
      </c>
      <c r="L1157"/>
    </row>
    <row r="1158" spans="1:12" ht="22.5" customHeight="1">
      <c r="A1158">
        <f>Table4[[#This Row],[Column1]]</f>
        <v>0</v>
      </c>
      <c r="B1158">
        <f>Table4[[#This Row],[Column2]]</f>
        <v>0</v>
      </c>
      <c r="L1158"/>
    </row>
    <row r="1159" spans="1:12" ht="22.5" customHeight="1">
      <c r="A1159">
        <f>Table4[[#This Row],[Column1]]</f>
        <v>0</v>
      </c>
      <c r="B1159">
        <f>Table4[[#This Row],[Column2]]</f>
        <v>0</v>
      </c>
      <c r="L1159"/>
    </row>
    <row r="1160" spans="1:12" ht="22.5" customHeight="1">
      <c r="A1160">
        <f>Table4[[#This Row],[Column1]]</f>
        <v>0</v>
      </c>
      <c r="B1160">
        <f>Table4[[#This Row],[Column2]]</f>
        <v>0</v>
      </c>
      <c r="L1160"/>
    </row>
    <row r="1161" spans="1:12" ht="22.5" customHeight="1">
      <c r="A1161">
        <f>Table4[[#This Row],[Column1]]</f>
        <v>0</v>
      </c>
      <c r="B1161">
        <f>Table4[[#This Row],[Column2]]</f>
        <v>0</v>
      </c>
      <c r="L1161"/>
    </row>
    <row r="1162" spans="1:12" ht="22.5" customHeight="1">
      <c r="A1162">
        <f>Table4[[#This Row],[Column1]]</f>
        <v>0</v>
      </c>
      <c r="B1162">
        <f>Table4[[#This Row],[Column2]]</f>
        <v>0</v>
      </c>
      <c r="L1162"/>
    </row>
    <row r="1163" spans="1:12" ht="22.5" customHeight="1">
      <c r="A1163">
        <f>Table4[[#This Row],[Column1]]</f>
        <v>0</v>
      </c>
      <c r="B1163">
        <f>Table4[[#This Row],[Column2]]</f>
        <v>0</v>
      </c>
      <c r="L1163"/>
    </row>
    <row r="1164" spans="1:12" ht="22.5" customHeight="1">
      <c r="A1164">
        <f>Table4[[#This Row],[Column1]]</f>
        <v>0</v>
      </c>
      <c r="B1164">
        <f>Table4[[#This Row],[Column2]]</f>
        <v>0</v>
      </c>
      <c r="L1164"/>
    </row>
    <row r="1165" spans="1:12" ht="22.5" customHeight="1">
      <c r="A1165">
        <f>Table4[[#This Row],[Column1]]</f>
        <v>0</v>
      </c>
      <c r="B1165">
        <f>Table4[[#This Row],[Column2]]</f>
        <v>0</v>
      </c>
      <c r="L1165"/>
    </row>
    <row r="1166" spans="1:12" ht="22.5" customHeight="1">
      <c r="A1166">
        <f>Table4[[#This Row],[Column1]]</f>
        <v>0</v>
      </c>
      <c r="B1166">
        <f>Table4[[#This Row],[Column2]]</f>
        <v>0</v>
      </c>
      <c r="L1166"/>
    </row>
    <row r="1167" spans="1:12" ht="22.5" customHeight="1">
      <c r="A1167">
        <f>Table4[[#This Row],[Column1]]</f>
        <v>0</v>
      </c>
      <c r="B1167">
        <f>Table4[[#This Row],[Column2]]</f>
        <v>0</v>
      </c>
      <c r="L1167"/>
    </row>
    <row r="1168" spans="1:12" ht="22.5" customHeight="1">
      <c r="A1168">
        <f>Table4[[#This Row],[Column1]]</f>
        <v>0</v>
      </c>
      <c r="B1168">
        <f>Table4[[#This Row],[Column2]]</f>
        <v>0</v>
      </c>
      <c r="L1168"/>
    </row>
    <row r="1169" spans="1:12" ht="22.5" customHeight="1">
      <c r="A1169">
        <f>Table4[[#This Row],[Column1]]</f>
        <v>0</v>
      </c>
      <c r="B1169">
        <f>Table4[[#This Row],[Column2]]</f>
        <v>0</v>
      </c>
      <c r="L1169"/>
    </row>
    <row r="1170" spans="1:12" ht="22.5" customHeight="1">
      <c r="A1170">
        <f>Table4[[#This Row],[Column1]]</f>
        <v>0</v>
      </c>
      <c r="B1170">
        <f>Table4[[#This Row],[Column2]]</f>
        <v>0</v>
      </c>
      <c r="L1170"/>
    </row>
    <row r="1171" spans="1:12" ht="22.5" customHeight="1">
      <c r="A1171">
        <f>Table4[[#This Row],[Column1]]</f>
        <v>0</v>
      </c>
      <c r="B1171">
        <f>Table4[[#This Row],[Column2]]</f>
        <v>0</v>
      </c>
      <c r="L1171"/>
    </row>
    <row r="1172" spans="1:12" ht="22.5" customHeight="1">
      <c r="A1172">
        <f>Table4[[#This Row],[Column1]]</f>
        <v>0</v>
      </c>
      <c r="B1172">
        <f>Table4[[#This Row],[Column2]]</f>
        <v>0</v>
      </c>
      <c r="L1172"/>
    </row>
    <row r="1173" spans="1:12" ht="22.5" customHeight="1">
      <c r="A1173">
        <f>Table4[[#This Row],[Column1]]</f>
        <v>0</v>
      </c>
      <c r="B1173">
        <f>Table4[[#This Row],[Column2]]</f>
        <v>0</v>
      </c>
      <c r="L1173"/>
    </row>
    <row r="1174" spans="1:12" ht="22.5" customHeight="1">
      <c r="A1174">
        <f>Table4[[#This Row],[Column1]]</f>
        <v>0</v>
      </c>
      <c r="B1174">
        <f>Table4[[#This Row],[Column2]]</f>
        <v>0</v>
      </c>
      <c r="L1174"/>
    </row>
    <row r="1175" spans="1:12" ht="22.5" customHeight="1">
      <c r="A1175">
        <f>Table4[[#This Row],[Column1]]</f>
        <v>0</v>
      </c>
      <c r="B1175">
        <f>Table4[[#This Row],[Column2]]</f>
        <v>0</v>
      </c>
      <c r="L1175"/>
    </row>
    <row r="1176" spans="1:12" ht="22.5" customHeight="1">
      <c r="A1176">
        <f>Table4[[#This Row],[Column1]]</f>
        <v>0</v>
      </c>
      <c r="B1176">
        <f>Table4[[#This Row],[Column2]]</f>
        <v>0</v>
      </c>
      <c r="L1176"/>
    </row>
    <row r="1177" spans="1:12" ht="22.5" customHeight="1">
      <c r="A1177">
        <f>Table4[[#This Row],[Column1]]</f>
        <v>0</v>
      </c>
      <c r="B1177">
        <f>Table4[[#This Row],[Column2]]</f>
        <v>0</v>
      </c>
      <c r="L1177"/>
    </row>
    <row r="1178" spans="1:12" ht="22.5" customHeight="1">
      <c r="A1178">
        <f>Table4[[#This Row],[Column1]]</f>
        <v>0</v>
      </c>
      <c r="B1178">
        <f>Table4[[#This Row],[Column2]]</f>
        <v>0</v>
      </c>
      <c r="L1178"/>
    </row>
    <row r="1179" spans="1:12" ht="22.5" customHeight="1">
      <c r="A1179">
        <f>Table4[[#This Row],[Column1]]</f>
        <v>0</v>
      </c>
      <c r="B1179">
        <f>Table4[[#This Row],[Column2]]</f>
        <v>0</v>
      </c>
      <c r="L1179"/>
    </row>
    <row r="1180" spans="1:12" ht="22.5" customHeight="1">
      <c r="A1180">
        <f>Table4[[#This Row],[Column1]]</f>
        <v>0</v>
      </c>
      <c r="B1180">
        <f>Table4[[#This Row],[Column2]]</f>
        <v>0</v>
      </c>
      <c r="L1180"/>
    </row>
    <row r="1181" spans="1:12" ht="22.5" customHeight="1">
      <c r="A1181">
        <f>Table4[[#This Row],[Column1]]</f>
        <v>0</v>
      </c>
      <c r="B1181">
        <f>Table4[[#This Row],[Column2]]</f>
        <v>0</v>
      </c>
      <c r="L1181"/>
    </row>
    <row r="1182" spans="1:12" ht="22.5" customHeight="1">
      <c r="A1182">
        <f>Table4[[#This Row],[Column1]]</f>
        <v>0</v>
      </c>
      <c r="B1182">
        <f>Table4[[#This Row],[Column2]]</f>
        <v>0</v>
      </c>
      <c r="L1182"/>
    </row>
    <row r="1183" spans="1:12" ht="22.5" customHeight="1">
      <c r="A1183">
        <f>Table4[[#This Row],[Column1]]</f>
        <v>0</v>
      </c>
      <c r="B1183">
        <f>Table4[[#This Row],[Column2]]</f>
        <v>0</v>
      </c>
      <c r="L1183"/>
    </row>
    <row r="1184" spans="1:12" ht="22.5" customHeight="1">
      <c r="A1184">
        <f>Table4[[#This Row],[Column1]]</f>
        <v>0</v>
      </c>
      <c r="B1184">
        <f>Table4[[#This Row],[Column2]]</f>
        <v>0</v>
      </c>
      <c r="L1184"/>
    </row>
    <row r="1185" spans="1:12" ht="22.5" customHeight="1">
      <c r="A1185">
        <f>Table4[[#This Row],[Column1]]</f>
        <v>0</v>
      </c>
      <c r="B1185">
        <f>Table4[[#This Row],[Column2]]</f>
        <v>0</v>
      </c>
      <c r="L1185"/>
    </row>
    <row r="1186" spans="1:12" ht="22.5" customHeight="1">
      <c r="A1186">
        <f>Table4[[#This Row],[Column1]]</f>
        <v>0</v>
      </c>
      <c r="B1186">
        <f>Table4[[#This Row],[Column2]]</f>
        <v>0</v>
      </c>
      <c r="L1186"/>
    </row>
    <row r="1187" spans="1:12" ht="22.5" customHeight="1">
      <c r="A1187">
        <f>Table4[[#This Row],[Column1]]</f>
        <v>0</v>
      </c>
      <c r="B1187">
        <f>Table4[[#This Row],[Column2]]</f>
        <v>0</v>
      </c>
      <c r="L1187"/>
    </row>
    <row r="1188" spans="1:12" ht="22.5" customHeight="1">
      <c r="A1188">
        <f>Table4[[#This Row],[Column1]]</f>
        <v>0</v>
      </c>
      <c r="B1188">
        <f>Table4[[#This Row],[Column2]]</f>
        <v>0</v>
      </c>
      <c r="L1188"/>
    </row>
    <row r="1189" spans="1:12" ht="22.5" customHeight="1">
      <c r="A1189">
        <f>Table4[[#This Row],[Column1]]</f>
        <v>0</v>
      </c>
      <c r="B1189">
        <f>Table4[[#This Row],[Column2]]</f>
        <v>0</v>
      </c>
      <c r="L1189"/>
    </row>
    <row r="1190" spans="1:12" ht="22.5" customHeight="1">
      <c r="A1190">
        <f>Table4[[#This Row],[Column1]]</f>
        <v>0</v>
      </c>
      <c r="B1190">
        <f>Table4[[#This Row],[Column2]]</f>
        <v>0</v>
      </c>
      <c r="L1190"/>
    </row>
    <row r="1191" spans="1:12" ht="22.5" customHeight="1">
      <c r="A1191">
        <f>Table4[[#This Row],[Column1]]</f>
        <v>0</v>
      </c>
      <c r="B1191">
        <f>Table4[[#This Row],[Column2]]</f>
        <v>0</v>
      </c>
      <c r="L1191"/>
    </row>
    <row r="1192" spans="1:12" ht="22.5" customHeight="1">
      <c r="A1192">
        <f>Table4[[#This Row],[Column1]]</f>
        <v>0</v>
      </c>
      <c r="B1192">
        <f>Table4[[#This Row],[Column2]]</f>
        <v>0</v>
      </c>
      <c r="L1192"/>
    </row>
    <row r="1193" spans="1:12" ht="22.5" customHeight="1">
      <c r="A1193">
        <f>Table4[[#This Row],[Column1]]</f>
        <v>0</v>
      </c>
      <c r="B1193">
        <f>Table4[[#This Row],[Column2]]</f>
        <v>0</v>
      </c>
      <c r="L1193"/>
    </row>
    <row r="1194" spans="1:12" ht="22.5" customHeight="1">
      <c r="A1194">
        <f>Table4[[#This Row],[Column1]]</f>
        <v>0</v>
      </c>
      <c r="B1194">
        <f>Table4[[#This Row],[Column2]]</f>
        <v>0</v>
      </c>
      <c r="L1194"/>
    </row>
    <row r="1195" spans="1:12" ht="22.5" customHeight="1">
      <c r="A1195">
        <f>Table4[[#This Row],[Column1]]</f>
        <v>0</v>
      </c>
      <c r="B1195">
        <f>Table4[[#This Row],[Column2]]</f>
        <v>0</v>
      </c>
      <c r="L1195"/>
    </row>
    <row r="1196" spans="1:12" ht="22.5" customHeight="1">
      <c r="A1196">
        <f>Table4[[#This Row],[Column1]]</f>
        <v>0</v>
      </c>
      <c r="B1196">
        <f>Table4[[#This Row],[Column2]]</f>
        <v>0</v>
      </c>
      <c r="L1196"/>
    </row>
    <row r="1197" spans="1:12" ht="22.5" customHeight="1">
      <c r="A1197">
        <f>Table4[[#This Row],[Column1]]</f>
        <v>0</v>
      </c>
      <c r="B1197">
        <f>Table4[[#This Row],[Column2]]</f>
        <v>0</v>
      </c>
      <c r="L1197"/>
    </row>
    <row r="1198" spans="1:12" ht="22.5" customHeight="1">
      <c r="A1198">
        <f>Table4[[#This Row],[Column1]]</f>
        <v>0</v>
      </c>
      <c r="B1198">
        <f>Table4[[#This Row],[Column2]]</f>
        <v>0</v>
      </c>
      <c r="L1198"/>
    </row>
    <row r="1199" spans="1:12" ht="22.5" customHeight="1">
      <c r="A1199">
        <f>Table4[[#This Row],[Column1]]</f>
        <v>0</v>
      </c>
      <c r="B1199">
        <f>Table4[[#This Row],[Column2]]</f>
        <v>0</v>
      </c>
      <c r="L1199"/>
    </row>
    <row r="1200" spans="1:12" ht="22.5" customHeight="1">
      <c r="A1200">
        <f>Table4[[#This Row],[Column1]]</f>
        <v>0</v>
      </c>
      <c r="B1200">
        <f>Table4[[#This Row],[Column2]]</f>
        <v>0</v>
      </c>
      <c r="L1200"/>
    </row>
    <row r="1201" spans="1:12" ht="22.5" customHeight="1">
      <c r="A1201">
        <f>Table4[[#This Row],[Column1]]</f>
        <v>0</v>
      </c>
      <c r="B1201">
        <f>Table4[[#This Row],[Column2]]</f>
        <v>0</v>
      </c>
      <c r="L1201"/>
    </row>
    <row r="1202" spans="1:12" ht="22.5" customHeight="1">
      <c r="A1202">
        <f>Table4[[#This Row],[Column1]]</f>
        <v>0</v>
      </c>
      <c r="B1202">
        <f>Table4[[#This Row],[Column2]]</f>
        <v>0</v>
      </c>
      <c r="L1202"/>
    </row>
    <row r="1203" spans="1:12" ht="22.5" customHeight="1">
      <c r="A1203">
        <f>Table4[[#This Row],[Column1]]</f>
        <v>0</v>
      </c>
      <c r="B1203">
        <f>Table4[[#This Row],[Column2]]</f>
        <v>0</v>
      </c>
      <c r="L1203"/>
    </row>
    <row r="1204" spans="1:12" ht="22.5" customHeight="1">
      <c r="A1204">
        <f>Table4[[#This Row],[Column1]]</f>
        <v>0</v>
      </c>
      <c r="B1204">
        <f>Table4[[#This Row],[Column2]]</f>
        <v>0</v>
      </c>
      <c r="L1204"/>
    </row>
    <row r="1205" spans="1:12" ht="22.5" customHeight="1">
      <c r="A1205">
        <f>Table4[[#This Row],[Column1]]</f>
        <v>0</v>
      </c>
      <c r="B1205">
        <f>Table4[[#This Row],[Column2]]</f>
        <v>0</v>
      </c>
      <c r="L1205"/>
    </row>
    <row r="1206" spans="1:12" ht="22.5" customHeight="1">
      <c r="A1206">
        <f>Table4[[#This Row],[Column1]]</f>
        <v>0</v>
      </c>
      <c r="B1206">
        <f>Table4[[#This Row],[Column2]]</f>
        <v>0</v>
      </c>
      <c r="L1206"/>
    </row>
    <row r="1207" spans="1:12" ht="22.5" customHeight="1">
      <c r="A1207">
        <f>Table4[[#This Row],[Column1]]</f>
        <v>0</v>
      </c>
      <c r="B1207">
        <f>Table4[[#This Row],[Column2]]</f>
        <v>0</v>
      </c>
      <c r="L1207"/>
    </row>
    <row r="1208" spans="1:12" ht="22.5" customHeight="1">
      <c r="A1208">
        <f>Table4[[#This Row],[Column1]]</f>
        <v>0</v>
      </c>
      <c r="B1208">
        <f>Table4[[#This Row],[Column2]]</f>
        <v>0</v>
      </c>
      <c r="L1208"/>
    </row>
    <row r="1209" spans="1:12" ht="22.5" customHeight="1">
      <c r="A1209">
        <f>Table4[[#This Row],[Column1]]</f>
        <v>0</v>
      </c>
      <c r="B1209">
        <f>Table4[[#This Row],[Column2]]</f>
        <v>0</v>
      </c>
      <c r="L1209"/>
    </row>
    <row r="1210" spans="1:12" ht="22.5" customHeight="1">
      <c r="A1210">
        <f>Table4[[#This Row],[Column1]]</f>
        <v>0</v>
      </c>
      <c r="B1210">
        <f>Table4[[#This Row],[Column2]]</f>
        <v>0</v>
      </c>
      <c r="L1210"/>
    </row>
    <row r="1211" spans="1:12" ht="22.5" customHeight="1">
      <c r="A1211">
        <f>Table4[[#This Row],[Column1]]</f>
        <v>0</v>
      </c>
      <c r="B1211">
        <f>Table4[[#This Row],[Column2]]</f>
        <v>0</v>
      </c>
      <c r="L1211"/>
    </row>
    <row r="1212" spans="1:12" ht="22.5" customHeight="1">
      <c r="A1212">
        <f>Table4[[#This Row],[Column1]]</f>
        <v>0</v>
      </c>
      <c r="B1212">
        <f>Table4[[#This Row],[Column2]]</f>
        <v>0</v>
      </c>
      <c r="L1212"/>
    </row>
    <row r="1213" spans="1:12" ht="22.5" customHeight="1">
      <c r="A1213">
        <f>Table4[[#This Row],[Column1]]</f>
        <v>0</v>
      </c>
      <c r="B1213">
        <f>Table4[[#This Row],[Column2]]</f>
        <v>0</v>
      </c>
      <c r="L1213"/>
    </row>
    <row r="1214" spans="1:12" ht="22.5" customHeight="1">
      <c r="A1214">
        <f>Table4[[#This Row],[Column1]]</f>
        <v>0</v>
      </c>
      <c r="B1214">
        <f>Table4[[#This Row],[Column2]]</f>
        <v>0</v>
      </c>
      <c r="L1214"/>
    </row>
    <row r="1215" spans="1:12" ht="22.5" customHeight="1">
      <c r="A1215">
        <f>Table4[[#This Row],[Column1]]</f>
        <v>0</v>
      </c>
      <c r="B1215">
        <f>Table4[[#This Row],[Column2]]</f>
        <v>0</v>
      </c>
      <c r="L1215"/>
    </row>
    <row r="1216" spans="1:12" ht="22.5" customHeight="1">
      <c r="A1216">
        <f>Table4[[#This Row],[Column1]]</f>
        <v>0</v>
      </c>
      <c r="B1216">
        <f>Table4[[#This Row],[Column2]]</f>
        <v>0</v>
      </c>
      <c r="L1216"/>
    </row>
    <row r="1217" spans="1:12" ht="22.5" customHeight="1">
      <c r="A1217">
        <f>Table4[[#This Row],[Column1]]</f>
        <v>0</v>
      </c>
      <c r="B1217">
        <f>Table4[[#This Row],[Column2]]</f>
        <v>0</v>
      </c>
      <c r="L1217"/>
    </row>
    <row r="1218" spans="1:12" ht="22.5" customHeight="1">
      <c r="A1218">
        <f>Table4[[#This Row],[Column1]]</f>
        <v>0</v>
      </c>
      <c r="B1218">
        <f>Table4[[#This Row],[Column2]]</f>
        <v>0</v>
      </c>
      <c r="L1218"/>
    </row>
    <row r="1219" spans="1:12" ht="22.5" customHeight="1">
      <c r="A1219">
        <f>Table4[[#This Row],[Column1]]</f>
        <v>0</v>
      </c>
      <c r="B1219">
        <f>Table4[[#This Row],[Column2]]</f>
        <v>0</v>
      </c>
      <c r="L1219"/>
    </row>
    <row r="1220" spans="1:12" ht="22.5" customHeight="1">
      <c r="A1220">
        <f>Table4[[#This Row],[Column1]]</f>
        <v>0</v>
      </c>
      <c r="B1220">
        <f>Table4[[#This Row],[Column2]]</f>
        <v>0</v>
      </c>
      <c r="L1220"/>
    </row>
    <row r="1221" spans="1:12" ht="22.5" customHeight="1">
      <c r="A1221">
        <f>Table4[[#This Row],[Column1]]</f>
        <v>0</v>
      </c>
      <c r="B1221">
        <f>Table4[[#This Row],[Column2]]</f>
        <v>0</v>
      </c>
      <c r="L1221"/>
    </row>
    <row r="1222" spans="1:12" ht="22.5" customHeight="1">
      <c r="A1222">
        <f>Table4[[#This Row],[Column1]]</f>
        <v>0</v>
      </c>
      <c r="B1222">
        <f>Table4[[#This Row],[Column2]]</f>
        <v>0</v>
      </c>
      <c r="L1222"/>
    </row>
    <row r="1223" spans="1:12" ht="22.5" customHeight="1">
      <c r="A1223">
        <f>Table4[[#This Row],[Column1]]</f>
        <v>0</v>
      </c>
      <c r="B1223">
        <f>Table4[[#This Row],[Column2]]</f>
        <v>0</v>
      </c>
      <c r="L1223"/>
    </row>
    <row r="1224" spans="1:12" ht="22.5" customHeight="1">
      <c r="A1224">
        <f>Table4[[#This Row],[Column1]]</f>
        <v>0</v>
      </c>
      <c r="B1224">
        <f>Table4[[#This Row],[Column2]]</f>
        <v>0</v>
      </c>
      <c r="L1224"/>
    </row>
    <row r="1225" spans="1:12" ht="22.5" customHeight="1">
      <c r="A1225">
        <f>Table4[[#This Row],[Column1]]</f>
        <v>0</v>
      </c>
      <c r="B1225">
        <f>Table4[[#This Row],[Column2]]</f>
        <v>0</v>
      </c>
      <c r="L1225"/>
    </row>
    <row r="1226" spans="1:12" ht="22.5" customHeight="1">
      <c r="A1226">
        <f>Table4[[#This Row],[Column1]]</f>
        <v>0</v>
      </c>
      <c r="B1226">
        <f>Table4[[#This Row],[Column2]]</f>
        <v>0</v>
      </c>
      <c r="L1226"/>
    </row>
    <row r="1227" spans="1:12" ht="22.5" customHeight="1">
      <c r="A1227">
        <f>Table4[[#This Row],[Column1]]</f>
        <v>0</v>
      </c>
      <c r="B1227">
        <f>Table4[[#This Row],[Column2]]</f>
        <v>0</v>
      </c>
      <c r="L1227"/>
    </row>
    <row r="1228" spans="1:12" ht="22.5" customHeight="1">
      <c r="A1228">
        <f>Table4[[#This Row],[Column1]]</f>
        <v>0</v>
      </c>
      <c r="B1228">
        <f>Table4[[#This Row],[Column2]]</f>
        <v>0</v>
      </c>
      <c r="L1228"/>
    </row>
    <row r="1229" spans="1:12" ht="22.5" customHeight="1">
      <c r="A1229">
        <f>Table4[[#This Row],[Column1]]</f>
        <v>0</v>
      </c>
      <c r="B1229">
        <f>Table4[[#This Row],[Column2]]</f>
        <v>0</v>
      </c>
      <c r="L1229"/>
    </row>
    <row r="1230" spans="1:12" ht="22.5" customHeight="1">
      <c r="A1230">
        <f>Table4[[#This Row],[Column1]]</f>
        <v>0</v>
      </c>
      <c r="B1230">
        <f>Table4[[#This Row],[Column2]]</f>
        <v>0</v>
      </c>
      <c r="L1230"/>
    </row>
    <row r="1231" spans="1:12" ht="22.5" customHeight="1">
      <c r="A1231">
        <f>Table4[[#This Row],[Column1]]</f>
        <v>0</v>
      </c>
      <c r="B1231">
        <f>Table4[[#This Row],[Column2]]</f>
        <v>0</v>
      </c>
      <c r="L1231"/>
    </row>
    <row r="1232" spans="1:12" ht="22.5" customHeight="1">
      <c r="A1232">
        <f>Table4[[#This Row],[Column1]]</f>
        <v>0</v>
      </c>
      <c r="B1232">
        <f>Table4[[#This Row],[Column2]]</f>
        <v>0</v>
      </c>
      <c r="L1232"/>
    </row>
    <row r="1233" spans="1:12" ht="22.5" customHeight="1">
      <c r="A1233">
        <f>Table4[[#This Row],[Column1]]</f>
        <v>0</v>
      </c>
      <c r="B1233">
        <f>Table4[[#This Row],[Column2]]</f>
        <v>0</v>
      </c>
      <c r="L1233"/>
    </row>
    <row r="1234" spans="1:12" ht="22.5" customHeight="1">
      <c r="A1234">
        <f>Table4[[#This Row],[Column1]]</f>
        <v>0</v>
      </c>
      <c r="B1234">
        <f>Table4[[#This Row],[Column2]]</f>
        <v>0</v>
      </c>
      <c r="L1234"/>
    </row>
    <row r="1235" spans="1:12" ht="22.5" customHeight="1">
      <c r="A1235">
        <f>Table4[[#This Row],[Column1]]</f>
        <v>0</v>
      </c>
      <c r="B1235">
        <f>Table4[[#This Row],[Column2]]</f>
        <v>0</v>
      </c>
      <c r="L1235"/>
    </row>
    <row r="1236" spans="1:12" ht="22.5" customHeight="1">
      <c r="A1236">
        <f>Table4[[#This Row],[Column1]]</f>
        <v>0</v>
      </c>
      <c r="B1236">
        <f>Table4[[#This Row],[Column2]]</f>
        <v>0</v>
      </c>
      <c r="L1236"/>
    </row>
    <row r="1237" spans="1:12" ht="22.5" customHeight="1">
      <c r="A1237">
        <f>Table4[[#This Row],[Column1]]</f>
        <v>0</v>
      </c>
      <c r="B1237">
        <f>Table4[[#This Row],[Column2]]</f>
        <v>0</v>
      </c>
      <c r="L1237"/>
    </row>
    <row r="1238" spans="1:12" ht="22.5" customHeight="1">
      <c r="A1238">
        <f>Table4[[#This Row],[Column1]]</f>
        <v>0</v>
      </c>
      <c r="B1238">
        <f>Table4[[#This Row],[Column2]]</f>
        <v>0</v>
      </c>
      <c r="L1238"/>
    </row>
    <row r="1239" spans="1:12" ht="22.5" customHeight="1">
      <c r="A1239">
        <f>Table4[[#This Row],[Column1]]</f>
        <v>0</v>
      </c>
      <c r="B1239">
        <f>Table4[[#This Row],[Column2]]</f>
        <v>0</v>
      </c>
      <c r="L1239"/>
    </row>
    <row r="1240" spans="1:12" ht="22.5" customHeight="1">
      <c r="A1240">
        <f>Table4[[#This Row],[Column1]]</f>
        <v>0</v>
      </c>
      <c r="B1240">
        <f>Table4[[#This Row],[Column2]]</f>
        <v>0</v>
      </c>
      <c r="L1240"/>
    </row>
    <row r="1241" spans="1:12" ht="22.5" customHeight="1">
      <c r="A1241">
        <f>Table4[[#This Row],[Column1]]</f>
        <v>0</v>
      </c>
      <c r="B1241">
        <f>Table4[[#This Row],[Column2]]</f>
        <v>0</v>
      </c>
      <c r="L1241"/>
    </row>
    <row r="1242" spans="1:12" ht="22.5" customHeight="1">
      <c r="A1242">
        <f>Table4[[#This Row],[Column1]]</f>
        <v>0</v>
      </c>
      <c r="B1242">
        <f>Table4[[#This Row],[Column2]]</f>
        <v>0</v>
      </c>
      <c r="L1242"/>
    </row>
    <row r="1243" spans="1:12" ht="22.5" customHeight="1">
      <c r="A1243">
        <f>Table4[[#This Row],[Column1]]</f>
        <v>0</v>
      </c>
      <c r="B1243">
        <f>Table4[[#This Row],[Column2]]</f>
        <v>0</v>
      </c>
      <c r="L1243"/>
    </row>
    <row r="1244" spans="1:12" ht="22.5" customHeight="1">
      <c r="A1244">
        <f>Table4[[#This Row],[Column1]]</f>
        <v>0</v>
      </c>
      <c r="B1244">
        <f>Table4[[#This Row],[Column2]]</f>
        <v>0</v>
      </c>
      <c r="L1244"/>
    </row>
    <row r="1245" spans="1:12" ht="22.5" customHeight="1">
      <c r="A1245">
        <f>Table4[[#This Row],[Column1]]</f>
        <v>0</v>
      </c>
      <c r="B1245">
        <f>Table4[[#This Row],[Column2]]</f>
        <v>0</v>
      </c>
      <c r="L1245"/>
    </row>
    <row r="1246" spans="1:12" ht="22.5" customHeight="1">
      <c r="A1246">
        <f>Table4[[#This Row],[Column1]]</f>
        <v>0</v>
      </c>
      <c r="B1246">
        <f>Table4[[#This Row],[Column2]]</f>
        <v>0</v>
      </c>
      <c r="L1246"/>
    </row>
    <row r="1247" spans="1:12" ht="22.5" customHeight="1">
      <c r="A1247">
        <f>Table4[[#This Row],[Column1]]</f>
        <v>0</v>
      </c>
      <c r="B1247">
        <f>Table4[[#This Row],[Column2]]</f>
        <v>0</v>
      </c>
      <c r="L1247"/>
    </row>
    <row r="1248" spans="1:12" ht="22.5" customHeight="1">
      <c r="A1248">
        <f>Table4[[#This Row],[Column1]]</f>
        <v>0</v>
      </c>
      <c r="B1248">
        <f>Table4[[#This Row],[Column2]]</f>
        <v>0</v>
      </c>
      <c r="L1248"/>
    </row>
    <row r="1249" spans="1:12" ht="22.5" customHeight="1">
      <c r="A1249">
        <f>Table4[[#This Row],[Column1]]</f>
        <v>0</v>
      </c>
      <c r="B1249">
        <f>Table4[[#This Row],[Column2]]</f>
        <v>0</v>
      </c>
      <c r="L1249"/>
    </row>
    <row r="1250" spans="1:12" ht="22.5" customHeight="1">
      <c r="A1250">
        <f>Table4[[#This Row],[Column1]]</f>
        <v>0</v>
      </c>
      <c r="B1250">
        <f>Table4[[#This Row],[Column2]]</f>
        <v>0</v>
      </c>
      <c r="L1250"/>
    </row>
    <row r="1251" spans="1:12" ht="22.5" customHeight="1">
      <c r="A1251">
        <f>Table4[[#This Row],[Column1]]</f>
        <v>0</v>
      </c>
      <c r="B1251">
        <f>Table4[[#This Row],[Column2]]</f>
        <v>0</v>
      </c>
      <c r="L1251"/>
    </row>
    <row r="1252" spans="1:12" ht="22.5" customHeight="1">
      <c r="A1252">
        <f>Table4[[#This Row],[Column1]]</f>
        <v>0</v>
      </c>
      <c r="B1252">
        <f>Table4[[#This Row],[Column2]]</f>
        <v>0</v>
      </c>
      <c r="L1252"/>
    </row>
    <row r="1253" spans="1:12" ht="22.5" customHeight="1">
      <c r="A1253">
        <f>Table4[[#This Row],[Column1]]</f>
        <v>0</v>
      </c>
      <c r="B1253">
        <f>Table4[[#This Row],[Column2]]</f>
        <v>0</v>
      </c>
      <c r="L1253"/>
    </row>
    <row r="1254" spans="1:12" ht="22.5" customHeight="1">
      <c r="A1254">
        <f>Table4[[#This Row],[Column1]]</f>
        <v>0</v>
      </c>
      <c r="B1254">
        <f>Table4[[#This Row],[Column2]]</f>
        <v>0</v>
      </c>
      <c r="L1254"/>
    </row>
    <row r="1255" spans="1:12" ht="22.5" customHeight="1">
      <c r="A1255">
        <f>Table4[[#This Row],[Column1]]</f>
        <v>0</v>
      </c>
      <c r="B1255">
        <f>Table4[[#This Row],[Column2]]</f>
        <v>0</v>
      </c>
      <c r="L1255"/>
    </row>
    <row r="1256" spans="1:12" ht="22.5" customHeight="1">
      <c r="A1256">
        <f>Table4[[#This Row],[Column1]]</f>
        <v>0</v>
      </c>
      <c r="B1256">
        <f>Table4[[#This Row],[Column2]]</f>
        <v>0</v>
      </c>
      <c r="L1256"/>
    </row>
    <row r="1257" spans="1:12" ht="22.5" customHeight="1">
      <c r="A1257">
        <f>Table4[[#This Row],[Column1]]</f>
        <v>0</v>
      </c>
      <c r="B1257">
        <f>Table4[[#This Row],[Column2]]</f>
        <v>0</v>
      </c>
      <c r="L1257"/>
    </row>
    <row r="1258" spans="1:12" ht="22.5" customHeight="1">
      <c r="A1258">
        <f>Table4[[#This Row],[Column1]]</f>
        <v>0</v>
      </c>
      <c r="B1258">
        <f>Table4[[#This Row],[Column2]]</f>
        <v>0</v>
      </c>
      <c r="L1258"/>
    </row>
    <row r="1259" spans="1:12" ht="22.5" customHeight="1">
      <c r="A1259">
        <f>Table4[[#This Row],[Column1]]</f>
        <v>0</v>
      </c>
      <c r="B1259">
        <f>Table4[[#This Row],[Column2]]</f>
        <v>0</v>
      </c>
      <c r="L1259"/>
    </row>
    <row r="1260" spans="1:12" ht="22.5" customHeight="1">
      <c r="A1260">
        <f>Table4[[#This Row],[Column1]]</f>
        <v>0</v>
      </c>
      <c r="B1260">
        <f>Table4[[#This Row],[Column2]]</f>
        <v>0</v>
      </c>
      <c r="L1260"/>
    </row>
    <row r="1261" spans="1:12" ht="22.5" customHeight="1">
      <c r="A1261">
        <f>Table4[[#This Row],[Column1]]</f>
        <v>0</v>
      </c>
      <c r="B1261">
        <f>Table4[[#This Row],[Column2]]</f>
        <v>0</v>
      </c>
      <c r="L1261"/>
    </row>
    <row r="1262" spans="1:12" ht="22.5" customHeight="1">
      <c r="A1262">
        <f>Table4[[#This Row],[Column1]]</f>
        <v>0</v>
      </c>
      <c r="B1262">
        <f>Table4[[#This Row],[Column2]]</f>
        <v>0</v>
      </c>
      <c r="L1262"/>
    </row>
    <row r="1263" spans="1:12" ht="22.5" customHeight="1">
      <c r="A1263">
        <f>Table4[[#This Row],[Column1]]</f>
        <v>0</v>
      </c>
      <c r="B1263">
        <f>Table4[[#This Row],[Column2]]</f>
        <v>0</v>
      </c>
      <c r="L1263"/>
    </row>
    <row r="1264" spans="1:12" ht="22.5" customHeight="1">
      <c r="A1264">
        <f>Table4[[#This Row],[Column1]]</f>
        <v>0</v>
      </c>
      <c r="B1264">
        <f>Table4[[#This Row],[Column2]]</f>
        <v>0</v>
      </c>
      <c r="L1264"/>
    </row>
    <row r="1265" spans="1:12" ht="22.5" customHeight="1">
      <c r="A1265">
        <f>Table4[[#This Row],[Column1]]</f>
        <v>0</v>
      </c>
      <c r="B1265">
        <f>Table4[[#This Row],[Column2]]</f>
        <v>0</v>
      </c>
      <c r="L1265"/>
    </row>
    <row r="1266" spans="1:12" ht="22.5" customHeight="1">
      <c r="A1266">
        <f>Table4[[#This Row],[Column1]]</f>
        <v>0</v>
      </c>
      <c r="B1266">
        <f>Table4[[#This Row],[Column2]]</f>
        <v>0</v>
      </c>
      <c r="L1266"/>
    </row>
    <row r="1267" spans="1:12" ht="22.5" customHeight="1">
      <c r="A1267">
        <f>Table4[[#This Row],[Column1]]</f>
        <v>0</v>
      </c>
      <c r="B1267">
        <f>Table4[[#This Row],[Column2]]</f>
        <v>0</v>
      </c>
      <c r="L1267"/>
    </row>
    <row r="1268" spans="1:12" ht="22.5" customHeight="1">
      <c r="A1268">
        <f>Table4[[#This Row],[Column1]]</f>
        <v>0</v>
      </c>
      <c r="B1268">
        <f>Table4[[#This Row],[Column2]]</f>
        <v>0</v>
      </c>
      <c r="L1268"/>
    </row>
    <row r="1269" spans="1:12" ht="22.5" customHeight="1">
      <c r="A1269">
        <f>Table4[[#This Row],[Column1]]</f>
        <v>0</v>
      </c>
      <c r="B1269">
        <f>Table4[[#This Row],[Column2]]</f>
        <v>0</v>
      </c>
      <c r="L1269"/>
    </row>
    <row r="1270" spans="1:12" ht="22.5" customHeight="1">
      <c r="A1270">
        <f>Table4[[#This Row],[Column1]]</f>
        <v>0</v>
      </c>
      <c r="B1270">
        <f>Table4[[#This Row],[Column2]]</f>
        <v>0</v>
      </c>
      <c r="L1270"/>
    </row>
    <row r="1271" spans="1:12" ht="22.5" customHeight="1">
      <c r="A1271">
        <f>Table4[[#This Row],[Column1]]</f>
        <v>0</v>
      </c>
      <c r="B1271">
        <f>Table4[[#This Row],[Column2]]</f>
        <v>0</v>
      </c>
      <c r="L1271"/>
    </row>
    <row r="1272" spans="1:12" ht="22.5" customHeight="1">
      <c r="A1272">
        <f>Table4[[#This Row],[Column1]]</f>
        <v>0</v>
      </c>
      <c r="B1272">
        <f>Table4[[#This Row],[Column2]]</f>
        <v>0</v>
      </c>
      <c r="L1272"/>
    </row>
    <row r="1273" spans="1:12" ht="22.5" customHeight="1">
      <c r="A1273">
        <f>Table4[[#This Row],[Column1]]</f>
        <v>0</v>
      </c>
      <c r="B1273">
        <f>Table4[[#This Row],[Column2]]</f>
        <v>0</v>
      </c>
      <c r="L1273"/>
    </row>
    <row r="1274" spans="1:12" ht="22.5" customHeight="1">
      <c r="A1274">
        <f>Table4[[#This Row],[Column1]]</f>
        <v>0</v>
      </c>
      <c r="B1274">
        <f>Table4[[#This Row],[Column2]]</f>
        <v>0</v>
      </c>
      <c r="L1274"/>
    </row>
    <row r="1275" spans="1:12" ht="22.5" customHeight="1">
      <c r="A1275">
        <f>Table4[[#This Row],[Column1]]</f>
        <v>0</v>
      </c>
      <c r="B1275">
        <f>Table4[[#This Row],[Column2]]</f>
        <v>0</v>
      </c>
      <c r="L1275"/>
    </row>
    <row r="1276" spans="1:12" ht="22.5" customHeight="1">
      <c r="A1276">
        <f>Table4[[#This Row],[Column1]]</f>
        <v>0</v>
      </c>
      <c r="B1276">
        <f>Table4[[#This Row],[Column2]]</f>
        <v>0</v>
      </c>
      <c r="L1276"/>
    </row>
    <row r="1277" spans="1:12" ht="22.5" customHeight="1">
      <c r="A1277">
        <f>Table4[[#This Row],[Column1]]</f>
        <v>0</v>
      </c>
      <c r="B1277">
        <f>Table4[[#This Row],[Column2]]</f>
        <v>0</v>
      </c>
      <c r="L1277"/>
    </row>
    <row r="1278" spans="1:12" ht="22.5" customHeight="1">
      <c r="A1278">
        <f>Table4[[#This Row],[Column1]]</f>
        <v>0</v>
      </c>
      <c r="B1278">
        <f>Table4[[#This Row],[Column2]]</f>
        <v>0</v>
      </c>
      <c r="L1278"/>
    </row>
    <row r="1279" spans="1:12" ht="22.5" customHeight="1">
      <c r="A1279">
        <f>Table4[[#This Row],[Column1]]</f>
        <v>0</v>
      </c>
      <c r="B1279">
        <f>Table4[[#This Row],[Column2]]</f>
        <v>0</v>
      </c>
      <c r="L1279"/>
    </row>
    <row r="1280" spans="1:12" ht="22.5" customHeight="1">
      <c r="A1280">
        <f>Table4[[#This Row],[Column1]]</f>
        <v>0</v>
      </c>
      <c r="B1280">
        <f>Table4[[#This Row],[Column2]]</f>
        <v>0</v>
      </c>
      <c r="L1280"/>
    </row>
    <row r="1281" spans="1:12" ht="22.5" customHeight="1">
      <c r="A1281">
        <f>Table4[[#This Row],[Column1]]</f>
        <v>0</v>
      </c>
      <c r="B1281">
        <f>Table4[[#This Row],[Column2]]</f>
        <v>0</v>
      </c>
      <c r="L1281"/>
    </row>
    <row r="1282" spans="1:12" ht="22.5" customHeight="1">
      <c r="A1282">
        <f>Table4[[#This Row],[Column1]]</f>
        <v>0</v>
      </c>
      <c r="B1282">
        <f>Table4[[#This Row],[Column2]]</f>
        <v>0</v>
      </c>
      <c r="L1282"/>
    </row>
    <row r="1283" spans="1:12" ht="22.5" customHeight="1">
      <c r="A1283">
        <f>Table4[[#This Row],[Column1]]</f>
        <v>0</v>
      </c>
      <c r="B1283">
        <f>Table4[[#This Row],[Column2]]</f>
        <v>0</v>
      </c>
      <c r="L1283"/>
    </row>
    <row r="1284" spans="1:12" ht="22.5" customHeight="1">
      <c r="A1284">
        <f>Table4[[#This Row],[Column1]]</f>
        <v>0</v>
      </c>
      <c r="B1284">
        <f>Table4[[#This Row],[Column2]]</f>
        <v>0</v>
      </c>
      <c r="L1284"/>
    </row>
    <row r="1285" spans="1:12" ht="22.5" customHeight="1">
      <c r="A1285">
        <f>Table4[[#This Row],[Column1]]</f>
        <v>0</v>
      </c>
      <c r="B1285">
        <f>Table4[[#This Row],[Column2]]</f>
        <v>0</v>
      </c>
      <c r="L1285"/>
    </row>
    <row r="1286" spans="1:12" ht="22.5" customHeight="1">
      <c r="A1286">
        <f>Table4[[#This Row],[Column1]]</f>
        <v>0</v>
      </c>
      <c r="B1286">
        <f>Table4[[#This Row],[Column2]]</f>
        <v>0</v>
      </c>
      <c r="L1286"/>
    </row>
    <row r="1287" spans="1:12" ht="22.5" customHeight="1">
      <c r="A1287">
        <f>Table4[[#This Row],[Column1]]</f>
        <v>0</v>
      </c>
      <c r="B1287">
        <f>Table4[[#This Row],[Column2]]</f>
        <v>0</v>
      </c>
      <c r="L1287"/>
    </row>
    <row r="1288" spans="1:12" ht="22.5" customHeight="1">
      <c r="A1288">
        <f>Table4[[#This Row],[Column1]]</f>
        <v>0</v>
      </c>
      <c r="B1288">
        <f>Table4[[#This Row],[Column2]]</f>
        <v>0</v>
      </c>
      <c r="L1288"/>
    </row>
    <row r="1289" spans="1:12" ht="22.5" customHeight="1">
      <c r="A1289">
        <f>Table4[[#This Row],[Column1]]</f>
        <v>0</v>
      </c>
      <c r="B1289">
        <f>Table4[[#This Row],[Column2]]</f>
        <v>0</v>
      </c>
      <c r="L1289"/>
    </row>
    <row r="1290" spans="1:12" ht="22.5" customHeight="1">
      <c r="A1290">
        <f>Table4[[#This Row],[Column1]]</f>
        <v>0</v>
      </c>
      <c r="B1290">
        <f>Table4[[#This Row],[Column2]]</f>
        <v>0</v>
      </c>
      <c r="L1290"/>
    </row>
    <row r="1291" spans="1:12" ht="22.5" customHeight="1">
      <c r="A1291">
        <f>Table4[[#This Row],[Column1]]</f>
        <v>0</v>
      </c>
      <c r="B1291">
        <f>Table4[[#This Row],[Column2]]</f>
        <v>0</v>
      </c>
      <c r="L1291"/>
    </row>
    <row r="1292" spans="1:12" ht="22.5" customHeight="1">
      <c r="A1292">
        <f>Table4[[#This Row],[Column1]]</f>
        <v>0</v>
      </c>
      <c r="B1292">
        <f>Table4[[#This Row],[Column2]]</f>
        <v>0</v>
      </c>
      <c r="L1292"/>
    </row>
    <row r="1293" spans="1:12" ht="22.5" customHeight="1">
      <c r="A1293">
        <f>Table4[[#This Row],[Column1]]</f>
        <v>0</v>
      </c>
      <c r="B1293">
        <f>Table4[[#This Row],[Column2]]</f>
        <v>0</v>
      </c>
      <c r="L1293"/>
    </row>
    <row r="1294" spans="1:12" ht="22.5" customHeight="1">
      <c r="A1294">
        <f>Table4[[#This Row],[Column1]]</f>
        <v>0</v>
      </c>
      <c r="B1294">
        <f>Table4[[#This Row],[Column2]]</f>
        <v>0</v>
      </c>
      <c r="L1294"/>
    </row>
    <row r="1295" spans="1:12" ht="22.5" customHeight="1">
      <c r="A1295">
        <f>Table4[[#This Row],[Column1]]</f>
        <v>0</v>
      </c>
      <c r="B1295">
        <f>Table4[[#This Row],[Column2]]</f>
        <v>0</v>
      </c>
      <c r="L1295"/>
    </row>
    <row r="1296" spans="1:12" ht="22.5" customHeight="1">
      <c r="A1296">
        <f>Table4[[#This Row],[Column1]]</f>
        <v>0</v>
      </c>
      <c r="B1296">
        <f>Table4[[#This Row],[Column2]]</f>
        <v>0</v>
      </c>
      <c r="L1296"/>
    </row>
    <row r="1297" spans="1:12" ht="22.5" customHeight="1">
      <c r="A1297">
        <f>Table4[[#This Row],[Column1]]</f>
        <v>0</v>
      </c>
      <c r="B1297">
        <f>Table4[[#This Row],[Column2]]</f>
        <v>0</v>
      </c>
      <c r="L1297"/>
    </row>
    <row r="1298" spans="1:12" ht="22.5" customHeight="1">
      <c r="A1298">
        <f>Table4[[#This Row],[Column1]]</f>
        <v>0</v>
      </c>
      <c r="B1298">
        <f>Table4[[#This Row],[Column2]]</f>
        <v>0</v>
      </c>
      <c r="L1298"/>
    </row>
    <row r="1299" spans="1:12" ht="22.5" customHeight="1">
      <c r="A1299">
        <f>Table4[[#This Row],[Column1]]</f>
        <v>0</v>
      </c>
      <c r="B1299">
        <f>Table4[[#This Row],[Column2]]</f>
        <v>0</v>
      </c>
      <c r="L1299"/>
    </row>
    <row r="1300" spans="1:12" ht="22.5" customHeight="1">
      <c r="A1300">
        <f>Table4[[#This Row],[Column1]]</f>
        <v>0</v>
      </c>
      <c r="B1300">
        <f>Table4[[#This Row],[Column2]]</f>
        <v>0</v>
      </c>
      <c r="L1300"/>
    </row>
    <row r="1301" spans="1:12" ht="22.5" customHeight="1">
      <c r="A1301">
        <f>Table4[[#This Row],[Column1]]</f>
        <v>0</v>
      </c>
      <c r="B1301">
        <f>Table4[[#This Row],[Column2]]</f>
        <v>0</v>
      </c>
      <c r="L1301"/>
    </row>
    <row r="1302" spans="1:12" ht="22.5" customHeight="1">
      <c r="A1302">
        <f>Table4[[#This Row],[Column1]]</f>
        <v>0</v>
      </c>
      <c r="B1302">
        <f>Table4[[#This Row],[Column2]]</f>
        <v>0</v>
      </c>
      <c r="L1302"/>
    </row>
    <row r="1303" spans="1:12" ht="22.5" customHeight="1">
      <c r="A1303">
        <f>Table4[[#This Row],[Column1]]</f>
        <v>0</v>
      </c>
      <c r="B1303">
        <f>Table4[[#This Row],[Column2]]</f>
        <v>0</v>
      </c>
      <c r="L1303"/>
    </row>
    <row r="1304" spans="1:12" ht="22.5" customHeight="1">
      <c r="A1304">
        <f>Table4[[#This Row],[Column1]]</f>
        <v>0</v>
      </c>
      <c r="B1304">
        <f>Table4[[#This Row],[Column2]]</f>
        <v>0</v>
      </c>
      <c r="L1304"/>
    </row>
    <row r="1305" spans="1:12" ht="22.5" customHeight="1">
      <c r="A1305">
        <f>Table4[[#This Row],[Column1]]</f>
        <v>0</v>
      </c>
      <c r="B1305">
        <f>Table4[[#This Row],[Column2]]</f>
        <v>0</v>
      </c>
      <c r="L1305"/>
    </row>
    <row r="1306" spans="1:12" ht="22.5" customHeight="1">
      <c r="A1306">
        <f>Table4[[#This Row],[Column1]]</f>
        <v>0</v>
      </c>
      <c r="B1306">
        <f>Table4[[#This Row],[Column2]]</f>
        <v>0</v>
      </c>
      <c r="L1306"/>
    </row>
    <row r="1307" spans="1:12" ht="22.5" customHeight="1">
      <c r="A1307">
        <f>Table4[[#This Row],[Column1]]</f>
        <v>0</v>
      </c>
      <c r="B1307">
        <f>Table4[[#This Row],[Column2]]</f>
        <v>0</v>
      </c>
      <c r="L1307"/>
    </row>
    <row r="1308" spans="1:12" ht="22.5" customHeight="1">
      <c r="A1308">
        <f>Table4[[#This Row],[Column1]]</f>
        <v>0</v>
      </c>
      <c r="B1308">
        <f>Table4[[#This Row],[Column2]]</f>
        <v>0</v>
      </c>
      <c r="L1308"/>
    </row>
    <row r="1309" spans="1:12" ht="22.5" customHeight="1">
      <c r="A1309">
        <f>Table4[[#This Row],[Column1]]</f>
        <v>0</v>
      </c>
      <c r="B1309">
        <f>Table4[[#This Row],[Column2]]</f>
        <v>0</v>
      </c>
      <c r="L1309"/>
    </row>
    <row r="1310" spans="1:12" ht="22.5" customHeight="1">
      <c r="A1310">
        <f>Table4[[#This Row],[Column1]]</f>
        <v>0</v>
      </c>
      <c r="B1310">
        <f>Table4[[#This Row],[Column2]]</f>
        <v>0</v>
      </c>
      <c r="L1310"/>
    </row>
    <row r="1311" spans="1:12" ht="22.5" customHeight="1">
      <c r="A1311">
        <f>Table4[[#This Row],[Column1]]</f>
        <v>0</v>
      </c>
      <c r="B1311">
        <f>Table4[[#This Row],[Column2]]</f>
        <v>0</v>
      </c>
      <c r="L1311"/>
    </row>
    <row r="1312" spans="1:12" ht="22.5" customHeight="1">
      <c r="A1312">
        <f>Table4[[#This Row],[Column1]]</f>
        <v>0</v>
      </c>
      <c r="B1312">
        <f>Table4[[#This Row],[Column2]]</f>
        <v>0</v>
      </c>
      <c r="L1312"/>
    </row>
    <row r="1313" spans="1:12" ht="22.5" customHeight="1">
      <c r="A1313">
        <f>Table4[[#This Row],[Column1]]</f>
        <v>0</v>
      </c>
      <c r="B1313">
        <f>Table4[[#This Row],[Column2]]</f>
        <v>0</v>
      </c>
      <c r="L1313"/>
    </row>
    <row r="1314" spans="1:12" ht="22.5" customHeight="1">
      <c r="A1314">
        <f>Table4[[#This Row],[Column1]]</f>
        <v>0</v>
      </c>
      <c r="B1314">
        <f>Table4[[#This Row],[Column2]]</f>
        <v>0</v>
      </c>
      <c r="L1314"/>
    </row>
    <row r="1315" spans="1:12" ht="22.5" customHeight="1">
      <c r="A1315">
        <f>Table4[[#This Row],[Column1]]</f>
        <v>0</v>
      </c>
      <c r="B1315">
        <f>Table4[[#This Row],[Column2]]</f>
        <v>0</v>
      </c>
      <c r="L1315"/>
    </row>
    <row r="1316" spans="1:12" ht="22.5" customHeight="1">
      <c r="A1316">
        <f>Table4[[#This Row],[Column1]]</f>
        <v>0</v>
      </c>
      <c r="B1316">
        <f>Table4[[#This Row],[Column2]]</f>
        <v>0</v>
      </c>
      <c r="L1316"/>
    </row>
    <row r="1317" spans="1:12" ht="22.5" customHeight="1">
      <c r="A1317">
        <f>Table4[[#This Row],[Column1]]</f>
        <v>0</v>
      </c>
      <c r="B1317">
        <f>Table4[[#This Row],[Column2]]</f>
        <v>0</v>
      </c>
      <c r="L1317"/>
    </row>
    <row r="1318" spans="1:12" ht="22.5" customHeight="1">
      <c r="A1318">
        <f>Table4[[#This Row],[Column1]]</f>
        <v>0</v>
      </c>
      <c r="B1318">
        <f>Table4[[#This Row],[Column2]]</f>
        <v>0</v>
      </c>
      <c r="L1318"/>
    </row>
    <row r="1319" spans="1:12" ht="22.5" customHeight="1">
      <c r="A1319">
        <f>Table4[[#This Row],[Column1]]</f>
        <v>0</v>
      </c>
      <c r="B1319">
        <f>Table4[[#This Row],[Column2]]</f>
        <v>0</v>
      </c>
      <c r="L1319"/>
    </row>
    <row r="1320" spans="1:12" ht="22.5" customHeight="1">
      <c r="A1320">
        <f>Table4[[#This Row],[Column1]]</f>
        <v>0</v>
      </c>
      <c r="B1320">
        <f>Table4[[#This Row],[Column2]]</f>
        <v>0</v>
      </c>
      <c r="L1320"/>
    </row>
    <row r="1321" spans="1:12" ht="22.5" customHeight="1">
      <c r="A1321">
        <f>Table4[[#This Row],[Column1]]</f>
        <v>0</v>
      </c>
      <c r="B1321">
        <f>Table4[[#This Row],[Column2]]</f>
        <v>0</v>
      </c>
      <c r="L1321"/>
    </row>
    <row r="1322" spans="1:12" ht="22.5" customHeight="1">
      <c r="A1322">
        <f>Table4[[#This Row],[Column1]]</f>
        <v>0</v>
      </c>
      <c r="B1322">
        <f>Table4[[#This Row],[Column2]]</f>
        <v>0</v>
      </c>
      <c r="L1322"/>
    </row>
    <row r="1323" spans="1:12" ht="22.5" customHeight="1">
      <c r="A1323">
        <f>Table4[[#This Row],[Column1]]</f>
        <v>0</v>
      </c>
      <c r="B1323">
        <f>Table4[[#This Row],[Column2]]</f>
        <v>0</v>
      </c>
      <c r="L1323"/>
    </row>
    <row r="1324" spans="1:12" ht="22.5" customHeight="1">
      <c r="A1324">
        <f>Table4[[#This Row],[Column1]]</f>
        <v>0</v>
      </c>
      <c r="B1324">
        <f>Table4[[#This Row],[Column2]]</f>
        <v>0</v>
      </c>
      <c r="L1324"/>
    </row>
    <row r="1325" spans="1:12" ht="22.5" customHeight="1">
      <c r="A1325">
        <f>Table4[[#This Row],[Column1]]</f>
        <v>0</v>
      </c>
      <c r="B1325">
        <f>Table4[[#This Row],[Column2]]</f>
        <v>0</v>
      </c>
      <c r="L1325"/>
    </row>
    <row r="1326" spans="1:12" ht="22.5" customHeight="1">
      <c r="A1326">
        <f>Table4[[#This Row],[Column1]]</f>
        <v>0</v>
      </c>
      <c r="B1326">
        <f>Table4[[#This Row],[Column2]]</f>
        <v>0</v>
      </c>
      <c r="L1326"/>
    </row>
    <row r="1327" spans="1:12" ht="22.5" customHeight="1">
      <c r="A1327">
        <f>Table4[[#This Row],[Column1]]</f>
        <v>0</v>
      </c>
      <c r="B1327">
        <f>Table4[[#This Row],[Column2]]</f>
        <v>0</v>
      </c>
      <c r="L1327"/>
    </row>
    <row r="1328" spans="1:12" ht="22.5" customHeight="1">
      <c r="A1328">
        <f>Table4[[#This Row],[Column1]]</f>
        <v>0</v>
      </c>
      <c r="B1328">
        <f>Table4[[#This Row],[Column2]]</f>
        <v>0</v>
      </c>
      <c r="L1328"/>
    </row>
    <row r="1329" spans="1:12" ht="22.5" customHeight="1">
      <c r="A1329">
        <f>Table4[[#This Row],[Column1]]</f>
        <v>0</v>
      </c>
      <c r="B1329">
        <f>Table4[[#This Row],[Column2]]</f>
        <v>0</v>
      </c>
      <c r="L1329"/>
    </row>
    <row r="1330" spans="1:12" ht="22.5" customHeight="1">
      <c r="A1330">
        <f>Table4[[#This Row],[Column1]]</f>
        <v>0</v>
      </c>
      <c r="B1330">
        <f>Table4[[#This Row],[Column2]]</f>
        <v>0</v>
      </c>
      <c r="L1330"/>
    </row>
    <row r="1331" spans="1:12" ht="22.5" customHeight="1">
      <c r="A1331">
        <f>Table4[[#This Row],[Column1]]</f>
        <v>0</v>
      </c>
      <c r="B1331">
        <f>Table4[[#This Row],[Column2]]</f>
        <v>0</v>
      </c>
      <c r="L1331"/>
    </row>
    <row r="1332" spans="1:12" ht="22.5" customHeight="1">
      <c r="A1332">
        <f>Table4[[#This Row],[Column1]]</f>
        <v>0</v>
      </c>
      <c r="B1332">
        <f>Table4[[#This Row],[Column2]]</f>
        <v>0</v>
      </c>
      <c r="L1332"/>
    </row>
    <row r="1333" spans="1:12" ht="22.5" customHeight="1">
      <c r="A1333">
        <f>Table4[[#This Row],[Column1]]</f>
        <v>0</v>
      </c>
      <c r="B1333">
        <f>Table4[[#This Row],[Column2]]</f>
        <v>0</v>
      </c>
      <c r="L1333"/>
    </row>
    <row r="1334" spans="1:12" ht="22.5" customHeight="1">
      <c r="A1334">
        <f>Table4[[#This Row],[Column1]]</f>
        <v>0</v>
      </c>
      <c r="B1334">
        <f>Table4[[#This Row],[Column2]]</f>
        <v>0</v>
      </c>
      <c r="L1334"/>
    </row>
    <row r="1335" spans="1:12" ht="22.5" customHeight="1">
      <c r="A1335">
        <f>Table4[[#This Row],[Column1]]</f>
        <v>0</v>
      </c>
      <c r="B1335">
        <f>Table4[[#This Row],[Column2]]</f>
        <v>0</v>
      </c>
      <c r="L1335"/>
    </row>
    <row r="1336" spans="1:12" ht="22.5" customHeight="1">
      <c r="A1336">
        <f>Table4[[#This Row],[Column1]]</f>
        <v>0</v>
      </c>
      <c r="B1336">
        <f>Table4[[#This Row],[Column2]]</f>
        <v>0</v>
      </c>
      <c r="L1336"/>
    </row>
    <row r="1337" spans="1:12" ht="22.5" customHeight="1">
      <c r="A1337">
        <f>Table4[[#This Row],[Column1]]</f>
        <v>0</v>
      </c>
      <c r="B1337">
        <f>Table4[[#This Row],[Column2]]</f>
        <v>0</v>
      </c>
      <c r="L1337"/>
    </row>
    <row r="1338" spans="1:12" ht="22.5" customHeight="1">
      <c r="A1338">
        <f>Table4[[#This Row],[Column1]]</f>
        <v>0</v>
      </c>
      <c r="B1338">
        <f>Table4[[#This Row],[Column2]]</f>
        <v>0</v>
      </c>
      <c r="L1338"/>
    </row>
    <row r="1339" spans="1:12" ht="22.5" customHeight="1">
      <c r="A1339">
        <f>Table4[[#This Row],[Column1]]</f>
        <v>0</v>
      </c>
      <c r="B1339">
        <f>Table4[[#This Row],[Column2]]</f>
        <v>0</v>
      </c>
      <c r="L1339"/>
    </row>
    <row r="1340" spans="1:12" ht="22.5" customHeight="1">
      <c r="A1340">
        <f>Table4[[#This Row],[Column1]]</f>
        <v>0</v>
      </c>
      <c r="B1340">
        <f>Table4[[#This Row],[Column2]]</f>
        <v>0</v>
      </c>
      <c r="L1340"/>
    </row>
    <row r="1341" spans="1:12" ht="22.5" customHeight="1">
      <c r="A1341">
        <f>Table4[[#This Row],[Column1]]</f>
        <v>0</v>
      </c>
      <c r="B1341">
        <f>Table4[[#This Row],[Column2]]</f>
        <v>0</v>
      </c>
      <c r="L1341"/>
    </row>
    <row r="1342" spans="1:12" ht="22.5" customHeight="1">
      <c r="A1342">
        <f>Table4[[#This Row],[Column1]]</f>
        <v>0</v>
      </c>
      <c r="B1342">
        <f>Table4[[#This Row],[Column2]]</f>
        <v>0</v>
      </c>
      <c r="L1342"/>
    </row>
    <row r="1343" spans="1:12" ht="22.5" customHeight="1">
      <c r="A1343">
        <f>Table4[[#This Row],[Column1]]</f>
        <v>0</v>
      </c>
      <c r="B1343">
        <f>Table4[[#This Row],[Column2]]</f>
        <v>0</v>
      </c>
      <c r="L1343"/>
    </row>
    <row r="1344" spans="1:12" ht="22.5" customHeight="1">
      <c r="A1344">
        <f>Table4[[#This Row],[Column1]]</f>
        <v>0</v>
      </c>
      <c r="B1344">
        <f>Table4[[#This Row],[Column2]]</f>
        <v>0</v>
      </c>
      <c r="L1344"/>
    </row>
    <row r="1345" spans="1:12" ht="22.5" customHeight="1">
      <c r="A1345">
        <f>Table4[[#This Row],[Column1]]</f>
        <v>0</v>
      </c>
      <c r="B1345">
        <f>Table4[[#This Row],[Column2]]</f>
        <v>0</v>
      </c>
      <c r="L1345"/>
    </row>
    <row r="1346" spans="1:12" ht="22.5" customHeight="1">
      <c r="A1346">
        <f>Table4[[#This Row],[Column1]]</f>
        <v>0</v>
      </c>
      <c r="B1346">
        <f>Table4[[#This Row],[Column2]]</f>
        <v>0</v>
      </c>
      <c r="L1346"/>
    </row>
    <row r="1347" spans="1:12" ht="22.5" customHeight="1">
      <c r="A1347">
        <f>Table4[[#This Row],[Column1]]</f>
        <v>0</v>
      </c>
      <c r="B1347">
        <f>Table4[[#This Row],[Column2]]</f>
        <v>0</v>
      </c>
      <c r="L1347"/>
    </row>
    <row r="1348" spans="1:12" ht="22.5" customHeight="1">
      <c r="A1348">
        <f>Table4[[#This Row],[Column1]]</f>
        <v>0</v>
      </c>
      <c r="B1348">
        <f>Table4[[#This Row],[Column2]]</f>
        <v>0</v>
      </c>
      <c r="L1348"/>
    </row>
    <row r="1349" spans="1:12" ht="22.5" customHeight="1">
      <c r="A1349">
        <f>Table4[[#This Row],[Column1]]</f>
        <v>0</v>
      </c>
      <c r="B1349">
        <f>Table4[[#This Row],[Column2]]</f>
        <v>0</v>
      </c>
      <c r="L1349"/>
    </row>
    <row r="1350" spans="1:12" ht="22.5" customHeight="1">
      <c r="A1350">
        <f>Table4[[#This Row],[Column1]]</f>
        <v>0</v>
      </c>
      <c r="B1350">
        <f>Table4[[#This Row],[Column2]]</f>
        <v>0</v>
      </c>
      <c r="L1350"/>
    </row>
    <row r="1351" spans="1:12" ht="22.5" customHeight="1">
      <c r="A1351">
        <f>Table4[[#This Row],[Column1]]</f>
        <v>0</v>
      </c>
      <c r="B1351">
        <f>Table4[[#This Row],[Column2]]</f>
        <v>0</v>
      </c>
      <c r="L1351"/>
    </row>
    <row r="1352" spans="1:12" ht="22.5" customHeight="1">
      <c r="A1352">
        <f>Table4[[#This Row],[Column1]]</f>
        <v>0</v>
      </c>
      <c r="B1352">
        <f>Table4[[#This Row],[Column2]]</f>
        <v>0</v>
      </c>
      <c r="L1352"/>
    </row>
    <row r="1353" spans="1:12" ht="22.5" customHeight="1">
      <c r="A1353">
        <f>Table4[[#This Row],[Column1]]</f>
        <v>0</v>
      </c>
      <c r="B1353">
        <f>Table4[[#This Row],[Column2]]</f>
        <v>0</v>
      </c>
      <c r="L1353"/>
    </row>
    <row r="1354" spans="1:12" ht="22.5" customHeight="1">
      <c r="A1354">
        <f>Table4[[#This Row],[Column1]]</f>
        <v>0</v>
      </c>
      <c r="B1354">
        <f>Table4[[#This Row],[Column2]]</f>
        <v>0</v>
      </c>
      <c r="L1354"/>
    </row>
    <row r="1355" spans="1:12" ht="22.5" customHeight="1">
      <c r="A1355">
        <f>Table4[[#This Row],[Column1]]</f>
        <v>0</v>
      </c>
      <c r="B1355">
        <f>Table4[[#This Row],[Column2]]</f>
        <v>0</v>
      </c>
      <c r="L1355"/>
    </row>
    <row r="1356" spans="1:12" ht="22.5" customHeight="1">
      <c r="A1356">
        <f>Table4[[#This Row],[Column1]]</f>
        <v>0</v>
      </c>
      <c r="B1356">
        <f>Table4[[#This Row],[Column2]]</f>
        <v>0</v>
      </c>
      <c r="L1356"/>
    </row>
    <row r="1357" spans="1:12" ht="22.5" customHeight="1">
      <c r="A1357">
        <f>Table4[[#This Row],[Column1]]</f>
        <v>0</v>
      </c>
      <c r="B1357">
        <f>Table4[[#This Row],[Column2]]</f>
        <v>0</v>
      </c>
      <c r="L1357"/>
    </row>
    <row r="1358" spans="1:12" ht="22.5" customHeight="1">
      <c r="A1358">
        <f>Table4[[#This Row],[Column1]]</f>
        <v>0</v>
      </c>
      <c r="B1358">
        <f>Table4[[#This Row],[Column2]]</f>
        <v>0</v>
      </c>
      <c r="L1358"/>
    </row>
    <row r="1359" spans="1:12" ht="22.5" customHeight="1">
      <c r="A1359">
        <f>Table4[[#This Row],[Column1]]</f>
        <v>0</v>
      </c>
      <c r="B1359">
        <f>Table4[[#This Row],[Column2]]</f>
        <v>0</v>
      </c>
      <c r="L1359"/>
    </row>
    <row r="1360" spans="1:12" ht="22.5" customHeight="1">
      <c r="A1360">
        <f>Table4[[#This Row],[Column1]]</f>
        <v>0</v>
      </c>
      <c r="B1360">
        <f>Table4[[#This Row],[Column2]]</f>
        <v>0</v>
      </c>
      <c r="L1360"/>
    </row>
    <row r="1361" spans="1:12" ht="22.5" customHeight="1">
      <c r="A1361">
        <f>Table4[[#This Row],[Column1]]</f>
        <v>0</v>
      </c>
      <c r="B1361">
        <f>Table4[[#This Row],[Column2]]</f>
        <v>0</v>
      </c>
      <c r="L1361"/>
    </row>
    <row r="1362" spans="1:12" ht="22.5" customHeight="1">
      <c r="A1362">
        <f>Table4[[#This Row],[Column1]]</f>
        <v>0</v>
      </c>
      <c r="B1362">
        <f>Table4[[#This Row],[Column2]]</f>
        <v>0</v>
      </c>
      <c r="L1362"/>
    </row>
    <row r="1363" spans="1:12" ht="22.5" customHeight="1">
      <c r="A1363">
        <f>Table4[[#This Row],[Column1]]</f>
        <v>0</v>
      </c>
      <c r="B1363">
        <f>Table4[[#This Row],[Column2]]</f>
        <v>0</v>
      </c>
      <c r="L1363"/>
    </row>
    <row r="1364" spans="1:12" ht="22.5" customHeight="1">
      <c r="A1364">
        <f>Table4[[#This Row],[Column1]]</f>
        <v>0</v>
      </c>
      <c r="B1364">
        <f>Table4[[#This Row],[Column2]]</f>
        <v>0</v>
      </c>
      <c r="L1364"/>
    </row>
    <row r="1365" spans="1:12" ht="22.5" customHeight="1">
      <c r="A1365">
        <f>Table4[[#This Row],[Column1]]</f>
        <v>0</v>
      </c>
      <c r="B1365">
        <f>Table4[[#This Row],[Column2]]</f>
        <v>0</v>
      </c>
      <c r="L1365"/>
    </row>
    <row r="1366" spans="1:12" ht="22.5" customHeight="1">
      <c r="A1366">
        <f>Table4[[#This Row],[Column1]]</f>
        <v>0</v>
      </c>
      <c r="B1366">
        <f>Table4[[#This Row],[Column2]]</f>
        <v>0</v>
      </c>
      <c r="L1366"/>
    </row>
    <row r="1367" spans="1:12" ht="22.5" customHeight="1">
      <c r="A1367">
        <f>Table4[[#This Row],[Column1]]</f>
        <v>0</v>
      </c>
      <c r="B1367">
        <f>Table4[[#This Row],[Column2]]</f>
        <v>0</v>
      </c>
      <c r="L1367"/>
    </row>
    <row r="1368" spans="1:12" ht="22.5" customHeight="1">
      <c r="A1368">
        <f>Table4[[#This Row],[Column1]]</f>
        <v>0</v>
      </c>
      <c r="B1368">
        <f>Table4[[#This Row],[Column2]]</f>
        <v>0</v>
      </c>
      <c r="L1368"/>
    </row>
    <row r="1369" spans="1:12" ht="22.5" customHeight="1">
      <c r="A1369">
        <f>Table4[[#This Row],[Column1]]</f>
        <v>0</v>
      </c>
      <c r="B1369">
        <f>Table4[[#This Row],[Column2]]</f>
        <v>0</v>
      </c>
      <c r="L1369"/>
    </row>
    <row r="1370" spans="1:12" ht="22.5" customHeight="1">
      <c r="A1370">
        <f>Table4[[#This Row],[Column1]]</f>
        <v>0</v>
      </c>
      <c r="B1370">
        <f>Table4[[#This Row],[Column2]]</f>
        <v>0</v>
      </c>
      <c r="L1370"/>
    </row>
    <row r="1371" spans="1:12" ht="22.5" customHeight="1">
      <c r="A1371">
        <f>Table4[[#This Row],[Column1]]</f>
        <v>0</v>
      </c>
      <c r="B1371">
        <f>Table4[[#This Row],[Column2]]</f>
        <v>0</v>
      </c>
      <c r="L1371"/>
    </row>
    <row r="1372" spans="1:12" ht="22.5" customHeight="1">
      <c r="A1372">
        <f>Table4[[#This Row],[Column1]]</f>
        <v>0</v>
      </c>
      <c r="B1372">
        <f>Table4[[#This Row],[Column2]]</f>
        <v>0</v>
      </c>
      <c r="L1372"/>
    </row>
    <row r="1373" spans="1:12" ht="22.5" customHeight="1">
      <c r="A1373">
        <f>Table4[[#This Row],[Column1]]</f>
        <v>0</v>
      </c>
      <c r="B1373">
        <f>Table4[[#This Row],[Column2]]</f>
        <v>0</v>
      </c>
      <c r="L1373"/>
    </row>
    <row r="1374" spans="1:12" ht="22.5" customHeight="1">
      <c r="A1374">
        <f>Table4[[#This Row],[Column1]]</f>
        <v>0</v>
      </c>
      <c r="B1374">
        <f>Table4[[#This Row],[Column2]]</f>
        <v>0</v>
      </c>
      <c r="L1374"/>
    </row>
    <row r="1375" spans="1:12" ht="22.5" customHeight="1">
      <c r="A1375">
        <f>Table4[[#This Row],[Column1]]</f>
        <v>0</v>
      </c>
      <c r="B1375">
        <f>Table4[[#This Row],[Column2]]</f>
        <v>0</v>
      </c>
      <c r="L1375"/>
    </row>
    <row r="1376" spans="1:12" ht="22.5" customHeight="1">
      <c r="A1376">
        <f>Table4[[#This Row],[Column1]]</f>
        <v>0</v>
      </c>
      <c r="B1376">
        <f>Table4[[#This Row],[Column2]]</f>
        <v>0</v>
      </c>
      <c r="L1376"/>
    </row>
    <row r="1377" spans="1:12" ht="22.5" customHeight="1">
      <c r="A1377">
        <f>Table4[[#This Row],[Column1]]</f>
        <v>0</v>
      </c>
      <c r="B1377">
        <f>Table4[[#This Row],[Column2]]</f>
        <v>0</v>
      </c>
      <c r="L1377"/>
    </row>
    <row r="1378" spans="1:12" ht="22.5" customHeight="1">
      <c r="A1378">
        <f>Table4[[#This Row],[Column1]]</f>
        <v>0</v>
      </c>
      <c r="B1378">
        <f>Table4[[#This Row],[Column2]]</f>
        <v>0</v>
      </c>
      <c r="L1378"/>
    </row>
    <row r="1379" spans="1:12" ht="22.5" customHeight="1">
      <c r="A1379">
        <f>Table4[[#This Row],[Column1]]</f>
        <v>0</v>
      </c>
      <c r="B1379">
        <f>Table4[[#This Row],[Column2]]</f>
        <v>0</v>
      </c>
      <c r="L1379"/>
    </row>
    <row r="1380" spans="1:12" ht="22.5" customHeight="1">
      <c r="A1380">
        <f>Table4[[#This Row],[Column1]]</f>
        <v>0</v>
      </c>
      <c r="B1380">
        <f>Table4[[#This Row],[Column2]]</f>
        <v>0</v>
      </c>
      <c r="L1380"/>
    </row>
    <row r="1381" spans="1:12" ht="22.5" customHeight="1">
      <c r="A1381">
        <f>Table4[[#This Row],[Column1]]</f>
        <v>0</v>
      </c>
      <c r="B1381">
        <f>Table4[[#This Row],[Column2]]</f>
        <v>0</v>
      </c>
      <c r="L1381"/>
    </row>
    <row r="1382" spans="1:12" ht="22.5" customHeight="1">
      <c r="A1382">
        <f>Table4[[#This Row],[Column1]]</f>
        <v>0</v>
      </c>
      <c r="B1382">
        <f>Table4[[#This Row],[Column2]]</f>
        <v>0</v>
      </c>
      <c r="L1382"/>
    </row>
    <row r="1383" spans="1:12" ht="22.5" customHeight="1">
      <c r="A1383">
        <f>Table4[[#This Row],[Column1]]</f>
        <v>0</v>
      </c>
      <c r="B1383">
        <f>Table4[[#This Row],[Column2]]</f>
        <v>0</v>
      </c>
      <c r="L1383"/>
    </row>
    <row r="1384" spans="1:12" ht="22.5" customHeight="1">
      <c r="A1384">
        <f>Table4[[#This Row],[Column1]]</f>
        <v>0</v>
      </c>
      <c r="B1384">
        <f>Table4[[#This Row],[Column2]]</f>
        <v>0</v>
      </c>
      <c r="L1384"/>
    </row>
    <row r="1385" spans="1:12" ht="22.5" customHeight="1">
      <c r="A1385">
        <f>Table4[[#This Row],[Column1]]</f>
        <v>0</v>
      </c>
      <c r="B1385">
        <f>Table4[[#This Row],[Column2]]</f>
        <v>0</v>
      </c>
      <c r="L1385"/>
    </row>
    <row r="1386" spans="1:12" ht="22.5" customHeight="1">
      <c r="A1386">
        <f>Table4[[#This Row],[Column1]]</f>
        <v>0</v>
      </c>
      <c r="B1386">
        <f>Table4[[#This Row],[Column2]]</f>
        <v>0</v>
      </c>
      <c r="L1386"/>
    </row>
    <row r="1387" spans="1:12" ht="22.5" customHeight="1">
      <c r="A1387">
        <f>Table4[[#This Row],[Column1]]</f>
        <v>0</v>
      </c>
      <c r="B1387">
        <f>Table4[[#This Row],[Column2]]</f>
        <v>0</v>
      </c>
      <c r="L1387"/>
    </row>
    <row r="1388" spans="1:12" ht="22.5" customHeight="1">
      <c r="A1388">
        <f>Table4[[#This Row],[Column1]]</f>
        <v>0</v>
      </c>
      <c r="B1388">
        <f>Table4[[#This Row],[Column2]]</f>
        <v>0</v>
      </c>
      <c r="L1388"/>
    </row>
    <row r="1389" spans="1:12" ht="22.5" customHeight="1">
      <c r="A1389">
        <f>Table4[[#This Row],[Column1]]</f>
        <v>0</v>
      </c>
      <c r="B1389">
        <f>Table4[[#This Row],[Column2]]</f>
        <v>0</v>
      </c>
      <c r="L1389"/>
    </row>
    <row r="1390" spans="1:12" ht="22.5" customHeight="1">
      <c r="A1390">
        <f>Table4[[#This Row],[Column1]]</f>
        <v>0</v>
      </c>
      <c r="B1390">
        <f>Table4[[#This Row],[Column2]]</f>
        <v>0</v>
      </c>
      <c r="L1390"/>
    </row>
    <row r="1391" spans="1:12" ht="22.5" customHeight="1">
      <c r="A1391">
        <f>Table4[[#This Row],[Column1]]</f>
        <v>0</v>
      </c>
      <c r="B1391">
        <f>Table4[[#This Row],[Column2]]</f>
        <v>0</v>
      </c>
      <c r="L1391"/>
    </row>
    <row r="1392" spans="1:12" ht="22.5" customHeight="1">
      <c r="A1392">
        <f>Table4[[#This Row],[Column1]]</f>
        <v>0</v>
      </c>
      <c r="B1392">
        <f>Table4[[#This Row],[Column2]]</f>
        <v>0</v>
      </c>
      <c r="L1392"/>
    </row>
    <row r="1393" spans="1:12" ht="22.5" customHeight="1">
      <c r="A1393">
        <f>Table4[[#This Row],[Column1]]</f>
        <v>0</v>
      </c>
      <c r="B1393">
        <f>Table4[[#This Row],[Column2]]</f>
        <v>0</v>
      </c>
      <c r="L1393"/>
    </row>
    <row r="1394" spans="1:12" ht="22.5" customHeight="1">
      <c r="A1394">
        <f>Table4[[#This Row],[Column1]]</f>
        <v>0</v>
      </c>
      <c r="B1394">
        <f>Table4[[#This Row],[Column2]]</f>
        <v>0</v>
      </c>
      <c r="L1394"/>
    </row>
    <row r="1395" spans="1:12" ht="22.5" customHeight="1">
      <c r="A1395">
        <f>Table4[[#This Row],[Column1]]</f>
        <v>0</v>
      </c>
      <c r="B1395">
        <f>Table4[[#This Row],[Column2]]</f>
        <v>0</v>
      </c>
      <c r="L1395"/>
    </row>
    <row r="1396" spans="1:12" ht="22.5" customHeight="1">
      <c r="A1396">
        <f>Table4[[#This Row],[Column1]]</f>
        <v>0</v>
      </c>
      <c r="B1396">
        <f>Table4[[#This Row],[Column2]]</f>
        <v>0</v>
      </c>
      <c r="L1396"/>
    </row>
    <row r="1397" spans="1:12" ht="22.5" customHeight="1">
      <c r="A1397">
        <f>Table4[[#This Row],[Column1]]</f>
        <v>0</v>
      </c>
      <c r="B1397">
        <f>Table4[[#This Row],[Column2]]</f>
        <v>0</v>
      </c>
      <c r="L1397"/>
    </row>
    <row r="1398" spans="1:12" ht="22.5" customHeight="1">
      <c r="A1398">
        <f>Table4[[#This Row],[Column1]]</f>
        <v>0</v>
      </c>
      <c r="B1398">
        <f>Table4[[#This Row],[Column2]]</f>
        <v>0</v>
      </c>
      <c r="L1398"/>
    </row>
    <row r="1399" spans="1:12" ht="22.5" customHeight="1">
      <c r="A1399">
        <f>Table4[[#This Row],[Column1]]</f>
        <v>0</v>
      </c>
      <c r="B1399">
        <f>Table4[[#This Row],[Column2]]</f>
        <v>0</v>
      </c>
      <c r="L1399"/>
    </row>
    <row r="1400" spans="1:12" ht="22.5" customHeight="1">
      <c r="A1400">
        <f>Table4[[#This Row],[Column1]]</f>
        <v>0</v>
      </c>
      <c r="B1400">
        <f>Table4[[#This Row],[Column2]]</f>
        <v>0</v>
      </c>
      <c r="L1400"/>
    </row>
    <row r="1401" spans="1:12" ht="22.5" customHeight="1">
      <c r="A1401">
        <f>Table4[[#This Row],[Column1]]</f>
        <v>0</v>
      </c>
      <c r="B1401">
        <f>Table4[[#This Row],[Column2]]</f>
        <v>0</v>
      </c>
      <c r="L1401"/>
    </row>
    <row r="1402" spans="1:12" ht="22.5" customHeight="1">
      <c r="A1402">
        <f>Table4[[#This Row],[Column1]]</f>
        <v>0</v>
      </c>
      <c r="B1402">
        <f>Table4[[#This Row],[Column2]]</f>
        <v>0</v>
      </c>
      <c r="L1402"/>
    </row>
    <row r="1403" spans="1:12" ht="22.5" customHeight="1">
      <c r="A1403">
        <f>Table4[[#This Row],[Column1]]</f>
        <v>0</v>
      </c>
      <c r="B1403">
        <f>Table4[[#This Row],[Column2]]</f>
        <v>0</v>
      </c>
      <c r="L1403"/>
    </row>
    <row r="1404" spans="1:12" ht="22.5" customHeight="1">
      <c r="A1404">
        <f>Table4[[#This Row],[Column1]]</f>
        <v>0</v>
      </c>
      <c r="B1404">
        <f>Table4[[#This Row],[Column2]]</f>
        <v>0</v>
      </c>
      <c r="L1404"/>
    </row>
    <row r="1405" spans="1:12" ht="22.5" customHeight="1">
      <c r="A1405">
        <f>Table4[[#This Row],[Column1]]</f>
        <v>0</v>
      </c>
      <c r="B1405">
        <f>Table4[[#This Row],[Column2]]</f>
        <v>0</v>
      </c>
      <c r="L1405"/>
    </row>
    <row r="1406" spans="1:12" ht="22.5" customHeight="1">
      <c r="A1406">
        <f>Table4[[#This Row],[Column1]]</f>
        <v>0</v>
      </c>
      <c r="B1406">
        <f>Table4[[#This Row],[Column2]]</f>
        <v>0</v>
      </c>
      <c r="L1406"/>
    </row>
    <row r="1407" spans="1:12" ht="22.5" customHeight="1">
      <c r="A1407">
        <f>Table4[[#This Row],[Column1]]</f>
        <v>0</v>
      </c>
      <c r="B1407">
        <f>Table4[[#This Row],[Column2]]</f>
        <v>0</v>
      </c>
      <c r="L1407"/>
    </row>
    <row r="1408" spans="1:12" ht="22.5" customHeight="1">
      <c r="A1408">
        <f>Table4[[#This Row],[Column1]]</f>
        <v>0</v>
      </c>
      <c r="B1408">
        <f>Table4[[#This Row],[Column2]]</f>
        <v>0</v>
      </c>
      <c r="L1408"/>
    </row>
    <row r="1409" spans="1:12" ht="22.5" customHeight="1">
      <c r="A1409">
        <f>Table4[[#This Row],[Column1]]</f>
        <v>0</v>
      </c>
      <c r="B1409">
        <f>Table4[[#This Row],[Column2]]</f>
        <v>0</v>
      </c>
      <c r="L1409"/>
    </row>
    <row r="1410" spans="1:12" ht="22.5" customHeight="1">
      <c r="A1410">
        <f>Table4[[#This Row],[Column1]]</f>
        <v>0</v>
      </c>
      <c r="B1410">
        <f>Table4[[#This Row],[Column2]]</f>
        <v>0</v>
      </c>
      <c r="L1410"/>
    </row>
    <row r="1411" spans="1:12" ht="22.5" customHeight="1">
      <c r="A1411">
        <f>Table4[[#This Row],[Column1]]</f>
        <v>0</v>
      </c>
      <c r="B1411">
        <f>Table4[[#This Row],[Column2]]</f>
        <v>0</v>
      </c>
      <c r="L1411"/>
    </row>
    <row r="1412" spans="1:12" ht="22.5" customHeight="1">
      <c r="A1412">
        <f>Table4[[#This Row],[Column1]]</f>
        <v>0</v>
      </c>
      <c r="B1412">
        <f>Table4[[#This Row],[Column2]]</f>
        <v>0</v>
      </c>
      <c r="L1412"/>
    </row>
    <row r="1413" spans="1:12" ht="22.5" customHeight="1">
      <c r="A1413">
        <f>Table4[[#This Row],[Column1]]</f>
        <v>0</v>
      </c>
      <c r="B1413">
        <f>Table4[[#This Row],[Column2]]</f>
        <v>0</v>
      </c>
      <c r="L1413"/>
    </row>
    <row r="1414" spans="1:12" ht="22.5" customHeight="1">
      <c r="A1414">
        <f>Table4[[#This Row],[Column1]]</f>
        <v>0</v>
      </c>
      <c r="B1414">
        <f>Table4[[#This Row],[Column2]]</f>
        <v>0</v>
      </c>
      <c r="L1414"/>
    </row>
    <row r="1415" spans="1:12" ht="22.5" customHeight="1">
      <c r="A1415">
        <f>Table4[[#This Row],[Column1]]</f>
        <v>0</v>
      </c>
      <c r="B1415">
        <f>Table4[[#This Row],[Column2]]</f>
        <v>0</v>
      </c>
      <c r="L1415"/>
    </row>
    <row r="1416" spans="1:12" ht="22.5" customHeight="1">
      <c r="A1416">
        <f>Table4[[#This Row],[Column1]]</f>
        <v>0</v>
      </c>
      <c r="B1416">
        <f>Table4[[#This Row],[Column2]]</f>
        <v>0</v>
      </c>
      <c r="L1416"/>
    </row>
    <row r="1417" spans="1:12" ht="22.5" customHeight="1">
      <c r="A1417">
        <f>Table4[[#This Row],[Column1]]</f>
        <v>0</v>
      </c>
      <c r="B1417">
        <f>Table4[[#This Row],[Column2]]</f>
        <v>0</v>
      </c>
      <c r="L1417"/>
    </row>
    <row r="1418" spans="1:12" ht="22.5" customHeight="1">
      <c r="A1418">
        <f>Table4[[#This Row],[Column1]]</f>
        <v>0</v>
      </c>
      <c r="B1418">
        <f>Table4[[#This Row],[Column2]]</f>
        <v>0</v>
      </c>
      <c r="L1418"/>
    </row>
    <row r="1419" spans="1:12" ht="22.5" customHeight="1">
      <c r="A1419">
        <f>Table4[[#This Row],[Column1]]</f>
        <v>0</v>
      </c>
      <c r="B1419">
        <f>Table4[[#This Row],[Column2]]</f>
        <v>0</v>
      </c>
      <c r="L1419"/>
    </row>
    <row r="1420" spans="1:12" ht="22.5" customHeight="1">
      <c r="A1420">
        <f>Table4[[#This Row],[Column1]]</f>
        <v>0</v>
      </c>
      <c r="B1420">
        <f>Table4[[#This Row],[Column2]]</f>
        <v>0</v>
      </c>
      <c r="L1420"/>
    </row>
    <row r="1421" spans="1:12" ht="22.5" customHeight="1">
      <c r="A1421">
        <f>Table4[[#This Row],[Column1]]</f>
        <v>0</v>
      </c>
      <c r="B1421">
        <f>Table4[[#This Row],[Column2]]</f>
        <v>0</v>
      </c>
      <c r="L1421"/>
    </row>
    <row r="1422" spans="1:12" ht="22.5" customHeight="1">
      <c r="A1422">
        <f>Table4[[#This Row],[Column1]]</f>
        <v>0</v>
      </c>
      <c r="B1422">
        <f>Table4[[#This Row],[Column2]]</f>
        <v>0</v>
      </c>
      <c r="L1422"/>
    </row>
    <row r="1423" spans="1:12" ht="22.5" customHeight="1">
      <c r="A1423">
        <f>Table4[[#This Row],[Column1]]</f>
        <v>0</v>
      </c>
      <c r="B1423">
        <f>Table4[[#This Row],[Column2]]</f>
        <v>0</v>
      </c>
      <c r="L1423"/>
    </row>
    <row r="1424" spans="1:12" ht="22.5" customHeight="1">
      <c r="A1424">
        <f>Table4[[#This Row],[Column1]]</f>
        <v>0</v>
      </c>
      <c r="B1424">
        <f>Table4[[#This Row],[Column2]]</f>
        <v>0</v>
      </c>
      <c r="L1424"/>
    </row>
    <row r="1425" spans="1:12" ht="22.5" customHeight="1">
      <c r="A1425">
        <f>Table4[[#This Row],[Column1]]</f>
        <v>0</v>
      </c>
      <c r="B1425">
        <f>Table4[[#This Row],[Column2]]</f>
        <v>0</v>
      </c>
      <c r="L1425"/>
    </row>
    <row r="1426" spans="1:12" ht="22.5" customHeight="1">
      <c r="A1426">
        <f>Table4[[#This Row],[Column1]]</f>
        <v>0</v>
      </c>
      <c r="B1426">
        <f>Table4[[#This Row],[Column2]]</f>
        <v>0</v>
      </c>
      <c r="L1426"/>
    </row>
    <row r="1427" spans="1:12" ht="22.5" customHeight="1">
      <c r="A1427">
        <f>Table4[[#This Row],[Column1]]</f>
        <v>0</v>
      </c>
      <c r="B1427">
        <f>Table4[[#This Row],[Column2]]</f>
        <v>0</v>
      </c>
      <c r="L1427"/>
    </row>
    <row r="1428" spans="1:12" ht="22.5" customHeight="1">
      <c r="A1428">
        <f>Table4[[#This Row],[Column1]]</f>
        <v>0</v>
      </c>
      <c r="B1428">
        <f>Table4[[#This Row],[Column2]]</f>
        <v>0</v>
      </c>
      <c r="L1428"/>
    </row>
    <row r="1429" spans="1:12" ht="22.5" customHeight="1">
      <c r="A1429">
        <f>Table4[[#This Row],[Column1]]</f>
        <v>0</v>
      </c>
      <c r="B1429">
        <f>Table4[[#This Row],[Column2]]</f>
        <v>0</v>
      </c>
      <c r="L1429"/>
    </row>
    <row r="1430" spans="1:12" ht="22.5" customHeight="1">
      <c r="A1430">
        <f>Table4[[#This Row],[Column1]]</f>
        <v>0</v>
      </c>
      <c r="B1430">
        <f>Table4[[#This Row],[Column2]]</f>
        <v>0</v>
      </c>
      <c r="L1430"/>
    </row>
    <row r="1431" spans="1:12" ht="22.5" customHeight="1">
      <c r="A1431">
        <f>Table4[[#This Row],[Column1]]</f>
        <v>0</v>
      </c>
      <c r="B1431">
        <f>Table4[[#This Row],[Column2]]</f>
        <v>0</v>
      </c>
      <c r="L1431"/>
    </row>
    <row r="1432" spans="1:12" ht="22.5" customHeight="1">
      <c r="A1432">
        <f>Table4[[#This Row],[Column1]]</f>
        <v>0</v>
      </c>
      <c r="B1432">
        <f>Table4[[#This Row],[Column2]]</f>
        <v>0</v>
      </c>
      <c r="L1432"/>
    </row>
    <row r="1433" spans="1:12" ht="22.5" customHeight="1">
      <c r="A1433">
        <f>Table4[[#This Row],[Column1]]</f>
        <v>0</v>
      </c>
      <c r="B1433">
        <f>Table4[[#This Row],[Column2]]</f>
        <v>0</v>
      </c>
      <c r="L1433"/>
    </row>
    <row r="1434" spans="1:12" ht="22.5" customHeight="1">
      <c r="A1434">
        <f>Table4[[#This Row],[Column1]]</f>
        <v>0</v>
      </c>
      <c r="B1434">
        <f>Table4[[#This Row],[Column2]]</f>
        <v>0</v>
      </c>
      <c r="L1434"/>
    </row>
    <row r="1435" spans="1:12" ht="22.5" customHeight="1">
      <c r="A1435">
        <f>Table4[[#This Row],[Column1]]</f>
        <v>0</v>
      </c>
      <c r="B1435">
        <f>Table4[[#This Row],[Column2]]</f>
        <v>0</v>
      </c>
      <c r="L1435"/>
    </row>
    <row r="1436" spans="1:12" ht="22.5" customHeight="1">
      <c r="A1436">
        <f>Table4[[#This Row],[Column1]]</f>
        <v>0</v>
      </c>
      <c r="B1436">
        <f>Table4[[#This Row],[Column2]]</f>
        <v>0</v>
      </c>
      <c r="L1436"/>
    </row>
    <row r="1437" spans="1:12" ht="22.5" customHeight="1">
      <c r="A1437">
        <f>Table4[[#This Row],[Column1]]</f>
        <v>0</v>
      </c>
      <c r="B1437">
        <f>Table4[[#This Row],[Column2]]</f>
        <v>0</v>
      </c>
      <c r="L1437"/>
    </row>
    <row r="1438" spans="1:12" ht="22.5" customHeight="1">
      <c r="A1438">
        <f>Table4[[#This Row],[Column1]]</f>
        <v>0</v>
      </c>
      <c r="B1438">
        <f>Table4[[#This Row],[Column2]]</f>
        <v>0</v>
      </c>
      <c r="L1438"/>
    </row>
    <row r="1439" spans="1:12" ht="22.5" customHeight="1">
      <c r="A1439">
        <f>Table4[[#This Row],[Column1]]</f>
        <v>0</v>
      </c>
      <c r="B1439">
        <f>Table4[[#This Row],[Column2]]</f>
        <v>0</v>
      </c>
      <c r="L1439"/>
    </row>
    <row r="1440" spans="1:12" ht="22.5" customHeight="1">
      <c r="A1440">
        <f>Table4[[#This Row],[Column1]]</f>
        <v>0</v>
      </c>
      <c r="B1440">
        <f>Table4[[#This Row],[Column2]]</f>
        <v>0</v>
      </c>
      <c r="L1440"/>
    </row>
    <row r="1441" spans="1:12" ht="22.5" customHeight="1">
      <c r="A1441">
        <f>Table4[[#This Row],[Column1]]</f>
        <v>0</v>
      </c>
      <c r="B1441">
        <f>Table4[[#This Row],[Column2]]</f>
        <v>0</v>
      </c>
      <c r="L1441"/>
    </row>
    <row r="1442" spans="1:12" ht="22.5" customHeight="1">
      <c r="A1442">
        <f>Table4[[#This Row],[Column1]]</f>
        <v>0</v>
      </c>
      <c r="B1442">
        <f>Table4[[#This Row],[Column2]]</f>
        <v>0</v>
      </c>
      <c r="L1442"/>
    </row>
    <row r="1443" spans="1:12" ht="22.5" customHeight="1">
      <c r="A1443">
        <f>Table4[[#This Row],[Column1]]</f>
        <v>0</v>
      </c>
      <c r="B1443">
        <f>Table4[[#This Row],[Column2]]</f>
        <v>0</v>
      </c>
      <c r="L1443"/>
    </row>
    <row r="1444" spans="1:12" ht="22.5" customHeight="1">
      <c r="A1444">
        <f>Table4[[#This Row],[Column1]]</f>
        <v>0</v>
      </c>
      <c r="B1444">
        <f>Table4[[#This Row],[Column2]]</f>
        <v>0</v>
      </c>
      <c r="L1444"/>
    </row>
    <row r="1445" spans="1:12" ht="22.5" customHeight="1">
      <c r="A1445">
        <f>Table4[[#This Row],[Column1]]</f>
        <v>0</v>
      </c>
      <c r="B1445">
        <f>Table4[[#This Row],[Column2]]</f>
        <v>0</v>
      </c>
      <c r="L1445"/>
    </row>
    <row r="1446" spans="1:12" ht="22.5" customHeight="1">
      <c r="A1446">
        <f>Table4[[#This Row],[Column1]]</f>
        <v>0</v>
      </c>
      <c r="B1446">
        <f>Table4[[#This Row],[Column2]]</f>
        <v>0</v>
      </c>
      <c r="L1446"/>
    </row>
    <row r="1447" spans="1:12" ht="22.5" customHeight="1">
      <c r="A1447">
        <f>Table4[[#This Row],[Column1]]</f>
        <v>0</v>
      </c>
      <c r="B1447">
        <f>Table4[[#This Row],[Column2]]</f>
        <v>0</v>
      </c>
      <c r="L1447"/>
    </row>
    <row r="1448" spans="1:12" ht="22.5" customHeight="1">
      <c r="A1448">
        <f>Table4[[#This Row],[Column1]]</f>
        <v>0</v>
      </c>
      <c r="B1448">
        <f>Table4[[#This Row],[Column2]]</f>
        <v>0</v>
      </c>
      <c r="L1448"/>
    </row>
    <row r="1449" spans="1:12" ht="22.5" customHeight="1">
      <c r="A1449">
        <f>Table4[[#This Row],[Column1]]</f>
        <v>0</v>
      </c>
      <c r="B1449">
        <f>Table4[[#This Row],[Column2]]</f>
        <v>0</v>
      </c>
      <c r="L1449"/>
    </row>
    <row r="1450" spans="1:12" ht="22.5" customHeight="1">
      <c r="A1450">
        <f>Table4[[#This Row],[Column1]]</f>
        <v>0</v>
      </c>
      <c r="B1450">
        <f>Table4[[#This Row],[Column2]]</f>
        <v>0</v>
      </c>
      <c r="L1450"/>
    </row>
    <row r="1451" spans="1:12" ht="22.5" customHeight="1">
      <c r="A1451">
        <f>Table4[[#This Row],[Column1]]</f>
        <v>0</v>
      </c>
      <c r="B1451">
        <f>Table4[[#This Row],[Column2]]</f>
        <v>0</v>
      </c>
      <c r="L1451"/>
    </row>
    <row r="1452" spans="1:12" ht="22.5" customHeight="1">
      <c r="A1452">
        <f>Table4[[#This Row],[Column1]]</f>
        <v>0</v>
      </c>
      <c r="B1452">
        <f>Table4[[#This Row],[Column2]]</f>
        <v>0</v>
      </c>
      <c r="L1452"/>
    </row>
    <row r="1453" spans="1:12" ht="22.5" customHeight="1">
      <c r="A1453">
        <f>Table4[[#This Row],[Column1]]</f>
        <v>0</v>
      </c>
      <c r="B1453">
        <f>Table4[[#This Row],[Column2]]</f>
        <v>0</v>
      </c>
      <c r="L1453"/>
    </row>
    <row r="1454" spans="1:12" ht="22.5" customHeight="1">
      <c r="A1454">
        <f>Table4[[#This Row],[Column1]]</f>
        <v>0</v>
      </c>
      <c r="B1454">
        <f>Table4[[#This Row],[Column2]]</f>
        <v>0</v>
      </c>
      <c r="L1454"/>
    </row>
    <row r="1455" spans="1:12" ht="22.5" customHeight="1">
      <c r="A1455">
        <f>Table4[[#This Row],[Column1]]</f>
        <v>0</v>
      </c>
      <c r="B1455">
        <f>Table4[[#This Row],[Column2]]</f>
        <v>0</v>
      </c>
      <c r="L1455"/>
    </row>
    <row r="1456" spans="1:12" ht="22.5" customHeight="1">
      <c r="A1456">
        <f>Table4[[#This Row],[Column1]]</f>
        <v>0</v>
      </c>
      <c r="B1456">
        <f>Table4[[#This Row],[Column2]]</f>
        <v>0</v>
      </c>
      <c r="L1456"/>
    </row>
    <row r="1457" spans="1:12" ht="22.5" customHeight="1">
      <c r="A1457">
        <f>Table4[[#This Row],[Column1]]</f>
        <v>0</v>
      </c>
      <c r="B1457">
        <f>Table4[[#This Row],[Column2]]</f>
        <v>0</v>
      </c>
      <c r="L1457"/>
    </row>
    <row r="1458" spans="1:12" ht="22.5" customHeight="1">
      <c r="A1458">
        <f>Table4[[#This Row],[Column1]]</f>
        <v>0</v>
      </c>
      <c r="B1458">
        <f>Table4[[#This Row],[Column2]]</f>
        <v>0</v>
      </c>
      <c r="L1458"/>
    </row>
    <row r="1459" spans="1:12" ht="22.5" customHeight="1">
      <c r="A1459">
        <f>Table4[[#This Row],[Column1]]</f>
        <v>0</v>
      </c>
      <c r="B1459">
        <f>Table4[[#This Row],[Column2]]</f>
        <v>0</v>
      </c>
      <c r="L1459"/>
    </row>
    <row r="1460" spans="1:12" ht="22.5" customHeight="1">
      <c r="A1460">
        <f>Table4[[#This Row],[Column1]]</f>
        <v>0</v>
      </c>
      <c r="B1460">
        <f>Table4[[#This Row],[Column2]]</f>
        <v>0</v>
      </c>
      <c r="L1460"/>
    </row>
    <row r="1461" spans="1:12" ht="22.5" customHeight="1">
      <c r="A1461">
        <f>Table4[[#This Row],[Column1]]</f>
        <v>0</v>
      </c>
      <c r="B1461">
        <f>Table4[[#This Row],[Column2]]</f>
        <v>0</v>
      </c>
      <c r="L1461"/>
    </row>
    <row r="1462" spans="1:12" ht="22.5" customHeight="1">
      <c r="A1462">
        <f>Table4[[#This Row],[Column1]]</f>
        <v>0</v>
      </c>
      <c r="B1462">
        <f>Table4[[#This Row],[Column2]]</f>
        <v>0</v>
      </c>
      <c r="L1462"/>
    </row>
    <row r="1463" spans="1:12" ht="22.5" customHeight="1">
      <c r="A1463">
        <f>Table4[[#This Row],[Column1]]</f>
        <v>0</v>
      </c>
      <c r="B1463">
        <f>Table4[[#This Row],[Column2]]</f>
        <v>0</v>
      </c>
      <c r="L1463"/>
    </row>
    <row r="1464" spans="1:12" ht="22.5" customHeight="1">
      <c r="A1464">
        <f>Table4[[#This Row],[Column1]]</f>
        <v>0</v>
      </c>
      <c r="B1464">
        <f>Table4[[#This Row],[Column2]]</f>
        <v>0</v>
      </c>
      <c r="L1464"/>
    </row>
    <row r="1465" spans="1:12" ht="22.5" customHeight="1">
      <c r="A1465">
        <f>Table4[[#This Row],[Column1]]</f>
        <v>0</v>
      </c>
      <c r="B1465">
        <f>Table4[[#This Row],[Column2]]</f>
        <v>0</v>
      </c>
      <c r="L1465"/>
    </row>
    <row r="1466" spans="1:12" ht="22.5" customHeight="1">
      <c r="A1466">
        <f>Table4[[#This Row],[Column1]]</f>
        <v>0</v>
      </c>
      <c r="B1466">
        <f>Table4[[#This Row],[Column2]]</f>
        <v>0</v>
      </c>
      <c r="L1466"/>
    </row>
    <row r="1467" spans="1:12" ht="22.5" customHeight="1">
      <c r="A1467">
        <f>Table4[[#This Row],[Column1]]</f>
        <v>0</v>
      </c>
      <c r="B1467">
        <f>Table4[[#This Row],[Column2]]</f>
        <v>0</v>
      </c>
      <c r="L1467"/>
    </row>
    <row r="1468" spans="1:12" ht="22.5" customHeight="1">
      <c r="A1468">
        <f>Table4[[#This Row],[Column1]]</f>
        <v>0</v>
      </c>
      <c r="B1468">
        <f>Table4[[#This Row],[Column2]]</f>
        <v>0</v>
      </c>
      <c r="L1468"/>
    </row>
    <row r="1469" spans="1:12" ht="22.5" customHeight="1">
      <c r="A1469">
        <f>Table4[[#This Row],[Column1]]</f>
        <v>0</v>
      </c>
      <c r="B1469">
        <f>Table4[[#This Row],[Column2]]</f>
        <v>0</v>
      </c>
      <c r="L1469"/>
    </row>
    <row r="1470" spans="1:12" ht="22.5" customHeight="1">
      <c r="A1470">
        <f>Table4[[#This Row],[Column1]]</f>
        <v>0</v>
      </c>
      <c r="B1470">
        <f>Table4[[#This Row],[Column2]]</f>
        <v>0</v>
      </c>
      <c r="L1470"/>
    </row>
    <row r="1471" spans="1:12" ht="22.5" customHeight="1">
      <c r="A1471">
        <f>Table4[[#This Row],[Column1]]</f>
        <v>0</v>
      </c>
      <c r="B1471">
        <f>Table4[[#This Row],[Column2]]</f>
        <v>0</v>
      </c>
      <c r="L1471"/>
    </row>
    <row r="1472" spans="1:12" ht="22.5" customHeight="1">
      <c r="A1472">
        <f>Table4[[#This Row],[Column1]]</f>
        <v>0</v>
      </c>
      <c r="B1472">
        <f>Table4[[#This Row],[Column2]]</f>
        <v>0</v>
      </c>
      <c r="L1472"/>
    </row>
    <row r="1473" spans="1:12" ht="22.5" customHeight="1">
      <c r="A1473">
        <f>Table4[[#This Row],[Column1]]</f>
        <v>0</v>
      </c>
      <c r="B1473">
        <f>Table4[[#This Row],[Column2]]</f>
        <v>0</v>
      </c>
      <c r="L1473"/>
    </row>
    <row r="1474" spans="1:12" ht="22.5" customHeight="1">
      <c r="A1474">
        <f>Table4[[#This Row],[Column1]]</f>
        <v>0</v>
      </c>
      <c r="B1474">
        <f>Table4[[#This Row],[Column2]]</f>
        <v>0</v>
      </c>
      <c r="L1474"/>
    </row>
    <row r="1475" spans="1:12" ht="22.5" customHeight="1">
      <c r="A1475">
        <f>Table4[[#This Row],[Column1]]</f>
        <v>0</v>
      </c>
      <c r="B1475">
        <f>Table4[[#This Row],[Column2]]</f>
        <v>0</v>
      </c>
      <c r="L1475"/>
    </row>
    <row r="1476" spans="1:12" ht="22.5" customHeight="1">
      <c r="A1476">
        <f>Table4[[#This Row],[Column1]]</f>
        <v>0</v>
      </c>
      <c r="B1476">
        <f>Table4[[#This Row],[Column2]]</f>
        <v>0</v>
      </c>
      <c r="L1476"/>
    </row>
    <row r="1477" spans="1:12" ht="22.5" customHeight="1">
      <c r="A1477">
        <f>Table4[[#This Row],[Column1]]</f>
        <v>0</v>
      </c>
      <c r="B1477">
        <f>Table4[[#This Row],[Column2]]</f>
        <v>0</v>
      </c>
      <c r="L1477"/>
    </row>
    <row r="1478" spans="1:12" ht="22.5" customHeight="1">
      <c r="A1478">
        <f>Table4[[#This Row],[Column1]]</f>
        <v>0</v>
      </c>
      <c r="B1478">
        <f>Table4[[#This Row],[Column2]]</f>
        <v>0</v>
      </c>
      <c r="L1478"/>
    </row>
    <row r="1479" spans="1:12" ht="22.5" customHeight="1">
      <c r="A1479">
        <f>Table4[[#This Row],[Column1]]</f>
        <v>0</v>
      </c>
      <c r="B1479">
        <f>Table4[[#This Row],[Column2]]</f>
        <v>0</v>
      </c>
      <c r="L1479"/>
    </row>
    <row r="1480" spans="1:12" ht="22.5" customHeight="1">
      <c r="A1480">
        <f>Table4[[#This Row],[Column1]]</f>
        <v>0</v>
      </c>
      <c r="B1480">
        <f>Table4[[#This Row],[Column2]]</f>
        <v>0</v>
      </c>
      <c r="L1480"/>
    </row>
    <row r="1481" spans="1:12" ht="22.5" customHeight="1">
      <c r="A1481">
        <f>Table4[[#This Row],[Column1]]</f>
        <v>0</v>
      </c>
      <c r="B1481">
        <f>Table4[[#This Row],[Column2]]</f>
        <v>0</v>
      </c>
      <c r="L1481"/>
    </row>
    <row r="1482" spans="1:12" ht="22.5" customHeight="1">
      <c r="A1482">
        <f>Table4[[#This Row],[Column1]]</f>
        <v>0</v>
      </c>
      <c r="B1482">
        <f>Table4[[#This Row],[Column2]]</f>
        <v>0</v>
      </c>
      <c r="L1482"/>
    </row>
    <row r="1483" spans="1:12" ht="22.5" customHeight="1">
      <c r="A1483">
        <f>Table4[[#This Row],[Column1]]</f>
        <v>0</v>
      </c>
      <c r="B1483">
        <f>Table4[[#This Row],[Column2]]</f>
        <v>0</v>
      </c>
      <c r="L1483"/>
    </row>
    <row r="1484" spans="1:12" ht="22.5" customHeight="1">
      <c r="A1484">
        <f>Table4[[#This Row],[Column1]]</f>
        <v>0</v>
      </c>
      <c r="B1484">
        <f>Table4[[#This Row],[Column2]]</f>
        <v>0</v>
      </c>
      <c r="L1484"/>
    </row>
    <row r="1485" spans="1:12" ht="22.5" customHeight="1">
      <c r="A1485">
        <f>Table4[[#This Row],[Column1]]</f>
        <v>0</v>
      </c>
      <c r="B1485">
        <f>Table4[[#This Row],[Column2]]</f>
        <v>0</v>
      </c>
      <c r="L1485"/>
    </row>
    <row r="1486" spans="1:12" ht="22.5" customHeight="1">
      <c r="A1486">
        <f>Table4[[#This Row],[Column1]]</f>
        <v>0</v>
      </c>
      <c r="B1486">
        <f>Table4[[#This Row],[Column2]]</f>
        <v>0</v>
      </c>
      <c r="L1486"/>
    </row>
    <row r="1487" spans="1:12" ht="22.5" customHeight="1">
      <c r="A1487">
        <f>Table4[[#This Row],[Column1]]</f>
        <v>0</v>
      </c>
      <c r="B1487">
        <f>Table4[[#This Row],[Column2]]</f>
        <v>0</v>
      </c>
      <c r="L1487"/>
    </row>
    <row r="1488" spans="1:12" ht="22.5" customHeight="1">
      <c r="A1488">
        <f>Table4[[#This Row],[Column1]]</f>
        <v>0</v>
      </c>
      <c r="B1488">
        <f>Table4[[#This Row],[Column2]]</f>
        <v>0</v>
      </c>
      <c r="L1488"/>
    </row>
    <row r="1489" spans="1:12" ht="22.5" customHeight="1">
      <c r="A1489">
        <f>Table4[[#This Row],[Column1]]</f>
        <v>0</v>
      </c>
      <c r="B1489">
        <f>Table4[[#This Row],[Column2]]</f>
        <v>0</v>
      </c>
      <c r="L1489"/>
    </row>
    <row r="1490" spans="1:12" ht="22.5" customHeight="1">
      <c r="A1490">
        <f>Table4[[#This Row],[Column1]]</f>
        <v>0</v>
      </c>
      <c r="B1490">
        <f>Table4[[#This Row],[Column2]]</f>
        <v>0</v>
      </c>
      <c r="L1490"/>
    </row>
    <row r="1491" spans="1:12" ht="22.5" customHeight="1">
      <c r="A1491">
        <f>Table4[[#This Row],[Column1]]</f>
        <v>0</v>
      </c>
      <c r="B1491">
        <f>Table4[[#This Row],[Column2]]</f>
        <v>0</v>
      </c>
      <c r="L1491"/>
    </row>
    <row r="1492" spans="1:12" ht="22.5" customHeight="1">
      <c r="A1492">
        <f>Table4[[#This Row],[Column1]]</f>
        <v>0</v>
      </c>
      <c r="B1492">
        <f>Table4[[#This Row],[Column2]]</f>
        <v>0</v>
      </c>
      <c r="L1492"/>
    </row>
    <row r="1493" spans="1:12" ht="22.5" customHeight="1">
      <c r="A1493">
        <f>Table4[[#This Row],[Column1]]</f>
        <v>0</v>
      </c>
      <c r="B1493">
        <f>Table4[[#This Row],[Column2]]</f>
        <v>0</v>
      </c>
      <c r="L1493"/>
    </row>
    <row r="1494" spans="1:12" ht="22.5" customHeight="1">
      <c r="A1494">
        <f>Table4[[#This Row],[Column1]]</f>
        <v>0</v>
      </c>
      <c r="B1494">
        <f>Table4[[#This Row],[Column2]]</f>
        <v>0</v>
      </c>
      <c r="L1494"/>
    </row>
    <row r="1495" spans="1:12" ht="22.5" customHeight="1">
      <c r="A1495">
        <f>Table4[[#This Row],[Column1]]</f>
        <v>0</v>
      </c>
      <c r="B1495">
        <f>Table4[[#This Row],[Column2]]</f>
        <v>0</v>
      </c>
      <c r="L1495"/>
    </row>
    <row r="1496" spans="1:12" ht="22.5" customHeight="1">
      <c r="A1496">
        <f>Table4[[#This Row],[Column1]]</f>
        <v>0</v>
      </c>
      <c r="B1496">
        <f>Table4[[#This Row],[Column2]]</f>
        <v>0</v>
      </c>
      <c r="L1496"/>
    </row>
    <row r="1497" spans="1:12" ht="22.5" customHeight="1">
      <c r="A1497">
        <f>Table4[[#This Row],[Column1]]</f>
        <v>0</v>
      </c>
      <c r="B1497">
        <f>Table4[[#This Row],[Column2]]</f>
        <v>0</v>
      </c>
      <c r="L1497"/>
    </row>
    <row r="1498" spans="1:12" ht="22.5" customHeight="1">
      <c r="A1498">
        <f>Table4[[#This Row],[Column1]]</f>
        <v>0</v>
      </c>
      <c r="B1498">
        <f>Table4[[#This Row],[Column2]]</f>
        <v>0</v>
      </c>
      <c r="L1498"/>
    </row>
    <row r="1499" spans="1:12" ht="22.5" customHeight="1">
      <c r="A1499">
        <f>Table4[[#This Row],[Column1]]</f>
        <v>0</v>
      </c>
      <c r="B1499">
        <f>Table4[[#This Row],[Column2]]</f>
        <v>0</v>
      </c>
      <c r="L1499"/>
    </row>
    <row r="1500" spans="1:12" ht="22.5" customHeight="1">
      <c r="A1500">
        <f>Table4[[#This Row],[Column1]]</f>
        <v>0</v>
      </c>
      <c r="B1500">
        <f>Table4[[#This Row],[Column2]]</f>
        <v>0</v>
      </c>
      <c r="L1500"/>
    </row>
    <row r="1501" spans="1:12" ht="22.5" customHeight="1">
      <c r="A1501">
        <f>Table4[[#This Row],[Column1]]</f>
        <v>0</v>
      </c>
      <c r="B1501">
        <f>Table4[[#This Row],[Column2]]</f>
        <v>0</v>
      </c>
      <c r="L1501"/>
    </row>
    <row r="1502" spans="1:12" ht="22.5" customHeight="1">
      <c r="A1502">
        <f>Table4[[#This Row],[Column1]]</f>
        <v>0</v>
      </c>
      <c r="B1502">
        <f>Table4[[#This Row],[Column2]]</f>
        <v>0</v>
      </c>
      <c r="L1502"/>
    </row>
    <row r="1503" spans="1:12" ht="22.5" customHeight="1">
      <c r="A1503">
        <f>Table4[[#This Row],[Column1]]</f>
        <v>0</v>
      </c>
      <c r="B1503">
        <f>Table4[[#This Row],[Column2]]</f>
        <v>0</v>
      </c>
      <c r="L1503"/>
    </row>
    <row r="1504" spans="1:12" ht="22.5" customHeight="1">
      <c r="A1504">
        <f>Table4[[#This Row],[Column1]]</f>
        <v>0</v>
      </c>
      <c r="B1504">
        <f>Table4[[#This Row],[Column2]]</f>
        <v>0</v>
      </c>
      <c r="L1504"/>
    </row>
    <row r="1505" spans="1:12" ht="22.5" customHeight="1">
      <c r="A1505">
        <f>Table4[[#This Row],[Column1]]</f>
        <v>0</v>
      </c>
      <c r="B1505">
        <f>Table4[[#This Row],[Column2]]</f>
        <v>0</v>
      </c>
      <c r="L1505"/>
    </row>
    <row r="1506" spans="1:12" ht="22.5" customHeight="1">
      <c r="A1506">
        <f>Table4[[#This Row],[Column1]]</f>
        <v>0</v>
      </c>
      <c r="B1506">
        <f>Table4[[#This Row],[Column2]]</f>
        <v>0</v>
      </c>
      <c r="L1506"/>
    </row>
    <row r="1507" spans="1:12" ht="22.5" customHeight="1">
      <c r="A1507">
        <f>Table4[[#This Row],[Column1]]</f>
        <v>0</v>
      </c>
      <c r="B1507">
        <f>Table4[[#This Row],[Column2]]</f>
        <v>0</v>
      </c>
      <c r="L1507"/>
    </row>
    <row r="1508" spans="1:12" ht="22.5" customHeight="1">
      <c r="A1508">
        <f>Table4[[#This Row],[Column1]]</f>
        <v>0</v>
      </c>
      <c r="B1508">
        <f>Table4[[#This Row],[Column2]]</f>
        <v>0</v>
      </c>
      <c r="L1508"/>
    </row>
    <row r="1509" spans="1:12" ht="22.5" customHeight="1">
      <c r="A1509">
        <f>Table4[[#This Row],[Column1]]</f>
        <v>0</v>
      </c>
      <c r="B1509">
        <f>Table4[[#This Row],[Column2]]</f>
        <v>0</v>
      </c>
      <c r="L1509"/>
    </row>
    <row r="1510" spans="1:12" ht="22.5" customHeight="1">
      <c r="A1510">
        <f>Table4[[#This Row],[Column1]]</f>
        <v>0</v>
      </c>
      <c r="B1510">
        <f>Table4[[#This Row],[Column2]]</f>
        <v>0</v>
      </c>
      <c r="L1510"/>
    </row>
    <row r="1511" spans="1:12" ht="22.5" customHeight="1">
      <c r="A1511">
        <f>Table4[[#This Row],[Column1]]</f>
        <v>0</v>
      </c>
      <c r="B1511">
        <f>Table4[[#This Row],[Column2]]</f>
        <v>0</v>
      </c>
      <c r="L1511"/>
    </row>
    <row r="1512" spans="1:12" ht="22.5" customHeight="1">
      <c r="A1512">
        <f>Table4[[#This Row],[Column1]]</f>
        <v>0</v>
      </c>
      <c r="B1512">
        <f>Table4[[#This Row],[Column2]]</f>
        <v>0</v>
      </c>
      <c r="L1512"/>
    </row>
    <row r="1513" spans="1:12" ht="22.5" customHeight="1">
      <c r="A1513">
        <f>Table4[[#This Row],[Column1]]</f>
        <v>0</v>
      </c>
      <c r="B1513">
        <f>Table4[[#This Row],[Column2]]</f>
        <v>0</v>
      </c>
      <c r="L1513"/>
    </row>
    <row r="1514" spans="1:12" ht="22.5" customHeight="1">
      <c r="A1514">
        <f>Table4[[#This Row],[Column1]]</f>
        <v>0</v>
      </c>
      <c r="B1514">
        <f>Table4[[#This Row],[Column2]]</f>
        <v>0</v>
      </c>
      <c r="L1514"/>
    </row>
    <row r="1515" spans="1:12" ht="22.5" customHeight="1">
      <c r="A1515">
        <f>Table4[[#This Row],[Column1]]</f>
        <v>0</v>
      </c>
      <c r="B1515">
        <f>Table4[[#This Row],[Column2]]</f>
        <v>0</v>
      </c>
      <c r="L1515"/>
    </row>
    <row r="1516" spans="1:12" ht="22.5" customHeight="1">
      <c r="A1516">
        <f>Table4[[#This Row],[Column1]]</f>
        <v>0</v>
      </c>
      <c r="B1516">
        <f>Table4[[#This Row],[Column2]]</f>
        <v>0</v>
      </c>
      <c r="L1516"/>
    </row>
    <row r="1517" spans="1:12" ht="22.5" customHeight="1">
      <c r="A1517">
        <f>Table4[[#This Row],[Column1]]</f>
        <v>0</v>
      </c>
      <c r="B1517">
        <f>Table4[[#This Row],[Column2]]</f>
        <v>0</v>
      </c>
      <c r="L1517"/>
    </row>
    <row r="1518" spans="1:12" ht="22.5" customHeight="1">
      <c r="A1518">
        <f>Table4[[#This Row],[Column1]]</f>
        <v>0</v>
      </c>
      <c r="B1518">
        <f>Table4[[#This Row],[Column2]]</f>
        <v>0</v>
      </c>
      <c r="L1518"/>
    </row>
    <row r="1519" spans="1:12" ht="22.5" customHeight="1">
      <c r="A1519">
        <f>Table4[[#This Row],[Column1]]</f>
        <v>0</v>
      </c>
      <c r="B1519">
        <f>Table4[[#This Row],[Column2]]</f>
        <v>0</v>
      </c>
      <c r="L1519"/>
    </row>
    <row r="1520" spans="1:12" ht="22.5" customHeight="1">
      <c r="A1520">
        <f>Table4[[#This Row],[Column1]]</f>
        <v>0</v>
      </c>
      <c r="B1520">
        <f>Table4[[#This Row],[Column2]]</f>
        <v>0</v>
      </c>
      <c r="L1520"/>
    </row>
    <row r="1521" spans="1:12" ht="22.5" customHeight="1">
      <c r="A1521">
        <f>Table4[[#This Row],[Column1]]</f>
        <v>0</v>
      </c>
      <c r="B1521">
        <f>Table4[[#This Row],[Column2]]</f>
        <v>0</v>
      </c>
      <c r="L1521"/>
    </row>
    <row r="1522" spans="1:12" ht="22.5" customHeight="1">
      <c r="A1522">
        <f>Table4[[#This Row],[Column1]]</f>
        <v>0</v>
      </c>
      <c r="B1522">
        <f>Table4[[#This Row],[Column2]]</f>
        <v>0</v>
      </c>
      <c r="L1522"/>
    </row>
    <row r="1523" spans="1:12" ht="22.5" customHeight="1">
      <c r="A1523">
        <f>Table4[[#This Row],[Column1]]</f>
        <v>0</v>
      </c>
      <c r="B1523">
        <f>Table4[[#This Row],[Column2]]</f>
        <v>0</v>
      </c>
      <c r="L1523"/>
    </row>
    <row r="1524" spans="1:12" ht="22.5" customHeight="1">
      <c r="A1524">
        <f>Table4[[#This Row],[Column1]]</f>
        <v>0</v>
      </c>
      <c r="B1524">
        <f>Table4[[#This Row],[Column2]]</f>
        <v>0</v>
      </c>
      <c r="L1524"/>
    </row>
    <row r="1525" spans="1:12" ht="22.5" customHeight="1">
      <c r="A1525">
        <f>Table4[[#This Row],[Column1]]</f>
        <v>0</v>
      </c>
      <c r="B1525">
        <f>Table4[[#This Row],[Column2]]</f>
        <v>0</v>
      </c>
      <c r="L1525"/>
    </row>
    <row r="1526" spans="1:12" ht="22.5" customHeight="1">
      <c r="A1526">
        <f>Table4[[#This Row],[Column1]]</f>
        <v>0</v>
      </c>
      <c r="B1526">
        <f>Table4[[#This Row],[Column2]]</f>
        <v>0</v>
      </c>
      <c r="L1526"/>
    </row>
    <row r="1527" spans="1:12" ht="22.5" customHeight="1">
      <c r="A1527">
        <f>Table4[[#This Row],[Column1]]</f>
        <v>0</v>
      </c>
      <c r="B1527">
        <f>Table4[[#This Row],[Column2]]</f>
        <v>0</v>
      </c>
      <c r="L1527"/>
    </row>
    <row r="1528" spans="1:12" ht="22.5" customHeight="1">
      <c r="A1528">
        <f>Table4[[#This Row],[Column1]]</f>
        <v>0</v>
      </c>
      <c r="B1528">
        <f>Table4[[#This Row],[Column2]]</f>
        <v>0</v>
      </c>
      <c r="L1528"/>
    </row>
    <row r="1529" spans="1:12" ht="22.5" customHeight="1">
      <c r="A1529">
        <f>Table4[[#This Row],[Column1]]</f>
        <v>0</v>
      </c>
      <c r="B1529">
        <f>Table4[[#This Row],[Column2]]</f>
        <v>0</v>
      </c>
      <c r="L1529"/>
    </row>
    <row r="1530" spans="1:12" ht="22.5" customHeight="1">
      <c r="A1530">
        <f>Table4[[#This Row],[Column1]]</f>
        <v>0</v>
      </c>
      <c r="B1530">
        <f>Table4[[#This Row],[Column2]]</f>
        <v>0</v>
      </c>
      <c r="L1530"/>
    </row>
    <row r="1531" spans="1:12" ht="22.5" customHeight="1">
      <c r="A1531">
        <f>Table4[[#This Row],[Column1]]</f>
        <v>0</v>
      </c>
      <c r="B1531">
        <f>Table4[[#This Row],[Column2]]</f>
        <v>0</v>
      </c>
      <c r="L1531"/>
    </row>
    <row r="1532" spans="1:12" ht="22.5" customHeight="1">
      <c r="A1532">
        <f>Table4[[#This Row],[Column1]]</f>
        <v>0</v>
      </c>
      <c r="B1532">
        <f>Table4[[#This Row],[Column2]]</f>
        <v>0</v>
      </c>
      <c r="L1532"/>
    </row>
    <row r="1533" spans="1:12" ht="22.5" customHeight="1">
      <c r="A1533">
        <f>Table4[[#This Row],[Column1]]</f>
        <v>0</v>
      </c>
      <c r="B1533">
        <f>Table4[[#This Row],[Column2]]</f>
        <v>0</v>
      </c>
      <c r="L1533"/>
    </row>
    <row r="1534" spans="1:12" ht="22.5" customHeight="1">
      <c r="A1534">
        <f>Table4[[#This Row],[Column1]]</f>
        <v>0</v>
      </c>
      <c r="B1534">
        <f>Table4[[#This Row],[Column2]]</f>
        <v>0</v>
      </c>
      <c r="L1534"/>
    </row>
    <row r="1535" spans="1:12" ht="22.5" customHeight="1">
      <c r="A1535">
        <f>Table4[[#This Row],[Column1]]</f>
        <v>0</v>
      </c>
      <c r="B1535">
        <f>Table4[[#This Row],[Column2]]</f>
        <v>0</v>
      </c>
      <c r="L1535"/>
    </row>
    <row r="1536" spans="1:12" ht="22.5" customHeight="1">
      <c r="A1536">
        <f>Table4[[#This Row],[Column1]]</f>
        <v>0</v>
      </c>
      <c r="B1536">
        <f>Table4[[#This Row],[Column2]]</f>
        <v>0</v>
      </c>
      <c r="L1536"/>
    </row>
    <row r="1537" spans="1:12" ht="22.5" customHeight="1">
      <c r="A1537">
        <f>Table4[[#This Row],[Column1]]</f>
        <v>0</v>
      </c>
      <c r="B1537">
        <f>Table4[[#This Row],[Column2]]</f>
        <v>0</v>
      </c>
      <c r="L1537"/>
    </row>
    <row r="1538" spans="1:12" ht="22.5" customHeight="1">
      <c r="A1538">
        <f>Table4[[#This Row],[Column1]]</f>
        <v>0</v>
      </c>
      <c r="B1538">
        <f>Table4[[#This Row],[Column2]]</f>
        <v>0</v>
      </c>
      <c r="L1538"/>
    </row>
    <row r="1539" spans="1:12" ht="22.5" customHeight="1">
      <c r="A1539">
        <f>Table4[[#This Row],[Column1]]</f>
        <v>0</v>
      </c>
      <c r="B1539">
        <f>Table4[[#This Row],[Column2]]</f>
        <v>0</v>
      </c>
      <c r="L1539"/>
    </row>
    <row r="1540" spans="1:12" ht="22.5" customHeight="1">
      <c r="A1540">
        <f>Table4[[#This Row],[Column1]]</f>
        <v>0</v>
      </c>
      <c r="B1540">
        <f>Table4[[#This Row],[Column2]]</f>
        <v>0</v>
      </c>
      <c r="L1540"/>
    </row>
    <row r="1541" spans="1:12" ht="22.5" customHeight="1">
      <c r="A1541">
        <f>Table4[[#This Row],[Column1]]</f>
        <v>0</v>
      </c>
      <c r="B1541">
        <f>Table4[[#This Row],[Column2]]</f>
        <v>0</v>
      </c>
      <c r="L1541"/>
    </row>
    <row r="1542" spans="1:12" ht="22.5" customHeight="1">
      <c r="A1542">
        <f>Table4[[#This Row],[Column1]]</f>
        <v>0</v>
      </c>
      <c r="B1542">
        <f>Table4[[#This Row],[Column2]]</f>
        <v>0</v>
      </c>
      <c r="L1542"/>
    </row>
    <row r="1543" spans="1:12" ht="22.5" customHeight="1">
      <c r="A1543">
        <f>Table4[[#This Row],[Column1]]</f>
        <v>0</v>
      </c>
      <c r="B1543">
        <f>Table4[[#This Row],[Column2]]</f>
        <v>0</v>
      </c>
      <c r="L1543"/>
    </row>
    <row r="1544" spans="1:12" ht="22.5" customHeight="1">
      <c r="A1544">
        <f>Table4[[#This Row],[Column1]]</f>
        <v>0</v>
      </c>
      <c r="B1544">
        <f>Table4[[#This Row],[Column2]]</f>
        <v>0</v>
      </c>
      <c r="L1544"/>
    </row>
    <row r="1545" spans="1:12" ht="22.5" customHeight="1">
      <c r="A1545">
        <f>Table4[[#This Row],[Column1]]</f>
        <v>0</v>
      </c>
      <c r="B1545">
        <f>Table4[[#This Row],[Column2]]</f>
        <v>0</v>
      </c>
      <c r="L1545"/>
    </row>
    <row r="1546" spans="1:12" ht="22.5" customHeight="1">
      <c r="A1546">
        <f>Table4[[#This Row],[Column1]]</f>
        <v>0</v>
      </c>
      <c r="B1546">
        <f>Table4[[#This Row],[Column2]]</f>
        <v>0</v>
      </c>
      <c r="L1546"/>
    </row>
    <row r="1547" spans="1:12" ht="22.5" customHeight="1">
      <c r="A1547">
        <f>Table4[[#This Row],[Column1]]</f>
        <v>0</v>
      </c>
      <c r="B1547">
        <f>Table4[[#This Row],[Column2]]</f>
        <v>0</v>
      </c>
      <c r="L1547"/>
    </row>
    <row r="1548" spans="1:12" ht="22.5" customHeight="1">
      <c r="A1548">
        <f>Table4[[#This Row],[Column1]]</f>
        <v>0</v>
      </c>
      <c r="B1548">
        <f>Table4[[#This Row],[Column2]]</f>
        <v>0</v>
      </c>
      <c r="L1548"/>
    </row>
    <row r="1549" spans="1:12" ht="22.5" customHeight="1">
      <c r="A1549">
        <f>Table4[[#This Row],[Column1]]</f>
        <v>0</v>
      </c>
      <c r="B1549">
        <f>Table4[[#This Row],[Column2]]</f>
        <v>0</v>
      </c>
      <c r="L1549"/>
    </row>
    <row r="1550" spans="1:12" ht="22.5" customHeight="1">
      <c r="A1550">
        <f>Table4[[#This Row],[Column1]]</f>
        <v>0</v>
      </c>
      <c r="B1550">
        <f>Table4[[#This Row],[Column2]]</f>
        <v>0</v>
      </c>
      <c r="L1550"/>
    </row>
    <row r="1551" spans="1:12" ht="22.5" customHeight="1">
      <c r="A1551">
        <f>Table4[[#This Row],[Column1]]</f>
        <v>0</v>
      </c>
      <c r="B1551">
        <f>Table4[[#This Row],[Column2]]</f>
        <v>0</v>
      </c>
      <c r="L1551"/>
    </row>
    <row r="1552" spans="1:12" ht="22.5" customHeight="1">
      <c r="A1552">
        <f>Table4[[#This Row],[Column1]]</f>
        <v>0</v>
      </c>
      <c r="B1552">
        <f>Table4[[#This Row],[Column2]]</f>
        <v>0</v>
      </c>
      <c r="L1552"/>
    </row>
    <row r="1553" spans="1:12" ht="22.5" customHeight="1">
      <c r="A1553">
        <f>Table4[[#This Row],[Column1]]</f>
        <v>0</v>
      </c>
      <c r="B1553">
        <f>Table4[[#This Row],[Column2]]</f>
        <v>0</v>
      </c>
      <c r="L1553"/>
    </row>
    <row r="1554" spans="1:12" ht="22.5" customHeight="1">
      <c r="A1554">
        <f>Table4[[#This Row],[Column1]]</f>
        <v>0</v>
      </c>
      <c r="B1554">
        <f>Table4[[#This Row],[Column2]]</f>
        <v>0</v>
      </c>
      <c r="L1554"/>
    </row>
    <row r="1555" spans="1:12" ht="22.5" customHeight="1">
      <c r="A1555">
        <f>Table4[[#This Row],[Column1]]</f>
        <v>0</v>
      </c>
      <c r="B1555">
        <f>Table4[[#This Row],[Column2]]</f>
        <v>0</v>
      </c>
      <c r="L1555"/>
    </row>
    <row r="1556" spans="1:12" ht="22.5" customHeight="1">
      <c r="A1556">
        <f>Table4[[#This Row],[Column1]]</f>
        <v>0</v>
      </c>
      <c r="B1556">
        <f>Table4[[#This Row],[Column2]]</f>
        <v>0</v>
      </c>
      <c r="L1556"/>
    </row>
    <row r="1557" spans="1:12" ht="22.5" customHeight="1">
      <c r="A1557">
        <f>Table4[[#This Row],[Column1]]</f>
        <v>0</v>
      </c>
      <c r="B1557">
        <f>Table4[[#This Row],[Column2]]</f>
        <v>0</v>
      </c>
      <c r="L1557"/>
    </row>
    <row r="1558" spans="1:12" ht="22.5" customHeight="1">
      <c r="A1558">
        <f>Table4[[#This Row],[Column1]]</f>
        <v>0</v>
      </c>
      <c r="B1558">
        <f>Table4[[#This Row],[Column2]]</f>
        <v>0</v>
      </c>
      <c r="L1558"/>
    </row>
    <row r="1559" spans="1:12" ht="22.5" customHeight="1">
      <c r="A1559">
        <f>Table4[[#This Row],[Column1]]</f>
        <v>0</v>
      </c>
      <c r="B1559">
        <f>Table4[[#This Row],[Column2]]</f>
        <v>0</v>
      </c>
      <c r="L1559"/>
    </row>
    <row r="1560" spans="1:12" ht="22.5" customHeight="1">
      <c r="A1560">
        <f>Table4[[#This Row],[Column1]]</f>
        <v>0</v>
      </c>
      <c r="B1560">
        <f>Table4[[#This Row],[Column2]]</f>
        <v>0</v>
      </c>
      <c r="L1560"/>
    </row>
    <row r="1561" spans="1:12" ht="22.5" customHeight="1">
      <c r="A1561">
        <f>Table4[[#This Row],[Column1]]</f>
        <v>0</v>
      </c>
      <c r="B1561">
        <f>Table4[[#This Row],[Column2]]</f>
        <v>0</v>
      </c>
      <c r="L1561"/>
    </row>
    <row r="1562" spans="1:12" ht="22.5" customHeight="1">
      <c r="A1562">
        <f>Table4[[#This Row],[Column1]]</f>
        <v>0</v>
      </c>
      <c r="B1562">
        <f>Table4[[#This Row],[Column2]]</f>
        <v>0</v>
      </c>
      <c r="L1562"/>
    </row>
    <row r="1563" spans="1:12" ht="22.5" customHeight="1">
      <c r="A1563">
        <f>Table4[[#This Row],[Column1]]</f>
        <v>0</v>
      </c>
      <c r="B1563">
        <f>Table4[[#This Row],[Column2]]</f>
        <v>0</v>
      </c>
      <c r="L1563"/>
    </row>
    <row r="1564" spans="1:12" ht="22.5" customHeight="1">
      <c r="A1564">
        <f>Table4[[#This Row],[Column1]]</f>
        <v>0</v>
      </c>
      <c r="B1564">
        <f>Table4[[#This Row],[Column2]]</f>
        <v>0</v>
      </c>
      <c r="L1564"/>
    </row>
    <row r="1565" spans="1:12" ht="22.5" customHeight="1">
      <c r="A1565">
        <f>Table4[[#This Row],[Column1]]</f>
        <v>0</v>
      </c>
      <c r="B1565">
        <f>Table4[[#This Row],[Column2]]</f>
        <v>0</v>
      </c>
      <c r="L1565"/>
    </row>
    <row r="1566" spans="1:12" ht="22.5" customHeight="1">
      <c r="A1566">
        <f>Table4[[#This Row],[Column1]]</f>
        <v>0</v>
      </c>
      <c r="B1566">
        <f>Table4[[#This Row],[Column2]]</f>
        <v>0</v>
      </c>
      <c r="L1566"/>
    </row>
    <row r="1567" spans="1:12" ht="22.5" customHeight="1">
      <c r="A1567">
        <f>Table4[[#This Row],[Column1]]</f>
        <v>0</v>
      </c>
      <c r="B1567">
        <f>Table4[[#This Row],[Column2]]</f>
        <v>0</v>
      </c>
      <c r="L1567"/>
    </row>
    <row r="1568" spans="1:12" ht="22.5" customHeight="1">
      <c r="A1568">
        <f>Table4[[#This Row],[Column1]]</f>
        <v>0</v>
      </c>
      <c r="B1568">
        <f>Table4[[#This Row],[Column2]]</f>
        <v>0</v>
      </c>
      <c r="L1568"/>
    </row>
    <row r="1569" spans="1:12" ht="22.5" customHeight="1">
      <c r="A1569">
        <f>Table4[[#This Row],[Column1]]</f>
        <v>0</v>
      </c>
      <c r="B1569">
        <f>Table4[[#This Row],[Column2]]</f>
        <v>0</v>
      </c>
      <c r="L1569"/>
    </row>
    <row r="1570" spans="1:12" ht="22.5" customHeight="1">
      <c r="A1570">
        <f>Table4[[#This Row],[Column1]]</f>
        <v>0</v>
      </c>
      <c r="B1570">
        <f>Table4[[#This Row],[Column2]]</f>
        <v>0</v>
      </c>
      <c r="L1570"/>
    </row>
    <row r="1571" spans="1:12" ht="22.5" customHeight="1">
      <c r="A1571">
        <f>Table4[[#This Row],[Column1]]</f>
        <v>0</v>
      </c>
      <c r="B1571">
        <f>Table4[[#This Row],[Column2]]</f>
        <v>0</v>
      </c>
      <c r="L1571"/>
    </row>
    <row r="1572" spans="1:12" ht="22.5" customHeight="1">
      <c r="A1572">
        <f>Table4[[#This Row],[Column1]]</f>
        <v>0</v>
      </c>
      <c r="B1572">
        <f>Table4[[#This Row],[Column2]]</f>
        <v>0</v>
      </c>
      <c r="L1572"/>
    </row>
    <row r="1573" spans="1:12" ht="22.5" customHeight="1">
      <c r="A1573">
        <f>Table4[[#This Row],[Column1]]</f>
        <v>0</v>
      </c>
      <c r="B1573">
        <f>Table4[[#This Row],[Column2]]</f>
        <v>0</v>
      </c>
      <c r="L1573"/>
    </row>
    <row r="1574" spans="1:12" ht="22.5" customHeight="1">
      <c r="A1574">
        <f>Table4[[#This Row],[Column1]]</f>
        <v>0</v>
      </c>
      <c r="B1574">
        <f>Table4[[#This Row],[Column2]]</f>
        <v>0</v>
      </c>
      <c r="L1574"/>
    </row>
    <row r="1575" spans="1:12" ht="22.5" customHeight="1">
      <c r="A1575">
        <f>Table4[[#This Row],[Column1]]</f>
        <v>0</v>
      </c>
      <c r="B1575">
        <f>Table4[[#This Row],[Column2]]</f>
        <v>0</v>
      </c>
      <c r="L1575"/>
    </row>
    <row r="1576" spans="1:12" ht="22.5" customHeight="1">
      <c r="A1576">
        <f>Table4[[#This Row],[Column1]]</f>
        <v>0</v>
      </c>
      <c r="B1576">
        <f>Table4[[#This Row],[Column2]]</f>
        <v>0</v>
      </c>
      <c r="L1576"/>
    </row>
    <row r="1577" spans="1:12" ht="22.5" customHeight="1">
      <c r="A1577">
        <f>Table4[[#This Row],[Column1]]</f>
        <v>0</v>
      </c>
      <c r="B1577">
        <f>Table4[[#This Row],[Column2]]</f>
        <v>0</v>
      </c>
      <c r="L1577"/>
    </row>
    <row r="1578" spans="1:12" ht="22.5" customHeight="1">
      <c r="A1578">
        <f>Table4[[#This Row],[Column1]]</f>
        <v>0</v>
      </c>
      <c r="B1578">
        <f>Table4[[#This Row],[Column2]]</f>
        <v>0</v>
      </c>
      <c r="L1578"/>
    </row>
    <row r="1579" spans="1:12" ht="22.5" customHeight="1">
      <c r="A1579">
        <f>Table4[[#This Row],[Column1]]</f>
        <v>0</v>
      </c>
      <c r="B1579">
        <f>Table4[[#This Row],[Column2]]</f>
        <v>0</v>
      </c>
      <c r="L1579"/>
    </row>
    <row r="1580" spans="1:12" ht="22.5" customHeight="1">
      <c r="A1580">
        <f>Table4[[#This Row],[Column1]]</f>
        <v>0</v>
      </c>
      <c r="B1580">
        <f>Table4[[#This Row],[Column2]]</f>
        <v>0</v>
      </c>
      <c r="L1580"/>
    </row>
    <row r="1581" spans="1:12" ht="22.5" customHeight="1">
      <c r="A1581">
        <f>Table4[[#This Row],[Column1]]</f>
        <v>0</v>
      </c>
      <c r="B1581">
        <f>Table4[[#This Row],[Column2]]</f>
        <v>0</v>
      </c>
      <c r="L1581"/>
    </row>
    <row r="1582" spans="1:12" ht="22.5" customHeight="1">
      <c r="A1582">
        <f>Table4[[#This Row],[Column1]]</f>
        <v>0</v>
      </c>
      <c r="B1582">
        <f>Table4[[#This Row],[Column2]]</f>
        <v>0</v>
      </c>
      <c r="L1582"/>
    </row>
    <row r="1583" spans="1:12" ht="22.5" customHeight="1">
      <c r="A1583">
        <f>Table4[[#This Row],[Column1]]</f>
        <v>0</v>
      </c>
      <c r="B1583">
        <f>Table4[[#This Row],[Column2]]</f>
        <v>0</v>
      </c>
      <c r="L1583"/>
    </row>
    <row r="1584" spans="1:12" ht="22.5" customHeight="1">
      <c r="A1584">
        <f>Table4[[#This Row],[Column1]]</f>
        <v>0</v>
      </c>
      <c r="B1584">
        <f>Table4[[#This Row],[Column2]]</f>
        <v>0</v>
      </c>
      <c r="L1584"/>
    </row>
    <row r="1585" spans="1:12" ht="22.5" customHeight="1">
      <c r="A1585">
        <f>Table4[[#This Row],[Column1]]</f>
        <v>0</v>
      </c>
      <c r="B1585">
        <f>Table4[[#This Row],[Column2]]</f>
        <v>0</v>
      </c>
      <c r="L1585"/>
    </row>
    <row r="1586" spans="1:12" ht="22.5" customHeight="1">
      <c r="A1586">
        <f>Table4[[#This Row],[Column1]]</f>
        <v>0</v>
      </c>
      <c r="B1586">
        <f>Table4[[#This Row],[Column2]]</f>
        <v>0</v>
      </c>
      <c r="L1586"/>
    </row>
    <row r="1587" spans="1:12" ht="22.5" customHeight="1">
      <c r="A1587">
        <f>Table4[[#This Row],[Column1]]</f>
        <v>0</v>
      </c>
      <c r="B1587">
        <f>Table4[[#This Row],[Column2]]</f>
        <v>0</v>
      </c>
      <c r="L1587"/>
    </row>
    <row r="1588" spans="1:12" ht="22.5" customHeight="1">
      <c r="A1588">
        <f>Table4[[#This Row],[Column1]]</f>
        <v>0</v>
      </c>
      <c r="B1588">
        <f>Table4[[#This Row],[Column2]]</f>
        <v>0</v>
      </c>
      <c r="L1588"/>
    </row>
    <row r="1589" spans="1:12" ht="22.5" customHeight="1">
      <c r="A1589">
        <f>Table4[[#This Row],[Column1]]</f>
        <v>0</v>
      </c>
      <c r="B1589">
        <f>Table4[[#This Row],[Column2]]</f>
        <v>0</v>
      </c>
      <c r="L1589"/>
    </row>
    <row r="1590" spans="1:12" ht="22.5" customHeight="1">
      <c r="A1590">
        <f>Table4[[#This Row],[Column1]]</f>
        <v>0</v>
      </c>
      <c r="B1590">
        <f>Table4[[#This Row],[Column2]]</f>
        <v>0</v>
      </c>
      <c r="L1590"/>
    </row>
    <row r="1591" spans="1:12" ht="22.5" customHeight="1">
      <c r="A1591">
        <f>Table4[[#This Row],[Column1]]</f>
        <v>0</v>
      </c>
      <c r="B1591">
        <f>Table4[[#This Row],[Column2]]</f>
        <v>0</v>
      </c>
      <c r="L1591"/>
    </row>
    <row r="1592" spans="1:12" ht="22.5" customHeight="1">
      <c r="A1592">
        <f>Table4[[#This Row],[Column1]]</f>
        <v>0</v>
      </c>
      <c r="B1592">
        <f>Table4[[#This Row],[Column2]]</f>
        <v>0</v>
      </c>
      <c r="L1592"/>
    </row>
    <row r="1593" spans="1:12" ht="22.5" customHeight="1">
      <c r="A1593">
        <f>Table4[[#This Row],[Column1]]</f>
        <v>0</v>
      </c>
      <c r="B1593">
        <f>Table4[[#This Row],[Column2]]</f>
        <v>0</v>
      </c>
      <c r="L1593"/>
    </row>
    <row r="1594" spans="1:12" ht="22.5" customHeight="1">
      <c r="A1594">
        <f>Table4[[#This Row],[Column1]]</f>
        <v>0</v>
      </c>
      <c r="B1594">
        <f>Table4[[#This Row],[Column2]]</f>
        <v>0</v>
      </c>
      <c r="L1594"/>
    </row>
    <row r="1595" spans="1:12" ht="22.5" customHeight="1">
      <c r="A1595">
        <f>Table4[[#This Row],[Column1]]</f>
        <v>0</v>
      </c>
      <c r="B1595">
        <f>Table4[[#This Row],[Column2]]</f>
        <v>0</v>
      </c>
      <c r="L1595"/>
    </row>
    <row r="1596" spans="1:12" ht="22.5" customHeight="1">
      <c r="A1596">
        <f>Table4[[#This Row],[Column1]]</f>
        <v>0</v>
      </c>
      <c r="B1596">
        <f>Table4[[#This Row],[Column2]]</f>
        <v>0</v>
      </c>
      <c r="L1596"/>
    </row>
    <row r="1597" spans="1:12" ht="22.5" customHeight="1">
      <c r="A1597">
        <f>Table4[[#This Row],[Column1]]</f>
        <v>0</v>
      </c>
      <c r="B1597">
        <f>Table4[[#This Row],[Column2]]</f>
        <v>0</v>
      </c>
      <c r="L1597"/>
    </row>
    <row r="1598" spans="1:12" ht="22.5" customHeight="1">
      <c r="A1598">
        <f>Table4[[#This Row],[Column1]]</f>
        <v>0</v>
      </c>
      <c r="B1598">
        <f>Table4[[#This Row],[Column2]]</f>
        <v>0</v>
      </c>
      <c r="L1598"/>
    </row>
    <row r="1599" spans="1:12" ht="22.5" customHeight="1">
      <c r="A1599">
        <f>Table4[[#This Row],[Column1]]</f>
        <v>0</v>
      </c>
      <c r="B1599">
        <f>Table4[[#This Row],[Column2]]</f>
        <v>0</v>
      </c>
      <c r="L1599"/>
    </row>
    <row r="1600" spans="1:12" ht="22.5" customHeight="1">
      <c r="A1600">
        <f>Table4[[#This Row],[Column1]]</f>
        <v>0</v>
      </c>
      <c r="B1600">
        <f>Table4[[#This Row],[Column2]]</f>
        <v>0</v>
      </c>
      <c r="L1600"/>
    </row>
    <row r="1601" spans="1:12" ht="22.5" customHeight="1">
      <c r="A1601">
        <f>Table4[[#This Row],[Column1]]</f>
        <v>0</v>
      </c>
      <c r="B1601">
        <f>Table4[[#This Row],[Column2]]</f>
        <v>0</v>
      </c>
      <c r="L1601"/>
    </row>
    <row r="1602" spans="1:12" ht="22.5" customHeight="1">
      <c r="A1602">
        <f>Table4[[#This Row],[Column1]]</f>
        <v>0</v>
      </c>
      <c r="B1602">
        <f>Table4[[#This Row],[Column2]]</f>
        <v>0</v>
      </c>
      <c r="L1602"/>
    </row>
    <row r="1603" spans="1:12" ht="22.5" customHeight="1">
      <c r="A1603">
        <f>Table4[[#This Row],[Column1]]</f>
        <v>0</v>
      </c>
      <c r="B1603">
        <f>Table4[[#This Row],[Column2]]</f>
        <v>0</v>
      </c>
      <c r="L1603"/>
    </row>
    <row r="1604" spans="1:12" ht="22.5" customHeight="1">
      <c r="A1604">
        <f>Table4[[#This Row],[Column1]]</f>
        <v>0</v>
      </c>
      <c r="B1604">
        <f>Table4[[#This Row],[Column2]]</f>
        <v>0</v>
      </c>
      <c r="L1604"/>
    </row>
    <row r="1605" spans="1:12" ht="22.5" customHeight="1">
      <c r="A1605">
        <f>Table4[[#This Row],[Column1]]</f>
        <v>0</v>
      </c>
      <c r="B1605">
        <f>Table4[[#This Row],[Column2]]</f>
        <v>0</v>
      </c>
      <c r="L1605"/>
    </row>
    <row r="1606" spans="1:12" ht="22.5" customHeight="1">
      <c r="A1606">
        <f>Table4[[#This Row],[Column1]]</f>
        <v>0</v>
      </c>
      <c r="B1606">
        <f>Table4[[#This Row],[Column2]]</f>
        <v>0</v>
      </c>
      <c r="L1606"/>
    </row>
    <row r="1607" spans="1:12" ht="22.5" customHeight="1">
      <c r="A1607">
        <f>Table4[[#This Row],[Column1]]</f>
        <v>0</v>
      </c>
      <c r="B1607">
        <f>Table4[[#This Row],[Column2]]</f>
        <v>0</v>
      </c>
      <c r="L1607"/>
    </row>
    <row r="1608" spans="1:12" ht="22.5" customHeight="1">
      <c r="A1608">
        <f>Table4[[#This Row],[Column1]]</f>
        <v>0</v>
      </c>
      <c r="B1608">
        <f>Table4[[#This Row],[Column2]]</f>
        <v>0</v>
      </c>
      <c r="L1608"/>
    </row>
    <row r="1609" spans="1:12" ht="22.5" customHeight="1">
      <c r="A1609">
        <f>Table4[[#This Row],[Column1]]</f>
        <v>0</v>
      </c>
      <c r="B1609">
        <f>Table4[[#This Row],[Column2]]</f>
        <v>0</v>
      </c>
      <c r="L1609"/>
    </row>
    <row r="1610" spans="1:12" ht="22.5" customHeight="1">
      <c r="A1610">
        <f>Table4[[#This Row],[Column1]]</f>
        <v>0</v>
      </c>
      <c r="B1610">
        <f>Table4[[#This Row],[Column2]]</f>
        <v>0</v>
      </c>
      <c r="L1610"/>
    </row>
    <row r="1611" spans="1:12" ht="22.5" customHeight="1">
      <c r="A1611">
        <f>Table4[[#This Row],[Column1]]</f>
        <v>0</v>
      </c>
      <c r="B1611">
        <f>Table4[[#This Row],[Column2]]</f>
        <v>0</v>
      </c>
      <c r="L1611"/>
    </row>
    <row r="1612" spans="1:12" ht="22.5" customHeight="1">
      <c r="A1612">
        <f>Table4[[#This Row],[Column1]]</f>
        <v>0</v>
      </c>
      <c r="B1612">
        <f>Table4[[#This Row],[Column2]]</f>
        <v>0</v>
      </c>
      <c r="L1612"/>
    </row>
    <row r="1613" spans="1:12" ht="22.5" customHeight="1">
      <c r="A1613">
        <f>Table4[[#This Row],[Column1]]</f>
        <v>0</v>
      </c>
      <c r="B1613">
        <f>Table4[[#This Row],[Column2]]</f>
        <v>0</v>
      </c>
      <c r="L1613"/>
    </row>
    <row r="1614" spans="1:12" ht="22.5" customHeight="1">
      <c r="A1614">
        <f>Table4[[#This Row],[Column1]]</f>
        <v>0</v>
      </c>
      <c r="B1614">
        <f>Table4[[#This Row],[Column2]]</f>
        <v>0</v>
      </c>
      <c r="L1614"/>
    </row>
    <row r="1615" spans="1:12" ht="22.5" customHeight="1">
      <c r="A1615">
        <f>Table4[[#This Row],[Column1]]</f>
        <v>0</v>
      </c>
      <c r="B1615">
        <f>Table4[[#This Row],[Column2]]</f>
        <v>0</v>
      </c>
      <c r="L1615"/>
    </row>
    <row r="1616" spans="1:12" ht="22.5" customHeight="1">
      <c r="A1616">
        <f>Table4[[#This Row],[Column1]]</f>
        <v>0</v>
      </c>
      <c r="B1616">
        <f>Table4[[#This Row],[Column2]]</f>
        <v>0</v>
      </c>
      <c r="L1616"/>
    </row>
    <row r="1617" spans="1:12" ht="22.5" customHeight="1">
      <c r="A1617">
        <f>Table4[[#This Row],[Column1]]</f>
        <v>0</v>
      </c>
      <c r="B1617">
        <f>Table4[[#This Row],[Column2]]</f>
        <v>0</v>
      </c>
      <c r="L1617"/>
    </row>
    <row r="1618" spans="1:12" ht="22.5" customHeight="1">
      <c r="A1618">
        <f>Table4[[#This Row],[Column1]]</f>
        <v>0</v>
      </c>
      <c r="B1618">
        <f>Table4[[#This Row],[Column2]]</f>
        <v>0</v>
      </c>
      <c r="L1618"/>
    </row>
    <row r="1619" spans="1:12" ht="22.5" customHeight="1">
      <c r="A1619">
        <f>Table4[[#This Row],[Column1]]</f>
        <v>0</v>
      </c>
      <c r="B1619">
        <f>Table4[[#This Row],[Column2]]</f>
        <v>0</v>
      </c>
      <c r="L1619"/>
    </row>
    <row r="1620" spans="1:12" ht="22.5" customHeight="1">
      <c r="A1620">
        <f>Table4[[#This Row],[Column1]]</f>
        <v>0</v>
      </c>
      <c r="B1620">
        <f>Table4[[#This Row],[Column2]]</f>
        <v>0</v>
      </c>
      <c r="L1620"/>
    </row>
    <row r="1621" spans="1:12" ht="22.5" customHeight="1">
      <c r="A1621">
        <f>Table4[[#This Row],[Column1]]</f>
        <v>0</v>
      </c>
      <c r="B1621">
        <f>Table4[[#This Row],[Column2]]</f>
        <v>0</v>
      </c>
      <c r="L1621"/>
    </row>
    <row r="1622" spans="1:12" ht="22.5" customHeight="1">
      <c r="A1622">
        <f>Table4[[#This Row],[Column1]]</f>
        <v>0</v>
      </c>
      <c r="B1622">
        <f>Table4[[#This Row],[Column2]]</f>
        <v>0</v>
      </c>
      <c r="L1622"/>
    </row>
    <row r="1623" spans="1:12" ht="22.5" customHeight="1">
      <c r="A1623">
        <f>Table4[[#This Row],[Column1]]</f>
        <v>0</v>
      </c>
      <c r="B1623">
        <f>Table4[[#This Row],[Column2]]</f>
        <v>0</v>
      </c>
      <c r="L1623"/>
    </row>
    <row r="1624" spans="1:12" ht="22.5" customHeight="1">
      <c r="A1624">
        <f>Table4[[#This Row],[Column1]]</f>
        <v>0</v>
      </c>
      <c r="B1624">
        <f>Table4[[#This Row],[Column2]]</f>
        <v>0</v>
      </c>
      <c r="L1624"/>
    </row>
    <row r="1625" spans="1:12" ht="22.5" customHeight="1">
      <c r="A1625">
        <f>Table4[[#This Row],[Column1]]</f>
        <v>0</v>
      </c>
      <c r="B1625">
        <f>Table4[[#This Row],[Column2]]</f>
        <v>0</v>
      </c>
      <c r="L1625"/>
    </row>
    <row r="1626" spans="1:12" ht="22.5" customHeight="1">
      <c r="A1626">
        <f>Table4[[#This Row],[Column1]]</f>
        <v>0</v>
      </c>
      <c r="B1626">
        <f>Table4[[#This Row],[Column2]]</f>
        <v>0</v>
      </c>
      <c r="L1626"/>
    </row>
    <row r="1627" spans="1:12" ht="22.5" customHeight="1">
      <c r="A1627">
        <f>Table4[[#This Row],[Column1]]</f>
        <v>0</v>
      </c>
      <c r="B1627">
        <f>Table4[[#This Row],[Column2]]</f>
        <v>0</v>
      </c>
      <c r="L1627"/>
    </row>
    <row r="1628" spans="1:12" ht="22.5" customHeight="1">
      <c r="A1628">
        <f>Table4[[#This Row],[Column1]]</f>
        <v>0</v>
      </c>
      <c r="B1628">
        <f>Table4[[#This Row],[Column2]]</f>
        <v>0</v>
      </c>
      <c r="L1628"/>
    </row>
    <row r="1629" spans="1:12" ht="22.5" customHeight="1">
      <c r="A1629">
        <f>Table4[[#This Row],[Column1]]</f>
        <v>0</v>
      </c>
      <c r="B1629">
        <f>Table4[[#This Row],[Column2]]</f>
        <v>0</v>
      </c>
      <c r="L1629"/>
    </row>
    <row r="1630" spans="1:12" ht="22.5" customHeight="1">
      <c r="A1630">
        <f>Table4[[#This Row],[Column1]]</f>
        <v>0</v>
      </c>
      <c r="B1630">
        <f>Table4[[#This Row],[Column2]]</f>
        <v>0</v>
      </c>
      <c r="L1630"/>
    </row>
    <row r="1631" spans="1:12" ht="22.5" customHeight="1">
      <c r="A1631">
        <f>Table4[[#This Row],[Column1]]</f>
        <v>0</v>
      </c>
      <c r="B1631">
        <f>Table4[[#This Row],[Column2]]</f>
        <v>0</v>
      </c>
      <c r="L1631"/>
    </row>
    <row r="1632" spans="1:12" ht="22.5" customHeight="1">
      <c r="A1632">
        <f>Table4[[#This Row],[Column1]]</f>
        <v>0</v>
      </c>
      <c r="B1632">
        <f>Table4[[#This Row],[Column2]]</f>
        <v>0</v>
      </c>
      <c r="L1632"/>
    </row>
    <row r="1633" spans="1:12" ht="22.5" customHeight="1">
      <c r="A1633">
        <f>Table4[[#This Row],[Column1]]</f>
        <v>0</v>
      </c>
      <c r="B1633">
        <f>Table4[[#This Row],[Column2]]</f>
        <v>0</v>
      </c>
      <c r="L1633"/>
    </row>
    <row r="1634" spans="1:12" ht="22.5" customHeight="1">
      <c r="A1634">
        <f>Table4[[#This Row],[Column1]]</f>
        <v>0</v>
      </c>
      <c r="B1634">
        <f>Table4[[#This Row],[Column2]]</f>
        <v>0</v>
      </c>
      <c r="L1634"/>
    </row>
    <row r="1635" spans="1:12" ht="22.5" customHeight="1">
      <c r="A1635">
        <f>Table4[[#This Row],[Column1]]</f>
        <v>0</v>
      </c>
      <c r="B1635">
        <f>Table4[[#This Row],[Column2]]</f>
        <v>0</v>
      </c>
      <c r="L1635"/>
    </row>
    <row r="1636" spans="1:12" ht="22.5" customHeight="1">
      <c r="A1636">
        <f>Table4[[#This Row],[Column1]]</f>
        <v>0</v>
      </c>
      <c r="B1636">
        <f>Table4[[#This Row],[Column2]]</f>
        <v>0</v>
      </c>
      <c r="L1636"/>
    </row>
    <row r="1637" spans="1:12" ht="22.5" customHeight="1">
      <c r="A1637">
        <f>Table4[[#This Row],[Column1]]</f>
        <v>0</v>
      </c>
      <c r="B1637">
        <f>Table4[[#This Row],[Column2]]</f>
        <v>0</v>
      </c>
      <c r="L1637"/>
    </row>
    <row r="1638" spans="1:12" ht="22.5" customHeight="1">
      <c r="A1638">
        <f>Table4[[#This Row],[Column1]]</f>
        <v>0</v>
      </c>
      <c r="B1638">
        <f>Table4[[#This Row],[Column2]]</f>
        <v>0</v>
      </c>
      <c r="L1638"/>
    </row>
    <row r="1639" spans="1:12" ht="22.5" customHeight="1">
      <c r="A1639">
        <f>Table4[[#This Row],[Column1]]</f>
        <v>0</v>
      </c>
      <c r="B1639">
        <f>Table4[[#This Row],[Column2]]</f>
        <v>0</v>
      </c>
      <c r="L1639"/>
    </row>
    <row r="1640" spans="1:12" ht="22.5" customHeight="1">
      <c r="A1640">
        <f>Table4[[#This Row],[Column1]]</f>
        <v>0</v>
      </c>
      <c r="B1640">
        <f>Table4[[#This Row],[Column2]]</f>
        <v>0</v>
      </c>
      <c r="L1640"/>
    </row>
    <row r="1641" spans="1:12" ht="22.5" customHeight="1">
      <c r="A1641">
        <f>Table4[[#This Row],[Column1]]</f>
        <v>0</v>
      </c>
      <c r="B1641">
        <f>Table4[[#This Row],[Column2]]</f>
        <v>0</v>
      </c>
      <c r="L1641"/>
    </row>
    <row r="1642" spans="1:12" ht="22.5" customHeight="1">
      <c r="A1642">
        <f>Table4[[#This Row],[Column1]]</f>
        <v>0</v>
      </c>
      <c r="B1642">
        <f>Table4[[#This Row],[Column2]]</f>
        <v>0</v>
      </c>
      <c r="L1642"/>
    </row>
    <row r="1643" spans="1:12" ht="22.5" customHeight="1">
      <c r="A1643">
        <f>Table4[[#This Row],[Column1]]</f>
        <v>0</v>
      </c>
      <c r="B1643">
        <f>Table4[[#This Row],[Column2]]</f>
        <v>0</v>
      </c>
      <c r="L1643"/>
    </row>
    <row r="1644" spans="1:12" ht="22.5" customHeight="1">
      <c r="A1644">
        <f>Table4[[#This Row],[Column1]]</f>
        <v>0</v>
      </c>
      <c r="B1644">
        <f>Table4[[#This Row],[Column2]]</f>
        <v>0</v>
      </c>
      <c r="L1644"/>
    </row>
    <row r="1645" spans="1:12" ht="22.5" customHeight="1">
      <c r="A1645">
        <f>Table4[[#This Row],[Column1]]</f>
        <v>0</v>
      </c>
      <c r="B1645">
        <f>Table4[[#This Row],[Column2]]</f>
        <v>0</v>
      </c>
      <c r="L1645"/>
    </row>
    <row r="1646" spans="1:12" ht="22.5" customHeight="1">
      <c r="A1646">
        <f>Table4[[#This Row],[Column1]]</f>
        <v>0</v>
      </c>
      <c r="B1646">
        <f>Table4[[#This Row],[Column2]]</f>
        <v>0</v>
      </c>
      <c r="L1646"/>
    </row>
    <row r="1647" spans="1:12" ht="22.5" customHeight="1">
      <c r="A1647">
        <f>Table4[[#This Row],[Column1]]</f>
        <v>0</v>
      </c>
      <c r="B1647">
        <f>Table4[[#This Row],[Column2]]</f>
        <v>0</v>
      </c>
      <c r="L1647"/>
    </row>
    <row r="1648" spans="1:12" ht="22.5" customHeight="1">
      <c r="A1648">
        <f>Table4[[#This Row],[Column1]]</f>
        <v>0</v>
      </c>
      <c r="B1648">
        <f>Table4[[#This Row],[Column2]]</f>
        <v>0</v>
      </c>
      <c r="L1648"/>
    </row>
    <row r="1649" spans="1:12" ht="22.5" customHeight="1">
      <c r="A1649">
        <f>Table4[[#This Row],[Column1]]</f>
        <v>0</v>
      </c>
      <c r="B1649">
        <f>Table4[[#This Row],[Column2]]</f>
        <v>0</v>
      </c>
      <c r="L1649"/>
    </row>
    <row r="1650" spans="1:12" ht="22.5" customHeight="1">
      <c r="A1650">
        <f>Table4[[#This Row],[Column1]]</f>
        <v>0</v>
      </c>
      <c r="B1650">
        <f>Table4[[#This Row],[Column2]]</f>
        <v>0</v>
      </c>
      <c r="L1650"/>
    </row>
    <row r="1651" spans="1:12" ht="22.5" customHeight="1">
      <c r="A1651">
        <f>Table4[[#This Row],[Column1]]</f>
        <v>0</v>
      </c>
      <c r="B1651">
        <f>Table4[[#This Row],[Column2]]</f>
        <v>0</v>
      </c>
      <c r="L1651"/>
    </row>
    <row r="1652" spans="1:12" ht="22.5" customHeight="1">
      <c r="A1652">
        <f>Table4[[#This Row],[Column1]]</f>
        <v>0</v>
      </c>
      <c r="B1652">
        <f>Table4[[#This Row],[Column2]]</f>
        <v>0</v>
      </c>
      <c r="L1652"/>
    </row>
    <row r="1653" spans="1:12" ht="22.5" customHeight="1">
      <c r="A1653">
        <f>Table4[[#This Row],[Column1]]</f>
        <v>0</v>
      </c>
      <c r="B1653">
        <f>Table4[[#This Row],[Column2]]</f>
        <v>0</v>
      </c>
      <c r="L1653"/>
    </row>
    <row r="1654" spans="1:12" ht="22.5" customHeight="1">
      <c r="A1654">
        <f>Table4[[#This Row],[Column1]]</f>
        <v>0</v>
      </c>
      <c r="B1654">
        <f>Table4[[#This Row],[Column2]]</f>
        <v>0</v>
      </c>
      <c r="L1654"/>
    </row>
    <row r="1655" spans="1:12" ht="22.5" customHeight="1">
      <c r="A1655">
        <f>Table4[[#This Row],[Column1]]</f>
        <v>0</v>
      </c>
      <c r="B1655">
        <f>Table4[[#This Row],[Column2]]</f>
        <v>0</v>
      </c>
      <c r="L1655"/>
    </row>
    <row r="1656" spans="1:12" ht="22.5" customHeight="1">
      <c r="A1656">
        <f>Table4[[#This Row],[Column1]]</f>
        <v>0</v>
      </c>
      <c r="B1656">
        <f>Table4[[#This Row],[Column2]]</f>
        <v>0</v>
      </c>
      <c r="L1656"/>
    </row>
    <row r="1657" spans="1:12" ht="22.5" customHeight="1">
      <c r="A1657">
        <f>Table4[[#This Row],[Column1]]</f>
        <v>0</v>
      </c>
      <c r="B1657">
        <f>Table4[[#This Row],[Column2]]</f>
        <v>0</v>
      </c>
      <c r="L1657"/>
    </row>
    <row r="1658" spans="1:12" ht="22.5" customHeight="1">
      <c r="A1658">
        <f>Table4[[#This Row],[Column1]]</f>
        <v>0</v>
      </c>
      <c r="B1658">
        <f>Table4[[#This Row],[Column2]]</f>
        <v>0</v>
      </c>
      <c r="L1658"/>
    </row>
    <row r="1659" spans="1:12" ht="22.5" customHeight="1">
      <c r="A1659">
        <f>Table4[[#This Row],[Column1]]</f>
        <v>0</v>
      </c>
      <c r="B1659">
        <f>Table4[[#This Row],[Column2]]</f>
        <v>0</v>
      </c>
      <c r="L1659"/>
    </row>
    <row r="1660" spans="1:12" ht="22.5" customHeight="1">
      <c r="A1660">
        <f>Table4[[#This Row],[Column1]]</f>
        <v>0</v>
      </c>
      <c r="B1660">
        <f>Table4[[#This Row],[Column2]]</f>
        <v>0</v>
      </c>
      <c r="L1660"/>
    </row>
    <row r="1661" spans="1:12" ht="22.5" customHeight="1">
      <c r="A1661">
        <f>Table4[[#This Row],[Column1]]</f>
        <v>0</v>
      </c>
      <c r="B1661">
        <f>Table4[[#This Row],[Column2]]</f>
        <v>0</v>
      </c>
      <c r="L1661"/>
    </row>
    <row r="1662" spans="1:12" ht="22.5" customHeight="1">
      <c r="A1662">
        <f>Table4[[#This Row],[Column1]]</f>
        <v>0</v>
      </c>
      <c r="B1662">
        <f>Table4[[#This Row],[Column2]]</f>
        <v>0</v>
      </c>
      <c r="L1662"/>
    </row>
    <row r="1663" spans="1:12" ht="22.5" customHeight="1">
      <c r="A1663">
        <f>Table4[[#This Row],[Column1]]</f>
        <v>0</v>
      </c>
      <c r="B1663">
        <f>Table4[[#This Row],[Column2]]</f>
        <v>0</v>
      </c>
      <c r="L1663"/>
    </row>
    <row r="1664" spans="1:12" ht="22.5" customHeight="1">
      <c r="A1664">
        <f>Table4[[#This Row],[Column1]]</f>
        <v>0</v>
      </c>
      <c r="B1664">
        <f>Table4[[#This Row],[Column2]]</f>
        <v>0</v>
      </c>
      <c r="L1664"/>
    </row>
    <row r="1665" spans="1:12" ht="22.5" customHeight="1">
      <c r="A1665">
        <f>Table4[[#This Row],[Column1]]</f>
        <v>0</v>
      </c>
      <c r="B1665">
        <f>Table4[[#This Row],[Column2]]</f>
        <v>0</v>
      </c>
      <c r="L1665"/>
    </row>
    <row r="1666" spans="1:12" ht="22.5" customHeight="1">
      <c r="A1666">
        <f>Table4[[#This Row],[Column1]]</f>
        <v>0</v>
      </c>
      <c r="B1666">
        <f>Table4[[#This Row],[Column2]]</f>
        <v>0</v>
      </c>
      <c r="L1666"/>
    </row>
    <row r="1667" spans="1:12" ht="22.5" customHeight="1">
      <c r="A1667">
        <f>Table4[[#This Row],[Column1]]</f>
        <v>0</v>
      </c>
      <c r="B1667">
        <f>Table4[[#This Row],[Column2]]</f>
        <v>0</v>
      </c>
      <c r="L1667"/>
    </row>
    <row r="1668" spans="1:12" ht="22.5" customHeight="1">
      <c r="A1668">
        <f>Table4[[#This Row],[Column1]]</f>
        <v>0</v>
      </c>
      <c r="B1668">
        <f>Table4[[#This Row],[Column2]]</f>
        <v>0</v>
      </c>
      <c r="L1668"/>
    </row>
    <row r="1669" spans="1:12" ht="22.5" customHeight="1">
      <c r="A1669">
        <f>Table4[[#This Row],[Column1]]</f>
        <v>0</v>
      </c>
      <c r="B1669">
        <f>Table4[[#This Row],[Column2]]</f>
        <v>0</v>
      </c>
      <c r="L1669"/>
    </row>
    <row r="1670" spans="1:12" ht="22.5" customHeight="1">
      <c r="A1670">
        <f>Table4[[#This Row],[Column1]]</f>
        <v>0</v>
      </c>
      <c r="B1670">
        <f>Table4[[#This Row],[Column2]]</f>
        <v>0</v>
      </c>
      <c r="L1670"/>
    </row>
    <row r="1671" spans="1:12" ht="22.5" customHeight="1">
      <c r="A1671">
        <f>Table4[[#This Row],[Column1]]</f>
        <v>0</v>
      </c>
      <c r="B1671">
        <f>Table4[[#This Row],[Column2]]</f>
        <v>0</v>
      </c>
      <c r="L1671"/>
    </row>
    <row r="1672" spans="1:12" ht="22.5" customHeight="1">
      <c r="A1672">
        <f>Table4[[#This Row],[Column1]]</f>
        <v>0</v>
      </c>
      <c r="B1672">
        <f>Table4[[#This Row],[Column2]]</f>
        <v>0</v>
      </c>
      <c r="L1672"/>
    </row>
    <row r="1673" spans="1:12" ht="22.5" customHeight="1">
      <c r="A1673">
        <f>Table4[[#This Row],[Column1]]</f>
        <v>0</v>
      </c>
      <c r="B1673">
        <f>Table4[[#This Row],[Column2]]</f>
        <v>0</v>
      </c>
      <c r="L1673"/>
    </row>
    <row r="1674" spans="1:12" ht="22.5" customHeight="1">
      <c r="A1674">
        <f>Table4[[#This Row],[Column1]]</f>
        <v>0</v>
      </c>
      <c r="B1674">
        <f>Table4[[#This Row],[Column2]]</f>
        <v>0</v>
      </c>
      <c r="L1674"/>
    </row>
    <row r="1675" spans="1:12" ht="22.5" customHeight="1">
      <c r="A1675">
        <f>Table4[[#This Row],[Column1]]</f>
        <v>0</v>
      </c>
      <c r="B1675">
        <f>Table4[[#This Row],[Column2]]</f>
        <v>0</v>
      </c>
      <c r="L1675"/>
    </row>
    <row r="1676" spans="1:12" ht="22.5" customHeight="1">
      <c r="A1676">
        <f>Table4[[#This Row],[Column1]]</f>
        <v>0</v>
      </c>
      <c r="B1676">
        <f>Table4[[#This Row],[Column2]]</f>
        <v>0</v>
      </c>
      <c r="L1676"/>
    </row>
    <row r="1677" spans="1:12" ht="22.5" customHeight="1">
      <c r="A1677">
        <f>Table4[[#This Row],[Column1]]</f>
        <v>0</v>
      </c>
      <c r="B1677">
        <f>Table4[[#This Row],[Column2]]</f>
        <v>0</v>
      </c>
      <c r="L1677"/>
    </row>
    <row r="1678" spans="1:12" ht="22.5" customHeight="1">
      <c r="A1678">
        <f>Table4[[#This Row],[Column1]]</f>
        <v>0</v>
      </c>
      <c r="B1678">
        <f>Table4[[#This Row],[Column2]]</f>
        <v>0</v>
      </c>
      <c r="L1678"/>
    </row>
    <row r="1679" spans="1:12" ht="22.5" customHeight="1">
      <c r="A1679">
        <f>Table4[[#This Row],[Column1]]</f>
        <v>0</v>
      </c>
      <c r="B1679">
        <f>Table4[[#This Row],[Column2]]</f>
        <v>0</v>
      </c>
      <c r="L1679"/>
    </row>
    <row r="1680" spans="1:12" ht="22.5" customHeight="1">
      <c r="A1680">
        <f>Table4[[#This Row],[Column1]]</f>
        <v>0</v>
      </c>
      <c r="B1680">
        <f>Table4[[#This Row],[Column2]]</f>
        <v>0</v>
      </c>
      <c r="L1680"/>
    </row>
    <row r="1681" spans="1:12" ht="22.5" customHeight="1">
      <c r="A1681">
        <f>Table4[[#This Row],[Column1]]</f>
        <v>0</v>
      </c>
      <c r="B1681">
        <f>Table4[[#This Row],[Column2]]</f>
        <v>0</v>
      </c>
      <c r="L1681"/>
    </row>
    <row r="1682" spans="1:12" ht="22.5" customHeight="1">
      <c r="A1682">
        <f>Table4[[#This Row],[Column1]]</f>
        <v>0</v>
      </c>
      <c r="B1682">
        <f>Table4[[#This Row],[Column2]]</f>
        <v>0</v>
      </c>
      <c r="L1682"/>
    </row>
    <row r="1683" spans="1:12" ht="22.5" customHeight="1">
      <c r="A1683">
        <f>Table4[[#This Row],[Column1]]</f>
        <v>0</v>
      </c>
      <c r="B1683">
        <f>Table4[[#This Row],[Column2]]</f>
        <v>0</v>
      </c>
      <c r="L1683"/>
    </row>
    <row r="1684" spans="1:12" ht="22.5" customHeight="1">
      <c r="A1684">
        <f>Table4[[#This Row],[Column1]]</f>
        <v>0</v>
      </c>
      <c r="B1684">
        <f>Table4[[#This Row],[Column2]]</f>
        <v>0</v>
      </c>
      <c r="L1684"/>
    </row>
    <row r="1685" spans="1:12" ht="22.5" customHeight="1">
      <c r="A1685">
        <f>Table4[[#This Row],[Column1]]</f>
        <v>0</v>
      </c>
      <c r="B1685">
        <f>Table4[[#This Row],[Column2]]</f>
        <v>0</v>
      </c>
      <c r="L1685"/>
    </row>
    <row r="1686" spans="1:12" ht="22.5" customHeight="1">
      <c r="A1686">
        <f>Table4[[#This Row],[Column1]]</f>
        <v>0</v>
      </c>
      <c r="B1686">
        <f>Table4[[#This Row],[Column2]]</f>
        <v>0</v>
      </c>
      <c r="L1686"/>
    </row>
    <row r="1687" spans="1:12" ht="22.5" customHeight="1">
      <c r="A1687">
        <f>Table4[[#This Row],[Column1]]</f>
        <v>0</v>
      </c>
      <c r="B1687">
        <f>Table4[[#This Row],[Column2]]</f>
        <v>0</v>
      </c>
      <c r="L1687"/>
    </row>
    <row r="1688" spans="1:12" ht="22.5" customHeight="1">
      <c r="A1688">
        <f>Table4[[#This Row],[Column1]]</f>
        <v>0</v>
      </c>
      <c r="B1688">
        <f>Table4[[#This Row],[Column2]]</f>
        <v>0</v>
      </c>
      <c r="L1688"/>
    </row>
    <row r="1689" spans="1:12" ht="22.5" customHeight="1">
      <c r="A1689">
        <f>Table4[[#This Row],[Column1]]</f>
        <v>0</v>
      </c>
      <c r="B1689">
        <f>Table4[[#This Row],[Column2]]</f>
        <v>0</v>
      </c>
      <c r="L1689"/>
    </row>
    <row r="1690" spans="1:12" ht="22.5" customHeight="1">
      <c r="A1690">
        <f>Table4[[#This Row],[Column1]]</f>
        <v>0</v>
      </c>
      <c r="B1690">
        <f>Table4[[#This Row],[Column2]]</f>
        <v>0</v>
      </c>
      <c r="L1690"/>
    </row>
    <row r="1691" spans="1:12" ht="22.5" customHeight="1">
      <c r="A1691">
        <f>Table4[[#This Row],[Column1]]</f>
        <v>0</v>
      </c>
      <c r="B1691">
        <f>Table4[[#This Row],[Column2]]</f>
        <v>0</v>
      </c>
      <c r="L1691"/>
    </row>
    <row r="1692" spans="1:12" ht="22.5" customHeight="1">
      <c r="A1692">
        <f>Table4[[#This Row],[Column1]]</f>
        <v>0</v>
      </c>
      <c r="B1692">
        <f>Table4[[#This Row],[Column2]]</f>
        <v>0</v>
      </c>
      <c r="L1692"/>
    </row>
    <row r="1693" spans="1:12" ht="22.5" customHeight="1">
      <c r="A1693">
        <f>Table4[[#This Row],[Column1]]</f>
        <v>0</v>
      </c>
      <c r="B1693">
        <f>Table4[[#This Row],[Column2]]</f>
        <v>0</v>
      </c>
      <c r="L1693"/>
    </row>
    <row r="1694" spans="1:12" ht="22.5" customHeight="1">
      <c r="A1694">
        <f>Table4[[#This Row],[Column1]]</f>
        <v>0</v>
      </c>
      <c r="B1694">
        <f>Table4[[#This Row],[Column2]]</f>
        <v>0</v>
      </c>
      <c r="L1694"/>
    </row>
    <row r="1695" spans="1:12" ht="22.5" customHeight="1">
      <c r="A1695">
        <f>Table4[[#This Row],[Column1]]</f>
        <v>0</v>
      </c>
      <c r="B1695">
        <f>Table4[[#This Row],[Column2]]</f>
        <v>0</v>
      </c>
      <c r="L1695"/>
    </row>
    <row r="1696" spans="1:12" ht="22.5" customHeight="1">
      <c r="A1696">
        <f>Table4[[#This Row],[Column1]]</f>
        <v>0</v>
      </c>
      <c r="B1696">
        <f>Table4[[#This Row],[Column2]]</f>
        <v>0</v>
      </c>
      <c r="L1696"/>
    </row>
    <row r="1697" spans="1:12" ht="22.5" customHeight="1">
      <c r="A1697">
        <f>Table4[[#This Row],[Column1]]</f>
        <v>0</v>
      </c>
      <c r="B1697">
        <f>Table4[[#This Row],[Column2]]</f>
        <v>0</v>
      </c>
      <c r="L1697"/>
    </row>
    <row r="1698" spans="1:12" ht="22.5" customHeight="1">
      <c r="A1698">
        <f>Table4[[#This Row],[Column1]]</f>
        <v>0</v>
      </c>
      <c r="B1698">
        <f>Table4[[#This Row],[Column2]]</f>
        <v>0</v>
      </c>
      <c r="L1698"/>
    </row>
    <row r="1699" spans="1:12" ht="22.5" customHeight="1">
      <c r="A1699">
        <f>Table4[[#This Row],[Column1]]</f>
        <v>0</v>
      </c>
      <c r="B1699">
        <f>Table4[[#This Row],[Column2]]</f>
        <v>0</v>
      </c>
      <c r="L1699"/>
    </row>
    <row r="1700" spans="1:12" ht="22.5" customHeight="1">
      <c r="A1700">
        <f>Table4[[#This Row],[Column1]]</f>
        <v>0</v>
      </c>
      <c r="B1700">
        <f>Table4[[#This Row],[Column2]]</f>
        <v>0</v>
      </c>
      <c r="L1700"/>
    </row>
    <row r="1701" spans="1:12" ht="22.5" customHeight="1">
      <c r="A1701">
        <f>Table4[[#This Row],[Column1]]</f>
        <v>0</v>
      </c>
      <c r="B1701">
        <f>Table4[[#This Row],[Column2]]</f>
        <v>0</v>
      </c>
      <c r="L1701"/>
    </row>
    <row r="1702" spans="1:12" ht="22.5" customHeight="1">
      <c r="A1702">
        <f>Table4[[#This Row],[Column1]]</f>
        <v>0</v>
      </c>
      <c r="B1702">
        <f>Table4[[#This Row],[Column2]]</f>
        <v>0</v>
      </c>
      <c r="L1702"/>
    </row>
    <row r="1703" spans="1:12" ht="22.5" customHeight="1">
      <c r="A1703">
        <f>Table4[[#This Row],[Column1]]</f>
        <v>0</v>
      </c>
      <c r="B1703">
        <f>Table4[[#This Row],[Column2]]</f>
        <v>0</v>
      </c>
      <c r="L1703"/>
    </row>
    <row r="1704" spans="1:12" ht="22.5" customHeight="1">
      <c r="A1704">
        <f>Table4[[#This Row],[Column1]]</f>
        <v>0</v>
      </c>
      <c r="B1704">
        <f>Table4[[#This Row],[Column2]]</f>
        <v>0</v>
      </c>
      <c r="L1704"/>
    </row>
    <row r="1705" spans="1:12" ht="22.5" customHeight="1">
      <c r="A1705">
        <f>Table4[[#This Row],[Column1]]</f>
        <v>0</v>
      </c>
      <c r="B1705">
        <f>Table4[[#This Row],[Column2]]</f>
        <v>0</v>
      </c>
      <c r="L1705"/>
    </row>
    <row r="1706" spans="1:12" ht="22.5" customHeight="1">
      <c r="A1706">
        <f>Table4[[#This Row],[Column1]]</f>
        <v>0</v>
      </c>
      <c r="B1706">
        <f>Table4[[#This Row],[Column2]]</f>
        <v>0</v>
      </c>
      <c r="L1706"/>
    </row>
    <row r="1707" spans="1:12" ht="22.5" customHeight="1">
      <c r="A1707">
        <f>Table4[[#This Row],[Column1]]</f>
        <v>0</v>
      </c>
      <c r="B1707">
        <f>Table4[[#This Row],[Column2]]</f>
        <v>0</v>
      </c>
      <c r="L1707"/>
    </row>
    <row r="1708" spans="1:12" ht="22.5" customHeight="1">
      <c r="A1708">
        <f>Table4[[#This Row],[Column1]]</f>
        <v>0</v>
      </c>
      <c r="B1708">
        <f>Table4[[#This Row],[Column2]]</f>
        <v>0</v>
      </c>
      <c r="L1708"/>
    </row>
    <row r="1709" spans="1:12" ht="22.5" customHeight="1">
      <c r="A1709">
        <f>Table4[[#This Row],[Column1]]</f>
        <v>0</v>
      </c>
      <c r="B1709">
        <f>Table4[[#This Row],[Column2]]</f>
        <v>0</v>
      </c>
      <c r="L1709"/>
    </row>
    <row r="1710" spans="1:12" ht="22.5" customHeight="1">
      <c r="A1710">
        <f>Table4[[#This Row],[Column1]]</f>
        <v>0</v>
      </c>
      <c r="B1710">
        <f>Table4[[#This Row],[Column2]]</f>
        <v>0</v>
      </c>
      <c r="L1710"/>
    </row>
    <row r="1711" spans="1:12" ht="22.5" customHeight="1">
      <c r="A1711">
        <f>Table4[[#This Row],[Column1]]</f>
        <v>0</v>
      </c>
      <c r="B1711">
        <f>Table4[[#This Row],[Column2]]</f>
        <v>0</v>
      </c>
      <c r="L1711"/>
    </row>
    <row r="1712" spans="1:12" ht="22.5" customHeight="1">
      <c r="A1712">
        <f>Table4[[#This Row],[Column1]]</f>
        <v>0</v>
      </c>
      <c r="B1712">
        <f>Table4[[#This Row],[Column2]]</f>
        <v>0</v>
      </c>
      <c r="L1712"/>
    </row>
    <row r="1713" spans="1:12" ht="22.5" customHeight="1">
      <c r="A1713">
        <f>Table4[[#This Row],[Column1]]</f>
        <v>0</v>
      </c>
      <c r="B1713">
        <f>Table4[[#This Row],[Column2]]</f>
        <v>0</v>
      </c>
      <c r="L1713"/>
    </row>
    <row r="1714" spans="1:12" ht="22.5" customHeight="1">
      <c r="A1714">
        <f>Table4[[#This Row],[Column1]]</f>
        <v>0</v>
      </c>
      <c r="B1714">
        <f>Table4[[#This Row],[Column2]]</f>
        <v>0</v>
      </c>
      <c r="L1714"/>
    </row>
    <row r="1715" spans="1:12" ht="22.5" customHeight="1">
      <c r="A1715">
        <f>Table4[[#This Row],[Column1]]</f>
        <v>0</v>
      </c>
      <c r="B1715">
        <f>Table4[[#This Row],[Column2]]</f>
        <v>0</v>
      </c>
      <c r="L1715"/>
    </row>
    <row r="1716" spans="1:12" ht="22.5" customHeight="1">
      <c r="A1716">
        <f>Table4[[#This Row],[Column1]]</f>
        <v>0</v>
      </c>
      <c r="B1716">
        <f>Table4[[#This Row],[Column2]]</f>
        <v>0</v>
      </c>
      <c r="L1716"/>
    </row>
    <row r="1717" spans="1:12" ht="22.5" customHeight="1">
      <c r="A1717">
        <f>Table4[[#This Row],[Column1]]</f>
        <v>0</v>
      </c>
      <c r="B1717">
        <f>Table4[[#This Row],[Column2]]</f>
        <v>0</v>
      </c>
      <c r="L1717"/>
    </row>
    <row r="1718" spans="1:12" ht="22.5" customHeight="1">
      <c r="A1718">
        <f>Table4[[#This Row],[Column1]]</f>
        <v>0</v>
      </c>
      <c r="B1718">
        <f>Table4[[#This Row],[Column2]]</f>
        <v>0</v>
      </c>
      <c r="L1718"/>
    </row>
    <row r="1719" spans="1:12" ht="22.5" customHeight="1">
      <c r="A1719">
        <f>Table4[[#This Row],[Column1]]</f>
        <v>0</v>
      </c>
      <c r="B1719">
        <f>Table4[[#This Row],[Column2]]</f>
        <v>0</v>
      </c>
      <c r="L1719"/>
    </row>
    <row r="1720" spans="1:12" ht="22.5" customHeight="1">
      <c r="A1720">
        <f>Table4[[#This Row],[Column1]]</f>
        <v>0</v>
      </c>
      <c r="B1720">
        <f>Table4[[#This Row],[Column2]]</f>
        <v>0</v>
      </c>
      <c r="L1720"/>
    </row>
    <row r="1721" spans="1:12" ht="22.5" customHeight="1">
      <c r="A1721">
        <f>Table4[[#This Row],[Column1]]</f>
        <v>0</v>
      </c>
      <c r="B1721">
        <f>Table4[[#This Row],[Column2]]</f>
        <v>0</v>
      </c>
      <c r="L1721"/>
    </row>
    <row r="1722" spans="1:12" ht="22.5" customHeight="1">
      <c r="A1722">
        <f>Table4[[#This Row],[Column1]]</f>
        <v>0</v>
      </c>
      <c r="B1722">
        <f>Table4[[#This Row],[Column2]]</f>
        <v>0</v>
      </c>
      <c r="L1722"/>
    </row>
    <row r="1723" spans="1:12" ht="22.5" customHeight="1">
      <c r="A1723">
        <f>Table4[[#This Row],[Column1]]</f>
        <v>0</v>
      </c>
      <c r="B1723">
        <f>Table4[[#This Row],[Column2]]</f>
        <v>0</v>
      </c>
      <c r="L1723"/>
    </row>
    <row r="1724" spans="1:12" ht="22.5" customHeight="1">
      <c r="A1724">
        <f>Table4[[#This Row],[Column1]]</f>
        <v>0</v>
      </c>
      <c r="B1724">
        <f>Table4[[#This Row],[Column2]]</f>
        <v>0</v>
      </c>
      <c r="L1724"/>
    </row>
    <row r="1725" spans="1:12" ht="22.5" customHeight="1">
      <c r="A1725">
        <f>Table4[[#This Row],[Column1]]</f>
        <v>0</v>
      </c>
      <c r="B1725">
        <f>Table4[[#This Row],[Column2]]</f>
        <v>0</v>
      </c>
      <c r="L1725"/>
    </row>
    <row r="1726" spans="1:12" ht="22.5" customHeight="1">
      <c r="A1726">
        <f>Table4[[#This Row],[Column1]]</f>
        <v>0</v>
      </c>
      <c r="B1726">
        <f>Table4[[#This Row],[Column2]]</f>
        <v>0</v>
      </c>
      <c r="L1726"/>
    </row>
    <row r="1727" spans="1:12" ht="22.5" customHeight="1">
      <c r="A1727">
        <f>Table4[[#This Row],[Column1]]</f>
        <v>0</v>
      </c>
      <c r="B1727">
        <f>Table4[[#This Row],[Column2]]</f>
        <v>0</v>
      </c>
      <c r="L1727"/>
    </row>
    <row r="1728" spans="1:12" ht="22.5" customHeight="1">
      <c r="A1728">
        <f>Table4[[#This Row],[Column1]]</f>
        <v>0</v>
      </c>
      <c r="B1728">
        <f>Table4[[#This Row],[Column2]]</f>
        <v>0</v>
      </c>
      <c r="L1728"/>
    </row>
    <row r="1729" spans="1:12" ht="22.5" customHeight="1">
      <c r="A1729">
        <f>Table4[[#This Row],[Column1]]</f>
        <v>0</v>
      </c>
      <c r="B1729">
        <f>Table4[[#This Row],[Column2]]</f>
        <v>0</v>
      </c>
      <c r="L1729"/>
    </row>
    <row r="1730" spans="1:12" ht="22.5" customHeight="1">
      <c r="A1730">
        <f>Table4[[#This Row],[Column1]]</f>
        <v>0</v>
      </c>
      <c r="B1730">
        <f>Table4[[#This Row],[Column2]]</f>
        <v>0</v>
      </c>
      <c r="L1730"/>
    </row>
    <row r="1731" spans="1:12" ht="22.5" customHeight="1">
      <c r="A1731">
        <f>Table4[[#This Row],[Column1]]</f>
        <v>0</v>
      </c>
      <c r="B1731">
        <f>Table4[[#This Row],[Column2]]</f>
        <v>0</v>
      </c>
      <c r="L1731"/>
    </row>
    <row r="1732" spans="1:12" ht="22.5" customHeight="1">
      <c r="A1732">
        <f>Table4[[#This Row],[Column1]]</f>
        <v>0</v>
      </c>
      <c r="B1732">
        <f>Table4[[#This Row],[Column2]]</f>
        <v>0</v>
      </c>
      <c r="L1732"/>
    </row>
    <row r="1733" spans="1:12" ht="22.5" customHeight="1">
      <c r="A1733">
        <f>Table4[[#This Row],[Column1]]</f>
        <v>0</v>
      </c>
      <c r="B1733">
        <f>Table4[[#This Row],[Column2]]</f>
        <v>0</v>
      </c>
      <c r="L1733"/>
    </row>
    <row r="1734" spans="1:12" ht="22.5" customHeight="1">
      <c r="A1734">
        <f>Table4[[#This Row],[Column1]]</f>
        <v>0</v>
      </c>
      <c r="B1734">
        <f>Table4[[#This Row],[Column2]]</f>
        <v>0</v>
      </c>
      <c r="L1734"/>
    </row>
    <row r="1735" spans="1:12" ht="22.5" customHeight="1">
      <c r="A1735">
        <f>Table4[[#This Row],[Column1]]</f>
        <v>0</v>
      </c>
      <c r="B1735">
        <f>Table4[[#This Row],[Column2]]</f>
        <v>0</v>
      </c>
      <c r="L1735"/>
    </row>
    <row r="1736" spans="1:12" ht="22.5" customHeight="1">
      <c r="A1736">
        <f>Table4[[#This Row],[Column1]]</f>
        <v>0</v>
      </c>
      <c r="B1736">
        <f>Table4[[#This Row],[Column2]]</f>
        <v>0</v>
      </c>
      <c r="L1736"/>
    </row>
    <row r="1737" spans="1:12" ht="22.5" customHeight="1">
      <c r="A1737">
        <f>Table4[[#This Row],[Column1]]</f>
        <v>0</v>
      </c>
      <c r="B1737">
        <f>Table4[[#This Row],[Column2]]</f>
        <v>0</v>
      </c>
      <c r="L1737"/>
    </row>
    <row r="1738" spans="1:12" ht="22.5" customHeight="1">
      <c r="A1738">
        <f>Table4[[#This Row],[Column1]]</f>
        <v>0</v>
      </c>
      <c r="B1738">
        <f>Table4[[#This Row],[Column2]]</f>
        <v>0</v>
      </c>
      <c r="L1738"/>
    </row>
    <row r="1739" spans="1:12" ht="22.5" customHeight="1">
      <c r="A1739">
        <f>Table4[[#This Row],[Column1]]</f>
        <v>0</v>
      </c>
      <c r="B1739">
        <f>Table4[[#This Row],[Column2]]</f>
        <v>0</v>
      </c>
      <c r="L1739"/>
    </row>
    <row r="1740" spans="1:12" ht="22.5" customHeight="1">
      <c r="A1740">
        <f>Table4[[#This Row],[Column1]]</f>
        <v>0</v>
      </c>
      <c r="B1740">
        <f>Table4[[#This Row],[Column2]]</f>
        <v>0</v>
      </c>
      <c r="L1740"/>
    </row>
    <row r="1741" spans="1:12" ht="22.5" customHeight="1">
      <c r="A1741">
        <f>Table4[[#This Row],[Column1]]</f>
        <v>0</v>
      </c>
      <c r="B1741">
        <f>Table4[[#This Row],[Column2]]</f>
        <v>0</v>
      </c>
      <c r="L1741"/>
    </row>
    <row r="1742" spans="1:12" ht="22.5" customHeight="1">
      <c r="A1742">
        <f>Table4[[#This Row],[Column1]]</f>
        <v>0</v>
      </c>
      <c r="B1742">
        <f>Table4[[#This Row],[Column2]]</f>
        <v>0</v>
      </c>
      <c r="L1742"/>
    </row>
    <row r="1743" spans="1:12" ht="22.5" customHeight="1">
      <c r="A1743">
        <f>Table4[[#This Row],[Column1]]</f>
        <v>0</v>
      </c>
      <c r="B1743">
        <f>Table4[[#This Row],[Column2]]</f>
        <v>0</v>
      </c>
      <c r="L1743"/>
    </row>
    <row r="1744" spans="1:12" ht="22.5" customHeight="1">
      <c r="A1744">
        <f>Table4[[#This Row],[Column1]]</f>
        <v>0</v>
      </c>
      <c r="B1744">
        <f>Table4[[#This Row],[Column2]]</f>
        <v>0</v>
      </c>
      <c r="L1744"/>
    </row>
    <row r="1745" spans="1:12" ht="22.5" customHeight="1">
      <c r="A1745">
        <f>Table4[[#This Row],[Column1]]</f>
        <v>0</v>
      </c>
      <c r="B1745">
        <f>Table4[[#This Row],[Column2]]</f>
        <v>0</v>
      </c>
      <c r="L1745"/>
    </row>
    <row r="1746" spans="1:12" ht="22.5" customHeight="1">
      <c r="A1746">
        <f>Table4[[#This Row],[Column1]]</f>
        <v>0</v>
      </c>
      <c r="B1746">
        <f>Table4[[#This Row],[Column2]]</f>
        <v>0</v>
      </c>
      <c r="L1746"/>
    </row>
    <row r="1747" spans="1:12" ht="22.5" customHeight="1">
      <c r="A1747">
        <f>Table4[[#This Row],[Column1]]</f>
        <v>0</v>
      </c>
      <c r="B1747">
        <f>Table4[[#This Row],[Column2]]</f>
        <v>0</v>
      </c>
      <c r="L1747"/>
    </row>
    <row r="1748" spans="1:12" ht="22.5" customHeight="1">
      <c r="A1748">
        <f>Table4[[#This Row],[Column1]]</f>
        <v>0</v>
      </c>
      <c r="B1748">
        <f>Table4[[#This Row],[Column2]]</f>
        <v>0</v>
      </c>
      <c r="L1748"/>
    </row>
    <row r="1749" spans="1:12" ht="22.5" customHeight="1">
      <c r="A1749">
        <f>Table4[[#This Row],[Column1]]</f>
        <v>0</v>
      </c>
      <c r="B1749">
        <f>Table4[[#This Row],[Column2]]</f>
        <v>0</v>
      </c>
      <c r="L1749"/>
    </row>
    <row r="1750" spans="1:12" ht="22.5" customHeight="1">
      <c r="A1750">
        <f>Table4[[#This Row],[Column1]]</f>
        <v>0</v>
      </c>
      <c r="B1750">
        <f>Table4[[#This Row],[Column2]]</f>
        <v>0</v>
      </c>
      <c r="L1750"/>
    </row>
    <row r="1751" spans="1:12" ht="22.5" customHeight="1">
      <c r="A1751">
        <f>Table4[[#This Row],[Column1]]</f>
        <v>0</v>
      </c>
      <c r="B1751">
        <f>Table4[[#This Row],[Column2]]</f>
        <v>0</v>
      </c>
      <c r="L1751"/>
    </row>
    <row r="1752" spans="1:12" ht="22.5" customHeight="1">
      <c r="A1752">
        <f>Table4[[#This Row],[Column1]]</f>
        <v>0</v>
      </c>
      <c r="B1752">
        <f>Table4[[#This Row],[Column2]]</f>
        <v>0</v>
      </c>
      <c r="L1752"/>
    </row>
    <row r="1753" spans="1:12" ht="22.5" customHeight="1">
      <c r="A1753">
        <f>Table4[[#This Row],[Column1]]</f>
        <v>0</v>
      </c>
      <c r="B1753">
        <f>Table4[[#This Row],[Column2]]</f>
        <v>0</v>
      </c>
      <c r="L1753"/>
    </row>
    <row r="1754" spans="1:12" ht="22.5" customHeight="1">
      <c r="A1754">
        <f>Table4[[#This Row],[Column1]]</f>
        <v>0</v>
      </c>
      <c r="B1754">
        <f>Table4[[#This Row],[Column2]]</f>
        <v>0</v>
      </c>
      <c r="L1754"/>
    </row>
    <row r="1755" spans="1:12" ht="22.5" customHeight="1">
      <c r="A1755">
        <f>Table4[[#This Row],[Column1]]</f>
        <v>0</v>
      </c>
      <c r="B1755">
        <f>Table4[[#This Row],[Column2]]</f>
        <v>0</v>
      </c>
      <c r="L1755"/>
    </row>
    <row r="1756" spans="1:12" ht="22.5" customHeight="1">
      <c r="A1756">
        <f>Table4[[#This Row],[Column1]]</f>
        <v>0</v>
      </c>
      <c r="B1756">
        <f>Table4[[#This Row],[Column2]]</f>
        <v>0</v>
      </c>
      <c r="L1756"/>
    </row>
    <row r="1757" spans="1:12" ht="22.5" customHeight="1">
      <c r="A1757">
        <f>Table4[[#This Row],[Column1]]</f>
        <v>0</v>
      </c>
      <c r="B1757">
        <f>Table4[[#This Row],[Column2]]</f>
        <v>0</v>
      </c>
      <c r="L1757"/>
    </row>
    <row r="1758" spans="1:12" ht="22.5" customHeight="1">
      <c r="A1758">
        <f>Table4[[#This Row],[Column1]]</f>
        <v>0</v>
      </c>
      <c r="B1758">
        <f>Table4[[#This Row],[Column2]]</f>
        <v>0</v>
      </c>
      <c r="L1758"/>
    </row>
    <row r="1759" spans="1:12" ht="22.5" customHeight="1">
      <c r="A1759">
        <f>Table4[[#This Row],[Column1]]</f>
        <v>0</v>
      </c>
      <c r="B1759">
        <f>Table4[[#This Row],[Column2]]</f>
        <v>0</v>
      </c>
      <c r="L1759"/>
    </row>
    <row r="1760" spans="1:12" ht="22.5" customHeight="1">
      <c r="A1760">
        <f>Table4[[#This Row],[Column1]]</f>
        <v>0</v>
      </c>
      <c r="B1760">
        <f>Table4[[#This Row],[Column2]]</f>
        <v>0</v>
      </c>
      <c r="L1760"/>
    </row>
    <row r="1761" spans="1:12" ht="22.5" customHeight="1">
      <c r="A1761">
        <f>Table4[[#This Row],[Column1]]</f>
        <v>0</v>
      </c>
      <c r="B1761">
        <f>Table4[[#This Row],[Column2]]</f>
        <v>0</v>
      </c>
      <c r="L1761"/>
    </row>
    <row r="1762" spans="1:12" ht="22.5" customHeight="1">
      <c r="A1762">
        <f>Table4[[#This Row],[Column1]]</f>
        <v>0</v>
      </c>
      <c r="B1762">
        <f>Table4[[#This Row],[Column2]]</f>
        <v>0</v>
      </c>
      <c r="L1762"/>
    </row>
    <row r="1763" spans="1:12" ht="22.5" customHeight="1">
      <c r="A1763">
        <f>Table4[[#This Row],[Column1]]</f>
        <v>0</v>
      </c>
      <c r="B1763">
        <f>Table4[[#This Row],[Column2]]</f>
        <v>0</v>
      </c>
      <c r="L1763"/>
    </row>
    <row r="1764" spans="1:12" ht="22.5" customHeight="1">
      <c r="A1764">
        <f>Table4[[#This Row],[Column1]]</f>
        <v>0</v>
      </c>
      <c r="B1764">
        <f>Table4[[#This Row],[Column2]]</f>
        <v>0</v>
      </c>
      <c r="L1764"/>
    </row>
    <row r="1765" spans="1:12" ht="22.5" customHeight="1">
      <c r="A1765">
        <f>Table4[[#This Row],[Column1]]</f>
        <v>0</v>
      </c>
      <c r="B1765">
        <f>Table4[[#This Row],[Column2]]</f>
        <v>0</v>
      </c>
      <c r="L1765"/>
    </row>
    <row r="1766" spans="1:12" ht="22.5" customHeight="1">
      <c r="A1766">
        <f>Table4[[#This Row],[Column1]]</f>
        <v>0</v>
      </c>
      <c r="B1766">
        <f>Table4[[#This Row],[Column2]]</f>
        <v>0</v>
      </c>
      <c r="L1766"/>
    </row>
    <row r="1767" spans="1:12" ht="22.5" customHeight="1">
      <c r="A1767">
        <f>Table4[[#This Row],[Column1]]</f>
        <v>0</v>
      </c>
      <c r="B1767">
        <f>Table4[[#This Row],[Column2]]</f>
        <v>0</v>
      </c>
      <c r="L1767"/>
    </row>
    <row r="1768" spans="1:12" ht="22.5" customHeight="1">
      <c r="A1768">
        <f>Table4[[#This Row],[Column1]]</f>
        <v>0</v>
      </c>
      <c r="B1768">
        <f>Table4[[#This Row],[Column2]]</f>
        <v>0</v>
      </c>
      <c r="L1768"/>
    </row>
    <row r="1769" spans="1:12" ht="22.5" customHeight="1">
      <c r="A1769">
        <f>Table4[[#This Row],[Column1]]</f>
        <v>0</v>
      </c>
      <c r="B1769">
        <f>Table4[[#This Row],[Column2]]</f>
        <v>0</v>
      </c>
      <c r="L1769"/>
    </row>
    <row r="1770" spans="1:12" ht="22.5" customHeight="1">
      <c r="A1770">
        <f>Table4[[#This Row],[Column1]]</f>
        <v>0</v>
      </c>
      <c r="B1770">
        <f>Table4[[#This Row],[Column2]]</f>
        <v>0</v>
      </c>
      <c r="L1770"/>
    </row>
    <row r="1771" spans="1:12" ht="22.5" customHeight="1">
      <c r="A1771">
        <f>Table4[[#This Row],[Column1]]</f>
        <v>0</v>
      </c>
      <c r="B1771">
        <f>Table4[[#This Row],[Column2]]</f>
        <v>0</v>
      </c>
      <c r="L1771"/>
    </row>
    <row r="1772" spans="1:12" ht="22.5" customHeight="1">
      <c r="A1772">
        <f>Table4[[#This Row],[Column1]]</f>
        <v>0</v>
      </c>
      <c r="B1772">
        <f>Table4[[#This Row],[Column2]]</f>
        <v>0</v>
      </c>
      <c r="L1772"/>
    </row>
    <row r="1773" spans="1:12" ht="22.5" customHeight="1">
      <c r="A1773">
        <f>Table4[[#This Row],[Column1]]</f>
        <v>0</v>
      </c>
      <c r="B1773">
        <f>Table4[[#This Row],[Column2]]</f>
        <v>0</v>
      </c>
      <c r="L1773"/>
    </row>
    <row r="1774" spans="1:12" ht="22.5" customHeight="1">
      <c r="A1774">
        <f>Table4[[#This Row],[Column1]]</f>
        <v>0</v>
      </c>
      <c r="B1774">
        <f>Table4[[#This Row],[Column2]]</f>
        <v>0</v>
      </c>
      <c r="L1774"/>
    </row>
    <row r="1775" spans="1:12" ht="22.5" customHeight="1">
      <c r="A1775">
        <f>Table4[[#This Row],[Column1]]</f>
        <v>0</v>
      </c>
      <c r="B1775">
        <f>Table4[[#This Row],[Column2]]</f>
        <v>0</v>
      </c>
      <c r="L1775"/>
    </row>
    <row r="1776" spans="1:12" ht="22.5" customHeight="1">
      <c r="A1776">
        <f>Table4[[#This Row],[Column1]]</f>
        <v>0</v>
      </c>
      <c r="B1776">
        <f>Table4[[#This Row],[Column2]]</f>
        <v>0</v>
      </c>
      <c r="L1776"/>
    </row>
    <row r="1777" spans="1:12" ht="22.5" customHeight="1">
      <c r="A1777">
        <f>Table4[[#This Row],[Column1]]</f>
        <v>0</v>
      </c>
      <c r="B1777">
        <f>Table4[[#This Row],[Column2]]</f>
        <v>0</v>
      </c>
      <c r="L1777"/>
    </row>
    <row r="1778" spans="1:12" ht="22.5" customHeight="1">
      <c r="A1778">
        <f>Table4[[#This Row],[Column1]]</f>
        <v>0</v>
      </c>
      <c r="B1778">
        <f>Table4[[#This Row],[Column2]]</f>
        <v>0</v>
      </c>
      <c r="L1778"/>
    </row>
    <row r="1779" spans="1:12" ht="22.5" customHeight="1">
      <c r="A1779">
        <f>Table4[[#This Row],[Column1]]</f>
        <v>0</v>
      </c>
      <c r="B1779">
        <f>Table4[[#This Row],[Column2]]</f>
        <v>0</v>
      </c>
      <c r="L1779"/>
    </row>
    <row r="1780" spans="1:12" ht="22.5" customHeight="1">
      <c r="A1780">
        <f>Table4[[#This Row],[Column1]]</f>
        <v>0</v>
      </c>
      <c r="B1780">
        <f>Table4[[#This Row],[Column2]]</f>
        <v>0</v>
      </c>
      <c r="L1780"/>
    </row>
    <row r="1781" spans="1:12" ht="22.5" customHeight="1">
      <c r="A1781">
        <f>Table4[[#This Row],[Column1]]</f>
        <v>0</v>
      </c>
      <c r="B1781">
        <f>Table4[[#This Row],[Column2]]</f>
        <v>0</v>
      </c>
      <c r="L1781"/>
    </row>
    <row r="1782" spans="1:12" ht="22.5" customHeight="1">
      <c r="A1782">
        <f>Table4[[#This Row],[Column1]]</f>
        <v>0</v>
      </c>
      <c r="B1782">
        <f>Table4[[#This Row],[Column2]]</f>
        <v>0</v>
      </c>
      <c r="L1782"/>
    </row>
    <row r="1783" spans="1:12" ht="22.5" customHeight="1">
      <c r="A1783">
        <f>Table4[[#This Row],[Column1]]</f>
        <v>0</v>
      </c>
      <c r="B1783">
        <f>Table4[[#This Row],[Column2]]</f>
        <v>0</v>
      </c>
      <c r="L1783"/>
    </row>
    <row r="1784" spans="1:12" ht="22.5" customHeight="1">
      <c r="A1784">
        <f>Table4[[#This Row],[Column1]]</f>
        <v>0</v>
      </c>
      <c r="B1784">
        <f>Table4[[#This Row],[Column2]]</f>
        <v>0</v>
      </c>
      <c r="L1784"/>
    </row>
    <row r="1785" spans="1:12" ht="22.5" customHeight="1">
      <c r="A1785">
        <f>Table4[[#This Row],[Column1]]</f>
        <v>0</v>
      </c>
      <c r="B1785">
        <f>Table4[[#This Row],[Column2]]</f>
        <v>0</v>
      </c>
      <c r="L1785"/>
    </row>
    <row r="1786" spans="1:12" ht="22.5" customHeight="1">
      <c r="A1786">
        <f>Table4[[#This Row],[Column1]]</f>
        <v>0</v>
      </c>
      <c r="B1786">
        <f>Table4[[#This Row],[Column2]]</f>
        <v>0</v>
      </c>
      <c r="L1786"/>
    </row>
    <row r="1787" spans="1:12" ht="22.5" customHeight="1">
      <c r="A1787">
        <f>Table4[[#This Row],[Column1]]</f>
        <v>0</v>
      </c>
      <c r="B1787">
        <f>Table4[[#This Row],[Column2]]</f>
        <v>0</v>
      </c>
      <c r="L1787"/>
    </row>
    <row r="1788" spans="1:12" ht="22.5" customHeight="1">
      <c r="A1788">
        <f>Table4[[#This Row],[Column1]]</f>
        <v>0</v>
      </c>
      <c r="B1788">
        <f>Table4[[#This Row],[Column2]]</f>
        <v>0</v>
      </c>
      <c r="L1788"/>
    </row>
    <row r="1789" spans="1:12" ht="22.5" customHeight="1">
      <c r="A1789">
        <f>Table4[[#This Row],[Column1]]</f>
        <v>0</v>
      </c>
      <c r="B1789">
        <f>Table4[[#This Row],[Column2]]</f>
        <v>0</v>
      </c>
      <c r="L1789"/>
    </row>
    <row r="1790" spans="1:12" ht="22.5" customHeight="1">
      <c r="A1790">
        <f>Table4[[#This Row],[Column1]]</f>
        <v>0</v>
      </c>
      <c r="B1790">
        <f>Table4[[#This Row],[Column2]]</f>
        <v>0</v>
      </c>
      <c r="L1790"/>
    </row>
    <row r="1791" spans="1:12" ht="22.5" customHeight="1">
      <c r="A1791">
        <f>Table4[[#This Row],[Column1]]</f>
        <v>0</v>
      </c>
      <c r="B1791">
        <f>Table4[[#This Row],[Column2]]</f>
        <v>0</v>
      </c>
      <c r="L1791"/>
    </row>
    <row r="1792" spans="1:12" ht="22.5" customHeight="1">
      <c r="A1792">
        <f>Table4[[#This Row],[Column1]]</f>
        <v>0</v>
      </c>
      <c r="B1792">
        <f>Table4[[#This Row],[Column2]]</f>
        <v>0</v>
      </c>
      <c r="L1792"/>
    </row>
    <row r="1793" spans="1:12" ht="22.5" customHeight="1">
      <c r="A1793">
        <f>Table4[[#This Row],[Column1]]</f>
        <v>0</v>
      </c>
      <c r="B1793">
        <f>Table4[[#This Row],[Column2]]</f>
        <v>0</v>
      </c>
      <c r="L1793"/>
    </row>
    <row r="1794" spans="1:12" ht="22.5" customHeight="1">
      <c r="A1794">
        <f>Table4[[#This Row],[Column1]]</f>
        <v>0</v>
      </c>
      <c r="B1794">
        <f>Table4[[#This Row],[Column2]]</f>
        <v>0</v>
      </c>
      <c r="L1794"/>
    </row>
    <row r="1795" spans="1:12" ht="22.5" customHeight="1">
      <c r="A1795">
        <f>Table4[[#This Row],[Column1]]</f>
        <v>0</v>
      </c>
      <c r="B1795">
        <f>Table4[[#This Row],[Column2]]</f>
        <v>0</v>
      </c>
      <c r="L1795"/>
    </row>
    <row r="1796" spans="1:12" ht="22.5" customHeight="1">
      <c r="A1796">
        <f>Table4[[#This Row],[Column1]]</f>
        <v>0</v>
      </c>
      <c r="B1796">
        <f>Table4[[#This Row],[Column2]]</f>
        <v>0</v>
      </c>
      <c r="L1796"/>
    </row>
    <row r="1797" spans="1:12" ht="22.5" customHeight="1">
      <c r="A1797">
        <f>Table4[[#This Row],[Column1]]</f>
        <v>0</v>
      </c>
      <c r="B1797">
        <f>Table4[[#This Row],[Column2]]</f>
        <v>0</v>
      </c>
      <c r="L1797"/>
    </row>
    <row r="1798" spans="1:12" ht="22.5" customHeight="1">
      <c r="A1798">
        <f>Table4[[#This Row],[Column1]]</f>
        <v>0</v>
      </c>
      <c r="B1798">
        <f>Table4[[#This Row],[Column2]]</f>
        <v>0</v>
      </c>
      <c r="L1798"/>
    </row>
    <row r="1799" spans="1:12" ht="22.5" customHeight="1">
      <c r="A1799">
        <f>Table4[[#This Row],[Column1]]</f>
        <v>0</v>
      </c>
      <c r="B1799">
        <f>Table4[[#This Row],[Column2]]</f>
        <v>0</v>
      </c>
      <c r="L1799"/>
    </row>
    <row r="1800" spans="1:12" ht="22.5" customHeight="1">
      <c r="A1800">
        <f>Table4[[#This Row],[Column1]]</f>
        <v>0</v>
      </c>
      <c r="B1800">
        <f>Table4[[#This Row],[Column2]]</f>
        <v>0</v>
      </c>
      <c r="L1800"/>
    </row>
    <row r="1801" spans="1:12" ht="22.5" customHeight="1">
      <c r="A1801">
        <f>Table4[[#This Row],[Column1]]</f>
        <v>0</v>
      </c>
      <c r="B1801">
        <f>Table4[[#This Row],[Column2]]</f>
        <v>0</v>
      </c>
      <c r="L1801"/>
    </row>
    <row r="1802" spans="1:12" ht="22.5" customHeight="1">
      <c r="A1802">
        <f>Table4[[#This Row],[Column1]]</f>
        <v>0</v>
      </c>
      <c r="B1802">
        <f>Table4[[#This Row],[Column2]]</f>
        <v>0</v>
      </c>
      <c r="L1802"/>
    </row>
    <row r="1803" spans="1:12" ht="22.5" customHeight="1">
      <c r="A1803">
        <f>Table4[[#This Row],[Column1]]</f>
        <v>0</v>
      </c>
      <c r="B1803">
        <f>Table4[[#This Row],[Column2]]</f>
        <v>0</v>
      </c>
      <c r="L1803"/>
    </row>
    <row r="1804" spans="1:12" ht="22.5" customHeight="1">
      <c r="A1804">
        <f>Table4[[#This Row],[Column1]]</f>
        <v>0</v>
      </c>
      <c r="B1804">
        <f>Table4[[#This Row],[Column2]]</f>
        <v>0</v>
      </c>
      <c r="L1804"/>
    </row>
    <row r="1805" spans="1:12" ht="22.5" customHeight="1">
      <c r="A1805">
        <f>Table4[[#This Row],[Column1]]</f>
        <v>0</v>
      </c>
      <c r="B1805">
        <f>Table4[[#This Row],[Column2]]</f>
        <v>0</v>
      </c>
      <c r="L1805"/>
    </row>
    <row r="1806" spans="1:12" ht="22.5" customHeight="1">
      <c r="A1806">
        <f>Table4[[#This Row],[Column1]]</f>
        <v>0</v>
      </c>
      <c r="B1806">
        <f>Table4[[#This Row],[Column2]]</f>
        <v>0</v>
      </c>
      <c r="L1806"/>
    </row>
    <row r="1807" spans="1:12" ht="22.5" customHeight="1">
      <c r="A1807">
        <f>Table4[[#This Row],[Column1]]</f>
        <v>0</v>
      </c>
      <c r="B1807">
        <f>Table4[[#This Row],[Column2]]</f>
        <v>0</v>
      </c>
      <c r="L1807"/>
    </row>
    <row r="1808" spans="1:12" ht="22.5" customHeight="1">
      <c r="A1808">
        <f>Table4[[#This Row],[Column1]]</f>
        <v>0</v>
      </c>
      <c r="B1808">
        <f>Table4[[#This Row],[Column2]]</f>
        <v>0</v>
      </c>
      <c r="L1808"/>
    </row>
    <row r="1809" spans="1:12" ht="22.5" customHeight="1">
      <c r="A1809">
        <f>Table4[[#This Row],[Column1]]</f>
        <v>0</v>
      </c>
      <c r="B1809">
        <f>Table4[[#This Row],[Column2]]</f>
        <v>0</v>
      </c>
      <c r="L1809"/>
    </row>
    <row r="1810" spans="1:12" ht="22.5" customHeight="1">
      <c r="A1810">
        <f>Table4[[#This Row],[Column1]]</f>
        <v>0</v>
      </c>
      <c r="B1810">
        <f>Table4[[#This Row],[Column2]]</f>
        <v>0</v>
      </c>
      <c r="L1810"/>
    </row>
    <row r="1811" spans="1:12" ht="22.5" customHeight="1">
      <c r="A1811">
        <f>Table4[[#This Row],[Column1]]</f>
        <v>0</v>
      </c>
      <c r="B1811">
        <f>Table4[[#This Row],[Column2]]</f>
        <v>0</v>
      </c>
      <c r="L1811"/>
    </row>
    <row r="1812" spans="1:12" ht="22.5" customHeight="1">
      <c r="A1812">
        <f>Table4[[#This Row],[Column1]]</f>
        <v>0</v>
      </c>
      <c r="B1812">
        <f>Table4[[#This Row],[Column2]]</f>
        <v>0</v>
      </c>
      <c r="L1812"/>
    </row>
    <row r="1813" spans="1:12" ht="22.5" customHeight="1">
      <c r="A1813">
        <f>Table4[[#This Row],[Column1]]</f>
        <v>0</v>
      </c>
      <c r="B1813">
        <f>Table4[[#This Row],[Column2]]</f>
        <v>0</v>
      </c>
      <c r="L1813"/>
    </row>
    <row r="1814" spans="1:12" ht="22.5" customHeight="1">
      <c r="A1814">
        <f>Table4[[#This Row],[Column1]]</f>
        <v>0</v>
      </c>
      <c r="B1814">
        <f>Table4[[#This Row],[Column2]]</f>
        <v>0</v>
      </c>
      <c r="L1814"/>
    </row>
    <row r="1815" spans="1:12" ht="22.5" customHeight="1">
      <c r="A1815">
        <f>Table4[[#This Row],[Column1]]</f>
        <v>0</v>
      </c>
      <c r="B1815">
        <f>Table4[[#This Row],[Column2]]</f>
        <v>0</v>
      </c>
      <c r="L1815"/>
    </row>
    <row r="1816" spans="1:12" ht="22.5" customHeight="1">
      <c r="A1816">
        <f>Table4[[#This Row],[Column1]]</f>
        <v>0</v>
      </c>
      <c r="B1816">
        <f>Table4[[#This Row],[Column2]]</f>
        <v>0</v>
      </c>
      <c r="L1816"/>
    </row>
    <row r="1817" spans="1:12" ht="22.5" customHeight="1">
      <c r="A1817">
        <f>Table4[[#This Row],[Column1]]</f>
        <v>0</v>
      </c>
      <c r="B1817">
        <f>Table4[[#This Row],[Column2]]</f>
        <v>0</v>
      </c>
      <c r="L1817"/>
    </row>
    <row r="1818" spans="1:12" ht="22.5" customHeight="1">
      <c r="A1818">
        <f>Table4[[#This Row],[Column1]]</f>
        <v>0</v>
      </c>
      <c r="B1818">
        <f>Table4[[#This Row],[Column2]]</f>
        <v>0</v>
      </c>
      <c r="L1818"/>
    </row>
    <row r="1819" spans="1:12" ht="22.5" customHeight="1">
      <c r="A1819">
        <f>Table4[[#This Row],[Column1]]</f>
        <v>0</v>
      </c>
      <c r="B1819">
        <f>Table4[[#This Row],[Column2]]</f>
        <v>0</v>
      </c>
      <c r="L1819"/>
    </row>
    <row r="1820" spans="1:12" ht="22.5" customHeight="1">
      <c r="A1820">
        <f>Table4[[#This Row],[Column1]]</f>
        <v>0</v>
      </c>
      <c r="B1820">
        <f>Table4[[#This Row],[Column2]]</f>
        <v>0</v>
      </c>
      <c r="L1820"/>
    </row>
    <row r="1821" spans="1:12" ht="22.5" customHeight="1">
      <c r="A1821">
        <f>Table4[[#This Row],[Column1]]</f>
        <v>0</v>
      </c>
      <c r="B1821">
        <f>Table4[[#This Row],[Column2]]</f>
        <v>0</v>
      </c>
      <c r="L1821"/>
    </row>
    <row r="1822" spans="1:12" ht="22.5" customHeight="1">
      <c r="A1822">
        <f>Table4[[#This Row],[Column1]]</f>
        <v>0</v>
      </c>
      <c r="B1822">
        <f>Table4[[#This Row],[Column2]]</f>
        <v>0</v>
      </c>
      <c r="L1822"/>
    </row>
    <row r="1823" spans="1:12" ht="22.5" customHeight="1">
      <c r="A1823">
        <f>Table4[[#This Row],[Column1]]</f>
        <v>0</v>
      </c>
      <c r="B1823">
        <f>Table4[[#This Row],[Column2]]</f>
        <v>0</v>
      </c>
      <c r="L1823"/>
    </row>
    <row r="1824" spans="1:12" ht="22.5" customHeight="1">
      <c r="A1824">
        <f>Table4[[#This Row],[Column1]]</f>
        <v>0</v>
      </c>
      <c r="B1824">
        <f>Table4[[#This Row],[Column2]]</f>
        <v>0</v>
      </c>
      <c r="L1824"/>
    </row>
    <row r="1825" spans="1:12" ht="22.5" customHeight="1">
      <c r="A1825">
        <f>Table4[[#This Row],[Column1]]</f>
        <v>0</v>
      </c>
      <c r="B1825">
        <f>Table4[[#This Row],[Column2]]</f>
        <v>0</v>
      </c>
      <c r="L1825"/>
    </row>
    <row r="1826" spans="1:12" ht="22.5" customHeight="1">
      <c r="A1826">
        <f>Table4[[#This Row],[Column1]]</f>
        <v>0</v>
      </c>
      <c r="B1826">
        <f>Table4[[#This Row],[Column2]]</f>
        <v>0</v>
      </c>
      <c r="L1826"/>
    </row>
    <row r="1827" spans="1:12" ht="22.5" customHeight="1">
      <c r="A1827">
        <f>Table4[[#This Row],[Column1]]</f>
        <v>0</v>
      </c>
      <c r="B1827">
        <f>Table4[[#This Row],[Column2]]</f>
        <v>0</v>
      </c>
      <c r="L1827"/>
    </row>
    <row r="1828" spans="1:12" ht="22.5" customHeight="1">
      <c r="A1828">
        <f>Table4[[#This Row],[Column1]]</f>
        <v>0</v>
      </c>
      <c r="B1828">
        <f>Table4[[#This Row],[Column2]]</f>
        <v>0</v>
      </c>
      <c r="L1828"/>
    </row>
    <row r="1829" spans="1:12" ht="22.5" customHeight="1">
      <c r="A1829">
        <f>Table4[[#This Row],[Column1]]</f>
        <v>0</v>
      </c>
      <c r="B1829">
        <f>Table4[[#This Row],[Column2]]</f>
        <v>0</v>
      </c>
      <c r="L1829"/>
    </row>
    <row r="1830" spans="1:12" ht="22.5" customHeight="1">
      <c r="A1830">
        <f>Table4[[#This Row],[Column1]]</f>
        <v>0</v>
      </c>
      <c r="B1830">
        <f>Table4[[#This Row],[Column2]]</f>
        <v>0</v>
      </c>
      <c r="L1830"/>
    </row>
    <row r="1831" spans="1:12" ht="22.5" customHeight="1">
      <c r="A1831">
        <f>Table4[[#This Row],[Column1]]</f>
        <v>0</v>
      </c>
      <c r="B1831">
        <f>Table4[[#This Row],[Column2]]</f>
        <v>0</v>
      </c>
      <c r="L1831"/>
    </row>
    <row r="1832" spans="1:12" ht="22.5" customHeight="1">
      <c r="A1832">
        <f>Table4[[#This Row],[Column1]]</f>
        <v>0</v>
      </c>
      <c r="B1832">
        <f>Table4[[#This Row],[Column2]]</f>
        <v>0</v>
      </c>
      <c r="L1832"/>
    </row>
    <row r="1833" spans="1:12" ht="22.5" customHeight="1">
      <c r="A1833">
        <f>Table4[[#This Row],[Column1]]</f>
        <v>0</v>
      </c>
      <c r="B1833">
        <f>Table4[[#This Row],[Column2]]</f>
        <v>0</v>
      </c>
      <c r="L1833"/>
    </row>
    <row r="1834" spans="1:12" ht="22.5" customHeight="1">
      <c r="A1834">
        <f>Table4[[#This Row],[Column1]]</f>
        <v>0</v>
      </c>
      <c r="B1834">
        <f>Table4[[#This Row],[Column2]]</f>
        <v>0</v>
      </c>
      <c r="L1834"/>
    </row>
    <row r="1835" spans="1:12" ht="22.5" customHeight="1">
      <c r="A1835">
        <f>Table4[[#This Row],[Column1]]</f>
        <v>0</v>
      </c>
      <c r="B1835">
        <f>Table4[[#This Row],[Column2]]</f>
        <v>0</v>
      </c>
      <c r="L1835"/>
    </row>
    <row r="1836" spans="1:12" ht="22.5" customHeight="1">
      <c r="A1836">
        <f>Table4[[#This Row],[Column1]]</f>
        <v>0</v>
      </c>
      <c r="B1836">
        <f>Table4[[#This Row],[Column2]]</f>
        <v>0</v>
      </c>
      <c r="L1836"/>
    </row>
    <row r="1837" spans="1:12" ht="22.5" customHeight="1">
      <c r="A1837">
        <f>Table4[[#This Row],[Column1]]</f>
        <v>0</v>
      </c>
      <c r="B1837">
        <f>Table4[[#This Row],[Column2]]</f>
        <v>0</v>
      </c>
      <c r="L1837"/>
    </row>
    <row r="1838" spans="1:12" ht="22.5" customHeight="1">
      <c r="A1838">
        <f>Table4[[#This Row],[Column1]]</f>
        <v>0</v>
      </c>
      <c r="B1838">
        <f>Table4[[#This Row],[Column2]]</f>
        <v>0</v>
      </c>
      <c r="L1838"/>
    </row>
    <row r="1839" spans="1:12" ht="22.5" customHeight="1">
      <c r="A1839">
        <f>Table4[[#This Row],[Column1]]</f>
        <v>0</v>
      </c>
      <c r="B1839">
        <f>Table4[[#This Row],[Column2]]</f>
        <v>0</v>
      </c>
      <c r="L1839"/>
    </row>
    <row r="1840" spans="1:12" ht="22.5" customHeight="1">
      <c r="A1840">
        <f>Table4[[#This Row],[Column1]]</f>
        <v>0</v>
      </c>
      <c r="B1840">
        <f>Table4[[#This Row],[Column2]]</f>
        <v>0</v>
      </c>
      <c r="L1840"/>
    </row>
    <row r="1841" spans="1:12" ht="22.5" customHeight="1">
      <c r="A1841">
        <f>Table4[[#This Row],[Column1]]</f>
        <v>0</v>
      </c>
      <c r="B1841">
        <f>Table4[[#This Row],[Column2]]</f>
        <v>0</v>
      </c>
      <c r="L1841"/>
    </row>
    <row r="1842" spans="1:12" ht="22.5" customHeight="1">
      <c r="A1842">
        <f>Table4[[#This Row],[Column1]]</f>
        <v>0</v>
      </c>
      <c r="B1842">
        <f>Table4[[#This Row],[Column2]]</f>
        <v>0</v>
      </c>
      <c r="L1842"/>
    </row>
    <row r="1843" spans="1:12" ht="22.5" customHeight="1">
      <c r="A1843">
        <f>Table4[[#This Row],[Column1]]</f>
        <v>0</v>
      </c>
      <c r="B1843">
        <f>Table4[[#This Row],[Column2]]</f>
        <v>0</v>
      </c>
      <c r="L1843"/>
    </row>
    <row r="1844" spans="1:12" ht="22.5" customHeight="1">
      <c r="A1844">
        <f>Table4[[#This Row],[Column1]]</f>
        <v>0</v>
      </c>
      <c r="B1844">
        <f>Table4[[#This Row],[Column2]]</f>
        <v>0</v>
      </c>
      <c r="L1844"/>
    </row>
    <row r="1845" spans="1:12" ht="22.5" customHeight="1">
      <c r="A1845">
        <f>Table4[[#This Row],[Column1]]</f>
        <v>0</v>
      </c>
      <c r="B1845">
        <f>Table4[[#This Row],[Column2]]</f>
        <v>0</v>
      </c>
      <c r="L1845"/>
    </row>
    <row r="1846" spans="1:12" ht="22.5" customHeight="1">
      <c r="A1846">
        <f>Table4[[#This Row],[Column1]]</f>
        <v>0</v>
      </c>
      <c r="B1846">
        <f>Table4[[#This Row],[Column2]]</f>
        <v>0</v>
      </c>
      <c r="L1846"/>
    </row>
    <row r="1847" spans="1:12" ht="22.5" customHeight="1">
      <c r="A1847">
        <f>Table4[[#This Row],[Column1]]</f>
        <v>0</v>
      </c>
      <c r="B1847">
        <f>Table4[[#This Row],[Column2]]</f>
        <v>0</v>
      </c>
      <c r="L1847"/>
    </row>
    <row r="1848" spans="1:12" ht="22.5" customHeight="1">
      <c r="A1848">
        <f>Table4[[#This Row],[Column1]]</f>
        <v>0</v>
      </c>
      <c r="B1848">
        <f>Table4[[#This Row],[Column2]]</f>
        <v>0</v>
      </c>
      <c r="L1848"/>
    </row>
    <row r="1849" spans="1:12" ht="22.5" customHeight="1">
      <c r="A1849">
        <f>Table4[[#This Row],[Column1]]</f>
        <v>0</v>
      </c>
      <c r="B1849">
        <f>Table4[[#This Row],[Column2]]</f>
        <v>0</v>
      </c>
      <c r="L1849"/>
    </row>
    <row r="1850" spans="1:12" ht="22.5" customHeight="1">
      <c r="A1850">
        <f>Table4[[#This Row],[Column1]]</f>
        <v>0</v>
      </c>
      <c r="B1850">
        <f>Table4[[#This Row],[Column2]]</f>
        <v>0</v>
      </c>
      <c r="L1850"/>
    </row>
    <row r="1851" spans="1:12" ht="22.5" customHeight="1">
      <c r="A1851">
        <f>Table4[[#This Row],[Column1]]</f>
        <v>0</v>
      </c>
      <c r="B1851">
        <f>Table4[[#This Row],[Column2]]</f>
        <v>0</v>
      </c>
      <c r="L1851"/>
    </row>
    <row r="1852" spans="1:12" ht="22.5" customHeight="1">
      <c r="A1852">
        <f>Table4[[#This Row],[Column1]]</f>
        <v>0</v>
      </c>
      <c r="B1852">
        <f>Table4[[#This Row],[Column2]]</f>
        <v>0</v>
      </c>
      <c r="L1852"/>
    </row>
    <row r="1853" spans="1:12" ht="22.5" customHeight="1">
      <c r="A1853">
        <f>Table4[[#This Row],[Column1]]</f>
        <v>0</v>
      </c>
      <c r="B1853">
        <f>Table4[[#This Row],[Column2]]</f>
        <v>0</v>
      </c>
      <c r="L1853"/>
    </row>
    <row r="1854" spans="1:12" ht="22.5" customHeight="1">
      <c r="A1854">
        <f>Table4[[#This Row],[Column1]]</f>
        <v>0</v>
      </c>
      <c r="B1854">
        <f>Table4[[#This Row],[Column2]]</f>
        <v>0</v>
      </c>
      <c r="L1854"/>
    </row>
    <row r="1855" spans="1:12" ht="22.5" customHeight="1">
      <c r="A1855">
        <f>Table4[[#This Row],[Column1]]</f>
        <v>0</v>
      </c>
      <c r="B1855">
        <f>Table4[[#This Row],[Column2]]</f>
        <v>0</v>
      </c>
      <c r="L1855"/>
    </row>
    <row r="1856" spans="1:12" ht="22.5" customHeight="1">
      <c r="A1856">
        <f>Table4[[#This Row],[Column1]]</f>
        <v>0</v>
      </c>
      <c r="B1856">
        <f>Table4[[#This Row],[Column2]]</f>
        <v>0</v>
      </c>
      <c r="L1856"/>
    </row>
    <row r="1857" spans="1:12" ht="22.5" customHeight="1">
      <c r="A1857">
        <f>Table4[[#This Row],[Column1]]</f>
        <v>0</v>
      </c>
      <c r="B1857">
        <f>Table4[[#This Row],[Column2]]</f>
        <v>0</v>
      </c>
      <c r="L1857"/>
    </row>
    <row r="1858" spans="1:12" ht="22.5" customHeight="1">
      <c r="A1858">
        <f>Table4[[#This Row],[Column1]]</f>
        <v>0</v>
      </c>
      <c r="B1858">
        <f>Table4[[#This Row],[Column2]]</f>
        <v>0</v>
      </c>
      <c r="L1858"/>
    </row>
    <row r="1859" spans="1:12" ht="22.5" customHeight="1">
      <c r="A1859">
        <f>Table4[[#This Row],[Column1]]</f>
        <v>0</v>
      </c>
      <c r="B1859">
        <f>Table4[[#This Row],[Column2]]</f>
        <v>0</v>
      </c>
      <c r="L1859"/>
    </row>
    <row r="1860" spans="1:12" ht="22.5" customHeight="1">
      <c r="A1860">
        <f>Table4[[#This Row],[Column1]]</f>
        <v>0</v>
      </c>
      <c r="B1860">
        <f>Table4[[#This Row],[Column2]]</f>
        <v>0</v>
      </c>
      <c r="L1860"/>
    </row>
    <row r="1861" spans="1:12" ht="22.5" customHeight="1">
      <c r="A1861">
        <f>Table4[[#This Row],[Column1]]</f>
        <v>0</v>
      </c>
      <c r="B1861">
        <f>Table4[[#This Row],[Column2]]</f>
        <v>0</v>
      </c>
      <c r="L1861"/>
    </row>
    <row r="1862" spans="1:12" ht="22.5" customHeight="1">
      <c r="A1862">
        <f>Table4[[#This Row],[Column1]]</f>
        <v>0</v>
      </c>
      <c r="B1862">
        <f>Table4[[#This Row],[Column2]]</f>
        <v>0</v>
      </c>
      <c r="L1862"/>
    </row>
    <row r="1863" spans="1:12" ht="22.5" customHeight="1">
      <c r="A1863">
        <f>Table4[[#This Row],[Column1]]</f>
        <v>0</v>
      </c>
      <c r="B1863">
        <f>Table4[[#This Row],[Column2]]</f>
        <v>0</v>
      </c>
      <c r="L1863"/>
    </row>
    <row r="1864" spans="1:12" ht="22.5" customHeight="1">
      <c r="A1864">
        <f>Table4[[#This Row],[Column1]]</f>
        <v>0</v>
      </c>
      <c r="B1864">
        <f>Table4[[#This Row],[Column2]]</f>
        <v>0</v>
      </c>
      <c r="L1864"/>
    </row>
    <row r="1865" spans="1:12" ht="22.5" customHeight="1">
      <c r="A1865">
        <f>Table4[[#This Row],[Column1]]</f>
        <v>0</v>
      </c>
      <c r="B1865">
        <f>Table4[[#This Row],[Column2]]</f>
        <v>0</v>
      </c>
      <c r="L1865"/>
    </row>
    <row r="1866" spans="1:12" ht="22.5" customHeight="1">
      <c r="A1866">
        <f>Table4[[#This Row],[Column1]]</f>
        <v>0</v>
      </c>
      <c r="B1866">
        <f>Table4[[#This Row],[Column2]]</f>
        <v>0</v>
      </c>
      <c r="L1866"/>
    </row>
    <row r="1867" spans="1:12" ht="22.5" customHeight="1">
      <c r="A1867">
        <f>Table4[[#This Row],[Column1]]</f>
        <v>0</v>
      </c>
      <c r="B1867">
        <f>Table4[[#This Row],[Column2]]</f>
        <v>0</v>
      </c>
      <c r="L1867"/>
    </row>
    <row r="1868" spans="1:12" ht="22.5" customHeight="1">
      <c r="A1868">
        <f>Table4[[#This Row],[Column1]]</f>
        <v>0</v>
      </c>
      <c r="B1868">
        <f>Table4[[#This Row],[Column2]]</f>
        <v>0</v>
      </c>
      <c r="L1868"/>
    </row>
    <row r="1869" spans="1:12" ht="22.5" customHeight="1">
      <c r="A1869">
        <f>Table4[[#This Row],[Column1]]</f>
        <v>0</v>
      </c>
      <c r="B1869">
        <f>Table4[[#This Row],[Column2]]</f>
        <v>0</v>
      </c>
      <c r="L1869"/>
    </row>
    <row r="1870" spans="1:12" ht="22.5" customHeight="1">
      <c r="A1870">
        <f>Table4[[#This Row],[Column1]]</f>
        <v>0</v>
      </c>
      <c r="B1870">
        <f>Table4[[#This Row],[Column2]]</f>
        <v>0</v>
      </c>
      <c r="L1870"/>
    </row>
    <row r="1871" spans="1:12" ht="22.5" customHeight="1">
      <c r="A1871">
        <f>Table4[[#This Row],[Column1]]</f>
        <v>0</v>
      </c>
      <c r="B1871">
        <f>Table4[[#This Row],[Column2]]</f>
        <v>0</v>
      </c>
      <c r="L1871"/>
    </row>
    <row r="1872" spans="1:12" ht="22.5" customHeight="1">
      <c r="A1872">
        <f>Table4[[#This Row],[Column1]]</f>
        <v>0</v>
      </c>
      <c r="B1872">
        <f>Table4[[#This Row],[Column2]]</f>
        <v>0</v>
      </c>
      <c r="L1872"/>
    </row>
    <row r="1873" spans="1:12" ht="22.5" customHeight="1">
      <c r="A1873">
        <f>Table4[[#This Row],[Column1]]</f>
        <v>0</v>
      </c>
      <c r="B1873">
        <f>Table4[[#This Row],[Column2]]</f>
        <v>0</v>
      </c>
      <c r="L1873"/>
    </row>
    <row r="1874" spans="1:12" ht="22.5" customHeight="1">
      <c r="A1874">
        <f>Table4[[#This Row],[Column1]]</f>
        <v>0</v>
      </c>
      <c r="B1874">
        <f>Table4[[#This Row],[Column2]]</f>
        <v>0</v>
      </c>
      <c r="L1874"/>
    </row>
    <row r="1875" spans="1:12" ht="22.5" customHeight="1">
      <c r="A1875">
        <f>Table4[[#This Row],[Column1]]</f>
        <v>0</v>
      </c>
      <c r="B1875">
        <f>Table4[[#This Row],[Column2]]</f>
        <v>0</v>
      </c>
      <c r="L1875"/>
    </row>
    <row r="1876" spans="1:12" ht="22.5" customHeight="1">
      <c r="A1876">
        <f>Table4[[#This Row],[Column1]]</f>
        <v>0</v>
      </c>
      <c r="B1876">
        <f>Table4[[#This Row],[Column2]]</f>
        <v>0</v>
      </c>
      <c r="L1876"/>
    </row>
    <row r="1877" spans="1:12" ht="22.5" customHeight="1">
      <c r="A1877">
        <f>Table4[[#This Row],[Column1]]</f>
        <v>0</v>
      </c>
      <c r="B1877">
        <f>Table4[[#This Row],[Column2]]</f>
        <v>0</v>
      </c>
      <c r="L1877"/>
    </row>
    <row r="1878" spans="1:12" ht="22.5" customHeight="1">
      <c r="A1878">
        <f>Table4[[#This Row],[Column1]]</f>
        <v>0</v>
      </c>
      <c r="B1878">
        <f>Table4[[#This Row],[Column2]]</f>
        <v>0</v>
      </c>
      <c r="L1878"/>
    </row>
    <row r="1879" spans="1:12" ht="22.5" customHeight="1">
      <c r="A1879">
        <f>Table4[[#This Row],[Column1]]</f>
        <v>0</v>
      </c>
      <c r="B1879">
        <f>Table4[[#This Row],[Column2]]</f>
        <v>0</v>
      </c>
      <c r="L1879"/>
    </row>
    <row r="1880" spans="1:12" ht="22.5" customHeight="1">
      <c r="A1880">
        <f>Table4[[#This Row],[Column1]]</f>
        <v>0</v>
      </c>
      <c r="B1880">
        <f>Table4[[#This Row],[Column2]]</f>
        <v>0</v>
      </c>
      <c r="L1880"/>
    </row>
    <row r="1881" spans="1:12" ht="22.5" customHeight="1">
      <c r="A1881">
        <f>Table4[[#This Row],[Column1]]</f>
        <v>0</v>
      </c>
      <c r="B1881">
        <f>Table4[[#This Row],[Column2]]</f>
        <v>0</v>
      </c>
      <c r="L1881"/>
    </row>
    <row r="1882" spans="1:12" ht="22.5" customHeight="1">
      <c r="A1882">
        <f>Table4[[#This Row],[Column1]]</f>
        <v>0</v>
      </c>
      <c r="B1882">
        <f>Table4[[#This Row],[Column2]]</f>
        <v>0</v>
      </c>
      <c r="L1882"/>
    </row>
    <row r="1883" spans="1:12" ht="22.5" customHeight="1">
      <c r="A1883">
        <f>Table4[[#This Row],[Column1]]</f>
        <v>0</v>
      </c>
      <c r="B1883">
        <f>Table4[[#This Row],[Column2]]</f>
        <v>0</v>
      </c>
      <c r="L1883"/>
    </row>
    <row r="1884" spans="1:12" ht="22.5" customHeight="1">
      <c r="A1884">
        <f>Table4[[#This Row],[Column1]]</f>
        <v>0</v>
      </c>
      <c r="B1884">
        <f>Table4[[#This Row],[Column2]]</f>
        <v>0</v>
      </c>
      <c r="L1884"/>
    </row>
    <row r="1885" spans="1:12" ht="22.5" customHeight="1">
      <c r="A1885">
        <f>Table4[[#This Row],[Column1]]</f>
        <v>0</v>
      </c>
      <c r="B1885">
        <f>Table4[[#This Row],[Column2]]</f>
        <v>0</v>
      </c>
      <c r="L1885"/>
    </row>
    <row r="1886" spans="1:12" ht="22.5" customHeight="1">
      <c r="A1886">
        <f>Table4[[#This Row],[Column1]]</f>
        <v>0</v>
      </c>
      <c r="B1886">
        <f>Table4[[#This Row],[Column2]]</f>
        <v>0</v>
      </c>
      <c r="L1886"/>
    </row>
    <row r="1887" spans="1:12" ht="22.5" customHeight="1">
      <c r="A1887">
        <f>Table4[[#This Row],[Column1]]</f>
        <v>0</v>
      </c>
      <c r="B1887">
        <f>Table4[[#This Row],[Column2]]</f>
        <v>0</v>
      </c>
      <c r="L1887"/>
    </row>
    <row r="1888" spans="1:12" ht="22.5" customHeight="1">
      <c r="A1888">
        <f>Table4[[#This Row],[Column1]]</f>
        <v>0</v>
      </c>
      <c r="B1888">
        <f>Table4[[#This Row],[Column2]]</f>
        <v>0</v>
      </c>
      <c r="L1888"/>
    </row>
    <row r="1889" spans="1:12" ht="22.5" customHeight="1">
      <c r="A1889">
        <f>Table4[[#This Row],[Column1]]</f>
        <v>0</v>
      </c>
      <c r="B1889">
        <f>Table4[[#This Row],[Column2]]</f>
        <v>0</v>
      </c>
      <c r="L1889"/>
    </row>
    <row r="1890" spans="1:12" ht="22.5" customHeight="1">
      <c r="A1890">
        <f>Table4[[#This Row],[Column1]]</f>
        <v>0</v>
      </c>
      <c r="B1890">
        <f>Table4[[#This Row],[Column2]]</f>
        <v>0</v>
      </c>
      <c r="L1890"/>
    </row>
    <row r="1891" spans="1:12" ht="22.5" customHeight="1">
      <c r="A1891">
        <f>Table4[[#This Row],[Column1]]</f>
        <v>0</v>
      </c>
      <c r="B1891">
        <f>Table4[[#This Row],[Column2]]</f>
        <v>0</v>
      </c>
      <c r="L1891"/>
    </row>
    <row r="1892" spans="1:12" ht="22.5" customHeight="1">
      <c r="A1892">
        <f>Table4[[#This Row],[Column1]]</f>
        <v>0</v>
      </c>
      <c r="B1892">
        <f>Table4[[#This Row],[Column2]]</f>
        <v>0</v>
      </c>
      <c r="L1892"/>
    </row>
    <row r="1893" spans="1:12" ht="22.5" customHeight="1">
      <c r="A1893">
        <f>Table4[[#This Row],[Column1]]</f>
        <v>0</v>
      </c>
      <c r="B1893">
        <f>Table4[[#This Row],[Column2]]</f>
        <v>0</v>
      </c>
      <c r="L1893"/>
    </row>
    <row r="1894" spans="1:12" ht="22.5" customHeight="1">
      <c r="A1894">
        <f>Table4[[#This Row],[Column1]]</f>
        <v>0</v>
      </c>
      <c r="B1894">
        <f>Table4[[#This Row],[Column2]]</f>
        <v>0</v>
      </c>
      <c r="L1894"/>
    </row>
    <row r="1895" spans="1:12" ht="22.5" customHeight="1">
      <c r="A1895">
        <f>Table4[[#This Row],[Column1]]</f>
        <v>0</v>
      </c>
      <c r="B1895">
        <f>Table4[[#This Row],[Column2]]</f>
        <v>0</v>
      </c>
      <c r="L1895"/>
    </row>
    <row r="1896" spans="1:12" ht="22.5" customHeight="1">
      <c r="A1896">
        <f>Table4[[#This Row],[Column1]]</f>
        <v>0</v>
      </c>
      <c r="B1896">
        <f>Table4[[#This Row],[Column2]]</f>
        <v>0</v>
      </c>
      <c r="L1896"/>
    </row>
    <row r="1897" spans="1:12" ht="22.5" customHeight="1">
      <c r="A1897">
        <f>Table4[[#This Row],[Column1]]</f>
        <v>0</v>
      </c>
      <c r="B1897">
        <f>Table4[[#This Row],[Column2]]</f>
        <v>0</v>
      </c>
      <c r="L1897"/>
    </row>
    <row r="1898" spans="1:12" ht="22.5" customHeight="1">
      <c r="A1898">
        <f>Table4[[#This Row],[Column1]]</f>
        <v>0</v>
      </c>
      <c r="B1898">
        <f>Table4[[#This Row],[Column2]]</f>
        <v>0</v>
      </c>
      <c r="L1898"/>
    </row>
    <row r="1899" spans="1:12" ht="22.5" customHeight="1">
      <c r="A1899">
        <f>Table4[[#This Row],[Column1]]</f>
        <v>0</v>
      </c>
      <c r="B1899">
        <f>Table4[[#This Row],[Column2]]</f>
        <v>0</v>
      </c>
      <c r="L1899"/>
    </row>
    <row r="1900" spans="1:12" ht="22.5" customHeight="1">
      <c r="A1900">
        <f>Table4[[#This Row],[Column1]]</f>
        <v>0</v>
      </c>
      <c r="B1900">
        <f>Table4[[#This Row],[Column2]]</f>
        <v>0</v>
      </c>
      <c r="L1900"/>
    </row>
    <row r="1901" spans="1:12" ht="22.5" customHeight="1">
      <c r="A1901">
        <f>Table4[[#This Row],[Column1]]</f>
        <v>0</v>
      </c>
      <c r="B1901">
        <f>Table4[[#This Row],[Column2]]</f>
        <v>0</v>
      </c>
      <c r="L1901"/>
    </row>
    <row r="1902" spans="1:12" ht="22.5" customHeight="1">
      <c r="A1902">
        <f>Table4[[#This Row],[Column1]]</f>
        <v>0</v>
      </c>
      <c r="B1902">
        <f>Table4[[#This Row],[Column2]]</f>
        <v>0</v>
      </c>
      <c r="L1902"/>
    </row>
    <row r="1903" spans="1:12" ht="22.5" customHeight="1">
      <c r="A1903">
        <f>Table4[[#This Row],[Column1]]</f>
        <v>0</v>
      </c>
      <c r="B1903">
        <f>Table4[[#This Row],[Column2]]</f>
        <v>0</v>
      </c>
      <c r="L1903"/>
    </row>
    <row r="1904" spans="1:12" ht="22.5" customHeight="1">
      <c r="A1904">
        <f>Table4[[#This Row],[Column1]]</f>
        <v>0</v>
      </c>
      <c r="B1904">
        <f>Table4[[#This Row],[Column2]]</f>
        <v>0</v>
      </c>
      <c r="L1904"/>
    </row>
    <row r="1905" spans="1:12" ht="22.5" customHeight="1">
      <c r="A1905">
        <f>Table4[[#This Row],[Column1]]</f>
        <v>0</v>
      </c>
      <c r="B1905">
        <f>Table4[[#This Row],[Column2]]</f>
        <v>0</v>
      </c>
      <c r="L1905"/>
    </row>
    <row r="1906" spans="1:12" ht="22.5" customHeight="1">
      <c r="A1906">
        <f>Table4[[#This Row],[Column1]]</f>
        <v>0</v>
      </c>
      <c r="B1906">
        <f>Table4[[#This Row],[Column2]]</f>
        <v>0</v>
      </c>
      <c r="L1906"/>
    </row>
    <row r="1907" spans="1:12" ht="22.5" customHeight="1">
      <c r="A1907">
        <f>Table4[[#This Row],[Column1]]</f>
        <v>0</v>
      </c>
      <c r="B1907">
        <f>Table4[[#This Row],[Column2]]</f>
        <v>0</v>
      </c>
      <c r="L1907"/>
    </row>
    <row r="1908" spans="1:12" ht="22.5" customHeight="1">
      <c r="A1908">
        <f>Table4[[#This Row],[Column1]]</f>
        <v>0</v>
      </c>
      <c r="B1908">
        <f>Table4[[#This Row],[Column2]]</f>
        <v>0</v>
      </c>
      <c r="L1908"/>
    </row>
    <row r="1909" spans="1:12" ht="22.5" customHeight="1">
      <c r="A1909">
        <f>Table4[[#This Row],[Column1]]</f>
        <v>0</v>
      </c>
      <c r="B1909">
        <f>Table4[[#This Row],[Column2]]</f>
        <v>0</v>
      </c>
      <c r="L1909"/>
    </row>
    <row r="1910" spans="1:12" ht="22.5" customHeight="1">
      <c r="A1910">
        <f>Table4[[#This Row],[Column1]]</f>
        <v>0</v>
      </c>
      <c r="B1910">
        <f>Table4[[#This Row],[Column2]]</f>
        <v>0</v>
      </c>
      <c r="L1910"/>
    </row>
    <row r="1911" spans="1:12" ht="22.5" customHeight="1">
      <c r="A1911">
        <f>Table4[[#This Row],[Column1]]</f>
        <v>0</v>
      </c>
      <c r="B1911">
        <f>Table4[[#This Row],[Column2]]</f>
        <v>0</v>
      </c>
      <c r="L1911"/>
    </row>
    <row r="1912" spans="1:12" ht="22.5" customHeight="1">
      <c r="A1912">
        <f>Table4[[#This Row],[Column1]]</f>
        <v>0</v>
      </c>
      <c r="B1912">
        <f>Table4[[#This Row],[Column2]]</f>
        <v>0</v>
      </c>
      <c r="L1912"/>
    </row>
    <row r="1913" spans="1:12" ht="22.5" customHeight="1">
      <c r="A1913">
        <f>Table4[[#This Row],[Column1]]</f>
        <v>0</v>
      </c>
      <c r="B1913">
        <f>Table4[[#This Row],[Column2]]</f>
        <v>0</v>
      </c>
      <c r="L1913"/>
    </row>
    <row r="1914" spans="1:12" ht="22.5" customHeight="1">
      <c r="A1914">
        <f>Table4[[#This Row],[Column1]]</f>
        <v>0</v>
      </c>
      <c r="B1914">
        <f>Table4[[#This Row],[Column2]]</f>
        <v>0</v>
      </c>
      <c r="L1914"/>
    </row>
    <row r="1915" spans="1:12" ht="22.5" customHeight="1">
      <c r="A1915">
        <f>Table4[[#This Row],[Column1]]</f>
        <v>0</v>
      </c>
      <c r="B1915">
        <f>Table4[[#This Row],[Column2]]</f>
        <v>0</v>
      </c>
      <c r="L1915"/>
    </row>
    <row r="1916" spans="1:12" ht="22.5" customHeight="1">
      <c r="A1916">
        <f>Table4[[#This Row],[Column1]]</f>
        <v>0</v>
      </c>
      <c r="B1916">
        <f>Table4[[#This Row],[Column2]]</f>
        <v>0</v>
      </c>
      <c r="L1916"/>
    </row>
    <row r="1917" spans="1:12" ht="22.5" customHeight="1">
      <c r="A1917">
        <f>Table4[[#This Row],[Column1]]</f>
        <v>0</v>
      </c>
      <c r="B1917">
        <f>Table4[[#This Row],[Column2]]</f>
        <v>0</v>
      </c>
      <c r="L1917"/>
    </row>
    <row r="1918" spans="1:12" ht="22.5" customHeight="1">
      <c r="A1918">
        <f>Table4[[#This Row],[Column1]]</f>
        <v>0</v>
      </c>
      <c r="B1918">
        <f>Table4[[#This Row],[Column2]]</f>
        <v>0</v>
      </c>
      <c r="L1918"/>
    </row>
    <row r="1919" spans="1:12" ht="22.5" customHeight="1">
      <c r="A1919">
        <f>Table4[[#This Row],[Column1]]</f>
        <v>0</v>
      </c>
      <c r="B1919">
        <f>Table4[[#This Row],[Column2]]</f>
        <v>0</v>
      </c>
      <c r="L1919"/>
    </row>
    <row r="1920" spans="1:12" ht="22.5" customHeight="1">
      <c r="A1920">
        <f>Table4[[#This Row],[Column1]]</f>
        <v>0</v>
      </c>
      <c r="B1920">
        <f>Table4[[#This Row],[Column2]]</f>
        <v>0</v>
      </c>
      <c r="L1920"/>
    </row>
    <row r="1921" spans="1:12" ht="22.5" customHeight="1">
      <c r="A1921">
        <f>Table4[[#This Row],[Column1]]</f>
        <v>0</v>
      </c>
      <c r="B1921">
        <f>Table4[[#This Row],[Column2]]</f>
        <v>0</v>
      </c>
      <c r="L1921"/>
    </row>
    <row r="1922" spans="1:12" ht="22.5" customHeight="1">
      <c r="A1922">
        <f>Table4[[#This Row],[Column1]]</f>
        <v>0</v>
      </c>
      <c r="B1922">
        <f>Table4[[#This Row],[Column2]]</f>
        <v>0</v>
      </c>
      <c r="L1922"/>
    </row>
    <row r="1923" spans="1:12" ht="22.5" customHeight="1">
      <c r="A1923">
        <f>Table4[[#This Row],[Column1]]</f>
        <v>0</v>
      </c>
      <c r="B1923">
        <f>Table4[[#This Row],[Column2]]</f>
        <v>0</v>
      </c>
      <c r="L1923"/>
    </row>
    <row r="1924" spans="1:12" ht="22.5" customHeight="1">
      <c r="A1924">
        <f>Table4[[#This Row],[Column1]]</f>
        <v>0</v>
      </c>
      <c r="B1924">
        <f>Table4[[#This Row],[Column2]]</f>
        <v>0</v>
      </c>
      <c r="L1924"/>
    </row>
    <row r="1925" spans="1:12" ht="22.5" customHeight="1">
      <c r="A1925">
        <f>Table4[[#This Row],[Column1]]</f>
        <v>0</v>
      </c>
      <c r="B1925">
        <f>Table4[[#This Row],[Column2]]</f>
        <v>0</v>
      </c>
      <c r="L1925"/>
    </row>
    <row r="1926" spans="1:12" ht="22.5" customHeight="1">
      <c r="A1926">
        <f>Table4[[#This Row],[Column1]]</f>
        <v>0</v>
      </c>
      <c r="B1926">
        <f>Table4[[#This Row],[Column2]]</f>
        <v>0</v>
      </c>
      <c r="L1926"/>
    </row>
    <row r="1927" spans="1:12" ht="22.5" customHeight="1">
      <c r="A1927">
        <f>Table4[[#This Row],[Column1]]</f>
        <v>0</v>
      </c>
      <c r="B1927">
        <f>Table4[[#This Row],[Column2]]</f>
        <v>0</v>
      </c>
      <c r="L1927"/>
    </row>
    <row r="1928" spans="1:12" ht="22.5" customHeight="1">
      <c r="A1928">
        <f>Table4[[#This Row],[Column1]]</f>
        <v>0</v>
      </c>
      <c r="B1928">
        <f>Table4[[#This Row],[Column2]]</f>
        <v>0</v>
      </c>
      <c r="L1928"/>
    </row>
    <row r="1929" spans="1:12" ht="22.5" customHeight="1">
      <c r="A1929">
        <f>Table4[[#This Row],[Column1]]</f>
        <v>0</v>
      </c>
      <c r="B1929">
        <f>Table4[[#This Row],[Column2]]</f>
        <v>0</v>
      </c>
      <c r="L1929"/>
    </row>
    <row r="1930" spans="1:12" ht="22.5" customHeight="1">
      <c r="A1930">
        <f>Table4[[#This Row],[Column1]]</f>
        <v>0</v>
      </c>
      <c r="B1930">
        <f>Table4[[#This Row],[Column2]]</f>
        <v>0</v>
      </c>
      <c r="L1930"/>
    </row>
    <row r="1931" spans="1:12" ht="22.5" customHeight="1">
      <c r="A1931">
        <f>Table4[[#This Row],[Column1]]</f>
        <v>0</v>
      </c>
      <c r="B1931">
        <f>Table4[[#This Row],[Column2]]</f>
        <v>0</v>
      </c>
      <c r="L1931"/>
    </row>
    <row r="1932" spans="1:12" ht="22.5" customHeight="1">
      <c r="A1932">
        <f>Table4[[#This Row],[Column1]]</f>
        <v>0</v>
      </c>
      <c r="B1932">
        <f>Table4[[#This Row],[Column2]]</f>
        <v>0</v>
      </c>
      <c r="L1932"/>
    </row>
    <row r="1933" spans="1:12" ht="22.5" customHeight="1">
      <c r="A1933">
        <f>Table4[[#This Row],[Column1]]</f>
        <v>0</v>
      </c>
      <c r="B1933">
        <f>Table4[[#This Row],[Column2]]</f>
        <v>0</v>
      </c>
      <c r="L1933"/>
    </row>
    <row r="1934" spans="1:12" ht="22.5" customHeight="1">
      <c r="A1934">
        <f>Table4[[#This Row],[Column1]]</f>
        <v>0</v>
      </c>
      <c r="B1934">
        <f>Table4[[#This Row],[Column2]]</f>
        <v>0</v>
      </c>
      <c r="L1934"/>
    </row>
    <row r="1935" spans="1:12" ht="22.5" customHeight="1">
      <c r="A1935">
        <f>Table4[[#This Row],[Column1]]</f>
        <v>0</v>
      </c>
      <c r="B1935">
        <f>Table4[[#This Row],[Column2]]</f>
        <v>0</v>
      </c>
      <c r="L1935"/>
    </row>
    <row r="1936" spans="1:12" ht="22.5" customHeight="1">
      <c r="A1936">
        <f>Table4[[#This Row],[Column1]]</f>
        <v>0</v>
      </c>
      <c r="B1936">
        <f>Table4[[#This Row],[Column2]]</f>
        <v>0</v>
      </c>
      <c r="L1936"/>
    </row>
    <row r="1937" spans="1:12" ht="22.5" customHeight="1">
      <c r="A1937">
        <f>Table4[[#This Row],[Column1]]</f>
        <v>0</v>
      </c>
      <c r="B1937">
        <f>Table4[[#This Row],[Column2]]</f>
        <v>0</v>
      </c>
      <c r="L1937"/>
    </row>
    <row r="1938" spans="1:12" ht="22.5" customHeight="1">
      <c r="A1938">
        <f>Table4[[#This Row],[Column1]]</f>
        <v>0</v>
      </c>
      <c r="B1938">
        <f>Table4[[#This Row],[Column2]]</f>
        <v>0</v>
      </c>
      <c r="L1938"/>
    </row>
    <row r="1939" spans="1:12" ht="22.5" customHeight="1">
      <c r="A1939">
        <f>Table4[[#This Row],[Column1]]</f>
        <v>0</v>
      </c>
      <c r="B1939">
        <f>Table4[[#This Row],[Column2]]</f>
        <v>0</v>
      </c>
      <c r="L1939"/>
    </row>
    <row r="1940" spans="1:12" ht="22.5" customHeight="1">
      <c r="A1940">
        <f>Table4[[#This Row],[Column1]]</f>
        <v>0</v>
      </c>
      <c r="B1940">
        <f>Table4[[#This Row],[Column2]]</f>
        <v>0</v>
      </c>
      <c r="L1940"/>
    </row>
    <row r="1941" spans="1:12" ht="22.5" customHeight="1">
      <c r="A1941">
        <f>Table4[[#This Row],[Column1]]</f>
        <v>0</v>
      </c>
      <c r="B1941">
        <f>Table4[[#This Row],[Column2]]</f>
        <v>0</v>
      </c>
      <c r="L1941"/>
    </row>
    <row r="1942" spans="1:12" ht="22.5" customHeight="1">
      <c r="A1942">
        <f>Table4[[#This Row],[Column1]]</f>
        <v>0</v>
      </c>
      <c r="B1942">
        <f>Table4[[#This Row],[Column2]]</f>
        <v>0</v>
      </c>
      <c r="L1942"/>
    </row>
    <row r="1943" spans="1:12" ht="22.5" customHeight="1">
      <c r="A1943">
        <f>Table4[[#This Row],[Column1]]</f>
        <v>0</v>
      </c>
      <c r="B1943">
        <f>Table4[[#This Row],[Column2]]</f>
        <v>0</v>
      </c>
      <c r="L1943"/>
    </row>
    <row r="1944" spans="1:12" ht="22.5" customHeight="1">
      <c r="A1944">
        <f>Table4[[#This Row],[Column1]]</f>
        <v>0</v>
      </c>
      <c r="B1944">
        <f>Table4[[#This Row],[Column2]]</f>
        <v>0</v>
      </c>
      <c r="L1944"/>
    </row>
    <row r="1945" spans="1:12" ht="22.5" customHeight="1">
      <c r="A1945">
        <f>Table4[[#This Row],[Column1]]</f>
        <v>0</v>
      </c>
      <c r="B1945">
        <f>Table4[[#This Row],[Column2]]</f>
        <v>0</v>
      </c>
      <c r="L1945"/>
    </row>
    <row r="1946" spans="1:12" ht="22.5" customHeight="1">
      <c r="A1946">
        <f>Table4[[#This Row],[Column1]]</f>
        <v>0</v>
      </c>
      <c r="B1946">
        <f>Table4[[#This Row],[Column2]]</f>
        <v>0</v>
      </c>
      <c r="L1946"/>
    </row>
    <row r="1947" spans="1:12" ht="22.5" customHeight="1">
      <c r="A1947">
        <f>Table4[[#This Row],[Column1]]</f>
        <v>0</v>
      </c>
      <c r="B1947">
        <f>Table4[[#This Row],[Column2]]</f>
        <v>0</v>
      </c>
      <c r="L1947"/>
    </row>
    <row r="1948" spans="1:12" ht="22.5" customHeight="1">
      <c r="A1948">
        <f>Table4[[#This Row],[Column1]]</f>
        <v>0</v>
      </c>
      <c r="B1948">
        <f>Table4[[#This Row],[Column2]]</f>
        <v>0</v>
      </c>
      <c r="L1948"/>
    </row>
    <row r="1949" spans="1:12" ht="22.5" customHeight="1">
      <c r="A1949">
        <f>Table4[[#This Row],[Column1]]</f>
        <v>0</v>
      </c>
      <c r="B1949">
        <f>Table4[[#This Row],[Column2]]</f>
        <v>0</v>
      </c>
      <c r="L1949"/>
    </row>
    <row r="1950" spans="1:12" ht="22.5" customHeight="1">
      <c r="A1950">
        <f>Table4[[#This Row],[Column1]]</f>
        <v>0</v>
      </c>
      <c r="B1950">
        <f>Table4[[#This Row],[Column2]]</f>
        <v>0</v>
      </c>
      <c r="L1950"/>
    </row>
    <row r="1951" spans="1:12" ht="22.5" customHeight="1">
      <c r="A1951">
        <f>Table4[[#This Row],[Column1]]</f>
        <v>0</v>
      </c>
      <c r="B1951">
        <f>Table4[[#This Row],[Column2]]</f>
        <v>0</v>
      </c>
      <c r="L1951"/>
    </row>
    <row r="1952" spans="1:12" ht="22.5" customHeight="1">
      <c r="A1952">
        <f>Table4[[#This Row],[Column1]]</f>
        <v>0</v>
      </c>
      <c r="B1952">
        <f>Table4[[#This Row],[Column2]]</f>
        <v>0</v>
      </c>
      <c r="L1952"/>
    </row>
    <row r="1953" spans="1:12" ht="22.5" customHeight="1">
      <c r="A1953">
        <f>Table4[[#This Row],[Column1]]</f>
        <v>0</v>
      </c>
      <c r="B1953">
        <f>Table4[[#This Row],[Column2]]</f>
        <v>0</v>
      </c>
      <c r="L1953"/>
    </row>
    <row r="1954" spans="1:12" ht="22.5" customHeight="1">
      <c r="A1954">
        <f>Table4[[#This Row],[Column1]]</f>
        <v>0</v>
      </c>
      <c r="B1954">
        <f>Table4[[#This Row],[Column2]]</f>
        <v>0</v>
      </c>
      <c r="L1954"/>
    </row>
    <row r="1955" spans="1:12" ht="22.5" customHeight="1">
      <c r="A1955">
        <f>Table4[[#This Row],[Column1]]</f>
        <v>0</v>
      </c>
      <c r="B1955">
        <f>Table4[[#This Row],[Column2]]</f>
        <v>0</v>
      </c>
      <c r="L1955"/>
    </row>
    <row r="1956" spans="1:12" ht="22.5" customHeight="1">
      <c r="A1956">
        <f>Table4[[#This Row],[Column1]]</f>
        <v>0</v>
      </c>
      <c r="B1956">
        <f>Table4[[#This Row],[Column2]]</f>
        <v>0</v>
      </c>
      <c r="L1956"/>
    </row>
    <row r="1957" spans="1:12" ht="22.5" customHeight="1">
      <c r="A1957">
        <f>Table4[[#This Row],[Column1]]</f>
        <v>0</v>
      </c>
      <c r="B1957">
        <f>Table4[[#This Row],[Column2]]</f>
        <v>0</v>
      </c>
      <c r="L1957"/>
    </row>
    <row r="1958" spans="1:12" ht="22.5" customHeight="1">
      <c r="A1958">
        <f>Table4[[#This Row],[Column1]]</f>
        <v>0</v>
      </c>
      <c r="B1958">
        <f>Table4[[#This Row],[Column2]]</f>
        <v>0</v>
      </c>
      <c r="L1958"/>
    </row>
    <row r="1959" spans="1:12" ht="22.5" customHeight="1">
      <c r="A1959">
        <f>Table4[[#This Row],[Column1]]</f>
        <v>0</v>
      </c>
      <c r="B1959">
        <f>Table4[[#This Row],[Column2]]</f>
        <v>0</v>
      </c>
      <c r="L1959"/>
    </row>
    <row r="1960" spans="1:12" ht="22.5" customHeight="1">
      <c r="A1960">
        <f>Table4[[#This Row],[Column1]]</f>
        <v>0</v>
      </c>
      <c r="B1960">
        <f>Table4[[#This Row],[Column2]]</f>
        <v>0</v>
      </c>
      <c r="L1960"/>
    </row>
    <row r="1961" spans="1:12" ht="22.5" customHeight="1">
      <c r="A1961">
        <f>Table4[[#This Row],[Column1]]</f>
        <v>0</v>
      </c>
      <c r="B1961">
        <f>Table4[[#This Row],[Column2]]</f>
        <v>0</v>
      </c>
      <c r="L1961"/>
    </row>
    <row r="1962" spans="1:12" ht="22.5" customHeight="1">
      <c r="A1962">
        <f>Table4[[#This Row],[Column1]]</f>
        <v>0</v>
      </c>
      <c r="B1962">
        <f>Table4[[#This Row],[Column2]]</f>
        <v>0</v>
      </c>
      <c r="L1962"/>
    </row>
    <row r="1963" spans="1:12" ht="22.5" customHeight="1">
      <c r="A1963">
        <f>Table4[[#This Row],[Column1]]</f>
        <v>0</v>
      </c>
      <c r="B1963">
        <f>Table4[[#This Row],[Column2]]</f>
        <v>0</v>
      </c>
      <c r="L1963"/>
    </row>
    <row r="1964" spans="1:12" ht="22.5" customHeight="1">
      <c r="A1964">
        <f>Table4[[#This Row],[Column1]]</f>
        <v>0</v>
      </c>
      <c r="B1964">
        <f>Table4[[#This Row],[Column2]]</f>
        <v>0</v>
      </c>
      <c r="L1964"/>
    </row>
    <row r="1965" spans="1:12" ht="22.5" customHeight="1">
      <c r="A1965">
        <f>Table4[[#This Row],[Column1]]</f>
        <v>0</v>
      </c>
      <c r="B1965">
        <f>Table4[[#This Row],[Column2]]</f>
        <v>0</v>
      </c>
      <c r="L1965"/>
    </row>
    <row r="1966" spans="1:12" ht="22.5" customHeight="1">
      <c r="A1966">
        <f>Table4[[#This Row],[Column1]]</f>
        <v>0</v>
      </c>
      <c r="B1966">
        <f>Table4[[#This Row],[Column2]]</f>
        <v>0</v>
      </c>
      <c r="L1966"/>
    </row>
    <row r="1967" spans="1:12" ht="22.5" customHeight="1">
      <c r="A1967">
        <f>Table4[[#This Row],[Column1]]</f>
        <v>0</v>
      </c>
      <c r="B1967">
        <f>Table4[[#This Row],[Column2]]</f>
        <v>0</v>
      </c>
      <c r="L1967"/>
    </row>
    <row r="1968" spans="1:12" ht="22.5" customHeight="1">
      <c r="A1968">
        <f>Table4[[#This Row],[Column1]]</f>
        <v>0</v>
      </c>
      <c r="B1968">
        <f>Table4[[#This Row],[Column2]]</f>
        <v>0</v>
      </c>
      <c r="L1968"/>
    </row>
    <row r="1969" spans="1:12" ht="22.5" customHeight="1">
      <c r="A1969">
        <f>Table4[[#This Row],[Column1]]</f>
        <v>0</v>
      </c>
      <c r="B1969">
        <f>Table4[[#This Row],[Column2]]</f>
        <v>0</v>
      </c>
      <c r="L1969"/>
    </row>
    <row r="1970" spans="1:12" ht="22.5" customHeight="1">
      <c r="A1970">
        <f>Table4[[#This Row],[Column1]]</f>
        <v>0</v>
      </c>
      <c r="B1970">
        <f>Table4[[#This Row],[Column2]]</f>
        <v>0</v>
      </c>
      <c r="L1970"/>
    </row>
    <row r="1971" spans="1:12" ht="22.5" customHeight="1">
      <c r="A1971">
        <f>Table4[[#This Row],[Column1]]</f>
        <v>0</v>
      </c>
      <c r="B1971">
        <f>Table4[[#This Row],[Column2]]</f>
        <v>0</v>
      </c>
      <c r="L1971"/>
    </row>
    <row r="1972" spans="1:12" ht="22.5" customHeight="1">
      <c r="A1972">
        <f>Table4[[#This Row],[Column1]]</f>
        <v>0</v>
      </c>
      <c r="B1972">
        <f>Table4[[#This Row],[Column2]]</f>
        <v>0</v>
      </c>
      <c r="L1972"/>
    </row>
    <row r="1973" spans="1:12" ht="22.5" customHeight="1">
      <c r="A1973">
        <f>Table4[[#This Row],[Column1]]</f>
        <v>0</v>
      </c>
      <c r="B1973">
        <f>Table4[[#This Row],[Column2]]</f>
        <v>0</v>
      </c>
      <c r="L1973"/>
    </row>
    <row r="1974" spans="1:12" ht="22.5" customHeight="1">
      <c r="A1974">
        <f>Table4[[#This Row],[Column1]]</f>
        <v>0</v>
      </c>
      <c r="B1974">
        <f>Table4[[#This Row],[Column2]]</f>
        <v>0</v>
      </c>
      <c r="L1974"/>
    </row>
    <row r="1975" spans="1:12" ht="22.5" customHeight="1">
      <c r="A1975">
        <f>Table4[[#This Row],[Column1]]</f>
        <v>0</v>
      </c>
      <c r="B1975">
        <f>Table4[[#This Row],[Column2]]</f>
        <v>0</v>
      </c>
      <c r="L1975"/>
    </row>
    <row r="1976" spans="1:12" ht="22.5" customHeight="1">
      <c r="A1976">
        <f>Table4[[#This Row],[Column1]]</f>
        <v>0</v>
      </c>
      <c r="B1976">
        <f>Table4[[#This Row],[Column2]]</f>
        <v>0</v>
      </c>
      <c r="L1976"/>
    </row>
    <row r="1977" spans="1:12" ht="22.5" customHeight="1">
      <c r="A1977">
        <f>Table4[[#This Row],[Column1]]</f>
        <v>0</v>
      </c>
      <c r="B1977">
        <f>Table4[[#This Row],[Column2]]</f>
        <v>0</v>
      </c>
      <c r="L1977"/>
    </row>
    <row r="1978" spans="1:12" ht="22.5" customHeight="1">
      <c r="A1978">
        <f>Table4[[#This Row],[Column1]]</f>
        <v>0</v>
      </c>
      <c r="B1978">
        <f>Table4[[#This Row],[Column2]]</f>
        <v>0</v>
      </c>
      <c r="L1978"/>
    </row>
    <row r="1979" spans="1:12" ht="22.5" customHeight="1">
      <c r="A1979">
        <f>Table4[[#This Row],[Column1]]</f>
        <v>0</v>
      </c>
      <c r="B1979">
        <f>Table4[[#This Row],[Column2]]</f>
        <v>0</v>
      </c>
      <c r="L1979"/>
    </row>
    <row r="1980" spans="1:12" ht="22.5" customHeight="1">
      <c r="A1980">
        <f>Table4[[#This Row],[Column1]]</f>
        <v>0</v>
      </c>
      <c r="B1980">
        <f>Table4[[#This Row],[Column2]]</f>
        <v>0</v>
      </c>
      <c r="L1980"/>
    </row>
    <row r="1981" spans="1:12" ht="22.5" customHeight="1">
      <c r="A1981">
        <f>Table4[[#This Row],[Column1]]</f>
        <v>0</v>
      </c>
      <c r="B1981">
        <f>Table4[[#This Row],[Column2]]</f>
        <v>0</v>
      </c>
      <c r="L1981"/>
    </row>
    <row r="1982" spans="1:12" ht="22.5" customHeight="1">
      <c r="A1982">
        <f>Table4[[#This Row],[Column1]]</f>
        <v>0</v>
      </c>
      <c r="B1982">
        <f>Table4[[#This Row],[Column2]]</f>
        <v>0</v>
      </c>
      <c r="L1982"/>
    </row>
    <row r="1983" spans="1:12" ht="22.5" customHeight="1">
      <c r="A1983">
        <f>Table4[[#This Row],[Column1]]</f>
        <v>0</v>
      </c>
      <c r="B1983">
        <f>Table4[[#This Row],[Column2]]</f>
        <v>0</v>
      </c>
      <c r="L1983"/>
    </row>
    <row r="1984" spans="1:12" ht="22.5" customHeight="1">
      <c r="A1984">
        <f>Table4[[#This Row],[Column1]]</f>
        <v>0</v>
      </c>
      <c r="B1984">
        <f>Table4[[#This Row],[Column2]]</f>
        <v>0</v>
      </c>
      <c r="L1984"/>
    </row>
    <row r="1985" spans="1:12" ht="22.5" customHeight="1">
      <c r="A1985">
        <f>Table4[[#This Row],[Column1]]</f>
        <v>0</v>
      </c>
      <c r="B1985">
        <f>Table4[[#This Row],[Column2]]</f>
        <v>0</v>
      </c>
      <c r="L1985"/>
    </row>
    <row r="1986" spans="1:12" ht="22.5" customHeight="1">
      <c r="A1986">
        <f>Table4[[#This Row],[Column1]]</f>
        <v>0</v>
      </c>
      <c r="B1986">
        <f>Table4[[#This Row],[Column2]]</f>
        <v>0</v>
      </c>
      <c r="L1986"/>
    </row>
    <row r="1987" spans="1:12" ht="22.5" customHeight="1">
      <c r="A1987">
        <f>Table4[[#This Row],[Column1]]</f>
        <v>0</v>
      </c>
      <c r="B1987">
        <f>Table4[[#This Row],[Column2]]</f>
        <v>0</v>
      </c>
      <c r="L1987"/>
    </row>
    <row r="1988" spans="1:12" ht="22.5" customHeight="1">
      <c r="A1988">
        <f>Table4[[#This Row],[Column1]]</f>
        <v>0</v>
      </c>
      <c r="B1988">
        <f>Table4[[#This Row],[Column2]]</f>
        <v>0</v>
      </c>
      <c r="L1988"/>
    </row>
    <row r="1989" spans="1:12" ht="22.5" customHeight="1">
      <c r="A1989">
        <f>Table4[[#This Row],[Column1]]</f>
        <v>0</v>
      </c>
      <c r="B1989">
        <f>Table4[[#This Row],[Column2]]</f>
        <v>0</v>
      </c>
      <c r="L1989"/>
    </row>
    <row r="1990" spans="1:12" ht="22.5" customHeight="1">
      <c r="A1990">
        <f>Table4[[#This Row],[Column1]]</f>
        <v>0</v>
      </c>
      <c r="B1990">
        <f>Table4[[#This Row],[Column2]]</f>
        <v>0</v>
      </c>
      <c r="L1990"/>
    </row>
    <row r="1991" spans="1:12" ht="22.5" customHeight="1">
      <c r="A1991">
        <f>Table4[[#This Row],[Column1]]</f>
        <v>0</v>
      </c>
      <c r="B1991">
        <f>Table4[[#This Row],[Column2]]</f>
        <v>0</v>
      </c>
      <c r="L1991"/>
    </row>
    <row r="1992" spans="1:12" ht="22.5" customHeight="1">
      <c r="A1992">
        <f>Table4[[#This Row],[Column1]]</f>
        <v>0</v>
      </c>
      <c r="B1992">
        <f>Table4[[#This Row],[Column2]]</f>
        <v>0</v>
      </c>
      <c r="L1992"/>
    </row>
    <row r="1993" spans="1:12" ht="22.5" customHeight="1">
      <c r="A1993">
        <f>Table4[[#This Row],[Column1]]</f>
        <v>0</v>
      </c>
      <c r="B1993">
        <f>Table4[[#This Row],[Column2]]</f>
        <v>0</v>
      </c>
      <c r="L1993"/>
    </row>
    <row r="1994" spans="1:12" ht="22.5" customHeight="1">
      <c r="A1994">
        <f>Table4[[#This Row],[Column1]]</f>
        <v>0</v>
      </c>
      <c r="B1994">
        <f>Table4[[#This Row],[Column2]]</f>
        <v>0</v>
      </c>
      <c r="L1994"/>
    </row>
    <row r="1995" spans="1:12" ht="22.5" customHeight="1">
      <c r="A1995">
        <f>Table4[[#This Row],[Column1]]</f>
        <v>0</v>
      </c>
      <c r="B1995">
        <f>Table4[[#This Row],[Column2]]</f>
        <v>0</v>
      </c>
      <c r="L1995"/>
    </row>
    <row r="1996" spans="1:12" ht="22.5" customHeight="1">
      <c r="A1996">
        <f>Table4[[#This Row],[Column1]]</f>
        <v>0</v>
      </c>
      <c r="B1996">
        <f>Table4[[#This Row],[Column2]]</f>
        <v>0</v>
      </c>
      <c r="L1996"/>
    </row>
    <row r="1997" spans="1:12" ht="22.5" customHeight="1">
      <c r="A1997">
        <f>Table4[[#This Row],[Column1]]</f>
        <v>0</v>
      </c>
      <c r="B1997">
        <f>Table4[[#This Row],[Column2]]</f>
        <v>0</v>
      </c>
      <c r="L1997"/>
    </row>
    <row r="1998" spans="1:12" ht="22.5" customHeight="1">
      <c r="A1998">
        <f>Table4[[#This Row],[Column1]]</f>
        <v>0</v>
      </c>
      <c r="B1998">
        <f>Table4[[#This Row],[Column2]]</f>
        <v>0</v>
      </c>
      <c r="L1998"/>
    </row>
    <row r="1999" spans="1:12" ht="22.5" customHeight="1">
      <c r="A1999">
        <f>Table4[[#This Row],[Column1]]</f>
        <v>0</v>
      </c>
      <c r="B1999">
        <f>Table4[[#This Row],[Column2]]</f>
        <v>0</v>
      </c>
      <c r="L1999"/>
    </row>
    <row r="2000" spans="1:12" ht="22.5" customHeight="1">
      <c r="A2000">
        <f>Table4[[#This Row],[Column1]]</f>
        <v>0</v>
      </c>
      <c r="B2000">
        <f>Table4[[#This Row],[Column2]]</f>
        <v>0</v>
      </c>
      <c r="L2000"/>
    </row>
    <row r="2001" spans="1:12" ht="22.5" customHeight="1">
      <c r="A2001">
        <f>Table4[[#This Row],[Column1]]</f>
        <v>0</v>
      </c>
      <c r="B2001">
        <f>Table4[[#This Row],[Column2]]</f>
        <v>0</v>
      </c>
      <c r="L2001"/>
    </row>
    <row r="2002" spans="1:12" ht="22.5" customHeight="1">
      <c r="A2002">
        <f>Table4[[#This Row],[Column1]]</f>
        <v>0</v>
      </c>
      <c r="B2002">
        <f>Table4[[#This Row],[Column2]]</f>
        <v>0</v>
      </c>
      <c r="L2002"/>
    </row>
    <row r="2003" spans="1:12" ht="22.5" customHeight="1">
      <c r="A2003">
        <f>Table4[[#This Row],[Column1]]</f>
        <v>0</v>
      </c>
      <c r="B2003">
        <f>Table4[[#This Row],[Column2]]</f>
        <v>0</v>
      </c>
      <c r="L2003"/>
    </row>
    <row r="2004" spans="1:12" ht="22.5" customHeight="1">
      <c r="A2004">
        <f>Table4[[#This Row],[Column1]]</f>
        <v>0</v>
      </c>
      <c r="B2004">
        <f>Table4[[#This Row],[Column2]]</f>
        <v>0</v>
      </c>
      <c r="L2004"/>
    </row>
    <row r="2005" spans="1:12" ht="22.5" customHeight="1">
      <c r="A2005">
        <f>Table4[[#This Row],[Column1]]</f>
        <v>0</v>
      </c>
      <c r="B2005">
        <f>Table4[[#This Row],[Column2]]</f>
        <v>0</v>
      </c>
      <c r="L2005"/>
    </row>
    <row r="2006" spans="1:12" ht="22.5" customHeight="1">
      <c r="A2006">
        <f>Table4[[#This Row],[Column1]]</f>
        <v>0</v>
      </c>
      <c r="B2006">
        <f>Table4[[#This Row],[Column2]]</f>
        <v>0</v>
      </c>
      <c r="L2006"/>
    </row>
    <row r="2007" spans="1:12" ht="22.5" customHeight="1">
      <c r="A2007">
        <f>Table4[[#This Row],[Column1]]</f>
        <v>0</v>
      </c>
      <c r="B2007">
        <f>Table4[[#This Row],[Column2]]</f>
        <v>0</v>
      </c>
      <c r="L2007"/>
    </row>
    <row r="2008" spans="1:12" ht="22.5" customHeight="1">
      <c r="A2008">
        <f>Table4[[#This Row],[Column1]]</f>
        <v>0</v>
      </c>
      <c r="B2008">
        <f>Table4[[#This Row],[Column2]]</f>
        <v>0</v>
      </c>
      <c r="L2008"/>
    </row>
    <row r="2009" spans="1:12" ht="22.5" customHeight="1">
      <c r="A2009">
        <f>Table4[[#This Row],[Column1]]</f>
        <v>0</v>
      </c>
      <c r="B2009">
        <f>Table4[[#This Row],[Column2]]</f>
        <v>0</v>
      </c>
      <c r="L2009"/>
    </row>
    <row r="2010" spans="1:12" ht="22.5" customHeight="1">
      <c r="A2010">
        <f>Table4[[#This Row],[Column1]]</f>
        <v>0</v>
      </c>
      <c r="B2010">
        <f>Table4[[#This Row],[Column2]]</f>
        <v>0</v>
      </c>
      <c r="L2010"/>
    </row>
    <row r="2011" spans="1:12" ht="22.5" customHeight="1">
      <c r="A2011">
        <f>Table4[[#This Row],[Column1]]</f>
        <v>0</v>
      </c>
      <c r="B2011">
        <f>Table4[[#This Row],[Column2]]</f>
        <v>0</v>
      </c>
      <c r="L2011"/>
    </row>
    <row r="2012" spans="1:12" ht="22.5" customHeight="1">
      <c r="A2012">
        <f>Table4[[#This Row],[Column1]]</f>
        <v>0</v>
      </c>
      <c r="B2012">
        <f>Table4[[#This Row],[Column2]]</f>
        <v>0</v>
      </c>
      <c r="L2012"/>
    </row>
    <row r="2013" spans="1:12" ht="22.5" customHeight="1">
      <c r="A2013">
        <f>Table4[[#This Row],[Column1]]</f>
        <v>0</v>
      </c>
      <c r="B2013">
        <f>Table4[[#This Row],[Column2]]</f>
        <v>0</v>
      </c>
      <c r="L2013"/>
    </row>
    <row r="2014" spans="1:12" ht="22.5" customHeight="1">
      <c r="A2014">
        <f>Table4[[#This Row],[Column1]]</f>
        <v>0</v>
      </c>
      <c r="B2014">
        <f>Table4[[#This Row],[Column2]]</f>
        <v>0</v>
      </c>
      <c r="L2014"/>
    </row>
    <row r="2015" spans="1:12" ht="22.5" customHeight="1">
      <c r="A2015">
        <f>Table4[[#This Row],[Column1]]</f>
        <v>0</v>
      </c>
      <c r="B2015">
        <f>Table4[[#This Row],[Column2]]</f>
        <v>0</v>
      </c>
      <c r="L2015"/>
    </row>
    <row r="2016" spans="1:12" ht="22.5" customHeight="1">
      <c r="A2016">
        <f>Table4[[#This Row],[Column1]]</f>
        <v>0</v>
      </c>
      <c r="B2016">
        <f>Table4[[#This Row],[Column2]]</f>
        <v>0</v>
      </c>
      <c r="L2016"/>
    </row>
    <row r="2017" spans="1:12" ht="22.5" customHeight="1">
      <c r="A2017">
        <f>Table4[[#This Row],[Column1]]</f>
        <v>0</v>
      </c>
      <c r="B2017">
        <f>Table4[[#This Row],[Column2]]</f>
        <v>0</v>
      </c>
      <c r="L2017"/>
    </row>
    <row r="2018" spans="1:12" ht="22.5" customHeight="1">
      <c r="A2018">
        <f>Table4[[#This Row],[Column1]]</f>
        <v>0</v>
      </c>
      <c r="B2018">
        <f>Table4[[#This Row],[Column2]]</f>
        <v>0</v>
      </c>
      <c r="L2018"/>
    </row>
    <row r="2019" spans="1:12" ht="22.5" customHeight="1">
      <c r="A2019">
        <f>Table4[[#This Row],[Column1]]</f>
        <v>0</v>
      </c>
      <c r="B2019">
        <f>Table4[[#This Row],[Column2]]</f>
        <v>0</v>
      </c>
      <c r="L2019"/>
    </row>
    <row r="2020" spans="1:12" ht="22.5" customHeight="1">
      <c r="A2020">
        <f>Table4[[#This Row],[Column1]]</f>
        <v>0</v>
      </c>
      <c r="B2020">
        <f>Table4[[#This Row],[Column2]]</f>
        <v>0</v>
      </c>
      <c r="L2020"/>
    </row>
    <row r="2021" spans="1:12" ht="22.5" customHeight="1">
      <c r="A2021">
        <f>Table4[[#This Row],[Column1]]</f>
        <v>0</v>
      </c>
      <c r="B2021">
        <f>Table4[[#This Row],[Column2]]</f>
        <v>0</v>
      </c>
      <c r="L2021"/>
    </row>
    <row r="2022" spans="1:12" ht="22.5" customHeight="1">
      <c r="A2022">
        <f>Table4[[#This Row],[Column1]]</f>
        <v>0</v>
      </c>
      <c r="B2022">
        <f>Table4[[#This Row],[Column2]]</f>
        <v>0</v>
      </c>
      <c r="L2022"/>
    </row>
    <row r="2023" spans="1:12" ht="22.5" customHeight="1">
      <c r="A2023">
        <f>Table4[[#This Row],[Column1]]</f>
        <v>0</v>
      </c>
      <c r="B2023">
        <f>Table4[[#This Row],[Column2]]</f>
        <v>0</v>
      </c>
      <c r="L2023"/>
    </row>
    <row r="2024" spans="1:12" ht="22.5" customHeight="1">
      <c r="A2024">
        <f>Table4[[#This Row],[Column1]]</f>
        <v>0</v>
      </c>
      <c r="B2024">
        <f>Table4[[#This Row],[Column2]]</f>
        <v>0</v>
      </c>
      <c r="L2024"/>
    </row>
    <row r="2025" spans="1:12" ht="22.5" customHeight="1">
      <c r="A2025">
        <f>Table4[[#This Row],[Column1]]</f>
        <v>0</v>
      </c>
      <c r="B2025">
        <f>Table4[[#This Row],[Column2]]</f>
        <v>0</v>
      </c>
      <c r="L2025"/>
    </row>
    <row r="2026" spans="1:12" ht="22.5" customHeight="1">
      <c r="A2026">
        <f>Table4[[#This Row],[Column1]]</f>
        <v>0</v>
      </c>
      <c r="B2026">
        <f>Table4[[#This Row],[Column2]]</f>
        <v>0</v>
      </c>
      <c r="L2026"/>
    </row>
    <row r="2027" spans="1:12" ht="22.5" customHeight="1">
      <c r="A2027">
        <f>Table4[[#This Row],[Column1]]</f>
        <v>0</v>
      </c>
      <c r="B2027">
        <f>Table4[[#This Row],[Column2]]</f>
        <v>0</v>
      </c>
      <c r="L2027"/>
    </row>
    <row r="2028" spans="1:12" ht="22.5" customHeight="1">
      <c r="A2028">
        <f>Table4[[#This Row],[Column1]]</f>
        <v>0</v>
      </c>
      <c r="B2028">
        <f>Table4[[#This Row],[Column2]]</f>
        <v>0</v>
      </c>
      <c r="L2028"/>
    </row>
    <row r="2029" spans="1:12" ht="22.5" customHeight="1">
      <c r="A2029">
        <f>Table4[[#This Row],[Column1]]</f>
        <v>0</v>
      </c>
      <c r="B2029">
        <f>Table4[[#This Row],[Column2]]</f>
        <v>0</v>
      </c>
      <c r="L2029"/>
    </row>
    <row r="2030" spans="1:12" ht="22.5" customHeight="1">
      <c r="A2030">
        <f>Table4[[#This Row],[Column1]]</f>
        <v>0</v>
      </c>
      <c r="B2030">
        <f>Table4[[#This Row],[Column2]]</f>
        <v>0</v>
      </c>
      <c r="L2030"/>
    </row>
    <row r="2031" spans="1:12" ht="22.5" customHeight="1">
      <c r="A2031">
        <f>Table4[[#This Row],[Column1]]</f>
        <v>0</v>
      </c>
      <c r="B2031">
        <f>Table4[[#This Row],[Column2]]</f>
        <v>0</v>
      </c>
      <c r="L2031"/>
    </row>
    <row r="2032" spans="1:12" ht="22.5" customHeight="1">
      <c r="A2032">
        <f>Table4[[#This Row],[Column1]]</f>
        <v>0</v>
      </c>
      <c r="B2032">
        <f>Table4[[#This Row],[Column2]]</f>
        <v>0</v>
      </c>
      <c r="L2032"/>
    </row>
    <row r="2033" spans="1:12" ht="22.5" customHeight="1">
      <c r="A2033">
        <f>Table4[[#This Row],[Column1]]</f>
        <v>0</v>
      </c>
      <c r="B2033">
        <f>Table4[[#This Row],[Column2]]</f>
        <v>0</v>
      </c>
      <c r="L2033"/>
    </row>
    <row r="2034" spans="1:12" ht="22.5" customHeight="1">
      <c r="A2034">
        <f>Table4[[#This Row],[Column1]]</f>
        <v>0</v>
      </c>
      <c r="B2034">
        <f>Table4[[#This Row],[Column2]]</f>
        <v>0</v>
      </c>
      <c r="L2034"/>
    </row>
    <row r="2035" spans="1:12" ht="22.5" customHeight="1">
      <c r="A2035">
        <f>Table4[[#This Row],[Column1]]</f>
        <v>0</v>
      </c>
      <c r="B2035">
        <f>Table4[[#This Row],[Column2]]</f>
        <v>0</v>
      </c>
      <c r="L2035"/>
    </row>
    <row r="2036" spans="1:12" ht="22.5" customHeight="1">
      <c r="A2036">
        <f>Table4[[#This Row],[Column1]]</f>
        <v>0</v>
      </c>
      <c r="B2036">
        <f>Table4[[#This Row],[Column2]]</f>
        <v>0</v>
      </c>
      <c r="L2036"/>
    </row>
    <row r="2037" spans="1:12" ht="22.5" customHeight="1">
      <c r="A2037">
        <f>Table4[[#This Row],[Column1]]</f>
        <v>0</v>
      </c>
      <c r="B2037">
        <f>Table4[[#This Row],[Column2]]</f>
        <v>0</v>
      </c>
      <c r="L2037"/>
    </row>
    <row r="2038" spans="1:12" ht="22.5" customHeight="1">
      <c r="A2038">
        <f>Table4[[#This Row],[Column1]]</f>
        <v>0</v>
      </c>
      <c r="B2038">
        <f>Table4[[#This Row],[Column2]]</f>
        <v>0</v>
      </c>
      <c r="L2038"/>
    </row>
    <row r="2039" spans="1:12" ht="22.5" customHeight="1">
      <c r="A2039">
        <f>Table4[[#This Row],[Column1]]</f>
        <v>0</v>
      </c>
      <c r="B2039">
        <f>Table4[[#This Row],[Column2]]</f>
        <v>0</v>
      </c>
      <c r="L2039"/>
    </row>
    <row r="2040" spans="1:12" ht="22.5" customHeight="1">
      <c r="A2040">
        <f>Table4[[#This Row],[Column1]]</f>
        <v>0</v>
      </c>
      <c r="B2040">
        <f>Table4[[#This Row],[Column2]]</f>
        <v>0</v>
      </c>
      <c r="L2040"/>
    </row>
    <row r="2041" spans="1:12" ht="22.5" customHeight="1">
      <c r="A2041">
        <f>Table4[[#This Row],[Column1]]</f>
        <v>0</v>
      </c>
      <c r="B2041">
        <f>Table4[[#This Row],[Column2]]</f>
        <v>0</v>
      </c>
      <c r="L2041"/>
    </row>
    <row r="2042" spans="1:12" ht="22.5" customHeight="1">
      <c r="A2042">
        <f>Table4[[#This Row],[Column1]]</f>
        <v>0</v>
      </c>
      <c r="B2042">
        <f>Table4[[#This Row],[Column2]]</f>
        <v>0</v>
      </c>
      <c r="L2042"/>
    </row>
    <row r="2043" spans="1:12" ht="22.5" customHeight="1">
      <c r="A2043">
        <f>Table4[[#This Row],[Column1]]</f>
        <v>0</v>
      </c>
      <c r="B2043">
        <f>Table4[[#This Row],[Column2]]</f>
        <v>0</v>
      </c>
      <c r="L2043"/>
    </row>
    <row r="2044" spans="1:12" ht="22.5" customHeight="1">
      <c r="A2044">
        <f>Table4[[#This Row],[Column1]]</f>
        <v>0</v>
      </c>
      <c r="B2044">
        <f>Table4[[#This Row],[Column2]]</f>
        <v>0</v>
      </c>
      <c r="L2044"/>
    </row>
    <row r="2045" spans="1:12" ht="22.5" customHeight="1">
      <c r="A2045">
        <f>Table4[[#This Row],[Column1]]</f>
        <v>0</v>
      </c>
      <c r="B2045">
        <f>Table4[[#This Row],[Column2]]</f>
        <v>0</v>
      </c>
      <c r="L2045"/>
    </row>
    <row r="2046" spans="1:12" ht="22.5" customHeight="1">
      <c r="A2046">
        <f>Table4[[#This Row],[Column1]]</f>
        <v>0</v>
      </c>
      <c r="B2046">
        <f>Table4[[#This Row],[Column2]]</f>
        <v>0</v>
      </c>
      <c r="L2046"/>
    </row>
    <row r="2047" spans="1:12" ht="22.5" customHeight="1">
      <c r="A2047">
        <f>Table4[[#This Row],[Column1]]</f>
        <v>0</v>
      </c>
      <c r="B2047">
        <f>Table4[[#This Row],[Column2]]</f>
        <v>0</v>
      </c>
      <c r="L2047"/>
    </row>
    <row r="2048" spans="1:12" ht="22.5" customHeight="1">
      <c r="A2048">
        <f>Table4[[#This Row],[Column1]]</f>
        <v>0</v>
      </c>
      <c r="B2048">
        <f>Table4[[#This Row],[Column2]]</f>
        <v>0</v>
      </c>
      <c r="L2048"/>
    </row>
    <row r="2049" spans="1:12" ht="22.5" customHeight="1">
      <c r="A2049">
        <f>Table4[[#This Row],[Column1]]</f>
        <v>0</v>
      </c>
      <c r="B2049">
        <f>Table4[[#This Row],[Column2]]</f>
        <v>0</v>
      </c>
      <c r="L2049"/>
    </row>
    <row r="2050" spans="1:12" ht="22.5" customHeight="1">
      <c r="A2050">
        <f>Table4[[#This Row],[Column1]]</f>
        <v>0</v>
      </c>
      <c r="B2050">
        <f>Table4[[#This Row],[Column2]]</f>
        <v>0</v>
      </c>
      <c r="L2050"/>
    </row>
    <row r="2051" spans="1:12" ht="22.5" customHeight="1">
      <c r="A2051">
        <f>Table4[[#This Row],[Column1]]</f>
        <v>0</v>
      </c>
      <c r="B2051">
        <f>Table4[[#This Row],[Column2]]</f>
        <v>0</v>
      </c>
      <c r="L2051"/>
    </row>
    <row r="2052" spans="1:12" ht="22.5" customHeight="1">
      <c r="A2052">
        <f>Table4[[#This Row],[Column1]]</f>
        <v>0</v>
      </c>
      <c r="B2052">
        <f>Table4[[#This Row],[Column2]]</f>
        <v>0</v>
      </c>
      <c r="L2052"/>
    </row>
    <row r="2053" spans="1:12" ht="22.5" customHeight="1">
      <c r="A2053">
        <f>Table4[[#This Row],[Column1]]</f>
        <v>0</v>
      </c>
      <c r="B2053">
        <f>Table4[[#This Row],[Column2]]</f>
        <v>0</v>
      </c>
      <c r="L2053"/>
    </row>
    <row r="2054" spans="1:12" ht="22.5" customHeight="1">
      <c r="A2054">
        <f>Table4[[#This Row],[Column1]]</f>
        <v>0</v>
      </c>
      <c r="B2054">
        <f>Table4[[#This Row],[Column2]]</f>
        <v>0</v>
      </c>
      <c r="L2054"/>
    </row>
    <row r="2055" spans="1:12" ht="22.5" customHeight="1">
      <c r="A2055">
        <f>Table4[[#This Row],[Column1]]</f>
        <v>0</v>
      </c>
      <c r="B2055">
        <f>Table4[[#This Row],[Column2]]</f>
        <v>0</v>
      </c>
      <c r="L2055"/>
    </row>
    <row r="2056" spans="1:12" ht="22.5" customHeight="1">
      <c r="A2056">
        <f>Table4[[#This Row],[Column1]]</f>
        <v>0</v>
      </c>
      <c r="B2056">
        <f>Table4[[#This Row],[Column2]]</f>
        <v>0</v>
      </c>
      <c r="L2056"/>
    </row>
    <row r="2057" spans="1:12" ht="22.5" customHeight="1">
      <c r="A2057">
        <f>Table4[[#This Row],[Column1]]</f>
        <v>0</v>
      </c>
      <c r="B2057">
        <f>Table4[[#This Row],[Column2]]</f>
        <v>0</v>
      </c>
      <c r="L2057"/>
    </row>
    <row r="2058" spans="1:12" ht="22.5" customHeight="1">
      <c r="A2058">
        <f>Table4[[#This Row],[Column1]]</f>
        <v>0</v>
      </c>
      <c r="B2058">
        <f>Table4[[#This Row],[Column2]]</f>
        <v>0</v>
      </c>
      <c r="L2058"/>
    </row>
    <row r="2059" spans="1:12" ht="22.5" customHeight="1">
      <c r="A2059">
        <f>Table4[[#This Row],[Column1]]</f>
        <v>0</v>
      </c>
      <c r="B2059">
        <f>Table4[[#This Row],[Column2]]</f>
        <v>0</v>
      </c>
      <c r="L2059"/>
    </row>
    <row r="2060" spans="1:12" ht="22.5" customHeight="1">
      <c r="A2060">
        <f>Table4[[#This Row],[Column1]]</f>
        <v>0</v>
      </c>
      <c r="B2060">
        <f>Table4[[#This Row],[Column2]]</f>
        <v>0</v>
      </c>
      <c r="L2060"/>
    </row>
    <row r="2061" spans="1:12" ht="22.5" customHeight="1">
      <c r="A2061">
        <f>Table4[[#This Row],[Column1]]</f>
        <v>0</v>
      </c>
      <c r="B2061">
        <f>Table4[[#This Row],[Column2]]</f>
        <v>0</v>
      </c>
      <c r="L2061"/>
    </row>
    <row r="2062" spans="1:12" ht="22.5" customHeight="1">
      <c r="A2062">
        <f>Table4[[#This Row],[Column1]]</f>
        <v>0</v>
      </c>
      <c r="B2062">
        <f>Table4[[#This Row],[Column2]]</f>
        <v>0</v>
      </c>
      <c r="L2062"/>
    </row>
    <row r="2063" spans="1:12" ht="22.5" customHeight="1">
      <c r="A2063">
        <f>Table4[[#This Row],[Column1]]</f>
        <v>0</v>
      </c>
      <c r="B2063">
        <f>Table4[[#This Row],[Column2]]</f>
        <v>0</v>
      </c>
      <c r="L2063"/>
    </row>
    <row r="2064" spans="1:12" ht="22.5" customHeight="1">
      <c r="A2064">
        <f>Table4[[#This Row],[Column1]]</f>
        <v>0</v>
      </c>
      <c r="B2064">
        <f>Table4[[#This Row],[Column2]]</f>
        <v>0</v>
      </c>
      <c r="L2064"/>
    </row>
    <row r="2065" spans="1:12" ht="22.5" customHeight="1">
      <c r="A2065">
        <f>Table4[[#This Row],[Column1]]</f>
        <v>0</v>
      </c>
      <c r="B2065">
        <f>Table4[[#This Row],[Column2]]</f>
        <v>0</v>
      </c>
      <c r="L2065"/>
    </row>
    <row r="2066" spans="1:12" ht="22.5" customHeight="1">
      <c r="A2066">
        <f>Table4[[#This Row],[Column1]]</f>
        <v>0</v>
      </c>
      <c r="B2066">
        <f>Table4[[#This Row],[Column2]]</f>
        <v>0</v>
      </c>
      <c r="L2066"/>
    </row>
    <row r="2067" spans="1:12" ht="22.5" customHeight="1">
      <c r="A2067">
        <f>Table4[[#This Row],[Column1]]</f>
        <v>0</v>
      </c>
      <c r="B2067">
        <f>Table4[[#This Row],[Column2]]</f>
        <v>0</v>
      </c>
      <c r="L2067"/>
    </row>
    <row r="2068" spans="1:12" ht="22.5" customHeight="1">
      <c r="A2068">
        <f>Table4[[#This Row],[Column1]]</f>
        <v>0</v>
      </c>
      <c r="B2068">
        <f>Table4[[#This Row],[Column2]]</f>
        <v>0</v>
      </c>
      <c r="L2068"/>
    </row>
    <row r="2069" spans="1:12" ht="22.5" customHeight="1">
      <c r="A2069">
        <f>Table4[[#This Row],[Column1]]</f>
        <v>0</v>
      </c>
      <c r="B2069">
        <f>Table4[[#This Row],[Column2]]</f>
        <v>0</v>
      </c>
      <c r="L2069"/>
    </row>
    <row r="2070" spans="1:12" ht="22.5" customHeight="1">
      <c r="A2070">
        <f>Table4[[#This Row],[Column1]]</f>
        <v>0</v>
      </c>
      <c r="B2070">
        <f>Table4[[#This Row],[Column2]]</f>
        <v>0</v>
      </c>
      <c r="L2070"/>
    </row>
    <row r="2071" spans="1:12" ht="22.5" customHeight="1">
      <c r="A2071">
        <f>Table4[[#This Row],[Column1]]</f>
        <v>0</v>
      </c>
      <c r="B2071">
        <f>Table4[[#This Row],[Column2]]</f>
        <v>0</v>
      </c>
      <c r="L2071"/>
    </row>
    <row r="2072" spans="1:12" ht="22.5" customHeight="1">
      <c r="A2072">
        <f>Table4[[#This Row],[Column1]]</f>
        <v>0</v>
      </c>
      <c r="B2072">
        <f>Table4[[#This Row],[Column2]]</f>
        <v>0</v>
      </c>
      <c r="L2072"/>
    </row>
    <row r="2073" spans="1:12" ht="22.5" customHeight="1">
      <c r="A2073">
        <f>Table4[[#This Row],[Column1]]</f>
        <v>0</v>
      </c>
      <c r="B2073">
        <f>Table4[[#This Row],[Column2]]</f>
        <v>0</v>
      </c>
      <c r="L2073"/>
    </row>
    <row r="2074" spans="1:12" ht="22.5" customHeight="1">
      <c r="A2074">
        <f>Table4[[#This Row],[Column1]]</f>
        <v>0</v>
      </c>
      <c r="B2074">
        <f>Table4[[#This Row],[Column2]]</f>
        <v>0</v>
      </c>
      <c r="L2074"/>
    </row>
    <row r="2075" spans="1:12" ht="22.5" customHeight="1">
      <c r="A2075">
        <f>Table4[[#This Row],[Column1]]</f>
        <v>0</v>
      </c>
      <c r="B2075">
        <f>Table4[[#This Row],[Column2]]</f>
        <v>0</v>
      </c>
      <c r="L2075"/>
    </row>
    <row r="2076" spans="1:12" ht="22.5" customHeight="1">
      <c r="A2076">
        <f>Table4[[#This Row],[Column1]]</f>
        <v>0</v>
      </c>
      <c r="B2076">
        <f>Table4[[#This Row],[Column2]]</f>
        <v>0</v>
      </c>
      <c r="L2076"/>
    </row>
    <row r="2077" spans="1:12" ht="22.5" customHeight="1">
      <c r="A2077">
        <f>Table4[[#This Row],[Column1]]</f>
        <v>0</v>
      </c>
      <c r="B2077">
        <f>Table4[[#This Row],[Column2]]</f>
        <v>0</v>
      </c>
      <c r="L2077"/>
    </row>
    <row r="2078" spans="1:12" ht="22.5" customHeight="1">
      <c r="A2078">
        <f>Table4[[#This Row],[Column1]]</f>
        <v>0</v>
      </c>
      <c r="B2078">
        <f>Table4[[#This Row],[Column2]]</f>
        <v>0</v>
      </c>
      <c r="L2078"/>
    </row>
    <row r="2079" spans="1:12" ht="22.5" customHeight="1">
      <c r="A2079">
        <f>Table4[[#This Row],[Column1]]</f>
        <v>0</v>
      </c>
      <c r="B2079">
        <f>Table4[[#This Row],[Column2]]</f>
        <v>0</v>
      </c>
      <c r="L2079"/>
    </row>
    <row r="2080" spans="1:12" ht="22.5" customHeight="1">
      <c r="A2080">
        <f>Table4[[#This Row],[Column1]]</f>
        <v>0</v>
      </c>
      <c r="B2080">
        <f>Table4[[#This Row],[Column2]]</f>
        <v>0</v>
      </c>
      <c r="L2080"/>
    </row>
    <row r="2081" spans="1:12" ht="22.5" customHeight="1">
      <c r="A2081">
        <f>Table4[[#This Row],[Column1]]</f>
        <v>0</v>
      </c>
      <c r="B2081">
        <f>Table4[[#This Row],[Column2]]</f>
        <v>0</v>
      </c>
      <c r="L2081"/>
    </row>
    <row r="2082" spans="1:12" ht="22.5" customHeight="1">
      <c r="A2082">
        <f>Table4[[#This Row],[Column1]]</f>
        <v>0</v>
      </c>
      <c r="B2082">
        <f>Table4[[#This Row],[Column2]]</f>
        <v>0</v>
      </c>
      <c r="L2082"/>
    </row>
    <row r="2083" spans="1:12" ht="22.5" customHeight="1">
      <c r="A2083">
        <f>Table4[[#This Row],[Column1]]</f>
        <v>0</v>
      </c>
      <c r="B2083">
        <f>Table4[[#This Row],[Column2]]</f>
        <v>0</v>
      </c>
      <c r="L2083"/>
    </row>
    <row r="2084" spans="1:12" ht="22.5" customHeight="1">
      <c r="A2084">
        <f>Table4[[#This Row],[Column1]]</f>
        <v>0</v>
      </c>
      <c r="B2084">
        <f>Table4[[#This Row],[Column2]]</f>
        <v>0</v>
      </c>
      <c r="L2084"/>
    </row>
    <row r="2085" spans="1:12" ht="22.5" customHeight="1">
      <c r="A2085">
        <f>Table4[[#This Row],[Column1]]</f>
        <v>0</v>
      </c>
      <c r="B2085">
        <f>Table4[[#This Row],[Column2]]</f>
        <v>0</v>
      </c>
      <c r="L2085"/>
    </row>
    <row r="2086" spans="1:12" ht="22.5" customHeight="1">
      <c r="A2086">
        <f>Table4[[#This Row],[Column1]]</f>
        <v>0</v>
      </c>
      <c r="B2086">
        <f>Table4[[#This Row],[Column2]]</f>
        <v>0</v>
      </c>
      <c r="L2086"/>
    </row>
    <row r="2087" spans="1:12" ht="22.5" customHeight="1">
      <c r="A2087">
        <f>Table4[[#This Row],[Column1]]</f>
        <v>0</v>
      </c>
      <c r="B2087">
        <f>Table4[[#This Row],[Column2]]</f>
        <v>0</v>
      </c>
      <c r="L2087"/>
    </row>
    <row r="2088" spans="1:12" ht="22.5" customHeight="1">
      <c r="A2088">
        <f>Table4[[#This Row],[Column1]]</f>
        <v>0</v>
      </c>
      <c r="B2088">
        <f>Table4[[#This Row],[Column2]]</f>
        <v>0</v>
      </c>
      <c r="L2088"/>
    </row>
    <row r="2089" spans="1:12" ht="22.5" customHeight="1">
      <c r="A2089">
        <f>Table4[[#This Row],[Column1]]</f>
        <v>0</v>
      </c>
      <c r="B2089">
        <f>Table4[[#This Row],[Column2]]</f>
        <v>0</v>
      </c>
      <c r="L2089"/>
    </row>
    <row r="2090" spans="1:12" ht="22.5" customHeight="1">
      <c r="A2090">
        <f>Table4[[#This Row],[Column1]]</f>
        <v>0</v>
      </c>
      <c r="B2090">
        <f>Table4[[#This Row],[Column2]]</f>
        <v>0</v>
      </c>
      <c r="L2090"/>
    </row>
    <row r="2091" spans="1:12" ht="22.5" customHeight="1">
      <c r="A2091">
        <f>Table4[[#This Row],[Column1]]</f>
        <v>0</v>
      </c>
      <c r="B2091">
        <f>Table4[[#This Row],[Column2]]</f>
        <v>0</v>
      </c>
      <c r="L2091"/>
    </row>
    <row r="2092" spans="1:12" ht="22.5" customHeight="1">
      <c r="A2092">
        <f>Table4[[#This Row],[Column1]]</f>
        <v>0</v>
      </c>
      <c r="B2092">
        <f>Table4[[#This Row],[Column2]]</f>
        <v>0</v>
      </c>
      <c r="L2092"/>
    </row>
    <row r="2093" spans="1:12" ht="22.5" customHeight="1">
      <c r="A2093">
        <f>Table4[[#This Row],[Column1]]</f>
        <v>0</v>
      </c>
      <c r="B2093">
        <f>Table4[[#This Row],[Column2]]</f>
        <v>0</v>
      </c>
      <c r="L2093"/>
    </row>
    <row r="2094" spans="1:12" ht="22.5" customHeight="1">
      <c r="A2094">
        <f>Table4[[#This Row],[Column1]]</f>
        <v>0</v>
      </c>
      <c r="B2094">
        <f>Table4[[#This Row],[Column2]]</f>
        <v>0</v>
      </c>
      <c r="L2094"/>
    </row>
    <row r="2095" spans="1:12" ht="22.5" customHeight="1">
      <c r="A2095">
        <f>Table4[[#This Row],[Column1]]</f>
        <v>0</v>
      </c>
      <c r="B2095">
        <f>Table4[[#This Row],[Column2]]</f>
        <v>0</v>
      </c>
      <c r="L2095"/>
    </row>
    <row r="2096" spans="1:12" ht="22.5" customHeight="1">
      <c r="A2096">
        <f>Table4[[#This Row],[Column1]]</f>
        <v>0</v>
      </c>
      <c r="B2096">
        <f>Table4[[#This Row],[Column2]]</f>
        <v>0</v>
      </c>
      <c r="L2096"/>
    </row>
    <row r="2097" spans="1:12" ht="22.5" customHeight="1">
      <c r="A2097">
        <f>Table4[[#This Row],[Column1]]</f>
        <v>0</v>
      </c>
      <c r="B2097">
        <f>Table4[[#This Row],[Column2]]</f>
        <v>0</v>
      </c>
      <c r="L2097"/>
    </row>
    <row r="2098" spans="1:12" ht="22.5" customHeight="1">
      <c r="A2098">
        <f>Table4[[#This Row],[Column1]]</f>
        <v>0</v>
      </c>
      <c r="B2098">
        <f>Table4[[#This Row],[Column2]]</f>
        <v>0</v>
      </c>
      <c r="L2098"/>
    </row>
    <row r="2099" spans="1:12" ht="22.5" customHeight="1">
      <c r="A2099">
        <f>Table4[[#This Row],[Column1]]</f>
        <v>0</v>
      </c>
      <c r="B2099">
        <f>Table4[[#This Row],[Column2]]</f>
        <v>0</v>
      </c>
      <c r="L2099"/>
    </row>
    <row r="2100" spans="1:12" ht="22.5" customHeight="1">
      <c r="A2100">
        <f>Table4[[#This Row],[Column1]]</f>
        <v>0</v>
      </c>
      <c r="B2100">
        <f>Table4[[#This Row],[Column2]]</f>
        <v>0</v>
      </c>
      <c r="L2100"/>
    </row>
    <row r="2101" spans="1:12" ht="22.5" customHeight="1">
      <c r="A2101">
        <f>Table4[[#This Row],[Column1]]</f>
        <v>0</v>
      </c>
      <c r="B2101">
        <f>Table4[[#This Row],[Column2]]</f>
        <v>0</v>
      </c>
      <c r="L2101"/>
    </row>
    <row r="2102" spans="1:12" ht="22.5" customHeight="1">
      <c r="A2102">
        <f>Table4[[#This Row],[Column1]]</f>
        <v>0</v>
      </c>
      <c r="B2102">
        <f>Table4[[#This Row],[Column2]]</f>
        <v>0</v>
      </c>
      <c r="L2102"/>
    </row>
    <row r="2103" spans="1:12" ht="22.5" customHeight="1">
      <c r="A2103">
        <f>Table4[[#This Row],[Column1]]</f>
        <v>0</v>
      </c>
      <c r="B2103">
        <f>Table4[[#This Row],[Column2]]</f>
        <v>0</v>
      </c>
      <c r="L2103"/>
    </row>
    <row r="2104" spans="1:12" ht="22.5" customHeight="1">
      <c r="A2104">
        <f>Table4[[#This Row],[Column1]]</f>
        <v>0</v>
      </c>
      <c r="B2104">
        <f>Table4[[#This Row],[Column2]]</f>
        <v>0</v>
      </c>
      <c r="L2104"/>
    </row>
    <row r="2105" spans="1:12" ht="22.5" customHeight="1">
      <c r="A2105">
        <f>Table4[[#This Row],[Column1]]</f>
        <v>0</v>
      </c>
      <c r="B2105">
        <f>Table4[[#This Row],[Column2]]</f>
        <v>0</v>
      </c>
      <c r="L2105"/>
    </row>
    <row r="2106" spans="1:12" ht="22.5" customHeight="1">
      <c r="A2106">
        <f>Table4[[#This Row],[Column1]]</f>
        <v>0</v>
      </c>
      <c r="B2106">
        <f>Table4[[#This Row],[Column2]]</f>
        <v>0</v>
      </c>
      <c r="L2106"/>
    </row>
    <row r="2107" spans="1:12" ht="22.5" customHeight="1">
      <c r="A2107">
        <f>Table4[[#This Row],[Column1]]</f>
        <v>0</v>
      </c>
      <c r="B2107">
        <f>Table4[[#This Row],[Column2]]</f>
        <v>0</v>
      </c>
      <c r="L2107"/>
    </row>
    <row r="2108" spans="1:12" ht="22.5" customHeight="1">
      <c r="A2108">
        <f>Table4[[#This Row],[Column1]]</f>
        <v>0</v>
      </c>
      <c r="B2108">
        <f>Table4[[#This Row],[Column2]]</f>
        <v>0</v>
      </c>
      <c r="L2108"/>
    </row>
    <row r="2109" spans="1:12" ht="22.5" customHeight="1">
      <c r="A2109">
        <f>Table4[[#This Row],[Column1]]</f>
        <v>0</v>
      </c>
      <c r="B2109">
        <f>Table4[[#This Row],[Column2]]</f>
        <v>0</v>
      </c>
      <c r="L2109"/>
    </row>
    <row r="2110" spans="1:12" ht="22.5" customHeight="1">
      <c r="A2110">
        <f>Table4[[#This Row],[Column1]]</f>
        <v>0</v>
      </c>
      <c r="B2110">
        <f>Table4[[#This Row],[Column2]]</f>
        <v>0</v>
      </c>
      <c r="L2110"/>
    </row>
    <row r="2111" spans="1:12" ht="22.5" customHeight="1">
      <c r="A2111">
        <f>Table4[[#This Row],[Column1]]</f>
        <v>0</v>
      </c>
      <c r="B2111">
        <f>Table4[[#This Row],[Column2]]</f>
        <v>0</v>
      </c>
      <c r="L2111"/>
    </row>
    <row r="2112" spans="1:12" ht="22.5" customHeight="1">
      <c r="A2112">
        <f>Table4[[#This Row],[Column1]]</f>
        <v>0</v>
      </c>
      <c r="B2112">
        <f>Table4[[#This Row],[Column2]]</f>
        <v>0</v>
      </c>
      <c r="L2112"/>
    </row>
    <row r="2113" spans="1:12" ht="22.5" customHeight="1">
      <c r="A2113">
        <f>Table4[[#This Row],[Column1]]</f>
        <v>0</v>
      </c>
      <c r="B2113">
        <f>Table4[[#This Row],[Column2]]</f>
        <v>0</v>
      </c>
      <c r="L2113"/>
    </row>
    <row r="2114" spans="1:12" ht="22.5" customHeight="1">
      <c r="A2114">
        <f>Table4[[#This Row],[Column1]]</f>
        <v>0</v>
      </c>
      <c r="B2114">
        <f>Table4[[#This Row],[Column2]]</f>
        <v>0</v>
      </c>
      <c r="L2114"/>
    </row>
    <row r="2115" spans="1:12" ht="22.5" customHeight="1">
      <c r="A2115">
        <f>Table4[[#This Row],[Column1]]</f>
        <v>0</v>
      </c>
      <c r="B2115">
        <f>Table4[[#This Row],[Column2]]</f>
        <v>0</v>
      </c>
      <c r="L2115"/>
    </row>
    <row r="2116" spans="1:12" ht="22.5" customHeight="1">
      <c r="A2116">
        <f>Table4[[#This Row],[Column1]]</f>
        <v>0</v>
      </c>
      <c r="B2116">
        <f>Table4[[#This Row],[Column2]]</f>
        <v>0</v>
      </c>
      <c r="L2116"/>
    </row>
    <row r="2117" spans="1:12" ht="22.5" customHeight="1">
      <c r="A2117">
        <f>Table4[[#This Row],[Column1]]</f>
        <v>0</v>
      </c>
      <c r="B2117">
        <f>Table4[[#This Row],[Column2]]</f>
        <v>0</v>
      </c>
      <c r="L2117"/>
    </row>
    <row r="2118" spans="1:12" ht="22.5" customHeight="1">
      <c r="A2118">
        <f>Table4[[#This Row],[Column1]]</f>
        <v>0</v>
      </c>
      <c r="B2118">
        <f>Table4[[#This Row],[Column2]]</f>
        <v>0</v>
      </c>
      <c r="L2118"/>
    </row>
    <row r="2119" spans="1:12" ht="22.5" customHeight="1">
      <c r="A2119">
        <f>Table4[[#This Row],[Column1]]</f>
        <v>0</v>
      </c>
      <c r="B2119">
        <f>Table4[[#This Row],[Column2]]</f>
        <v>0</v>
      </c>
      <c r="L2119"/>
    </row>
    <row r="2120" spans="1:12" ht="22.5" customHeight="1">
      <c r="A2120">
        <f>Table4[[#This Row],[Column1]]</f>
        <v>0</v>
      </c>
      <c r="B2120">
        <f>Table4[[#This Row],[Column2]]</f>
        <v>0</v>
      </c>
      <c r="L2120"/>
    </row>
    <row r="2121" spans="1:12" ht="22.5" customHeight="1">
      <c r="A2121">
        <f>Table4[[#This Row],[Column1]]</f>
        <v>0</v>
      </c>
      <c r="B2121">
        <f>Table4[[#This Row],[Column2]]</f>
        <v>0</v>
      </c>
      <c r="L2121"/>
    </row>
    <row r="2122" spans="1:12" ht="22.5" customHeight="1">
      <c r="A2122">
        <f>Table4[[#This Row],[Column1]]</f>
        <v>0</v>
      </c>
      <c r="B2122">
        <f>Table4[[#This Row],[Column2]]</f>
        <v>0</v>
      </c>
      <c r="L2122"/>
    </row>
    <row r="2123" spans="1:12" ht="22.5" customHeight="1">
      <c r="A2123">
        <f>Table4[[#This Row],[Column1]]</f>
        <v>0</v>
      </c>
      <c r="B2123">
        <f>Table4[[#This Row],[Column2]]</f>
        <v>0</v>
      </c>
      <c r="L2123"/>
    </row>
    <row r="2124" spans="1:12" ht="22.5" customHeight="1">
      <c r="A2124">
        <f>Table4[[#This Row],[Column1]]</f>
        <v>0</v>
      </c>
      <c r="B2124">
        <f>Table4[[#This Row],[Column2]]</f>
        <v>0</v>
      </c>
      <c r="L2124"/>
    </row>
    <row r="2125" spans="1:12" ht="22.5" customHeight="1">
      <c r="A2125">
        <f>Table4[[#This Row],[Column1]]</f>
        <v>0</v>
      </c>
      <c r="B2125">
        <f>Table4[[#This Row],[Column2]]</f>
        <v>0</v>
      </c>
      <c r="L2125"/>
    </row>
    <row r="2126" spans="1:12" ht="22.5" customHeight="1">
      <c r="A2126">
        <f>Table4[[#This Row],[Column1]]</f>
        <v>0</v>
      </c>
      <c r="B2126">
        <f>Table4[[#This Row],[Column2]]</f>
        <v>0</v>
      </c>
      <c r="L2126"/>
    </row>
    <row r="2127" spans="1:12" ht="22.5" customHeight="1">
      <c r="A2127">
        <f>Table4[[#This Row],[Column1]]</f>
        <v>0</v>
      </c>
      <c r="B2127">
        <f>Table4[[#This Row],[Column2]]</f>
        <v>0</v>
      </c>
      <c r="L2127"/>
    </row>
    <row r="2128" spans="1:12" ht="22.5" customHeight="1">
      <c r="A2128">
        <f>Table4[[#This Row],[Column1]]</f>
        <v>0</v>
      </c>
      <c r="B2128">
        <f>Table4[[#This Row],[Column2]]</f>
        <v>0</v>
      </c>
      <c r="L2128"/>
    </row>
    <row r="2129" spans="1:12" ht="22.5" customHeight="1">
      <c r="A2129">
        <f>Table4[[#This Row],[Column1]]</f>
        <v>0</v>
      </c>
      <c r="B2129">
        <f>Table4[[#This Row],[Column2]]</f>
        <v>0</v>
      </c>
      <c r="L2129"/>
    </row>
    <row r="2130" spans="1:12" ht="22.5" customHeight="1">
      <c r="A2130">
        <f>Table4[[#This Row],[Column1]]</f>
        <v>0</v>
      </c>
      <c r="B2130">
        <f>Table4[[#This Row],[Column2]]</f>
        <v>0</v>
      </c>
      <c r="L2130"/>
    </row>
    <row r="2131" spans="1:12" ht="22.5" customHeight="1">
      <c r="A2131">
        <f>Table4[[#This Row],[Column1]]</f>
        <v>0</v>
      </c>
      <c r="B2131">
        <f>Table4[[#This Row],[Column2]]</f>
        <v>0</v>
      </c>
      <c r="L2131"/>
    </row>
    <row r="2132" spans="1:12" ht="22.5" customHeight="1">
      <c r="A2132">
        <f>Table4[[#This Row],[Column1]]</f>
        <v>0</v>
      </c>
      <c r="B2132">
        <f>Table4[[#This Row],[Column2]]</f>
        <v>0</v>
      </c>
      <c r="L2132"/>
    </row>
    <row r="2133" spans="1:12" ht="22.5" customHeight="1">
      <c r="A2133">
        <f>Table4[[#This Row],[Column1]]</f>
        <v>0</v>
      </c>
      <c r="B2133">
        <f>Table4[[#This Row],[Column2]]</f>
        <v>0</v>
      </c>
      <c r="L2133"/>
    </row>
    <row r="2134" spans="1:12" ht="22.5" customHeight="1">
      <c r="A2134">
        <f>Table4[[#This Row],[Column1]]</f>
        <v>0</v>
      </c>
      <c r="B2134">
        <f>Table4[[#This Row],[Column2]]</f>
        <v>0</v>
      </c>
      <c r="L2134"/>
    </row>
    <row r="2135" spans="1:12" ht="22.5" customHeight="1">
      <c r="A2135">
        <f>Table4[[#This Row],[Column1]]</f>
        <v>0</v>
      </c>
      <c r="B2135">
        <f>Table4[[#This Row],[Column2]]</f>
        <v>0</v>
      </c>
      <c r="L2135"/>
    </row>
    <row r="2136" spans="1:12" ht="22.5" customHeight="1">
      <c r="A2136">
        <f>Table4[[#This Row],[Column1]]</f>
        <v>0</v>
      </c>
      <c r="B2136">
        <f>Table4[[#This Row],[Column2]]</f>
        <v>0</v>
      </c>
      <c r="L2136"/>
    </row>
    <row r="2137" spans="1:12" ht="22.5" customHeight="1">
      <c r="A2137">
        <f>Table4[[#This Row],[Column1]]</f>
        <v>0</v>
      </c>
      <c r="B2137">
        <f>Table4[[#This Row],[Column2]]</f>
        <v>0</v>
      </c>
      <c r="L2137"/>
    </row>
    <row r="2138" spans="1:12" ht="22.5" customHeight="1">
      <c r="A2138">
        <f>Table4[[#This Row],[Column1]]</f>
        <v>0</v>
      </c>
      <c r="B2138">
        <f>Table4[[#This Row],[Column2]]</f>
        <v>0</v>
      </c>
      <c r="L2138"/>
    </row>
    <row r="2139" spans="1:12" ht="22.5" customHeight="1">
      <c r="A2139">
        <f>Table4[[#This Row],[Column1]]</f>
        <v>0</v>
      </c>
      <c r="B2139">
        <f>Table4[[#This Row],[Column2]]</f>
        <v>0</v>
      </c>
      <c r="L2139"/>
    </row>
    <row r="2140" spans="1:12" ht="22.5" customHeight="1">
      <c r="A2140">
        <f>Table4[[#This Row],[Column1]]</f>
        <v>0</v>
      </c>
      <c r="B2140">
        <f>Table4[[#This Row],[Column2]]</f>
        <v>0</v>
      </c>
      <c r="L2140"/>
    </row>
    <row r="2141" spans="1:12" ht="22.5" customHeight="1">
      <c r="A2141">
        <f>Table4[[#This Row],[Column1]]</f>
        <v>0</v>
      </c>
      <c r="B2141">
        <f>Table4[[#This Row],[Column2]]</f>
        <v>0</v>
      </c>
      <c r="L2141"/>
    </row>
    <row r="2142" spans="1:12" ht="22.5" customHeight="1">
      <c r="A2142">
        <f>Table4[[#This Row],[Column1]]</f>
        <v>0</v>
      </c>
      <c r="B2142">
        <f>Table4[[#This Row],[Column2]]</f>
        <v>0</v>
      </c>
      <c r="L2142"/>
    </row>
    <row r="2143" spans="1:12" ht="22.5" customHeight="1">
      <c r="A2143">
        <f>Table4[[#This Row],[Column1]]</f>
        <v>0</v>
      </c>
      <c r="B2143">
        <f>Table4[[#This Row],[Column2]]</f>
        <v>0</v>
      </c>
      <c r="L2143"/>
    </row>
    <row r="2144" spans="1:12" ht="22.5" customHeight="1">
      <c r="A2144">
        <f>Table4[[#This Row],[Column1]]</f>
        <v>0</v>
      </c>
      <c r="B2144">
        <f>Table4[[#This Row],[Column2]]</f>
        <v>0</v>
      </c>
      <c r="L2144"/>
    </row>
    <row r="2145" spans="1:12" ht="22.5" customHeight="1">
      <c r="A2145">
        <f>Table4[[#This Row],[Column1]]</f>
        <v>0</v>
      </c>
      <c r="B2145">
        <f>Table4[[#This Row],[Column2]]</f>
        <v>0</v>
      </c>
      <c r="L2145"/>
    </row>
    <row r="2146" spans="1:12" ht="22.5" customHeight="1">
      <c r="A2146">
        <f>Table4[[#This Row],[Column1]]</f>
        <v>0</v>
      </c>
      <c r="B2146">
        <f>Table4[[#This Row],[Column2]]</f>
        <v>0</v>
      </c>
      <c r="L2146"/>
    </row>
    <row r="2147" spans="1:12" ht="22.5" customHeight="1">
      <c r="A2147">
        <f>Table4[[#This Row],[Column1]]</f>
        <v>0</v>
      </c>
      <c r="B2147">
        <f>Table4[[#This Row],[Column2]]</f>
        <v>0</v>
      </c>
      <c r="L2147"/>
    </row>
    <row r="2148" spans="1:12" ht="22.5" customHeight="1">
      <c r="A2148">
        <f>Table4[[#This Row],[Column1]]</f>
        <v>0</v>
      </c>
      <c r="B2148">
        <f>Table4[[#This Row],[Column2]]</f>
        <v>0</v>
      </c>
      <c r="L2148"/>
    </row>
    <row r="2149" spans="1:12" ht="22.5" customHeight="1">
      <c r="A2149">
        <f>Table4[[#This Row],[Column1]]</f>
        <v>0</v>
      </c>
      <c r="B2149">
        <f>Table4[[#This Row],[Column2]]</f>
        <v>0</v>
      </c>
      <c r="L2149"/>
    </row>
    <row r="2150" spans="1:12" ht="22.5" customHeight="1">
      <c r="A2150">
        <f>Table4[[#This Row],[Column1]]</f>
        <v>0</v>
      </c>
      <c r="B2150">
        <f>Table4[[#This Row],[Column2]]</f>
        <v>0</v>
      </c>
      <c r="L2150"/>
    </row>
    <row r="2151" spans="1:12" ht="22.5" customHeight="1">
      <c r="A2151">
        <f>Table4[[#This Row],[Column1]]</f>
        <v>0</v>
      </c>
      <c r="B2151">
        <f>Table4[[#This Row],[Column2]]</f>
        <v>0</v>
      </c>
      <c r="L2151"/>
    </row>
    <row r="2152" spans="1:12" ht="22.5" customHeight="1">
      <c r="A2152">
        <f>Table4[[#This Row],[Column1]]</f>
        <v>0</v>
      </c>
      <c r="B2152">
        <f>Table4[[#This Row],[Column2]]</f>
        <v>0</v>
      </c>
      <c r="L2152"/>
    </row>
    <row r="2153" spans="1:12" ht="22.5" customHeight="1">
      <c r="A2153">
        <f>Table4[[#This Row],[Column1]]</f>
        <v>0</v>
      </c>
      <c r="B2153">
        <f>Table4[[#This Row],[Column2]]</f>
        <v>0</v>
      </c>
      <c r="L2153"/>
    </row>
    <row r="2154" spans="1:12" ht="22.5" customHeight="1">
      <c r="A2154">
        <f>Table4[[#This Row],[Column1]]</f>
        <v>0</v>
      </c>
      <c r="B2154">
        <f>Table4[[#This Row],[Column2]]</f>
        <v>0</v>
      </c>
      <c r="L2154"/>
    </row>
    <row r="2155" spans="1:12" ht="22.5" customHeight="1">
      <c r="A2155">
        <f>Table4[[#This Row],[Column1]]</f>
        <v>0</v>
      </c>
      <c r="B2155">
        <f>Table4[[#This Row],[Column2]]</f>
        <v>0</v>
      </c>
      <c r="L2155"/>
    </row>
    <row r="2156" spans="1:12" ht="22.5" customHeight="1">
      <c r="A2156">
        <f>Table4[[#This Row],[Column1]]</f>
        <v>0</v>
      </c>
      <c r="B2156">
        <f>Table4[[#This Row],[Column2]]</f>
        <v>0</v>
      </c>
      <c r="L2156"/>
    </row>
    <row r="2157" spans="1:12" ht="22.5" customHeight="1">
      <c r="A2157">
        <f>Table4[[#This Row],[Column1]]</f>
        <v>0</v>
      </c>
      <c r="B2157">
        <f>Table4[[#This Row],[Column2]]</f>
        <v>0</v>
      </c>
      <c r="L2157"/>
    </row>
    <row r="2158" spans="1:12" ht="22.5" customHeight="1">
      <c r="A2158">
        <f>Table4[[#This Row],[Column1]]</f>
        <v>0</v>
      </c>
      <c r="B2158">
        <f>Table4[[#This Row],[Column2]]</f>
        <v>0</v>
      </c>
      <c r="L2158"/>
    </row>
    <row r="2159" spans="1:12" ht="22.5" customHeight="1">
      <c r="A2159">
        <f>Table4[[#This Row],[Column1]]</f>
        <v>0</v>
      </c>
      <c r="B2159">
        <f>Table4[[#This Row],[Column2]]</f>
        <v>0</v>
      </c>
      <c r="L2159"/>
    </row>
    <row r="2160" spans="1:12" ht="22.5" customHeight="1">
      <c r="A2160">
        <f>Table4[[#This Row],[Column1]]</f>
        <v>0</v>
      </c>
      <c r="B2160">
        <f>Table4[[#This Row],[Column2]]</f>
        <v>0</v>
      </c>
      <c r="L2160"/>
    </row>
    <row r="2161" spans="1:12" ht="22.5" customHeight="1">
      <c r="A2161">
        <f>Table4[[#This Row],[Column1]]</f>
        <v>0</v>
      </c>
      <c r="B2161">
        <f>Table4[[#This Row],[Column2]]</f>
        <v>0</v>
      </c>
      <c r="L2161"/>
    </row>
    <row r="2162" spans="1:12" ht="22.5" customHeight="1">
      <c r="A2162">
        <f>Table4[[#This Row],[Column1]]</f>
        <v>0</v>
      </c>
      <c r="B2162">
        <f>Table4[[#This Row],[Column2]]</f>
        <v>0</v>
      </c>
      <c r="L2162"/>
    </row>
    <row r="2163" spans="1:12" ht="22.5" customHeight="1">
      <c r="A2163">
        <f>Table4[[#This Row],[Column1]]</f>
        <v>0</v>
      </c>
      <c r="B2163">
        <f>Table4[[#This Row],[Column2]]</f>
        <v>0</v>
      </c>
      <c r="L2163"/>
    </row>
    <row r="2164" spans="1:12" ht="22.5" customHeight="1">
      <c r="A2164">
        <f>Table4[[#This Row],[Column1]]</f>
        <v>0</v>
      </c>
      <c r="B2164">
        <f>Table4[[#This Row],[Column2]]</f>
        <v>0</v>
      </c>
      <c r="L2164"/>
    </row>
    <row r="2165" spans="1:12" ht="22.5" customHeight="1">
      <c r="A2165">
        <f>Table4[[#This Row],[Column1]]</f>
        <v>0</v>
      </c>
      <c r="B2165">
        <f>Table4[[#This Row],[Column2]]</f>
        <v>0</v>
      </c>
      <c r="L2165"/>
    </row>
    <row r="2166" spans="1:12" ht="22.5" customHeight="1">
      <c r="A2166">
        <f>Table4[[#This Row],[Column1]]</f>
        <v>0</v>
      </c>
      <c r="B2166">
        <f>Table4[[#This Row],[Column2]]</f>
        <v>0</v>
      </c>
      <c r="L2166"/>
    </row>
    <row r="2167" spans="1:12" ht="22.5" customHeight="1">
      <c r="A2167">
        <f>Table4[[#This Row],[Column1]]</f>
        <v>0</v>
      </c>
      <c r="B2167">
        <f>Table4[[#This Row],[Column2]]</f>
        <v>0</v>
      </c>
      <c r="L2167"/>
    </row>
    <row r="2168" spans="1:12" ht="22.5" customHeight="1">
      <c r="A2168">
        <f>Table4[[#This Row],[Column1]]</f>
        <v>0</v>
      </c>
      <c r="B2168">
        <f>Table4[[#This Row],[Column2]]</f>
        <v>0</v>
      </c>
      <c r="L2168"/>
    </row>
    <row r="2169" spans="1:12" ht="22.5" customHeight="1">
      <c r="A2169">
        <f>Table4[[#This Row],[Column1]]</f>
        <v>0</v>
      </c>
      <c r="B2169">
        <f>Table4[[#This Row],[Column2]]</f>
        <v>0</v>
      </c>
      <c r="L2169"/>
    </row>
    <row r="2170" spans="1:12" ht="22.5" customHeight="1">
      <c r="A2170">
        <f>Table4[[#This Row],[Column1]]</f>
        <v>0</v>
      </c>
      <c r="B2170">
        <f>Table4[[#This Row],[Column2]]</f>
        <v>0</v>
      </c>
      <c r="L2170"/>
    </row>
    <row r="2171" spans="1:12" ht="22.5" customHeight="1">
      <c r="A2171">
        <f>Table4[[#This Row],[Column1]]</f>
        <v>0</v>
      </c>
      <c r="B2171">
        <f>Table4[[#This Row],[Column2]]</f>
        <v>0</v>
      </c>
      <c r="L2171"/>
    </row>
    <row r="2172" spans="1:12" ht="22.5" customHeight="1">
      <c r="A2172">
        <f>Table4[[#This Row],[Column1]]</f>
        <v>0</v>
      </c>
      <c r="B2172">
        <f>Table4[[#This Row],[Column2]]</f>
        <v>0</v>
      </c>
      <c r="L2172"/>
    </row>
    <row r="2173" spans="1:12" ht="22.5" customHeight="1">
      <c r="A2173">
        <f>Table4[[#This Row],[Column1]]</f>
        <v>0</v>
      </c>
      <c r="B2173">
        <f>Table4[[#This Row],[Column2]]</f>
        <v>0</v>
      </c>
      <c r="L2173"/>
    </row>
    <row r="2174" spans="1:12" ht="22.5" customHeight="1">
      <c r="A2174">
        <f>Table4[[#This Row],[Column1]]</f>
        <v>0</v>
      </c>
      <c r="B2174">
        <f>Table4[[#This Row],[Column2]]</f>
        <v>0</v>
      </c>
      <c r="L2174"/>
    </row>
    <row r="2175" spans="1:12" ht="22.5" customHeight="1">
      <c r="A2175">
        <f>Table4[[#This Row],[Column1]]</f>
        <v>0</v>
      </c>
      <c r="B2175">
        <f>Table4[[#This Row],[Column2]]</f>
        <v>0</v>
      </c>
      <c r="L2175"/>
    </row>
    <row r="2176" spans="1:12" ht="22.5" customHeight="1">
      <c r="A2176">
        <f>Table4[[#This Row],[Column1]]</f>
        <v>0</v>
      </c>
      <c r="B2176">
        <f>Table4[[#This Row],[Column2]]</f>
        <v>0</v>
      </c>
      <c r="L2176"/>
    </row>
    <row r="2177" spans="1:12" ht="22.5" customHeight="1">
      <c r="A2177">
        <f>Table4[[#This Row],[Column1]]</f>
        <v>0</v>
      </c>
      <c r="B2177">
        <f>Table4[[#This Row],[Column2]]</f>
        <v>0</v>
      </c>
      <c r="L2177"/>
    </row>
    <row r="2178" spans="1:12" ht="22.5" customHeight="1">
      <c r="A2178">
        <f>Table4[[#This Row],[Column1]]</f>
        <v>0</v>
      </c>
      <c r="B2178">
        <f>Table4[[#This Row],[Column2]]</f>
        <v>0</v>
      </c>
      <c r="L2178"/>
    </row>
    <row r="2179" spans="1:12" ht="22.5" customHeight="1">
      <c r="A2179">
        <f>Table4[[#This Row],[Column1]]</f>
        <v>0</v>
      </c>
      <c r="B2179">
        <f>Table4[[#This Row],[Column2]]</f>
        <v>0</v>
      </c>
      <c r="L2179"/>
    </row>
    <row r="2180" spans="1:12" ht="22.5" customHeight="1">
      <c r="A2180">
        <f>Table4[[#This Row],[Column1]]</f>
        <v>0</v>
      </c>
      <c r="B2180">
        <f>Table4[[#This Row],[Column2]]</f>
        <v>0</v>
      </c>
      <c r="L2180"/>
    </row>
    <row r="2181" spans="1:12" ht="22.5" customHeight="1">
      <c r="A2181">
        <f>Table4[[#This Row],[Column1]]</f>
        <v>0</v>
      </c>
      <c r="B2181">
        <f>Table4[[#This Row],[Column2]]</f>
        <v>0</v>
      </c>
      <c r="L2181"/>
    </row>
    <row r="2182" spans="1:12" ht="22.5" customHeight="1">
      <c r="A2182">
        <f>Table4[[#This Row],[Column1]]</f>
        <v>0</v>
      </c>
      <c r="B2182">
        <f>Table4[[#This Row],[Column2]]</f>
        <v>0</v>
      </c>
      <c r="L2182"/>
    </row>
    <row r="2183" spans="1:12" ht="22.5" customHeight="1">
      <c r="A2183">
        <f>Table4[[#This Row],[Column1]]</f>
        <v>0</v>
      </c>
      <c r="B2183">
        <f>Table4[[#This Row],[Column2]]</f>
        <v>0</v>
      </c>
      <c r="L2183"/>
    </row>
    <row r="2184" spans="1:12" ht="22.5" customHeight="1">
      <c r="A2184">
        <f>Table4[[#This Row],[Column1]]</f>
        <v>0</v>
      </c>
      <c r="B2184">
        <f>Table4[[#This Row],[Column2]]</f>
        <v>0</v>
      </c>
      <c r="L2184"/>
    </row>
    <row r="2185" spans="1:12" ht="22.5" customHeight="1">
      <c r="A2185">
        <f>Table4[[#This Row],[Column1]]</f>
        <v>0</v>
      </c>
      <c r="B2185">
        <f>Table4[[#This Row],[Column2]]</f>
        <v>0</v>
      </c>
      <c r="L2185"/>
    </row>
    <row r="2186" spans="1:12" ht="22.5" customHeight="1">
      <c r="A2186">
        <f>Table4[[#This Row],[Column1]]</f>
        <v>0</v>
      </c>
      <c r="B2186">
        <f>Table4[[#This Row],[Column2]]</f>
        <v>0</v>
      </c>
      <c r="L2186"/>
    </row>
    <row r="2187" spans="1:12" ht="22.5" customHeight="1">
      <c r="A2187">
        <f>Table4[[#This Row],[Column1]]</f>
        <v>0</v>
      </c>
      <c r="B2187">
        <f>Table4[[#This Row],[Column2]]</f>
        <v>0</v>
      </c>
      <c r="L2187"/>
    </row>
    <row r="2188" spans="1:12" ht="22.5" customHeight="1">
      <c r="A2188">
        <f>Table4[[#This Row],[Column1]]</f>
        <v>0</v>
      </c>
      <c r="B2188">
        <f>Table4[[#This Row],[Column2]]</f>
        <v>0</v>
      </c>
      <c r="L2188"/>
    </row>
    <row r="2189" spans="1:12" ht="22.5" customHeight="1">
      <c r="A2189">
        <f>Table4[[#This Row],[Column1]]</f>
        <v>0</v>
      </c>
      <c r="B2189">
        <f>Table4[[#This Row],[Column2]]</f>
        <v>0</v>
      </c>
      <c r="L2189"/>
    </row>
    <row r="2190" spans="1:12" ht="22.5" customHeight="1">
      <c r="A2190">
        <f>Table4[[#This Row],[Column1]]</f>
        <v>0</v>
      </c>
      <c r="B2190">
        <f>Table4[[#This Row],[Column2]]</f>
        <v>0</v>
      </c>
      <c r="L2190"/>
    </row>
    <row r="2191" spans="1:12" ht="22.5" customHeight="1">
      <c r="A2191">
        <f>Table4[[#This Row],[Column1]]</f>
        <v>0</v>
      </c>
      <c r="B2191">
        <f>Table4[[#This Row],[Column2]]</f>
        <v>0</v>
      </c>
      <c r="L2191"/>
    </row>
    <row r="2192" spans="1:12" ht="22.5" customHeight="1">
      <c r="A2192">
        <f>Table4[[#This Row],[Column1]]</f>
        <v>0</v>
      </c>
      <c r="B2192">
        <f>Table4[[#This Row],[Column2]]</f>
        <v>0</v>
      </c>
      <c r="L2192"/>
    </row>
    <row r="2193" spans="1:12" ht="22.5" customHeight="1">
      <c r="A2193">
        <f>Table4[[#This Row],[Column1]]</f>
        <v>0</v>
      </c>
      <c r="B2193">
        <f>Table4[[#This Row],[Column2]]</f>
        <v>0</v>
      </c>
      <c r="L2193"/>
    </row>
    <row r="2194" spans="1:12" ht="22.5" customHeight="1">
      <c r="A2194">
        <f>Table4[[#This Row],[Column1]]</f>
        <v>0</v>
      </c>
      <c r="B2194">
        <f>Table4[[#This Row],[Column2]]</f>
        <v>0</v>
      </c>
      <c r="L2194"/>
    </row>
    <row r="2195" spans="1:12" ht="22.5" customHeight="1">
      <c r="A2195">
        <f>Table4[[#This Row],[Column1]]</f>
        <v>0</v>
      </c>
      <c r="B2195">
        <f>Table4[[#This Row],[Column2]]</f>
        <v>0</v>
      </c>
      <c r="L2195"/>
    </row>
    <row r="2196" spans="1:12" ht="22.5" customHeight="1">
      <c r="A2196">
        <f>Table4[[#This Row],[Column1]]</f>
        <v>0</v>
      </c>
      <c r="B2196">
        <f>Table4[[#This Row],[Column2]]</f>
        <v>0</v>
      </c>
      <c r="L2196"/>
    </row>
    <row r="2197" spans="1:12" ht="22.5" customHeight="1">
      <c r="A2197">
        <f>Table4[[#This Row],[Column1]]</f>
        <v>0</v>
      </c>
      <c r="B2197">
        <f>Table4[[#This Row],[Column2]]</f>
        <v>0</v>
      </c>
      <c r="L2197"/>
    </row>
    <row r="2198" spans="1:12" ht="22.5" customHeight="1">
      <c r="A2198">
        <f>Table4[[#This Row],[Column1]]</f>
        <v>0</v>
      </c>
      <c r="B2198">
        <f>Table4[[#This Row],[Column2]]</f>
        <v>0</v>
      </c>
      <c r="L2198"/>
    </row>
    <row r="2199" spans="1:12" ht="22.5" customHeight="1">
      <c r="A2199">
        <f>Table4[[#This Row],[Column1]]</f>
        <v>0</v>
      </c>
      <c r="B2199">
        <f>Table4[[#This Row],[Column2]]</f>
        <v>0</v>
      </c>
      <c r="L2199"/>
    </row>
    <row r="2200" spans="1:12" ht="22.5" customHeight="1">
      <c r="A2200">
        <f>Table4[[#This Row],[Column1]]</f>
        <v>0</v>
      </c>
      <c r="B2200">
        <f>Table4[[#This Row],[Column2]]</f>
        <v>0</v>
      </c>
      <c r="L2200"/>
    </row>
    <row r="2201" spans="1:12" ht="22.5" customHeight="1">
      <c r="A2201">
        <f>Table4[[#This Row],[Column1]]</f>
        <v>0</v>
      </c>
      <c r="B2201">
        <f>Table4[[#This Row],[Column2]]</f>
        <v>0</v>
      </c>
      <c r="L2201"/>
    </row>
    <row r="2202" spans="1:12" ht="22.5" customHeight="1">
      <c r="A2202">
        <f>Table4[[#This Row],[Column1]]</f>
        <v>0</v>
      </c>
      <c r="B2202">
        <f>Table4[[#This Row],[Column2]]</f>
        <v>0</v>
      </c>
      <c r="L2202"/>
    </row>
    <row r="2203" spans="1:12" ht="22.5" customHeight="1">
      <c r="A2203">
        <f>Table4[[#This Row],[Column1]]</f>
        <v>0</v>
      </c>
      <c r="B2203">
        <f>Table4[[#This Row],[Column2]]</f>
        <v>0</v>
      </c>
      <c r="L2203"/>
    </row>
    <row r="2204" spans="1:12" ht="22.5" customHeight="1">
      <c r="A2204">
        <f>Table4[[#This Row],[Column1]]</f>
        <v>0</v>
      </c>
      <c r="B2204">
        <f>Table4[[#This Row],[Column2]]</f>
        <v>0</v>
      </c>
      <c r="L2204"/>
    </row>
    <row r="2205" spans="1:12" ht="22.5" customHeight="1">
      <c r="A2205">
        <f>Table4[[#This Row],[Column1]]</f>
        <v>0</v>
      </c>
      <c r="B2205">
        <f>Table4[[#This Row],[Column2]]</f>
        <v>0</v>
      </c>
      <c r="L2205"/>
    </row>
    <row r="2206" spans="1:12" ht="22.5" customHeight="1">
      <c r="A2206">
        <f>Table4[[#This Row],[Column1]]</f>
        <v>0</v>
      </c>
      <c r="B2206">
        <f>Table4[[#This Row],[Column2]]</f>
        <v>0</v>
      </c>
      <c r="L2206"/>
    </row>
    <row r="2207" spans="1:12" ht="22.5" customHeight="1">
      <c r="A2207">
        <f>Table4[[#This Row],[Column1]]</f>
        <v>0</v>
      </c>
      <c r="B2207">
        <f>Table4[[#This Row],[Column2]]</f>
        <v>0</v>
      </c>
      <c r="L2207"/>
    </row>
    <row r="2208" spans="1:12" ht="22.5" customHeight="1">
      <c r="A2208">
        <f>Table4[[#This Row],[Column1]]</f>
        <v>0</v>
      </c>
      <c r="B2208">
        <f>Table4[[#This Row],[Column2]]</f>
        <v>0</v>
      </c>
      <c r="L2208"/>
    </row>
    <row r="2209" spans="1:12" ht="22.5" customHeight="1">
      <c r="A2209">
        <f>Table4[[#This Row],[Column1]]</f>
        <v>0</v>
      </c>
      <c r="B2209">
        <f>Table4[[#This Row],[Column2]]</f>
        <v>0</v>
      </c>
      <c r="L2209"/>
    </row>
    <row r="2210" spans="1:12" ht="22.5" customHeight="1">
      <c r="A2210">
        <f>Table4[[#This Row],[Column1]]</f>
        <v>0</v>
      </c>
      <c r="B2210">
        <f>Table4[[#This Row],[Column2]]</f>
        <v>0</v>
      </c>
      <c r="L2210"/>
    </row>
    <row r="2211" spans="1:12" ht="22.5" customHeight="1">
      <c r="A2211">
        <f>Table4[[#This Row],[Column1]]</f>
        <v>0</v>
      </c>
      <c r="B2211">
        <f>Table4[[#This Row],[Column2]]</f>
        <v>0</v>
      </c>
      <c r="L2211"/>
    </row>
    <row r="2212" spans="1:12" ht="22.5" customHeight="1">
      <c r="A2212">
        <f>Table4[[#This Row],[Column1]]</f>
        <v>0</v>
      </c>
      <c r="B2212">
        <f>Table4[[#This Row],[Column2]]</f>
        <v>0</v>
      </c>
      <c r="L2212"/>
    </row>
    <row r="2213" spans="1:12" ht="22.5" customHeight="1">
      <c r="A2213">
        <f>Table4[[#This Row],[Column1]]</f>
        <v>0</v>
      </c>
      <c r="B2213">
        <f>Table4[[#This Row],[Column2]]</f>
        <v>0</v>
      </c>
      <c r="L2213"/>
    </row>
    <row r="2214" spans="1:12" ht="22.5" customHeight="1">
      <c r="A2214">
        <f>Table4[[#This Row],[Column1]]</f>
        <v>0</v>
      </c>
      <c r="B2214">
        <f>Table4[[#This Row],[Column2]]</f>
        <v>0</v>
      </c>
      <c r="L2214"/>
    </row>
    <row r="2215" spans="1:12" ht="22.5" customHeight="1">
      <c r="A2215">
        <f>Table4[[#This Row],[Column1]]</f>
        <v>0</v>
      </c>
      <c r="B2215">
        <f>Table4[[#This Row],[Column2]]</f>
        <v>0</v>
      </c>
      <c r="L2215"/>
    </row>
    <row r="2216" spans="1:12" ht="22.5" customHeight="1">
      <c r="A2216">
        <f>Table4[[#This Row],[Column1]]</f>
        <v>0</v>
      </c>
      <c r="B2216">
        <f>Table4[[#This Row],[Column2]]</f>
        <v>0</v>
      </c>
      <c r="L2216"/>
    </row>
    <row r="2217" spans="1:12" ht="22.5" customHeight="1">
      <c r="A2217">
        <f>Table4[[#This Row],[Column1]]</f>
        <v>0</v>
      </c>
      <c r="B2217">
        <f>Table4[[#This Row],[Column2]]</f>
        <v>0</v>
      </c>
      <c r="L2217"/>
    </row>
    <row r="2218" spans="1:12" ht="22.5" customHeight="1">
      <c r="A2218">
        <f>Table4[[#This Row],[Column1]]</f>
        <v>0</v>
      </c>
      <c r="B2218">
        <f>Table4[[#This Row],[Column2]]</f>
        <v>0</v>
      </c>
      <c r="L2218"/>
    </row>
    <row r="2219" spans="1:12" ht="22.5" customHeight="1">
      <c r="A2219">
        <f>Table4[[#This Row],[Column1]]</f>
        <v>0</v>
      </c>
      <c r="B2219">
        <f>Table4[[#This Row],[Column2]]</f>
        <v>0</v>
      </c>
      <c r="L2219"/>
    </row>
    <row r="2220" spans="1:12" ht="22.5" customHeight="1">
      <c r="A2220">
        <f>Table4[[#This Row],[Column1]]</f>
        <v>0</v>
      </c>
      <c r="B2220">
        <f>Table4[[#This Row],[Column2]]</f>
        <v>0</v>
      </c>
      <c r="L2220"/>
    </row>
    <row r="2221" spans="1:12" ht="22.5" customHeight="1">
      <c r="A2221">
        <f>Table4[[#This Row],[Column1]]</f>
        <v>0</v>
      </c>
      <c r="B2221">
        <f>Table4[[#This Row],[Column2]]</f>
        <v>0</v>
      </c>
      <c r="L2221"/>
    </row>
    <row r="2222" spans="1:12" ht="22.5" customHeight="1">
      <c r="A2222">
        <f>Table4[[#This Row],[Column1]]</f>
        <v>0</v>
      </c>
      <c r="B2222">
        <f>Table4[[#This Row],[Column2]]</f>
        <v>0</v>
      </c>
      <c r="L2222"/>
    </row>
    <row r="2223" spans="1:12" ht="22.5" customHeight="1">
      <c r="A2223">
        <f>Table4[[#This Row],[Column1]]</f>
        <v>0</v>
      </c>
      <c r="B2223">
        <f>Table4[[#This Row],[Column2]]</f>
        <v>0</v>
      </c>
      <c r="L2223"/>
    </row>
    <row r="2224" spans="1:12" ht="22.5" customHeight="1">
      <c r="A2224">
        <f>Table4[[#This Row],[Column1]]</f>
        <v>0</v>
      </c>
      <c r="B2224">
        <f>Table4[[#This Row],[Column2]]</f>
        <v>0</v>
      </c>
      <c r="L2224"/>
    </row>
    <row r="2225" spans="1:12" ht="22.5" customHeight="1">
      <c r="A2225">
        <f>Table4[[#This Row],[Column1]]</f>
        <v>0</v>
      </c>
      <c r="B2225">
        <f>Table4[[#This Row],[Column2]]</f>
        <v>0</v>
      </c>
      <c r="L2225"/>
    </row>
    <row r="2226" spans="1:12" ht="22.5" customHeight="1">
      <c r="A2226">
        <f>Table4[[#This Row],[Column1]]</f>
        <v>0</v>
      </c>
      <c r="B2226">
        <f>Table4[[#This Row],[Column2]]</f>
        <v>0</v>
      </c>
      <c r="L2226"/>
    </row>
    <row r="2227" spans="1:12" ht="22.5" customHeight="1">
      <c r="A2227">
        <f>Table4[[#This Row],[Column1]]</f>
        <v>0</v>
      </c>
      <c r="B2227">
        <f>Table4[[#This Row],[Column2]]</f>
        <v>0</v>
      </c>
      <c r="L2227"/>
    </row>
    <row r="2228" spans="1:12" ht="22.5" customHeight="1">
      <c r="A2228">
        <f>Table4[[#This Row],[Column1]]</f>
        <v>0</v>
      </c>
      <c r="B2228">
        <f>Table4[[#This Row],[Column2]]</f>
        <v>0</v>
      </c>
      <c r="L2228"/>
    </row>
    <row r="2229" spans="1:12" ht="22.5" customHeight="1">
      <c r="A2229">
        <f>Table4[[#This Row],[Column1]]</f>
        <v>0</v>
      </c>
      <c r="B2229">
        <f>Table4[[#This Row],[Column2]]</f>
        <v>0</v>
      </c>
      <c r="L2229"/>
    </row>
    <row r="2230" spans="1:12" ht="22.5" customHeight="1">
      <c r="A2230">
        <f>Table4[[#This Row],[Column1]]</f>
        <v>0</v>
      </c>
      <c r="B2230">
        <f>Table4[[#This Row],[Column2]]</f>
        <v>0</v>
      </c>
      <c r="L2230"/>
    </row>
    <row r="2231" spans="1:12" ht="22.5" customHeight="1">
      <c r="A2231">
        <f>Table4[[#This Row],[Column1]]</f>
        <v>0</v>
      </c>
      <c r="B2231">
        <f>Table4[[#This Row],[Column2]]</f>
        <v>0</v>
      </c>
      <c r="L2231"/>
    </row>
    <row r="2232" spans="1:12" ht="22.5" customHeight="1">
      <c r="A2232">
        <f>Table4[[#This Row],[Column1]]</f>
        <v>0</v>
      </c>
      <c r="B2232">
        <f>Table4[[#This Row],[Column2]]</f>
        <v>0</v>
      </c>
      <c r="L2232"/>
    </row>
    <row r="2233" spans="1:12" ht="22.5" customHeight="1">
      <c r="A2233">
        <f>Table4[[#This Row],[Column1]]</f>
        <v>0</v>
      </c>
      <c r="B2233">
        <f>Table4[[#This Row],[Column2]]</f>
        <v>0</v>
      </c>
      <c r="L2233"/>
    </row>
    <row r="2234" spans="1:12" ht="22.5" customHeight="1">
      <c r="A2234">
        <f>Table4[[#This Row],[Column1]]</f>
        <v>0</v>
      </c>
      <c r="B2234">
        <f>Table4[[#This Row],[Column2]]</f>
        <v>0</v>
      </c>
      <c r="L2234"/>
    </row>
    <row r="2235" spans="1:12" ht="22.5" customHeight="1">
      <c r="A2235">
        <f>Table4[[#This Row],[Column1]]</f>
        <v>0</v>
      </c>
      <c r="B2235">
        <f>Table4[[#This Row],[Column2]]</f>
        <v>0</v>
      </c>
      <c r="L2235"/>
    </row>
    <row r="2236" spans="1:12" ht="22.5" customHeight="1">
      <c r="A2236">
        <f>Table4[[#This Row],[Column1]]</f>
        <v>0</v>
      </c>
      <c r="B2236">
        <f>Table4[[#This Row],[Column2]]</f>
        <v>0</v>
      </c>
      <c r="L2236"/>
    </row>
    <row r="2237" spans="1:12" ht="22.5" customHeight="1">
      <c r="A2237">
        <f>Table4[[#This Row],[Column1]]</f>
        <v>0</v>
      </c>
      <c r="B2237">
        <f>Table4[[#This Row],[Column2]]</f>
        <v>0</v>
      </c>
      <c r="L2237"/>
    </row>
    <row r="2238" spans="1:12" ht="22.5" customHeight="1">
      <c r="A2238">
        <f>Table4[[#This Row],[Column1]]</f>
        <v>0</v>
      </c>
      <c r="B2238">
        <f>Table4[[#This Row],[Column2]]</f>
        <v>0</v>
      </c>
      <c r="L2238"/>
    </row>
    <row r="2239" spans="1:12" ht="22.5" customHeight="1">
      <c r="A2239">
        <f>Table4[[#This Row],[Column1]]</f>
        <v>0</v>
      </c>
      <c r="B2239">
        <f>Table4[[#This Row],[Column2]]</f>
        <v>0</v>
      </c>
      <c r="L2239"/>
    </row>
    <row r="2240" spans="1:12" ht="22.5" customHeight="1">
      <c r="A2240">
        <f>Table4[[#This Row],[Column1]]</f>
        <v>0</v>
      </c>
      <c r="B2240">
        <f>Table4[[#This Row],[Column2]]</f>
        <v>0</v>
      </c>
      <c r="L2240"/>
    </row>
    <row r="2241" spans="1:12" ht="22.5" customHeight="1">
      <c r="A2241">
        <f>Table4[[#This Row],[Column1]]</f>
        <v>0</v>
      </c>
      <c r="B2241">
        <f>Table4[[#This Row],[Column2]]</f>
        <v>0</v>
      </c>
      <c r="L2241"/>
    </row>
    <row r="2242" spans="1:12" ht="22.5" customHeight="1">
      <c r="A2242">
        <f>Table4[[#This Row],[Column1]]</f>
        <v>0</v>
      </c>
      <c r="B2242">
        <f>Table4[[#This Row],[Column2]]</f>
        <v>0</v>
      </c>
      <c r="L2242"/>
    </row>
    <row r="2243" spans="1:12" ht="22.5" customHeight="1">
      <c r="A2243">
        <f>Table4[[#This Row],[Column1]]</f>
        <v>0</v>
      </c>
      <c r="B2243">
        <f>Table4[[#This Row],[Column2]]</f>
        <v>0</v>
      </c>
      <c r="L2243"/>
    </row>
    <row r="2244" spans="1:12" ht="22.5" customHeight="1">
      <c r="A2244">
        <f>Table4[[#This Row],[Column1]]</f>
        <v>0</v>
      </c>
      <c r="B2244">
        <f>Table4[[#This Row],[Column2]]</f>
        <v>0</v>
      </c>
      <c r="L2244"/>
    </row>
    <row r="2245" spans="1:12" ht="22.5" customHeight="1">
      <c r="A2245">
        <f>Table4[[#This Row],[Column1]]</f>
        <v>0</v>
      </c>
      <c r="B2245">
        <f>Table4[[#This Row],[Column2]]</f>
        <v>0</v>
      </c>
      <c r="L2245"/>
    </row>
    <row r="2246" spans="1:12" ht="22.5" customHeight="1">
      <c r="A2246">
        <f>Table4[[#This Row],[Column1]]</f>
        <v>0</v>
      </c>
      <c r="B2246">
        <f>Table4[[#This Row],[Column2]]</f>
        <v>0</v>
      </c>
      <c r="L2246"/>
    </row>
    <row r="2247" spans="1:12" ht="22.5" customHeight="1">
      <c r="A2247">
        <f>Table4[[#This Row],[Column1]]</f>
        <v>0</v>
      </c>
      <c r="B2247">
        <f>Table4[[#This Row],[Column2]]</f>
        <v>0</v>
      </c>
      <c r="L2247"/>
    </row>
    <row r="2248" spans="1:12" ht="22.5" customHeight="1">
      <c r="A2248">
        <f>Table4[[#This Row],[Column1]]</f>
        <v>0</v>
      </c>
      <c r="B2248">
        <f>Table4[[#This Row],[Column2]]</f>
        <v>0</v>
      </c>
      <c r="L2248"/>
    </row>
    <row r="2249" spans="1:12" ht="22.5" customHeight="1">
      <c r="A2249">
        <f>Table4[[#This Row],[Column1]]</f>
        <v>0</v>
      </c>
      <c r="B2249">
        <f>Table4[[#This Row],[Column2]]</f>
        <v>0</v>
      </c>
      <c r="L2249"/>
    </row>
    <row r="2250" spans="1:12" ht="22.5" customHeight="1">
      <c r="A2250">
        <f>Table4[[#This Row],[Column1]]</f>
        <v>0</v>
      </c>
      <c r="B2250">
        <f>Table4[[#This Row],[Column2]]</f>
        <v>0</v>
      </c>
      <c r="L2250"/>
    </row>
    <row r="2251" spans="1:12" ht="22.5" customHeight="1">
      <c r="A2251">
        <f>Table4[[#This Row],[Column1]]</f>
        <v>0</v>
      </c>
      <c r="B2251">
        <f>Table4[[#This Row],[Column2]]</f>
        <v>0</v>
      </c>
      <c r="L2251"/>
    </row>
    <row r="2252" spans="1:12" ht="22.5" customHeight="1">
      <c r="A2252">
        <f>Table4[[#This Row],[Column1]]</f>
        <v>0</v>
      </c>
      <c r="B2252">
        <f>Table4[[#This Row],[Column2]]</f>
        <v>0</v>
      </c>
      <c r="L2252"/>
    </row>
    <row r="2253" spans="1:12" ht="22.5" customHeight="1">
      <c r="A2253">
        <f>Table4[[#This Row],[Column1]]</f>
        <v>0</v>
      </c>
      <c r="B2253">
        <f>Table4[[#This Row],[Column2]]</f>
        <v>0</v>
      </c>
      <c r="L2253"/>
    </row>
    <row r="2254" spans="1:12" ht="22.5" customHeight="1">
      <c r="A2254">
        <f>Table4[[#This Row],[Column1]]</f>
        <v>0</v>
      </c>
      <c r="B2254">
        <f>Table4[[#This Row],[Column2]]</f>
        <v>0</v>
      </c>
      <c r="L2254"/>
    </row>
    <row r="2255" spans="1:12" ht="22.5" customHeight="1">
      <c r="A2255">
        <f>Table4[[#This Row],[Column1]]</f>
        <v>0</v>
      </c>
      <c r="B2255">
        <f>Table4[[#This Row],[Column2]]</f>
        <v>0</v>
      </c>
      <c r="L2255"/>
    </row>
    <row r="2256" spans="1:12" ht="22.5" customHeight="1">
      <c r="A2256">
        <f>Table4[[#This Row],[Column1]]</f>
        <v>0</v>
      </c>
      <c r="B2256">
        <f>Table4[[#This Row],[Column2]]</f>
        <v>0</v>
      </c>
      <c r="L2256"/>
    </row>
    <row r="2257" spans="1:12" ht="22.5" customHeight="1">
      <c r="A2257">
        <f>Table4[[#This Row],[Column1]]</f>
        <v>0</v>
      </c>
      <c r="B2257">
        <f>Table4[[#This Row],[Column2]]</f>
        <v>0</v>
      </c>
      <c r="L2257"/>
    </row>
    <row r="2258" spans="1:12" ht="22.5" customHeight="1">
      <c r="A2258">
        <f>Table4[[#This Row],[Column1]]</f>
        <v>0</v>
      </c>
      <c r="B2258">
        <f>Table4[[#This Row],[Column2]]</f>
        <v>0</v>
      </c>
      <c r="L2258"/>
    </row>
    <row r="2259" spans="1:12" ht="22.5" customHeight="1">
      <c r="A2259">
        <f>Table4[[#This Row],[Column1]]</f>
        <v>0</v>
      </c>
      <c r="B2259">
        <f>Table4[[#This Row],[Column2]]</f>
        <v>0</v>
      </c>
      <c r="L2259"/>
    </row>
    <row r="2260" spans="1:12" ht="22.5" customHeight="1">
      <c r="A2260">
        <f>Table4[[#This Row],[Column1]]</f>
        <v>0</v>
      </c>
      <c r="B2260">
        <f>Table4[[#This Row],[Column2]]</f>
        <v>0</v>
      </c>
      <c r="L2260"/>
    </row>
    <row r="2261" spans="1:12" ht="22.5" customHeight="1">
      <c r="A2261">
        <f>Table4[[#This Row],[Column1]]</f>
        <v>0</v>
      </c>
      <c r="B2261">
        <f>Table4[[#This Row],[Column2]]</f>
        <v>0</v>
      </c>
      <c r="L2261"/>
    </row>
    <row r="2262" spans="1:12" ht="22.5" customHeight="1">
      <c r="A2262">
        <f>Table4[[#This Row],[Column1]]</f>
        <v>0</v>
      </c>
      <c r="B2262">
        <f>Table4[[#This Row],[Column2]]</f>
        <v>0</v>
      </c>
      <c r="L2262"/>
    </row>
    <row r="2263" spans="1:12" ht="22.5" customHeight="1">
      <c r="A2263">
        <f>Table4[[#This Row],[Column1]]</f>
        <v>0</v>
      </c>
      <c r="B2263">
        <f>Table4[[#This Row],[Column2]]</f>
        <v>0</v>
      </c>
      <c r="L2263"/>
    </row>
    <row r="2264" spans="1:12" ht="22.5" customHeight="1">
      <c r="A2264">
        <f>Table4[[#This Row],[Column1]]</f>
        <v>0</v>
      </c>
      <c r="B2264">
        <f>Table4[[#This Row],[Column2]]</f>
        <v>0</v>
      </c>
      <c r="L2264"/>
    </row>
    <row r="2265" spans="1:12" ht="22.5" customHeight="1">
      <c r="A2265">
        <f>Table4[[#This Row],[Column1]]</f>
        <v>0</v>
      </c>
      <c r="B2265">
        <f>Table4[[#This Row],[Column2]]</f>
        <v>0</v>
      </c>
      <c r="L2265"/>
    </row>
    <row r="2266" spans="1:12" ht="22.5" customHeight="1">
      <c r="A2266">
        <f>Table4[[#This Row],[Column1]]</f>
        <v>0</v>
      </c>
      <c r="B2266">
        <f>Table4[[#This Row],[Column2]]</f>
        <v>0</v>
      </c>
      <c r="L2266"/>
    </row>
    <row r="2267" spans="1:12" ht="22.5" customHeight="1">
      <c r="A2267">
        <f>Table4[[#This Row],[Column1]]</f>
        <v>0</v>
      </c>
      <c r="B2267">
        <f>Table4[[#This Row],[Column2]]</f>
        <v>0</v>
      </c>
      <c r="L2267"/>
    </row>
    <row r="2268" spans="1:12" ht="22.5" customHeight="1">
      <c r="A2268">
        <f>Table4[[#This Row],[Column1]]</f>
        <v>0</v>
      </c>
      <c r="B2268">
        <f>Table4[[#This Row],[Column2]]</f>
        <v>0</v>
      </c>
      <c r="L2268"/>
    </row>
    <row r="2269" spans="1:12" ht="22.5" customHeight="1">
      <c r="A2269">
        <f>Table4[[#This Row],[Column1]]</f>
        <v>0</v>
      </c>
      <c r="B2269">
        <f>Table4[[#This Row],[Column2]]</f>
        <v>0</v>
      </c>
      <c r="L2269"/>
    </row>
    <row r="2270" spans="1:12" ht="22.5" customHeight="1">
      <c r="A2270">
        <f>Table4[[#This Row],[Column1]]</f>
        <v>0</v>
      </c>
      <c r="B2270">
        <f>Table4[[#This Row],[Column2]]</f>
        <v>0</v>
      </c>
      <c r="L2270"/>
    </row>
    <row r="2271" spans="1:12" ht="22.5" customHeight="1">
      <c r="A2271">
        <f>Table4[[#This Row],[Column1]]</f>
        <v>0</v>
      </c>
      <c r="B2271">
        <f>Table4[[#This Row],[Column2]]</f>
        <v>0</v>
      </c>
      <c r="L2271"/>
    </row>
    <row r="2272" spans="1:12" ht="22.5" customHeight="1">
      <c r="A2272">
        <f>Table4[[#This Row],[Column1]]</f>
        <v>0</v>
      </c>
      <c r="B2272">
        <f>Table4[[#This Row],[Column2]]</f>
        <v>0</v>
      </c>
      <c r="L2272"/>
    </row>
    <row r="2273" spans="1:12" ht="22.5" customHeight="1">
      <c r="A2273">
        <f>Table4[[#This Row],[Column1]]</f>
        <v>0</v>
      </c>
      <c r="B2273">
        <f>Table4[[#This Row],[Column2]]</f>
        <v>0</v>
      </c>
      <c r="L2273"/>
    </row>
    <row r="2274" spans="1:12" ht="22.5" customHeight="1">
      <c r="A2274">
        <f>Table4[[#This Row],[Column1]]</f>
        <v>0</v>
      </c>
      <c r="B2274">
        <f>Table4[[#This Row],[Column2]]</f>
        <v>0</v>
      </c>
      <c r="L2274"/>
    </row>
    <row r="2275" spans="1:12" ht="22.5" customHeight="1">
      <c r="A2275">
        <f>Table4[[#This Row],[Column1]]</f>
        <v>0</v>
      </c>
      <c r="B2275">
        <f>Table4[[#This Row],[Column2]]</f>
        <v>0</v>
      </c>
      <c r="L2275"/>
    </row>
    <row r="2276" spans="1:12" ht="22.5" customHeight="1">
      <c r="A2276">
        <f>Table4[[#This Row],[Column1]]</f>
        <v>0</v>
      </c>
      <c r="B2276">
        <f>Table4[[#This Row],[Column2]]</f>
        <v>0</v>
      </c>
      <c r="L2276"/>
    </row>
    <row r="2277" spans="1:12" ht="22.5" customHeight="1">
      <c r="A2277">
        <f>Table4[[#This Row],[Column1]]</f>
        <v>0</v>
      </c>
      <c r="B2277">
        <f>Table4[[#This Row],[Column2]]</f>
        <v>0</v>
      </c>
      <c r="L2277"/>
    </row>
    <row r="2278" spans="1:12" ht="22.5" customHeight="1">
      <c r="A2278">
        <f>Table4[[#This Row],[Column1]]</f>
        <v>0</v>
      </c>
      <c r="B2278">
        <f>Table4[[#This Row],[Column2]]</f>
        <v>0</v>
      </c>
      <c r="L2278"/>
    </row>
    <row r="2279" spans="1:12" ht="22.5" customHeight="1">
      <c r="A2279">
        <f>Table4[[#This Row],[Column1]]</f>
        <v>0</v>
      </c>
      <c r="B2279">
        <f>Table4[[#This Row],[Column2]]</f>
        <v>0</v>
      </c>
      <c r="L2279"/>
    </row>
    <row r="2280" spans="1:12" ht="22.5" customHeight="1">
      <c r="A2280">
        <f>Table4[[#This Row],[Column1]]</f>
        <v>0</v>
      </c>
      <c r="B2280">
        <f>Table4[[#This Row],[Column2]]</f>
        <v>0</v>
      </c>
      <c r="L2280"/>
    </row>
    <row r="2281" spans="1:12" ht="22.5" customHeight="1">
      <c r="A2281">
        <f>Table4[[#This Row],[Column1]]</f>
        <v>0</v>
      </c>
      <c r="B2281">
        <f>Table4[[#This Row],[Column2]]</f>
        <v>0</v>
      </c>
      <c r="L2281"/>
    </row>
    <row r="2282" spans="1:12" ht="22.5" customHeight="1">
      <c r="A2282">
        <f>Table4[[#This Row],[Column1]]</f>
        <v>0</v>
      </c>
      <c r="B2282">
        <f>Table4[[#This Row],[Column2]]</f>
        <v>0</v>
      </c>
      <c r="L2282"/>
    </row>
    <row r="2283" spans="1:12" ht="22.5" customHeight="1">
      <c r="A2283">
        <f>Table4[[#This Row],[Column1]]</f>
        <v>0</v>
      </c>
      <c r="B2283">
        <f>Table4[[#This Row],[Column2]]</f>
        <v>0</v>
      </c>
      <c r="L2283"/>
    </row>
    <row r="2284" spans="1:12" ht="22.5" customHeight="1">
      <c r="A2284">
        <f>Table4[[#This Row],[Column1]]</f>
        <v>0</v>
      </c>
      <c r="B2284">
        <f>Table4[[#This Row],[Column2]]</f>
        <v>0</v>
      </c>
      <c r="L2284"/>
    </row>
    <row r="2285" spans="1:12" ht="22.5" customHeight="1">
      <c r="A2285">
        <f>Table4[[#This Row],[Column1]]</f>
        <v>0</v>
      </c>
      <c r="B2285">
        <f>Table4[[#This Row],[Column2]]</f>
        <v>0</v>
      </c>
      <c r="L2285"/>
    </row>
    <row r="2286" spans="1:12" ht="22.5" customHeight="1">
      <c r="A2286">
        <f>Table4[[#This Row],[Column1]]</f>
        <v>0</v>
      </c>
      <c r="B2286">
        <f>Table4[[#This Row],[Column2]]</f>
        <v>0</v>
      </c>
      <c r="L2286"/>
    </row>
    <row r="2287" spans="1:12" ht="22.5" customHeight="1">
      <c r="A2287">
        <f>Table4[[#This Row],[Column1]]</f>
        <v>0</v>
      </c>
      <c r="B2287">
        <f>Table4[[#This Row],[Column2]]</f>
        <v>0</v>
      </c>
      <c r="L2287"/>
    </row>
    <row r="2288" spans="1:12" ht="22.5" customHeight="1">
      <c r="A2288">
        <f>Table4[[#This Row],[Column1]]</f>
        <v>0</v>
      </c>
      <c r="B2288">
        <f>Table4[[#This Row],[Column2]]</f>
        <v>0</v>
      </c>
      <c r="L2288"/>
    </row>
    <row r="2289" spans="1:12" ht="22.5" customHeight="1">
      <c r="A2289">
        <f>Table4[[#This Row],[Column1]]</f>
        <v>0</v>
      </c>
      <c r="B2289">
        <f>Table4[[#This Row],[Column2]]</f>
        <v>0</v>
      </c>
      <c r="L2289"/>
    </row>
    <row r="2290" spans="1:12" ht="22.5" customHeight="1">
      <c r="A2290">
        <f>Table4[[#This Row],[Column1]]</f>
        <v>0</v>
      </c>
      <c r="B2290">
        <f>Table4[[#This Row],[Column2]]</f>
        <v>0</v>
      </c>
      <c r="L2290"/>
    </row>
    <row r="2291" spans="1:12" ht="22.5" customHeight="1">
      <c r="A2291">
        <f>Table4[[#This Row],[Column1]]</f>
        <v>0</v>
      </c>
      <c r="B2291">
        <f>Table4[[#This Row],[Column2]]</f>
        <v>0</v>
      </c>
      <c r="L2291"/>
    </row>
    <row r="2292" spans="1:12" ht="22.5" customHeight="1">
      <c r="A2292">
        <f>Table4[[#This Row],[Column1]]</f>
        <v>0</v>
      </c>
      <c r="B2292">
        <f>Table4[[#This Row],[Column2]]</f>
        <v>0</v>
      </c>
      <c r="L2292"/>
    </row>
    <row r="2293" spans="1:12" ht="22.5" customHeight="1">
      <c r="A2293">
        <f>Table4[[#This Row],[Column1]]</f>
        <v>0</v>
      </c>
      <c r="B2293">
        <f>Table4[[#This Row],[Column2]]</f>
        <v>0</v>
      </c>
      <c r="L2293"/>
    </row>
    <row r="2294" spans="1:12" ht="22.5" customHeight="1">
      <c r="A2294">
        <f>Table4[[#This Row],[Column1]]</f>
        <v>0</v>
      </c>
      <c r="B2294">
        <f>Table4[[#This Row],[Column2]]</f>
        <v>0</v>
      </c>
      <c r="L2294"/>
    </row>
    <row r="2295" spans="1:12" ht="22.5" customHeight="1">
      <c r="A2295">
        <f>Table4[[#This Row],[Column1]]</f>
        <v>0</v>
      </c>
      <c r="B2295">
        <f>Table4[[#This Row],[Column2]]</f>
        <v>0</v>
      </c>
      <c r="L2295"/>
    </row>
    <row r="2296" spans="1:12" ht="22.5" customHeight="1">
      <c r="A2296">
        <f>Table4[[#This Row],[Column1]]</f>
        <v>0</v>
      </c>
      <c r="B2296">
        <f>Table4[[#This Row],[Column2]]</f>
        <v>0</v>
      </c>
      <c r="L2296"/>
    </row>
    <row r="2297" spans="1:12" ht="22.5" customHeight="1">
      <c r="A2297">
        <f>Table4[[#This Row],[Column1]]</f>
        <v>0</v>
      </c>
      <c r="B2297">
        <f>Table4[[#This Row],[Column2]]</f>
        <v>0</v>
      </c>
      <c r="L2297"/>
    </row>
    <row r="2298" spans="1:12" ht="22.5" customHeight="1">
      <c r="A2298">
        <f>Table4[[#This Row],[Column1]]</f>
        <v>0</v>
      </c>
      <c r="B2298">
        <f>Table4[[#This Row],[Column2]]</f>
        <v>0</v>
      </c>
      <c r="L2298"/>
    </row>
    <row r="2299" spans="1:12" ht="22.5" customHeight="1">
      <c r="A2299">
        <f>Table4[[#This Row],[Column1]]</f>
        <v>0</v>
      </c>
      <c r="B2299">
        <f>Table4[[#This Row],[Column2]]</f>
        <v>0</v>
      </c>
      <c r="L2299"/>
    </row>
    <row r="2300" spans="1:12" ht="22.5" customHeight="1">
      <c r="A2300">
        <f>Table4[[#This Row],[Column1]]</f>
        <v>0</v>
      </c>
      <c r="B2300">
        <f>Table4[[#This Row],[Column2]]</f>
        <v>0</v>
      </c>
      <c r="L2300"/>
    </row>
    <row r="2301" spans="1:12" ht="22.5" customHeight="1">
      <c r="A2301">
        <f>Table4[[#This Row],[Column1]]</f>
        <v>0</v>
      </c>
      <c r="B2301">
        <f>Table4[[#This Row],[Column2]]</f>
        <v>0</v>
      </c>
      <c r="L2301"/>
    </row>
    <row r="2302" spans="1:12" ht="22.5" customHeight="1">
      <c r="A2302">
        <f>Table4[[#This Row],[Column1]]</f>
        <v>0</v>
      </c>
      <c r="B2302">
        <f>Table4[[#This Row],[Column2]]</f>
        <v>0</v>
      </c>
      <c r="L2302"/>
    </row>
    <row r="2303" spans="1:12" ht="22.5" customHeight="1">
      <c r="A2303">
        <f>Table4[[#This Row],[Column1]]</f>
        <v>0</v>
      </c>
      <c r="B2303">
        <f>Table4[[#This Row],[Column2]]</f>
        <v>0</v>
      </c>
      <c r="L2303"/>
    </row>
    <row r="2304" spans="1:12" ht="22.5" customHeight="1">
      <c r="A2304">
        <f>Table4[[#This Row],[Column1]]</f>
        <v>0</v>
      </c>
      <c r="B2304">
        <f>Table4[[#This Row],[Column2]]</f>
        <v>0</v>
      </c>
      <c r="L2304"/>
    </row>
    <row r="2305" spans="1:12" ht="22.5" customHeight="1">
      <c r="A2305">
        <f>Table4[[#This Row],[Column1]]</f>
        <v>0</v>
      </c>
      <c r="B2305">
        <f>Table4[[#This Row],[Column2]]</f>
        <v>0</v>
      </c>
      <c r="L2305"/>
    </row>
    <row r="2306" spans="1:12" ht="22.5" customHeight="1">
      <c r="A2306">
        <f>Table4[[#This Row],[Column1]]</f>
        <v>0</v>
      </c>
      <c r="B2306">
        <f>Table4[[#This Row],[Column2]]</f>
        <v>0</v>
      </c>
      <c r="L2306"/>
    </row>
    <row r="2307" spans="1:12" ht="22.5" customHeight="1">
      <c r="A2307">
        <f>Table4[[#This Row],[Column1]]</f>
        <v>0</v>
      </c>
      <c r="B2307">
        <f>Table4[[#This Row],[Column2]]</f>
        <v>0</v>
      </c>
      <c r="L2307"/>
    </row>
    <row r="2308" spans="1:12" ht="22.5" customHeight="1">
      <c r="A2308">
        <f>Table4[[#This Row],[Column1]]</f>
        <v>0</v>
      </c>
      <c r="B2308">
        <f>Table4[[#This Row],[Column2]]</f>
        <v>0</v>
      </c>
      <c r="L2308"/>
    </row>
    <row r="2309" spans="1:12" ht="22.5" customHeight="1">
      <c r="A2309">
        <f>Table4[[#This Row],[Column1]]</f>
        <v>0</v>
      </c>
      <c r="B2309">
        <f>Table4[[#This Row],[Column2]]</f>
        <v>0</v>
      </c>
      <c r="L2309"/>
    </row>
    <row r="2310" spans="1:12" ht="22.5" customHeight="1">
      <c r="A2310">
        <f>Table4[[#This Row],[Column1]]</f>
        <v>0</v>
      </c>
      <c r="B2310">
        <f>Table4[[#This Row],[Column2]]</f>
        <v>0</v>
      </c>
      <c r="L2310"/>
    </row>
    <row r="2311" spans="1:12" ht="22.5" customHeight="1">
      <c r="A2311">
        <f>Table4[[#This Row],[Column1]]</f>
        <v>0</v>
      </c>
      <c r="B2311">
        <f>Table4[[#This Row],[Column2]]</f>
        <v>0</v>
      </c>
      <c r="L2311"/>
    </row>
    <row r="2312" spans="1:12" ht="22.5" customHeight="1">
      <c r="A2312">
        <f>Table4[[#This Row],[Column1]]</f>
        <v>0</v>
      </c>
      <c r="B2312">
        <f>Table4[[#This Row],[Column2]]</f>
        <v>0</v>
      </c>
      <c r="L2312"/>
    </row>
    <row r="2313" spans="1:12" ht="22.5" customHeight="1">
      <c r="A2313">
        <f>Table4[[#This Row],[Column1]]</f>
        <v>0</v>
      </c>
      <c r="B2313">
        <f>Table4[[#This Row],[Column2]]</f>
        <v>0</v>
      </c>
      <c r="L2313"/>
    </row>
    <row r="2314" spans="1:12" ht="22.5" customHeight="1">
      <c r="A2314">
        <f>Table4[[#This Row],[Column1]]</f>
        <v>0</v>
      </c>
      <c r="B2314">
        <f>Table4[[#This Row],[Column2]]</f>
        <v>0</v>
      </c>
      <c r="L2314"/>
    </row>
    <row r="2315" spans="1:12" ht="22.5" customHeight="1">
      <c r="A2315">
        <f>Table4[[#This Row],[Column1]]</f>
        <v>0</v>
      </c>
      <c r="B2315">
        <f>Table4[[#This Row],[Column2]]</f>
        <v>0</v>
      </c>
      <c r="L2315"/>
    </row>
    <row r="2316" spans="1:12" ht="22.5" customHeight="1">
      <c r="A2316">
        <f>Table4[[#This Row],[Column1]]</f>
        <v>0</v>
      </c>
      <c r="B2316">
        <f>Table4[[#This Row],[Column2]]</f>
        <v>0</v>
      </c>
      <c r="L2316"/>
    </row>
    <row r="2317" spans="1:12" ht="22.5" customHeight="1">
      <c r="A2317">
        <f>Table4[[#This Row],[Column1]]</f>
        <v>0</v>
      </c>
      <c r="B2317">
        <f>Table4[[#This Row],[Column2]]</f>
        <v>0</v>
      </c>
      <c r="L2317"/>
    </row>
    <row r="2318" spans="1:12" ht="22.5" customHeight="1">
      <c r="A2318">
        <f>Table4[[#This Row],[Column1]]</f>
        <v>0</v>
      </c>
      <c r="B2318">
        <f>Table4[[#This Row],[Column2]]</f>
        <v>0</v>
      </c>
      <c r="L2318"/>
    </row>
    <row r="2319" spans="1:12" ht="22.5" customHeight="1">
      <c r="A2319">
        <f>Table4[[#This Row],[Column1]]</f>
        <v>0</v>
      </c>
      <c r="B2319">
        <f>Table4[[#This Row],[Column2]]</f>
        <v>0</v>
      </c>
      <c r="L2319"/>
    </row>
    <row r="2320" spans="1:12" ht="22.5" customHeight="1">
      <c r="A2320">
        <f>Table4[[#This Row],[Column1]]</f>
        <v>0</v>
      </c>
      <c r="B2320">
        <f>Table4[[#This Row],[Column2]]</f>
        <v>0</v>
      </c>
      <c r="L2320"/>
    </row>
    <row r="2321" spans="1:12" ht="22.5" customHeight="1">
      <c r="A2321">
        <f>Table4[[#This Row],[Column1]]</f>
        <v>0</v>
      </c>
      <c r="B2321">
        <f>Table4[[#This Row],[Column2]]</f>
        <v>0</v>
      </c>
      <c r="L2321"/>
    </row>
    <row r="2322" spans="1:12" ht="22.5" customHeight="1">
      <c r="A2322">
        <f>Table4[[#This Row],[Column1]]</f>
        <v>0</v>
      </c>
      <c r="B2322">
        <f>Table4[[#This Row],[Column2]]</f>
        <v>0</v>
      </c>
      <c r="L2322"/>
    </row>
    <row r="2323" spans="1:12" ht="22.5" customHeight="1">
      <c r="A2323">
        <f>Table4[[#This Row],[Column1]]</f>
        <v>0</v>
      </c>
      <c r="B2323">
        <f>Table4[[#This Row],[Column2]]</f>
        <v>0</v>
      </c>
      <c r="L2323"/>
    </row>
    <row r="2324" spans="1:12" ht="22.5" customHeight="1">
      <c r="A2324">
        <f>Table4[[#This Row],[Column1]]</f>
        <v>0</v>
      </c>
      <c r="B2324">
        <f>Table4[[#This Row],[Column2]]</f>
        <v>0</v>
      </c>
      <c r="L2324"/>
    </row>
    <row r="2325" spans="1:12" ht="22.5" customHeight="1">
      <c r="A2325">
        <f>Table4[[#This Row],[Column1]]</f>
        <v>0</v>
      </c>
      <c r="B2325">
        <f>Table4[[#This Row],[Column2]]</f>
        <v>0</v>
      </c>
      <c r="L2325"/>
    </row>
    <row r="2326" spans="1:12" ht="22.5" customHeight="1">
      <c r="A2326">
        <f>Table4[[#This Row],[Column1]]</f>
        <v>0</v>
      </c>
      <c r="B2326">
        <f>Table4[[#This Row],[Column2]]</f>
        <v>0</v>
      </c>
      <c r="L2326"/>
    </row>
    <row r="2327" spans="1:12" ht="22.5" customHeight="1">
      <c r="A2327">
        <f>Table4[[#This Row],[Column1]]</f>
        <v>0</v>
      </c>
      <c r="B2327">
        <f>Table4[[#This Row],[Column2]]</f>
        <v>0</v>
      </c>
      <c r="L2327"/>
    </row>
    <row r="2328" spans="1:12" ht="22.5" customHeight="1">
      <c r="A2328">
        <f>Table4[[#This Row],[Column1]]</f>
        <v>0</v>
      </c>
      <c r="B2328">
        <f>Table4[[#This Row],[Column2]]</f>
        <v>0</v>
      </c>
      <c r="L2328"/>
    </row>
    <row r="2329" spans="1:12" ht="22.5" customHeight="1">
      <c r="A2329">
        <f>Table4[[#This Row],[Column1]]</f>
        <v>0</v>
      </c>
      <c r="B2329">
        <f>Table4[[#This Row],[Column2]]</f>
        <v>0</v>
      </c>
      <c r="L2329"/>
    </row>
    <row r="2330" spans="1:12" ht="22.5" customHeight="1">
      <c r="A2330">
        <f>Table4[[#This Row],[Column1]]</f>
        <v>0</v>
      </c>
      <c r="B2330">
        <f>Table4[[#This Row],[Column2]]</f>
        <v>0</v>
      </c>
      <c r="L2330"/>
    </row>
    <row r="2331" spans="1:12" ht="22.5" customHeight="1">
      <c r="A2331">
        <f>Table4[[#This Row],[Column1]]</f>
        <v>0</v>
      </c>
      <c r="B2331">
        <f>Table4[[#This Row],[Column2]]</f>
        <v>0</v>
      </c>
      <c r="L2331"/>
    </row>
    <row r="2332" spans="1:12" ht="22.5" customHeight="1">
      <c r="A2332">
        <f>Table4[[#This Row],[Column1]]</f>
        <v>0</v>
      </c>
      <c r="B2332">
        <f>Table4[[#This Row],[Column2]]</f>
        <v>0</v>
      </c>
      <c r="L2332"/>
    </row>
    <row r="2333" spans="1:12" ht="22.5" customHeight="1">
      <c r="A2333">
        <f>Table4[[#This Row],[Column1]]</f>
        <v>0</v>
      </c>
      <c r="B2333">
        <f>Table4[[#This Row],[Column2]]</f>
        <v>0</v>
      </c>
      <c r="L2333"/>
    </row>
    <row r="2334" spans="1:12" ht="22.5" customHeight="1">
      <c r="A2334">
        <f>Table4[[#This Row],[Column1]]</f>
        <v>0</v>
      </c>
      <c r="B2334">
        <f>Table4[[#This Row],[Column2]]</f>
        <v>0</v>
      </c>
      <c r="L2334"/>
    </row>
    <row r="2335" spans="1:12" ht="22.5" customHeight="1">
      <c r="A2335">
        <f>Table4[[#This Row],[Column1]]</f>
        <v>0</v>
      </c>
      <c r="B2335">
        <f>Table4[[#This Row],[Column2]]</f>
        <v>0</v>
      </c>
      <c r="L2335"/>
    </row>
    <row r="2336" spans="1:12" ht="22.5" customHeight="1">
      <c r="A2336">
        <f>Table4[[#This Row],[Column1]]</f>
        <v>0</v>
      </c>
      <c r="B2336">
        <f>Table4[[#This Row],[Column2]]</f>
        <v>0</v>
      </c>
      <c r="L2336"/>
    </row>
    <row r="2337" spans="1:12" ht="22.5" customHeight="1">
      <c r="A2337">
        <f>Table4[[#This Row],[Column1]]</f>
        <v>0</v>
      </c>
      <c r="B2337">
        <f>Table4[[#This Row],[Column2]]</f>
        <v>0</v>
      </c>
      <c r="L2337"/>
    </row>
    <row r="2338" spans="1:12" ht="22.5" customHeight="1">
      <c r="A2338">
        <f>Table4[[#This Row],[Column1]]</f>
        <v>0</v>
      </c>
      <c r="B2338">
        <f>Table4[[#This Row],[Column2]]</f>
        <v>0</v>
      </c>
      <c r="L2338"/>
    </row>
    <row r="2339" spans="1:12" ht="22.5" customHeight="1">
      <c r="A2339">
        <f>Table4[[#This Row],[Column1]]</f>
        <v>0</v>
      </c>
      <c r="B2339">
        <f>Table4[[#This Row],[Column2]]</f>
        <v>0</v>
      </c>
      <c r="L2339"/>
    </row>
    <row r="2340" spans="1:12" ht="22.5" customHeight="1">
      <c r="A2340">
        <f>Table4[[#This Row],[Column1]]</f>
        <v>0</v>
      </c>
      <c r="B2340">
        <f>Table4[[#This Row],[Column2]]</f>
        <v>0</v>
      </c>
      <c r="L2340"/>
    </row>
    <row r="2341" spans="1:12" ht="22.5" customHeight="1">
      <c r="A2341">
        <f>Table4[[#This Row],[Column1]]</f>
        <v>0</v>
      </c>
      <c r="B2341">
        <f>Table4[[#This Row],[Column2]]</f>
        <v>0</v>
      </c>
      <c r="L2341"/>
    </row>
    <row r="2342" spans="1:12" ht="22.5" customHeight="1">
      <c r="A2342">
        <f>Table4[[#This Row],[Column1]]</f>
        <v>0</v>
      </c>
      <c r="B2342">
        <f>Table4[[#This Row],[Column2]]</f>
        <v>0</v>
      </c>
      <c r="L2342"/>
    </row>
    <row r="2343" spans="1:12" ht="22.5" customHeight="1">
      <c r="A2343">
        <f>Table4[[#This Row],[Column1]]</f>
        <v>0</v>
      </c>
      <c r="B2343">
        <f>Table4[[#This Row],[Column2]]</f>
        <v>0</v>
      </c>
      <c r="L2343"/>
    </row>
    <row r="2344" spans="1:12" ht="22.5" customHeight="1">
      <c r="A2344">
        <f>Table4[[#This Row],[Column1]]</f>
        <v>0</v>
      </c>
      <c r="B2344">
        <f>Table4[[#This Row],[Column2]]</f>
        <v>0</v>
      </c>
      <c r="L2344"/>
    </row>
    <row r="2345" spans="1:12" ht="22.5" customHeight="1">
      <c r="A2345">
        <f>Table4[[#This Row],[Column1]]</f>
        <v>0</v>
      </c>
      <c r="B2345">
        <f>Table4[[#This Row],[Column2]]</f>
        <v>0</v>
      </c>
      <c r="L2345"/>
    </row>
    <row r="2346" spans="1:12" ht="22.5" customHeight="1">
      <c r="A2346">
        <f>Table4[[#This Row],[Column1]]</f>
        <v>0</v>
      </c>
      <c r="B2346">
        <f>Table4[[#This Row],[Column2]]</f>
        <v>0</v>
      </c>
      <c r="L2346"/>
    </row>
    <row r="2347" spans="1:12" ht="22.5" customHeight="1">
      <c r="A2347">
        <f>Table4[[#This Row],[Column1]]</f>
        <v>0</v>
      </c>
      <c r="B2347">
        <f>Table4[[#This Row],[Column2]]</f>
        <v>0</v>
      </c>
      <c r="L2347"/>
    </row>
    <row r="2348" spans="1:12" ht="22.5" customHeight="1">
      <c r="A2348">
        <f>Table4[[#This Row],[Column1]]</f>
        <v>0</v>
      </c>
      <c r="B2348">
        <f>Table4[[#This Row],[Column2]]</f>
        <v>0</v>
      </c>
      <c r="L2348"/>
    </row>
    <row r="2349" spans="1:12" ht="22.5" customHeight="1">
      <c r="A2349">
        <f>Table4[[#This Row],[Column1]]</f>
        <v>0</v>
      </c>
      <c r="B2349">
        <f>Table4[[#This Row],[Column2]]</f>
        <v>0</v>
      </c>
      <c r="L2349"/>
    </row>
    <row r="2350" spans="1:12" ht="22.5" customHeight="1">
      <c r="A2350">
        <f>Table4[[#This Row],[Column1]]</f>
        <v>0</v>
      </c>
      <c r="B2350">
        <f>Table4[[#This Row],[Column2]]</f>
        <v>0</v>
      </c>
      <c r="L2350"/>
    </row>
    <row r="2351" spans="1:12" ht="22.5" customHeight="1">
      <c r="A2351">
        <f>Table4[[#This Row],[Column1]]</f>
        <v>0</v>
      </c>
      <c r="B2351">
        <f>Table4[[#This Row],[Column2]]</f>
        <v>0</v>
      </c>
      <c r="L2351"/>
    </row>
    <row r="2352" spans="1:12" ht="22.5" customHeight="1">
      <c r="A2352">
        <f>Table4[[#This Row],[Column1]]</f>
        <v>0</v>
      </c>
      <c r="B2352">
        <f>Table4[[#This Row],[Column2]]</f>
        <v>0</v>
      </c>
      <c r="L2352"/>
    </row>
    <row r="2353" spans="1:12" ht="22.5" customHeight="1">
      <c r="A2353">
        <f>Table4[[#This Row],[Column1]]</f>
        <v>0</v>
      </c>
      <c r="B2353">
        <f>Table4[[#This Row],[Column2]]</f>
        <v>0</v>
      </c>
      <c r="L2353"/>
    </row>
    <row r="2354" spans="1:12" ht="22.5" customHeight="1">
      <c r="A2354">
        <f>Table4[[#This Row],[Column1]]</f>
        <v>0</v>
      </c>
      <c r="B2354">
        <f>Table4[[#This Row],[Column2]]</f>
        <v>0</v>
      </c>
      <c r="L2354"/>
    </row>
    <row r="2355" spans="1:12" ht="22.5" customHeight="1">
      <c r="A2355">
        <f>Table4[[#This Row],[Column1]]</f>
        <v>0</v>
      </c>
      <c r="B2355">
        <f>Table4[[#This Row],[Column2]]</f>
        <v>0</v>
      </c>
      <c r="L2355"/>
    </row>
    <row r="2356" spans="1:12" ht="22.5" customHeight="1">
      <c r="A2356">
        <f>Table4[[#This Row],[Column1]]</f>
        <v>0</v>
      </c>
      <c r="B2356">
        <f>Table4[[#This Row],[Column2]]</f>
        <v>0</v>
      </c>
      <c r="L2356"/>
    </row>
    <row r="2357" spans="1:12" ht="22.5" customHeight="1">
      <c r="A2357">
        <f>Table4[[#This Row],[Column1]]</f>
        <v>0</v>
      </c>
      <c r="B2357">
        <f>Table4[[#This Row],[Column2]]</f>
        <v>0</v>
      </c>
      <c r="L2357"/>
    </row>
    <row r="2358" spans="1:12" ht="22.5" customHeight="1">
      <c r="A2358">
        <f>Table4[[#This Row],[Column1]]</f>
        <v>0</v>
      </c>
      <c r="B2358">
        <f>Table4[[#This Row],[Column2]]</f>
        <v>0</v>
      </c>
      <c r="L2358"/>
    </row>
    <row r="2359" spans="1:12" ht="22.5" customHeight="1">
      <c r="A2359">
        <f>Table4[[#This Row],[Column1]]</f>
        <v>0</v>
      </c>
      <c r="B2359">
        <f>Table4[[#This Row],[Column2]]</f>
        <v>0</v>
      </c>
      <c r="L2359"/>
    </row>
    <row r="2360" spans="1:12" ht="22.5" customHeight="1">
      <c r="A2360">
        <f>Table4[[#This Row],[Column1]]</f>
        <v>0</v>
      </c>
      <c r="B2360">
        <f>Table4[[#This Row],[Column2]]</f>
        <v>0</v>
      </c>
      <c r="L2360"/>
    </row>
    <row r="2361" spans="1:12" ht="22.5" customHeight="1">
      <c r="A2361">
        <f>Table4[[#This Row],[Column1]]</f>
        <v>0</v>
      </c>
      <c r="B2361">
        <f>Table4[[#This Row],[Column2]]</f>
        <v>0</v>
      </c>
      <c r="L2361"/>
    </row>
    <row r="2362" spans="1:12" ht="22.5" customHeight="1">
      <c r="A2362">
        <f>Table4[[#This Row],[Column1]]</f>
        <v>0</v>
      </c>
      <c r="B2362">
        <f>Table4[[#This Row],[Column2]]</f>
        <v>0</v>
      </c>
      <c r="L2362"/>
    </row>
    <row r="2363" spans="1:12" ht="22.5" customHeight="1">
      <c r="A2363">
        <f>Table4[[#This Row],[Column1]]</f>
        <v>0</v>
      </c>
      <c r="B2363">
        <f>Table4[[#This Row],[Column2]]</f>
        <v>0</v>
      </c>
      <c r="L2363"/>
    </row>
    <row r="2364" spans="1:12" ht="22.5" customHeight="1">
      <c r="A2364">
        <f>Table4[[#This Row],[Column1]]</f>
        <v>0</v>
      </c>
      <c r="B2364">
        <f>Table4[[#This Row],[Column2]]</f>
        <v>0</v>
      </c>
      <c r="L2364"/>
    </row>
    <row r="2365" spans="1:12" ht="22.5" customHeight="1">
      <c r="A2365">
        <f>Table4[[#This Row],[Column1]]</f>
        <v>0</v>
      </c>
      <c r="B2365">
        <f>Table4[[#This Row],[Column2]]</f>
        <v>0</v>
      </c>
      <c r="L2365"/>
    </row>
    <row r="2366" spans="1:12" ht="22.5" customHeight="1">
      <c r="A2366">
        <f>Table4[[#This Row],[Column1]]</f>
        <v>0</v>
      </c>
      <c r="B2366">
        <f>Table4[[#This Row],[Column2]]</f>
        <v>0</v>
      </c>
      <c r="L2366"/>
    </row>
    <row r="2367" spans="1:12" ht="22.5" customHeight="1">
      <c r="A2367">
        <f>Table4[[#This Row],[Column1]]</f>
        <v>0</v>
      </c>
      <c r="B2367">
        <f>Table4[[#This Row],[Column2]]</f>
        <v>0</v>
      </c>
      <c r="L2367"/>
    </row>
    <row r="2368" spans="1:12" ht="22.5" customHeight="1">
      <c r="A2368">
        <f>Table4[[#This Row],[Column1]]</f>
        <v>0</v>
      </c>
      <c r="B2368">
        <f>Table4[[#This Row],[Column2]]</f>
        <v>0</v>
      </c>
      <c r="L2368"/>
    </row>
    <row r="2369" spans="1:12" ht="22.5" customHeight="1">
      <c r="A2369">
        <f>Table4[[#This Row],[Column1]]</f>
        <v>0</v>
      </c>
      <c r="B2369">
        <f>Table4[[#This Row],[Column2]]</f>
        <v>0</v>
      </c>
      <c r="L2369"/>
    </row>
    <row r="2370" spans="1:12" ht="22.5" customHeight="1">
      <c r="A2370">
        <f>Table4[[#This Row],[Column1]]</f>
        <v>0</v>
      </c>
      <c r="B2370">
        <f>Table4[[#This Row],[Column2]]</f>
        <v>0</v>
      </c>
      <c r="L2370"/>
    </row>
    <row r="2371" spans="1:12" ht="22.5" customHeight="1">
      <c r="A2371">
        <f>Table4[[#This Row],[Column1]]</f>
        <v>0</v>
      </c>
      <c r="B2371">
        <f>Table4[[#This Row],[Column2]]</f>
        <v>0</v>
      </c>
      <c r="L2371"/>
    </row>
    <row r="2372" spans="1:12" ht="22.5" customHeight="1">
      <c r="A2372">
        <f>Table4[[#This Row],[Column1]]</f>
        <v>0</v>
      </c>
      <c r="B2372">
        <f>Table4[[#This Row],[Column2]]</f>
        <v>0</v>
      </c>
      <c r="L2372"/>
    </row>
    <row r="2373" spans="1:12" ht="22.5" customHeight="1">
      <c r="A2373">
        <f>Table4[[#This Row],[Column1]]</f>
        <v>0</v>
      </c>
      <c r="B2373">
        <f>Table4[[#This Row],[Column2]]</f>
        <v>0</v>
      </c>
      <c r="L2373"/>
    </row>
    <row r="2374" spans="1:12" ht="22.5" customHeight="1">
      <c r="A2374">
        <f>Table4[[#This Row],[Column1]]</f>
        <v>0</v>
      </c>
      <c r="B2374">
        <f>Table4[[#This Row],[Column2]]</f>
        <v>0</v>
      </c>
      <c r="L2374"/>
    </row>
    <row r="2375" spans="1:12" ht="22.5" customHeight="1">
      <c r="A2375">
        <f>Table4[[#This Row],[Column1]]</f>
        <v>0</v>
      </c>
      <c r="B2375">
        <f>Table4[[#This Row],[Column2]]</f>
        <v>0</v>
      </c>
      <c r="L2375"/>
    </row>
    <row r="2376" spans="1:12" ht="22.5" customHeight="1">
      <c r="A2376">
        <f>Table4[[#This Row],[Column1]]</f>
        <v>0</v>
      </c>
      <c r="B2376">
        <f>Table4[[#This Row],[Column2]]</f>
        <v>0</v>
      </c>
      <c r="L2376"/>
    </row>
    <row r="2377" spans="1:12" ht="22.5" customHeight="1">
      <c r="A2377">
        <f>Table4[[#This Row],[Column1]]</f>
        <v>0</v>
      </c>
      <c r="B2377">
        <f>Table4[[#This Row],[Column2]]</f>
        <v>0</v>
      </c>
      <c r="L2377"/>
    </row>
    <row r="2378" spans="1:12" ht="22.5" customHeight="1">
      <c r="A2378">
        <f>Table4[[#This Row],[Column1]]</f>
        <v>0</v>
      </c>
      <c r="B2378">
        <f>Table4[[#This Row],[Column2]]</f>
        <v>0</v>
      </c>
      <c r="L2378"/>
    </row>
    <row r="2379" spans="1:12" ht="22.5" customHeight="1">
      <c r="A2379">
        <f>Table4[[#This Row],[Column1]]</f>
        <v>0</v>
      </c>
      <c r="B2379">
        <f>Table4[[#This Row],[Column2]]</f>
        <v>0</v>
      </c>
      <c r="L2379"/>
    </row>
    <row r="2380" spans="1:12" ht="22.5" customHeight="1">
      <c r="A2380">
        <f>Table4[[#This Row],[Column1]]</f>
        <v>0</v>
      </c>
      <c r="B2380">
        <f>Table4[[#This Row],[Column2]]</f>
        <v>0</v>
      </c>
      <c r="L2380"/>
    </row>
    <row r="2381" spans="1:12" ht="22.5" customHeight="1">
      <c r="A2381">
        <f>Table4[[#This Row],[Column1]]</f>
        <v>0</v>
      </c>
      <c r="B2381">
        <f>Table4[[#This Row],[Column2]]</f>
        <v>0</v>
      </c>
      <c r="L2381"/>
    </row>
    <row r="2382" spans="1:12" ht="22.5" customHeight="1">
      <c r="A2382">
        <f>Table4[[#This Row],[Column1]]</f>
        <v>0</v>
      </c>
      <c r="B2382">
        <f>Table4[[#This Row],[Column2]]</f>
        <v>0</v>
      </c>
      <c r="L2382"/>
    </row>
    <row r="2383" spans="1:12" ht="22.5" customHeight="1">
      <c r="A2383">
        <f>Table4[[#This Row],[Column1]]</f>
        <v>0</v>
      </c>
      <c r="B2383">
        <f>Table4[[#This Row],[Column2]]</f>
        <v>0</v>
      </c>
      <c r="L2383"/>
    </row>
    <row r="2384" spans="1:12" ht="22.5" customHeight="1">
      <c r="A2384">
        <f>Table4[[#This Row],[Column1]]</f>
        <v>0</v>
      </c>
      <c r="B2384">
        <f>Table4[[#This Row],[Column2]]</f>
        <v>0</v>
      </c>
      <c r="L2384"/>
    </row>
    <row r="2385" spans="1:12" ht="22.5" customHeight="1">
      <c r="A2385">
        <f>Table4[[#This Row],[Column1]]</f>
        <v>0</v>
      </c>
      <c r="B2385">
        <f>Table4[[#This Row],[Column2]]</f>
        <v>0</v>
      </c>
      <c r="L2385"/>
    </row>
    <row r="2386" spans="1:12" ht="22.5" customHeight="1">
      <c r="A2386">
        <f>Table4[[#This Row],[Column1]]</f>
        <v>0</v>
      </c>
      <c r="B2386">
        <f>Table4[[#This Row],[Column2]]</f>
        <v>0</v>
      </c>
      <c r="L2386"/>
    </row>
    <row r="2387" spans="1:12" ht="22.5" customHeight="1">
      <c r="A2387">
        <f>Table4[[#This Row],[Column1]]</f>
        <v>0</v>
      </c>
      <c r="B2387">
        <f>Table4[[#This Row],[Column2]]</f>
        <v>0</v>
      </c>
      <c r="L2387"/>
    </row>
    <row r="2388" spans="1:12" ht="22.5" customHeight="1">
      <c r="A2388">
        <f>Table4[[#This Row],[Column1]]</f>
        <v>0</v>
      </c>
      <c r="B2388">
        <f>Table4[[#This Row],[Column2]]</f>
        <v>0</v>
      </c>
      <c r="L2388"/>
    </row>
    <row r="2389" spans="1:12" ht="22.5" customHeight="1">
      <c r="A2389">
        <f>Table4[[#This Row],[Column1]]</f>
        <v>0</v>
      </c>
      <c r="B2389">
        <f>Table4[[#This Row],[Column2]]</f>
        <v>0</v>
      </c>
      <c r="L2389"/>
    </row>
    <row r="2390" spans="1:12" ht="22.5" customHeight="1">
      <c r="A2390">
        <f>Table4[[#This Row],[Column1]]</f>
        <v>0</v>
      </c>
      <c r="B2390">
        <f>Table4[[#This Row],[Column2]]</f>
        <v>0</v>
      </c>
      <c r="L2390"/>
    </row>
    <row r="2391" spans="1:12" ht="22.5" customHeight="1">
      <c r="A2391">
        <f>Table4[[#This Row],[Column1]]</f>
        <v>0</v>
      </c>
      <c r="B2391">
        <f>Table4[[#This Row],[Column2]]</f>
        <v>0</v>
      </c>
      <c r="L2391"/>
    </row>
    <row r="2392" spans="1:12" ht="22.5" customHeight="1">
      <c r="A2392">
        <f>Table4[[#This Row],[Column1]]</f>
        <v>0</v>
      </c>
      <c r="B2392">
        <f>Table4[[#This Row],[Column2]]</f>
        <v>0</v>
      </c>
      <c r="L2392"/>
    </row>
    <row r="2393" spans="1:12" ht="22.5" customHeight="1">
      <c r="A2393">
        <f>Table4[[#This Row],[Column1]]</f>
        <v>0</v>
      </c>
      <c r="B2393">
        <f>Table4[[#This Row],[Column2]]</f>
        <v>0</v>
      </c>
      <c r="L2393"/>
    </row>
    <row r="2394" spans="1:12" ht="22.5" customHeight="1">
      <c r="A2394">
        <f>Table4[[#This Row],[Column1]]</f>
        <v>0</v>
      </c>
      <c r="B2394">
        <f>Table4[[#This Row],[Column2]]</f>
        <v>0</v>
      </c>
      <c r="L2394"/>
    </row>
    <row r="2395" spans="1:12" ht="22.5" customHeight="1">
      <c r="A2395">
        <f>Table4[[#This Row],[Column1]]</f>
        <v>0</v>
      </c>
      <c r="B2395">
        <f>Table4[[#This Row],[Column2]]</f>
        <v>0</v>
      </c>
      <c r="L2395"/>
    </row>
    <row r="2396" spans="1:12" ht="22.5" customHeight="1">
      <c r="A2396">
        <f>Table4[[#This Row],[Column1]]</f>
        <v>0</v>
      </c>
      <c r="B2396">
        <f>Table4[[#This Row],[Column2]]</f>
        <v>0</v>
      </c>
      <c r="L2396"/>
    </row>
    <row r="2397" spans="1:12" ht="22.5" customHeight="1">
      <c r="A2397">
        <f>Table4[[#This Row],[Column1]]</f>
        <v>0</v>
      </c>
      <c r="B2397">
        <f>Table4[[#This Row],[Column2]]</f>
        <v>0</v>
      </c>
      <c r="L2397"/>
    </row>
    <row r="2398" spans="1:12" ht="22.5" customHeight="1">
      <c r="A2398">
        <f>Table4[[#This Row],[Column1]]</f>
        <v>0</v>
      </c>
      <c r="B2398">
        <f>Table4[[#This Row],[Column2]]</f>
        <v>0</v>
      </c>
      <c r="L2398"/>
    </row>
    <row r="2399" spans="1:12" ht="22.5" customHeight="1">
      <c r="A2399">
        <f>Table4[[#This Row],[Column1]]</f>
        <v>0</v>
      </c>
      <c r="B2399">
        <f>Table4[[#This Row],[Column2]]</f>
        <v>0</v>
      </c>
      <c r="L2399"/>
    </row>
    <row r="2400" spans="1:12" ht="22.5" customHeight="1">
      <c r="A2400">
        <f>Table4[[#This Row],[Column1]]</f>
        <v>0</v>
      </c>
      <c r="B2400">
        <f>Table4[[#This Row],[Column2]]</f>
        <v>0</v>
      </c>
      <c r="L2400"/>
    </row>
    <row r="2401" spans="1:12" ht="22.5" customHeight="1">
      <c r="A2401">
        <f>Table4[[#This Row],[Column1]]</f>
        <v>0</v>
      </c>
      <c r="B2401">
        <f>Table4[[#This Row],[Column2]]</f>
        <v>0</v>
      </c>
      <c r="L2401"/>
    </row>
    <row r="2402" spans="1:12" ht="22.5" customHeight="1">
      <c r="A2402">
        <f>Table4[[#This Row],[Column1]]</f>
        <v>0</v>
      </c>
      <c r="B2402">
        <f>Table4[[#This Row],[Column2]]</f>
        <v>0</v>
      </c>
      <c r="L2402"/>
    </row>
    <row r="2403" spans="1:12" ht="22.5" customHeight="1">
      <c r="A2403">
        <f>Table4[[#This Row],[Column1]]</f>
        <v>0</v>
      </c>
      <c r="B2403">
        <f>Table4[[#This Row],[Column2]]</f>
        <v>0</v>
      </c>
      <c r="L2403"/>
    </row>
    <row r="2404" spans="1:12" ht="22.5" customHeight="1">
      <c r="A2404">
        <f>Table4[[#This Row],[Column1]]</f>
        <v>0</v>
      </c>
      <c r="B2404">
        <f>Table4[[#This Row],[Column2]]</f>
        <v>0</v>
      </c>
      <c r="L2404"/>
    </row>
    <row r="2405" spans="1:12" ht="22.5" customHeight="1">
      <c r="A2405">
        <f>Table4[[#This Row],[Column1]]</f>
        <v>0</v>
      </c>
      <c r="B2405">
        <f>Table4[[#This Row],[Column2]]</f>
        <v>0</v>
      </c>
      <c r="L2405"/>
    </row>
    <row r="2406" spans="1:12" ht="22.5" customHeight="1">
      <c r="A2406">
        <f>Table4[[#This Row],[Column1]]</f>
        <v>0</v>
      </c>
      <c r="B2406">
        <f>Table4[[#This Row],[Column2]]</f>
        <v>0</v>
      </c>
      <c r="L2406"/>
    </row>
    <row r="2407" spans="1:12" ht="22.5" customHeight="1">
      <c r="A2407">
        <f>Table4[[#This Row],[Column1]]</f>
        <v>0</v>
      </c>
      <c r="B2407">
        <f>Table4[[#This Row],[Column2]]</f>
        <v>0</v>
      </c>
      <c r="L2407"/>
    </row>
    <row r="2408" spans="1:12" ht="22.5" customHeight="1">
      <c r="A2408">
        <f>Table4[[#This Row],[Column1]]</f>
        <v>0</v>
      </c>
      <c r="B2408">
        <f>Table4[[#This Row],[Column2]]</f>
        <v>0</v>
      </c>
      <c r="L2408"/>
    </row>
    <row r="2409" spans="1:12" ht="22.5" customHeight="1">
      <c r="A2409">
        <f>Table4[[#This Row],[Column1]]</f>
        <v>0</v>
      </c>
      <c r="B2409">
        <f>Table4[[#This Row],[Column2]]</f>
        <v>0</v>
      </c>
      <c r="L2409"/>
    </row>
    <row r="2410" spans="1:12" ht="22.5" customHeight="1">
      <c r="A2410">
        <f>Table4[[#This Row],[Column1]]</f>
        <v>0</v>
      </c>
      <c r="B2410">
        <f>Table4[[#This Row],[Column2]]</f>
        <v>0</v>
      </c>
      <c r="L2410"/>
    </row>
    <row r="2411" spans="1:12" ht="22.5" customHeight="1">
      <c r="A2411">
        <f>Table4[[#This Row],[Column1]]</f>
        <v>0</v>
      </c>
      <c r="B2411">
        <f>Table4[[#This Row],[Column2]]</f>
        <v>0</v>
      </c>
      <c r="L2411"/>
    </row>
    <row r="2412" spans="1:12" ht="22.5" customHeight="1">
      <c r="A2412">
        <f>Table4[[#This Row],[Column1]]</f>
        <v>0</v>
      </c>
      <c r="B2412">
        <f>Table4[[#This Row],[Column2]]</f>
        <v>0</v>
      </c>
      <c r="L2412"/>
    </row>
    <row r="2413" spans="1:12" ht="22.5" customHeight="1">
      <c r="A2413">
        <f>Table4[[#This Row],[Column1]]</f>
        <v>0</v>
      </c>
      <c r="B2413">
        <f>Table4[[#This Row],[Column2]]</f>
        <v>0</v>
      </c>
      <c r="L2413"/>
    </row>
    <row r="2414" spans="1:12" ht="22.5" customHeight="1">
      <c r="A2414">
        <f>Table4[[#This Row],[Column1]]</f>
        <v>0</v>
      </c>
      <c r="B2414">
        <f>Table4[[#This Row],[Column2]]</f>
        <v>0</v>
      </c>
      <c r="L2414"/>
    </row>
    <row r="2415" spans="1:12" ht="22.5" customHeight="1">
      <c r="A2415">
        <f>Table4[[#This Row],[Column1]]</f>
        <v>0</v>
      </c>
      <c r="B2415">
        <f>Table4[[#This Row],[Column2]]</f>
        <v>0</v>
      </c>
      <c r="L2415"/>
    </row>
    <row r="2416" spans="1:12" ht="22.5" customHeight="1">
      <c r="A2416">
        <f>Table4[[#This Row],[Column1]]</f>
        <v>0</v>
      </c>
      <c r="B2416">
        <f>Table4[[#This Row],[Column2]]</f>
        <v>0</v>
      </c>
      <c r="L2416"/>
    </row>
    <row r="2417" spans="1:12" ht="22.5" customHeight="1">
      <c r="A2417">
        <f>Table4[[#This Row],[Column1]]</f>
        <v>0</v>
      </c>
      <c r="B2417">
        <f>Table4[[#This Row],[Column2]]</f>
        <v>0</v>
      </c>
      <c r="L2417"/>
    </row>
    <row r="2418" spans="1:12" ht="22.5" customHeight="1">
      <c r="A2418">
        <f>Table4[[#This Row],[Column1]]</f>
        <v>0</v>
      </c>
      <c r="B2418">
        <f>Table4[[#This Row],[Column2]]</f>
        <v>0</v>
      </c>
      <c r="L2418"/>
    </row>
    <row r="2419" spans="1:12" ht="22.5" customHeight="1">
      <c r="A2419">
        <f>Table4[[#This Row],[Column1]]</f>
        <v>0</v>
      </c>
      <c r="B2419">
        <f>Table4[[#This Row],[Column2]]</f>
        <v>0</v>
      </c>
      <c r="L2419"/>
    </row>
    <row r="2420" spans="1:12" ht="22.5" customHeight="1">
      <c r="A2420">
        <f>Table4[[#This Row],[Column1]]</f>
        <v>0</v>
      </c>
      <c r="B2420">
        <f>Table4[[#This Row],[Column2]]</f>
        <v>0</v>
      </c>
      <c r="L2420"/>
    </row>
    <row r="2421" spans="1:12" ht="22.5" customHeight="1">
      <c r="A2421">
        <f>Table4[[#This Row],[Column1]]</f>
        <v>0</v>
      </c>
      <c r="B2421">
        <f>Table4[[#This Row],[Column2]]</f>
        <v>0</v>
      </c>
      <c r="L2421"/>
    </row>
    <row r="2422" spans="1:12" ht="22.5" customHeight="1">
      <c r="A2422">
        <f>Table4[[#This Row],[Column1]]</f>
        <v>0</v>
      </c>
      <c r="B2422">
        <f>Table4[[#This Row],[Column2]]</f>
        <v>0</v>
      </c>
      <c r="L2422"/>
    </row>
    <row r="2423" spans="1:12" ht="22.5" customHeight="1">
      <c r="A2423">
        <f>Table4[[#This Row],[Column1]]</f>
        <v>0</v>
      </c>
      <c r="B2423">
        <f>Table4[[#This Row],[Column2]]</f>
        <v>0</v>
      </c>
      <c r="L2423"/>
    </row>
    <row r="2424" spans="1:12" ht="22.5" customHeight="1">
      <c r="A2424">
        <f>Table4[[#This Row],[Column1]]</f>
        <v>0</v>
      </c>
      <c r="B2424">
        <f>Table4[[#This Row],[Column2]]</f>
        <v>0</v>
      </c>
      <c r="L2424"/>
    </row>
    <row r="2425" spans="1:12" ht="22.5" customHeight="1">
      <c r="A2425">
        <f>Table4[[#This Row],[Column1]]</f>
        <v>0</v>
      </c>
      <c r="B2425">
        <f>Table4[[#This Row],[Column2]]</f>
        <v>0</v>
      </c>
      <c r="L2425"/>
    </row>
    <row r="2426" spans="1:12" ht="22.5" customHeight="1">
      <c r="A2426">
        <f>Table4[[#This Row],[Column1]]</f>
        <v>0</v>
      </c>
      <c r="B2426">
        <f>Table4[[#This Row],[Column2]]</f>
        <v>0</v>
      </c>
      <c r="L2426"/>
    </row>
    <row r="2427" spans="1:12" ht="22.5" customHeight="1">
      <c r="A2427">
        <f>Table4[[#This Row],[Column1]]</f>
        <v>0</v>
      </c>
      <c r="B2427">
        <f>Table4[[#This Row],[Column2]]</f>
        <v>0</v>
      </c>
      <c r="L2427"/>
    </row>
    <row r="2428" spans="1:12" ht="22.5" customHeight="1">
      <c r="A2428">
        <f>Table4[[#This Row],[Column1]]</f>
        <v>0</v>
      </c>
      <c r="B2428">
        <f>Table4[[#This Row],[Column2]]</f>
        <v>0</v>
      </c>
      <c r="L2428"/>
    </row>
    <row r="2429" spans="1:12" ht="22.5" customHeight="1">
      <c r="A2429">
        <f>Table4[[#This Row],[Column1]]</f>
        <v>0</v>
      </c>
      <c r="B2429">
        <f>Table4[[#This Row],[Column2]]</f>
        <v>0</v>
      </c>
      <c r="L2429"/>
    </row>
    <row r="2430" spans="1:12" ht="22.5" customHeight="1">
      <c r="A2430">
        <f>Table4[[#This Row],[Column1]]</f>
        <v>0</v>
      </c>
      <c r="B2430">
        <f>Table4[[#This Row],[Column2]]</f>
        <v>0</v>
      </c>
      <c r="L2430"/>
    </row>
    <row r="2431" spans="1:12" ht="22.5" customHeight="1">
      <c r="A2431">
        <f>Table4[[#This Row],[Column1]]</f>
        <v>0</v>
      </c>
      <c r="B2431">
        <f>Table4[[#This Row],[Column2]]</f>
        <v>0</v>
      </c>
      <c r="L2431"/>
    </row>
    <row r="2432" spans="1:12" ht="22.5" customHeight="1">
      <c r="A2432">
        <f>Table4[[#This Row],[Column1]]</f>
        <v>0</v>
      </c>
      <c r="B2432">
        <f>Table4[[#This Row],[Column2]]</f>
        <v>0</v>
      </c>
      <c r="L2432"/>
    </row>
    <row r="2433" spans="1:12" ht="22.5" customHeight="1">
      <c r="A2433">
        <f>Table4[[#This Row],[Column1]]</f>
        <v>0</v>
      </c>
      <c r="B2433">
        <f>Table4[[#This Row],[Column2]]</f>
        <v>0</v>
      </c>
      <c r="L2433"/>
    </row>
    <row r="2434" spans="1:12" ht="22.5" customHeight="1">
      <c r="A2434">
        <f>Table4[[#This Row],[Column1]]</f>
        <v>0</v>
      </c>
      <c r="B2434">
        <f>Table4[[#This Row],[Column2]]</f>
        <v>0</v>
      </c>
      <c r="L2434"/>
    </row>
    <row r="2435" spans="1:12" ht="22.5" customHeight="1">
      <c r="A2435">
        <f>Table4[[#This Row],[Column1]]</f>
        <v>0</v>
      </c>
      <c r="B2435">
        <f>Table4[[#This Row],[Column2]]</f>
        <v>0</v>
      </c>
      <c r="L2435"/>
    </row>
    <row r="2436" spans="1:12" ht="22.5" customHeight="1">
      <c r="A2436">
        <f>Table4[[#This Row],[Column1]]</f>
        <v>0</v>
      </c>
      <c r="B2436">
        <f>Table4[[#This Row],[Column2]]</f>
        <v>0</v>
      </c>
      <c r="L2436"/>
    </row>
    <row r="2437" spans="1:12" ht="22.5" customHeight="1">
      <c r="A2437">
        <f>Table4[[#This Row],[Column1]]</f>
        <v>0</v>
      </c>
      <c r="B2437">
        <f>Table4[[#This Row],[Column2]]</f>
        <v>0</v>
      </c>
      <c r="L2437"/>
    </row>
    <row r="2438" spans="1:12" ht="22.5" customHeight="1">
      <c r="A2438">
        <f>Table4[[#This Row],[Column1]]</f>
        <v>0</v>
      </c>
      <c r="B2438">
        <f>Table4[[#This Row],[Column2]]</f>
        <v>0</v>
      </c>
      <c r="L2438"/>
    </row>
    <row r="2439" spans="1:12" ht="22.5" customHeight="1">
      <c r="A2439">
        <f>Table4[[#This Row],[Column1]]</f>
        <v>0</v>
      </c>
      <c r="B2439">
        <f>Table4[[#This Row],[Column2]]</f>
        <v>0</v>
      </c>
      <c r="L2439"/>
    </row>
    <row r="2440" spans="1:12" ht="22.5" customHeight="1">
      <c r="A2440">
        <f>Table4[[#This Row],[Column1]]</f>
        <v>0</v>
      </c>
      <c r="B2440">
        <f>Table4[[#This Row],[Column2]]</f>
        <v>0</v>
      </c>
      <c r="L2440"/>
    </row>
    <row r="2441" spans="1:12" ht="22.5" customHeight="1">
      <c r="A2441">
        <f>Table4[[#This Row],[Column1]]</f>
        <v>0</v>
      </c>
      <c r="B2441">
        <f>Table4[[#This Row],[Column2]]</f>
        <v>0</v>
      </c>
      <c r="L2441"/>
    </row>
    <row r="2442" spans="1:12" ht="22.5" customHeight="1">
      <c r="A2442">
        <f>Table4[[#This Row],[Column1]]</f>
        <v>0</v>
      </c>
      <c r="B2442">
        <f>Table4[[#This Row],[Column2]]</f>
        <v>0</v>
      </c>
      <c r="L2442"/>
    </row>
    <row r="2443" spans="1:12" ht="22.5" customHeight="1">
      <c r="A2443">
        <f>Table4[[#This Row],[Column1]]</f>
        <v>0</v>
      </c>
      <c r="B2443">
        <f>Table4[[#This Row],[Column2]]</f>
        <v>0</v>
      </c>
      <c r="L2443"/>
    </row>
    <row r="2444" spans="1:12" ht="22.5" customHeight="1">
      <c r="A2444">
        <f>Table4[[#This Row],[Column1]]</f>
        <v>0</v>
      </c>
      <c r="B2444">
        <f>Table4[[#This Row],[Column2]]</f>
        <v>0</v>
      </c>
      <c r="L2444"/>
    </row>
    <row r="2445" spans="1:12" ht="22.5" customHeight="1">
      <c r="A2445">
        <f>Table4[[#This Row],[Column1]]</f>
        <v>0</v>
      </c>
      <c r="B2445">
        <f>Table4[[#This Row],[Column2]]</f>
        <v>0</v>
      </c>
      <c r="L2445"/>
    </row>
    <row r="2446" spans="1:12" ht="22.5" customHeight="1">
      <c r="A2446">
        <f>Table4[[#This Row],[Column1]]</f>
        <v>0</v>
      </c>
      <c r="B2446">
        <f>Table4[[#This Row],[Column2]]</f>
        <v>0</v>
      </c>
      <c r="L2446"/>
    </row>
    <row r="2447" spans="1:12" ht="22.5" customHeight="1">
      <c r="A2447">
        <f>Table4[[#This Row],[Column1]]</f>
        <v>0</v>
      </c>
      <c r="B2447">
        <f>Table4[[#This Row],[Column2]]</f>
        <v>0</v>
      </c>
      <c r="L2447"/>
    </row>
    <row r="2448" spans="1:12" ht="22.5" customHeight="1">
      <c r="A2448">
        <f>Table4[[#This Row],[Column1]]</f>
        <v>0</v>
      </c>
      <c r="B2448">
        <f>Table4[[#This Row],[Column2]]</f>
        <v>0</v>
      </c>
      <c r="L2448"/>
    </row>
    <row r="2449" spans="1:12" ht="22.5" customHeight="1">
      <c r="A2449">
        <f>Table4[[#This Row],[Column1]]</f>
        <v>0</v>
      </c>
      <c r="B2449">
        <f>Table4[[#This Row],[Column2]]</f>
        <v>0</v>
      </c>
      <c r="L2449"/>
    </row>
    <row r="2450" spans="1:12" ht="22.5" customHeight="1">
      <c r="A2450">
        <f>Table4[[#This Row],[Column1]]</f>
        <v>0</v>
      </c>
      <c r="B2450">
        <f>Table4[[#This Row],[Column2]]</f>
        <v>0</v>
      </c>
      <c r="L2450"/>
    </row>
    <row r="2451" spans="1:12" ht="22.5" customHeight="1">
      <c r="A2451">
        <f>Table4[[#This Row],[Column1]]</f>
        <v>0</v>
      </c>
      <c r="B2451">
        <f>Table4[[#This Row],[Column2]]</f>
        <v>0</v>
      </c>
      <c r="L2451"/>
    </row>
    <row r="2452" spans="1:12" ht="22.5" customHeight="1">
      <c r="A2452">
        <f>Table4[[#This Row],[Column1]]</f>
        <v>0</v>
      </c>
      <c r="B2452">
        <f>Table4[[#This Row],[Column2]]</f>
        <v>0</v>
      </c>
      <c r="L2452"/>
    </row>
    <row r="2453" spans="1:12" ht="22.5" customHeight="1">
      <c r="A2453">
        <f>Table4[[#This Row],[Column1]]</f>
        <v>0</v>
      </c>
      <c r="B2453">
        <f>Table4[[#This Row],[Column2]]</f>
        <v>0</v>
      </c>
      <c r="L2453"/>
    </row>
    <row r="2454" spans="1:12" ht="22.5" customHeight="1">
      <c r="A2454">
        <f>Table4[[#This Row],[Column1]]</f>
        <v>0</v>
      </c>
      <c r="B2454">
        <f>Table4[[#This Row],[Column2]]</f>
        <v>0</v>
      </c>
      <c r="L2454"/>
    </row>
    <row r="2455" spans="1:12" ht="22.5" customHeight="1">
      <c r="A2455">
        <f>Table4[[#This Row],[Column1]]</f>
        <v>0</v>
      </c>
      <c r="B2455">
        <f>Table4[[#This Row],[Column2]]</f>
        <v>0</v>
      </c>
      <c r="L2455"/>
    </row>
    <row r="2456" spans="1:12" ht="22.5" customHeight="1">
      <c r="A2456">
        <f>Table4[[#This Row],[Column1]]</f>
        <v>0</v>
      </c>
      <c r="B2456">
        <f>Table4[[#This Row],[Column2]]</f>
        <v>0</v>
      </c>
      <c r="L2456"/>
    </row>
    <row r="2457" spans="1:12" ht="22.5" customHeight="1">
      <c r="A2457">
        <f>Table4[[#This Row],[Column1]]</f>
        <v>0</v>
      </c>
      <c r="B2457">
        <f>Table4[[#This Row],[Column2]]</f>
        <v>0</v>
      </c>
      <c r="L2457"/>
    </row>
    <row r="2458" spans="1:12" ht="22.5" customHeight="1">
      <c r="A2458">
        <f>Table4[[#This Row],[Column1]]</f>
        <v>0</v>
      </c>
      <c r="B2458">
        <f>Table4[[#This Row],[Column2]]</f>
        <v>0</v>
      </c>
      <c r="L2458"/>
    </row>
    <row r="2459" spans="1:12" ht="22.5" customHeight="1">
      <c r="A2459">
        <f>Table4[[#This Row],[Column1]]</f>
        <v>0</v>
      </c>
      <c r="B2459">
        <f>Table4[[#This Row],[Column2]]</f>
        <v>0</v>
      </c>
      <c r="L2459"/>
    </row>
    <row r="2460" spans="1:12" ht="22.5" customHeight="1">
      <c r="A2460">
        <f>Table4[[#This Row],[Column1]]</f>
        <v>0</v>
      </c>
      <c r="B2460">
        <f>Table4[[#This Row],[Column2]]</f>
        <v>0</v>
      </c>
      <c r="L2460"/>
    </row>
    <row r="2461" spans="1:12" ht="22.5" customHeight="1">
      <c r="A2461">
        <f>Table4[[#This Row],[Column1]]</f>
        <v>0</v>
      </c>
      <c r="B2461">
        <f>Table4[[#This Row],[Column2]]</f>
        <v>0</v>
      </c>
      <c r="L2461"/>
    </row>
    <row r="2462" spans="1:12" ht="22.5" customHeight="1">
      <c r="A2462">
        <f>Table4[[#This Row],[Column1]]</f>
        <v>0</v>
      </c>
      <c r="B2462">
        <f>Table4[[#This Row],[Column2]]</f>
        <v>0</v>
      </c>
      <c r="L2462"/>
    </row>
    <row r="2463" spans="1:12" ht="22.5" customHeight="1">
      <c r="A2463">
        <f>Table4[[#This Row],[Column1]]</f>
        <v>0</v>
      </c>
      <c r="B2463">
        <f>Table4[[#This Row],[Column2]]</f>
        <v>0</v>
      </c>
      <c r="L2463"/>
    </row>
    <row r="2464" spans="1:12" ht="22.5" customHeight="1">
      <c r="A2464">
        <f>Table4[[#This Row],[Column1]]</f>
        <v>0</v>
      </c>
      <c r="B2464">
        <f>Table4[[#This Row],[Column2]]</f>
        <v>0</v>
      </c>
      <c r="L2464"/>
    </row>
    <row r="2465" spans="1:12" ht="22.5" customHeight="1">
      <c r="A2465">
        <f>Table4[[#This Row],[Column1]]</f>
        <v>0</v>
      </c>
      <c r="B2465">
        <f>Table4[[#This Row],[Column2]]</f>
        <v>0</v>
      </c>
      <c r="L2465"/>
    </row>
    <row r="2466" spans="1:12" ht="22.5" customHeight="1">
      <c r="A2466">
        <f>Table4[[#This Row],[Column1]]</f>
        <v>0</v>
      </c>
      <c r="B2466">
        <f>Table4[[#This Row],[Column2]]</f>
        <v>0</v>
      </c>
      <c r="L2466"/>
    </row>
    <row r="2467" spans="1:12" ht="22.5" customHeight="1">
      <c r="A2467">
        <f>Table4[[#This Row],[Column1]]</f>
        <v>0</v>
      </c>
      <c r="B2467">
        <f>Table4[[#This Row],[Column2]]</f>
        <v>0</v>
      </c>
      <c r="L2467"/>
    </row>
    <row r="2468" spans="1:12" ht="22.5" customHeight="1">
      <c r="A2468">
        <f>Table4[[#This Row],[Column1]]</f>
        <v>0</v>
      </c>
      <c r="B2468">
        <f>Table4[[#This Row],[Column2]]</f>
        <v>0</v>
      </c>
      <c r="L2468"/>
    </row>
    <row r="2469" spans="1:12" ht="22.5" customHeight="1">
      <c r="A2469">
        <f>Table4[[#This Row],[Column1]]</f>
        <v>0</v>
      </c>
      <c r="B2469">
        <f>Table4[[#This Row],[Column2]]</f>
        <v>0</v>
      </c>
      <c r="L2469"/>
    </row>
    <row r="2470" spans="1:12" ht="22.5" customHeight="1">
      <c r="A2470">
        <f>Table4[[#This Row],[Column1]]</f>
        <v>0</v>
      </c>
      <c r="B2470">
        <f>Table4[[#This Row],[Column2]]</f>
        <v>0</v>
      </c>
      <c r="L2470"/>
    </row>
    <row r="2471" spans="1:12" ht="22.5" customHeight="1">
      <c r="A2471">
        <f>Table4[[#This Row],[Column1]]</f>
        <v>0</v>
      </c>
      <c r="B2471">
        <f>Table4[[#This Row],[Column2]]</f>
        <v>0</v>
      </c>
      <c r="L2471"/>
    </row>
    <row r="2472" spans="1:12" ht="22.5" customHeight="1">
      <c r="A2472">
        <f>Table4[[#This Row],[Column1]]</f>
        <v>0</v>
      </c>
      <c r="B2472">
        <f>Table4[[#This Row],[Column2]]</f>
        <v>0</v>
      </c>
      <c r="L2472"/>
    </row>
    <row r="2473" spans="1:12" ht="22.5" customHeight="1">
      <c r="A2473">
        <f>Table4[[#This Row],[Column1]]</f>
        <v>0</v>
      </c>
      <c r="B2473">
        <f>Table4[[#This Row],[Column2]]</f>
        <v>0</v>
      </c>
      <c r="L2473"/>
    </row>
    <row r="2474" spans="1:12" ht="22.5" customHeight="1">
      <c r="A2474">
        <f>Table4[[#This Row],[Column1]]</f>
        <v>0</v>
      </c>
      <c r="B2474">
        <f>Table4[[#This Row],[Column2]]</f>
        <v>0</v>
      </c>
      <c r="L2474"/>
    </row>
    <row r="2475" spans="1:12" ht="22.5" customHeight="1">
      <c r="A2475">
        <f>Table4[[#This Row],[Column1]]</f>
        <v>0</v>
      </c>
      <c r="B2475">
        <f>Table4[[#This Row],[Column2]]</f>
        <v>0</v>
      </c>
      <c r="L2475"/>
    </row>
    <row r="2476" spans="1:12" ht="22.5" customHeight="1">
      <c r="A2476">
        <f>Table4[[#This Row],[Column1]]</f>
        <v>0</v>
      </c>
      <c r="B2476">
        <f>Table4[[#This Row],[Column2]]</f>
        <v>0</v>
      </c>
      <c r="L2476"/>
    </row>
    <row r="2477" spans="1:12" ht="22.5" customHeight="1">
      <c r="A2477">
        <f>Table4[[#This Row],[Column1]]</f>
        <v>0</v>
      </c>
      <c r="B2477">
        <f>Table4[[#This Row],[Column2]]</f>
        <v>0</v>
      </c>
      <c r="L2477"/>
    </row>
    <row r="2478" spans="1:12" ht="22.5" customHeight="1">
      <c r="A2478">
        <f>Table4[[#This Row],[Column1]]</f>
        <v>0</v>
      </c>
      <c r="B2478">
        <f>Table4[[#This Row],[Column2]]</f>
        <v>0</v>
      </c>
      <c r="L2478"/>
    </row>
    <row r="2479" spans="1:12" ht="22.5" customHeight="1">
      <c r="A2479">
        <f>Table4[[#This Row],[Column1]]</f>
        <v>0</v>
      </c>
      <c r="B2479">
        <f>Table4[[#This Row],[Column2]]</f>
        <v>0</v>
      </c>
      <c r="L2479"/>
    </row>
    <row r="2480" spans="1:12" ht="22.5" customHeight="1">
      <c r="A2480">
        <f>Table4[[#This Row],[Column1]]</f>
        <v>0</v>
      </c>
      <c r="B2480">
        <f>Table4[[#This Row],[Column2]]</f>
        <v>0</v>
      </c>
      <c r="L2480"/>
    </row>
    <row r="2481" spans="1:12" ht="22.5" customHeight="1">
      <c r="A2481">
        <f>Table4[[#This Row],[Column1]]</f>
        <v>0</v>
      </c>
      <c r="B2481">
        <f>Table4[[#This Row],[Column2]]</f>
        <v>0</v>
      </c>
      <c r="L2481"/>
    </row>
    <row r="2482" spans="1:12" ht="22.5" customHeight="1">
      <c r="A2482">
        <f>Table4[[#This Row],[Column1]]</f>
        <v>0</v>
      </c>
      <c r="B2482">
        <f>Table4[[#This Row],[Column2]]</f>
        <v>0</v>
      </c>
      <c r="L2482"/>
    </row>
    <row r="2483" spans="1:12" ht="22.5" customHeight="1">
      <c r="A2483">
        <f>Table4[[#This Row],[Column1]]</f>
        <v>0</v>
      </c>
      <c r="B2483">
        <f>Table4[[#This Row],[Column2]]</f>
        <v>0</v>
      </c>
      <c r="L2483"/>
    </row>
    <row r="2484" spans="1:12" ht="22.5" customHeight="1">
      <c r="A2484">
        <f>Table4[[#This Row],[Column1]]</f>
        <v>0</v>
      </c>
      <c r="B2484">
        <f>Table4[[#This Row],[Column2]]</f>
        <v>0</v>
      </c>
      <c r="L2484"/>
    </row>
    <row r="2485" spans="1:12" ht="22.5" customHeight="1">
      <c r="A2485">
        <f>Table4[[#This Row],[Column1]]</f>
        <v>0</v>
      </c>
      <c r="B2485">
        <f>Table4[[#This Row],[Column2]]</f>
        <v>0</v>
      </c>
      <c r="L2485"/>
    </row>
    <row r="2486" spans="1:12" ht="22.5" customHeight="1">
      <c r="A2486">
        <f>Table4[[#This Row],[Column1]]</f>
        <v>0</v>
      </c>
      <c r="B2486">
        <f>Table4[[#This Row],[Column2]]</f>
        <v>0</v>
      </c>
      <c r="L2486"/>
    </row>
    <row r="2487" spans="1:12" ht="22.5" customHeight="1">
      <c r="A2487">
        <f>Table4[[#This Row],[Column1]]</f>
        <v>0</v>
      </c>
      <c r="B2487">
        <f>Table4[[#This Row],[Column2]]</f>
        <v>0</v>
      </c>
      <c r="L2487"/>
    </row>
    <row r="2488" spans="1:12" ht="22.5" customHeight="1">
      <c r="A2488">
        <f>Table4[[#This Row],[Column1]]</f>
        <v>0</v>
      </c>
      <c r="B2488">
        <f>Table4[[#This Row],[Column2]]</f>
        <v>0</v>
      </c>
      <c r="L2488"/>
    </row>
    <row r="2489" spans="1:12" ht="22.5" customHeight="1">
      <c r="A2489">
        <f>Table4[[#This Row],[Column1]]</f>
        <v>0</v>
      </c>
      <c r="B2489">
        <f>Table4[[#This Row],[Column2]]</f>
        <v>0</v>
      </c>
      <c r="L2489"/>
    </row>
    <row r="2490" spans="1:12" ht="22.5" customHeight="1">
      <c r="A2490">
        <f>Table4[[#This Row],[Column1]]</f>
        <v>0</v>
      </c>
      <c r="B2490">
        <f>Table4[[#This Row],[Column2]]</f>
        <v>0</v>
      </c>
      <c r="L2490"/>
    </row>
    <row r="2491" spans="1:12" ht="22.5" customHeight="1">
      <c r="A2491">
        <f>Table4[[#This Row],[Column1]]</f>
        <v>0</v>
      </c>
      <c r="B2491">
        <f>Table4[[#This Row],[Column2]]</f>
        <v>0</v>
      </c>
      <c r="L2491"/>
    </row>
    <row r="2492" spans="1:12" ht="22.5" customHeight="1">
      <c r="A2492">
        <f>Table4[[#This Row],[Column1]]</f>
        <v>0</v>
      </c>
      <c r="B2492">
        <f>Table4[[#This Row],[Column2]]</f>
        <v>0</v>
      </c>
      <c r="L2492"/>
    </row>
    <row r="2493" spans="1:12" ht="22.5" customHeight="1">
      <c r="A2493">
        <f>Table4[[#This Row],[Column1]]</f>
        <v>0</v>
      </c>
      <c r="B2493">
        <f>Table4[[#This Row],[Column2]]</f>
        <v>0</v>
      </c>
      <c r="L2493"/>
    </row>
    <row r="2494" spans="1:12" ht="22.5" customHeight="1">
      <c r="A2494">
        <f>Table4[[#This Row],[Column1]]</f>
        <v>0</v>
      </c>
      <c r="B2494">
        <f>Table4[[#This Row],[Column2]]</f>
        <v>0</v>
      </c>
      <c r="L2494"/>
    </row>
    <row r="2495" spans="1:12" ht="22.5" customHeight="1">
      <c r="A2495">
        <f>Table4[[#This Row],[Column1]]</f>
        <v>0</v>
      </c>
      <c r="B2495">
        <f>Table4[[#This Row],[Column2]]</f>
        <v>0</v>
      </c>
      <c r="L2495"/>
    </row>
    <row r="2496" spans="1:12" ht="22.5" customHeight="1">
      <c r="A2496">
        <f>Table4[[#This Row],[Column1]]</f>
        <v>0</v>
      </c>
      <c r="B2496">
        <f>Table4[[#This Row],[Column2]]</f>
        <v>0</v>
      </c>
      <c r="L2496"/>
    </row>
    <row r="2497" spans="1:12" ht="22.5" customHeight="1">
      <c r="A2497">
        <f>Table4[[#This Row],[Column1]]</f>
        <v>0</v>
      </c>
      <c r="B2497">
        <f>Table4[[#This Row],[Column2]]</f>
        <v>0</v>
      </c>
      <c r="L2497"/>
    </row>
    <row r="2498" spans="1:12" ht="22.5" customHeight="1">
      <c r="A2498">
        <f>Table4[[#This Row],[Column1]]</f>
        <v>0</v>
      </c>
      <c r="B2498">
        <f>Table4[[#This Row],[Column2]]</f>
        <v>0</v>
      </c>
      <c r="L2498"/>
    </row>
    <row r="2499" spans="1:12" ht="22.5" customHeight="1">
      <c r="A2499">
        <f>Table4[[#This Row],[Column1]]</f>
        <v>0</v>
      </c>
      <c r="B2499">
        <f>Table4[[#This Row],[Column2]]</f>
        <v>0</v>
      </c>
      <c r="L2499"/>
    </row>
    <row r="2500" spans="1:12" ht="22.5" customHeight="1">
      <c r="A2500">
        <f>Table4[[#This Row],[Column1]]</f>
        <v>0</v>
      </c>
      <c r="B2500">
        <f>Table4[[#This Row],[Column2]]</f>
        <v>0</v>
      </c>
      <c r="L2500"/>
    </row>
    <row r="2501" spans="1:12" ht="22.5" customHeight="1">
      <c r="A2501">
        <f>Table4[[#This Row],[Column1]]</f>
        <v>0</v>
      </c>
      <c r="B2501">
        <f>Table4[[#This Row],[Column2]]</f>
        <v>0</v>
      </c>
      <c r="L2501"/>
    </row>
    <row r="2502" spans="1:12" ht="22.5" customHeight="1">
      <c r="A2502">
        <f>Table4[[#This Row],[Column1]]</f>
        <v>0</v>
      </c>
      <c r="B2502">
        <f>Table4[[#This Row],[Column2]]</f>
        <v>0</v>
      </c>
      <c r="L2502"/>
    </row>
    <row r="2503" spans="1:12" ht="22.5" customHeight="1">
      <c r="A2503">
        <f>Table4[[#This Row],[Column1]]</f>
        <v>0</v>
      </c>
      <c r="B2503">
        <f>Table4[[#This Row],[Column2]]</f>
        <v>0</v>
      </c>
      <c r="L2503"/>
    </row>
    <row r="2504" spans="1:12" ht="22.5" customHeight="1">
      <c r="A2504">
        <f>Table4[[#This Row],[Column1]]</f>
        <v>0</v>
      </c>
      <c r="B2504">
        <f>Table4[[#This Row],[Column2]]</f>
        <v>0</v>
      </c>
      <c r="L2504"/>
    </row>
    <row r="2505" spans="1:12" ht="22.5" customHeight="1">
      <c r="A2505">
        <f>Table4[[#This Row],[Column1]]</f>
        <v>0</v>
      </c>
      <c r="B2505">
        <f>Table4[[#This Row],[Column2]]</f>
        <v>0</v>
      </c>
      <c r="L2505"/>
    </row>
    <row r="2506" spans="1:12" ht="22.5" customHeight="1">
      <c r="A2506">
        <f>Table4[[#This Row],[Column1]]</f>
        <v>0</v>
      </c>
      <c r="B2506">
        <f>Table4[[#This Row],[Column2]]</f>
        <v>0</v>
      </c>
      <c r="L2506"/>
    </row>
    <row r="2507" spans="1:12" ht="22.5" customHeight="1">
      <c r="A2507">
        <f>Table4[[#This Row],[Column1]]</f>
        <v>0</v>
      </c>
      <c r="B2507">
        <f>Table4[[#This Row],[Column2]]</f>
        <v>0</v>
      </c>
      <c r="L2507"/>
    </row>
    <row r="2508" spans="1:12" ht="22.5" customHeight="1">
      <c r="A2508">
        <f>Table4[[#This Row],[Column1]]</f>
        <v>0</v>
      </c>
      <c r="B2508">
        <f>Table4[[#This Row],[Column2]]</f>
        <v>0</v>
      </c>
      <c r="L2508"/>
    </row>
    <row r="2509" spans="1:12" ht="22.5" customHeight="1">
      <c r="A2509">
        <f>Table4[[#This Row],[Column1]]</f>
        <v>0</v>
      </c>
      <c r="B2509">
        <f>Table4[[#This Row],[Column2]]</f>
        <v>0</v>
      </c>
      <c r="L2509"/>
    </row>
    <row r="2510" spans="1:12" ht="22.5" customHeight="1">
      <c r="A2510">
        <f>Table4[[#This Row],[Column1]]</f>
        <v>0</v>
      </c>
      <c r="B2510">
        <f>Table4[[#This Row],[Column2]]</f>
        <v>0</v>
      </c>
      <c r="L2510"/>
    </row>
    <row r="2511" spans="1:12" ht="22.5" customHeight="1">
      <c r="A2511">
        <f>Table4[[#This Row],[Column1]]</f>
        <v>0</v>
      </c>
      <c r="B2511">
        <f>Table4[[#This Row],[Column2]]</f>
        <v>0</v>
      </c>
      <c r="L2511"/>
    </row>
    <row r="2512" spans="1:12" ht="22.5" customHeight="1">
      <c r="A2512">
        <f>Table4[[#This Row],[Column1]]</f>
        <v>0</v>
      </c>
      <c r="B2512">
        <f>Table4[[#This Row],[Column2]]</f>
        <v>0</v>
      </c>
      <c r="L2512"/>
    </row>
    <row r="2513" spans="1:12" ht="22.5" customHeight="1">
      <c r="A2513">
        <f>Table4[[#This Row],[Column1]]</f>
        <v>0</v>
      </c>
      <c r="B2513">
        <f>Table4[[#This Row],[Column2]]</f>
        <v>0</v>
      </c>
      <c r="L2513"/>
    </row>
    <row r="2514" spans="1:12" ht="22.5" customHeight="1">
      <c r="A2514">
        <f>Table4[[#This Row],[Column1]]</f>
        <v>0</v>
      </c>
      <c r="B2514">
        <f>Table4[[#This Row],[Column2]]</f>
        <v>0</v>
      </c>
      <c r="L2514"/>
    </row>
    <row r="2515" spans="1:12" ht="22.5" customHeight="1">
      <c r="A2515">
        <f>Table4[[#This Row],[Column1]]</f>
        <v>0</v>
      </c>
      <c r="B2515">
        <f>Table4[[#This Row],[Column2]]</f>
        <v>0</v>
      </c>
      <c r="L2515"/>
    </row>
    <row r="2516" spans="1:12" ht="22.5" customHeight="1">
      <c r="A2516">
        <f>Table4[[#This Row],[Column1]]</f>
        <v>0</v>
      </c>
      <c r="B2516">
        <f>Table4[[#This Row],[Column2]]</f>
        <v>0</v>
      </c>
      <c r="L2516"/>
    </row>
    <row r="2517" spans="1:12" ht="22.5" customHeight="1">
      <c r="A2517">
        <f>Table4[[#This Row],[Column1]]</f>
        <v>0</v>
      </c>
      <c r="B2517">
        <f>Table4[[#This Row],[Column2]]</f>
        <v>0</v>
      </c>
      <c r="L2517"/>
    </row>
    <row r="2518" spans="1:12" ht="22.5" customHeight="1">
      <c r="A2518">
        <f>Table4[[#This Row],[Column1]]</f>
        <v>0</v>
      </c>
      <c r="B2518">
        <f>Table4[[#This Row],[Column2]]</f>
        <v>0</v>
      </c>
      <c r="L2518"/>
    </row>
    <row r="2519" spans="1:12" ht="22.5" customHeight="1">
      <c r="A2519">
        <f>Table4[[#This Row],[Column1]]</f>
        <v>0</v>
      </c>
      <c r="B2519">
        <f>Table4[[#This Row],[Column2]]</f>
        <v>0</v>
      </c>
      <c r="L2519"/>
    </row>
    <row r="2520" spans="1:12" ht="22.5" customHeight="1">
      <c r="A2520">
        <f>Table4[[#This Row],[Column1]]</f>
        <v>0</v>
      </c>
      <c r="B2520">
        <f>Table4[[#This Row],[Column2]]</f>
        <v>0</v>
      </c>
      <c r="L2520"/>
    </row>
    <row r="2521" spans="1:12" ht="22.5" customHeight="1">
      <c r="A2521">
        <f>Table4[[#This Row],[Column1]]</f>
        <v>0</v>
      </c>
      <c r="B2521">
        <f>Table4[[#This Row],[Column2]]</f>
        <v>0</v>
      </c>
      <c r="L2521"/>
    </row>
    <row r="2522" spans="1:12" ht="22.5" customHeight="1">
      <c r="A2522">
        <f>Table4[[#This Row],[Column1]]</f>
        <v>0</v>
      </c>
      <c r="B2522">
        <f>Table4[[#This Row],[Column2]]</f>
        <v>0</v>
      </c>
      <c r="L2522"/>
    </row>
    <row r="2523" spans="1:12" ht="22.5" customHeight="1">
      <c r="A2523">
        <f>Table4[[#This Row],[Column1]]</f>
        <v>0</v>
      </c>
      <c r="B2523">
        <f>Table4[[#This Row],[Column2]]</f>
        <v>0</v>
      </c>
      <c r="L2523"/>
    </row>
    <row r="2524" spans="1:12" ht="22.5" customHeight="1">
      <c r="A2524">
        <f>Table4[[#This Row],[Column1]]</f>
        <v>0</v>
      </c>
      <c r="B2524">
        <f>Table4[[#This Row],[Column2]]</f>
        <v>0</v>
      </c>
      <c r="L2524"/>
    </row>
    <row r="2525" spans="1:12" ht="22.5" customHeight="1">
      <c r="A2525">
        <f>Table4[[#This Row],[Column1]]</f>
        <v>0</v>
      </c>
      <c r="B2525">
        <f>Table4[[#This Row],[Column2]]</f>
        <v>0</v>
      </c>
      <c r="L2525"/>
    </row>
    <row r="2526" spans="1:12" ht="22.5" customHeight="1">
      <c r="A2526">
        <f>Table4[[#This Row],[Column1]]</f>
        <v>0</v>
      </c>
      <c r="B2526">
        <f>Table4[[#This Row],[Column2]]</f>
        <v>0</v>
      </c>
      <c r="L2526"/>
    </row>
    <row r="2527" spans="1:12" ht="22.5" customHeight="1">
      <c r="A2527">
        <f>Table4[[#This Row],[Column1]]</f>
        <v>0</v>
      </c>
      <c r="B2527">
        <f>Table4[[#This Row],[Column2]]</f>
        <v>0</v>
      </c>
      <c r="L2527"/>
    </row>
    <row r="2528" spans="1:12" ht="22.5" customHeight="1">
      <c r="A2528">
        <f>Table4[[#This Row],[Column1]]</f>
        <v>0</v>
      </c>
      <c r="B2528">
        <f>Table4[[#This Row],[Column2]]</f>
        <v>0</v>
      </c>
      <c r="L2528"/>
    </row>
    <row r="2529" spans="1:12" ht="22.5" customHeight="1">
      <c r="A2529">
        <f>Table4[[#This Row],[Column1]]</f>
        <v>0</v>
      </c>
      <c r="B2529">
        <f>Table4[[#This Row],[Column2]]</f>
        <v>0</v>
      </c>
      <c r="L2529"/>
    </row>
    <row r="2530" spans="1:12" ht="22.5" customHeight="1">
      <c r="A2530">
        <f>Table4[[#This Row],[Column1]]</f>
        <v>0</v>
      </c>
      <c r="B2530">
        <f>Table4[[#This Row],[Column2]]</f>
        <v>0</v>
      </c>
      <c r="L2530"/>
    </row>
    <row r="2531" spans="1:12" ht="22.5" customHeight="1">
      <c r="A2531">
        <f>Table4[[#This Row],[Column1]]</f>
        <v>0</v>
      </c>
      <c r="B2531">
        <f>Table4[[#This Row],[Column2]]</f>
        <v>0</v>
      </c>
      <c r="L2531"/>
    </row>
    <row r="2532" spans="1:12" ht="22.5" customHeight="1">
      <c r="A2532">
        <f>Table4[[#This Row],[Column1]]</f>
        <v>0</v>
      </c>
      <c r="B2532">
        <f>Table4[[#This Row],[Column2]]</f>
        <v>0</v>
      </c>
      <c r="L2532"/>
    </row>
    <row r="2533" spans="1:12" ht="22.5" customHeight="1">
      <c r="A2533">
        <f>Table4[[#This Row],[Column1]]</f>
        <v>0</v>
      </c>
      <c r="B2533">
        <f>Table4[[#This Row],[Column2]]</f>
        <v>0</v>
      </c>
      <c r="L2533"/>
    </row>
    <row r="2534" spans="1:12" ht="22.5" customHeight="1">
      <c r="A2534">
        <f>Table4[[#This Row],[Column1]]</f>
        <v>0</v>
      </c>
      <c r="B2534">
        <f>Table4[[#This Row],[Column2]]</f>
        <v>0</v>
      </c>
      <c r="L2534"/>
    </row>
    <row r="2535" spans="1:12" ht="22.5" customHeight="1">
      <c r="A2535">
        <f>Table4[[#This Row],[Column1]]</f>
        <v>0</v>
      </c>
      <c r="B2535">
        <f>Table4[[#This Row],[Column2]]</f>
        <v>0</v>
      </c>
      <c r="L2535"/>
    </row>
    <row r="2536" spans="1:12" ht="22.5" customHeight="1">
      <c r="A2536">
        <f>Table4[[#This Row],[Column1]]</f>
        <v>0</v>
      </c>
      <c r="B2536">
        <f>Table4[[#This Row],[Column2]]</f>
        <v>0</v>
      </c>
      <c r="L2536"/>
    </row>
    <row r="2537" spans="1:12" ht="22.5" customHeight="1">
      <c r="A2537">
        <f>Table4[[#This Row],[Column1]]</f>
        <v>0</v>
      </c>
      <c r="B2537">
        <f>Table4[[#This Row],[Column2]]</f>
        <v>0</v>
      </c>
      <c r="L2537"/>
    </row>
    <row r="2538" spans="1:12" ht="22.5" customHeight="1">
      <c r="A2538">
        <f>Table4[[#This Row],[Column1]]</f>
        <v>0</v>
      </c>
      <c r="B2538">
        <f>Table4[[#This Row],[Column2]]</f>
        <v>0</v>
      </c>
      <c r="L2538"/>
    </row>
    <row r="2539" spans="1:12" ht="22.5" customHeight="1">
      <c r="A2539">
        <f>Table4[[#This Row],[Column1]]</f>
        <v>0</v>
      </c>
      <c r="B2539">
        <f>Table4[[#This Row],[Column2]]</f>
        <v>0</v>
      </c>
      <c r="L2539"/>
    </row>
    <row r="2540" spans="1:12" ht="22.5" customHeight="1">
      <c r="A2540">
        <f>Table4[[#This Row],[Column1]]</f>
        <v>0</v>
      </c>
      <c r="B2540">
        <f>Table4[[#This Row],[Column2]]</f>
        <v>0</v>
      </c>
      <c r="L2540"/>
    </row>
    <row r="2541" spans="1:12" ht="22.5" customHeight="1">
      <c r="A2541">
        <f>Table4[[#This Row],[Column1]]</f>
        <v>0</v>
      </c>
      <c r="B2541">
        <f>Table4[[#This Row],[Column2]]</f>
        <v>0</v>
      </c>
      <c r="L2541"/>
    </row>
    <row r="2542" spans="1:12" ht="22.5" customHeight="1">
      <c r="A2542">
        <f>Table4[[#This Row],[Column1]]</f>
        <v>0</v>
      </c>
      <c r="B2542">
        <f>Table4[[#This Row],[Column2]]</f>
        <v>0</v>
      </c>
      <c r="L2542"/>
    </row>
    <row r="2543" spans="1:12" ht="22.5" customHeight="1">
      <c r="A2543">
        <f>Table4[[#This Row],[Column1]]</f>
        <v>0</v>
      </c>
      <c r="B2543">
        <f>Table4[[#This Row],[Column2]]</f>
        <v>0</v>
      </c>
      <c r="L2543"/>
    </row>
    <row r="2544" spans="1:12" ht="22.5" customHeight="1">
      <c r="A2544">
        <f>Table4[[#This Row],[Column1]]</f>
        <v>0</v>
      </c>
      <c r="B2544">
        <f>Table4[[#This Row],[Column2]]</f>
        <v>0</v>
      </c>
      <c r="L2544"/>
    </row>
    <row r="2545" spans="1:12" ht="22.5" customHeight="1">
      <c r="A2545">
        <f>Table4[[#This Row],[Column1]]</f>
        <v>0</v>
      </c>
      <c r="B2545">
        <f>Table4[[#This Row],[Column2]]</f>
        <v>0</v>
      </c>
      <c r="L2545"/>
    </row>
    <row r="2546" spans="1:12" ht="22.5" customHeight="1">
      <c r="A2546">
        <f>Table4[[#This Row],[Column1]]</f>
        <v>0</v>
      </c>
      <c r="B2546">
        <f>Table4[[#This Row],[Column2]]</f>
        <v>0</v>
      </c>
      <c r="L2546"/>
    </row>
    <row r="2547" spans="1:12" ht="22.5" customHeight="1">
      <c r="A2547">
        <f>Table4[[#This Row],[Column1]]</f>
        <v>0</v>
      </c>
      <c r="B2547">
        <f>Table4[[#This Row],[Column2]]</f>
        <v>0</v>
      </c>
      <c r="L2547"/>
    </row>
    <row r="2548" spans="1:12" ht="22.5" customHeight="1">
      <c r="A2548">
        <f>Table4[[#This Row],[Column1]]</f>
        <v>0</v>
      </c>
      <c r="B2548">
        <f>Table4[[#This Row],[Column2]]</f>
        <v>0</v>
      </c>
      <c r="L2548"/>
    </row>
    <row r="2549" spans="1:12" ht="22.5" customHeight="1">
      <c r="A2549">
        <f>Table4[[#This Row],[Column1]]</f>
        <v>0</v>
      </c>
      <c r="B2549">
        <f>Table4[[#This Row],[Column2]]</f>
        <v>0</v>
      </c>
      <c r="L2549"/>
    </row>
    <row r="2550" spans="1:12" ht="22.5" customHeight="1">
      <c r="A2550">
        <f>Table4[[#This Row],[Column1]]</f>
        <v>0</v>
      </c>
      <c r="B2550">
        <f>Table4[[#This Row],[Column2]]</f>
        <v>0</v>
      </c>
      <c r="L2550"/>
    </row>
    <row r="2551" spans="1:12" ht="22.5" customHeight="1">
      <c r="A2551">
        <f>Table4[[#This Row],[Column1]]</f>
        <v>0</v>
      </c>
      <c r="B2551">
        <f>Table4[[#This Row],[Column2]]</f>
        <v>0</v>
      </c>
      <c r="L2551"/>
    </row>
    <row r="2552" spans="1:12" ht="22.5" customHeight="1">
      <c r="A2552">
        <f>Table4[[#This Row],[Column1]]</f>
        <v>0</v>
      </c>
      <c r="B2552">
        <f>Table4[[#This Row],[Column2]]</f>
        <v>0</v>
      </c>
      <c r="L2552"/>
    </row>
    <row r="2553" spans="1:12" ht="22.5" customHeight="1">
      <c r="A2553">
        <f>Table4[[#This Row],[Column1]]</f>
        <v>0</v>
      </c>
      <c r="B2553">
        <f>Table4[[#This Row],[Column2]]</f>
        <v>0</v>
      </c>
      <c r="L2553"/>
    </row>
    <row r="2554" spans="1:12" ht="22.5" customHeight="1">
      <c r="A2554">
        <f>Table4[[#This Row],[Column1]]</f>
        <v>0</v>
      </c>
      <c r="B2554">
        <f>Table4[[#This Row],[Column2]]</f>
        <v>0</v>
      </c>
      <c r="L2554"/>
    </row>
    <row r="2555" spans="1:12" ht="22.5" customHeight="1">
      <c r="A2555">
        <f>Table4[[#This Row],[Column1]]</f>
        <v>0</v>
      </c>
      <c r="B2555">
        <f>Table4[[#This Row],[Column2]]</f>
        <v>0</v>
      </c>
      <c r="L2555"/>
    </row>
    <row r="2556" spans="1:12" ht="22.5" customHeight="1">
      <c r="A2556">
        <f>Table4[[#This Row],[Column1]]</f>
        <v>0</v>
      </c>
      <c r="B2556">
        <f>Table4[[#This Row],[Column2]]</f>
        <v>0</v>
      </c>
      <c r="L2556"/>
    </row>
    <row r="2557" spans="1:12" ht="22.5" customHeight="1">
      <c r="A2557">
        <f>Table4[[#This Row],[Column1]]</f>
        <v>0</v>
      </c>
      <c r="B2557">
        <f>Table4[[#This Row],[Column2]]</f>
        <v>0</v>
      </c>
      <c r="L2557"/>
    </row>
    <row r="2558" spans="1:12" ht="22.5" customHeight="1">
      <c r="A2558">
        <f>Table4[[#This Row],[Column1]]</f>
        <v>0</v>
      </c>
      <c r="B2558">
        <f>Table4[[#This Row],[Column2]]</f>
        <v>0</v>
      </c>
      <c r="L2558"/>
    </row>
    <row r="2559" spans="1:12" ht="22.5" customHeight="1">
      <c r="A2559">
        <f>Table4[[#This Row],[Column1]]</f>
        <v>0</v>
      </c>
      <c r="B2559">
        <f>Table4[[#This Row],[Column2]]</f>
        <v>0</v>
      </c>
      <c r="L2559"/>
    </row>
    <row r="2560" spans="1:12" ht="22.5" customHeight="1">
      <c r="A2560">
        <f>Table4[[#This Row],[Column1]]</f>
        <v>0</v>
      </c>
      <c r="B2560">
        <f>Table4[[#This Row],[Column2]]</f>
        <v>0</v>
      </c>
      <c r="L2560"/>
    </row>
    <row r="2561" spans="1:12" ht="22.5" customHeight="1">
      <c r="A2561">
        <f>Table4[[#This Row],[Column1]]</f>
        <v>0</v>
      </c>
      <c r="B2561">
        <f>Table4[[#This Row],[Column2]]</f>
        <v>0</v>
      </c>
      <c r="L2561"/>
    </row>
    <row r="2562" spans="1:12" ht="22.5" customHeight="1">
      <c r="A2562">
        <f>Table4[[#This Row],[Column1]]</f>
        <v>0</v>
      </c>
      <c r="B2562">
        <f>Table4[[#This Row],[Column2]]</f>
        <v>0</v>
      </c>
      <c r="L2562"/>
    </row>
    <row r="2563" spans="1:12" ht="22.5" customHeight="1">
      <c r="A2563">
        <f>Table4[[#This Row],[Column1]]</f>
        <v>0</v>
      </c>
      <c r="B2563">
        <f>Table4[[#This Row],[Column2]]</f>
        <v>0</v>
      </c>
      <c r="L2563"/>
    </row>
    <row r="2564" spans="1:12" ht="22.5" customHeight="1">
      <c r="A2564">
        <f>Table4[[#This Row],[Column1]]</f>
        <v>0</v>
      </c>
      <c r="B2564">
        <f>Table4[[#This Row],[Column2]]</f>
        <v>0</v>
      </c>
      <c r="L2564"/>
    </row>
    <row r="2565" spans="1:12" ht="22.5" customHeight="1">
      <c r="A2565">
        <f>Table4[[#This Row],[Column1]]</f>
        <v>0</v>
      </c>
      <c r="B2565">
        <f>Table4[[#This Row],[Column2]]</f>
        <v>0</v>
      </c>
      <c r="L2565"/>
    </row>
    <row r="2566" spans="1:12" ht="22.5" customHeight="1">
      <c r="A2566">
        <f>Table4[[#This Row],[Column1]]</f>
        <v>0</v>
      </c>
      <c r="B2566">
        <f>Table4[[#This Row],[Column2]]</f>
        <v>0</v>
      </c>
      <c r="L2566"/>
    </row>
    <row r="2567" spans="1:12" ht="22.5" customHeight="1">
      <c r="A2567">
        <f>Table4[[#This Row],[Column1]]</f>
        <v>0</v>
      </c>
      <c r="B2567">
        <f>Table4[[#This Row],[Column2]]</f>
        <v>0</v>
      </c>
      <c r="L2567"/>
    </row>
    <row r="2568" spans="1:12" ht="22.5" customHeight="1">
      <c r="A2568">
        <f>Table4[[#This Row],[Column1]]</f>
        <v>0</v>
      </c>
      <c r="B2568">
        <f>Table4[[#This Row],[Column2]]</f>
        <v>0</v>
      </c>
      <c r="L2568"/>
    </row>
    <row r="2569" spans="1:12" ht="22.5" customHeight="1">
      <c r="A2569">
        <f>Table4[[#This Row],[Column1]]</f>
        <v>0</v>
      </c>
      <c r="B2569">
        <f>Table4[[#This Row],[Column2]]</f>
        <v>0</v>
      </c>
      <c r="L2569"/>
    </row>
    <row r="2570" spans="1:12" ht="22.5" customHeight="1">
      <c r="A2570">
        <f>Table4[[#This Row],[Column1]]</f>
        <v>0</v>
      </c>
      <c r="B2570">
        <f>Table4[[#This Row],[Column2]]</f>
        <v>0</v>
      </c>
      <c r="L2570"/>
    </row>
    <row r="2571" spans="1:12" ht="22.5" customHeight="1">
      <c r="A2571">
        <f>Table4[[#This Row],[Column1]]</f>
        <v>0</v>
      </c>
      <c r="B2571">
        <f>Table4[[#This Row],[Column2]]</f>
        <v>0</v>
      </c>
      <c r="L2571"/>
    </row>
    <row r="2572" spans="1:12" ht="22.5" customHeight="1">
      <c r="A2572">
        <f>Table4[[#This Row],[Column1]]</f>
        <v>0</v>
      </c>
      <c r="B2572">
        <f>Table4[[#This Row],[Column2]]</f>
        <v>0</v>
      </c>
      <c r="L2572"/>
    </row>
    <row r="2573" spans="1:12" ht="22.5" customHeight="1">
      <c r="A2573">
        <f>Table4[[#This Row],[Column1]]</f>
        <v>0</v>
      </c>
      <c r="B2573">
        <f>Table4[[#This Row],[Column2]]</f>
        <v>0</v>
      </c>
      <c r="L2573"/>
    </row>
    <row r="2574" spans="1:12" ht="22.5" customHeight="1">
      <c r="A2574">
        <f>Table4[[#This Row],[Column1]]</f>
        <v>0</v>
      </c>
      <c r="B2574">
        <f>Table4[[#This Row],[Column2]]</f>
        <v>0</v>
      </c>
      <c r="L2574"/>
    </row>
    <row r="2575" spans="1:12" ht="22.5" customHeight="1">
      <c r="A2575">
        <f>Table4[[#This Row],[Column1]]</f>
        <v>0</v>
      </c>
      <c r="B2575">
        <f>Table4[[#This Row],[Column2]]</f>
        <v>0</v>
      </c>
      <c r="L2575"/>
    </row>
    <row r="2576" spans="1:12" ht="22.5" customHeight="1">
      <c r="A2576">
        <f>Table4[[#This Row],[Column1]]</f>
        <v>0</v>
      </c>
      <c r="B2576">
        <f>Table4[[#This Row],[Column2]]</f>
        <v>0</v>
      </c>
      <c r="L2576"/>
    </row>
    <row r="2577" spans="1:12" ht="22.5" customHeight="1">
      <c r="A2577">
        <f>Table4[[#This Row],[Column1]]</f>
        <v>0</v>
      </c>
      <c r="B2577">
        <f>Table4[[#This Row],[Column2]]</f>
        <v>0</v>
      </c>
      <c r="L2577"/>
    </row>
    <row r="2578" spans="1:12" ht="22.5" customHeight="1">
      <c r="A2578">
        <f>Table4[[#This Row],[Column1]]</f>
        <v>0</v>
      </c>
      <c r="B2578">
        <f>Table4[[#This Row],[Column2]]</f>
        <v>0</v>
      </c>
      <c r="L2578"/>
    </row>
    <row r="2579" spans="1:12" ht="22.5" customHeight="1">
      <c r="A2579">
        <f>Table4[[#This Row],[Column1]]</f>
        <v>0</v>
      </c>
      <c r="B2579">
        <f>Table4[[#This Row],[Column2]]</f>
        <v>0</v>
      </c>
      <c r="L2579"/>
    </row>
    <row r="2580" spans="1:12" ht="22.5" customHeight="1">
      <c r="A2580">
        <f>Table4[[#This Row],[Column1]]</f>
        <v>0</v>
      </c>
      <c r="B2580">
        <f>Table4[[#This Row],[Column2]]</f>
        <v>0</v>
      </c>
      <c r="L2580"/>
    </row>
    <row r="2581" spans="1:12" ht="22.5" customHeight="1">
      <c r="A2581">
        <f>Table4[[#This Row],[Column1]]</f>
        <v>0</v>
      </c>
      <c r="B2581">
        <f>Table4[[#This Row],[Column2]]</f>
        <v>0</v>
      </c>
      <c r="L2581"/>
    </row>
    <row r="2582" spans="1:12" ht="22.5" customHeight="1">
      <c r="A2582">
        <f>Table4[[#This Row],[Column1]]</f>
        <v>0</v>
      </c>
      <c r="B2582">
        <f>Table4[[#This Row],[Column2]]</f>
        <v>0</v>
      </c>
      <c r="L2582"/>
    </row>
    <row r="2583" spans="1:12" ht="22.5" customHeight="1">
      <c r="A2583">
        <f>Table4[[#This Row],[Column1]]</f>
        <v>0</v>
      </c>
      <c r="B2583">
        <f>Table4[[#This Row],[Column2]]</f>
        <v>0</v>
      </c>
      <c r="L2583"/>
    </row>
    <row r="2584" spans="1:12" ht="22.5" customHeight="1">
      <c r="A2584">
        <f>Table4[[#This Row],[Column1]]</f>
        <v>0</v>
      </c>
      <c r="B2584">
        <f>Table4[[#This Row],[Column2]]</f>
        <v>0</v>
      </c>
      <c r="L2584"/>
    </row>
    <row r="2585" spans="1:12" ht="22.5" customHeight="1">
      <c r="A2585">
        <f>Table4[[#This Row],[Column1]]</f>
        <v>0</v>
      </c>
      <c r="B2585">
        <f>Table4[[#This Row],[Column2]]</f>
        <v>0</v>
      </c>
      <c r="L2585"/>
    </row>
    <row r="2586" spans="1:12" ht="22.5" customHeight="1">
      <c r="A2586">
        <f>Table4[[#This Row],[Column1]]</f>
        <v>0</v>
      </c>
      <c r="B2586">
        <f>Table4[[#This Row],[Column2]]</f>
        <v>0</v>
      </c>
      <c r="L2586"/>
    </row>
    <row r="2587" spans="1:12" ht="22.5" customHeight="1">
      <c r="A2587">
        <f>Table4[[#This Row],[Column1]]</f>
        <v>0</v>
      </c>
      <c r="B2587">
        <f>Table4[[#This Row],[Column2]]</f>
        <v>0</v>
      </c>
      <c r="L2587"/>
    </row>
    <row r="2588" spans="1:12" ht="22.5" customHeight="1">
      <c r="A2588">
        <f>Table4[[#This Row],[Column1]]</f>
        <v>0</v>
      </c>
      <c r="B2588">
        <f>Table4[[#This Row],[Column2]]</f>
        <v>0</v>
      </c>
      <c r="L2588"/>
    </row>
    <row r="2589" spans="1:12" ht="22.5" customHeight="1">
      <c r="A2589">
        <f>Table4[[#This Row],[Column1]]</f>
        <v>0</v>
      </c>
      <c r="B2589">
        <f>Table4[[#This Row],[Column2]]</f>
        <v>0</v>
      </c>
      <c r="L2589"/>
    </row>
    <row r="2590" spans="1:12" ht="22.5" customHeight="1">
      <c r="A2590">
        <f>Table4[[#This Row],[Column1]]</f>
        <v>0</v>
      </c>
      <c r="B2590">
        <f>Table4[[#This Row],[Column2]]</f>
        <v>0</v>
      </c>
      <c r="L2590"/>
    </row>
    <row r="2591" spans="1:12" ht="22.5" customHeight="1">
      <c r="A2591">
        <f>Table4[[#This Row],[Column1]]</f>
        <v>0</v>
      </c>
      <c r="B2591">
        <f>Table4[[#This Row],[Column2]]</f>
        <v>0</v>
      </c>
      <c r="L2591"/>
    </row>
    <row r="2592" spans="1:12" ht="22.5" customHeight="1">
      <c r="A2592">
        <f>Table4[[#This Row],[Column1]]</f>
        <v>0</v>
      </c>
      <c r="B2592">
        <f>Table4[[#This Row],[Column2]]</f>
        <v>0</v>
      </c>
      <c r="L2592"/>
    </row>
    <row r="2593" spans="1:12" ht="22.5" customHeight="1">
      <c r="A2593">
        <f>Table4[[#This Row],[Column1]]</f>
        <v>0</v>
      </c>
      <c r="B2593">
        <f>Table4[[#This Row],[Column2]]</f>
        <v>0</v>
      </c>
      <c r="L2593"/>
    </row>
    <row r="2594" spans="1:12" ht="22.5" customHeight="1">
      <c r="A2594">
        <f>Table4[[#This Row],[Column1]]</f>
        <v>0</v>
      </c>
      <c r="B2594">
        <f>Table4[[#This Row],[Column2]]</f>
        <v>0</v>
      </c>
      <c r="L2594"/>
    </row>
    <row r="2595" spans="1:12" ht="22.5" customHeight="1">
      <c r="A2595">
        <f>Table4[[#This Row],[Column1]]</f>
        <v>0</v>
      </c>
      <c r="B2595">
        <f>Table4[[#This Row],[Column2]]</f>
        <v>0</v>
      </c>
      <c r="L2595"/>
    </row>
    <row r="2596" spans="1:12" ht="22.5" customHeight="1">
      <c r="A2596">
        <f>Table4[[#This Row],[Column1]]</f>
        <v>0</v>
      </c>
      <c r="B2596">
        <f>Table4[[#This Row],[Column2]]</f>
        <v>0</v>
      </c>
      <c r="L2596"/>
    </row>
    <row r="2597" spans="1:12" ht="22.5" customHeight="1">
      <c r="A2597">
        <f>Table4[[#This Row],[Column1]]</f>
        <v>0</v>
      </c>
      <c r="B2597">
        <f>Table4[[#This Row],[Column2]]</f>
        <v>0</v>
      </c>
      <c r="L2597"/>
    </row>
    <row r="2598" spans="1:12" ht="22.5" customHeight="1">
      <c r="A2598">
        <f>Table4[[#This Row],[Column1]]</f>
        <v>0</v>
      </c>
      <c r="B2598">
        <f>Table4[[#This Row],[Column2]]</f>
        <v>0</v>
      </c>
      <c r="L2598"/>
    </row>
    <row r="2599" spans="1:12" ht="22.5" customHeight="1">
      <c r="A2599">
        <f>Table4[[#This Row],[Column1]]</f>
        <v>0</v>
      </c>
      <c r="B2599">
        <f>Table4[[#This Row],[Column2]]</f>
        <v>0</v>
      </c>
      <c r="L2599"/>
    </row>
    <row r="2600" spans="1:12" ht="22.5" customHeight="1">
      <c r="A2600">
        <f>Table4[[#This Row],[Column1]]</f>
        <v>0</v>
      </c>
      <c r="B2600">
        <f>Table4[[#This Row],[Column2]]</f>
        <v>0</v>
      </c>
      <c r="L2600"/>
    </row>
    <row r="2601" spans="1:12" ht="22.5" customHeight="1">
      <c r="A2601">
        <f>Table4[[#This Row],[Column1]]</f>
        <v>0</v>
      </c>
      <c r="B2601">
        <f>Table4[[#This Row],[Column2]]</f>
        <v>0</v>
      </c>
      <c r="L2601"/>
    </row>
    <row r="2602" spans="1:12" ht="22.5" customHeight="1">
      <c r="A2602">
        <f>Table4[[#This Row],[Column1]]</f>
        <v>0</v>
      </c>
      <c r="B2602">
        <f>Table4[[#This Row],[Column2]]</f>
        <v>0</v>
      </c>
      <c r="L2602"/>
    </row>
    <row r="2603" spans="1:12" ht="22.5" customHeight="1">
      <c r="A2603">
        <f>Table4[[#This Row],[Column1]]</f>
        <v>0</v>
      </c>
      <c r="B2603">
        <f>Table4[[#This Row],[Column2]]</f>
        <v>0</v>
      </c>
      <c r="L2603"/>
    </row>
    <row r="2604" spans="1:12" ht="22.5" customHeight="1">
      <c r="A2604">
        <f>Table4[[#This Row],[Column1]]</f>
        <v>0</v>
      </c>
      <c r="B2604">
        <f>Table4[[#This Row],[Column2]]</f>
        <v>0</v>
      </c>
      <c r="L2604"/>
    </row>
    <row r="2605" spans="1:12" ht="22.5" customHeight="1">
      <c r="A2605">
        <f>Table4[[#This Row],[Column1]]</f>
        <v>0</v>
      </c>
      <c r="B2605">
        <f>Table4[[#This Row],[Column2]]</f>
        <v>0</v>
      </c>
      <c r="L2605"/>
    </row>
    <row r="2606" spans="1:12" ht="22.5" customHeight="1">
      <c r="A2606">
        <f>Table4[[#This Row],[Column1]]</f>
        <v>0</v>
      </c>
      <c r="B2606">
        <f>Table4[[#This Row],[Column2]]</f>
        <v>0</v>
      </c>
      <c r="L2606"/>
    </row>
    <row r="2607" spans="1:12" ht="22.5" customHeight="1">
      <c r="A2607">
        <f>Table4[[#This Row],[Column1]]</f>
        <v>0</v>
      </c>
      <c r="B2607">
        <f>Table4[[#This Row],[Column2]]</f>
        <v>0</v>
      </c>
      <c r="L2607"/>
    </row>
    <row r="2608" spans="1:12" ht="22.5" customHeight="1">
      <c r="A2608">
        <f>Table4[[#This Row],[Column1]]</f>
        <v>0</v>
      </c>
      <c r="B2608">
        <f>Table4[[#This Row],[Column2]]</f>
        <v>0</v>
      </c>
      <c r="L2608"/>
    </row>
    <row r="2609" spans="1:12" ht="22.5" customHeight="1">
      <c r="A2609">
        <f>Table4[[#This Row],[Column1]]</f>
        <v>0</v>
      </c>
      <c r="B2609">
        <f>Table4[[#This Row],[Column2]]</f>
        <v>0</v>
      </c>
      <c r="L2609"/>
    </row>
    <row r="2610" spans="1:12" ht="22.5" customHeight="1">
      <c r="A2610">
        <f>Table4[[#This Row],[Column1]]</f>
        <v>0</v>
      </c>
      <c r="B2610">
        <f>Table4[[#This Row],[Column2]]</f>
        <v>0</v>
      </c>
      <c r="L2610"/>
    </row>
    <row r="2611" spans="1:12" ht="22.5" customHeight="1">
      <c r="A2611">
        <f>Table4[[#This Row],[Column1]]</f>
        <v>0</v>
      </c>
      <c r="B2611">
        <f>Table4[[#This Row],[Column2]]</f>
        <v>0</v>
      </c>
      <c r="L2611"/>
    </row>
    <row r="2612" spans="1:12" ht="22.5" customHeight="1">
      <c r="A2612">
        <f>Table4[[#This Row],[Column1]]</f>
        <v>0</v>
      </c>
      <c r="B2612">
        <f>Table4[[#This Row],[Column2]]</f>
        <v>0</v>
      </c>
      <c r="L2612"/>
    </row>
    <row r="2613" spans="1:12" ht="22.5" customHeight="1">
      <c r="A2613">
        <f>Table4[[#This Row],[Column1]]</f>
        <v>0</v>
      </c>
      <c r="B2613">
        <f>Table4[[#This Row],[Column2]]</f>
        <v>0</v>
      </c>
      <c r="L2613"/>
    </row>
    <row r="2614" spans="1:12" ht="22.5" customHeight="1">
      <c r="A2614">
        <f>Table4[[#This Row],[Column1]]</f>
        <v>0</v>
      </c>
      <c r="B2614">
        <f>Table4[[#This Row],[Column2]]</f>
        <v>0</v>
      </c>
      <c r="L2614"/>
    </row>
    <row r="2615" spans="1:12" ht="22.5" customHeight="1">
      <c r="A2615">
        <f>Table4[[#This Row],[Column1]]</f>
        <v>0</v>
      </c>
      <c r="B2615">
        <f>Table4[[#This Row],[Column2]]</f>
        <v>0</v>
      </c>
      <c r="L2615"/>
    </row>
    <row r="2616" spans="1:12" ht="22.5" customHeight="1">
      <c r="A2616">
        <f>Table4[[#This Row],[Column1]]</f>
        <v>0</v>
      </c>
      <c r="B2616">
        <f>Table4[[#This Row],[Column2]]</f>
        <v>0</v>
      </c>
      <c r="L2616"/>
    </row>
    <row r="2617" spans="1:12" ht="22.5" customHeight="1">
      <c r="A2617">
        <f>Table4[[#This Row],[Column1]]</f>
        <v>0</v>
      </c>
      <c r="B2617">
        <f>Table4[[#This Row],[Column2]]</f>
        <v>0</v>
      </c>
      <c r="L2617"/>
    </row>
    <row r="2618" spans="1:12" ht="22.5" customHeight="1">
      <c r="A2618">
        <f>Table4[[#This Row],[Column1]]</f>
        <v>0</v>
      </c>
      <c r="B2618">
        <f>Table4[[#This Row],[Column2]]</f>
        <v>0</v>
      </c>
      <c r="L2618"/>
    </row>
    <row r="2619" spans="1:12" ht="22.5" customHeight="1">
      <c r="A2619">
        <f>Table4[[#This Row],[Column1]]</f>
        <v>0</v>
      </c>
      <c r="B2619">
        <f>Table4[[#This Row],[Column2]]</f>
        <v>0</v>
      </c>
      <c r="L2619"/>
    </row>
    <row r="2620" spans="1:12" ht="22.5" customHeight="1">
      <c r="A2620">
        <f>Table4[[#This Row],[Column1]]</f>
        <v>0</v>
      </c>
      <c r="B2620">
        <f>Table4[[#This Row],[Column2]]</f>
        <v>0</v>
      </c>
      <c r="L2620"/>
    </row>
    <row r="2621" spans="1:12" ht="22.5" customHeight="1">
      <c r="A2621">
        <f>Table4[[#This Row],[Column1]]</f>
        <v>0</v>
      </c>
      <c r="B2621">
        <f>Table4[[#This Row],[Column2]]</f>
        <v>0</v>
      </c>
      <c r="L2621"/>
    </row>
    <row r="2622" spans="1:12" ht="22.5" customHeight="1">
      <c r="A2622">
        <f>Table4[[#This Row],[Column1]]</f>
        <v>0</v>
      </c>
      <c r="B2622">
        <f>Table4[[#This Row],[Column2]]</f>
        <v>0</v>
      </c>
      <c r="L2622"/>
    </row>
    <row r="2623" spans="1:12" ht="22.5" customHeight="1">
      <c r="A2623">
        <f>Table4[[#This Row],[Column1]]</f>
        <v>0</v>
      </c>
      <c r="B2623">
        <f>Table4[[#This Row],[Column2]]</f>
        <v>0</v>
      </c>
      <c r="L2623"/>
    </row>
    <row r="2624" spans="1:12" ht="22.5" customHeight="1">
      <c r="A2624">
        <f>Table4[[#This Row],[Column1]]</f>
        <v>0</v>
      </c>
      <c r="B2624">
        <f>Table4[[#This Row],[Column2]]</f>
        <v>0</v>
      </c>
      <c r="L2624"/>
    </row>
    <row r="2625" spans="1:12" ht="22.5" customHeight="1">
      <c r="A2625">
        <f>Table4[[#This Row],[Column1]]</f>
        <v>0</v>
      </c>
      <c r="B2625">
        <f>Table4[[#This Row],[Column2]]</f>
        <v>0</v>
      </c>
      <c r="L2625"/>
    </row>
    <row r="2626" spans="1:12" ht="22.5" customHeight="1">
      <c r="A2626">
        <f>Table4[[#This Row],[Column1]]</f>
        <v>0</v>
      </c>
      <c r="B2626">
        <f>Table4[[#This Row],[Column2]]</f>
        <v>0</v>
      </c>
      <c r="L2626"/>
    </row>
    <row r="2627" spans="1:12" ht="22.5" customHeight="1">
      <c r="A2627">
        <f>Table4[[#This Row],[Column1]]</f>
        <v>0</v>
      </c>
      <c r="B2627">
        <f>Table4[[#This Row],[Column2]]</f>
        <v>0</v>
      </c>
      <c r="L2627"/>
    </row>
    <row r="2628" spans="1:12" ht="22.5" customHeight="1">
      <c r="A2628">
        <f>Table4[[#This Row],[Column1]]</f>
        <v>0</v>
      </c>
      <c r="B2628">
        <f>Table4[[#This Row],[Column2]]</f>
        <v>0</v>
      </c>
      <c r="L2628"/>
    </row>
    <row r="2629" spans="1:12" ht="22.5" customHeight="1">
      <c r="A2629">
        <f>Table4[[#This Row],[Column1]]</f>
        <v>0</v>
      </c>
      <c r="B2629">
        <f>Table4[[#This Row],[Column2]]</f>
        <v>0</v>
      </c>
      <c r="L2629"/>
    </row>
    <row r="2630" spans="1:12" ht="22.5" customHeight="1">
      <c r="A2630">
        <f>Table4[[#This Row],[Column1]]</f>
        <v>0</v>
      </c>
      <c r="B2630">
        <f>Table4[[#This Row],[Column2]]</f>
        <v>0</v>
      </c>
      <c r="L2630"/>
    </row>
    <row r="2631" spans="1:12" ht="22.5" customHeight="1">
      <c r="A2631">
        <f>Table4[[#This Row],[Column1]]</f>
        <v>0</v>
      </c>
      <c r="B2631">
        <f>Table4[[#This Row],[Column2]]</f>
        <v>0</v>
      </c>
      <c r="L2631"/>
    </row>
    <row r="2632" spans="1:12" ht="22.5" customHeight="1">
      <c r="A2632">
        <f>Table4[[#This Row],[Column1]]</f>
        <v>0</v>
      </c>
      <c r="B2632">
        <f>Table4[[#This Row],[Column2]]</f>
        <v>0</v>
      </c>
      <c r="L2632"/>
    </row>
    <row r="2633" spans="1:12" ht="22.5" customHeight="1">
      <c r="A2633">
        <f>Table4[[#This Row],[Column1]]</f>
        <v>0</v>
      </c>
      <c r="B2633">
        <f>Table4[[#This Row],[Column2]]</f>
        <v>0</v>
      </c>
      <c r="L2633"/>
    </row>
    <row r="2634" spans="1:12" ht="22.5" customHeight="1">
      <c r="A2634">
        <f>Table4[[#This Row],[Column1]]</f>
        <v>0</v>
      </c>
      <c r="B2634">
        <f>Table4[[#This Row],[Column2]]</f>
        <v>0</v>
      </c>
      <c r="L2634"/>
    </row>
    <row r="2635" spans="1:12" ht="22.5" customHeight="1">
      <c r="A2635">
        <f>Table4[[#This Row],[Column1]]</f>
        <v>0</v>
      </c>
      <c r="B2635">
        <f>Table4[[#This Row],[Column2]]</f>
        <v>0</v>
      </c>
      <c r="L2635"/>
    </row>
    <row r="2636" spans="1:12" ht="22.5" customHeight="1">
      <c r="A2636">
        <f>Table4[[#This Row],[Column1]]</f>
        <v>0</v>
      </c>
      <c r="B2636">
        <f>Table4[[#This Row],[Column2]]</f>
        <v>0</v>
      </c>
      <c r="L2636"/>
    </row>
    <row r="2637" spans="1:12" ht="22.5" customHeight="1">
      <c r="A2637">
        <f>Table4[[#This Row],[Column1]]</f>
        <v>0</v>
      </c>
      <c r="B2637">
        <f>Table4[[#This Row],[Column2]]</f>
        <v>0</v>
      </c>
      <c r="L2637"/>
    </row>
    <row r="2638" spans="1:12" ht="22.5" customHeight="1">
      <c r="A2638">
        <f>Table4[[#This Row],[Column1]]</f>
        <v>0</v>
      </c>
      <c r="B2638">
        <f>Table4[[#This Row],[Column2]]</f>
        <v>0</v>
      </c>
      <c r="L2638"/>
    </row>
    <row r="2639" spans="1:12" ht="22.5" customHeight="1">
      <c r="A2639">
        <f>Table4[[#This Row],[Column1]]</f>
        <v>0</v>
      </c>
      <c r="B2639">
        <f>Table4[[#This Row],[Column2]]</f>
        <v>0</v>
      </c>
      <c r="L2639"/>
    </row>
    <row r="2640" spans="1:12" ht="22.5" customHeight="1">
      <c r="A2640">
        <f>Table4[[#This Row],[Column1]]</f>
        <v>0</v>
      </c>
      <c r="B2640">
        <f>Table4[[#This Row],[Column2]]</f>
        <v>0</v>
      </c>
      <c r="L2640"/>
    </row>
    <row r="2641" spans="1:12" ht="22.5" customHeight="1">
      <c r="A2641">
        <f>Table4[[#This Row],[Column1]]</f>
        <v>0</v>
      </c>
      <c r="B2641">
        <f>Table4[[#This Row],[Column2]]</f>
        <v>0</v>
      </c>
      <c r="L2641"/>
    </row>
    <row r="2642" spans="1:12" ht="22.5" customHeight="1">
      <c r="A2642">
        <f>Table4[[#This Row],[Column1]]</f>
        <v>0</v>
      </c>
      <c r="B2642">
        <f>Table4[[#This Row],[Column2]]</f>
        <v>0</v>
      </c>
      <c r="L2642"/>
    </row>
    <row r="2643" spans="1:12" ht="22.5" customHeight="1">
      <c r="A2643">
        <f>Table4[[#This Row],[Column1]]</f>
        <v>0</v>
      </c>
      <c r="B2643">
        <f>Table4[[#This Row],[Column2]]</f>
        <v>0</v>
      </c>
      <c r="L2643"/>
    </row>
    <row r="2644" spans="1:12" ht="22.5" customHeight="1">
      <c r="A2644">
        <f>Table4[[#This Row],[Column1]]</f>
        <v>0</v>
      </c>
      <c r="B2644">
        <f>Table4[[#This Row],[Column2]]</f>
        <v>0</v>
      </c>
      <c r="L2644"/>
    </row>
    <row r="2645" spans="1:12" ht="22.5" customHeight="1">
      <c r="A2645">
        <f>Table4[[#This Row],[Column1]]</f>
        <v>0</v>
      </c>
      <c r="B2645">
        <f>Table4[[#This Row],[Column2]]</f>
        <v>0</v>
      </c>
      <c r="L2645"/>
    </row>
    <row r="2646" spans="1:12" ht="22.5" customHeight="1">
      <c r="A2646">
        <f>Table4[[#This Row],[Column1]]</f>
        <v>0</v>
      </c>
      <c r="B2646">
        <f>Table4[[#This Row],[Column2]]</f>
        <v>0</v>
      </c>
      <c r="L2646"/>
    </row>
    <row r="2647" spans="1:12" ht="22.5" customHeight="1">
      <c r="A2647">
        <f>Table4[[#This Row],[Column1]]</f>
        <v>0</v>
      </c>
      <c r="B2647">
        <f>Table4[[#This Row],[Column2]]</f>
        <v>0</v>
      </c>
      <c r="L2647"/>
    </row>
    <row r="2648" spans="1:12" ht="22.5" customHeight="1">
      <c r="A2648">
        <f>Table4[[#This Row],[Column1]]</f>
        <v>0</v>
      </c>
      <c r="B2648">
        <f>Table4[[#This Row],[Column2]]</f>
        <v>0</v>
      </c>
      <c r="L2648"/>
    </row>
    <row r="2649" spans="1:12" ht="22.5" customHeight="1">
      <c r="A2649">
        <f>Table4[[#This Row],[Column1]]</f>
        <v>0</v>
      </c>
      <c r="B2649">
        <f>Table4[[#This Row],[Column2]]</f>
        <v>0</v>
      </c>
      <c r="L2649"/>
    </row>
    <row r="2650" spans="1:12" ht="22.5" customHeight="1">
      <c r="A2650">
        <f>Table4[[#This Row],[Column1]]</f>
        <v>0</v>
      </c>
      <c r="B2650">
        <f>Table4[[#This Row],[Column2]]</f>
        <v>0</v>
      </c>
      <c r="L2650"/>
    </row>
    <row r="2651" spans="1:12" ht="22.5" customHeight="1">
      <c r="A2651">
        <f>Table4[[#This Row],[Column1]]</f>
        <v>0</v>
      </c>
      <c r="B2651">
        <f>Table4[[#This Row],[Column2]]</f>
        <v>0</v>
      </c>
      <c r="L2651"/>
    </row>
    <row r="2652" spans="1:12" ht="22.5" customHeight="1">
      <c r="A2652">
        <f>Table4[[#This Row],[Column1]]</f>
        <v>0</v>
      </c>
      <c r="B2652">
        <f>Table4[[#This Row],[Column2]]</f>
        <v>0</v>
      </c>
      <c r="L2652"/>
    </row>
    <row r="2653" spans="1:12" ht="22.5" customHeight="1">
      <c r="A2653">
        <f>Table4[[#This Row],[Column1]]</f>
        <v>0</v>
      </c>
      <c r="B2653">
        <f>Table4[[#This Row],[Column2]]</f>
        <v>0</v>
      </c>
      <c r="L2653"/>
    </row>
    <row r="2654" spans="1:12" ht="22.5" customHeight="1">
      <c r="A2654">
        <f>Table4[[#This Row],[Column1]]</f>
        <v>0</v>
      </c>
      <c r="B2654">
        <f>Table4[[#This Row],[Column2]]</f>
        <v>0</v>
      </c>
      <c r="L2654"/>
    </row>
    <row r="2655" spans="1:12" ht="22.5" customHeight="1">
      <c r="A2655">
        <f>Table4[[#This Row],[Column1]]</f>
        <v>0</v>
      </c>
      <c r="B2655">
        <f>Table4[[#This Row],[Column2]]</f>
        <v>0</v>
      </c>
      <c r="L2655"/>
    </row>
    <row r="2656" spans="1:12" ht="22.5" customHeight="1">
      <c r="A2656">
        <f>Table4[[#This Row],[Column1]]</f>
        <v>0</v>
      </c>
      <c r="B2656">
        <f>Table4[[#This Row],[Column2]]</f>
        <v>0</v>
      </c>
      <c r="L2656"/>
    </row>
    <row r="2657" spans="1:12" ht="22.5" customHeight="1">
      <c r="A2657">
        <f>Table4[[#This Row],[Column1]]</f>
        <v>0</v>
      </c>
      <c r="B2657">
        <f>Table4[[#This Row],[Column2]]</f>
        <v>0</v>
      </c>
      <c r="L2657"/>
    </row>
    <row r="2658" spans="1:12" ht="22.5" customHeight="1">
      <c r="A2658">
        <f>Table4[[#This Row],[Column1]]</f>
        <v>0</v>
      </c>
      <c r="B2658">
        <f>Table4[[#This Row],[Column2]]</f>
        <v>0</v>
      </c>
      <c r="L2658"/>
    </row>
    <row r="2659" spans="1:12" ht="22.5" customHeight="1">
      <c r="A2659">
        <f>Table4[[#This Row],[Column1]]</f>
        <v>0</v>
      </c>
      <c r="B2659">
        <f>Table4[[#This Row],[Column2]]</f>
        <v>0</v>
      </c>
      <c r="L2659"/>
    </row>
    <row r="2660" spans="1:12" ht="22.5" customHeight="1">
      <c r="A2660">
        <f>Table4[[#This Row],[Column1]]</f>
        <v>0</v>
      </c>
      <c r="B2660">
        <f>Table4[[#This Row],[Column2]]</f>
        <v>0</v>
      </c>
      <c r="L2660"/>
    </row>
    <row r="2661" spans="1:12" ht="22.5" customHeight="1">
      <c r="A2661">
        <f>Table4[[#This Row],[Column1]]</f>
        <v>0</v>
      </c>
      <c r="B2661">
        <f>Table4[[#This Row],[Column2]]</f>
        <v>0</v>
      </c>
      <c r="L2661"/>
    </row>
    <row r="2662" spans="1:12" ht="22.5" customHeight="1">
      <c r="A2662">
        <f>Table4[[#This Row],[Column1]]</f>
        <v>0</v>
      </c>
      <c r="B2662">
        <f>Table4[[#This Row],[Column2]]</f>
        <v>0</v>
      </c>
      <c r="L2662"/>
    </row>
    <row r="2663" spans="1:12" ht="22.5" customHeight="1">
      <c r="A2663">
        <f>Table4[[#This Row],[Column1]]</f>
        <v>0</v>
      </c>
      <c r="B2663">
        <f>Table4[[#This Row],[Column2]]</f>
        <v>0</v>
      </c>
      <c r="L2663"/>
    </row>
    <row r="2664" spans="1:12" ht="22.5" customHeight="1">
      <c r="A2664">
        <f>Table4[[#This Row],[Column1]]</f>
        <v>0</v>
      </c>
      <c r="B2664">
        <f>Table4[[#This Row],[Column2]]</f>
        <v>0</v>
      </c>
      <c r="L2664"/>
    </row>
    <row r="2665" spans="1:12" ht="22.5" customHeight="1">
      <c r="A2665">
        <f>Table4[[#This Row],[Column1]]</f>
        <v>0</v>
      </c>
      <c r="B2665">
        <f>Table4[[#This Row],[Column2]]</f>
        <v>0</v>
      </c>
      <c r="L2665"/>
    </row>
    <row r="2666" spans="1:12" ht="22.5" customHeight="1">
      <c r="A2666">
        <f>Table4[[#This Row],[Column1]]</f>
        <v>0</v>
      </c>
      <c r="B2666">
        <f>Table4[[#This Row],[Column2]]</f>
        <v>0</v>
      </c>
      <c r="L2666"/>
    </row>
    <row r="2667" spans="1:12" ht="22.5" customHeight="1">
      <c r="A2667">
        <f>Table4[[#This Row],[Column1]]</f>
        <v>0</v>
      </c>
      <c r="B2667">
        <f>Table4[[#This Row],[Column2]]</f>
        <v>0</v>
      </c>
      <c r="L2667"/>
    </row>
    <row r="2668" spans="1:12" ht="22.5" customHeight="1">
      <c r="A2668">
        <f>Table4[[#This Row],[Column1]]</f>
        <v>0</v>
      </c>
      <c r="B2668">
        <f>Table4[[#This Row],[Column2]]</f>
        <v>0</v>
      </c>
      <c r="L2668"/>
    </row>
    <row r="2669" spans="1:12" ht="22.5" customHeight="1">
      <c r="A2669">
        <f>Table4[[#This Row],[Column1]]</f>
        <v>0</v>
      </c>
      <c r="B2669">
        <f>Table4[[#This Row],[Column2]]</f>
        <v>0</v>
      </c>
      <c r="L2669"/>
    </row>
    <row r="2670" spans="1:12" ht="22.5" customHeight="1">
      <c r="A2670">
        <f>Table4[[#This Row],[Column1]]</f>
        <v>0</v>
      </c>
      <c r="B2670">
        <f>Table4[[#This Row],[Column2]]</f>
        <v>0</v>
      </c>
      <c r="L2670"/>
    </row>
    <row r="2671" spans="1:12" ht="22.5" customHeight="1">
      <c r="A2671">
        <f>Table4[[#This Row],[Column1]]</f>
        <v>0</v>
      </c>
      <c r="B2671">
        <f>Table4[[#This Row],[Column2]]</f>
        <v>0</v>
      </c>
      <c r="L2671"/>
    </row>
    <row r="2672" spans="1:12" ht="22.5" customHeight="1">
      <c r="A2672">
        <f>Table4[[#This Row],[Column1]]</f>
        <v>0</v>
      </c>
      <c r="B2672">
        <f>Table4[[#This Row],[Column2]]</f>
        <v>0</v>
      </c>
      <c r="L2672"/>
    </row>
    <row r="2673" spans="1:12" ht="22.5" customHeight="1">
      <c r="A2673">
        <f>Table4[[#This Row],[Column1]]</f>
        <v>0</v>
      </c>
      <c r="B2673">
        <f>Table4[[#This Row],[Column2]]</f>
        <v>0</v>
      </c>
      <c r="L2673"/>
    </row>
    <row r="2674" spans="1:12" ht="22.5" customHeight="1">
      <c r="A2674">
        <f>Table4[[#This Row],[Column1]]</f>
        <v>0</v>
      </c>
      <c r="B2674">
        <f>Table4[[#This Row],[Column2]]</f>
        <v>0</v>
      </c>
      <c r="L2674"/>
    </row>
    <row r="2675" spans="1:12" ht="22.5" customHeight="1">
      <c r="A2675">
        <f>Table4[[#This Row],[Column1]]</f>
        <v>0</v>
      </c>
      <c r="B2675">
        <f>Table4[[#This Row],[Column2]]</f>
        <v>0</v>
      </c>
      <c r="L2675"/>
    </row>
    <row r="2676" spans="1:12" ht="22.5" customHeight="1">
      <c r="A2676">
        <f>Table4[[#This Row],[Column1]]</f>
        <v>0</v>
      </c>
      <c r="B2676">
        <f>Table4[[#This Row],[Column2]]</f>
        <v>0</v>
      </c>
      <c r="L2676"/>
    </row>
    <row r="2677" spans="1:12" ht="22.5" customHeight="1">
      <c r="A2677">
        <f>Table4[[#This Row],[Column1]]</f>
        <v>0</v>
      </c>
      <c r="B2677">
        <f>Table4[[#This Row],[Column2]]</f>
        <v>0</v>
      </c>
      <c r="L2677"/>
    </row>
    <row r="2678" spans="1:12" ht="22.5" customHeight="1">
      <c r="A2678">
        <f>Table4[[#This Row],[Column1]]</f>
        <v>0</v>
      </c>
      <c r="B2678">
        <f>Table4[[#This Row],[Column2]]</f>
        <v>0</v>
      </c>
      <c r="L2678"/>
    </row>
    <row r="2679" spans="1:12" ht="22.5" customHeight="1">
      <c r="A2679">
        <f>Table4[[#This Row],[Column1]]</f>
        <v>0</v>
      </c>
      <c r="B2679">
        <f>Table4[[#This Row],[Column2]]</f>
        <v>0</v>
      </c>
      <c r="L2679"/>
    </row>
    <row r="2680" spans="1:12" ht="22.5" customHeight="1">
      <c r="A2680">
        <f>Table4[[#This Row],[Column1]]</f>
        <v>0</v>
      </c>
      <c r="B2680">
        <f>Table4[[#This Row],[Column2]]</f>
        <v>0</v>
      </c>
      <c r="L2680"/>
    </row>
    <row r="2681" spans="1:12" ht="22.5" customHeight="1">
      <c r="A2681">
        <f>Table4[[#This Row],[Column1]]</f>
        <v>0</v>
      </c>
      <c r="B2681">
        <f>Table4[[#This Row],[Column2]]</f>
        <v>0</v>
      </c>
      <c r="L2681"/>
    </row>
    <row r="2682" spans="1:12" ht="22.5" customHeight="1">
      <c r="A2682">
        <f>Table4[[#This Row],[Column1]]</f>
        <v>0</v>
      </c>
      <c r="B2682">
        <f>Table4[[#This Row],[Column2]]</f>
        <v>0</v>
      </c>
      <c r="L2682"/>
    </row>
    <row r="2683" spans="1:12" ht="22.5" customHeight="1">
      <c r="A2683">
        <f>Table4[[#This Row],[Column1]]</f>
        <v>0</v>
      </c>
      <c r="B2683">
        <f>Table4[[#This Row],[Column2]]</f>
        <v>0</v>
      </c>
      <c r="L2683"/>
    </row>
    <row r="2684" spans="1:12" ht="22.5" customHeight="1">
      <c r="A2684">
        <f>Table4[[#This Row],[Column1]]</f>
        <v>0</v>
      </c>
      <c r="B2684">
        <f>Table4[[#This Row],[Column2]]</f>
        <v>0</v>
      </c>
      <c r="L2684"/>
    </row>
    <row r="2685" spans="1:12" ht="22.5" customHeight="1">
      <c r="A2685">
        <f>Table4[[#This Row],[Column1]]</f>
        <v>0</v>
      </c>
      <c r="B2685">
        <f>Table4[[#This Row],[Column2]]</f>
        <v>0</v>
      </c>
      <c r="L2685"/>
    </row>
    <row r="2686" spans="1:12" ht="22.5" customHeight="1">
      <c r="A2686">
        <f>Table4[[#This Row],[Column1]]</f>
        <v>0</v>
      </c>
      <c r="B2686">
        <f>Table4[[#This Row],[Column2]]</f>
        <v>0</v>
      </c>
      <c r="L2686"/>
    </row>
    <row r="2687" spans="1:12" ht="22.5" customHeight="1">
      <c r="A2687">
        <f>Table4[[#This Row],[Column1]]</f>
        <v>0</v>
      </c>
      <c r="B2687">
        <f>Table4[[#This Row],[Column2]]</f>
        <v>0</v>
      </c>
      <c r="L2687"/>
    </row>
    <row r="2688" spans="1:12" ht="22.5" customHeight="1">
      <c r="A2688">
        <f>Table4[[#This Row],[Column1]]</f>
        <v>0</v>
      </c>
      <c r="B2688">
        <f>Table4[[#This Row],[Column2]]</f>
        <v>0</v>
      </c>
      <c r="L2688"/>
    </row>
    <row r="2689" spans="1:12" ht="22.5" customHeight="1">
      <c r="A2689">
        <f>Table4[[#This Row],[Column1]]</f>
        <v>0</v>
      </c>
      <c r="B2689">
        <f>Table4[[#This Row],[Column2]]</f>
        <v>0</v>
      </c>
      <c r="L2689"/>
    </row>
    <row r="2690" spans="1:12" ht="22.5" customHeight="1">
      <c r="A2690">
        <f>Table4[[#This Row],[Column1]]</f>
        <v>0</v>
      </c>
      <c r="B2690">
        <f>Table4[[#This Row],[Column2]]</f>
        <v>0</v>
      </c>
      <c r="L2690"/>
    </row>
    <row r="2691" spans="1:12" ht="22.5" customHeight="1">
      <c r="A2691">
        <f>Table4[[#This Row],[Column1]]</f>
        <v>0</v>
      </c>
      <c r="B2691">
        <f>Table4[[#This Row],[Column2]]</f>
        <v>0</v>
      </c>
      <c r="L2691"/>
    </row>
    <row r="2692" spans="1:12" ht="22.5" customHeight="1">
      <c r="A2692">
        <f>Table4[[#This Row],[Column1]]</f>
        <v>0</v>
      </c>
      <c r="B2692">
        <f>Table4[[#This Row],[Column2]]</f>
        <v>0</v>
      </c>
      <c r="L2692"/>
    </row>
    <row r="2693" spans="1:12" ht="22.5" customHeight="1">
      <c r="A2693">
        <f>Table4[[#This Row],[Column1]]</f>
        <v>0</v>
      </c>
      <c r="B2693">
        <f>Table4[[#This Row],[Column2]]</f>
        <v>0</v>
      </c>
      <c r="L2693"/>
    </row>
    <row r="2694" spans="1:12" ht="22.5" customHeight="1">
      <c r="A2694">
        <f>Table4[[#This Row],[Column1]]</f>
        <v>0</v>
      </c>
      <c r="B2694">
        <f>Table4[[#This Row],[Column2]]</f>
        <v>0</v>
      </c>
      <c r="L2694"/>
    </row>
    <row r="2695" spans="1:12" ht="22.5" customHeight="1">
      <c r="A2695">
        <f>Table4[[#This Row],[Column1]]</f>
        <v>0</v>
      </c>
      <c r="B2695">
        <f>Table4[[#This Row],[Column2]]</f>
        <v>0</v>
      </c>
      <c r="L2695"/>
    </row>
    <row r="2696" spans="1:12" ht="22.5" customHeight="1">
      <c r="A2696">
        <f>Table4[[#This Row],[Column1]]</f>
        <v>0</v>
      </c>
      <c r="B2696">
        <f>Table4[[#This Row],[Column2]]</f>
        <v>0</v>
      </c>
      <c r="L2696"/>
    </row>
    <row r="2697" spans="1:12" ht="22.5" customHeight="1">
      <c r="A2697">
        <f>Table4[[#This Row],[Column1]]</f>
        <v>0</v>
      </c>
      <c r="B2697">
        <f>Table4[[#This Row],[Column2]]</f>
        <v>0</v>
      </c>
      <c r="L2697"/>
    </row>
    <row r="2698" spans="1:12" ht="22.5" customHeight="1">
      <c r="A2698">
        <f>Table4[[#This Row],[Column1]]</f>
        <v>0</v>
      </c>
      <c r="B2698">
        <f>Table4[[#This Row],[Column2]]</f>
        <v>0</v>
      </c>
      <c r="L2698"/>
    </row>
    <row r="2699" spans="1:12" ht="22.5" customHeight="1">
      <c r="A2699">
        <f>Table4[[#This Row],[Column1]]</f>
        <v>0</v>
      </c>
      <c r="B2699">
        <f>Table4[[#This Row],[Column2]]</f>
        <v>0</v>
      </c>
      <c r="L2699"/>
    </row>
    <row r="2700" spans="1:12" ht="22.5" customHeight="1">
      <c r="A2700">
        <f>Table4[[#This Row],[Column1]]</f>
        <v>0</v>
      </c>
      <c r="B2700">
        <f>Table4[[#This Row],[Column2]]</f>
        <v>0</v>
      </c>
      <c r="L2700"/>
    </row>
    <row r="2701" spans="1:12" ht="22.5" customHeight="1">
      <c r="A2701">
        <f>Table4[[#This Row],[Column1]]</f>
        <v>0</v>
      </c>
      <c r="B2701">
        <f>Table4[[#This Row],[Column2]]</f>
        <v>0</v>
      </c>
      <c r="L2701"/>
    </row>
    <row r="2702" spans="1:12" ht="22.5" customHeight="1">
      <c r="A2702">
        <f>Table4[[#This Row],[Column1]]</f>
        <v>0</v>
      </c>
      <c r="B2702">
        <f>Table4[[#This Row],[Column2]]</f>
        <v>0</v>
      </c>
      <c r="L2702"/>
    </row>
    <row r="2703" spans="1:12" ht="22.5" customHeight="1">
      <c r="A2703">
        <f>Table4[[#This Row],[Column1]]</f>
        <v>0</v>
      </c>
      <c r="B2703">
        <f>Table4[[#This Row],[Column2]]</f>
        <v>0</v>
      </c>
      <c r="L2703"/>
    </row>
    <row r="2704" spans="1:12" ht="22.5" customHeight="1">
      <c r="A2704">
        <f>Table4[[#This Row],[Column1]]</f>
        <v>0</v>
      </c>
      <c r="B2704">
        <f>Table4[[#This Row],[Column2]]</f>
        <v>0</v>
      </c>
      <c r="L2704"/>
    </row>
    <row r="2705" spans="1:12" ht="22.5" customHeight="1">
      <c r="A2705">
        <f>Table4[[#This Row],[Column1]]</f>
        <v>0</v>
      </c>
      <c r="B2705">
        <f>Table4[[#This Row],[Column2]]</f>
        <v>0</v>
      </c>
      <c r="L2705"/>
    </row>
    <row r="2706" spans="1:12" ht="22.5" customHeight="1">
      <c r="A2706">
        <f>Table4[[#This Row],[Column1]]</f>
        <v>0</v>
      </c>
      <c r="B2706">
        <f>Table4[[#This Row],[Column2]]</f>
        <v>0</v>
      </c>
      <c r="L2706"/>
    </row>
    <row r="2707" spans="1:12" ht="22.5" customHeight="1">
      <c r="A2707">
        <f>Table4[[#This Row],[Column1]]</f>
        <v>0</v>
      </c>
      <c r="B2707">
        <f>Table4[[#This Row],[Column2]]</f>
        <v>0</v>
      </c>
      <c r="L2707"/>
    </row>
    <row r="2708" spans="1:12" ht="22.5" customHeight="1">
      <c r="A2708">
        <f>Table4[[#This Row],[Column1]]</f>
        <v>0</v>
      </c>
      <c r="B2708">
        <f>Table4[[#This Row],[Column2]]</f>
        <v>0</v>
      </c>
      <c r="L2708"/>
    </row>
    <row r="2709" spans="1:12" ht="22.5" customHeight="1">
      <c r="A2709">
        <f>Table4[[#This Row],[Column1]]</f>
        <v>0</v>
      </c>
      <c r="B2709">
        <f>Table4[[#This Row],[Column2]]</f>
        <v>0</v>
      </c>
      <c r="L2709"/>
    </row>
    <row r="2710" spans="1:12" ht="22.5" customHeight="1">
      <c r="A2710">
        <f>Table4[[#This Row],[Column1]]</f>
        <v>0</v>
      </c>
      <c r="B2710">
        <f>Table4[[#This Row],[Column2]]</f>
        <v>0</v>
      </c>
      <c r="L2710"/>
    </row>
    <row r="2711" spans="1:12" ht="22.5" customHeight="1">
      <c r="A2711">
        <f>Table4[[#This Row],[Column1]]</f>
        <v>0</v>
      </c>
      <c r="B2711">
        <f>Table4[[#This Row],[Column2]]</f>
        <v>0</v>
      </c>
      <c r="L2711"/>
    </row>
    <row r="2712" spans="1:12" ht="22.5" customHeight="1">
      <c r="A2712">
        <f>Table4[[#This Row],[Column1]]</f>
        <v>0</v>
      </c>
      <c r="B2712">
        <f>Table4[[#This Row],[Column2]]</f>
        <v>0</v>
      </c>
      <c r="L2712"/>
    </row>
    <row r="2713" spans="1:12" ht="22.5" customHeight="1">
      <c r="A2713">
        <f>Table4[[#This Row],[Column1]]</f>
        <v>0</v>
      </c>
      <c r="B2713">
        <f>Table4[[#This Row],[Column2]]</f>
        <v>0</v>
      </c>
      <c r="L2713"/>
    </row>
    <row r="2714" spans="1:12" ht="22.5" customHeight="1">
      <c r="A2714">
        <f>Table4[[#This Row],[Column1]]</f>
        <v>0</v>
      </c>
      <c r="B2714">
        <f>Table4[[#This Row],[Column2]]</f>
        <v>0</v>
      </c>
      <c r="L2714"/>
    </row>
    <row r="2715" spans="1:12" ht="22.5" customHeight="1">
      <c r="A2715">
        <f>Table4[[#This Row],[Column1]]</f>
        <v>0</v>
      </c>
      <c r="B2715">
        <f>Table4[[#This Row],[Column2]]</f>
        <v>0</v>
      </c>
      <c r="L2715"/>
    </row>
    <row r="2716" spans="1:12" ht="22.5" customHeight="1">
      <c r="A2716">
        <f>Table4[[#This Row],[Column1]]</f>
        <v>0</v>
      </c>
      <c r="B2716">
        <f>Table4[[#This Row],[Column2]]</f>
        <v>0</v>
      </c>
      <c r="L2716"/>
    </row>
    <row r="2717" spans="1:12" ht="22.5" customHeight="1">
      <c r="A2717">
        <f>Table4[[#This Row],[Column1]]</f>
        <v>0</v>
      </c>
      <c r="B2717">
        <f>Table4[[#This Row],[Column2]]</f>
        <v>0</v>
      </c>
      <c r="L2717"/>
    </row>
    <row r="2718" spans="1:12" ht="22.5" customHeight="1">
      <c r="A2718">
        <f>Table4[[#This Row],[Column1]]</f>
        <v>0</v>
      </c>
      <c r="B2718">
        <f>Table4[[#This Row],[Column2]]</f>
        <v>0</v>
      </c>
      <c r="L2718"/>
    </row>
    <row r="2719" spans="1:12" ht="22.5" customHeight="1">
      <c r="A2719">
        <f>Table4[[#This Row],[Column1]]</f>
        <v>0</v>
      </c>
      <c r="B2719">
        <f>Table4[[#This Row],[Column2]]</f>
        <v>0</v>
      </c>
      <c r="L2719"/>
    </row>
    <row r="2720" spans="1:12" ht="22.5" customHeight="1">
      <c r="A2720">
        <f>Table4[[#This Row],[Column1]]</f>
        <v>0</v>
      </c>
      <c r="B2720">
        <f>Table4[[#This Row],[Column2]]</f>
        <v>0</v>
      </c>
      <c r="L2720"/>
    </row>
    <row r="2721" spans="1:12" ht="22.5" customHeight="1">
      <c r="A2721">
        <f>Table4[[#This Row],[Column1]]</f>
        <v>0</v>
      </c>
      <c r="B2721">
        <f>Table4[[#This Row],[Column2]]</f>
        <v>0</v>
      </c>
      <c r="L2721"/>
    </row>
    <row r="2722" spans="1:12" ht="22.5" customHeight="1">
      <c r="A2722">
        <f>Table4[[#This Row],[Column1]]</f>
        <v>0</v>
      </c>
      <c r="B2722">
        <f>Table4[[#This Row],[Column2]]</f>
        <v>0</v>
      </c>
      <c r="L2722"/>
    </row>
    <row r="2723" spans="1:12" ht="22.5" customHeight="1">
      <c r="A2723">
        <f>Table4[[#This Row],[Column1]]</f>
        <v>0</v>
      </c>
      <c r="B2723">
        <f>Table4[[#This Row],[Column2]]</f>
        <v>0</v>
      </c>
      <c r="L2723"/>
    </row>
    <row r="2724" spans="1:12" ht="22.5" customHeight="1">
      <c r="A2724">
        <f>Table4[[#This Row],[Column1]]</f>
        <v>0</v>
      </c>
      <c r="B2724">
        <f>Table4[[#This Row],[Column2]]</f>
        <v>0</v>
      </c>
      <c r="L2724"/>
    </row>
    <row r="2725" spans="1:12" ht="22.5" customHeight="1">
      <c r="A2725">
        <f>Table4[[#This Row],[Column1]]</f>
        <v>0</v>
      </c>
      <c r="B2725">
        <f>Table4[[#This Row],[Column2]]</f>
        <v>0</v>
      </c>
      <c r="L2725"/>
    </row>
    <row r="2726" spans="1:12" ht="22.5" customHeight="1">
      <c r="A2726">
        <f>Table4[[#This Row],[Column1]]</f>
        <v>0</v>
      </c>
      <c r="B2726">
        <f>Table4[[#This Row],[Column2]]</f>
        <v>0</v>
      </c>
      <c r="L2726"/>
    </row>
    <row r="2727" spans="1:12" ht="22.5" customHeight="1">
      <c r="A2727">
        <f>Table4[[#This Row],[Column1]]</f>
        <v>0</v>
      </c>
      <c r="B2727">
        <f>Table4[[#This Row],[Column2]]</f>
        <v>0</v>
      </c>
      <c r="L2727"/>
    </row>
    <row r="2728" spans="1:12" ht="22.5" customHeight="1">
      <c r="A2728">
        <f>Table4[[#This Row],[Column1]]</f>
        <v>0</v>
      </c>
      <c r="B2728">
        <f>Table4[[#This Row],[Column2]]</f>
        <v>0</v>
      </c>
      <c r="L2728"/>
    </row>
    <row r="2729" spans="1:12" ht="22.5" customHeight="1">
      <c r="A2729">
        <f>Table4[[#This Row],[Column1]]</f>
        <v>0</v>
      </c>
      <c r="B2729">
        <f>Table4[[#This Row],[Column2]]</f>
        <v>0</v>
      </c>
      <c r="L2729"/>
    </row>
    <row r="2730" spans="1:12" ht="22.5" customHeight="1">
      <c r="A2730">
        <f>Table4[[#This Row],[Column1]]</f>
        <v>0</v>
      </c>
      <c r="B2730">
        <f>Table4[[#This Row],[Column2]]</f>
        <v>0</v>
      </c>
      <c r="L2730"/>
    </row>
    <row r="2731" spans="1:12" ht="22.5" customHeight="1">
      <c r="A2731">
        <f>Table4[[#This Row],[Column1]]</f>
        <v>0</v>
      </c>
      <c r="B2731">
        <f>Table4[[#This Row],[Column2]]</f>
        <v>0</v>
      </c>
      <c r="L2731"/>
    </row>
    <row r="2732" spans="1:12" ht="22.5" customHeight="1">
      <c r="A2732">
        <f>Table4[[#This Row],[Column1]]</f>
        <v>0</v>
      </c>
      <c r="B2732">
        <f>Table4[[#This Row],[Column2]]</f>
        <v>0</v>
      </c>
      <c r="L2732"/>
    </row>
    <row r="2733" spans="1:12" ht="22.5" customHeight="1">
      <c r="A2733">
        <f>Table4[[#This Row],[Column1]]</f>
        <v>0</v>
      </c>
      <c r="B2733">
        <f>Table4[[#This Row],[Column2]]</f>
        <v>0</v>
      </c>
      <c r="L2733"/>
    </row>
    <row r="2734" spans="1:12" ht="22.5" customHeight="1">
      <c r="A2734">
        <f>Table4[[#This Row],[Column1]]</f>
        <v>0</v>
      </c>
      <c r="B2734">
        <f>Table4[[#This Row],[Column2]]</f>
        <v>0</v>
      </c>
      <c r="L2734"/>
    </row>
    <row r="2735" spans="1:12" ht="22.5" customHeight="1">
      <c r="A2735">
        <f>Table4[[#This Row],[Column1]]</f>
        <v>0</v>
      </c>
      <c r="B2735">
        <f>Table4[[#This Row],[Column2]]</f>
        <v>0</v>
      </c>
      <c r="L2735"/>
    </row>
    <row r="2736" spans="1:12" ht="22.5" customHeight="1">
      <c r="A2736">
        <f>Table4[[#This Row],[Column1]]</f>
        <v>0</v>
      </c>
      <c r="B2736">
        <f>Table4[[#This Row],[Column2]]</f>
        <v>0</v>
      </c>
      <c r="L2736"/>
    </row>
    <row r="2737" spans="1:12" ht="22.5" customHeight="1">
      <c r="A2737">
        <f>Table4[[#This Row],[Column1]]</f>
        <v>0</v>
      </c>
      <c r="B2737">
        <f>Table4[[#This Row],[Column2]]</f>
        <v>0</v>
      </c>
      <c r="L2737"/>
    </row>
    <row r="2738" spans="1:12" ht="22.5" customHeight="1">
      <c r="A2738">
        <f>Table4[[#This Row],[Column1]]</f>
        <v>0</v>
      </c>
      <c r="B2738">
        <f>Table4[[#This Row],[Column2]]</f>
        <v>0</v>
      </c>
      <c r="L2738"/>
    </row>
    <row r="2739" spans="1:12" ht="22.5" customHeight="1">
      <c r="A2739">
        <f>Table4[[#This Row],[Column1]]</f>
        <v>0</v>
      </c>
      <c r="B2739">
        <f>Table4[[#This Row],[Column2]]</f>
        <v>0</v>
      </c>
      <c r="L2739"/>
    </row>
    <row r="2740" spans="1:12" ht="22.5" customHeight="1">
      <c r="A2740">
        <f>Table4[[#This Row],[Column1]]</f>
        <v>0</v>
      </c>
      <c r="B2740">
        <f>Table4[[#This Row],[Column2]]</f>
        <v>0</v>
      </c>
      <c r="L2740"/>
    </row>
    <row r="2741" spans="1:12" ht="22.5" customHeight="1">
      <c r="A2741">
        <f>Table4[[#This Row],[Column1]]</f>
        <v>0</v>
      </c>
      <c r="B2741">
        <f>Table4[[#This Row],[Column2]]</f>
        <v>0</v>
      </c>
      <c r="L2741"/>
    </row>
    <row r="2742" spans="1:12" ht="22.5" customHeight="1">
      <c r="A2742">
        <f>Table4[[#This Row],[Column1]]</f>
        <v>0</v>
      </c>
      <c r="B2742">
        <f>Table4[[#This Row],[Column2]]</f>
        <v>0</v>
      </c>
      <c r="L2742"/>
    </row>
    <row r="2743" spans="1:12" ht="22.5" customHeight="1">
      <c r="A2743">
        <f>Table4[[#This Row],[Column1]]</f>
        <v>0</v>
      </c>
      <c r="B2743">
        <f>Table4[[#This Row],[Column2]]</f>
        <v>0</v>
      </c>
      <c r="L2743"/>
    </row>
    <row r="2744" spans="1:12" ht="22.5" customHeight="1">
      <c r="A2744">
        <f>Table4[[#This Row],[Column1]]</f>
        <v>0</v>
      </c>
      <c r="B2744">
        <f>Table4[[#This Row],[Column2]]</f>
        <v>0</v>
      </c>
      <c r="L2744"/>
    </row>
    <row r="2745" spans="1:12" ht="22.5" customHeight="1">
      <c r="A2745">
        <f>Table4[[#This Row],[Column1]]</f>
        <v>0</v>
      </c>
      <c r="B2745">
        <f>Table4[[#This Row],[Column2]]</f>
        <v>0</v>
      </c>
      <c r="L2745"/>
    </row>
    <row r="2746" spans="1:12" ht="22.5" customHeight="1">
      <c r="A2746">
        <f>Table4[[#This Row],[Column1]]</f>
        <v>0</v>
      </c>
      <c r="B2746">
        <f>Table4[[#This Row],[Column2]]</f>
        <v>0</v>
      </c>
      <c r="L2746"/>
    </row>
    <row r="2747" spans="1:12" ht="22.5" customHeight="1">
      <c r="A2747">
        <f>Table4[[#This Row],[Column1]]</f>
        <v>0</v>
      </c>
      <c r="B2747">
        <f>Table4[[#This Row],[Column2]]</f>
        <v>0</v>
      </c>
      <c r="L2747"/>
    </row>
    <row r="2748" spans="1:12" ht="22.5" customHeight="1">
      <c r="A2748">
        <f>Table4[[#This Row],[Column1]]</f>
        <v>0</v>
      </c>
      <c r="B2748">
        <f>Table4[[#This Row],[Column2]]</f>
        <v>0</v>
      </c>
      <c r="L2748"/>
    </row>
    <row r="2749" spans="1:12" ht="22.5" customHeight="1">
      <c r="A2749">
        <f>Table4[[#This Row],[Column1]]</f>
        <v>0</v>
      </c>
      <c r="B2749">
        <f>Table4[[#This Row],[Column2]]</f>
        <v>0</v>
      </c>
      <c r="L2749"/>
    </row>
    <row r="2750" spans="1:12" ht="22.5" customHeight="1">
      <c r="A2750">
        <f>Table4[[#This Row],[Column1]]</f>
        <v>0</v>
      </c>
      <c r="B2750">
        <f>Table4[[#This Row],[Column2]]</f>
        <v>0</v>
      </c>
      <c r="L2750"/>
    </row>
    <row r="2751" spans="1:12" ht="22.5" customHeight="1">
      <c r="A2751">
        <f>Table4[[#This Row],[Column1]]</f>
        <v>0</v>
      </c>
      <c r="B2751">
        <f>Table4[[#This Row],[Column2]]</f>
        <v>0</v>
      </c>
      <c r="L2751"/>
    </row>
    <row r="2752" spans="1:12" ht="22.5" customHeight="1">
      <c r="A2752">
        <f>Table4[[#This Row],[Column1]]</f>
        <v>0</v>
      </c>
      <c r="B2752">
        <f>Table4[[#This Row],[Column2]]</f>
        <v>0</v>
      </c>
      <c r="L2752"/>
    </row>
    <row r="2753" spans="1:12" ht="22.5" customHeight="1">
      <c r="A2753">
        <f>Table4[[#This Row],[Column1]]</f>
        <v>0</v>
      </c>
      <c r="B2753">
        <f>Table4[[#This Row],[Column2]]</f>
        <v>0</v>
      </c>
      <c r="L2753"/>
    </row>
    <row r="2754" spans="1:12" ht="22.5" customHeight="1">
      <c r="A2754">
        <f>Table4[[#This Row],[Column1]]</f>
        <v>0</v>
      </c>
      <c r="B2754">
        <f>Table4[[#This Row],[Column2]]</f>
        <v>0</v>
      </c>
      <c r="L2754"/>
    </row>
    <row r="2755" spans="1:12" ht="22.5" customHeight="1">
      <c r="A2755">
        <f>Table4[[#This Row],[Column1]]</f>
        <v>0</v>
      </c>
      <c r="B2755">
        <f>Table4[[#This Row],[Column2]]</f>
        <v>0</v>
      </c>
      <c r="L2755"/>
    </row>
    <row r="2756" spans="1:12" ht="22.5" customHeight="1">
      <c r="A2756">
        <f>Table4[[#This Row],[Column1]]</f>
        <v>0</v>
      </c>
      <c r="B2756">
        <f>Table4[[#This Row],[Column2]]</f>
        <v>0</v>
      </c>
      <c r="L2756"/>
    </row>
    <row r="2757" spans="1:12" ht="22.5" customHeight="1">
      <c r="A2757">
        <f>Table4[[#This Row],[Column1]]</f>
        <v>0</v>
      </c>
      <c r="B2757">
        <f>Table4[[#This Row],[Column2]]</f>
        <v>0</v>
      </c>
      <c r="L2757"/>
    </row>
    <row r="2758" spans="1:12" ht="22.5" customHeight="1">
      <c r="A2758">
        <f>Table4[[#This Row],[Column1]]</f>
        <v>0</v>
      </c>
      <c r="B2758">
        <f>Table4[[#This Row],[Column2]]</f>
        <v>0</v>
      </c>
      <c r="L2758"/>
    </row>
    <row r="2759" spans="1:12" ht="22.5" customHeight="1">
      <c r="A2759">
        <f>Table4[[#This Row],[Column1]]</f>
        <v>0</v>
      </c>
      <c r="B2759">
        <f>Table4[[#This Row],[Column2]]</f>
        <v>0</v>
      </c>
      <c r="L2759"/>
    </row>
    <row r="2760" spans="1:12" ht="22.5" customHeight="1">
      <c r="A2760">
        <f>Table4[[#This Row],[Column1]]</f>
        <v>0</v>
      </c>
      <c r="B2760">
        <f>Table4[[#This Row],[Column2]]</f>
        <v>0</v>
      </c>
      <c r="L2760"/>
    </row>
    <row r="2761" spans="1:12" ht="22.5" customHeight="1">
      <c r="A2761">
        <f>Table4[[#This Row],[Column1]]</f>
        <v>0</v>
      </c>
      <c r="B2761">
        <f>Table4[[#This Row],[Column2]]</f>
        <v>0</v>
      </c>
      <c r="L2761"/>
    </row>
    <row r="2762" spans="1:12" ht="22.5" customHeight="1">
      <c r="A2762">
        <f>Table4[[#This Row],[Column1]]</f>
        <v>0</v>
      </c>
      <c r="B2762">
        <f>Table4[[#This Row],[Column2]]</f>
        <v>0</v>
      </c>
      <c r="L2762"/>
    </row>
    <row r="2763" spans="1:12" ht="22.5" customHeight="1">
      <c r="A2763">
        <f>Table4[[#This Row],[Column1]]</f>
        <v>0</v>
      </c>
      <c r="B2763">
        <f>Table4[[#This Row],[Column2]]</f>
        <v>0</v>
      </c>
      <c r="L2763"/>
    </row>
    <row r="2764" spans="1:12" ht="22.5" customHeight="1">
      <c r="A2764">
        <f>Table4[[#This Row],[Column1]]</f>
        <v>0</v>
      </c>
      <c r="B2764">
        <f>Table4[[#This Row],[Column2]]</f>
        <v>0</v>
      </c>
      <c r="L2764"/>
    </row>
    <row r="2765" spans="1:12" ht="22.5" customHeight="1">
      <c r="A2765">
        <f>Table4[[#This Row],[Column1]]</f>
        <v>0</v>
      </c>
      <c r="B2765">
        <f>Table4[[#This Row],[Column2]]</f>
        <v>0</v>
      </c>
      <c r="L2765"/>
    </row>
    <row r="2766" spans="1:12" ht="22.5" customHeight="1">
      <c r="A2766">
        <f>Table4[[#This Row],[Column1]]</f>
        <v>0</v>
      </c>
      <c r="B2766">
        <f>Table4[[#This Row],[Column2]]</f>
        <v>0</v>
      </c>
      <c r="L2766"/>
    </row>
    <row r="2767" spans="1:12" ht="22.5" customHeight="1">
      <c r="A2767">
        <f>Table4[[#This Row],[Column1]]</f>
        <v>0</v>
      </c>
      <c r="B2767">
        <f>Table4[[#This Row],[Column2]]</f>
        <v>0</v>
      </c>
      <c r="L2767"/>
    </row>
    <row r="2768" spans="1:12" ht="22.5" customHeight="1">
      <c r="A2768">
        <f>Table4[[#This Row],[Column1]]</f>
        <v>0</v>
      </c>
      <c r="B2768">
        <f>Table4[[#This Row],[Column2]]</f>
        <v>0</v>
      </c>
      <c r="L2768"/>
    </row>
    <row r="2769" spans="1:12" ht="22.5" customHeight="1">
      <c r="A2769">
        <f>Table4[[#This Row],[Column1]]</f>
        <v>0</v>
      </c>
      <c r="B2769">
        <f>Table4[[#This Row],[Column2]]</f>
        <v>0</v>
      </c>
      <c r="L2769"/>
    </row>
    <row r="2770" spans="1:12" ht="22.5" customHeight="1">
      <c r="A2770">
        <f>Table4[[#This Row],[Column1]]</f>
        <v>0</v>
      </c>
      <c r="B2770">
        <f>Table4[[#This Row],[Column2]]</f>
        <v>0</v>
      </c>
      <c r="L2770"/>
    </row>
    <row r="2771" spans="1:12" ht="22.5" customHeight="1">
      <c r="A2771">
        <f>Table4[[#This Row],[Column1]]</f>
        <v>0</v>
      </c>
      <c r="B2771">
        <f>Table4[[#This Row],[Column2]]</f>
        <v>0</v>
      </c>
      <c r="L2771"/>
    </row>
    <row r="2772" spans="1:12" ht="22.5" customHeight="1">
      <c r="A2772">
        <f>Table4[[#This Row],[Column1]]</f>
        <v>0</v>
      </c>
      <c r="B2772">
        <f>Table4[[#This Row],[Column2]]</f>
        <v>0</v>
      </c>
      <c r="L2772"/>
    </row>
    <row r="2773" spans="1:12" ht="22.5" customHeight="1">
      <c r="A2773">
        <f>Table4[[#This Row],[Column1]]</f>
        <v>0</v>
      </c>
      <c r="B2773">
        <f>Table4[[#This Row],[Column2]]</f>
        <v>0</v>
      </c>
      <c r="L2773"/>
    </row>
    <row r="2774" spans="1:12" ht="22.5" customHeight="1">
      <c r="A2774">
        <f>Table4[[#This Row],[Column1]]</f>
        <v>0</v>
      </c>
      <c r="B2774">
        <f>Table4[[#This Row],[Column2]]</f>
        <v>0</v>
      </c>
      <c r="L2774"/>
    </row>
    <row r="2775" spans="1:12" ht="22.5" customHeight="1">
      <c r="A2775">
        <f>Table4[[#This Row],[Column1]]</f>
        <v>0</v>
      </c>
      <c r="B2775">
        <f>Table4[[#This Row],[Column2]]</f>
        <v>0</v>
      </c>
      <c r="L2775"/>
    </row>
    <row r="2776" spans="1:12" ht="22.5" customHeight="1">
      <c r="A2776">
        <f>Table4[[#This Row],[Column1]]</f>
        <v>0</v>
      </c>
      <c r="B2776">
        <f>Table4[[#This Row],[Column2]]</f>
        <v>0</v>
      </c>
      <c r="L2776"/>
    </row>
    <row r="2777" spans="1:12" ht="22.5" customHeight="1">
      <c r="A2777">
        <f>Table4[[#This Row],[Column1]]</f>
        <v>0</v>
      </c>
      <c r="B2777">
        <f>Table4[[#This Row],[Column2]]</f>
        <v>0</v>
      </c>
      <c r="L2777"/>
    </row>
    <row r="2778" spans="1:12" ht="22.5" customHeight="1">
      <c r="A2778">
        <f>Table4[[#This Row],[Column1]]</f>
        <v>0</v>
      </c>
      <c r="B2778">
        <f>Table4[[#This Row],[Column2]]</f>
        <v>0</v>
      </c>
      <c r="L2778"/>
    </row>
    <row r="2779" spans="1:12" ht="22.5" customHeight="1">
      <c r="A2779">
        <f>Table4[[#This Row],[Column1]]</f>
        <v>0</v>
      </c>
      <c r="B2779">
        <f>Table4[[#This Row],[Column2]]</f>
        <v>0</v>
      </c>
      <c r="L2779"/>
    </row>
    <row r="2780" spans="1:12" ht="22.5" customHeight="1">
      <c r="A2780">
        <f>Table4[[#This Row],[Column1]]</f>
        <v>0</v>
      </c>
      <c r="B2780">
        <f>Table4[[#This Row],[Column2]]</f>
        <v>0</v>
      </c>
      <c r="L2780"/>
    </row>
    <row r="2781" spans="1:12" ht="22.5" customHeight="1">
      <c r="A2781">
        <f>Table4[[#This Row],[Column1]]</f>
        <v>0</v>
      </c>
      <c r="B2781">
        <f>Table4[[#This Row],[Column2]]</f>
        <v>0</v>
      </c>
      <c r="L2781"/>
    </row>
    <row r="2782" spans="1:12" ht="22.5" customHeight="1">
      <c r="A2782">
        <f>Table4[[#This Row],[Column1]]</f>
        <v>0</v>
      </c>
      <c r="B2782">
        <f>Table4[[#This Row],[Column2]]</f>
        <v>0</v>
      </c>
      <c r="L2782"/>
    </row>
    <row r="2783" spans="1:12" ht="22.5" customHeight="1">
      <c r="A2783">
        <f>Table4[[#This Row],[Column1]]</f>
        <v>0</v>
      </c>
      <c r="B2783">
        <f>Table4[[#This Row],[Column2]]</f>
        <v>0</v>
      </c>
      <c r="L2783"/>
    </row>
    <row r="2784" spans="1:12" ht="22.5" customHeight="1">
      <c r="A2784">
        <f>Table4[[#This Row],[Column1]]</f>
        <v>0</v>
      </c>
      <c r="B2784">
        <f>Table4[[#This Row],[Column2]]</f>
        <v>0</v>
      </c>
      <c r="L2784"/>
    </row>
    <row r="2785" spans="1:12" ht="22.5" customHeight="1">
      <c r="A2785">
        <f>Table4[[#This Row],[Column1]]</f>
        <v>0</v>
      </c>
      <c r="B2785">
        <f>Table4[[#This Row],[Column2]]</f>
        <v>0</v>
      </c>
      <c r="L2785"/>
    </row>
    <row r="2786" spans="1:12" ht="22.5" customHeight="1">
      <c r="A2786">
        <f>Table4[[#This Row],[Column1]]</f>
        <v>0</v>
      </c>
      <c r="B2786">
        <f>Table4[[#This Row],[Column2]]</f>
        <v>0</v>
      </c>
      <c r="L2786"/>
    </row>
    <row r="2787" spans="1:12" ht="22.5" customHeight="1">
      <c r="A2787">
        <f>Table4[[#This Row],[Column1]]</f>
        <v>0</v>
      </c>
      <c r="B2787">
        <f>Table4[[#This Row],[Column2]]</f>
        <v>0</v>
      </c>
      <c r="L2787"/>
    </row>
    <row r="2788" spans="1:12" ht="22.5" customHeight="1">
      <c r="A2788">
        <f>Table4[[#This Row],[Column1]]</f>
        <v>0</v>
      </c>
      <c r="B2788">
        <f>Table4[[#This Row],[Column2]]</f>
        <v>0</v>
      </c>
      <c r="L2788"/>
    </row>
    <row r="2789" spans="1:12" ht="22.5" customHeight="1">
      <c r="A2789">
        <f>Table4[[#This Row],[Column1]]</f>
        <v>0</v>
      </c>
      <c r="B2789">
        <f>Table4[[#This Row],[Column2]]</f>
        <v>0</v>
      </c>
      <c r="L2789"/>
    </row>
    <row r="2790" spans="1:12" ht="22.5" customHeight="1">
      <c r="A2790">
        <f>Table4[[#This Row],[Column1]]</f>
        <v>0</v>
      </c>
      <c r="B2790">
        <f>Table4[[#This Row],[Column2]]</f>
        <v>0</v>
      </c>
      <c r="L2790"/>
    </row>
    <row r="2791" spans="1:12" ht="22.5" customHeight="1">
      <c r="A2791">
        <f>Table4[[#This Row],[Column1]]</f>
        <v>0</v>
      </c>
      <c r="B2791">
        <f>Table4[[#This Row],[Column2]]</f>
        <v>0</v>
      </c>
      <c r="L2791"/>
    </row>
    <row r="2792" spans="1:12" ht="22.5" customHeight="1">
      <c r="A2792">
        <f>Table4[[#This Row],[Column1]]</f>
        <v>0</v>
      </c>
      <c r="B2792">
        <f>Table4[[#This Row],[Column2]]</f>
        <v>0</v>
      </c>
      <c r="L2792"/>
    </row>
    <row r="2793" spans="1:12" ht="22.5" customHeight="1">
      <c r="A2793">
        <f>Table4[[#This Row],[Column1]]</f>
        <v>0</v>
      </c>
      <c r="B2793">
        <f>Table4[[#This Row],[Column2]]</f>
        <v>0</v>
      </c>
      <c r="L2793"/>
    </row>
    <row r="2794" spans="1:12" ht="22.5" customHeight="1">
      <c r="A2794">
        <f>Table4[[#This Row],[Column1]]</f>
        <v>0</v>
      </c>
      <c r="B2794">
        <f>Table4[[#This Row],[Column2]]</f>
        <v>0</v>
      </c>
      <c r="L2794"/>
    </row>
    <row r="2795" spans="1:12" ht="22.5" customHeight="1">
      <c r="A2795">
        <f>Table4[[#This Row],[Column1]]</f>
        <v>0</v>
      </c>
      <c r="B2795">
        <f>Table4[[#This Row],[Column2]]</f>
        <v>0</v>
      </c>
      <c r="L2795"/>
    </row>
    <row r="2796" spans="1:12" ht="22.5" customHeight="1">
      <c r="A2796">
        <f>Table4[[#This Row],[Column1]]</f>
        <v>0</v>
      </c>
      <c r="B2796">
        <f>Table4[[#This Row],[Column2]]</f>
        <v>0</v>
      </c>
      <c r="L2796"/>
    </row>
    <row r="2797" spans="1:12" ht="22.5" customHeight="1">
      <c r="A2797">
        <f>Table4[[#This Row],[Column1]]</f>
        <v>0</v>
      </c>
      <c r="B2797">
        <f>Table4[[#This Row],[Column2]]</f>
        <v>0</v>
      </c>
      <c r="L2797"/>
    </row>
    <row r="2798" spans="1:12" ht="22.5" customHeight="1">
      <c r="A2798">
        <f>Table4[[#This Row],[Column1]]</f>
        <v>0</v>
      </c>
      <c r="B2798">
        <f>Table4[[#This Row],[Column2]]</f>
        <v>0</v>
      </c>
      <c r="L2798"/>
    </row>
    <row r="2799" spans="1:12" ht="22.5" customHeight="1">
      <c r="A2799">
        <f>Table4[[#This Row],[Column1]]</f>
        <v>0</v>
      </c>
      <c r="B2799">
        <f>Table4[[#This Row],[Column2]]</f>
        <v>0</v>
      </c>
      <c r="L2799"/>
    </row>
    <row r="2800" spans="1:12" ht="22.5" customHeight="1">
      <c r="A2800">
        <f>Table4[[#This Row],[Column1]]</f>
        <v>0</v>
      </c>
      <c r="B2800">
        <f>Table4[[#This Row],[Column2]]</f>
        <v>0</v>
      </c>
      <c r="L2800"/>
    </row>
    <row r="2801" spans="1:12" ht="22.5" customHeight="1">
      <c r="A2801">
        <f>Table4[[#This Row],[Column1]]</f>
        <v>0</v>
      </c>
      <c r="B2801">
        <f>Table4[[#This Row],[Column2]]</f>
        <v>0</v>
      </c>
      <c r="L2801"/>
    </row>
    <row r="2802" spans="1:12" ht="22.5" customHeight="1">
      <c r="A2802">
        <f>Table4[[#This Row],[Column1]]</f>
        <v>0</v>
      </c>
      <c r="B2802">
        <f>Table4[[#This Row],[Column2]]</f>
        <v>0</v>
      </c>
      <c r="L2802"/>
    </row>
    <row r="2803" spans="1:12" ht="22.5" customHeight="1">
      <c r="A2803">
        <f>Table4[[#This Row],[Column1]]</f>
        <v>0</v>
      </c>
      <c r="B2803">
        <f>Table4[[#This Row],[Column2]]</f>
        <v>0</v>
      </c>
      <c r="L2803"/>
    </row>
    <row r="2804" spans="1:12" ht="22.5" customHeight="1">
      <c r="A2804">
        <f>Table4[[#This Row],[Column1]]</f>
        <v>0</v>
      </c>
      <c r="B2804">
        <f>Table4[[#This Row],[Column2]]</f>
        <v>0</v>
      </c>
      <c r="L2804"/>
    </row>
    <row r="2805" spans="1:12" ht="22.5" customHeight="1">
      <c r="A2805">
        <f>Table4[[#This Row],[Column1]]</f>
        <v>0</v>
      </c>
      <c r="B2805">
        <f>Table4[[#This Row],[Column2]]</f>
        <v>0</v>
      </c>
      <c r="L2805"/>
    </row>
    <row r="2806" spans="1:12" ht="22.5" customHeight="1">
      <c r="A2806">
        <f>Table4[[#This Row],[Column1]]</f>
        <v>0</v>
      </c>
      <c r="B2806">
        <f>Table4[[#This Row],[Column2]]</f>
        <v>0</v>
      </c>
      <c r="L2806"/>
    </row>
    <row r="2807" spans="1:12" ht="22.5" customHeight="1">
      <c r="A2807">
        <f>Table4[[#This Row],[Column1]]</f>
        <v>0</v>
      </c>
      <c r="B2807">
        <f>Table4[[#This Row],[Column2]]</f>
        <v>0</v>
      </c>
      <c r="L2807"/>
    </row>
    <row r="2808" spans="1:12" ht="22.5" customHeight="1">
      <c r="A2808">
        <f>Table4[[#This Row],[Column1]]</f>
        <v>0</v>
      </c>
      <c r="B2808">
        <f>Table4[[#This Row],[Column2]]</f>
        <v>0</v>
      </c>
      <c r="L2808"/>
    </row>
    <row r="2809" spans="1:12" ht="22.5" customHeight="1">
      <c r="A2809">
        <f>Table4[[#This Row],[Column1]]</f>
        <v>0</v>
      </c>
      <c r="B2809">
        <f>Table4[[#This Row],[Column2]]</f>
        <v>0</v>
      </c>
      <c r="L2809"/>
    </row>
    <row r="2810" spans="1:12" ht="22.5" customHeight="1">
      <c r="A2810">
        <f>Table4[[#This Row],[Column1]]</f>
        <v>0</v>
      </c>
      <c r="B2810">
        <f>Table4[[#This Row],[Column2]]</f>
        <v>0</v>
      </c>
      <c r="L2810"/>
    </row>
    <row r="2811" spans="1:12" ht="22.5" customHeight="1">
      <c r="A2811">
        <f>Table4[[#This Row],[Column1]]</f>
        <v>0</v>
      </c>
      <c r="B2811">
        <f>Table4[[#This Row],[Column2]]</f>
        <v>0</v>
      </c>
      <c r="L2811"/>
    </row>
    <row r="2812" spans="1:12" ht="22.5" customHeight="1">
      <c r="A2812">
        <f>Table4[[#This Row],[Column1]]</f>
        <v>0</v>
      </c>
      <c r="B2812">
        <f>Table4[[#This Row],[Column2]]</f>
        <v>0</v>
      </c>
      <c r="L2812"/>
    </row>
    <row r="2813" spans="1:12" ht="22.5" customHeight="1">
      <c r="A2813">
        <f>Table4[[#This Row],[Column1]]</f>
        <v>0</v>
      </c>
      <c r="B2813">
        <f>Table4[[#This Row],[Column2]]</f>
        <v>0</v>
      </c>
      <c r="L2813"/>
    </row>
    <row r="2814" spans="1:12" ht="22.5" customHeight="1">
      <c r="A2814">
        <f>Table4[[#This Row],[Column1]]</f>
        <v>0</v>
      </c>
      <c r="B2814">
        <f>Table4[[#This Row],[Column2]]</f>
        <v>0</v>
      </c>
      <c r="L2814"/>
    </row>
    <row r="2815" spans="1:12" ht="22.5" customHeight="1">
      <c r="A2815">
        <f>Table4[[#This Row],[Column1]]</f>
        <v>0</v>
      </c>
      <c r="B2815">
        <f>Table4[[#This Row],[Column2]]</f>
        <v>0</v>
      </c>
      <c r="L2815"/>
    </row>
    <row r="2816" spans="1:12" ht="22.5" customHeight="1">
      <c r="A2816">
        <f>Table4[[#This Row],[Column1]]</f>
        <v>0</v>
      </c>
      <c r="B2816">
        <f>Table4[[#This Row],[Column2]]</f>
        <v>0</v>
      </c>
      <c r="L2816"/>
    </row>
    <row r="2817" spans="1:12" ht="22.5" customHeight="1">
      <c r="A2817">
        <f>Table4[[#This Row],[Column1]]</f>
        <v>0</v>
      </c>
      <c r="B2817">
        <f>Table4[[#This Row],[Column2]]</f>
        <v>0</v>
      </c>
      <c r="L2817"/>
    </row>
    <row r="2818" spans="1:12" ht="22.5" customHeight="1">
      <c r="A2818">
        <f>Table4[[#This Row],[Column1]]</f>
        <v>0</v>
      </c>
      <c r="B2818">
        <f>Table4[[#This Row],[Column2]]</f>
        <v>0</v>
      </c>
      <c r="L2818"/>
    </row>
    <row r="2819" spans="1:12" ht="22.5" customHeight="1">
      <c r="A2819">
        <f>Table4[[#This Row],[Column1]]</f>
        <v>0</v>
      </c>
      <c r="B2819">
        <f>Table4[[#This Row],[Column2]]</f>
        <v>0</v>
      </c>
      <c r="L2819"/>
    </row>
    <row r="2820" spans="1:12" ht="22.5" customHeight="1">
      <c r="A2820">
        <f>Table4[[#This Row],[Column1]]</f>
        <v>0</v>
      </c>
      <c r="B2820">
        <f>Table4[[#This Row],[Column2]]</f>
        <v>0</v>
      </c>
      <c r="L2820"/>
    </row>
    <row r="2821" spans="1:12" ht="22.5" customHeight="1">
      <c r="A2821">
        <f>Table4[[#This Row],[Column1]]</f>
        <v>0</v>
      </c>
      <c r="B2821">
        <f>Table4[[#This Row],[Column2]]</f>
        <v>0</v>
      </c>
      <c r="L2821"/>
    </row>
    <row r="2822" spans="1:12" ht="22.5" customHeight="1">
      <c r="A2822">
        <f>Table4[[#This Row],[Column1]]</f>
        <v>0</v>
      </c>
      <c r="B2822">
        <f>Table4[[#This Row],[Column2]]</f>
        <v>0</v>
      </c>
      <c r="L2822"/>
    </row>
    <row r="2823" spans="1:12" ht="22.5" customHeight="1">
      <c r="A2823">
        <f>Table4[[#This Row],[Column1]]</f>
        <v>0</v>
      </c>
      <c r="B2823">
        <f>Table4[[#This Row],[Column2]]</f>
        <v>0</v>
      </c>
      <c r="L2823"/>
    </row>
    <row r="2824" spans="1:12" ht="22.5" customHeight="1">
      <c r="A2824">
        <f>Table4[[#This Row],[Column1]]</f>
        <v>0</v>
      </c>
      <c r="B2824">
        <f>Table4[[#This Row],[Column2]]</f>
        <v>0</v>
      </c>
      <c r="L2824"/>
    </row>
    <row r="2825" spans="1:12" ht="22.5" customHeight="1">
      <c r="A2825">
        <f>Table4[[#This Row],[Column1]]</f>
        <v>0</v>
      </c>
      <c r="B2825">
        <f>Table4[[#This Row],[Column2]]</f>
        <v>0</v>
      </c>
      <c r="L2825"/>
    </row>
    <row r="2826" spans="1:12" ht="22.5" customHeight="1">
      <c r="A2826">
        <f>Table4[[#This Row],[Column1]]</f>
        <v>0</v>
      </c>
      <c r="B2826">
        <f>Table4[[#This Row],[Column2]]</f>
        <v>0</v>
      </c>
      <c r="L2826"/>
    </row>
    <row r="2827" spans="1:12" ht="22.5" customHeight="1">
      <c r="A2827">
        <f>Table4[[#This Row],[Column1]]</f>
        <v>0</v>
      </c>
      <c r="B2827">
        <f>Table4[[#This Row],[Column2]]</f>
        <v>0</v>
      </c>
      <c r="L2827"/>
    </row>
    <row r="2828" spans="1:12" ht="22.5" customHeight="1">
      <c r="A2828">
        <f>Table4[[#This Row],[Column1]]</f>
        <v>0</v>
      </c>
      <c r="B2828">
        <f>Table4[[#This Row],[Column2]]</f>
        <v>0</v>
      </c>
      <c r="L2828"/>
    </row>
    <row r="2829" spans="1:12" ht="22.5" customHeight="1">
      <c r="A2829">
        <f>Table4[[#This Row],[Column1]]</f>
        <v>0</v>
      </c>
      <c r="B2829">
        <f>Table4[[#This Row],[Column2]]</f>
        <v>0</v>
      </c>
      <c r="L2829"/>
    </row>
    <row r="2830" spans="1:12" ht="22.5" customHeight="1">
      <c r="A2830">
        <f>Table4[[#This Row],[Column1]]</f>
        <v>0</v>
      </c>
      <c r="B2830">
        <f>Table4[[#This Row],[Column2]]</f>
        <v>0</v>
      </c>
      <c r="L2830"/>
    </row>
    <row r="2831" spans="1:12" ht="22.5" customHeight="1">
      <c r="A2831">
        <f>Table4[[#This Row],[Column1]]</f>
        <v>0</v>
      </c>
      <c r="B2831">
        <f>Table4[[#This Row],[Column2]]</f>
        <v>0</v>
      </c>
      <c r="L2831"/>
    </row>
    <row r="2832" spans="1:12" ht="22.5" customHeight="1">
      <c r="A2832">
        <f>Table4[[#This Row],[Column1]]</f>
        <v>0</v>
      </c>
      <c r="B2832">
        <f>Table4[[#This Row],[Column2]]</f>
        <v>0</v>
      </c>
      <c r="L2832"/>
    </row>
    <row r="2833" spans="1:12" ht="22.5" customHeight="1">
      <c r="A2833">
        <f>Table4[[#This Row],[Column1]]</f>
        <v>0</v>
      </c>
      <c r="B2833">
        <f>Table4[[#This Row],[Column2]]</f>
        <v>0</v>
      </c>
      <c r="L2833"/>
    </row>
    <row r="2834" spans="1:12" ht="22.5" customHeight="1">
      <c r="A2834">
        <f>Table4[[#This Row],[Column1]]</f>
        <v>0</v>
      </c>
      <c r="B2834">
        <f>Table4[[#This Row],[Column2]]</f>
        <v>0</v>
      </c>
      <c r="L2834"/>
    </row>
    <row r="2835" spans="1:12" ht="22.5" customHeight="1">
      <c r="A2835">
        <f>Table4[[#This Row],[Column1]]</f>
        <v>0</v>
      </c>
      <c r="B2835">
        <f>Table4[[#This Row],[Column2]]</f>
        <v>0</v>
      </c>
      <c r="L2835"/>
    </row>
    <row r="2836" spans="1:12" ht="22.5" customHeight="1">
      <c r="A2836">
        <f>Table4[[#This Row],[Column1]]</f>
        <v>0</v>
      </c>
      <c r="B2836">
        <f>Table4[[#This Row],[Column2]]</f>
        <v>0</v>
      </c>
      <c r="L2836"/>
    </row>
    <row r="2837" spans="1:12" ht="22.5" customHeight="1">
      <c r="A2837">
        <f>Table4[[#This Row],[Column1]]</f>
        <v>0</v>
      </c>
      <c r="B2837">
        <f>Table4[[#This Row],[Column2]]</f>
        <v>0</v>
      </c>
      <c r="L2837"/>
    </row>
    <row r="2838" spans="1:12" ht="22.5" customHeight="1">
      <c r="A2838">
        <f>Table4[[#This Row],[Column1]]</f>
        <v>0</v>
      </c>
      <c r="B2838">
        <f>Table4[[#This Row],[Column2]]</f>
        <v>0</v>
      </c>
      <c r="L2838"/>
    </row>
    <row r="2839" spans="1:12" ht="22.5" customHeight="1">
      <c r="A2839">
        <f>Table4[[#This Row],[Column1]]</f>
        <v>0</v>
      </c>
      <c r="B2839">
        <f>Table4[[#This Row],[Column2]]</f>
        <v>0</v>
      </c>
      <c r="L2839"/>
    </row>
    <row r="2840" spans="1:12" ht="22.5" customHeight="1">
      <c r="A2840">
        <f>Table4[[#This Row],[Column1]]</f>
        <v>0</v>
      </c>
      <c r="B2840">
        <f>Table4[[#This Row],[Column2]]</f>
        <v>0</v>
      </c>
      <c r="L2840"/>
    </row>
    <row r="2841" spans="1:12" ht="22.5" customHeight="1">
      <c r="A2841">
        <f>Table4[[#This Row],[Column1]]</f>
        <v>0</v>
      </c>
      <c r="B2841">
        <f>Table4[[#This Row],[Column2]]</f>
        <v>0</v>
      </c>
      <c r="L2841"/>
    </row>
    <row r="2842" spans="1:12" ht="22.5" customHeight="1">
      <c r="A2842">
        <f>Table4[[#This Row],[Column1]]</f>
        <v>0</v>
      </c>
      <c r="B2842">
        <f>Table4[[#This Row],[Column2]]</f>
        <v>0</v>
      </c>
      <c r="L2842"/>
    </row>
    <row r="2843" spans="1:12" ht="22.5" customHeight="1">
      <c r="A2843">
        <f>Table4[[#This Row],[Column1]]</f>
        <v>0</v>
      </c>
      <c r="B2843">
        <f>Table4[[#This Row],[Column2]]</f>
        <v>0</v>
      </c>
      <c r="L2843"/>
    </row>
    <row r="2844" spans="1:12" ht="22.5" customHeight="1">
      <c r="A2844">
        <f>Table4[[#This Row],[Column1]]</f>
        <v>0</v>
      </c>
      <c r="B2844">
        <f>Table4[[#This Row],[Column2]]</f>
        <v>0</v>
      </c>
      <c r="L2844"/>
    </row>
    <row r="2845" spans="1:12" ht="22.5" customHeight="1">
      <c r="A2845">
        <f>Table4[[#This Row],[Column1]]</f>
        <v>0</v>
      </c>
      <c r="B2845">
        <f>Table4[[#This Row],[Column2]]</f>
        <v>0</v>
      </c>
      <c r="L2845"/>
    </row>
    <row r="2846" spans="1:12" ht="22.5" customHeight="1">
      <c r="A2846">
        <f>Table4[[#This Row],[Column1]]</f>
        <v>0</v>
      </c>
      <c r="B2846">
        <f>Table4[[#This Row],[Column2]]</f>
        <v>0</v>
      </c>
      <c r="L2846"/>
    </row>
    <row r="2847" spans="1:12" ht="22.5" customHeight="1">
      <c r="A2847">
        <f>Table4[[#This Row],[Column1]]</f>
        <v>0</v>
      </c>
      <c r="B2847">
        <f>Table4[[#This Row],[Column2]]</f>
        <v>0</v>
      </c>
      <c r="L2847"/>
    </row>
    <row r="2848" spans="1:12" ht="22.5" customHeight="1">
      <c r="A2848">
        <f>Table4[[#This Row],[Column1]]</f>
        <v>0</v>
      </c>
      <c r="B2848">
        <f>Table4[[#This Row],[Column2]]</f>
        <v>0</v>
      </c>
      <c r="L2848"/>
    </row>
    <row r="2849" spans="1:12" ht="22.5" customHeight="1">
      <c r="A2849">
        <f>Table4[[#This Row],[Column1]]</f>
        <v>0</v>
      </c>
      <c r="B2849">
        <f>Table4[[#This Row],[Column2]]</f>
        <v>0</v>
      </c>
      <c r="L2849"/>
    </row>
    <row r="2850" spans="1:12" ht="22.5" customHeight="1">
      <c r="A2850">
        <f>Table4[[#This Row],[Column1]]</f>
        <v>0</v>
      </c>
      <c r="B2850">
        <f>Table4[[#This Row],[Column2]]</f>
        <v>0</v>
      </c>
      <c r="L2850"/>
    </row>
    <row r="2851" spans="1:12" ht="22.5" customHeight="1">
      <c r="A2851">
        <f>Table4[[#This Row],[Column1]]</f>
        <v>0</v>
      </c>
      <c r="B2851">
        <f>Table4[[#This Row],[Column2]]</f>
        <v>0</v>
      </c>
      <c r="L2851"/>
    </row>
    <row r="2852" spans="1:12" ht="22.5" customHeight="1">
      <c r="A2852">
        <f>Table4[[#This Row],[Column1]]</f>
        <v>0</v>
      </c>
      <c r="B2852">
        <f>Table4[[#This Row],[Column2]]</f>
        <v>0</v>
      </c>
      <c r="L2852"/>
    </row>
    <row r="2853" spans="1:12" ht="22.5" customHeight="1">
      <c r="A2853">
        <f>Table4[[#This Row],[Column1]]</f>
        <v>0</v>
      </c>
      <c r="B2853">
        <f>Table4[[#This Row],[Column2]]</f>
        <v>0</v>
      </c>
      <c r="L2853"/>
    </row>
    <row r="2854" spans="1:12" ht="22.5" customHeight="1">
      <c r="A2854">
        <f>Table4[[#This Row],[Column1]]</f>
        <v>0</v>
      </c>
      <c r="B2854">
        <f>Table4[[#This Row],[Column2]]</f>
        <v>0</v>
      </c>
      <c r="L2854"/>
    </row>
    <row r="2855" spans="1:12" ht="22.5" customHeight="1">
      <c r="A2855">
        <f>Table4[[#This Row],[Column1]]</f>
        <v>0</v>
      </c>
      <c r="B2855">
        <f>Table4[[#This Row],[Column2]]</f>
        <v>0</v>
      </c>
      <c r="L2855"/>
    </row>
    <row r="2856" spans="1:12" ht="22.5" customHeight="1">
      <c r="A2856">
        <f>Table4[[#This Row],[Column1]]</f>
        <v>0</v>
      </c>
      <c r="B2856">
        <f>Table4[[#This Row],[Column2]]</f>
        <v>0</v>
      </c>
      <c r="L2856"/>
    </row>
    <row r="2857" spans="1:12" ht="22.5" customHeight="1">
      <c r="A2857">
        <f>Table4[[#This Row],[Column1]]</f>
        <v>0</v>
      </c>
      <c r="B2857">
        <f>Table4[[#This Row],[Column2]]</f>
        <v>0</v>
      </c>
      <c r="L2857"/>
    </row>
    <row r="2858" spans="1:12" ht="22.5" customHeight="1">
      <c r="A2858">
        <f>Table4[[#This Row],[Column1]]</f>
        <v>0</v>
      </c>
      <c r="B2858">
        <f>Table4[[#This Row],[Column2]]</f>
        <v>0</v>
      </c>
      <c r="L2858"/>
    </row>
    <row r="2859" spans="1:12" ht="22.5" customHeight="1">
      <c r="A2859">
        <f>Table4[[#This Row],[Column1]]</f>
        <v>0</v>
      </c>
      <c r="B2859">
        <f>Table4[[#This Row],[Column2]]</f>
        <v>0</v>
      </c>
      <c r="L2859"/>
    </row>
    <row r="2860" spans="1:12" ht="22.5" customHeight="1">
      <c r="A2860">
        <f>Table4[[#This Row],[Column1]]</f>
        <v>0</v>
      </c>
      <c r="B2860">
        <f>Table4[[#This Row],[Column2]]</f>
        <v>0</v>
      </c>
      <c r="L2860"/>
    </row>
    <row r="2861" spans="1:12" ht="22.5" customHeight="1">
      <c r="A2861">
        <f>Table4[[#This Row],[Column1]]</f>
        <v>0</v>
      </c>
      <c r="B2861">
        <f>Table4[[#This Row],[Column2]]</f>
        <v>0</v>
      </c>
      <c r="L2861"/>
    </row>
    <row r="2862" spans="1:12" ht="22.5" customHeight="1">
      <c r="A2862">
        <f>Table4[[#This Row],[Column1]]</f>
        <v>0</v>
      </c>
      <c r="B2862">
        <f>Table4[[#This Row],[Column2]]</f>
        <v>0</v>
      </c>
      <c r="L2862"/>
    </row>
    <row r="2863" spans="1:12" ht="22.5" customHeight="1">
      <c r="A2863">
        <f>Table4[[#This Row],[Column1]]</f>
        <v>0</v>
      </c>
      <c r="B2863">
        <f>Table4[[#This Row],[Column2]]</f>
        <v>0</v>
      </c>
      <c r="L2863"/>
    </row>
    <row r="2864" spans="1:12" ht="22.5" customHeight="1">
      <c r="A2864">
        <f>Table4[[#This Row],[Column1]]</f>
        <v>0</v>
      </c>
      <c r="B2864">
        <f>Table4[[#This Row],[Column2]]</f>
        <v>0</v>
      </c>
      <c r="L2864"/>
    </row>
    <row r="2865" spans="1:12" ht="22.5" customHeight="1">
      <c r="A2865">
        <f>Table4[[#This Row],[Column1]]</f>
        <v>0</v>
      </c>
      <c r="B2865">
        <f>Table4[[#This Row],[Column2]]</f>
        <v>0</v>
      </c>
      <c r="L2865"/>
    </row>
    <row r="2866" spans="1:12" ht="22.5" customHeight="1">
      <c r="A2866">
        <f>Table4[[#This Row],[Column1]]</f>
        <v>0</v>
      </c>
      <c r="B2866">
        <f>Table4[[#This Row],[Column2]]</f>
        <v>0</v>
      </c>
      <c r="L2866"/>
    </row>
    <row r="2867" spans="1:12" ht="22.5" customHeight="1">
      <c r="A2867">
        <f>Table4[[#This Row],[Column1]]</f>
        <v>0</v>
      </c>
      <c r="B2867">
        <f>Table4[[#This Row],[Column2]]</f>
        <v>0</v>
      </c>
      <c r="L2867"/>
    </row>
    <row r="2868" spans="1:12" ht="22.5" customHeight="1">
      <c r="A2868">
        <f>Table4[[#This Row],[Column1]]</f>
        <v>0</v>
      </c>
      <c r="B2868">
        <f>Table4[[#This Row],[Column2]]</f>
        <v>0</v>
      </c>
      <c r="L2868"/>
    </row>
    <row r="2869" spans="1:12" ht="22.5" customHeight="1">
      <c r="A2869">
        <f>Table4[[#This Row],[Column1]]</f>
        <v>0</v>
      </c>
      <c r="B2869">
        <f>Table4[[#This Row],[Column2]]</f>
        <v>0</v>
      </c>
      <c r="L2869"/>
    </row>
    <row r="2870" spans="1:12" ht="22.5" customHeight="1">
      <c r="A2870">
        <f>Table4[[#This Row],[Column1]]</f>
        <v>0</v>
      </c>
      <c r="B2870">
        <f>Table4[[#This Row],[Column2]]</f>
        <v>0</v>
      </c>
      <c r="L2870"/>
    </row>
    <row r="2871" spans="1:12" ht="22.5" customHeight="1">
      <c r="A2871">
        <f>Table4[[#This Row],[Column1]]</f>
        <v>0</v>
      </c>
      <c r="B2871">
        <f>Table4[[#This Row],[Column2]]</f>
        <v>0</v>
      </c>
      <c r="L2871"/>
    </row>
    <row r="2872" spans="1:12" ht="22.5" customHeight="1">
      <c r="A2872">
        <f>Table4[[#This Row],[Column1]]</f>
        <v>0</v>
      </c>
      <c r="B2872">
        <f>Table4[[#This Row],[Column2]]</f>
        <v>0</v>
      </c>
      <c r="L2872"/>
    </row>
    <row r="2873" spans="1:12" ht="22.5" customHeight="1">
      <c r="A2873">
        <f>Table4[[#This Row],[Column1]]</f>
        <v>0</v>
      </c>
      <c r="B2873">
        <f>Table4[[#This Row],[Column2]]</f>
        <v>0</v>
      </c>
      <c r="L2873"/>
    </row>
    <row r="2874" spans="1:12" ht="22.5" customHeight="1">
      <c r="A2874">
        <f>Table4[[#This Row],[Column1]]</f>
        <v>0</v>
      </c>
      <c r="B2874">
        <f>Table4[[#This Row],[Column2]]</f>
        <v>0</v>
      </c>
      <c r="L2874"/>
    </row>
    <row r="2875" spans="1:12" ht="22.5" customHeight="1">
      <c r="A2875">
        <f>Table4[[#This Row],[Column1]]</f>
        <v>0</v>
      </c>
      <c r="B2875">
        <f>Table4[[#This Row],[Column2]]</f>
        <v>0</v>
      </c>
      <c r="L2875"/>
    </row>
    <row r="2876" spans="1:12" ht="22.5" customHeight="1">
      <c r="A2876">
        <f>Table4[[#This Row],[Column1]]</f>
        <v>0</v>
      </c>
      <c r="B2876">
        <f>Table4[[#This Row],[Column2]]</f>
        <v>0</v>
      </c>
      <c r="L2876"/>
    </row>
    <row r="2877" spans="1:12" ht="22.5" customHeight="1">
      <c r="A2877">
        <f>Table4[[#This Row],[Column1]]</f>
        <v>0</v>
      </c>
      <c r="B2877">
        <f>Table4[[#This Row],[Column2]]</f>
        <v>0</v>
      </c>
      <c r="L2877"/>
    </row>
    <row r="2878" spans="1:12" ht="22.5" customHeight="1">
      <c r="A2878">
        <f>Table4[[#This Row],[Column1]]</f>
        <v>0</v>
      </c>
      <c r="B2878">
        <f>Table4[[#This Row],[Column2]]</f>
        <v>0</v>
      </c>
      <c r="L2878"/>
    </row>
    <row r="2879" spans="1:12" ht="22.5" customHeight="1">
      <c r="A2879">
        <f>Table4[[#This Row],[Column1]]</f>
        <v>0</v>
      </c>
      <c r="B2879">
        <f>Table4[[#This Row],[Column2]]</f>
        <v>0</v>
      </c>
      <c r="L2879"/>
    </row>
    <row r="2880" spans="1:12" ht="22.5" customHeight="1">
      <c r="A2880">
        <f>Table4[[#This Row],[Column1]]</f>
        <v>0</v>
      </c>
      <c r="B2880">
        <f>Table4[[#This Row],[Column2]]</f>
        <v>0</v>
      </c>
      <c r="L2880"/>
    </row>
    <row r="2881" spans="1:12" ht="22.5" customHeight="1">
      <c r="A2881">
        <f>Table4[[#This Row],[Column1]]</f>
        <v>0</v>
      </c>
      <c r="B2881">
        <f>Table4[[#This Row],[Column2]]</f>
        <v>0</v>
      </c>
      <c r="L2881"/>
    </row>
    <row r="2882" spans="1:12" ht="22.5" customHeight="1">
      <c r="A2882">
        <f>Table4[[#This Row],[Column1]]</f>
        <v>0</v>
      </c>
      <c r="B2882">
        <f>Table4[[#This Row],[Column2]]</f>
        <v>0</v>
      </c>
      <c r="L2882"/>
    </row>
    <row r="2883" spans="1:12" ht="22.5" customHeight="1">
      <c r="A2883">
        <f>Table4[[#This Row],[Column1]]</f>
        <v>0</v>
      </c>
      <c r="B2883">
        <f>Table4[[#This Row],[Column2]]</f>
        <v>0</v>
      </c>
      <c r="L2883"/>
    </row>
    <row r="2884" spans="1:12" ht="22.5" customHeight="1">
      <c r="A2884">
        <f>Table4[[#This Row],[Column1]]</f>
        <v>0</v>
      </c>
      <c r="B2884">
        <f>Table4[[#This Row],[Column2]]</f>
        <v>0</v>
      </c>
      <c r="L2884"/>
    </row>
    <row r="2885" spans="1:12" ht="22.5" customHeight="1">
      <c r="A2885">
        <f>Table4[[#This Row],[Column1]]</f>
        <v>0</v>
      </c>
      <c r="B2885">
        <f>Table4[[#This Row],[Column2]]</f>
        <v>0</v>
      </c>
      <c r="L2885"/>
    </row>
    <row r="2886" spans="1:12" ht="22.5" customHeight="1">
      <c r="A2886">
        <f>Table4[[#This Row],[Column1]]</f>
        <v>0</v>
      </c>
      <c r="B2886">
        <f>Table4[[#This Row],[Column2]]</f>
        <v>0</v>
      </c>
      <c r="L2886"/>
    </row>
    <row r="2887" spans="1:12" ht="22.5" customHeight="1">
      <c r="A2887">
        <f>Table4[[#This Row],[Column1]]</f>
        <v>0</v>
      </c>
      <c r="B2887">
        <f>Table4[[#This Row],[Column2]]</f>
        <v>0</v>
      </c>
      <c r="L2887"/>
    </row>
    <row r="2888" spans="1:12" ht="22.5" customHeight="1">
      <c r="A2888">
        <f>Table4[[#This Row],[Column1]]</f>
        <v>0</v>
      </c>
      <c r="B2888">
        <f>Table4[[#This Row],[Column2]]</f>
        <v>0</v>
      </c>
      <c r="L2888"/>
    </row>
    <row r="2889" spans="1:12" ht="22.5" customHeight="1">
      <c r="A2889">
        <f>Table4[[#This Row],[Column1]]</f>
        <v>0</v>
      </c>
      <c r="B2889">
        <f>Table4[[#This Row],[Column2]]</f>
        <v>0</v>
      </c>
      <c r="L2889"/>
    </row>
    <row r="2890" spans="1:12" ht="22.5" customHeight="1">
      <c r="A2890">
        <f>Table4[[#This Row],[Column1]]</f>
        <v>0</v>
      </c>
      <c r="B2890">
        <f>Table4[[#This Row],[Column2]]</f>
        <v>0</v>
      </c>
      <c r="L2890"/>
    </row>
    <row r="2891" spans="1:12" ht="22.5" customHeight="1">
      <c r="A2891">
        <f>Table4[[#This Row],[Column1]]</f>
        <v>0</v>
      </c>
      <c r="B2891">
        <f>Table4[[#This Row],[Column2]]</f>
        <v>0</v>
      </c>
      <c r="L2891"/>
    </row>
    <row r="2892" spans="1:12" ht="22.5" customHeight="1">
      <c r="A2892">
        <f>Table4[[#This Row],[Column1]]</f>
        <v>0</v>
      </c>
      <c r="B2892">
        <f>Table4[[#This Row],[Column2]]</f>
        <v>0</v>
      </c>
      <c r="L2892"/>
    </row>
    <row r="2893" spans="1:12" ht="22.5" customHeight="1">
      <c r="A2893">
        <f>Table4[[#This Row],[Column1]]</f>
        <v>0</v>
      </c>
      <c r="B2893">
        <f>Table4[[#This Row],[Column2]]</f>
        <v>0</v>
      </c>
      <c r="L2893"/>
    </row>
    <row r="2894" spans="1:12" ht="22.5" customHeight="1">
      <c r="A2894">
        <f>Table4[[#This Row],[Column1]]</f>
        <v>0</v>
      </c>
      <c r="B2894">
        <f>Table4[[#This Row],[Column2]]</f>
        <v>0</v>
      </c>
      <c r="L2894"/>
    </row>
    <row r="2895" spans="1:12" ht="22.5" customHeight="1">
      <c r="A2895">
        <f>Table4[[#This Row],[Column1]]</f>
        <v>0</v>
      </c>
      <c r="B2895">
        <f>Table4[[#This Row],[Column2]]</f>
        <v>0</v>
      </c>
      <c r="L2895"/>
    </row>
    <row r="2896" spans="1:12" ht="22.5" customHeight="1">
      <c r="A2896">
        <f>Table4[[#This Row],[Column1]]</f>
        <v>0</v>
      </c>
      <c r="B2896">
        <f>Table4[[#This Row],[Column2]]</f>
        <v>0</v>
      </c>
      <c r="L2896"/>
    </row>
    <row r="2897" spans="1:12" ht="22.5" customHeight="1">
      <c r="A2897">
        <f>Table4[[#This Row],[Column1]]</f>
        <v>0</v>
      </c>
      <c r="B2897">
        <f>Table4[[#This Row],[Column2]]</f>
        <v>0</v>
      </c>
      <c r="L2897"/>
    </row>
    <row r="2898" spans="1:12" ht="22.5" customHeight="1">
      <c r="A2898">
        <f>Table4[[#This Row],[Column1]]</f>
        <v>0</v>
      </c>
      <c r="B2898">
        <f>Table4[[#This Row],[Column2]]</f>
        <v>0</v>
      </c>
      <c r="L2898"/>
    </row>
    <row r="2899" spans="1:12" ht="22.5" customHeight="1">
      <c r="A2899">
        <f>Table4[[#This Row],[Column1]]</f>
        <v>0</v>
      </c>
      <c r="B2899">
        <f>Table4[[#This Row],[Column2]]</f>
        <v>0</v>
      </c>
      <c r="L2899"/>
    </row>
    <row r="2900" spans="1:12" ht="22.5" customHeight="1">
      <c r="A2900">
        <f>Table4[[#This Row],[Column1]]</f>
        <v>0</v>
      </c>
      <c r="B2900">
        <f>Table4[[#This Row],[Column2]]</f>
        <v>0</v>
      </c>
      <c r="L2900"/>
    </row>
    <row r="2901" spans="1:12" ht="22.5" customHeight="1">
      <c r="A2901">
        <f>Table4[[#This Row],[Column1]]</f>
        <v>0</v>
      </c>
      <c r="B2901">
        <f>Table4[[#This Row],[Column2]]</f>
        <v>0</v>
      </c>
      <c r="L2901"/>
    </row>
    <row r="2902" spans="1:12" ht="22.5" customHeight="1">
      <c r="A2902">
        <f>Table4[[#This Row],[Column1]]</f>
        <v>0</v>
      </c>
      <c r="B2902">
        <f>Table4[[#This Row],[Column2]]</f>
        <v>0</v>
      </c>
      <c r="L2902"/>
    </row>
    <row r="2903" spans="1:12" ht="22.5" customHeight="1">
      <c r="A2903">
        <f>Table4[[#This Row],[Column1]]</f>
        <v>0</v>
      </c>
      <c r="B2903">
        <f>Table4[[#This Row],[Column2]]</f>
        <v>0</v>
      </c>
      <c r="L2903"/>
    </row>
    <row r="2904" spans="1:12" ht="22.5" customHeight="1">
      <c r="A2904">
        <f>Table4[[#This Row],[Column1]]</f>
        <v>0</v>
      </c>
      <c r="B2904">
        <f>Table4[[#This Row],[Column2]]</f>
        <v>0</v>
      </c>
      <c r="L2904"/>
    </row>
    <row r="2905" spans="1:12" ht="22.5" customHeight="1">
      <c r="A2905">
        <f>Table4[[#This Row],[Column1]]</f>
        <v>0</v>
      </c>
      <c r="B2905">
        <f>Table4[[#This Row],[Column2]]</f>
        <v>0</v>
      </c>
      <c r="L2905"/>
    </row>
    <row r="2906" spans="1:12" ht="22.5" customHeight="1">
      <c r="A2906">
        <f>Table4[[#This Row],[Column1]]</f>
        <v>0</v>
      </c>
      <c r="B2906">
        <f>Table4[[#This Row],[Column2]]</f>
        <v>0</v>
      </c>
      <c r="L2906"/>
    </row>
    <row r="2907" spans="1:12" ht="22.5" customHeight="1">
      <c r="A2907">
        <f>Table4[[#This Row],[Column1]]</f>
        <v>0</v>
      </c>
      <c r="B2907">
        <f>Table4[[#This Row],[Column2]]</f>
        <v>0</v>
      </c>
      <c r="L2907"/>
    </row>
    <row r="2908" spans="1:12" ht="22.5" customHeight="1">
      <c r="A2908">
        <f>Table4[[#This Row],[Column1]]</f>
        <v>0</v>
      </c>
      <c r="B2908">
        <f>Table4[[#This Row],[Column2]]</f>
        <v>0</v>
      </c>
      <c r="L2908"/>
    </row>
    <row r="2909" spans="1:12" ht="22.5" customHeight="1">
      <c r="A2909">
        <f>Table4[[#This Row],[Column1]]</f>
        <v>0</v>
      </c>
      <c r="B2909">
        <f>Table4[[#This Row],[Column2]]</f>
        <v>0</v>
      </c>
      <c r="L2909"/>
    </row>
    <row r="2910" spans="1:12" ht="22.5" customHeight="1">
      <c r="A2910">
        <f>Table4[[#This Row],[Column1]]</f>
        <v>0</v>
      </c>
      <c r="B2910">
        <f>Table4[[#This Row],[Column2]]</f>
        <v>0</v>
      </c>
      <c r="L2910"/>
    </row>
    <row r="2911" spans="1:12" ht="22.5" customHeight="1">
      <c r="A2911">
        <f>Table4[[#This Row],[Column1]]</f>
        <v>0</v>
      </c>
      <c r="B2911">
        <f>Table4[[#This Row],[Column2]]</f>
        <v>0</v>
      </c>
      <c r="L2911"/>
    </row>
    <row r="2912" spans="1:12" ht="22.5" customHeight="1">
      <c r="A2912">
        <f>Table4[[#This Row],[Column1]]</f>
        <v>0</v>
      </c>
      <c r="B2912">
        <f>Table4[[#This Row],[Column2]]</f>
        <v>0</v>
      </c>
      <c r="L2912"/>
    </row>
    <row r="2913" spans="1:12" ht="22.5" customHeight="1">
      <c r="A2913">
        <f>Table4[[#This Row],[Column1]]</f>
        <v>0</v>
      </c>
      <c r="B2913">
        <f>Table4[[#This Row],[Column2]]</f>
        <v>0</v>
      </c>
      <c r="L2913"/>
    </row>
    <row r="2914" spans="1:12" ht="22.5" customHeight="1">
      <c r="A2914">
        <f>Table4[[#This Row],[Column1]]</f>
        <v>0</v>
      </c>
      <c r="B2914">
        <f>Table4[[#This Row],[Column2]]</f>
        <v>0</v>
      </c>
      <c r="L2914"/>
    </row>
    <row r="2915" spans="1:12" ht="22.5" customHeight="1">
      <c r="A2915">
        <f>Table4[[#This Row],[Column1]]</f>
        <v>0</v>
      </c>
      <c r="B2915">
        <f>Table4[[#This Row],[Column2]]</f>
        <v>0</v>
      </c>
      <c r="L2915"/>
    </row>
    <row r="2916" spans="1:12" ht="22.5" customHeight="1">
      <c r="A2916">
        <f>Table4[[#This Row],[Column1]]</f>
        <v>0</v>
      </c>
      <c r="B2916">
        <f>Table4[[#This Row],[Column2]]</f>
        <v>0</v>
      </c>
      <c r="L2916"/>
    </row>
    <row r="2917" spans="1:12" ht="22.5" customHeight="1">
      <c r="A2917">
        <f>Table4[[#This Row],[Column1]]</f>
        <v>0</v>
      </c>
      <c r="B2917">
        <f>Table4[[#This Row],[Column2]]</f>
        <v>0</v>
      </c>
      <c r="L2917"/>
    </row>
    <row r="2918" spans="1:12" ht="22.5" customHeight="1">
      <c r="A2918">
        <f>Table4[[#This Row],[Column1]]</f>
        <v>0</v>
      </c>
      <c r="B2918">
        <f>Table4[[#This Row],[Column2]]</f>
        <v>0</v>
      </c>
      <c r="L2918"/>
    </row>
    <row r="2919" spans="1:12" ht="22.5" customHeight="1">
      <c r="A2919">
        <f>Table4[[#This Row],[Column1]]</f>
        <v>0</v>
      </c>
      <c r="B2919">
        <f>Table4[[#This Row],[Column2]]</f>
        <v>0</v>
      </c>
      <c r="L2919"/>
    </row>
    <row r="2920" spans="1:12" ht="22.5" customHeight="1">
      <c r="A2920">
        <f>Table4[[#This Row],[Column1]]</f>
        <v>0</v>
      </c>
      <c r="B2920">
        <f>Table4[[#This Row],[Column2]]</f>
        <v>0</v>
      </c>
      <c r="L2920"/>
    </row>
    <row r="2921" spans="1:12" ht="22.5" customHeight="1">
      <c r="A2921">
        <f>Table4[[#This Row],[Column1]]</f>
        <v>0</v>
      </c>
      <c r="B2921">
        <f>Table4[[#This Row],[Column2]]</f>
        <v>0</v>
      </c>
      <c r="L2921"/>
    </row>
    <row r="2922" spans="1:12" ht="22.5" customHeight="1">
      <c r="A2922">
        <f>Table4[[#This Row],[Column1]]</f>
        <v>0</v>
      </c>
      <c r="B2922">
        <f>Table4[[#This Row],[Column2]]</f>
        <v>0</v>
      </c>
      <c r="L2922"/>
    </row>
    <row r="2923" spans="1:12" ht="22.5" customHeight="1">
      <c r="A2923">
        <f>Table4[[#This Row],[Column1]]</f>
        <v>0</v>
      </c>
      <c r="B2923">
        <f>Table4[[#This Row],[Column2]]</f>
        <v>0</v>
      </c>
      <c r="L2923"/>
    </row>
    <row r="2924" spans="1:12" ht="22.5" customHeight="1">
      <c r="A2924">
        <f>Table4[[#This Row],[Column1]]</f>
        <v>0</v>
      </c>
      <c r="B2924">
        <f>Table4[[#This Row],[Column2]]</f>
        <v>0</v>
      </c>
      <c r="L2924"/>
    </row>
    <row r="2925" spans="1:12" ht="22.5" customHeight="1">
      <c r="A2925">
        <f>Table4[[#This Row],[Column1]]</f>
        <v>0</v>
      </c>
      <c r="B2925">
        <f>Table4[[#This Row],[Column2]]</f>
        <v>0</v>
      </c>
      <c r="L2925"/>
    </row>
    <row r="2926" spans="1:12" ht="22.5" customHeight="1">
      <c r="A2926">
        <f>Table4[[#This Row],[Column1]]</f>
        <v>0</v>
      </c>
      <c r="B2926">
        <f>Table4[[#This Row],[Column2]]</f>
        <v>0</v>
      </c>
      <c r="L2926"/>
    </row>
    <row r="2927" spans="1:12" ht="22.5" customHeight="1">
      <c r="A2927">
        <f>Table4[[#This Row],[Column1]]</f>
        <v>0</v>
      </c>
      <c r="B2927">
        <f>Table4[[#This Row],[Column2]]</f>
        <v>0</v>
      </c>
      <c r="L2927"/>
    </row>
    <row r="2928" spans="1:12" ht="22.5" customHeight="1">
      <c r="A2928">
        <f>Table4[[#This Row],[Column1]]</f>
        <v>0</v>
      </c>
      <c r="B2928">
        <f>Table4[[#This Row],[Column2]]</f>
        <v>0</v>
      </c>
      <c r="L2928"/>
    </row>
    <row r="2929" spans="1:12" ht="22.5" customHeight="1">
      <c r="A2929">
        <f>Table4[[#This Row],[Column1]]</f>
        <v>0</v>
      </c>
      <c r="B2929">
        <f>Table4[[#This Row],[Column2]]</f>
        <v>0</v>
      </c>
      <c r="L2929"/>
    </row>
    <row r="2930" spans="1:12" ht="22.5" customHeight="1">
      <c r="A2930">
        <f>Table4[[#This Row],[Column1]]</f>
        <v>0</v>
      </c>
      <c r="B2930">
        <f>Table4[[#This Row],[Column2]]</f>
        <v>0</v>
      </c>
      <c r="L2930"/>
    </row>
    <row r="2931" spans="1:12" ht="22.5" customHeight="1">
      <c r="A2931">
        <f>Table4[[#This Row],[Column1]]</f>
        <v>0</v>
      </c>
      <c r="B2931">
        <f>Table4[[#This Row],[Column2]]</f>
        <v>0</v>
      </c>
      <c r="L2931"/>
    </row>
    <row r="2932" spans="1:12" ht="22.5" customHeight="1">
      <c r="A2932">
        <f>Table4[[#This Row],[Column1]]</f>
        <v>0</v>
      </c>
      <c r="B2932">
        <f>Table4[[#This Row],[Column2]]</f>
        <v>0</v>
      </c>
      <c r="L2932"/>
    </row>
    <row r="2933" spans="1:12" ht="22.5" customHeight="1">
      <c r="A2933">
        <f>Table4[[#This Row],[Column1]]</f>
        <v>0</v>
      </c>
      <c r="B2933">
        <f>Table4[[#This Row],[Column2]]</f>
        <v>0</v>
      </c>
      <c r="L2933"/>
    </row>
    <row r="2934" spans="1:12" ht="22.5" customHeight="1">
      <c r="A2934">
        <f>Table4[[#This Row],[Column1]]</f>
        <v>0</v>
      </c>
      <c r="B2934">
        <f>Table4[[#This Row],[Column2]]</f>
        <v>0</v>
      </c>
      <c r="L2934"/>
    </row>
    <row r="2935" spans="1:12" ht="22.5" customHeight="1">
      <c r="A2935">
        <f>Table4[[#This Row],[Column1]]</f>
        <v>0</v>
      </c>
      <c r="B2935">
        <f>Table4[[#This Row],[Column2]]</f>
        <v>0</v>
      </c>
      <c r="L2935"/>
    </row>
    <row r="2936" spans="1:12" ht="22.5" customHeight="1">
      <c r="A2936">
        <f>Table4[[#This Row],[Column1]]</f>
        <v>0</v>
      </c>
      <c r="B2936">
        <f>Table4[[#This Row],[Column2]]</f>
        <v>0</v>
      </c>
      <c r="L2936"/>
    </row>
    <row r="2937" spans="1:12" ht="22.5" customHeight="1">
      <c r="A2937">
        <f>Table4[[#This Row],[Column1]]</f>
        <v>0</v>
      </c>
      <c r="B2937">
        <f>Table4[[#This Row],[Column2]]</f>
        <v>0</v>
      </c>
      <c r="L2937"/>
    </row>
    <row r="2938" spans="1:12" ht="22.5" customHeight="1">
      <c r="A2938">
        <f>Table4[[#This Row],[Column1]]</f>
        <v>0</v>
      </c>
      <c r="B2938">
        <f>Table4[[#This Row],[Column2]]</f>
        <v>0</v>
      </c>
      <c r="L2938"/>
    </row>
    <row r="2939" spans="1:12" ht="22.5" customHeight="1">
      <c r="A2939">
        <f>Table4[[#This Row],[Column1]]</f>
        <v>0</v>
      </c>
      <c r="B2939">
        <f>Table4[[#This Row],[Column2]]</f>
        <v>0</v>
      </c>
      <c r="L2939"/>
    </row>
    <row r="2940" spans="1:12" ht="22.5" customHeight="1">
      <c r="A2940">
        <f>Table4[[#This Row],[Column1]]</f>
        <v>0</v>
      </c>
      <c r="B2940">
        <f>Table4[[#This Row],[Column2]]</f>
        <v>0</v>
      </c>
      <c r="L2940"/>
    </row>
    <row r="2941" spans="1:12" ht="22.5" customHeight="1">
      <c r="A2941">
        <f>Table4[[#This Row],[Column1]]</f>
        <v>0</v>
      </c>
      <c r="B2941">
        <f>Table4[[#This Row],[Column2]]</f>
        <v>0</v>
      </c>
      <c r="L2941"/>
    </row>
    <row r="2942" spans="1:12" ht="22.5" customHeight="1">
      <c r="A2942">
        <f>Table4[[#This Row],[Column1]]</f>
        <v>0</v>
      </c>
      <c r="B2942">
        <f>Table4[[#This Row],[Column2]]</f>
        <v>0</v>
      </c>
      <c r="L2942"/>
    </row>
    <row r="2943" spans="1:12" ht="22.5" customHeight="1">
      <c r="A2943">
        <f>Table4[[#This Row],[Column1]]</f>
        <v>0</v>
      </c>
      <c r="B2943">
        <f>Table4[[#This Row],[Column2]]</f>
        <v>0</v>
      </c>
      <c r="L2943"/>
    </row>
    <row r="2944" spans="1:12" ht="22.5" customHeight="1">
      <c r="A2944">
        <f>Table4[[#This Row],[Column1]]</f>
        <v>0</v>
      </c>
      <c r="B2944">
        <f>Table4[[#This Row],[Column2]]</f>
        <v>0</v>
      </c>
      <c r="L2944"/>
    </row>
    <row r="2945" spans="1:12" ht="22.5" customHeight="1">
      <c r="A2945">
        <f>Table4[[#This Row],[Column1]]</f>
        <v>0</v>
      </c>
      <c r="B2945">
        <f>Table4[[#This Row],[Column2]]</f>
        <v>0</v>
      </c>
      <c r="L2945"/>
    </row>
    <row r="2946" spans="1:12" ht="22.5" customHeight="1">
      <c r="A2946">
        <f>Table4[[#This Row],[Column1]]</f>
        <v>0</v>
      </c>
      <c r="B2946">
        <f>Table4[[#This Row],[Column2]]</f>
        <v>0</v>
      </c>
      <c r="L2946"/>
    </row>
    <row r="2947" spans="1:12" ht="22.5" customHeight="1">
      <c r="A2947">
        <f>Table4[[#This Row],[Column1]]</f>
        <v>0</v>
      </c>
      <c r="B2947">
        <f>Table4[[#This Row],[Column2]]</f>
        <v>0</v>
      </c>
      <c r="L2947"/>
    </row>
    <row r="2948" spans="1:12" ht="22.5" customHeight="1">
      <c r="A2948">
        <f>Table4[[#This Row],[Column1]]</f>
        <v>0</v>
      </c>
      <c r="B2948">
        <f>Table4[[#This Row],[Column2]]</f>
        <v>0</v>
      </c>
      <c r="L2948"/>
    </row>
    <row r="2949" spans="1:12" ht="22.5" customHeight="1">
      <c r="A2949">
        <f>Table4[[#This Row],[Column1]]</f>
        <v>0</v>
      </c>
      <c r="B2949">
        <f>Table4[[#This Row],[Column2]]</f>
        <v>0</v>
      </c>
      <c r="L2949"/>
    </row>
    <row r="2950" spans="1:12" ht="22.5" customHeight="1">
      <c r="A2950">
        <f>Table4[[#This Row],[Column1]]</f>
        <v>0</v>
      </c>
      <c r="B2950">
        <f>Table4[[#This Row],[Column2]]</f>
        <v>0</v>
      </c>
      <c r="L2950"/>
    </row>
    <row r="2951" spans="1:12" ht="22.5" customHeight="1">
      <c r="A2951">
        <f>Table4[[#This Row],[Column1]]</f>
        <v>0</v>
      </c>
      <c r="B2951">
        <f>Table4[[#This Row],[Column2]]</f>
        <v>0</v>
      </c>
      <c r="L2951"/>
    </row>
    <row r="2952" spans="1:12" ht="22.5" customHeight="1">
      <c r="A2952">
        <f>Table4[[#This Row],[Column1]]</f>
        <v>0</v>
      </c>
      <c r="B2952">
        <f>Table4[[#This Row],[Column2]]</f>
        <v>0</v>
      </c>
      <c r="L2952"/>
    </row>
    <row r="2953" spans="1:12" ht="22.5" customHeight="1">
      <c r="A2953">
        <f>Table4[[#This Row],[Column1]]</f>
        <v>0</v>
      </c>
      <c r="B2953">
        <f>Table4[[#This Row],[Column2]]</f>
        <v>0</v>
      </c>
      <c r="L2953"/>
    </row>
    <row r="2954" spans="1:12" ht="22.5" customHeight="1">
      <c r="A2954">
        <f>Table4[[#This Row],[Column1]]</f>
        <v>0</v>
      </c>
      <c r="B2954">
        <f>Table4[[#This Row],[Column2]]</f>
        <v>0</v>
      </c>
      <c r="L2954"/>
    </row>
    <row r="2955" spans="1:12" ht="22.5" customHeight="1">
      <c r="A2955">
        <f>Table4[[#This Row],[Column1]]</f>
        <v>0</v>
      </c>
      <c r="B2955">
        <f>Table4[[#This Row],[Column2]]</f>
        <v>0</v>
      </c>
      <c r="L2955"/>
    </row>
    <row r="2956" spans="1:12" ht="22.5" customHeight="1">
      <c r="A2956">
        <f>Table4[[#This Row],[Column1]]</f>
        <v>0</v>
      </c>
      <c r="B2956">
        <f>Table4[[#This Row],[Column2]]</f>
        <v>0</v>
      </c>
      <c r="L2956"/>
    </row>
    <row r="2957" spans="1:12" ht="22.5" customHeight="1">
      <c r="A2957">
        <f>Table4[[#This Row],[Column1]]</f>
        <v>0</v>
      </c>
      <c r="B2957">
        <f>Table4[[#This Row],[Column2]]</f>
        <v>0</v>
      </c>
      <c r="L2957"/>
    </row>
    <row r="2958" spans="1:12" ht="22.5" customHeight="1">
      <c r="A2958">
        <f>Table4[[#This Row],[Column1]]</f>
        <v>0</v>
      </c>
      <c r="B2958">
        <f>Table4[[#This Row],[Column2]]</f>
        <v>0</v>
      </c>
      <c r="L2958"/>
    </row>
    <row r="2959" spans="1:12" ht="22.5" customHeight="1">
      <c r="A2959">
        <f>Table4[[#This Row],[Column1]]</f>
        <v>0</v>
      </c>
      <c r="B2959">
        <f>Table4[[#This Row],[Column2]]</f>
        <v>0</v>
      </c>
      <c r="L2959"/>
    </row>
    <row r="2960" spans="1:12" ht="22.5" customHeight="1">
      <c r="A2960">
        <f>Table4[[#This Row],[Column1]]</f>
        <v>0</v>
      </c>
      <c r="B2960">
        <f>Table4[[#This Row],[Column2]]</f>
        <v>0</v>
      </c>
      <c r="L2960"/>
    </row>
    <row r="2961" spans="1:12" ht="22.5" customHeight="1">
      <c r="A2961">
        <f>Table4[[#This Row],[Column1]]</f>
        <v>0</v>
      </c>
      <c r="B2961">
        <f>Table4[[#This Row],[Column2]]</f>
        <v>0</v>
      </c>
      <c r="L2961"/>
    </row>
    <row r="2962" spans="1:12" ht="22.5" customHeight="1">
      <c r="A2962">
        <f>Table4[[#This Row],[Column1]]</f>
        <v>0</v>
      </c>
      <c r="B2962">
        <f>Table4[[#This Row],[Column2]]</f>
        <v>0</v>
      </c>
      <c r="L2962"/>
    </row>
    <row r="2963" spans="1:12" ht="22.5" customHeight="1">
      <c r="A2963">
        <f>Table4[[#This Row],[Column1]]</f>
        <v>0</v>
      </c>
      <c r="B2963">
        <f>Table4[[#This Row],[Column2]]</f>
        <v>0</v>
      </c>
      <c r="L2963"/>
    </row>
    <row r="2964" spans="1:12" ht="22.5" customHeight="1">
      <c r="A2964">
        <f>Table4[[#This Row],[Column1]]</f>
        <v>0</v>
      </c>
      <c r="B2964">
        <f>Table4[[#This Row],[Column2]]</f>
        <v>0</v>
      </c>
      <c r="L2964"/>
    </row>
    <row r="2965" spans="1:12" ht="22.5" customHeight="1">
      <c r="A2965">
        <f>Table4[[#This Row],[Column1]]</f>
        <v>0</v>
      </c>
      <c r="B2965">
        <f>Table4[[#This Row],[Column2]]</f>
        <v>0</v>
      </c>
      <c r="L2965"/>
    </row>
    <row r="2966" spans="1:12" ht="22.5" customHeight="1">
      <c r="A2966">
        <f>Table4[[#This Row],[Column1]]</f>
        <v>0</v>
      </c>
      <c r="B2966">
        <f>Table4[[#This Row],[Column2]]</f>
        <v>0</v>
      </c>
      <c r="L2966"/>
    </row>
    <row r="2967" spans="1:12" ht="22.5" customHeight="1">
      <c r="A2967">
        <f>Table4[[#This Row],[Column1]]</f>
        <v>0</v>
      </c>
      <c r="B2967">
        <f>Table4[[#This Row],[Column2]]</f>
        <v>0</v>
      </c>
      <c r="L2967"/>
    </row>
    <row r="2968" spans="1:12" ht="22.5" customHeight="1">
      <c r="A2968">
        <f>Table4[[#This Row],[Column1]]</f>
        <v>0</v>
      </c>
      <c r="B2968">
        <f>Table4[[#This Row],[Column2]]</f>
        <v>0</v>
      </c>
      <c r="L2968"/>
    </row>
    <row r="2969" spans="1:12" ht="22.5" customHeight="1">
      <c r="A2969">
        <f>Table4[[#This Row],[Column1]]</f>
        <v>0</v>
      </c>
      <c r="B2969">
        <f>Table4[[#This Row],[Column2]]</f>
        <v>0</v>
      </c>
      <c r="L2969"/>
    </row>
    <row r="2970" spans="1:12" ht="22.5" customHeight="1">
      <c r="A2970">
        <f>Table4[[#This Row],[Column1]]</f>
        <v>0</v>
      </c>
      <c r="B2970">
        <f>Table4[[#This Row],[Column2]]</f>
        <v>0</v>
      </c>
      <c r="L2970"/>
    </row>
    <row r="2971" spans="1:12" ht="22.5" customHeight="1">
      <c r="A2971">
        <f>Table4[[#This Row],[Column1]]</f>
        <v>0</v>
      </c>
      <c r="B2971">
        <f>Table4[[#This Row],[Column2]]</f>
        <v>0</v>
      </c>
      <c r="L2971"/>
    </row>
    <row r="2972" spans="1:12" ht="22.5" customHeight="1">
      <c r="A2972">
        <f>Table4[[#This Row],[Column1]]</f>
        <v>0</v>
      </c>
      <c r="B2972">
        <f>Table4[[#This Row],[Column2]]</f>
        <v>0</v>
      </c>
      <c r="L2972"/>
    </row>
    <row r="2973" spans="1:12" ht="22.5" customHeight="1">
      <c r="A2973">
        <f>Table4[[#This Row],[Column1]]</f>
        <v>0</v>
      </c>
      <c r="B2973">
        <f>Table4[[#This Row],[Column2]]</f>
        <v>0</v>
      </c>
      <c r="L2973"/>
    </row>
    <row r="2974" spans="1:12" ht="22.5" customHeight="1">
      <c r="A2974">
        <f>Table4[[#This Row],[Column1]]</f>
        <v>0</v>
      </c>
      <c r="B2974">
        <f>Table4[[#This Row],[Column2]]</f>
        <v>0</v>
      </c>
      <c r="L2974"/>
    </row>
    <row r="2975" spans="1:12" ht="22.5" customHeight="1">
      <c r="A2975">
        <f>Table4[[#This Row],[Column1]]</f>
        <v>0</v>
      </c>
      <c r="B2975">
        <f>Table4[[#This Row],[Column2]]</f>
        <v>0</v>
      </c>
      <c r="L2975"/>
    </row>
    <row r="2976" spans="1:12" ht="22.5" customHeight="1">
      <c r="A2976">
        <f>Table4[[#This Row],[Column1]]</f>
        <v>0</v>
      </c>
      <c r="B2976">
        <f>Table4[[#This Row],[Column2]]</f>
        <v>0</v>
      </c>
      <c r="L2976"/>
    </row>
    <row r="2977" spans="1:12" ht="22.5" customHeight="1">
      <c r="A2977">
        <f>Table4[[#This Row],[Column1]]</f>
        <v>0</v>
      </c>
      <c r="B2977">
        <f>Table4[[#This Row],[Column2]]</f>
        <v>0</v>
      </c>
      <c r="L2977"/>
    </row>
    <row r="2978" spans="1:12" ht="22.5" customHeight="1">
      <c r="A2978">
        <f>Table4[[#This Row],[Column1]]</f>
        <v>0</v>
      </c>
      <c r="B2978">
        <f>Table4[[#This Row],[Column2]]</f>
        <v>0</v>
      </c>
      <c r="L2978"/>
    </row>
    <row r="2979" spans="1:12" ht="22.5" customHeight="1">
      <c r="A2979">
        <f>Table4[[#This Row],[Column1]]</f>
        <v>0</v>
      </c>
      <c r="B2979">
        <f>Table4[[#This Row],[Column2]]</f>
        <v>0</v>
      </c>
      <c r="L2979"/>
    </row>
    <row r="2980" spans="1:12" ht="22.5" customHeight="1">
      <c r="A2980">
        <f>Table4[[#This Row],[Column1]]</f>
        <v>0</v>
      </c>
      <c r="B2980">
        <f>Table4[[#This Row],[Column2]]</f>
        <v>0</v>
      </c>
      <c r="L2980"/>
    </row>
    <row r="2981" spans="1:12" ht="22.5" customHeight="1">
      <c r="A2981">
        <f>Table4[[#This Row],[Column1]]</f>
        <v>0</v>
      </c>
      <c r="B2981">
        <f>Table4[[#This Row],[Column2]]</f>
        <v>0</v>
      </c>
      <c r="L2981"/>
    </row>
    <row r="2982" spans="1:12" ht="22.5" customHeight="1">
      <c r="A2982">
        <f>Table4[[#This Row],[Column1]]</f>
        <v>0</v>
      </c>
      <c r="B2982">
        <f>Table4[[#This Row],[Column2]]</f>
        <v>0</v>
      </c>
      <c r="L2982"/>
    </row>
    <row r="2983" spans="1:12" ht="22.5" customHeight="1">
      <c r="A2983">
        <f>Table4[[#This Row],[Column1]]</f>
        <v>0</v>
      </c>
      <c r="B2983">
        <f>Table4[[#This Row],[Column2]]</f>
        <v>0</v>
      </c>
      <c r="L2983"/>
    </row>
    <row r="2984" spans="1:12" ht="22.5" customHeight="1">
      <c r="A2984">
        <f>Table4[[#This Row],[Column1]]</f>
        <v>0</v>
      </c>
      <c r="B2984">
        <f>Table4[[#This Row],[Column2]]</f>
        <v>0</v>
      </c>
      <c r="L2984"/>
    </row>
    <row r="2985" spans="1:12" ht="22.5" customHeight="1">
      <c r="A2985">
        <f>Table4[[#This Row],[Column1]]</f>
        <v>0</v>
      </c>
      <c r="B2985">
        <f>Table4[[#This Row],[Column2]]</f>
        <v>0</v>
      </c>
      <c r="L2985"/>
    </row>
    <row r="2986" spans="1:12" ht="22.5" customHeight="1">
      <c r="A2986">
        <f>Table4[[#This Row],[Column1]]</f>
        <v>0</v>
      </c>
      <c r="B2986">
        <f>Table4[[#This Row],[Column2]]</f>
        <v>0</v>
      </c>
      <c r="L2986"/>
    </row>
    <row r="2987" spans="1:12" ht="22.5" customHeight="1">
      <c r="A2987">
        <f>Table4[[#This Row],[Column1]]</f>
        <v>0</v>
      </c>
      <c r="B2987">
        <f>Table4[[#This Row],[Column2]]</f>
        <v>0</v>
      </c>
      <c r="L2987"/>
    </row>
    <row r="2988" spans="1:12" ht="22.5" customHeight="1">
      <c r="A2988">
        <f>Table4[[#This Row],[Column1]]</f>
        <v>0</v>
      </c>
      <c r="B2988">
        <f>Table4[[#This Row],[Column2]]</f>
        <v>0</v>
      </c>
      <c r="L2988"/>
    </row>
    <row r="2989" spans="1:12" ht="22.5" customHeight="1">
      <c r="A2989">
        <f>Table4[[#This Row],[Column1]]</f>
        <v>0</v>
      </c>
      <c r="B2989">
        <f>Table4[[#This Row],[Column2]]</f>
        <v>0</v>
      </c>
      <c r="L2989"/>
    </row>
    <row r="2990" spans="1:12" ht="22.5" customHeight="1">
      <c r="A2990">
        <f>Table4[[#This Row],[Column1]]</f>
        <v>0</v>
      </c>
      <c r="B2990">
        <f>Table4[[#This Row],[Column2]]</f>
        <v>0</v>
      </c>
      <c r="L2990"/>
    </row>
    <row r="2991" spans="1:12" ht="22.5" customHeight="1">
      <c r="A2991">
        <f>Table4[[#This Row],[Column1]]</f>
        <v>0</v>
      </c>
      <c r="B2991">
        <f>Table4[[#This Row],[Column2]]</f>
        <v>0</v>
      </c>
      <c r="L2991"/>
    </row>
    <row r="2992" spans="1:12" ht="22.5" customHeight="1">
      <c r="A2992">
        <f>Table4[[#This Row],[Column1]]</f>
        <v>0</v>
      </c>
      <c r="B2992">
        <f>Table4[[#This Row],[Column2]]</f>
        <v>0</v>
      </c>
      <c r="L2992"/>
    </row>
    <row r="2993" spans="1:12" ht="22.5" customHeight="1">
      <c r="A2993">
        <f>Table4[[#This Row],[Column1]]</f>
        <v>0</v>
      </c>
      <c r="B2993">
        <f>Table4[[#This Row],[Column2]]</f>
        <v>0</v>
      </c>
      <c r="L2993"/>
    </row>
    <row r="2994" spans="1:12" ht="22.5" customHeight="1">
      <c r="A2994">
        <f>Table4[[#This Row],[Column1]]</f>
        <v>0</v>
      </c>
      <c r="B2994">
        <f>Table4[[#This Row],[Column2]]</f>
        <v>0</v>
      </c>
      <c r="L2994"/>
    </row>
    <row r="2995" spans="1:12" ht="22.5" customHeight="1">
      <c r="A2995">
        <f>Table4[[#This Row],[Column1]]</f>
        <v>0</v>
      </c>
      <c r="B2995">
        <f>Table4[[#This Row],[Column2]]</f>
        <v>0</v>
      </c>
      <c r="L2995"/>
    </row>
    <row r="2996" spans="1:12" ht="22.5" customHeight="1">
      <c r="A2996">
        <f>Table4[[#This Row],[Column1]]</f>
        <v>0</v>
      </c>
      <c r="B2996">
        <f>Table4[[#This Row],[Column2]]</f>
        <v>0</v>
      </c>
      <c r="L2996"/>
    </row>
    <row r="2997" spans="1:12" ht="22.5" customHeight="1">
      <c r="A2997">
        <f>Table4[[#This Row],[Column1]]</f>
        <v>0</v>
      </c>
      <c r="B2997">
        <f>Table4[[#This Row],[Column2]]</f>
        <v>0</v>
      </c>
      <c r="L2997"/>
    </row>
    <row r="2998" spans="1:12" ht="22.5" customHeight="1">
      <c r="A2998">
        <f>Table4[[#This Row],[Column1]]</f>
        <v>0</v>
      </c>
      <c r="B2998">
        <f>Table4[[#This Row],[Column2]]</f>
        <v>0</v>
      </c>
      <c r="L2998"/>
    </row>
    <row r="2999" spans="1:12" ht="22.5" customHeight="1">
      <c r="A2999">
        <f>Table4[[#This Row],[Column1]]</f>
        <v>0</v>
      </c>
      <c r="B2999">
        <f>Table4[[#This Row],[Column2]]</f>
        <v>0</v>
      </c>
      <c r="L2999"/>
    </row>
    <row r="3000" spans="1:12" ht="22.5" customHeight="1">
      <c r="A3000">
        <f>Table4[[#This Row],[Column1]]</f>
        <v>0</v>
      </c>
      <c r="B3000">
        <f>Table4[[#This Row],[Column2]]</f>
        <v>0</v>
      </c>
      <c r="L3000"/>
    </row>
    <row r="3001" spans="1:12" ht="22.5" customHeight="1">
      <c r="A3001">
        <f>Table4[[#This Row],[Column1]]</f>
        <v>0</v>
      </c>
      <c r="B3001">
        <f>Table4[[#This Row],[Column2]]</f>
        <v>0</v>
      </c>
      <c r="L3001"/>
    </row>
    <row r="3002" spans="1:12" ht="22.5" customHeight="1">
      <c r="A3002">
        <f>Table4[[#This Row],[Column1]]</f>
        <v>0</v>
      </c>
      <c r="B3002">
        <f>Table4[[#This Row],[Column2]]</f>
        <v>0</v>
      </c>
      <c r="L3002"/>
    </row>
  </sheetData>
  <conditionalFormatting sqref="A304:B3002">
    <cfRule type="cellIs" dxfId="128" priority="7" operator="equal">
      <formula>0</formula>
    </cfRule>
  </conditionalFormatting>
  <conditionalFormatting sqref="A304:K3002 C2:K122 C124:K303">
    <cfRule type="containsBlanks" dxfId="127" priority="6">
      <formula>LEN(TRIM(A2))=0</formula>
    </cfRule>
  </conditionalFormatting>
  <conditionalFormatting sqref="C123:K123">
    <cfRule type="containsBlanks" dxfId="126" priority="5">
      <formula>LEN(TRIM(C123))=0</formula>
    </cfRule>
  </conditionalFormatting>
  <conditionalFormatting sqref="A2:B303">
    <cfRule type="cellIs" dxfId="125" priority="2" operator="equal">
      <formula>0</formula>
    </cfRule>
  </conditionalFormatting>
  <conditionalFormatting sqref="A2:B303">
    <cfRule type="containsBlanks" dxfId="124" priority="1">
      <formula>LEN(TRIM(A2))=0</formula>
    </cfRule>
  </conditionalFormatting>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9">
        <x14:dataValidation type="list" allowBlank="1" showInputMessage="1" showErrorMessage="1">
          <x14:formula1>
            <xm:f>'Answers+SOP'!$B$179:$B$184</xm:f>
          </x14:formula1>
          <xm:sqref>K2:K3002</xm:sqref>
        </x14:dataValidation>
        <x14:dataValidation type="list" allowBlank="1" showInputMessage="1" showErrorMessage="1">
          <x14:formula1>
            <xm:f>'Answers+SOP'!$B$149:$B$150</xm:f>
          </x14:formula1>
          <xm:sqref>F2:F3002</xm:sqref>
        </x14:dataValidation>
        <x14:dataValidation type="list" allowBlank="1" showInputMessage="1" showErrorMessage="1">
          <x14:formula1>
            <xm:f>'Answers+SOP'!$B$122:$B$127</xm:f>
          </x14:formula1>
          <xm:sqref>C2:C3002</xm:sqref>
        </x14:dataValidation>
        <x14:dataValidation type="list" allowBlank="1" showInputMessage="1" showErrorMessage="1">
          <x14:formula1>
            <xm:f>'Answers+SOP'!$B$132:$B$136</xm:f>
          </x14:formula1>
          <xm:sqref>D1:D3002</xm:sqref>
        </x14:dataValidation>
        <x14:dataValidation type="list" allowBlank="1" showInputMessage="1" showErrorMessage="1">
          <x14:formula1>
            <xm:f>'Answers+SOP'!$B$141:$B$145</xm:f>
          </x14:formula1>
          <xm:sqref>E2:E3002</xm:sqref>
        </x14:dataValidation>
        <x14:dataValidation type="list" allowBlank="1" showInputMessage="1" showErrorMessage="1">
          <x14:formula1>
            <xm:f>'Answers+SOP'!$B$159:$B$163</xm:f>
          </x14:formula1>
          <xm:sqref>H2:H3002</xm:sqref>
        </x14:dataValidation>
        <x14:dataValidation type="list" allowBlank="1" showInputMessage="1" showErrorMessage="1">
          <x14:formula1>
            <xm:f>'Answers+SOP'!$B$154:$B$156</xm:f>
          </x14:formula1>
          <xm:sqref>G1:G1048576</xm:sqref>
        </x14:dataValidation>
        <x14:dataValidation type="list" allowBlank="1" showInputMessage="1" showErrorMessage="1">
          <x14:formula1>
            <xm:f>'Answers+SOP'!$B$167:$B$169</xm:f>
          </x14:formula1>
          <xm:sqref>I1:I1048576</xm:sqref>
        </x14:dataValidation>
        <x14:dataValidation type="list" allowBlank="1" showInputMessage="1" showErrorMessage="1">
          <x14:formula1>
            <xm:f>'Answers+SOP'!$B$173:$B$175</xm:f>
          </x14:formula1>
          <xm:sqref>J1:J1048576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AD3002"/>
  <sheetViews>
    <sheetView zoomScale="70" zoomScaleNormal="70" workbookViewId="0">
      <pane xSplit="2" topLeftCell="C1" activePane="topRight" state="frozen"/>
      <selection pane="topRight" activeCell="C9" sqref="C9"/>
    </sheetView>
  </sheetViews>
  <sheetFormatPr defaultRowHeight="30.75" customHeight="1"/>
  <cols>
    <col min="1" max="1" width="14.140625" bestFit="1" customWidth="1"/>
    <col min="2" max="2" width="17.85546875" bestFit="1" customWidth="1"/>
    <col min="3" max="3" width="18.140625" customWidth="1"/>
    <col min="4" max="4" width="18.28515625" customWidth="1"/>
    <col min="5" max="5" width="31.85546875" customWidth="1"/>
    <col min="6" max="6" width="29.7109375" customWidth="1"/>
    <col min="7" max="7" width="17.42578125" customWidth="1"/>
    <col min="8" max="8" width="24.42578125" customWidth="1"/>
    <col min="9" max="9" width="22" customWidth="1"/>
    <col min="10" max="10" width="22.85546875" bestFit="1" customWidth="1"/>
    <col min="11" max="11" width="16" customWidth="1"/>
    <col min="12" max="12" width="22.42578125" customWidth="1"/>
    <col min="13" max="13" width="19.140625" customWidth="1"/>
    <col min="14" max="14" width="15.140625" customWidth="1"/>
    <col min="15" max="15" width="13.5703125" customWidth="1"/>
    <col min="16" max="16" width="22.85546875" customWidth="1"/>
    <col min="17" max="17" width="16.140625" customWidth="1"/>
    <col min="18" max="18" width="19.5703125" customWidth="1"/>
    <col min="19" max="19" width="19.140625" customWidth="1"/>
    <col min="20" max="20" width="17" customWidth="1"/>
    <col min="21" max="21" width="14.42578125" customWidth="1"/>
    <col min="22" max="22" width="35" bestFit="1" customWidth="1"/>
    <col min="23" max="23" width="13.42578125" customWidth="1"/>
    <col min="24" max="24" width="15.42578125" customWidth="1"/>
    <col min="25" max="25" width="16.42578125" customWidth="1"/>
    <col min="26" max="26" width="20.28515625" customWidth="1"/>
    <col min="27" max="27" width="22.7109375" customWidth="1"/>
    <col min="28" max="28" width="17.140625" customWidth="1"/>
    <col min="29" max="29" width="16.42578125" customWidth="1"/>
  </cols>
  <sheetData>
    <row r="1" spans="1:30" ht="30.75" customHeight="1">
      <c r="A1" s="28" t="s">
        <v>662</v>
      </c>
      <c r="B1" s="28" t="s">
        <v>663</v>
      </c>
      <c r="C1" s="31" t="s">
        <v>744</v>
      </c>
      <c r="D1" s="31" t="s">
        <v>826</v>
      </c>
      <c r="E1" s="31" t="s">
        <v>746</v>
      </c>
      <c r="F1" s="31" t="s">
        <v>747</v>
      </c>
      <c r="G1" s="31" t="s">
        <v>748</v>
      </c>
      <c r="H1" s="31" t="s">
        <v>749</v>
      </c>
      <c r="I1" s="31" t="s">
        <v>751</v>
      </c>
      <c r="J1" s="31" t="s">
        <v>827</v>
      </c>
      <c r="K1" s="31" t="s">
        <v>752</v>
      </c>
      <c r="L1" s="31" t="s">
        <v>753</v>
      </c>
      <c r="M1" s="31" t="s">
        <v>754</v>
      </c>
      <c r="N1" s="31" t="s">
        <v>756</v>
      </c>
      <c r="O1" s="31" t="s">
        <v>757</v>
      </c>
      <c r="P1" s="31" t="s">
        <v>828</v>
      </c>
      <c r="Q1" s="31" t="s">
        <v>759</v>
      </c>
      <c r="R1" s="31" t="s">
        <v>760</v>
      </c>
      <c r="S1" s="31" t="s">
        <v>761</v>
      </c>
      <c r="T1" s="31" t="s">
        <v>762</v>
      </c>
      <c r="U1" s="31" t="s">
        <v>763</v>
      </c>
      <c r="V1" s="31" t="s">
        <v>829</v>
      </c>
      <c r="W1" s="31" t="s">
        <v>764</v>
      </c>
      <c r="X1" s="31" t="s">
        <v>766</v>
      </c>
      <c r="Y1" s="31" t="s">
        <v>767</v>
      </c>
      <c r="Z1" s="31" t="s">
        <v>768</v>
      </c>
      <c r="AA1" s="31" t="s">
        <v>769</v>
      </c>
      <c r="AB1" s="31" t="s">
        <v>770</v>
      </c>
      <c r="AC1" s="31" t="s">
        <v>771</v>
      </c>
      <c r="AD1" s="31" t="s">
        <v>772</v>
      </c>
    </row>
    <row r="2" spans="1:30" ht="30.75" customHeight="1">
      <c r="A2">
        <f>Table4[[#This Row],[Column1]]</f>
        <v>0</v>
      </c>
      <c r="B2">
        <f>Table4[[#This Row],[Column2]]</f>
        <v>0</v>
      </c>
      <c r="C2" t="s">
        <v>4</v>
      </c>
      <c r="AB2" s="9">
        <v>43299</v>
      </c>
      <c r="AC2" t="s">
        <v>269</v>
      </c>
      <c r="AD2" t="s">
        <v>25</v>
      </c>
    </row>
    <row r="3" spans="1:30" ht="30.75" customHeight="1">
      <c r="A3">
        <f>Table4[[#This Row],[Column1]]</f>
        <v>0</v>
      </c>
      <c r="B3">
        <f>Table4[[#This Row],[Column2]]</f>
        <v>0</v>
      </c>
      <c r="C3" t="s">
        <v>4</v>
      </c>
      <c r="AB3" s="9">
        <v>43298</v>
      </c>
      <c r="AC3" t="s">
        <v>269</v>
      </c>
      <c r="AD3" t="s">
        <v>262</v>
      </c>
    </row>
    <row r="4" spans="1:30" ht="30.75" customHeight="1">
      <c r="A4">
        <f>Table4[[#This Row],[Column1]]</f>
        <v>0</v>
      </c>
      <c r="B4">
        <f>Table4[[#This Row],[Column2]]</f>
        <v>0</v>
      </c>
      <c r="C4" t="s">
        <v>3</v>
      </c>
      <c r="D4" t="s">
        <v>144</v>
      </c>
      <c r="E4" t="s">
        <v>161</v>
      </c>
      <c r="F4" t="s">
        <v>25</v>
      </c>
      <c r="G4" t="s">
        <v>167</v>
      </c>
      <c r="H4" t="s">
        <v>160</v>
      </c>
      <c r="I4" t="s">
        <v>173</v>
      </c>
      <c r="J4" t="s">
        <v>275</v>
      </c>
      <c r="K4" t="s">
        <v>160</v>
      </c>
      <c r="M4" s="21">
        <v>79</v>
      </c>
      <c r="N4" s="21">
        <v>71</v>
      </c>
      <c r="O4" t="s">
        <v>81</v>
      </c>
      <c r="P4" t="s">
        <v>160</v>
      </c>
      <c r="Q4" t="s">
        <v>160</v>
      </c>
      <c r="R4" t="s">
        <v>160</v>
      </c>
      <c r="S4" t="s">
        <v>160</v>
      </c>
      <c r="T4" t="s">
        <v>160</v>
      </c>
      <c r="U4" t="s">
        <v>3</v>
      </c>
      <c r="V4" t="s">
        <v>203</v>
      </c>
      <c r="W4" t="s">
        <v>332</v>
      </c>
      <c r="X4" s="9"/>
      <c r="Y4" t="s">
        <v>4</v>
      </c>
      <c r="AB4" s="9">
        <v>43313</v>
      </c>
      <c r="AC4" t="s">
        <v>269</v>
      </c>
      <c r="AD4" t="s">
        <v>271</v>
      </c>
    </row>
    <row r="5" spans="1:30" ht="30.75" customHeight="1">
      <c r="A5">
        <f>Table4[[#This Row],[Column1]]</f>
        <v>0</v>
      </c>
      <c r="B5">
        <f>Table4[[#This Row],[Column2]]</f>
        <v>0</v>
      </c>
    </row>
    <row r="6" spans="1:30" ht="30.75" customHeight="1">
      <c r="A6">
        <f>Table4[[#This Row],[Column1]]</f>
        <v>0</v>
      </c>
      <c r="B6">
        <f>Table4[[#This Row],[Column2]]</f>
        <v>0</v>
      </c>
      <c r="C6" t="s">
        <v>3</v>
      </c>
      <c r="D6" t="s">
        <v>143</v>
      </c>
      <c r="E6" t="s">
        <v>162</v>
      </c>
      <c r="F6" t="s">
        <v>164</v>
      </c>
      <c r="G6" t="s">
        <v>270</v>
      </c>
      <c r="H6" t="s">
        <v>171</v>
      </c>
      <c r="I6" t="s">
        <v>25</v>
      </c>
      <c r="J6" t="s">
        <v>25</v>
      </c>
      <c r="K6" t="s">
        <v>160</v>
      </c>
      <c r="M6">
        <v>59</v>
      </c>
      <c r="N6">
        <v>53</v>
      </c>
      <c r="O6" t="s">
        <v>81</v>
      </c>
      <c r="P6" t="s">
        <v>160</v>
      </c>
      <c r="Q6" t="s">
        <v>160</v>
      </c>
      <c r="R6" t="s">
        <v>160</v>
      </c>
      <c r="S6" t="s">
        <v>160</v>
      </c>
      <c r="T6" t="s">
        <v>272</v>
      </c>
      <c r="U6" t="s">
        <v>4</v>
      </c>
      <c r="V6" t="s">
        <v>203</v>
      </c>
      <c r="W6" t="s">
        <v>273</v>
      </c>
      <c r="AB6" s="9">
        <v>43309</v>
      </c>
      <c r="AC6" t="s">
        <v>269</v>
      </c>
      <c r="AD6" t="s">
        <v>271</v>
      </c>
    </row>
    <row r="7" spans="1:30" ht="30.75" customHeight="1">
      <c r="A7">
        <f>Table4[[#This Row],[Column1]]</f>
        <v>0</v>
      </c>
      <c r="B7">
        <f>Table4[[#This Row],[Column2]]</f>
        <v>0</v>
      </c>
      <c r="C7" t="s">
        <v>4</v>
      </c>
      <c r="AB7" s="9">
        <v>43300</v>
      </c>
      <c r="AC7" t="s">
        <v>269</v>
      </c>
      <c r="AD7" t="s">
        <v>25</v>
      </c>
    </row>
    <row r="8" spans="1:30" ht="30.75" customHeight="1">
      <c r="A8">
        <f>Table4[[#This Row],[Column1]]</f>
        <v>0</v>
      </c>
      <c r="B8">
        <f>Table4[[#This Row],[Column2]]</f>
        <v>0</v>
      </c>
      <c r="C8" t="s">
        <v>4</v>
      </c>
      <c r="AB8" s="9">
        <v>43302</v>
      </c>
      <c r="AC8" t="s">
        <v>269</v>
      </c>
      <c r="AD8" t="s">
        <v>276</v>
      </c>
    </row>
    <row r="9" spans="1:30" ht="30.75" customHeight="1">
      <c r="A9">
        <f>Table4[[#This Row],[Column1]]</f>
        <v>0</v>
      </c>
      <c r="B9">
        <f>Table4[[#This Row],[Column2]]</f>
        <v>0</v>
      </c>
      <c r="C9" t="s">
        <v>4</v>
      </c>
      <c r="AB9" s="9">
        <v>43306</v>
      </c>
      <c r="AC9" t="s">
        <v>269</v>
      </c>
      <c r="AD9" t="s">
        <v>262</v>
      </c>
    </row>
    <row r="10" spans="1:30" ht="30.75" customHeight="1">
      <c r="A10">
        <f>Table4[[#This Row],[Column1]]</f>
        <v>0</v>
      </c>
      <c r="B10">
        <f>Table4[[#This Row],[Column2]]</f>
        <v>0</v>
      </c>
      <c r="C10" t="s">
        <v>4</v>
      </c>
      <c r="AB10" s="9">
        <v>43303</v>
      </c>
      <c r="AC10" t="s">
        <v>269</v>
      </c>
      <c r="AD10" t="s">
        <v>276</v>
      </c>
    </row>
    <row r="11" spans="1:30" ht="30.75" customHeight="1">
      <c r="A11">
        <f>Table4[[#This Row],[Column1]]</f>
        <v>0</v>
      </c>
      <c r="B11">
        <f>Table4[[#This Row],[Column2]]</f>
        <v>0</v>
      </c>
      <c r="C11" t="s">
        <v>3</v>
      </c>
      <c r="D11" t="s">
        <v>143</v>
      </c>
      <c r="E11" t="s">
        <v>160</v>
      </c>
      <c r="F11" t="s">
        <v>25</v>
      </c>
      <c r="G11" t="s">
        <v>160</v>
      </c>
      <c r="H11" t="s">
        <v>160</v>
      </c>
      <c r="I11" t="s">
        <v>25</v>
      </c>
      <c r="J11" t="s">
        <v>25</v>
      </c>
      <c r="K11" t="s">
        <v>160</v>
      </c>
      <c r="M11" s="65">
        <v>105</v>
      </c>
      <c r="N11">
        <v>101</v>
      </c>
      <c r="O11" t="s">
        <v>81</v>
      </c>
      <c r="P11" t="s">
        <v>160</v>
      </c>
      <c r="Q11" t="s">
        <v>160</v>
      </c>
      <c r="R11" t="s">
        <v>160</v>
      </c>
      <c r="S11" t="s">
        <v>160</v>
      </c>
      <c r="T11" t="s">
        <v>160</v>
      </c>
      <c r="U11" t="s">
        <v>3</v>
      </c>
      <c r="V11" t="s">
        <v>204</v>
      </c>
      <c r="W11" t="s">
        <v>300</v>
      </c>
      <c r="AB11" s="9">
        <v>43308</v>
      </c>
      <c r="AC11" t="s">
        <v>269</v>
      </c>
      <c r="AD11" t="s">
        <v>276</v>
      </c>
    </row>
    <row r="12" spans="1:30" ht="30.75" customHeight="1">
      <c r="A12">
        <f>Table4[[#This Row],[Column1]]</f>
        <v>0</v>
      </c>
      <c r="B12">
        <f>Table4[[#This Row],[Column2]]</f>
        <v>0</v>
      </c>
      <c r="C12" t="s">
        <v>3</v>
      </c>
      <c r="AB12" s="9">
        <v>43308</v>
      </c>
      <c r="AC12" t="s">
        <v>269</v>
      </c>
      <c r="AD12" t="s">
        <v>262</v>
      </c>
    </row>
    <row r="13" spans="1:30" ht="30.75" customHeight="1">
      <c r="A13">
        <f>Table4[[#This Row],[Column1]]</f>
        <v>0</v>
      </c>
      <c r="B13">
        <f>Table4[[#This Row],[Column2]]</f>
        <v>0</v>
      </c>
      <c r="C13" t="s">
        <v>4</v>
      </c>
      <c r="M13" s="21"/>
      <c r="AB13" s="9">
        <v>43308</v>
      </c>
      <c r="AC13" t="s">
        <v>269</v>
      </c>
      <c r="AD13" t="s">
        <v>25</v>
      </c>
    </row>
    <row r="14" spans="1:30" ht="30.75" customHeight="1">
      <c r="A14">
        <f>Table4[[#This Row],[Column1]]</f>
        <v>0</v>
      </c>
      <c r="B14">
        <f>Table4[[#This Row],[Column2]]</f>
        <v>0</v>
      </c>
      <c r="C14" t="s">
        <v>3</v>
      </c>
      <c r="D14" t="s">
        <v>144</v>
      </c>
      <c r="E14" t="s">
        <v>160</v>
      </c>
      <c r="F14" t="s">
        <v>25</v>
      </c>
      <c r="G14" t="s">
        <v>166</v>
      </c>
      <c r="H14" t="s">
        <v>160</v>
      </c>
      <c r="I14" t="s">
        <v>25</v>
      </c>
      <c r="J14" t="s">
        <v>25</v>
      </c>
      <c r="K14" t="s">
        <v>160</v>
      </c>
      <c r="L14">
        <v>6</v>
      </c>
      <c r="M14">
        <v>58</v>
      </c>
      <c r="N14">
        <v>134</v>
      </c>
      <c r="O14" t="s">
        <v>81</v>
      </c>
      <c r="P14" t="s">
        <v>160</v>
      </c>
      <c r="Q14" t="s">
        <v>160</v>
      </c>
      <c r="R14" t="s">
        <v>160</v>
      </c>
      <c r="S14" t="s">
        <v>160</v>
      </c>
      <c r="T14" t="s">
        <v>160</v>
      </c>
      <c r="U14" t="s">
        <v>4</v>
      </c>
      <c r="V14" t="s">
        <v>203</v>
      </c>
      <c r="X14" s="9">
        <v>43321</v>
      </c>
      <c r="Y14" t="s">
        <v>3</v>
      </c>
      <c r="AA14" t="s">
        <v>398</v>
      </c>
      <c r="AB14" s="9">
        <v>43325</v>
      </c>
      <c r="AC14" t="s">
        <v>269</v>
      </c>
      <c r="AD14" t="s">
        <v>276</v>
      </c>
    </row>
    <row r="15" spans="1:30" ht="30.75" customHeight="1">
      <c r="A15">
        <f>Table4[[#This Row],[Column1]]</f>
        <v>0</v>
      </c>
      <c r="B15">
        <f>Table4[[#This Row],[Column2]]</f>
        <v>0</v>
      </c>
      <c r="C15" t="s">
        <v>3</v>
      </c>
      <c r="D15" t="s">
        <v>144</v>
      </c>
      <c r="E15" t="s">
        <v>160</v>
      </c>
      <c r="F15" t="s">
        <v>25</v>
      </c>
      <c r="G15" t="s">
        <v>160</v>
      </c>
      <c r="H15" t="s">
        <v>160</v>
      </c>
      <c r="I15" t="s">
        <v>25</v>
      </c>
      <c r="J15" t="s">
        <v>25</v>
      </c>
      <c r="K15" t="s">
        <v>160</v>
      </c>
      <c r="M15">
        <v>40</v>
      </c>
      <c r="N15">
        <v>53</v>
      </c>
      <c r="O15" t="s">
        <v>81</v>
      </c>
      <c r="P15" t="s">
        <v>226</v>
      </c>
      <c r="Q15" t="s">
        <v>160</v>
      </c>
      <c r="R15" t="s">
        <v>160</v>
      </c>
      <c r="S15" t="s">
        <v>160</v>
      </c>
      <c r="T15" t="s">
        <v>160</v>
      </c>
      <c r="U15" t="s">
        <v>4</v>
      </c>
      <c r="V15" t="s">
        <v>201</v>
      </c>
      <c r="AB15" s="9">
        <v>43318</v>
      </c>
      <c r="AC15" t="s">
        <v>269</v>
      </c>
      <c r="AD15" t="s">
        <v>262</v>
      </c>
    </row>
    <row r="16" spans="1:30" ht="30.75" customHeight="1">
      <c r="A16">
        <f>Table4[[#This Row],[Column1]]</f>
        <v>0</v>
      </c>
      <c r="B16">
        <f>Table4[[#This Row],[Column2]]</f>
        <v>0</v>
      </c>
      <c r="C16" t="s">
        <v>4</v>
      </c>
      <c r="AB16" s="9">
        <v>43312</v>
      </c>
      <c r="AC16" t="s">
        <v>269</v>
      </c>
      <c r="AD16" t="s">
        <v>262</v>
      </c>
    </row>
    <row r="17" spans="1:30" ht="30.75" customHeight="1">
      <c r="A17">
        <f>Table4[[#This Row],[Column1]]</f>
        <v>0</v>
      </c>
      <c r="B17">
        <f>Table4[[#This Row],[Column2]]</f>
        <v>0</v>
      </c>
      <c r="C17" t="s">
        <v>4</v>
      </c>
      <c r="L17" s="21"/>
      <c r="AB17" s="9">
        <v>43309</v>
      </c>
      <c r="AC17" t="s">
        <v>269</v>
      </c>
      <c r="AD17" t="s">
        <v>25</v>
      </c>
    </row>
    <row r="18" spans="1:30" ht="30.75" customHeight="1">
      <c r="A18">
        <f>Table4[[#This Row],[Column1]]</f>
        <v>0</v>
      </c>
      <c r="B18">
        <f>Table4[[#This Row],[Column2]]</f>
        <v>0</v>
      </c>
      <c r="C18" t="s">
        <v>3</v>
      </c>
      <c r="D18" t="s">
        <v>143</v>
      </c>
      <c r="E18" t="s">
        <v>162</v>
      </c>
      <c r="F18" t="s">
        <v>164</v>
      </c>
      <c r="G18" t="s">
        <v>160</v>
      </c>
      <c r="H18" t="s">
        <v>160</v>
      </c>
      <c r="I18" t="s">
        <v>25</v>
      </c>
      <c r="J18" t="s">
        <v>25</v>
      </c>
      <c r="K18" t="s">
        <v>160</v>
      </c>
      <c r="M18">
        <v>106</v>
      </c>
      <c r="N18">
        <v>88</v>
      </c>
      <c r="O18" t="s">
        <v>81</v>
      </c>
      <c r="P18" t="s">
        <v>160</v>
      </c>
      <c r="Q18" t="s">
        <v>160</v>
      </c>
      <c r="R18" t="s">
        <v>160</v>
      </c>
      <c r="S18" t="s">
        <v>160</v>
      </c>
      <c r="T18" t="s">
        <v>160</v>
      </c>
      <c r="U18" t="s">
        <v>3</v>
      </c>
      <c r="V18" t="s">
        <v>203</v>
      </c>
      <c r="AB18" s="9">
        <v>43324</v>
      </c>
      <c r="AC18" t="s">
        <v>269</v>
      </c>
      <c r="AD18" t="s">
        <v>276</v>
      </c>
    </row>
    <row r="19" spans="1:30" ht="30.75" customHeight="1">
      <c r="A19">
        <f>Table4[[#This Row],[Column1]]</f>
        <v>0</v>
      </c>
      <c r="B19">
        <f>Table4[[#This Row],[Column2]]</f>
        <v>0</v>
      </c>
      <c r="C19" t="s">
        <v>4</v>
      </c>
      <c r="AB19" s="9">
        <v>43313</v>
      </c>
      <c r="AC19" t="s">
        <v>269</v>
      </c>
      <c r="AD19" t="s">
        <v>262</v>
      </c>
    </row>
    <row r="20" spans="1:30" ht="30.75" customHeight="1">
      <c r="A20">
        <f>Table4[[#This Row],[Column1]]</f>
        <v>0</v>
      </c>
      <c r="B20">
        <f>Table4[[#This Row],[Column2]]</f>
        <v>0</v>
      </c>
      <c r="C20" t="s">
        <v>3</v>
      </c>
      <c r="D20" t="s">
        <v>143</v>
      </c>
      <c r="E20" t="s">
        <v>160</v>
      </c>
      <c r="F20" t="s">
        <v>25</v>
      </c>
      <c r="G20" t="s">
        <v>270</v>
      </c>
      <c r="H20" t="s">
        <v>160</v>
      </c>
      <c r="I20" t="s">
        <v>25</v>
      </c>
      <c r="J20" t="s">
        <v>25</v>
      </c>
      <c r="K20" t="s">
        <v>160</v>
      </c>
      <c r="M20">
        <v>91</v>
      </c>
      <c r="N20">
        <v>103</v>
      </c>
      <c r="O20" t="s">
        <v>81</v>
      </c>
      <c r="P20" t="s">
        <v>226</v>
      </c>
      <c r="Q20" t="s">
        <v>160</v>
      </c>
      <c r="R20" t="s">
        <v>160</v>
      </c>
      <c r="S20" t="s">
        <v>160</v>
      </c>
      <c r="T20" t="s">
        <v>160</v>
      </c>
      <c r="U20" t="s">
        <v>4</v>
      </c>
      <c r="V20" t="s">
        <v>203</v>
      </c>
      <c r="X20" s="9">
        <v>43326</v>
      </c>
      <c r="Y20" t="s">
        <v>4</v>
      </c>
      <c r="AB20" s="9">
        <v>43325</v>
      </c>
      <c r="AC20" t="s">
        <v>269</v>
      </c>
      <c r="AD20" t="s">
        <v>348</v>
      </c>
    </row>
    <row r="21" spans="1:30" ht="30.75" customHeight="1">
      <c r="A21">
        <f>Table4[[#This Row],[Column1]]</f>
        <v>0</v>
      </c>
      <c r="B21">
        <f>Table4[[#This Row],[Column2]]</f>
        <v>0</v>
      </c>
      <c r="C21" t="s">
        <v>3</v>
      </c>
      <c r="D21" t="s">
        <v>143</v>
      </c>
      <c r="E21" t="s">
        <v>162</v>
      </c>
      <c r="F21" t="s">
        <v>164</v>
      </c>
      <c r="G21" t="s">
        <v>166</v>
      </c>
      <c r="H21" t="s">
        <v>171</v>
      </c>
      <c r="I21" t="s">
        <v>25</v>
      </c>
      <c r="J21" t="s">
        <v>25</v>
      </c>
      <c r="K21" t="s">
        <v>160</v>
      </c>
      <c r="M21" s="65">
        <v>62</v>
      </c>
      <c r="N21">
        <v>75</v>
      </c>
      <c r="O21" t="s">
        <v>81</v>
      </c>
      <c r="P21" t="s">
        <v>160</v>
      </c>
      <c r="Q21" t="s">
        <v>160</v>
      </c>
      <c r="R21" t="s">
        <v>160</v>
      </c>
      <c r="S21" t="s">
        <v>160</v>
      </c>
      <c r="T21" t="s">
        <v>160</v>
      </c>
      <c r="U21" t="s">
        <v>4</v>
      </c>
      <c r="V21" t="s">
        <v>203</v>
      </c>
      <c r="W21" t="s">
        <v>347</v>
      </c>
      <c r="X21" s="9">
        <v>43327</v>
      </c>
      <c r="Y21" t="s">
        <v>3</v>
      </c>
      <c r="AA21" t="s">
        <v>382</v>
      </c>
      <c r="AB21" s="9">
        <v>43332</v>
      </c>
      <c r="AC21" t="s">
        <v>269</v>
      </c>
      <c r="AD21" t="s">
        <v>276</v>
      </c>
    </row>
    <row r="22" spans="1:30" ht="30.75" customHeight="1">
      <c r="A22">
        <f>Table4[[#This Row],[Column1]]</f>
        <v>0</v>
      </c>
      <c r="B22">
        <f>Table4[[#This Row],[Column2]]</f>
        <v>0</v>
      </c>
      <c r="C22" t="s">
        <v>3</v>
      </c>
      <c r="D22" t="s">
        <v>145</v>
      </c>
      <c r="E22" t="s">
        <v>160</v>
      </c>
      <c r="F22" t="s">
        <v>25</v>
      </c>
      <c r="G22" t="s">
        <v>166</v>
      </c>
      <c r="H22" t="s">
        <v>160</v>
      </c>
      <c r="I22" t="s">
        <v>25</v>
      </c>
      <c r="J22" t="s">
        <v>25</v>
      </c>
      <c r="K22" t="s">
        <v>160</v>
      </c>
      <c r="M22" s="65">
        <v>67</v>
      </c>
      <c r="N22">
        <v>53</v>
      </c>
      <c r="O22" t="s">
        <v>81</v>
      </c>
      <c r="P22" t="s">
        <v>160</v>
      </c>
      <c r="Q22" t="s">
        <v>182</v>
      </c>
      <c r="R22" t="s">
        <v>160</v>
      </c>
      <c r="S22" t="s">
        <v>160</v>
      </c>
      <c r="T22" t="s">
        <v>160</v>
      </c>
      <c r="U22" t="s">
        <v>3</v>
      </c>
      <c r="V22" t="s">
        <v>203</v>
      </c>
      <c r="W22" t="s">
        <v>354</v>
      </c>
      <c r="X22" s="9">
        <v>43328</v>
      </c>
      <c r="Y22" t="s">
        <v>3</v>
      </c>
      <c r="AA22" t="s">
        <v>389</v>
      </c>
      <c r="AB22" s="9">
        <v>43336</v>
      </c>
      <c r="AC22" t="s">
        <v>269</v>
      </c>
      <c r="AD22" t="s">
        <v>276</v>
      </c>
    </row>
    <row r="23" spans="1:30" ht="30.75" customHeight="1">
      <c r="A23">
        <f>Table4[[#This Row],[Column1]]</f>
        <v>0</v>
      </c>
      <c r="B23">
        <f>Table4[[#This Row],[Column2]]</f>
        <v>0</v>
      </c>
      <c r="C23" t="s">
        <v>4</v>
      </c>
      <c r="AB23" s="9">
        <v>43320</v>
      </c>
      <c r="AC23" t="s">
        <v>269</v>
      </c>
      <c r="AD23" t="s">
        <v>348</v>
      </c>
    </row>
    <row r="24" spans="1:30" ht="30.75" customHeight="1">
      <c r="A24">
        <f>Table4[[#This Row],[Column1]]</f>
        <v>0</v>
      </c>
      <c r="B24">
        <f>Table4[[#This Row],[Column2]]</f>
        <v>0</v>
      </c>
      <c r="C24" t="s">
        <v>4</v>
      </c>
      <c r="AB24" s="9">
        <v>43318</v>
      </c>
      <c r="AC24" t="s">
        <v>269</v>
      </c>
      <c r="AD24" t="s">
        <v>262</v>
      </c>
    </row>
    <row r="25" spans="1:30" ht="30.75" customHeight="1">
      <c r="A25">
        <f>Table4[[#This Row],[Column1]]</f>
        <v>0</v>
      </c>
      <c r="B25">
        <f>Table4[[#This Row],[Column2]]</f>
        <v>0</v>
      </c>
      <c r="C25" t="s">
        <v>3</v>
      </c>
      <c r="D25" t="s">
        <v>145</v>
      </c>
      <c r="E25" t="s">
        <v>162</v>
      </c>
      <c r="F25" t="s">
        <v>163</v>
      </c>
      <c r="G25" t="s">
        <v>160</v>
      </c>
      <c r="H25" t="s">
        <v>160</v>
      </c>
      <c r="I25" t="s">
        <v>214</v>
      </c>
      <c r="J25" t="s">
        <v>25</v>
      </c>
      <c r="K25" t="s">
        <v>160</v>
      </c>
      <c r="M25">
        <v>104</v>
      </c>
      <c r="N25">
        <v>71</v>
      </c>
      <c r="O25" t="s">
        <v>81</v>
      </c>
      <c r="P25" t="s">
        <v>360</v>
      </c>
      <c r="Q25" t="s">
        <v>160</v>
      </c>
      <c r="R25" t="s">
        <v>160</v>
      </c>
      <c r="S25" t="s">
        <v>160</v>
      </c>
      <c r="T25" t="s">
        <v>195</v>
      </c>
      <c r="U25" t="s">
        <v>4</v>
      </c>
      <c r="V25" t="s">
        <v>361</v>
      </c>
      <c r="X25" s="9">
        <v>43329</v>
      </c>
      <c r="Y25" t="s">
        <v>3</v>
      </c>
      <c r="AA25" t="s">
        <v>391</v>
      </c>
      <c r="AB25" s="9">
        <v>43329</v>
      </c>
      <c r="AC25" t="s">
        <v>269</v>
      </c>
      <c r="AD25" t="s">
        <v>276</v>
      </c>
    </row>
    <row r="26" spans="1:30" ht="30.75" customHeight="1">
      <c r="A26">
        <f>Table4[[#This Row],[Column1]]</f>
        <v>0</v>
      </c>
      <c r="B26">
        <f>Table4[[#This Row],[Column2]]</f>
        <v>0</v>
      </c>
      <c r="C26" t="s">
        <v>3</v>
      </c>
      <c r="D26" t="s">
        <v>143</v>
      </c>
      <c r="E26" t="s">
        <v>160</v>
      </c>
      <c r="F26" t="s">
        <v>25</v>
      </c>
      <c r="G26" t="s">
        <v>167</v>
      </c>
      <c r="H26" t="s">
        <v>160</v>
      </c>
      <c r="I26" t="s">
        <v>25</v>
      </c>
      <c r="J26" t="s">
        <v>25</v>
      </c>
      <c r="K26" t="s">
        <v>160</v>
      </c>
      <c r="M26" s="21">
        <v>66</v>
      </c>
      <c r="N26">
        <v>76</v>
      </c>
      <c r="O26" t="s">
        <v>81</v>
      </c>
      <c r="P26" t="s">
        <v>160</v>
      </c>
      <c r="Q26" t="s">
        <v>160</v>
      </c>
      <c r="R26" t="s">
        <v>160</v>
      </c>
      <c r="S26" t="s">
        <v>160</v>
      </c>
      <c r="T26" t="s">
        <v>160</v>
      </c>
      <c r="U26" t="s">
        <v>3</v>
      </c>
      <c r="V26" t="s">
        <v>203</v>
      </c>
      <c r="W26" t="s">
        <v>414</v>
      </c>
      <c r="X26" s="9">
        <v>43341</v>
      </c>
      <c r="Y26" t="s">
        <v>4</v>
      </c>
      <c r="AB26" s="9">
        <v>43334</v>
      </c>
      <c r="AC26" t="s">
        <v>269</v>
      </c>
      <c r="AD26" t="s">
        <v>348</v>
      </c>
    </row>
    <row r="27" spans="1:30" ht="30.75" customHeight="1">
      <c r="A27">
        <f>Table4[[#This Row],[Column1]]</f>
        <v>0</v>
      </c>
      <c r="B27">
        <f>Table4[[#This Row],[Column2]]</f>
        <v>0</v>
      </c>
      <c r="C27" t="s">
        <v>4</v>
      </c>
      <c r="M27" s="21"/>
      <c r="N27" s="21"/>
      <c r="AB27" s="9">
        <v>43318</v>
      </c>
      <c r="AC27" t="s">
        <v>269</v>
      </c>
      <c r="AD27" t="s">
        <v>348</v>
      </c>
    </row>
    <row r="28" spans="1:30" ht="30.75" customHeight="1">
      <c r="A28">
        <f>Table4[[#This Row],[Column1]]</f>
        <v>0</v>
      </c>
      <c r="B28">
        <f>Table4[[#This Row],[Column2]]</f>
        <v>0</v>
      </c>
      <c r="C28" t="s">
        <v>4</v>
      </c>
      <c r="AB28" s="9">
        <v>43315</v>
      </c>
      <c r="AC28" t="s">
        <v>269</v>
      </c>
      <c r="AD28" t="s">
        <v>262</v>
      </c>
    </row>
    <row r="29" spans="1:30" ht="30.75" customHeight="1">
      <c r="A29">
        <f>Table4[[#This Row],[Column1]]</f>
        <v>0</v>
      </c>
      <c r="B29">
        <f>Table4[[#This Row],[Column2]]</f>
        <v>0</v>
      </c>
      <c r="C29" t="s">
        <v>4</v>
      </c>
      <c r="AB29" s="9">
        <v>43320</v>
      </c>
      <c r="AC29" t="s">
        <v>269</v>
      </c>
      <c r="AD29" t="s">
        <v>25</v>
      </c>
    </row>
    <row r="30" spans="1:30" ht="30.75" customHeight="1">
      <c r="A30">
        <f>Table4[[#This Row],[Column1]]</f>
        <v>0</v>
      </c>
      <c r="B30">
        <f>Table4[[#This Row],[Column2]]</f>
        <v>0</v>
      </c>
      <c r="C30" t="s">
        <v>4</v>
      </c>
      <c r="AB30" s="9">
        <v>43322</v>
      </c>
      <c r="AC30" t="s">
        <v>269</v>
      </c>
      <c r="AD30" t="s">
        <v>262</v>
      </c>
    </row>
    <row r="31" spans="1:30" ht="30.75" customHeight="1">
      <c r="A31">
        <f>Table4[[#This Row],[Column1]]</f>
        <v>0</v>
      </c>
      <c r="B31">
        <f>Table4[[#This Row],[Column2]]</f>
        <v>0</v>
      </c>
    </row>
    <row r="32" spans="1:30" ht="30.75" customHeight="1">
      <c r="A32">
        <f>Table4[[#This Row],[Column1]]</f>
        <v>0</v>
      </c>
      <c r="B32">
        <f>Table4[[#This Row],[Column2]]</f>
        <v>0</v>
      </c>
      <c r="C32" t="s">
        <v>4</v>
      </c>
      <c r="AB32" s="9">
        <v>43321</v>
      </c>
      <c r="AC32" t="s">
        <v>269</v>
      </c>
      <c r="AD32" t="s">
        <v>262</v>
      </c>
    </row>
    <row r="33" spans="1:30" ht="30.75" customHeight="1">
      <c r="A33">
        <f>Table4[[#This Row],[Column1]]</f>
        <v>0</v>
      </c>
      <c r="B33">
        <f>Table4[[#This Row],[Column2]]</f>
        <v>0</v>
      </c>
      <c r="AB33" s="9">
        <v>43319</v>
      </c>
      <c r="AC33" t="s">
        <v>269</v>
      </c>
      <c r="AD33" t="s">
        <v>262</v>
      </c>
    </row>
    <row r="34" spans="1:30" ht="30.75" customHeight="1">
      <c r="A34">
        <f>Table4[[#This Row],[Column1]]</f>
        <v>0</v>
      </c>
      <c r="B34">
        <f>Table4[[#This Row],[Column2]]</f>
        <v>0</v>
      </c>
      <c r="C34" t="s">
        <v>4</v>
      </c>
      <c r="AB34" s="9">
        <v>43321</v>
      </c>
      <c r="AC34" t="s">
        <v>269</v>
      </c>
      <c r="AD34" t="s">
        <v>25</v>
      </c>
    </row>
    <row r="35" spans="1:30" ht="30.75" customHeight="1">
      <c r="A35">
        <f>Table4[[#This Row],[Column1]]</f>
        <v>0</v>
      </c>
      <c r="B35">
        <f>Table4[[#This Row],[Column2]]</f>
        <v>0</v>
      </c>
      <c r="C35" t="s">
        <v>3</v>
      </c>
      <c r="D35" t="s">
        <v>143</v>
      </c>
      <c r="E35" t="s">
        <v>162</v>
      </c>
      <c r="F35" t="s">
        <v>25</v>
      </c>
      <c r="G35" t="s">
        <v>166</v>
      </c>
      <c r="H35" t="s">
        <v>160</v>
      </c>
      <c r="I35" t="s">
        <v>25</v>
      </c>
      <c r="J35" t="s">
        <v>25</v>
      </c>
      <c r="K35" t="s">
        <v>160</v>
      </c>
      <c r="M35">
        <v>84</v>
      </c>
      <c r="N35">
        <v>79</v>
      </c>
      <c r="O35" t="s">
        <v>81</v>
      </c>
      <c r="P35" t="s">
        <v>160</v>
      </c>
      <c r="Q35" t="s">
        <v>160</v>
      </c>
      <c r="R35" t="s">
        <v>160</v>
      </c>
      <c r="S35" t="s">
        <v>160</v>
      </c>
      <c r="T35" t="s">
        <v>160</v>
      </c>
      <c r="U35" t="s">
        <v>3</v>
      </c>
      <c r="V35" t="s">
        <v>203</v>
      </c>
      <c r="X35" s="9">
        <v>43334</v>
      </c>
      <c r="Y35" t="s">
        <v>4</v>
      </c>
      <c r="AB35" s="9">
        <v>43329</v>
      </c>
      <c r="AC35" t="s">
        <v>269</v>
      </c>
      <c r="AD35" t="s">
        <v>276</v>
      </c>
    </row>
    <row r="36" spans="1:30" ht="30.75" customHeight="1">
      <c r="A36">
        <f>Table4[[#This Row],[Column1]]</f>
        <v>0</v>
      </c>
      <c r="B36">
        <f>Table4[[#This Row],[Column2]]</f>
        <v>0</v>
      </c>
      <c r="C36" t="s">
        <v>4</v>
      </c>
      <c r="AB36" s="9">
        <v>43324</v>
      </c>
      <c r="AC36" t="s">
        <v>269</v>
      </c>
      <c r="AD36" t="s">
        <v>276</v>
      </c>
    </row>
    <row r="37" spans="1:30" ht="30.75" customHeight="1">
      <c r="A37">
        <f>Table4[[#This Row],[Column1]]</f>
        <v>0</v>
      </c>
      <c r="B37">
        <f>Table4[[#This Row],[Column2]]</f>
        <v>0</v>
      </c>
      <c r="C37" t="s">
        <v>3</v>
      </c>
      <c r="D37" t="s">
        <v>143</v>
      </c>
      <c r="E37" t="s">
        <v>162</v>
      </c>
      <c r="F37" t="s">
        <v>71</v>
      </c>
      <c r="G37" t="s">
        <v>160</v>
      </c>
      <c r="H37" t="s">
        <v>160</v>
      </c>
      <c r="I37" t="s">
        <v>25</v>
      </c>
      <c r="J37" t="s">
        <v>25</v>
      </c>
      <c r="K37" t="s">
        <v>160</v>
      </c>
      <c r="M37">
        <v>58</v>
      </c>
      <c r="N37">
        <v>55</v>
      </c>
      <c r="O37" t="s">
        <v>3</v>
      </c>
      <c r="P37" t="s">
        <v>160</v>
      </c>
      <c r="Q37" t="s">
        <v>160</v>
      </c>
      <c r="R37" t="s">
        <v>219</v>
      </c>
      <c r="S37" t="s">
        <v>160</v>
      </c>
      <c r="T37" t="s">
        <v>160</v>
      </c>
      <c r="U37" t="s">
        <v>3</v>
      </c>
      <c r="V37" t="s">
        <v>203</v>
      </c>
      <c r="W37" t="s">
        <v>390</v>
      </c>
      <c r="AB37" s="9">
        <v>43330</v>
      </c>
      <c r="AC37" t="s">
        <v>269</v>
      </c>
      <c r="AD37" t="s">
        <v>348</v>
      </c>
    </row>
    <row r="38" spans="1:30" ht="30.75" customHeight="1">
      <c r="A38">
        <f>Table4[[#This Row],[Column1]]</f>
        <v>0</v>
      </c>
      <c r="B38">
        <f>Table4[[#This Row],[Column2]]</f>
        <v>0</v>
      </c>
      <c r="C38" t="s">
        <v>3</v>
      </c>
      <c r="D38" t="s">
        <v>145</v>
      </c>
      <c r="E38" t="s">
        <v>374</v>
      </c>
      <c r="F38" t="s">
        <v>164</v>
      </c>
      <c r="G38" t="s">
        <v>166</v>
      </c>
      <c r="H38" t="s">
        <v>171</v>
      </c>
      <c r="I38" t="s">
        <v>25</v>
      </c>
      <c r="J38" t="s">
        <v>275</v>
      </c>
      <c r="K38" t="s">
        <v>160</v>
      </c>
      <c r="M38">
        <v>62</v>
      </c>
      <c r="N38">
        <v>71</v>
      </c>
      <c r="O38" t="s">
        <v>81</v>
      </c>
      <c r="P38" t="s">
        <v>226</v>
      </c>
      <c r="Q38" t="s">
        <v>160</v>
      </c>
      <c r="R38" t="s">
        <v>219</v>
      </c>
      <c r="S38" t="s">
        <v>160</v>
      </c>
      <c r="T38" t="s">
        <v>195</v>
      </c>
      <c r="U38" t="s">
        <v>4</v>
      </c>
      <c r="V38" t="s">
        <v>203</v>
      </c>
      <c r="W38" t="s">
        <v>430</v>
      </c>
      <c r="X38" s="9">
        <v>43335</v>
      </c>
      <c r="Y38" t="s">
        <v>3</v>
      </c>
      <c r="AA38" t="s">
        <v>431</v>
      </c>
      <c r="AB38" s="9">
        <v>43336</v>
      </c>
      <c r="AC38" t="s">
        <v>269</v>
      </c>
      <c r="AD38" t="s">
        <v>276</v>
      </c>
    </row>
    <row r="39" spans="1:30" ht="30.75" customHeight="1">
      <c r="A39">
        <f>Table4[[#This Row],[Column1]]</f>
        <v>0</v>
      </c>
      <c r="B39">
        <f>Table4[[#This Row],[Column2]]</f>
        <v>0</v>
      </c>
      <c r="C39" t="s">
        <v>3</v>
      </c>
      <c r="D39" t="s">
        <v>143</v>
      </c>
      <c r="E39" t="s">
        <v>160</v>
      </c>
      <c r="F39" t="s">
        <v>25</v>
      </c>
      <c r="G39" t="s">
        <v>166</v>
      </c>
      <c r="H39" t="s">
        <v>160</v>
      </c>
      <c r="I39" t="s">
        <v>25</v>
      </c>
      <c r="J39" t="s">
        <v>25</v>
      </c>
      <c r="K39" t="s">
        <v>160</v>
      </c>
      <c r="M39" s="21">
        <v>64</v>
      </c>
      <c r="N39">
        <v>69</v>
      </c>
      <c r="O39" t="s">
        <v>81</v>
      </c>
      <c r="P39" t="s">
        <v>160</v>
      </c>
      <c r="Q39" t="s">
        <v>160</v>
      </c>
      <c r="R39" t="s">
        <v>160</v>
      </c>
      <c r="S39" t="s">
        <v>160</v>
      </c>
      <c r="T39" t="s">
        <v>160</v>
      </c>
      <c r="U39" t="s">
        <v>4</v>
      </c>
      <c r="V39" t="s">
        <v>361</v>
      </c>
      <c r="W39" t="s">
        <v>388</v>
      </c>
      <c r="AB39" s="9">
        <v>43329</v>
      </c>
      <c r="AC39" t="s">
        <v>269</v>
      </c>
      <c r="AD39" t="s">
        <v>348</v>
      </c>
    </row>
    <row r="40" spans="1:30" ht="30.75" customHeight="1">
      <c r="A40">
        <f>Table4[[#This Row],[Column1]]</f>
        <v>0</v>
      </c>
      <c r="B40">
        <f>Table4[[#This Row],[Column2]]</f>
        <v>0</v>
      </c>
      <c r="C40" t="s">
        <v>4</v>
      </c>
      <c r="I40" t="s">
        <v>214</v>
      </c>
      <c r="AB40" s="9">
        <v>43328</v>
      </c>
      <c r="AC40" t="s">
        <v>269</v>
      </c>
      <c r="AD40" t="s">
        <v>276</v>
      </c>
    </row>
    <row r="41" spans="1:30" ht="30.75" customHeight="1">
      <c r="A41">
        <f>Table4[[#This Row],[Column1]]</f>
        <v>0</v>
      </c>
      <c r="B41">
        <f>Table4[[#This Row],[Column2]]</f>
        <v>0</v>
      </c>
      <c r="C41" t="s">
        <v>3</v>
      </c>
      <c r="D41" t="s">
        <v>145</v>
      </c>
      <c r="E41" t="s">
        <v>160</v>
      </c>
      <c r="F41" t="s">
        <v>25</v>
      </c>
      <c r="G41" t="s">
        <v>160</v>
      </c>
      <c r="H41" t="s">
        <v>160</v>
      </c>
      <c r="I41" t="s">
        <v>25</v>
      </c>
      <c r="J41" t="s">
        <v>25</v>
      </c>
      <c r="K41" t="s">
        <v>160</v>
      </c>
      <c r="M41" s="21">
        <v>80</v>
      </c>
      <c r="N41">
        <v>127</v>
      </c>
      <c r="O41" t="s">
        <v>81</v>
      </c>
      <c r="P41" t="s">
        <v>227</v>
      </c>
      <c r="Q41" t="s">
        <v>160</v>
      </c>
      <c r="R41" t="s">
        <v>160</v>
      </c>
      <c r="S41" t="s">
        <v>160</v>
      </c>
      <c r="T41" t="s">
        <v>160</v>
      </c>
      <c r="U41" t="s">
        <v>4</v>
      </c>
      <c r="V41" t="s">
        <v>415</v>
      </c>
      <c r="X41" s="9">
        <v>43341</v>
      </c>
      <c r="Y41" t="s">
        <v>4</v>
      </c>
      <c r="AB41" s="9">
        <v>43333</v>
      </c>
      <c r="AC41" t="s">
        <v>269</v>
      </c>
      <c r="AD41" t="s">
        <v>262</v>
      </c>
    </row>
    <row r="42" spans="1:30" ht="30.75" customHeight="1">
      <c r="A42">
        <f>Table4[[#This Row],[Column1]]</f>
        <v>0</v>
      </c>
      <c r="B42">
        <f>Table4[[#This Row],[Column2]]</f>
        <v>0</v>
      </c>
      <c r="C42" t="s">
        <v>3</v>
      </c>
      <c r="D42" t="s">
        <v>145</v>
      </c>
      <c r="E42" t="s">
        <v>162</v>
      </c>
      <c r="F42" t="s">
        <v>163</v>
      </c>
      <c r="G42" t="s">
        <v>166</v>
      </c>
      <c r="H42" t="s">
        <v>171</v>
      </c>
      <c r="I42" t="s">
        <v>173</v>
      </c>
      <c r="J42" t="s">
        <v>25</v>
      </c>
      <c r="K42" t="s">
        <v>160</v>
      </c>
      <c r="M42">
        <v>75</v>
      </c>
      <c r="N42">
        <v>86</v>
      </c>
      <c r="O42" t="s">
        <v>81</v>
      </c>
      <c r="P42" t="s">
        <v>226</v>
      </c>
      <c r="Q42" t="s">
        <v>182</v>
      </c>
      <c r="R42" t="s">
        <v>160</v>
      </c>
      <c r="S42" t="s">
        <v>160</v>
      </c>
      <c r="T42" t="s">
        <v>160</v>
      </c>
      <c r="U42" t="s">
        <v>4</v>
      </c>
      <c r="V42" t="s">
        <v>203</v>
      </c>
      <c r="W42" t="s">
        <v>408</v>
      </c>
      <c r="AB42" s="9">
        <v>43336</v>
      </c>
      <c r="AC42" t="s">
        <v>269</v>
      </c>
      <c r="AD42" t="s">
        <v>348</v>
      </c>
    </row>
    <row r="43" spans="1:30" ht="30.75" customHeight="1">
      <c r="A43">
        <f>Table4[[#This Row],[Column1]]</f>
        <v>0</v>
      </c>
      <c r="B43">
        <f>Table4[[#This Row],[Column2]]</f>
        <v>0</v>
      </c>
      <c r="C43" t="s">
        <v>4</v>
      </c>
      <c r="AB43" s="9">
        <v>43329</v>
      </c>
      <c r="AC43" t="s">
        <v>269</v>
      </c>
      <c r="AD43" t="s">
        <v>25</v>
      </c>
    </row>
    <row r="44" spans="1:30" ht="30.75" customHeight="1">
      <c r="A44">
        <f>Table4[[#This Row],[Column1]]</f>
        <v>0</v>
      </c>
      <c r="B44">
        <f>Table4[[#This Row],[Column2]]</f>
        <v>0</v>
      </c>
      <c r="C44" t="s">
        <v>3</v>
      </c>
      <c r="D44" t="s">
        <v>144</v>
      </c>
      <c r="E44" t="s">
        <v>162</v>
      </c>
      <c r="F44" t="s">
        <v>25</v>
      </c>
      <c r="G44" t="s">
        <v>160</v>
      </c>
      <c r="H44" t="s">
        <v>160</v>
      </c>
      <c r="I44" t="s">
        <v>25</v>
      </c>
      <c r="J44" t="s">
        <v>25</v>
      </c>
      <c r="K44" t="s">
        <v>160</v>
      </c>
      <c r="M44">
        <v>79</v>
      </c>
      <c r="N44">
        <v>70</v>
      </c>
      <c r="O44" t="s">
        <v>81</v>
      </c>
      <c r="P44" t="s">
        <v>226</v>
      </c>
      <c r="Q44" t="s">
        <v>160</v>
      </c>
      <c r="R44" t="s">
        <v>160</v>
      </c>
      <c r="S44" t="s">
        <v>160</v>
      </c>
      <c r="T44" t="s">
        <v>160</v>
      </c>
      <c r="U44" t="s">
        <v>4</v>
      </c>
      <c r="V44" t="s">
        <v>361</v>
      </c>
      <c r="W44" t="s">
        <v>409</v>
      </c>
      <c r="X44" s="9">
        <v>43340</v>
      </c>
      <c r="Y44" t="s">
        <v>4</v>
      </c>
      <c r="AB44" s="9">
        <v>43332</v>
      </c>
      <c r="AC44" t="s">
        <v>269</v>
      </c>
      <c r="AD44" t="s">
        <v>262</v>
      </c>
    </row>
    <row r="45" spans="1:30" ht="30.75" customHeight="1">
      <c r="A45">
        <f>Table4[[#This Row],[Column1]]</f>
        <v>0</v>
      </c>
      <c r="B45">
        <f>Table4[[#This Row],[Column2]]</f>
        <v>0</v>
      </c>
      <c r="C45" t="s">
        <v>3</v>
      </c>
      <c r="D45" t="s">
        <v>143</v>
      </c>
      <c r="E45" t="s">
        <v>162</v>
      </c>
      <c r="F45" t="s">
        <v>165</v>
      </c>
      <c r="G45" t="s">
        <v>160</v>
      </c>
      <c r="H45" t="s">
        <v>160</v>
      </c>
      <c r="I45" t="s">
        <v>25</v>
      </c>
      <c r="J45" t="s">
        <v>25</v>
      </c>
      <c r="K45" t="s">
        <v>178</v>
      </c>
      <c r="M45">
        <v>61</v>
      </c>
      <c r="N45">
        <v>65</v>
      </c>
      <c r="O45" t="s">
        <v>81</v>
      </c>
      <c r="P45" t="s">
        <v>160</v>
      </c>
      <c r="Q45" t="s">
        <v>160</v>
      </c>
      <c r="R45" t="s">
        <v>219</v>
      </c>
      <c r="S45" t="s">
        <v>160</v>
      </c>
      <c r="T45" t="s">
        <v>160</v>
      </c>
      <c r="U45" t="s">
        <v>3</v>
      </c>
      <c r="V45" t="s">
        <v>203</v>
      </c>
      <c r="W45" t="s">
        <v>416</v>
      </c>
      <c r="X45" s="9">
        <v>43341</v>
      </c>
      <c r="Y45" t="s">
        <v>4</v>
      </c>
      <c r="AB45" s="9">
        <v>43335</v>
      </c>
      <c r="AC45" t="s">
        <v>269</v>
      </c>
      <c r="AD45" t="s">
        <v>348</v>
      </c>
    </row>
    <row r="46" spans="1:30" ht="30.75" customHeight="1">
      <c r="A46">
        <f>Table4[[#This Row],[Column1]]</f>
        <v>0</v>
      </c>
      <c r="B46">
        <f>Table4[[#This Row],[Column2]]</f>
        <v>0</v>
      </c>
      <c r="C46" t="s">
        <v>4</v>
      </c>
      <c r="AB46" s="9">
        <v>43332</v>
      </c>
      <c r="AC46" t="s">
        <v>269</v>
      </c>
      <c r="AD46" t="s">
        <v>25</v>
      </c>
    </row>
    <row r="47" spans="1:30" ht="30.75" customHeight="1">
      <c r="A47">
        <f>Table4[[#This Row],[Column1]]</f>
        <v>0</v>
      </c>
      <c r="B47">
        <f>Table4[[#This Row],[Column2]]</f>
        <v>0</v>
      </c>
      <c r="C47" t="s">
        <v>3</v>
      </c>
      <c r="D47" t="s">
        <v>146</v>
      </c>
      <c r="E47" t="s">
        <v>162</v>
      </c>
      <c r="F47" t="s">
        <v>164</v>
      </c>
      <c r="G47" t="s">
        <v>166</v>
      </c>
      <c r="H47" t="s">
        <v>172</v>
      </c>
      <c r="I47" t="s">
        <v>214</v>
      </c>
      <c r="J47" t="s">
        <v>25</v>
      </c>
      <c r="K47" t="s">
        <v>442</v>
      </c>
      <c r="M47">
        <v>63</v>
      </c>
      <c r="N47">
        <v>63</v>
      </c>
      <c r="O47" t="s">
        <v>81</v>
      </c>
      <c r="P47" t="s">
        <v>226</v>
      </c>
      <c r="Q47" t="s">
        <v>160</v>
      </c>
      <c r="R47" t="s">
        <v>160</v>
      </c>
      <c r="S47" t="s">
        <v>160</v>
      </c>
      <c r="T47" t="s">
        <v>195</v>
      </c>
      <c r="U47" t="s">
        <v>4</v>
      </c>
      <c r="V47" t="s">
        <v>203</v>
      </c>
      <c r="X47" s="9">
        <v>43347</v>
      </c>
      <c r="Y47" t="s">
        <v>3</v>
      </c>
      <c r="AA47" t="s">
        <v>468</v>
      </c>
      <c r="AB47" s="9">
        <v>43376</v>
      </c>
      <c r="AC47" t="s">
        <v>601</v>
      </c>
      <c r="AD47" t="s">
        <v>602</v>
      </c>
    </row>
    <row r="48" spans="1:30" ht="30.75" customHeight="1">
      <c r="A48">
        <f>Table4[[#This Row],[Column1]]</f>
        <v>0</v>
      </c>
      <c r="B48">
        <f>Table4[[#This Row],[Column2]]</f>
        <v>0</v>
      </c>
      <c r="C48" t="s">
        <v>4</v>
      </c>
      <c r="AB48" s="9">
        <v>43329</v>
      </c>
      <c r="AC48" t="s">
        <v>269</v>
      </c>
      <c r="AD48" t="s">
        <v>262</v>
      </c>
    </row>
    <row r="49" spans="1:30" ht="30.75" customHeight="1">
      <c r="A49">
        <f>Table4[[#This Row],[Column1]]</f>
        <v>0</v>
      </c>
      <c r="B49">
        <f>Table4[[#This Row],[Column2]]</f>
        <v>0</v>
      </c>
      <c r="C49" t="s">
        <v>4</v>
      </c>
      <c r="AB49" s="9">
        <v>43331</v>
      </c>
      <c r="AC49" t="s">
        <v>269</v>
      </c>
      <c r="AD49" t="s">
        <v>25</v>
      </c>
    </row>
    <row r="50" spans="1:30" ht="30.75" customHeight="1">
      <c r="A50">
        <f>Table4[[#This Row],[Column1]]</f>
        <v>0</v>
      </c>
      <c r="B50">
        <f>Table4[[#This Row],[Column2]]</f>
        <v>0</v>
      </c>
      <c r="C50" t="s">
        <v>3</v>
      </c>
      <c r="D50" t="s">
        <v>145</v>
      </c>
      <c r="E50" t="s">
        <v>160</v>
      </c>
      <c r="F50" t="s">
        <v>25</v>
      </c>
      <c r="G50" t="s">
        <v>160</v>
      </c>
      <c r="H50" t="s">
        <v>160</v>
      </c>
      <c r="I50" t="s">
        <v>25</v>
      </c>
      <c r="J50" t="s">
        <v>25</v>
      </c>
      <c r="K50" t="s">
        <v>160</v>
      </c>
      <c r="M50">
        <v>64</v>
      </c>
      <c r="N50">
        <v>41</v>
      </c>
      <c r="O50" t="s">
        <v>81</v>
      </c>
      <c r="P50" t="s">
        <v>226</v>
      </c>
      <c r="Q50" t="s">
        <v>160</v>
      </c>
      <c r="R50" t="s">
        <v>160</v>
      </c>
      <c r="S50" t="s">
        <v>160</v>
      </c>
      <c r="T50" t="s">
        <v>195</v>
      </c>
      <c r="U50" t="s">
        <v>4</v>
      </c>
      <c r="V50" t="s">
        <v>203</v>
      </c>
      <c r="W50" t="s">
        <v>429</v>
      </c>
      <c r="X50" s="9">
        <v>43343</v>
      </c>
      <c r="Y50" t="s">
        <v>3</v>
      </c>
      <c r="AA50" t="s">
        <v>482</v>
      </c>
      <c r="AB50" s="9">
        <v>43347</v>
      </c>
      <c r="AC50" t="s">
        <v>269</v>
      </c>
      <c r="AD50" t="s">
        <v>348</v>
      </c>
    </row>
    <row r="51" spans="1:30" ht="30.75" customHeight="1">
      <c r="A51">
        <f>Table4[[#This Row],[Column1]]</f>
        <v>0</v>
      </c>
      <c r="B51">
        <f>Table4[[#This Row],[Column2]]</f>
        <v>0</v>
      </c>
      <c r="C51" t="s">
        <v>4</v>
      </c>
      <c r="AB51" s="9">
        <v>43334</v>
      </c>
      <c r="AC51" t="s">
        <v>269</v>
      </c>
      <c r="AD51" t="s">
        <v>276</v>
      </c>
    </row>
    <row r="52" spans="1:30" ht="30.75" customHeight="1">
      <c r="A52">
        <f>Table4[[#This Row],[Column1]]</f>
        <v>0</v>
      </c>
      <c r="B52">
        <f>Table4[[#This Row],[Column2]]</f>
        <v>0</v>
      </c>
      <c r="C52" t="s">
        <v>4</v>
      </c>
      <c r="AB52" s="9">
        <v>43330</v>
      </c>
      <c r="AC52" t="s">
        <v>269</v>
      </c>
      <c r="AD52" t="s">
        <v>25</v>
      </c>
    </row>
    <row r="53" spans="1:30" ht="30.75" customHeight="1">
      <c r="A53">
        <f>Table4[[#This Row],[Column1]]</f>
        <v>0</v>
      </c>
      <c r="B53">
        <f>Table4[[#This Row],[Column2]]</f>
        <v>0</v>
      </c>
      <c r="C53" t="s">
        <v>4</v>
      </c>
      <c r="AB53" s="9">
        <v>43331</v>
      </c>
      <c r="AC53" t="s">
        <v>269</v>
      </c>
      <c r="AD53" t="s">
        <v>262</v>
      </c>
    </row>
    <row r="54" spans="1:30" ht="30.75" customHeight="1">
      <c r="A54">
        <f>Table4[[#This Row],[Column1]]</f>
        <v>0</v>
      </c>
      <c r="B54">
        <f>Table4[[#This Row],[Column2]]</f>
        <v>0</v>
      </c>
      <c r="C54" t="s">
        <v>4</v>
      </c>
      <c r="AB54" s="9">
        <v>43330</v>
      </c>
      <c r="AC54" t="s">
        <v>269</v>
      </c>
      <c r="AD54" t="s">
        <v>25</v>
      </c>
    </row>
    <row r="55" spans="1:30" ht="30.75" customHeight="1">
      <c r="A55">
        <f>Table4[[#This Row],[Column1]]</f>
        <v>0</v>
      </c>
      <c r="B55">
        <f>Table4[[#This Row],[Column2]]</f>
        <v>0</v>
      </c>
      <c r="C55" t="s">
        <v>4</v>
      </c>
      <c r="AB55" s="9">
        <v>43333</v>
      </c>
      <c r="AC55" t="s">
        <v>269</v>
      </c>
      <c r="AD55" t="s">
        <v>25</v>
      </c>
    </row>
    <row r="56" spans="1:30" ht="30.75" customHeight="1">
      <c r="A56">
        <f>Table4[[#This Row],[Column1]]</f>
        <v>0</v>
      </c>
      <c r="B56">
        <f>Table4[[#This Row],[Column2]]</f>
        <v>0</v>
      </c>
      <c r="C56" t="s">
        <v>4</v>
      </c>
      <c r="AB56" s="9">
        <v>43334</v>
      </c>
      <c r="AC56" t="s">
        <v>269</v>
      </c>
      <c r="AD56" t="s">
        <v>25</v>
      </c>
    </row>
    <row r="57" spans="1:30" ht="30.75" customHeight="1">
      <c r="A57">
        <f>Table4[[#This Row],[Column1]]</f>
        <v>0</v>
      </c>
      <c r="B57">
        <f>Table4[[#This Row],[Column2]]</f>
        <v>0</v>
      </c>
      <c r="C57" t="s">
        <v>4</v>
      </c>
      <c r="AB57" s="9">
        <v>43335</v>
      </c>
      <c r="AC57" t="s">
        <v>269</v>
      </c>
      <c r="AD57" t="s">
        <v>25</v>
      </c>
    </row>
    <row r="58" spans="1:30" ht="30.75" customHeight="1">
      <c r="A58">
        <f>Table4[[#This Row],[Column1]]</f>
        <v>0</v>
      </c>
      <c r="B58">
        <f>Table4[[#This Row],[Column2]]</f>
        <v>0</v>
      </c>
      <c r="C58" t="s">
        <v>4</v>
      </c>
      <c r="AB58" s="9">
        <v>43338</v>
      </c>
      <c r="AC58" t="s">
        <v>269</v>
      </c>
      <c r="AD58" t="s">
        <v>276</v>
      </c>
    </row>
    <row r="59" spans="1:30" ht="30.75" customHeight="1">
      <c r="A59">
        <f>Table4[[#This Row],[Column1]]</f>
        <v>0</v>
      </c>
      <c r="B59">
        <f>Table4[[#This Row],[Column2]]</f>
        <v>0</v>
      </c>
      <c r="C59" t="s">
        <v>3</v>
      </c>
      <c r="D59" t="s">
        <v>144</v>
      </c>
      <c r="E59" t="s">
        <v>160</v>
      </c>
      <c r="F59" t="s">
        <v>163</v>
      </c>
      <c r="G59" t="s">
        <v>160</v>
      </c>
      <c r="H59" t="s">
        <v>160</v>
      </c>
      <c r="I59" t="s">
        <v>25</v>
      </c>
      <c r="J59" t="s">
        <v>25</v>
      </c>
      <c r="K59" t="s">
        <v>160</v>
      </c>
      <c r="M59">
        <v>77</v>
      </c>
      <c r="N59">
        <v>59</v>
      </c>
      <c r="O59" t="s">
        <v>81</v>
      </c>
      <c r="P59" t="s">
        <v>160</v>
      </c>
      <c r="Q59" t="s">
        <v>160</v>
      </c>
      <c r="R59" t="s">
        <v>160</v>
      </c>
      <c r="S59" t="s">
        <v>160</v>
      </c>
      <c r="T59" t="s">
        <v>160</v>
      </c>
      <c r="U59" t="s">
        <v>3</v>
      </c>
      <c r="V59" t="s">
        <v>203</v>
      </c>
      <c r="W59" t="s">
        <v>443</v>
      </c>
      <c r="AB59" s="9">
        <v>43340</v>
      </c>
      <c r="AC59" t="s">
        <v>269</v>
      </c>
      <c r="AD59" t="s">
        <v>276</v>
      </c>
    </row>
    <row r="60" spans="1:30" ht="30.75" customHeight="1">
      <c r="A60">
        <f>Table4[[#This Row],[Column1]]</f>
        <v>0</v>
      </c>
      <c r="B60">
        <f>Table4[[#This Row],[Column2]]</f>
        <v>0</v>
      </c>
      <c r="C60" t="s">
        <v>4</v>
      </c>
      <c r="W60" t="s">
        <v>445</v>
      </c>
      <c r="AB60" s="9">
        <v>43335</v>
      </c>
      <c r="AC60" t="s">
        <v>269</v>
      </c>
      <c r="AD60" t="s">
        <v>25</v>
      </c>
    </row>
    <row r="61" spans="1:30" ht="30.75" customHeight="1">
      <c r="A61">
        <f>Table4[[#This Row],[Column1]]</f>
        <v>0</v>
      </c>
      <c r="B61">
        <f>Table4[[#This Row],[Column2]]</f>
        <v>0</v>
      </c>
      <c r="C61" t="s">
        <v>3</v>
      </c>
      <c r="D61" t="s">
        <v>143</v>
      </c>
      <c r="E61" t="s">
        <v>160</v>
      </c>
      <c r="F61" t="s">
        <v>25</v>
      </c>
      <c r="G61" t="s">
        <v>160</v>
      </c>
      <c r="H61" t="s">
        <v>171</v>
      </c>
      <c r="I61" t="s">
        <v>25</v>
      </c>
      <c r="J61" t="s">
        <v>25</v>
      </c>
      <c r="K61" t="s">
        <v>178</v>
      </c>
      <c r="M61">
        <v>48</v>
      </c>
      <c r="N61">
        <v>61</v>
      </c>
      <c r="O61" t="s">
        <v>81</v>
      </c>
      <c r="P61" t="s">
        <v>226</v>
      </c>
      <c r="Q61" t="s">
        <v>160</v>
      </c>
      <c r="R61" t="s">
        <v>160</v>
      </c>
      <c r="S61" t="s">
        <v>160</v>
      </c>
      <c r="T61" t="s">
        <v>195</v>
      </c>
      <c r="U61" t="s">
        <v>3</v>
      </c>
      <c r="V61" t="s">
        <v>203</v>
      </c>
      <c r="AB61" s="9">
        <v>43340</v>
      </c>
      <c r="AC61" t="s">
        <v>269</v>
      </c>
      <c r="AD61" t="s">
        <v>276</v>
      </c>
    </row>
    <row r="62" spans="1:30" ht="30.75" customHeight="1">
      <c r="A62">
        <f>Table4[[#This Row],[Column1]]</f>
        <v>0</v>
      </c>
      <c r="B62">
        <f>Table4[[#This Row],[Column2]]</f>
        <v>0</v>
      </c>
    </row>
    <row r="63" spans="1:30" ht="30.75" customHeight="1">
      <c r="A63">
        <f>Table4[[#This Row],[Column1]]</f>
        <v>0</v>
      </c>
      <c r="B63">
        <f>Table4[[#This Row],[Column2]]</f>
        <v>0</v>
      </c>
      <c r="C63" t="s">
        <v>4</v>
      </c>
      <c r="AB63" s="9">
        <v>43337</v>
      </c>
      <c r="AC63" t="s">
        <v>269</v>
      </c>
      <c r="AD63" t="s">
        <v>25</v>
      </c>
    </row>
    <row r="64" spans="1:30" ht="30.75" customHeight="1">
      <c r="A64">
        <f>Table4[[#This Row],[Column1]]</f>
        <v>0</v>
      </c>
      <c r="B64">
        <f>Table4[[#This Row],[Column2]]</f>
        <v>0</v>
      </c>
      <c r="C64" t="s">
        <v>4</v>
      </c>
      <c r="AB64" s="9">
        <v>43335</v>
      </c>
      <c r="AC64" s="9" t="s">
        <v>269</v>
      </c>
      <c r="AD64" t="s">
        <v>25</v>
      </c>
    </row>
    <row r="65" spans="1:30" ht="30.75" customHeight="1">
      <c r="A65">
        <f>Table4[[#This Row],[Column1]]</f>
        <v>0</v>
      </c>
      <c r="B65">
        <f>Table4[[#This Row],[Column2]]</f>
        <v>0</v>
      </c>
      <c r="C65" t="s">
        <v>3</v>
      </c>
      <c r="D65" t="s">
        <v>143</v>
      </c>
      <c r="E65" t="s">
        <v>160</v>
      </c>
      <c r="F65" t="s">
        <v>25</v>
      </c>
      <c r="G65" t="s">
        <v>160</v>
      </c>
      <c r="H65" t="s">
        <v>171</v>
      </c>
      <c r="I65" t="s">
        <v>25</v>
      </c>
      <c r="J65" t="s">
        <v>25</v>
      </c>
      <c r="K65" t="s">
        <v>160</v>
      </c>
      <c r="M65">
        <v>56</v>
      </c>
      <c r="N65">
        <v>52</v>
      </c>
      <c r="O65" t="s">
        <v>81</v>
      </c>
      <c r="P65" t="s">
        <v>160</v>
      </c>
      <c r="Q65" t="s">
        <v>160</v>
      </c>
      <c r="R65" t="s">
        <v>219</v>
      </c>
      <c r="S65" t="s">
        <v>160</v>
      </c>
      <c r="T65" t="s">
        <v>160</v>
      </c>
      <c r="U65" t="s">
        <v>3</v>
      </c>
      <c r="V65" t="s">
        <v>203</v>
      </c>
      <c r="W65" t="s">
        <v>444</v>
      </c>
      <c r="AB65" s="9">
        <v>43340</v>
      </c>
      <c r="AC65" t="s">
        <v>269</v>
      </c>
      <c r="AD65" t="s">
        <v>25</v>
      </c>
    </row>
    <row r="66" spans="1:30" ht="30.75" customHeight="1">
      <c r="A66">
        <f>Table4[[#This Row],[Column1]]</f>
        <v>0</v>
      </c>
      <c r="B66">
        <f>Table4[[#This Row],[Column2]]</f>
        <v>0</v>
      </c>
      <c r="C66" t="s">
        <v>3</v>
      </c>
      <c r="D66" t="s">
        <v>145</v>
      </c>
      <c r="E66" t="s">
        <v>160</v>
      </c>
      <c r="F66" t="s">
        <v>25</v>
      </c>
      <c r="G66" t="s">
        <v>160</v>
      </c>
      <c r="H66" t="s">
        <v>160</v>
      </c>
      <c r="I66" t="s">
        <v>25</v>
      </c>
      <c r="J66" t="s">
        <v>25</v>
      </c>
      <c r="K66" s="56" t="s">
        <v>458</v>
      </c>
      <c r="L66">
        <v>442</v>
      </c>
      <c r="M66">
        <v>64</v>
      </c>
      <c r="N66">
        <v>149</v>
      </c>
      <c r="O66" t="s">
        <v>81</v>
      </c>
      <c r="P66" t="s">
        <v>160</v>
      </c>
      <c r="Q66" t="s">
        <v>160</v>
      </c>
      <c r="R66" t="s">
        <v>160</v>
      </c>
      <c r="S66" t="s">
        <v>192</v>
      </c>
      <c r="T66" t="s">
        <v>195</v>
      </c>
      <c r="U66" t="s">
        <v>4</v>
      </c>
      <c r="V66" t="s">
        <v>203</v>
      </c>
      <c r="W66" t="s">
        <v>451</v>
      </c>
      <c r="AB66" s="9">
        <v>43347</v>
      </c>
      <c r="AC66" t="s">
        <v>269</v>
      </c>
      <c r="AD66" t="s">
        <v>348</v>
      </c>
    </row>
    <row r="67" spans="1:30" ht="30.75" customHeight="1">
      <c r="A67">
        <f>Table4[[#This Row],[Column1]]</f>
        <v>0</v>
      </c>
      <c r="B67">
        <f>Table4[[#This Row],[Column2]]</f>
        <v>0</v>
      </c>
      <c r="C67" t="s">
        <v>4</v>
      </c>
      <c r="AB67" s="9">
        <v>43342</v>
      </c>
      <c r="AC67" t="s">
        <v>269</v>
      </c>
      <c r="AD67" t="s">
        <v>262</v>
      </c>
    </row>
    <row r="68" spans="1:30" ht="30.75" customHeight="1">
      <c r="A68">
        <f>Table4[[#This Row],[Column1]]</f>
        <v>0</v>
      </c>
      <c r="B68">
        <f>Table4[[#This Row],[Column2]]</f>
        <v>0</v>
      </c>
      <c r="C68" t="s">
        <v>3</v>
      </c>
      <c r="D68" t="s">
        <v>143</v>
      </c>
      <c r="E68" t="s">
        <v>162</v>
      </c>
      <c r="F68" t="s">
        <v>72</v>
      </c>
      <c r="G68" t="s">
        <v>160</v>
      </c>
      <c r="H68" t="s">
        <v>171</v>
      </c>
      <c r="I68" t="s">
        <v>25</v>
      </c>
      <c r="J68" t="s">
        <v>25</v>
      </c>
      <c r="K68" t="s">
        <v>160</v>
      </c>
      <c r="M68">
        <v>78</v>
      </c>
      <c r="N68">
        <v>81</v>
      </c>
      <c r="O68" t="s">
        <v>81</v>
      </c>
      <c r="P68" t="s">
        <v>160</v>
      </c>
      <c r="Q68" t="s">
        <v>160</v>
      </c>
      <c r="R68" t="s">
        <v>160</v>
      </c>
      <c r="S68" t="s">
        <v>160</v>
      </c>
      <c r="T68" t="s">
        <v>160</v>
      </c>
      <c r="U68" t="s">
        <v>4</v>
      </c>
      <c r="V68" t="s">
        <v>203</v>
      </c>
      <c r="W68" t="s">
        <v>459</v>
      </c>
      <c r="X68" s="9">
        <v>43350</v>
      </c>
      <c r="Y68" t="s">
        <v>4</v>
      </c>
      <c r="AB68" s="9">
        <v>43343</v>
      </c>
      <c r="AC68" t="s">
        <v>269</v>
      </c>
      <c r="AD68" t="s">
        <v>348</v>
      </c>
    </row>
    <row r="69" spans="1:30" ht="30.75" customHeight="1">
      <c r="A69">
        <f>Table4[[#This Row],[Column1]]</f>
        <v>0</v>
      </c>
      <c r="B69">
        <f>Table4[[#This Row],[Column2]]</f>
        <v>0</v>
      </c>
      <c r="C69" t="s">
        <v>4</v>
      </c>
      <c r="AB69" s="9">
        <v>43337</v>
      </c>
      <c r="AC69" t="s">
        <v>269</v>
      </c>
      <c r="AD69" t="s">
        <v>25</v>
      </c>
    </row>
    <row r="70" spans="1:30" ht="30.75" customHeight="1">
      <c r="A70">
        <f>Table4[[#This Row],[Column1]]</f>
        <v>0</v>
      </c>
      <c r="B70">
        <f>Table4[[#This Row],[Column2]]</f>
        <v>0</v>
      </c>
      <c r="C70" t="s">
        <v>4</v>
      </c>
      <c r="AB70" s="9">
        <v>43338</v>
      </c>
      <c r="AC70" s="9" t="s">
        <v>269</v>
      </c>
      <c r="AD70" t="s">
        <v>25</v>
      </c>
    </row>
    <row r="71" spans="1:30" ht="30.75" customHeight="1">
      <c r="A71">
        <f>Table4[[#This Row],[Column1]]</f>
        <v>0</v>
      </c>
      <c r="B71">
        <f>Table4[[#This Row],[Column2]]</f>
        <v>0</v>
      </c>
      <c r="C71" t="s">
        <v>4</v>
      </c>
      <c r="AB71" s="9">
        <v>43342</v>
      </c>
      <c r="AC71" t="s">
        <v>269</v>
      </c>
      <c r="AD71" t="s">
        <v>262</v>
      </c>
    </row>
    <row r="72" spans="1:30" ht="30.75" customHeight="1">
      <c r="A72">
        <f>Table4[[#This Row],[Column1]]</f>
        <v>0</v>
      </c>
      <c r="B72">
        <f>Table4[[#This Row],[Column2]]</f>
        <v>0</v>
      </c>
    </row>
    <row r="73" spans="1:30" ht="30.75" customHeight="1">
      <c r="A73">
        <f>Table4[[#This Row],[Column1]]</f>
        <v>0</v>
      </c>
      <c r="B73">
        <f>Table4[[#This Row],[Column2]]</f>
        <v>0</v>
      </c>
      <c r="C73" t="s">
        <v>3</v>
      </c>
      <c r="D73" t="s">
        <v>145</v>
      </c>
      <c r="E73" t="s">
        <v>160</v>
      </c>
      <c r="F73" t="s">
        <v>25</v>
      </c>
      <c r="G73" t="s">
        <v>160</v>
      </c>
      <c r="H73" t="s">
        <v>160</v>
      </c>
      <c r="I73" t="s">
        <v>25</v>
      </c>
      <c r="J73" t="s">
        <v>25</v>
      </c>
      <c r="K73" t="s">
        <v>160</v>
      </c>
      <c r="M73">
        <v>78</v>
      </c>
      <c r="N73">
        <v>120</v>
      </c>
      <c r="O73" t="s">
        <v>81</v>
      </c>
      <c r="P73" t="s">
        <v>470</v>
      </c>
      <c r="Q73" t="s">
        <v>160</v>
      </c>
      <c r="R73" t="s">
        <v>160</v>
      </c>
      <c r="S73" t="s">
        <v>160</v>
      </c>
      <c r="T73" t="s">
        <v>195</v>
      </c>
      <c r="U73" t="s">
        <v>3</v>
      </c>
      <c r="V73" t="s">
        <v>203</v>
      </c>
      <c r="W73" t="s">
        <v>469</v>
      </c>
      <c r="X73" s="9">
        <v>43355</v>
      </c>
      <c r="Y73" t="s">
        <v>4</v>
      </c>
      <c r="AB73" s="9">
        <v>43349</v>
      </c>
      <c r="AC73" t="s">
        <v>269</v>
      </c>
      <c r="AD73" t="s">
        <v>262</v>
      </c>
    </row>
    <row r="74" spans="1:30" ht="30.75" customHeight="1">
      <c r="A74">
        <f>Table4[[#This Row],[Column1]]</f>
        <v>0</v>
      </c>
      <c r="B74">
        <f>Table4[[#This Row],[Column2]]</f>
        <v>0</v>
      </c>
      <c r="C74" t="s">
        <v>3</v>
      </c>
      <c r="D74" t="s">
        <v>145</v>
      </c>
      <c r="E74" t="s">
        <v>160</v>
      </c>
      <c r="F74" t="s">
        <v>25</v>
      </c>
      <c r="G74" t="s">
        <v>160</v>
      </c>
      <c r="H74" t="s">
        <v>160</v>
      </c>
      <c r="I74" t="s">
        <v>25</v>
      </c>
      <c r="J74" t="s">
        <v>25</v>
      </c>
      <c r="K74" t="s">
        <v>160</v>
      </c>
      <c r="L74" s="21"/>
      <c r="M74">
        <v>85</v>
      </c>
      <c r="N74">
        <v>85</v>
      </c>
      <c r="O74" t="s">
        <v>81</v>
      </c>
      <c r="P74" t="s">
        <v>160</v>
      </c>
      <c r="Q74" t="s">
        <v>160</v>
      </c>
      <c r="R74" t="s">
        <v>160</v>
      </c>
      <c r="S74" t="s">
        <v>160</v>
      </c>
      <c r="T74" t="s">
        <v>160</v>
      </c>
      <c r="U74" t="s">
        <v>3</v>
      </c>
      <c r="V74" t="s">
        <v>203</v>
      </c>
      <c r="W74" t="s">
        <v>471</v>
      </c>
      <c r="X74" s="9">
        <v>43355</v>
      </c>
      <c r="Y74" t="s">
        <v>4</v>
      </c>
      <c r="AB74" s="9">
        <v>43348</v>
      </c>
      <c r="AC74" t="s">
        <v>269</v>
      </c>
      <c r="AD74" t="s">
        <v>262</v>
      </c>
    </row>
    <row r="75" spans="1:30" ht="30.75" customHeight="1">
      <c r="A75">
        <f>Table4[[#This Row],[Column1]]</f>
        <v>0</v>
      </c>
      <c r="B75">
        <f>Table4[[#This Row],[Column2]]</f>
        <v>0</v>
      </c>
      <c r="C75" t="s">
        <v>3</v>
      </c>
      <c r="D75" t="s">
        <v>145</v>
      </c>
      <c r="E75" t="s">
        <v>160</v>
      </c>
      <c r="F75" t="s">
        <v>25</v>
      </c>
      <c r="G75" t="s">
        <v>166</v>
      </c>
      <c r="H75" t="s">
        <v>171</v>
      </c>
      <c r="I75" t="s">
        <v>214</v>
      </c>
      <c r="J75" t="s">
        <v>25</v>
      </c>
      <c r="K75" t="s">
        <v>160</v>
      </c>
      <c r="M75">
        <v>69</v>
      </c>
      <c r="N75">
        <v>68</v>
      </c>
      <c r="O75" t="s">
        <v>81</v>
      </c>
      <c r="P75" t="s">
        <v>226</v>
      </c>
      <c r="Q75" t="s">
        <v>160</v>
      </c>
      <c r="R75" t="s">
        <v>160</v>
      </c>
      <c r="S75" t="s">
        <v>160</v>
      </c>
      <c r="T75" t="s">
        <v>160</v>
      </c>
      <c r="U75" t="s">
        <v>3</v>
      </c>
      <c r="V75" t="s">
        <v>203</v>
      </c>
      <c r="W75" t="s">
        <v>478</v>
      </c>
      <c r="X75" s="9">
        <v>43356</v>
      </c>
      <c r="Y75" t="s">
        <v>4</v>
      </c>
      <c r="AB75" s="9">
        <v>43350</v>
      </c>
      <c r="AC75" t="s">
        <v>269</v>
      </c>
      <c r="AD75" t="s">
        <v>25</v>
      </c>
    </row>
    <row r="76" spans="1:30" ht="30.75" customHeight="1">
      <c r="A76">
        <f>Table4[[#This Row],[Column1]]</f>
        <v>0</v>
      </c>
      <c r="B76">
        <f>Table4[[#This Row],[Column2]]</f>
        <v>0</v>
      </c>
      <c r="C76" t="s">
        <v>3</v>
      </c>
      <c r="D76" t="s">
        <v>144</v>
      </c>
      <c r="E76" t="s">
        <v>160</v>
      </c>
      <c r="F76" t="s">
        <v>25</v>
      </c>
      <c r="G76" t="s">
        <v>166</v>
      </c>
      <c r="H76" t="s">
        <v>160</v>
      </c>
      <c r="I76" t="s">
        <v>25</v>
      </c>
      <c r="J76" t="s">
        <v>25</v>
      </c>
      <c r="K76" t="s">
        <v>160</v>
      </c>
      <c r="M76">
        <v>92</v>
      </c>
      <c r="N76">
        <v>73</v>
      </c>
      <c r="O76" t="s">
        <v>81</v>
      </c>
      <c r="P76" t="s">
        <v>160</v>
      </c>
      <c r="Q76" t="s">
        <v>182</v>
      </c>
      <c r="R76" t="s">
        <v>160</v>
      </c>
      <c r="S76" t="s">
        <v>160</v>
      </c>
      <c r="T76" t="s">
        <v>160</v>
      </c>
      <c r="U76" t="s">
        <v>4</v>
      </c>
      <c r="V76" t="s">
        <v>203</v>
      </c>
      <c r="W76" t="s">
        <v>479</v>
      </c>
      <c r="X76" s="9">
        <v>43356</v>
      </c>
      <c r="Y76" t="s">
        <v>4</v>
      </c>
      <c r="AB76" s="9">
        <v>43354</v>
      </c>
      <c r="AC76" t="s">
        <v>269</v>
      </c>
      <c r="AD76" t="s">
        <v>262</v>
      </c>
    </row>
    <row r="77" spans="1:30" ht="30.75" customHeight="1">
      <c r="A77">
        <f>Table4[[#This Row],[Column1]]</f>
        <v>0</v>
      </c>
      <c r="B77">
        <f>Table4[[#This Row],[Column2]]</f>
        <v>0</v>
      </c>
      <c r="C77" t="s">
        <v>4</v>
      </c>
      <c r="AB77" s="9">
        <v>43344</v>
      </c>
      <c r="AC77" t="s">
        <v>269</v>
      </c>
      <c r="AD77" t="s">
        <v>25</v>
      </c>
    </row>
    <row r="78" spans="1:30" ht="30.75" customHeight="1">
      <c r="A78">
        <f>Table4[[#This Row],[Column1]]</f>
        <v>0</v>
      </c>
      <c r="B78">
        <f>Table4[[#This Row],[Column2]]</f>
        <v>0</v>
      </c>
    </row>
    <row r="79" spans="1:30" ht="30.75" customHeight="1">
      <c r="A79">
        <f>Table4[[#This Row],[Column1]]</f>
        <v>0</v>
      </c>
      <c r="B79">
        <f>Table4[[#This Row],[Column2]]</f>
        <v>0</v>
      </c>
      <c r="C79" t="s">
        <v>4</v>
      </c>
      <c r="AB79" s="9">
        <v>43348</v>
      </c>
      <c r="AC79" t="s">
        <v>269</v>
      </c>
      <c r="AD79" t="s">
        <v>348</v>
      </c>
    </row>
    <row r="80" spans="1:30" ht="30.75" customHeight="1">
      <c r="A80">
        <f>Table4[[#This Row],[Column1]]</f>
        <v>0</v>
      </c>
      <c r="B80">
        <f>Table4[[#This Row],[Column2]]</f>
        <v>0</v>
      </c>
      <c r="C80" t="s">
        <v>3</v>
      </c>
      <c r="D80" t="s">
        <v>145</v>
      </c>
      <c r="E80" t="s">
        <v>162</v>
      </c>
      <c r="F80" t="s">
        <v>71</v>
      </c>
      <c r="G80" t="s">
        <v>160</v>
      </c>
      <c r="H80" t="s">
        <v>160</v>
      </c>
      <c r="I80" t="s">
        <v>25</v>
      </c>
      <c r="J80" t="s">
        <v>25</v>
      </c>
      <c r="K80" t="s">
        <v>160</v>
      </c>
      <c r="M80">
        <v>85</v>
      </c>
      <c r="N80">
        <v>69</v>
      </c>
      <c r="O80" t="s">
        <v>81</v>
      </c>
      <c r="P80" t="s">
        <v>160</v>
      </c>
      <c r="Q80" t="s">
        <v>160</v>
      </c>
      <c r="R80" t="s">
        <v>219</v>
      </c>
      <c r="S80" t="s">
        <v>160</v>
      </c>
      <c r="T80" t="s">
        <v>160</v>
      </c>
      <c r="U80" t="s">
        <v>3</v>
      </c>
      <c r="V80" t="s">
        <v>415</v>
      </c>
      <c r="W80" t="s">
        <v>481</v>
      </c>
      <c r="X80" s="9">
        <v>43357</v>
      </c>
      <c r="Y80" t="s">
        <v>3</v>
      </c>
      <c r="AA80" t="s">
        <v>522</v>
      </c>
      <c r="AB80" s="9">
        <v>43363</v>
      </c>
      <c r="AC80" t="s">
        <v>269</v>
      </c>
      <c r="AD80" t="s">
        <v>348</v>
      </c>
    </row>
    <row r="81" spans="1:30" ht="30.75" customHeight="1">
      <c r="A81">
        <f>Table4[[#This Row],[Column1]]</f>
        <v>0</v>
      </c>
      <c r="B81">
        <f>Table4[[#This Row],[Column2]]</f>
        <v>0</v>
      </c>
      <c r="C81" t="s">
        <v>4</v>
      </c>
      <c r="AB81" s="9">
        <v>43345</v>
      </c>
      <c r="AC81" t="s">
        <v>269</v>
      </c>
      <c r="AD81" t="s">
        <v>348</v>
      </c>
    </row>
    <row r="82" spans="1:30" ht="30.75" customHeight="1">
      <c r="A82">
        <f>Table4[[#This Row],[Column1]]</f>
        <v>0</v>
      </c>
      <c r="B82">
        <f>Table4[[#This Row],[Column2]]</f>
        <v>0</v>
      </c>
      <c r="C82" t="s">
        <v>4</v>
      </c>
      <c r="X82" s="9"/>
      <c r="AB82" s="9">
        <v>43348</v>
      </c>
      <c r="AC82" t="s">
        <v>269</v>
      </c>
      <c r="AD82" t="s">
        <v>262</v>
      </c>
    </row>
    <row r="83" spans="1:30" ht="30.75" customHeight="1">
      <c r="A83">
        <f>Table4[[#This Row],[Column1]]</f>
        <v>0</v>
      </c>
      <c r="B83">
        <f>Table4[[#This Row],[Column2]]</f>
        <v>0</v>
      </c>
      <c r="C83" t="s">
        <v>3</v>
      </c>
      <c r="D83" t="s">
        <v>145</v>
      </c>
      <c r="E83" t="s">
        <v>160</v>
      </c>
      <c r="F83" t="s">
        <v>72</v>
      </c>
      <c r="G83" t="s">
        <v>160</v>
      </c>
      <c r="H83" t="s">
        <v>160</v>
      </c>
      <c r="I83" t="s">
        <v>25</v>
      </c>
      <c r="J83" t="s">
        <v>25</v>
      </c>
      <c r="K83" t="s">
        <v>160</v>
      </c>
      <c r="M83">
        <v>54</v>
      </c>
      <c r="N83">
        <v>61</v>
      </c>
      <c r="O83" t="s">
        <v>81</v>
      </c>
      <c r="P83" t="s">
        <v>226</v>
      </c>
      <c r="Q83" t="s">
        <v>160</v>
      </c>
      <c r="R83" t="s">
        <v>160</v>
      </c>
      <c r="S83" t="s">
        <v>160</v>
      </c>
      <c r="T83" t="s">
        <v>160</v>
      </c>
      <c r="U83" t="s">
        <v>3</v>
      </c>
      <c r="V83" t="s">
        <v>203</v>
      </c>
      <c r="W83" t="s">
        <v>493</v>
      </c>
      <c r="X83" s="9">
        <v>43357</v>
      </c>
      <c r="Y83" t="s">
        <v>3</v>
      </c>
      <c r="AA83" t="s">
        <v>523</v>
      </c>
      <c r="AB83" s="9">
        <v>43357</v>
      </c>
      <c r="AC83" t="s">
        <v>269</v>
      </c>
      <c r="AD83" t="s">
        <v>262</v>
      </c>
    </row>
    <row r="84" spans="1:30" ht="30.75" customHeight="1">
      <c r="A84">
        <f>Table4[[#This Row],[Column1]]</f>
        <v>0</v>
      </c>
      <c r="B84">
        <f>Table4[[#This Row],[Column2]]</f>
        <v>0</v>
      </c>
      <c r="C84" t="s">
        <v>4</v>
      </c>
      <c r="AB84" s="9">
        <v>43349</v>
      </c>
      <c r="AC84" t="s">
        <v>269</v>
      </c>
      <c r="AD84" t="s">
        <v>262</v>
      </c>
    </row>
    <row r="85" spans="1:30" ht="30.75" customHeight="1">
      <c r="A85">
        <f>Table4[[#This Row],[Column1]]</f>
        <v>0</v>
      </c>
      <c r="B85">
        <f>Table4[[#This Row],[Column2]]</f>
        <v>0</v>
      </c>
      <c r="C85" t="s">
        <v>4</v>
      </c>
      <c r="AB85" s="9">
        <v>43347</v>
      </c>
      <c r="AC85" t="s">
        <v>269</v>
      </c>
      <c r="AD85" t="s">
        <v>262</v>
      </c>
    </row>
    <row r="86" spans="1:30" ht="30.75" customHeight="1">
      <c r="A86">
        <f>Table4[[#This Row],[Column1]]</f>
        <v>0</v>
      </c>
      <c r="B86">
        <f>Table4[[#This Row],[Column2]]</f>
        <v>0</v>
      </c>
      <c r="C86" t="s">
        <v>3</v>
      </c>
      <c r="D86" t="s">
        <v>144</v>
      </c>
      <c r="E86" t="s">
        <v>160</v>
      </c>
      <c r="F86" t="s">
        <v>25</v>
      </c>
      <c r="G86" t="s">
        <v>160</v>
      </c>
      <c r="H86" t="s">
        <v>160</v>
      </c>
      <c r="I86" t="s">
        <v>25</v>
      </c>
      <c r="J86" t="s">
        <v>25</v>
      </c>
      <c r="K86" t="s">
        <v>160</v>
      </c>
      <c r="M86">
        <v>58</v>
      </c>
      <c r="N86">
        <v>64</v>
      </c>
      <c r="O86" t="s">
        <v>81</v>
      </c>
      <c r="P86" t="s">
        <v>226</v>
      </c>
      <c r="Q86" t="s">
        <v>160</v>
      </c>
      <c r="R86" t="s">
        <v>160</v>
      </c>
      <c r="S86" t="s">
        <v>160</v>
      </c>
      <c r="T86" t="s">
        <v>160</v>
      </c>
      <c r="U86" t="s">
        <v>4</v>
      </c>
      <c r="V86" t="s">
        <v>361</v>
      </c>
      <c r="W86" t="s">
        <v>531</v>
      </c>
      <c r="X86" s="9">
        <v>43361</v>
      </c>
      <c r="Y86" t="s">
        <v>4</v>
      </c>
      <c r="AB86" s="9">
        <v>43354</v>
      </c>
      <c r="AC86" t="s">
        <v>269</v>
      </c>
      <c r="AD86" t="s">
        <v>262</v>
      </c>
    </row>
    <row r="87" spans="1:30" ht="30.75" customHeight="1">
      <c r="A87">
        <f>Table4[[#This Row],[Column1]]</f>
        <v>0</v>
      </c>
      <c r="B87">
        <f>Table4[[#This Row],[Column2]]</f>
        <v>0</v>
      </c>
      <c r="C87" t="s">
        <v>4</v>
      </c>
      <c r="AB87" s="9">
        <v>43351</v>
      </c>
      <c r="AC87" t="s">
        <v>269</v>
      </c>
      <c r="AD87" t="s">
        <v>25</v>
      </c>
    </row>
    <row r="88" spans="1:30" ht="30.75" customHeight="1">
      <c r="A88">
        <f>Table4[[#This Row],[Column1]]</f>
        <v>0</v>
      </c>
      <c r="B88">
        <f>Table4[[#This Row],[Column2]]</f>
        <v>0</v>
      </c>
      <c r="C88" t="s">
        <v>4</v>
      </c>
      <c r="AB88" s="9">
        <v>43350</v>
      </c>
      <c r="AC88" t="s">
        <v>269</v>
      </c>
      <c r="AD88" t="s">
        <v>262</v>
      </c>
    </row>
    <row r="89" spans="1:30" ht="30.75" customHeight="1">
      <c r="A89">
        <f>Table4[[#This Row],[Column1]]</f>
        <v>0</v>
      </c>
      <c r="B89">
        <f>Table4[[#This Row],[Column2]]</f>
        <v>0</v>
      </c>
      <c r="C89" t="s">
        <v>3</v>
      </c>
      <c r="D89" t="s">
        <v>145</v>
      </c>
      <c r="E89" t="s">
        <v>160</v>
      </c>
      <c r="F89" t="s">
        <v>25</v>
      </c>
      <c r="G89" t="s">
        <v>160</v>
      </c>
      <c r="H89" t="s">
        <v>160</v>
      </c>
      <c r="I89" t="s">
        <v>25</v>
      </c>
      <c r="J89" t="s">
        <v>25</v>
      </c>
      <c r="K89" t="s">
        <v>160</v>
      </c>
      <c r="M89">
        <v>51</v>
      </c>
      <c r="N89">
        <v>51</v>
      </c>
      <c r="O89" t="s">
        <v>81</v>
      </c>
      <c r="P89" t="s">
        <v>160</v>
      </c>
      <c r="Q89" t="s">
        <v>160</v>
      </c>
      <c r="R89" t="s">
        <v>160</v>
      </c>
      <c r="S89" t="s">
        <v>160</v>
      </c>
      <c r="T89" t="s">
        <v>160</v>
      </c>
      <c r="U89" t="s">
        <v>3</v>
      </c>
      <c r="V89" t="s">
        <v>202</v>
      </c>
      <c r="W89" t="s">
        <v>506</v>
      </c>
      <c r="X89" s="9">
        <v>43362</v>
      </c>
      <c r="Y89" t="s">
        <v>4</v>
      </c>
      <c r="AB89" s="9">
        <v>43357</v>
      </c>
      <c r="AC89" t="s">
        <v>269</v>
      </c>
      <c r="AD89" t="s">
        <v>25</v>
      </c>
    </row>
    <row r="90" spans="1:30" ht="30.75" customHeight="1">
      <c r="A90">
        <f>Table4[[#This Row],[Column1]]</f>
        <v>0</v>
      </c>
      <c r="B90">
        <f>Table4[[#This Row],[Column2]]</f>
        <v>0</v>
      </c>
      <c r="C90" t="s">
        <v>3</v>
      </c>
      <c r="D90" t="s">
        <v>143</v>
      </c>
      <c r="E90" t="s">
        <v>162</v>
      </c>
      <c r="F90" t="s">
        <v>25</v>
      </c>
      <c r="G90" t="s">
        <v>166</v>
      </c>
      <c r="H90" t="s">
        <v>160</v>
      </c>
      <c r="I90" t="s">
        <v>25</v>
      </c>
      <c r="J90" t="s">
        <v>25</v>
      </c>
      <c r="K90" t="s">
        <v>160</v>
      </c>
      <c r="M90">
        <v>75</v>
      </c>
      <c r="N90">
        <v>96</v>
      </c>
      <c r="O90" t="s">
        <v>81</v>
      </c>
      <c r="P90" t="s">
        <v>160</v>
      </c>
      <c r="Q90" t="s">
        <v>160</v>
      </c>
      <c r="R90" t="s">
        <v>160</v>
      </c>
      <c r="S90" t="s">
        <v>160</v>
      </c>
      <c r="T90" t="s">
        <v>160</v>
      </c>
      <c r="U90" t="s">
        <v>4</v>
      </c>
      <c r="V90" t="s">
        <v>203</v>
      </c>
      <c r="W90" t="s">
        <v>511</v>
      </c>
      <c r="X90" s="9">
        <v>43363</v>
      </c>
      <c r="Y90" t="s">
        <v>3</v>
      </c>
      <c r="AA90" t="s">
        <v>542</v>
      </c>
      <c r="AB90" s="9">
        <v>43376</v>
      </c>
      <c r="AC90" t="s">
        <v>269</v>
      </c>
      <c r="AD90" t="s">
        <v>603</v>
      </c>
    </row>
    <row r="91" spans="1:30" ht="30.75" customHeight="1">
      <c r="A91">
        <f>Table4[[#This Row],[Column1]]</f>
        <v>0</v>
      </c>
      <c r="B91">
        <f>Table4[[#This Row],[Column2]]</f>
        <v>0</v>
      </c>
      <c r="C91" t="s">
        <v>4</v>
      </c>
      <c r="AB91" s="9">
        <v>43352</v>
      </c>
      <c r="AC91" t="s">
        <v>269</v>
      </c>
      <c r="AD91" t="s">
        <v>25</v>
      </c>
    </row>
    <row r="92" spans="1:30" ht="30.75" customHeight="1">
      <c r="A92">
        <f>Table4[[#This Row],[Column1]]</f>
        <v>0</v>
      </c>
      <c r="B92">
        <f>Table4[[#This Row],[Column2]]</f>
        <v>0</v>
      </c>
      <c r="C92" t="s">
        <v>4</v>
      </c>
      <c r="AB92" s="9">
        <v>43352</v>
      </c>
      <c r="AC92" t="s">
        <v>269</v>
      </c>
      <c r="AD92" t="s">
        <v>262</v>
      </c>
    </row>
    <row r="93" spans="1:30" ht="30.75" customHeight="1">
      <c r="A93">
        <f>Table4[[#This Row],[Column1]]</f>
        <v>0</v>
      </c>
      <c r="B93">
        <f>Table4[[#This Row],[Column2]]</f>
        <v>0</v>
      </c>
      <c r="C93" t="s">
        <v>4</v>
      </c>
      <c r="AB93" s="9">
        <v>43354</v>
      </c>
      <c r="AC93" t="s">
        <v>269</v>
      </c>
      <c r="AD93" t="s">
        <v>25</v>
      </c>
    </row>
    <row r="94" spans="1:30" ht="30.75" customHeight="1">
      <c r="A94">
        <f>Table4[[#This Row],[Column1]]</f>
        <v>0</v>
      </c>
      <c r="B94">
        <f>Table4[[#This Row],[Column2]]</f>
        <v>0</v>
      </c>
      <c r="C94" t="s">
        <v>4</v>
      </c>
      <c r="AB94" s="9">
        <v>43352</v>
      </c>
      <c r="AC94" t="s">
        <v>269</v>
      </c>
      <c r="AD94" t="s">
        <v>25</v>
      </c>
    </row>
    <row r="95" spans="1:30" ht="30.75" customHeight="1">
      <c r="A95">
        <f>Table4[[#This Row],[Column1]]</f>
        <v>0</v>
      </c>
      <c r="B95">
        <f>Table4[[#This Row],[Column2]]</f>
        <v>0</v>
      </c>
      <c r="C95" t="s">
        <v>4</v>
      </c>
      <c r="AB95" s="9">
        <v>43355</v>
      </c>
      <c r="AC95" t="s">
        <v>269</v>
      </c>
      <c r="AD95" t="s">
        <v>262</v>
      </c>
    </row>
    <row r="96" spans="1:30" ht="30.75" customHeight="1">
      <c r="A96">
        <f>Table4[[#This Row],[Column1]]</f>
        <v>0</v>
      </c>
      <c r="B96">
        <f>Table4[[#This Row],[Column2]]</f>
        <v>0</v>
      </c>
      <c r="C96" t="s">
        <v>3</v>
      </c>
      <c r="D96" t="s">
        <v>145</v>
      </c>
      <c r="E96" t="s">
        <v>160</v>
      </c>
      <c r="F96" t="s">
        <v>25</v>
      </c>
      <c r="G96" t="s">
        <v>160</v>
      </c>
      <c r="H96" t="s">
        <v>160</v>
      </c>
      <c r="I96" t="s">
        <v>25</v>
      </c>
      <c r="J96" t="s">
        <v>25</v>
      </c>
      <c r="K96" t="s">
        <v>160</v>
      </c>
      <c r="M96">
        <v>63</v>
      </c>
      <c r="N96">
        <v>64</v>
      </c>
      <c r="O96" t="s">
        <v>81</v>
      </c>
      <c r="P96" t="s">
        <v>226</v>
      </c>
      <c r="Q96" t="s">
        <v>160</v>
      </c>
      <c r="R96" t="s">
        <v>160</v>
      </c>
      <c r="S96" t="s">
        <v>160</v>
      </c>
      <c r="T96" t="s">
        <v>160</v>
      </c>
      <c r="U96" t="s">
        <v>4</v>
      </c>
      <c r="V96" t="s">
        <v>203</v>
      </c>
      <c r="W96" t="s">
        <v>520</v>
      </c>
      <c r="X96" s="9">
        <v>43365</v>
      </c>
      <c r="Y96" t="s">
        <v>3</v>
      </c>
      <c r="AA96" t="s">
        <v>544</v>
      </c>
      <c r="AB96" s="9">
        <v>43402</v>
      </c>
      <c r="AC96" t="s">
        <v>269</v>
      </c>
      <c r="AD96" t="s">
        <v>348</v>
      </c>
    </row>
    <row r="97" spans="1:30" ht="30.75" customHeight="1">
      <c r="A97">
        <f>Table4[[#This Row],[Column1]]</f>
        <v>0</v>
      </c>
      <c r="B97">
        <f>Table4[[#This Row],[Column2]]</f>
        <v>0</v>
      </c>
      <c r="C97" t="s">
        <v>3</v>
      </c>
      <c r="D97" t="s">
        <v>143</v>
      </c>
      <c r="E97" t="s">
        <v>160</v>
      </c>
      <c r="F97" t="s">
        <v>25</v>
      </c>
      <c r="G97" t="s">
        <v>167</v>
      </c>
      <c r="H97" t="s">
        <v>160</v>
      </c>
      <c r="I97" t="s">
        <v>25</v>
      </c>
      <c r="J97" t="s">
        <v>25</v>
      </c>
      <c r="K97" t="s">
        <v>160</v>
      </c>
      <c r="M97">
        <v>82</v>
      </c>
      <c r="N97">
        <v>104</v>
      </c>
      <c r="O97" t="s">
        <v>81</v>
      </c>
      <c r="P97" t="s">
        <v>160</v>
      </c>
      <c r="Q97" t="s">
        <v>160</v>
      </c>
      <c r="R97" t="s">
        <v>160</v>
      </c>
      <c r="S97" t="s">
        <v>160</v>
      </c>
      <c r="T97" t="s">
        <v>160</v>
      </c>
      <c r="U97" t="s">
        <v>3</v>
      </c>
      <c r="V97" t="s">
        <v>203</v>
      </c>
      <c r="W97" t="s">
        <v>521</v>
      </c>
      <c r="X97" s="9">
        <v>43364</v>
      </c>
      <c r="Y97" t="s">
        <v>4</v>
      </c>
      <c r="AB97" s="9">
        <v>43361</v>
      </c>
      <c r="AC97" t="s">
        <v>269</v>
      </c>
      <c r="AD97" t="s">
        <v>25</v>
      </c>
    </row>
    <row r="98" spans="1:30" ht="30.75" customHeight="1">
      <c r="A98">
        <f>Table4[[#This Row],[Column1]]</f>
        <v>0</v>
      </c>
      <c r="B98">
        <f>Table4[[#This Row],[Column2]]</f>
        <v>0</v>
      </c>
    </row>
    <row r="99" spans="1:30" ht="30.75" customHeight="1">
      <c r="A99">
        <f>Table4[[#This Row],[Column1]]</f>
        <v>0</v>
      </c>
      <c r="B99">
        <f>Table4[[#This Row],[Column2]]</f>
        <v>0</v>
      </c>
      <c r="C99" t="s">
        <v>3</v>
      </c>
      <c r="D99" t="s">
        <v>145</v>
      </c>
      <c r="E99" t="s">
        <v>160</v>
      </c>
      <c r="F99" t="s">
        <v>25</v>
      </c>
      <c r="G99" t="s">
        <v>166</v>
      </c>
      <c r="H99" t="s">
        <v>160</v>
      </c>
      <c r="I99" t="s">
        <v>25</v>
      </c>
      <c r="J99" t="s">
        <v>76</v>
      </c>
      <c r="K99" t="s">
        <v>180</v>
      </c>
      <c r="M99">
        <v>52</v>
      </c>
      <c r="N99">
        <v>52</v>
      </c>
      <c r="O99" t="s">
        <v>81</v>
      </c>
      <c r="P99" t="s">
        <v>226</v>
      </c>
      <c r="Q99" t="s">
        <v>160</v>
      </c>
      <c r="R99" t="s">
        <v>219</v>
      </c>
      <c r="S99" t="s">
        <v>160</v>
      </c>
      <c r="T99" t="s">
        <v>195</v>
      </c>
      <c r="U99" t="s">
        <v>3</v>
      </c>
      <c r="V99" t="s">
        <v>203</v>
      </c>
      <c r="W99" t="s">
        <v>524</v>
      </c>
      <c r="X99" s="9">
        <v>43368</v>
      </c>
      <c r="Y99" t="s">
        <v>3</v>
      </c>
      <c r="Z99" t="s">
        <v>145</v>
      </c>
      <c r="AA99" t="s">
        <v>558</v>
      </c>
      <c r="AB99" s="9">
        <v>43386</v>
      </c>
      <c r="AC99" t="s">
        <v>269</v>
      </c>
      <c r="AD99" t="s">
        <v>651</v>
      </c>
    </row>
    <row r="100" spans="1:30" ht="30.75" customHeight="1">
      <c r="A100">
        <f>Table4[[#This Row],[Column1]]</f>
        <v>0</v>
      </c>
      <c r="B100">
        <f>Table4[[#This Row],[Column2]]</f>
        <v>0</v>
      </c>
      <c r="C100" t="s">
        <v>3</v>
      </c>
      <c r="D100" t="s">
        <v>143</v>
      </c>
      <c r="E100" t="s">
        <v>160</v>
      </c>
      <c r="F100" t="s">
        <v>25</v>
      </c>
      <c r="G100" t="s">
        <v>166</v>
      </c>
      <c r="H100" t="s">
        <v>160</v>
      </c>
      <c r="I100" t="s">
        <v>25</v>
      </c>
      <c r="J100" t="s">
        <v>25</v>
      </c>
      <c r="K100" t="s">
        <v>160</v>
      </c>
      <c r="M100">
        <v>136</v>
      </c>
      <c r="N100">
        <v>130</v>
      </c>
      <c r="O100" t="s">
        <v>81</v>
      </c>
      <c r="P100" t="s">
        <v>160</v>
      </c>
      <c r="Q100" t="s">
        <v>160</v>
      </c>
      <c r="R100" t="s">
        <v>160</v>
      </c>
      <c r="S100" t="s">
        <v>160</v>
      </c>
      <c r="T100" t="s">
        <v>160</v>
      </c>
      <c r="U100" t="s">
        <v>3</v>
      </c>
      <c r="V100" t="s">
        <v>203</v>
      </c>
      <c r="W100" t="s">
        <v>525</v>
      </c>
      <c r="X100" s="9">
        <v>43368</v>
      </c>
      <c r="Y100" t="s">
        <v>3</v>
      </c>
      <c r="AA100" t="s">
        <v>556</v>
      </c>
      <c r="AB100" s="9">
        <v>43372</v>
      </c>
      <c r="AC100" t="s">
        <v>269</v>
      </c>
      <c r="AD100" t="s">
        <v>348</v>
      </c>
    </row>
    <row r="101" spans="1:30" ht="30.75" customHeight="1">
      <c r="A101">
        <f>Table4[[#This Row],[Column1]]</f>
        <v>0</v>
      </c>
      <c r="B101">
        <f>Table4[[#This Row],[Column2]]</f>
        <v>0</v>
      </c>
      <c r="C101" t="s">
        <v>4</v>
      </c>
      <c r="AB101" s="9">
        <v>43358</v>
      </c>
      <c r="AC101" t="s">
        <v>269</v>
      </c>
      <c r="AD101" t="s">
        <v>262</v>
      </c>
    </row>
    <row r="102" spans="1:30" ht="30.75" customHeight="1">
      <c r="A102">
        <f>Table4[[#This Row],[Column1]]</f>
        <v>0</v>
      </c>
      <c r="B102">
        <f>Table4[[#This Row],[Column2]]</f>
        <v>0</v>
      </c>
      <c r="C102" t="s">
        <v>3</v>
      </c>
      <c r="D102" t="s">
        <v>145</v>
      </c>
      <c r="E102" t="s">
        <v>529</v>
      </c>
      <c r="F102" t="s">
        <v>165</v>
      </c>
      <c r="G102" t="s">
        <v>160</v>
      </c>
      <c r="H102" t="s">
        <v>160</v>
      </c>
      <c r="I102" t="s">
        <v>25</v>
      </c>
      <c r="J102" t="s">
        <v>25</v>
      </c>
      <c r="K102" t="s">
        <v>160</v>
      </c>
      <c r="M102">
        <v>77</v>
      </c>
      <c r="N102">
        <v>72</v>
      </c>
      <c r="O102" t="s">
        <v>81</v>
      </c>
      <c r="P102" t="s">
        <v>160</v>
      </c>
      <c r="Q102" t="s">
        <v>160</v>
      </c>
      <c r="R102" t="s">
        <v>160</v>
      </c>
      <c r="S102" t="s">
        <v>160</v>
      </c>
      <c r="T102" t="s">
        <v>160</v>
      </c>
      <c r="U102" t="s">
        <v>4</v>
      </c>
      <c r="V102" t="s">
        <v>361</v>
      </c>
      <c r="W102" t="s">
        <v>530</v>
      </c>
      <c r="X102" s="9">
        <v>43368</v>
      </c>
      <c r="Y102" t="s">
        <v>3</v>
      </c>
      <c r="Z102" t="s">
        <v>144</v>
      </c>
      <c r="AA102" t="s">
        <v>559</v>
      </c>
      <c r="AB102" s="9">
        <v>43399</v>
      </c>
      <c r="AC102" t="s">
        <v>601</v>
      </c>
      <c r="AD102" t="s">
        <v>348</v>
      </c>
    </row>
    <row r="103" spans="1:30" ht="30.75" customHeight="1">
      <c r="A103">
        <f>Table4[[#This Row],[Column1]]</f>
        <v>0</v>
      </c>
      <c r="B103">
        <f>Table4[[#This Row],[Column2]]</f>
        <v>0</v>
      </c>
      <c r="C103" t="s">
        <v>3</v>
      </c>
      <c r="D103" t="s">
        <v>143</v>
      </c>
      <c r="E103" t="s">
        <v>160</v>
      </c>
      <c r="F103" t="s">
        <v>25</v>
      </c>
      <c r="G103" t="s">
        <v>270</v>
      </c>
      <c r="H103" t="s">
        <v>160</v>
      </c>
      <c r="I103" t="s">
        <v>25</v>
      </c>
      <c r="J103" t="s">
        <v>25</v>
      </c>
      <c r="K103" t="s">
        <v>160</v>
      </c>
      <c r="M103">
        <v>46</v>
      </c>
      <c r="N103">
        <v>55</v>
      </c>
      <c r="O103" t="s">
        <v>81</v>
      </c>
      <c r="P103" t="s">
        <v>160</v>
      </c>
      <c r="Q103" t="s">
        <v>160</v>
      </c>
      <c r="R103" t="s">
        <v>160</v>
      </c>
      <c r="S103" t="s">
        <v>160</v>
      </c>
      <c r="T103" t="s">
        <v>160</v>
      </c>
      <c r="U103" t="s">
        <v>3</v>
      </c>
      <c r="V103" t="s">
        <v>203</v>
      </c>
      <c r="W103" t="s">
        <v>534</v>
      </c>
      <c r="X103" s="9">
        <v>43369</v>
      </c>
      <c r="Y103" t="s">
        <v>4</v>
      </c>
      <c r="AB103" s="9">
        <v>43363</v>
      </c>
      <c r="AC103" t="s">
        <v>269</v>
      </c>
      <c r="AD103" t="s">
        <v>262</v>
      </c>
    </row>
    <row r="104" spans="1:30" ht="30.75" customHeight="1">
      <c r="A104">
        <f>Table4[[#This Row],[Column1]]</f>
        <v>0</v>
      </c>
      <c r="B104">
        <f>Table4[[#This Row],[Column2]]</f>
        <v>0</v>
      </c>
      <c r="C104" t="s">
        <v>3</v>
      </c>
      <c r="D104" t="s">
        <v>144</v>
      </c>
      <c r="E104" t="s">
        <v>160</v>
      </c>
      <c r="F104" t="s">
        <v>25</v>
      </c>
      <c r="G104" t="s">
        <v>160</v>
      </c>
      <c r="H104" t="s">
        <v>160</v>
      </c>
      <c r="I104" t="s">
        <v>25</v>
      </c>
      <c r="J104" t="s">
        <v>25</v>
      </c>
      <c r="K104" t="s">
        <v>160</v>
      </c>
      <c r="M104">
        <v>67</v>
      </c>
      <c r="N104">
        <v>70</v>
      </c>
      <c r="O104" t="s">
        <v>81</v>
      </c>
      <c r="P104" t="s">
        <v>160</v>
      </c>
      <c r="Q104" t="s">
        <v>160</v>
      </c>
      <c r="R104" t="s">
        <v>160</v>
      </c>
      <c r="S104" t="s">
        <v>160</v>
      </c>
      <c r="T104" t="s">
        <v>160</v>
      </c>
      <c r="U104" t="s">
        <v>3</v>
      </c>
      <c r="V104" t="s">
        <v>203</v>
      </c>
      <c r="W104" t="s">
        <v>535</v>
      </c>
      <c r="X104" s="9">
        <v>43369</v>
      </c>
      <c r="Y104" t="s">
        <v>4</v>
      </c>
      <c r="AB104" s="9">
        <v>43362</v>
      </c>
      <c r="AC104" t="s">
        <v>269</v>
      </c>
      <c r="AD104" t="s">
        <v>25</v>
      </c>
    </row>
    <row r="105" spans="1:30" ht="30.75" customHeight="1">
      <c r="A105">
        <f>Table4[[#This Row],[Column1]]</f>
        <v>0</v>
      </c>
      <c r="B105">
        <f>Table4[[#This Row],[Column2]]</f>
        <v>0</v>
      </c>
      <c r="C105" t="s">
        <v>3</v>
      </c>
      <c r="D105" t="s">
        <v>145</v>
      </c>
      <c r="E105" t="s">
        <v>529</v>
      </c>
      <c r="F105" t="s">
        <v>165</v>
      </c>
      <c r="G105" t="s">
        <v>270</v>
      </c>
      <c r="H105" t="s">
        <v>160</v>
      </c>
      <c r="I105" t="s">
        <v>25</v>
      </c>
      <c r="J105" t="s">
        <v>25</v>
      </c>
      <c r="K105" t="s">
        <v>160</v>
      </c>
      <c r="L105" t="s">
        <v>539</v>
      </c>
      <c r="M105">
        <v>52</v>
      </c>
      <c r="N105">
        <v>53</v>
      </c>
      <c r="O105" t="s">
        <v>81</v>
      </c>
      <c r="P105" t="s">
        <v>226</v>
      </c>
      <c r="Q105" t="s">
        <v>160</v>
      </c>
      <c r="R105" t="s">
        <v>160</v>
      </c>
      <c r="S105" t="s">
        <v>160</v>
      </c>
      <c r="T105" t="s">
        <v>195</v>
      </c>
      <c r="U105" t="s">
        <v>3</v>
      </c>
      <c r="V105" t="s">
        <v>203</v>
      </c>
      <c r="W105" t="s">
        <v>540</v>
      </c>
      <c r="X105" s="9">
        <v>43370</v>
      </c>
      <c r="Y105" t="s">
        <v>3</v>
      </c>
      <c r="Z105" t="s">
        <v>143</v>
      </c>
      <c r="AA105" t="s">
        <v>571</v>
      </c>
      <c r="AB105" s="9">
        <v>43385</v>
      </c>
      <c r="AC105" t="s">
        <v>269</v>
      </c>
      <c r="AD105" t="s">
        <v>348</v>
      </c>
    </row>
    <row r="106" spans="1:30" ht="30.75" customHeight="1">
      <c r="A106">
        <f>Table4[[#This Row],[Column1]]</f>
        <v>0</v>
      </c>
      <c r="B106">
        <f>Table4[[#This Row],[Column2]]</f>
        <v>0</v>
      </c>
      <c r="C106" t="s">
        <v>4</v>
      </c>
      <c r="AB106" s="9">
        <v>43360</v>
      </c>
      <c r="AC106" t="s">
        <v>269</v>
      </c>
      <c r="AD106" t="s">
        <v>25</v>
      </c>
    </row>
    <row r="107" spans="1:30" ht="30.75" customHeight="1">
      <c r="A107">
        <f>Table4[[#This Row],[Column1]]</f>
        <v>0</v>
      </c>
      <c r="B107">
        <f>Table4[[#This Row],[Column2]]</f>
        <v>0</v>
      </c>
      <c r="C107" t="s">
        <v>4</v>
      </c>
      <c r="AB107" s="9">
        <v>43361</v>
      </c>
      <c r="AC107" t="s">
        <v>269</v>
      </c>
      <c r="AD107" t="s">
        <v>25</v>
      </c>
    </row>
    <row r="108" spans="1:30" ht="30.75" customHeight="1">
      <c r="A108">
        <f>Table4[[#This Row],[Column1]]</f>
        <v>0</v>
      </c>
      <c r="B108">
        <f>Table4[[#This Row],[Column2]]</f>
        <v>0</v>
      </c>
      <c r="C108" t="s">
        <v>4</v>
      </c>
      <c r="AB108" s="9">
        <v>43361</v>
      </c>
      <c r="AC108" t="s">
        <v>269</v>
      </c>
      <c r="AD108" t="s">
        <v>25</v>
      </c>
    </row>
    <row r="109" spans="1:30" ht="30.75" customHeight="1">
      <c r="A109">
        <f>Table4[[#This Row],[Column1]]</f>
        <v>0</v>
      </c>
      <c r="B109">
        <f>Table4[[#This Row],[Column2]]</f>
        <v>0</v>
      </c>
      <c r="C109" t="s">
        <v>4</v>
      </c>
      <c r="AB109" s="9">
        <v>43358</v>
      </c>
      <c r="AC109" t="s">
        <v>269</v>
      </c>
      <c r="AD109" t="s">
        <v>262</v>
      </c>
    </row>
    <row r="110" spans="1:30" ht="30.75" customHeight="1">
      <c r="A110">
        <f>Table4[[#This Row],[Column1]]</f>
        <v>0</v>
      </c>
      <c r="B110">
        <f>Table4[[#This Row],[Column2]]</f>
        <v>0</v>
      </c>
      <c r="C110" t="s">
        <v>4</v>
      </c>
      <c r="AB110" s="9">
        <v>43373</v>
      </c>
      <c r="AC110" t="s">
        <v>269</v>
      </c>
      <c r="AD110" t="s">
        <v>262</v>
      </c>
    </row>
    <row r="111" spans="1:30" ht="30.75" customHeight="1">
      <c r="A111">
        <f>Table4[[#This Row],[Column1]]</f>
        <v>0</v>
      </c>
      <c r="B111">
        <f>Table4[[#This Row],[Column2]]</f>
        <v>0</v>
      </c>
      <c r="C111" t="s">
        <v>4</v>
      </c>
      <c r="AB111" s="9">
        <v>43371</v>
      </c>
      <c r="AC111" t="s">
        <v>269</v>
      </c>
      <c r="AD111" t="s">
        <v>25</v>
      </c>
    </row>
    <row r="112" spans="1:30" ht="30.75" customHeight="1">
      <c r="A112">
        <f>Table4[[#This Row],[Column1]]</f>
        <v>0</v>
      </c>
      <c r="B112">
        <f>Table4[[#This Row],[Column2]]</f>
        <v>0</v>
      </c>
      <c r="C112" t="s">
        <v>4</v>
      </c>
      <c r="W112" t="s">
        <v>543</v>
      </c>
      <c r="AB112" s="9">
        <v>43362</v>
      </c>
      <c r="AC112" t="s">
        <v>269</v>
      </c>
      <c r="AD112" t="s">
        <v>262</v>
      </c>
    </row>
    <row r="113" spans="1:30" ht="30.75" customHeight="1">
      <c r="A113">
        <f>Table4[[#This Row],[Column1]]</f>
        <v>0</v>
      </c>
      <c r="B113">
        <f>Table4[[#This Row],[Column2]]</f>
        <v>0</v>
      </c>
      <c r="C113" t="s">
        <v>3</v>
      </c>
      <c r="D113" t="s">
        <v>143</v>
      </c>
      <c r="E113" t="s">
        <v>160</v>
      </c>
      <c r="F113" t="s">
        <v>25</v>
      </c>
      <c r="G113" t="s">
        <v>160</v>
      </c>
      <c r="H113" t="s">
        <v>160</v>
      </c>
      <c r="I113" t="s">
        <v>25</v>
      </c>
      <c r="J113" t="s">
        <v>25</v>
      </c>
      <c r="K113" t="s">
        <v>160</v>
      </c>
      <c r="M113">
        <v>64</v>
      </c>
      <c r="N113">
        <v>61</v>
      </c>
      <c r="O113" t="s">
        <v>81</v>
      </c>
      <c r="P113" t="s">
        <v>160</v>
      </c>
      <c r="Q113" t="s">
        <v>160</v>
      </c>
      <c r="R113" t="s">
        <v>160</v>
      </c>
      <c r="S113" t="s">
        <v>160</v>
      </c>
      <c r="T113" t="s">
        <v>160</v>
      </c>
      <c r="U113" t="s">
        <v>3</v>
      </c>
      <c r="V113" t="s">
        <v>203</v>
      </c>
      <c r="W113" t="s">
        <v>553</v>
      </c>
      <c r="X113" s="9">
        <v>43375</v>
      </c>
      <c r="Y113" t="s">
        <v>3</v>
      </c>
      <c r="Z113" t="s">
        <v>143</v>
      </c>
      <c r="AA113" t="s">
        <v>585</v>
      </c>
      <c r="AB113" s="9">
        <v>43381</v>
      </c>
      <c r="AC113" t="s">
        <v>269</v>
      </c>
      <c r="AD113" t="s">
        <v>25</v>
      </c>
    </row>
    <row r="114" spans="1:30" ht="30.75" customHeight="1">
      <c r="A114">
        <f>Table4[[#This Row],[Column1]]</f>
        <v>0</v>
      </c>
      <c r="B114">
        <f>Table4[[#This Row],[Column2]]</f>
        <v>0</v>
      </c>
      <c r="C114" t="s">
        <v>3</v>
      </c>
      <c r="D114" t="s">
        <v>143</v>
      </c>
      <c r="E114" t="s">
        <v>160</v>
      </c>
      <c r="F114" t="s">
        <v>25</v>
      </c>
      <c r="G114" t="s">
        <v>166</v>
      </c>
      <c r="H114" t="s">
        <v>160</v>
      </c>
      <c r="I114" t="s">
        <v>25</v>
      </c>
      <c r="J114" t="s">
        <v>25</v>
      </c>
      <c r="K114" t="s">
        <v>160</v>
      </c>
      <c r="M114">
        <v>52</v>
      </c>
      <c r="N114">
        <v>58</v>
      </c>
      <c r="O114" t="s">
        <v>81</v>
      </c>
      <c r="P114" t="s">
        <v>160</v>
      </c>
      <c r="Q114" t="s">
        <v>160</v>
      </c>
      <c r="R114" t="s">
        <v>160</v>
      </c>
      <c r="S114" t="s">
        <v>160</v>
      </c>
      <c r="T114" t="s">
        <v>195</v>
      </c>
      <c r="U114" t="s">
        <v>4</v>
      </c>
      <c r="V114" t="s">
        <v>203</v>
      </c>
      <c r="W114" t="s">
        <v>555</v>
      </c>
      <c r="X114" s="9">
        <v>43375</v>
      </c>
      <c r="Y114" t="s">
        <v>4</v>
      </c>
      <c r="AB114" s="9">
        <v>43375</v>
      </c>
      <c r="AC114" t="s">
        <v>269</v>
      </c>
      <c r="AD114" t="s">
        <v>25</v>
      </c>
    </row>
    <row r="115" spans="1:30" ht="30.75" customHeight="1">
      <c r="A115">
        <f>Table4[[#This Row],[Column1]]</f>
        <v>0</v>
      </c>
      <c r="B115">
        <f>Table4[[#This Row],[Column2]]</f>
        <v>0</v>
      </c>
      <c r="C115" t="s">
        <v>3</v>
      </c>
      <c r="D115" t="s">
        <v>143</v>
      </c>
      <c r="E115" t="s">
        <v>162</v>
      </c>
      <c r="F115" t="s">
        <v>163</v>
      </c>
      <c r="G115" t="s">
        <v>166</v>
      </c>
      <c r="H115" t="s">
        <v>160</v>
      </c>
      <c r="I115" t="s">
        <v>25</v>
      </c>
      <c r="J115" t="s">
        <v>25</v>
      </c>
      <c r="K115" t="s">
        <v>160</v>
      </c>
      <c r="L115">
        <v>12</v>
      </c>
      <c r="M115">
        <v>96</v>
      </c>
      <c r="N115">
        <v>101</v>
      </c>
      <c r="O115" t="s">
        <v>81</v>
      </c>
      <c r="P115" t="s">
        <v>160</v>
      </c>
      <c r="Q115" t="s">
        <v>160</v>
      </c>
      <c r="R115" t="s">
        <v>160</v>
      </c>
      <c r="S115" t="s">
        <v>160</v>
      </c>
      <c r="T115" t="s">
        <v>195</v>
      </c>
      <c r="U115" t="s">
        <v>4</v>
      </c>
      <c r="V115" t="s">
        <v>203</v>
      </c>
      <c r="W115" t="s">
        <v>552</v>
      </c>
      <c r="X115" s="9">
        <v>43376</v>
      </c>
      <c r="Y115" t="s">
        <v>4</v>
      </c>
      <c r="AB115" s="9">
        <v>43376</v>
      </c>
      <c r="AC115" t="s">
        <v>269</v>
      </c>
      <c r="AD115" t="s">
        <v>348</v>
      </c>
    </row>
    <row r="116" spans="1:30" ht="30.75" customHeight="1">
      <c r="A116">
        <f>Table4[[#This Row],[Column1]]</f>
        <v>0</v>
      </c>
      <c r="B116">
        <f>Table4[[#This Row],[Column2]]</f>
        <v>0</v>
      </c>
      <c r="C116" t="s">
        <v>3</v>
      </c>
      <c r="D116" t="s">
        <v>144</v>
      </c>
      <c r="E116" t="s">
        <v>160</v>
      </c>
      <c r="F116" t="s">
        <v>25</v>
      </c>
      <c r="G116" t="s">
        <v>160</v>
      </c>
      <c r="H116" t="s">
        <v>160</v>
      </c>
      <c r="I116" t="s">
        <v>25</v>
      </c>
      <c r="J116" t="s">
        <v>25</v>
      </c>
      <c r="K116" t="s">
        <v>160</v>
      </c>
      <c r="M116">
        <v>65</v>
      </c>
      <c r="N116">
        <v>105</v>
      </c>
      <c r="O116" t="s">
        <v>81</v>
      </c>
      <c r="P116" t="s">
        <v>160</v>
      </c>
      <c r="Q116" t="s">
        <v>160</v>
      </c>
      <c r="R116" t="s">
        <v>160</v>
      </c>
      <c r="S116" t="s">
        <v>160</v>
      </c>
      <c r="T116" t="s">
        <v>160</v>
      </c>
      <c r="U116" t="s">
        <v>4</v>
      </c>
      <c r="V116" t="s">
        <v>203</v>
      </c>
      <c r="W116" t="s">
        <v>554</v>
      </c>
      <c r="X116" s="9">
        <v>43376</v>
      </c>
      <c r="Y116" t="s">
        <v>4</v>
      </c>
      <c r="AB116" s="9">
        <v>43370</v>
      </c>
      <c r="AC116" t="s">
        <v>269</v>
      </c>
      <c r="AD116" t="s">
        <v>262</v>
      </c>
    </row>
    <row r="117" spans="1:30" ht="30.75" customHeight="1">
      <c r="A117">
        <f>Table4[[#This Row],[Column1]]</f>
        <v>0</v>
      </c>
      <c r="B117">
        <f>Table4[[#This Row],[Column2]]</f>
        <v>0</v>
      </c>
      <c r="C117" t="s">
        <v>3</v>
      </c>
      <c r="D117" t="s">
        <v>145</v>
      </c>
      <c r="E117" t="s">
        <v>160</v>
      </c>
      <c r="F117" t="s">
        <v>25</v>
      </c>
      <c r="G117" t="s">
        <v>270</v>
      </c>
      <c r="H117" t="s">
        <v>160</v>
      </c>
      <c r="I117" t="s">
        <v>25</v>
      </c>
      <c r="J117" t="s">
        <v>76</v>
      </c>
      <c r="K117" t="s">
        <v>160</v>
      </c>
      <c r="M117">
        <v>53</v>
      </c>
      <c r="N117">
        <v>62</v>
      </c>
      <c r="O117" t="s">
        <v>81</v>
      </c>
      <c r="P117" t="s">
        <v>226</v>
      </c>
      <c r="Q117" t="s">
        <v>160</v>
      </c>
      <c r="R117" t="s">
        <v>160</v>
      </c>
      <c r="S117" t="s">
        <v>160</v>
      </c>
      <c r="T117" t="s">
        <v>195</v>
      </c>
      <c r="U117" t="s">
        <v>4</v>
      </c>
      <c r="V117" t="s">
        <v>203</v>
      </c>
      <c r="W117" t="s">
        <v>564</v>
      </c>
      <c r="X117" s="9">
        <v>43377</v>
      </c>
      <c r="Y117" t="s">
        <v>4</v>
      </c>
      <c r="AB117" s="9">
        <v>43376</v>
      </c>
      <c r="AC117" t="s">
        <v>269</v>
      </c>
      <c r="AD117" t="s">
        <v>348</v>
      </c>
    </row>
    <row r="118" spans="1:30" ht="30.75" customHeight="1">
      <c r="A118">
        <f>Table4[[#This Row],[Column1]]</f>
        <v>0</v>
      </c>
      <c r="B118">
        <f>Table4[[#This Row],[Column2]]</f>
        <v>0</v>
      </c>
      <c r="C118" t="s">
        <v>4</v>
      </c>
      <c r="AB118" s="9">
        <v>43365</v>
      </c>
      <c r="AC118" t="s">
        <v>269</v>
      </c>
      <c r="AD118" t="s">
        <v>25</v>
      </c>
    </row>
    <row r="119" spans="1:30" ht="30.75" customHeight="1">
      <c r="A119">
        <f>Table4[[#This Row],[Column1]]</f>
        <v>0</v>
      </c>
      <c r="B119">
        <f>Table4[[#This Row],[Column2]]</f>
        <v>0</v>
      </c>
      <c r="C119" t="s">
        <v>4</v>
      </c>
      <c r="AB119" s="9">
        <v>43369</v>
      </c>
      <c r="AC119" t="s">
        <v>269</v>
      </c>
      <c r="AD119" t="s">
        <v>25</v>
      </c>
    </row>
    <row r="120" spans="1:30" ht="30.75" customHeight="1">
      <c r="A120">
        <f>Table4[[#This Row],[Column1]]</f>
        <v>0</v>
      </c>
      <c r="B120">
        <f>Table4[[#This Row],[Column2]]</f>
        <v>0</v>
      </c>
      <c r="C120" t="s">
        <v>4</v>
      </c>
      <c r="AB120" s="9">
        <v>43371</v>
      </c>
      <c r="AC120" t="s">
        <v>269</v>
      </c>
      <c r="AD120" t="s">
        <v>25</v>
      </c>
    </row>
    <row r="121" spans="1:30" ht="30.75" customHeight="1">
      <c r="A121">
        <f>Table4[[#This Row],[Column1]]</f>
        <v>0</v>
      </c>
      <c r="B121">
        <f>Table4[[#This Row],[Column2]]</f>
        <v>0</v>
      </c>
      <c r="C121" t="s">
        <v>3</v>
      </c>
      <c r="D121" t="s">
        <v>144</v>
      </c>
      <c r="E121" t="s">
        <v>160</v>
      </c>
      <c r="F121" t="s">
        <v>163</v>
      </c>
      <c r="G121" t="s">
        <v>160</v>
      </c>
      <c r="H121" t="s">
        <v>171</v>
      </c>
      <c r="I121" t="s">
        <v>25</v>
      </c>
      <c r="J121" t="s">
        <v>25</v>
      </c>
      <c r="K121" t="s">
        <v>160</v>
      </c>
      <c r="L121" t="s">
        <v>79</v>
      </c>
      <c r="M121">
        <v>73</v>
      </c>
      <c r="N121">
        <v>71</v>
      </c>
      <c r="O121" t="s">
        <v>81</v>
      </c>
      <c r="P121" t="s">
        <v>226</v>
      </c>
      <c r="Q121" t="s">
        <v>160</v>
      </c>
      <c r="R121" t="s">
        <v>160</v>
      </c>
      <c r="S121" t="s">
        <v>160</v>
      </c>
      <c r="T121" t="s">
        <v>195</v>
      </c>
      <c r="U121" t="s">
        <v>4</v>
      </c>
      <c r="V121" t="s">
        <v>361</v>
      </c>
      <c r="W121" t="s">
        <v>581</v>
      </c>
      <c r="X121" s="9">
        <v>43382</v>
      </c>
      <c r="Y121" t="s">
        <v>4</v>
      </c>
      <c r="AB121" s="9">
        <v>43382</v>
      </c>
      <c r="AC121" t="s">
        <v>269</v>
      </c>
      <c r="AD121" t="s">
        <v>348</v>
      </c>
    </row>
    <row r="122" spans="1:30" ht="30.75" customHeight="1">
      <c r="A122">
        <f>Table4[[#This Row],[Column1]]</f>
        <v>0</v>
      </c>
      <c r="B122">
        <f>Table4[[#This Row],[Column2]]</f>
        <v>0</v>
      </c>
      <c r="C122" t="s">
        <v>3</v>
      </c>
      <c r="D122" t="s">
        <v>144</v>
      </c>
      <c r="E122" t="s">
        <v>529</v>
      </c>
      <c r="F122" t="s">
        <v>165</v>
      </c>
      <c r="G122" t="s">
        <v>167</v>
      </c>
      <c r="H122" t="s">
        <v>160</v>
      </c>
      <c r="I122" t="s">
        <v>25</v>
      </c>
      <c r="J122" t="s">
        <v>25</v>
      </c>
      <c r="K122" t="s">
        <v>160</v>
      </c>
      <c r="L122" t="s">
        <v>79</v>
      </c>
      <c r="M122">
        <v>92</v>
      </c>
      <c r="N122">
        <v>76</v>
      </c>
      <c r="O122" t="s">
        <v>81</v>
      </c>
      <c r="P122" t="s">
        <v>226</v>
      </c>
      <c r="Q122" t="s">
        <v>160</v>
      </c>
      <c r="R122" t="s">
        <v>219</v>
      </c>
      <c r="S122" t="s">
        <v>160</v>
      </c>
      <c r="T122" t="s">
        <v>195</v>
      </c>
      <c r="U122" t="s">
        <v>4</v>
      </c>
      <c r="V122" t="s">
        <v>203</v>
      </c>
      <c r="W122" t="s">
        <v>580</v>
      </c>
      <c r="X122" s="9">
        <v>43382</v>
      </c>
      <c r="Y122" t="s">
        <v>3</v>
      </c>
      <c r="Z122" t="s">
        <v>143</v>
      </c>
      <c r="AA122" t="s">
        <v>615</v>
      </c>
      <c r="AB122" s="9">
        <v>43383</v>
      </c>
      <c r="AC122" t="s">
        <v>269</v>
      </c>
      <c r="AD122" t="s">
        <v>276</v>
      </c>
    </row>
    <row r="123" spans="1:30" ht="30.75" customHeight="1">
      <c r="A123">
        <f>Table4[[#This Row],[Column1]]</f>
        <v>0</v>
      </c>
      <c r="B123">
        <f>Table4[[#This Row],[Column2]]</f>
        <v>0</v>
      </c>
      <c r="C123" t="s">
        <v>4</v>
      </c>
      <c r="AB123" s="9">
        <v>43372</v>
      </c>
      <c r="AC123" t="s">
        <v>269</v>
      </c>
      <c r="AD123" t="s">
        <v>25</v>
      </c>
    </row>
    <row r="124" spans="1:30" ht="30.75" customHeight="1">
      <c r="A124">
        <f>Table4[[#This Row],[Column1]]</f>
        <v>0</v>
      </c>
      <c r="B124">
        <f>Table4[[#This Row],[Column2]]</f>
        <v>0</v>
      </c>
      <c r="C124" t="s">
        <v>3</v>
      </c>
      <c r="D124" t="s">
        <v>144</v>
      </c>
      <c r="E124" t="s">
        <v>162</v>
      </c>
      <c r="F124" t="s">
        <v>163</v>
      </c>
      <c r="G124" t="s">
        <v>166</v>
      </c>
      <c r="H124" t="s">
        <v>160</v>
      </c>
      <c r="I124" t="s">
        <v>25</v>
      </c>
      <c r="J124" t="s">
        <v>76</v>
      </c>
      <c r="K124" t="s">
        <v>160</v>
      </c>
      <c r="L124" t="s">
        <v>79</v>
      </c>
      <c r="M124">
        <v>77</v>
      </c>
      <c r="N124">
        <v>58</v>
      </c>
      <c r="O124" t="s">
        <v>81</v>
      </c>
      <c r="P124" t="s">
        <v>160</v>
      </c>
      <c r="Q124" t="s">
        <v>160</v>
      </c>
      <c r="R124" t="s">
        <v>160</v>
      </c>
      <c r="S124" t="s">
        <v>160</v>
      </c>
      <c r="T124" t="s">
        <v>195</v>
      </c>
      <c r="U124" t="s">
        <v>4</v>
      </c>
      <c r="V124" t="s">
        <v>361</v>
      </c>
      <c r="W124" t="s">
        <v>591</v>
      </c>
      <c r="X124" s="9">
        <v>43384</v>
      </c>
      <c r="Y124" t="s">
        <v>4</v>
      </c>
      <c r="AB124" s="9">
        <v>43379</v>
      </c>
      <c r="AC124" t="s">
        <v>269</v>
      </c>
      <c r="AD124" t="s">
        <v>348</v>
      </c>
    </row>
    <row r="125" spans="1:30" ht="30.75" customHeight="1">
      <c r="A125">
        <f>Table4[[#This Row],[Column1]]</f>
        <v>0</v>
      </c>
      <c r="B125">
        <f>Table4[[#This Row],[Column2]]</f>
        <v>0</v>
      </c>
      <c r="C125" t="s">
        <v>3</v>
      </c>
      <c r="D125" t="s">
        <v>145</v>
      </c>
      <c r="E125" t="s">
        <v>529</v>
      </c>
      <c r="F125" t="s">
        <v>163</v>
      </c>
      <c r="G125" t="s">
        <v>166</v>
      </c>
      <c r="H125" t="s">
        <v>171</v>
      </c>
      <c r="I125" t="s">
        <v>25</v>
      </c>
      <c r="J125" t="s">
        <v>25</v>
      </c>
      <c r="K125" t="s">
        <v>160</v>
      </c>
      <c r="L125" t="s">
        <v>79</v>
      </c>
      <c r="M125">
        <v>68</v>
      </c>
      <c r="N125">
        <v>139</v>
      </c>
      <c r="O125" t="s">
        <v>81</v>
      </c>
      <c r="P125" t="s">
        <v>226</v>
      </c>
      <c r="Q125" t="s">
        <v>160</v>
      </c>
      <c r="R125" t="s">
        <v>160</v>
      </c>
      <c r="S125" t="s">
        <v>160</v>
      </c>
      <c r="T125" t="s">
        <v>160</v>
      </c>
      <c r="U125" t="s">
        <v>4</v>
      </c>
      <c r="V125" t="s">
        <v>361</v>
      </c>
      <c r="W125" t="s">
        <v>590</v>
      </c>
      <c r="X125" s="9">
        <v>43384</v>
      </c>
      <c r="Y125" t="s">
        <v>3</v>
      </c>
      <c r="Z125" t="s">
        <v>143</v>
      </c>
      <c r="AA125" t="s">
        <v>631</v>
      </c>
    </row>
    <row r="126" spans="1:30" ht="30.75" customHeight="1">
      <c r="A126">
        <f>Table4[[#This Row],[Column1]]</f>
        <v>0</v>
      </c>
      <c r="B126">
        <f>Table4[[#This Row],[Column2]]</f>
        <v>0</v>
      </c>
      <c r="C126" t="s">
        <v>4</v>
      </c>
      <c r="AB126" s="9">
        <v>43374</v>
      </c>
      <c r="AC126" t="s">
        <v>269</v>
      </c>
      <c r="AD126" t="s">
        <v>25</v>
      </c>
    </row>
    <row r="127" spans="1:30" ht="30.75" customHeight="1">
      <c r="A127">
        <f>Table4[[#This Row],[Column1]]</f>
        <v>0</v>
      </c>
      <c r="B127">
        <f>Table4[[#This Row],[Column2]]</f>
        <v>0</v>
      </c>
      <c r="C127" t="s">
        <v>4</v>
      </c>
      <c r="AB127" s="9">
        <v>43375</v>
      </c>
      <c r="AC127" t="s">
        <v>269</v>
      </c>
      <c r="AD127" t="s">
        <v>25</v>
      </c>
    </row>
    <row r="128" spans="1:30" ht="30.75" customHeight="1">
      <c r="A128">
        <f>Table4[[#This Row],[Column1]]</f>
        <v>0</v>
      </c>
      <c r="B128">
        <f>Table4[[#This Row],[Column2]]</f>
        <v>0</v>
      </c>
      <c r="C128" t="s">
        <v>3</v>
      </c>
      <c r="D128" t="s">
        <v>143</v>
      </c>
      <c r="E128" t="s">
        <v>529</v>
      </c>
      <c r="F128" t="s">
        <v>71</v>
      </c>
      <c r="G128" t="s">
        <v>166</v>
      </c>
      <c r="H128" t="s">
        <v>160</v>
      </c>
      <c r="I128" t="s">
        <v>25</v>
      </c>
      <c r="J128" t="s">
        <v>25</v>
      </c>
      <c r="K128" t="s">
        <v>160</v>
      </c>
      <c r="L128" t="s">
        <v>79</v>
      </c>
      <c r="M128">
        <v>88</v>
      </c>
      <c r="N128">
        <v>87</v>
      </c>
      <c r="O128" t="s">
        <v>81</v>
      </c>
      <c r="P128" t="s">
        <v>160</v>
      </c>
      <c r="Q128" t="s">
        <v>160</v>
      </c>
      <c r="R128" t="s">
        <v>219</v>
      </c>
      <c r="S128" t="s">
        <v>160</v>
      </c>
      <c r="T128" t="s">
        <v>160</v>
      </c>
      <c r="U128" t="s">
        <v>3</v>
      </c>
      <c r="V128" t="s">
        <v>203</v>
      </c>
      <c r="W128" t="s">
        <v>597</v>
      </c>
      <c r="X128" s="9">
        <v>43385</v>
      </c>
      <c r="Y128" t="s">
        <v>4</v>
      </c>
      <c r="AB128" s="9">
        <v>43381</v>
      </c>
      <c r="AC128" t="s">
        <v>269</v>
      </c>
      <c r="AD128" t="s">
        <v>348</v>
      </c>
    </row>
    <row r="129" spans="1:30" ht="30.75" customHeight="1">
      <c r="A129">
        <f>Table4[[#This Row],[Column1]]</f>
        <v>0</v>
      </c>
      <c r="B129">
        <f>Table4[[#This Row],[Column2]]</f>
        <v>0</v>
      </c>
      <c r="C129" t="s">
        <v>3</v>
      </c>
      <c r="D129" t="s">
        <v>143</v>
      </c>
      <c r="E129" t="s">
        <v>160</v>
      </c>
      <c r="F129" t="s">
        <v>71</v>
      </c>
      <c r="G129" t="s">
        <v>160</v>
      </c>
      <c r="H129" t="s">
        <v>160</v>
      </c>
      <c r="I129" t="s">
        <v>25</v>
      </c>
      <c r="J129" t="s">
        <v>25</v>
      </c>
      <c r="K129" t="s">
        <v>160</v>
      </c>
      <c r="L129" t="s">
        <v>79</v>
      </c>
      <c r="M129">
        <v>65</v>
      </c>
      <c r="N129">
        <v>53</v>
      </c>
      <c r="O129" t="s">
        <v>81</v>
      </c>
      <c r="P129" t="s">
        <v>226</v>
      </c>
      <c r="Q129" t="s">
        <v>160</v>
      </c>
      <c r="R129" t="s">
        <v>219</v>
      </c>
      <c r="S129" t="s">
        <v>160</v>
      </c>
      <c r="T129" t="s">
        <v>160</v>
      </c>
      <c r="U129" t="s">
        <v>3</v>
      </c>
      <c r="V129" t="s">
        <v>203</v>
      </c>
      <c r="W129" t="s">
        <v>598</v>
      </c>
      <c r="X129" s="9">
        <v>43385</v>
      </c>
      <c r="Y129" t="s">
        <v>4</v>
      </c>
      <c r="AB129" s="9">
        <v>43378</v>
      </c>
      <c r="AC129" t="s">
        <v>269</v>
      </c>
      <c r="AD129" t="s">
        <v>348</v>
      </c>
    </row>
    <row r="130" spans="1:30" ht="30.75" customHeight="1">
      <c r="A130">
        <f>Table4[[#This Row],[Column1]]</f>
        <v>0</v>
      </c>
      <c r="B130">
        <f>Table4[[#This Row],[Column2]]</f>
        <v>0</v>
      </c>
      <c r="C130" t="s">
        <v>3</v>
      </c>
      <c r="D130" t="s">
        <v>143</v>
      </c>
      <c r="E130" t="s">
        <v>160</v>
      </c>
      <c r="F130" t="s">
        <v>72</v>
      </c>
      <c r="G130" t="s">
        <v>160</v>
      </c>
      <c r="H130" t="s">
        <v>171</v>
      </c>
      <c r="I130" t="s">
        <v>25</v>
      </c>
      <c r="J130" t="s">
        <v>25</v>
      </c>
      <c r="K130" t="s">
        <v>160</v>
      </c>
      <c r="L130" t="s">
        <v>79</v>
      </c>
      <c r="M130">
        <v>49</v>
      </c>
      <c r="N130">
        <v>41</v>
      </c>
      <c r="O130" t="s">
        <v>81</v>
      </c>
      <c r="P130" t="s">
        <v>160</v>
      </c>
      <c r="Q130" t="s">
        <v>160</v>
      </c>
      <c r="R130" t="s">
        <v>160</v>
      </c>
      <c r="S130" t="s">
        <v>160</v>
      </c>
      <c r="T130" t="s">
        <v>160</v>
      </c>
      <c r="U130" t="s">
        <v>3</v>
      </c>
      <c r="V130" t="s">
        <v>203</v>
      </c>
      <c r="W130" t="s">
        <v>599</v>
      </c>
      <c r="X130" s="9">
        <v>43385</v>
      </c>
      <c r="Y130" t="s">
        <v>4</v>
      </c>
      <c r="AB130" s="9">
        <v>43378</v>
      </c>
      <c r="AC130" t="s">
        <v>269</v>
      </c>
      <c r="AD130" t="s">
        <v>348</v>
      </c>
    </row>
    <row r="131" spans="1:30" ht="30.75" customHeight="1">
      <c r="A131">
        <f>Table4[[#This Row],[Column1]]</f>
        <v>0</v>
      </c>
      <c r="B131">
        <f>Table4[[#This Row],[Column2]]</f>
        <v>0</v>
      </c>
      <c r="C131" t="s">
        <v>4</v>
      </c>
      <c r="AB131" s="9">
        <v>43400</v>
      </c>
      <c r="AC131" t="s">
        <v>269</v>
      </c>
      <c r="AD131" t="s">
        <v>262</v>
      </c>
    </row>
    <row r="132" spans="1:30" ht="30.75" customHeight="1">
      <c r="A132">
        <f>Table4[[#This Row],[Column1]]</f>
        <v>0</v>
      </c>
      <c r="B132">
        <f>Table4[[#This Row],[Column2]]</f>
        <v>0</v>
      </c>
      <c r="C132" t="s">
        <v>4</v>
      </c>
      <c r="AB132" s="9">
        <v>43377</v>
      </c>
      <c r="AC132" t="s">
        <v>269</v>
      </c>
      <c r="AD132" t="s">
        <v>25</v>
      </c>
    </row>
    <row r="133" spans="1:30" ht="30.75" customHeight="1">
      <c r="A133">
        <f>Table4[[#This Row],[Column1]]</f>
        <v>0</v>
      </c>
      <c r="B133">
        <f>Table4[[#This Row],[Column2]]</f>
        <v>0</v>
      </c>
      <c r="C133" t="s">
        <v>3</v>
      </c>
      <c r="D133" t="s">
        <v>144</v>
      </c>
      <c r="E133" t="s">
        <v>160</v>
      </c>
      <c r="F133" t="s">
        <v>163</v>
      </c>
      <c r="G133" t="s">
        <v>166</v>
      </c>
      <c r="H133" t="s">
        <v>171</v>
      </c>
      <c r="I133" t="s">
        <v>25</v>
      </c>
      <c r="J133" t="s">
        <v>25</v>
      </c>
      <c r="K133" t="s">
        <v>160</v>
      </c>
      <c r="L133" t="s">
        <v>79</v>
      </c>
      <c r="M133">
        <v>93</v>
      </c>
      <c r="N133">
        <v>64</v>
      </c>
      <c r="O133" t="s">
        <v>81</v>
      </c>
      <c r="P133" t="s">
        <v>160</v>
      </c>
      <c r="Q133" t="s">
        <v>160</v>
      </c>
      <c r="R133" t="s">
        <v>160</v>
      </c>
      <c r="S133" t="s">
        <v>160</v>
      </c>
      <c r="T133" t="s">
        <v>160</v>
      </c>
      <c r="U133" t="s">
        <v>4</v>
      </c>
      <c r="V133" t="s">
        <v>203</v>
      </c>
      <c r="W133" t="s">
        <v>609</v>
      </c>
      <c r="AB133" s="9">
        <v>43384</v>
      </c>
      <c r="AC133" t="s">
        <v>269</v>
      </c>
      <c r="AD133" t="s">
        <v>348</v>
      </c>
    </row>
    <row r="134" spans="1:30" ht="30.75" customHeight="1">
      <c r="A134">
        <f>Table4[[#This Row],[Column1]]</f>
        <v>0</v>
      </c>
      <c r="B134">
        <f>Table4[[#This Row],[Column2]]</f>
        <v>0</v>
      </c>
      <c r="C134" t="s">
        <v>4</v>
      </c>
      <c r="AB134" s="9">
        <v>43381</v>
      </c>
      <c r="AC134" t="s">
        <v>269</v>
      </c>
      <c r="AD134" t="s">
        <v>348</v>
      </c>
    </row>
    <row r="135" spans="1:30" ht="30.75" customHeight="1">
      <c r="A135">
        <f>Table4[[#This Row],[Column1]]</f>
        <v>0</v>
      </c>
      <c r="B135">
        <f>Table4[[#This Row],[Column2]]</f>
        <v>0</v>
      </c>
      <c r="C135" t="s">
        <v>3</v>
      </c>
      <c r="D135" t="s">
        <v>143</v>
      </c>
      <c r="E135" t="s">
        <v>160</v>
      </c>
      <c r="F135" t="s">
        <v>25</v>
      </c>
      <c r="G135" t="s">
        <v>160</v>
      </c>
      <c r="H135" t="s">
        <v>160</v>
      </c>
      <c r="I135" t="s">
        <v>25</v>
      </c>
      <c r="J135" t="s">
        <v>25</v>
      </c>
      <c r="K135" t="s">
        <v>160</v>
      </c>
      <c r="L135" t="s">
        <v>79</v>
      </c>
      <c r="M135">
        <v>77</v>
      </c>
      <c r="N135">
        <v>65</v>
      </c>
      <c r="O135" t="s">
        <v>81</v>
      </c>
      <c r="P135" t="s">
        <v>160</v>
      </c>
      <c r="Q135" t="s">
        <v>160</v>
      </c>
      <c r="R135" t="s">
        <v>160</v>
      </c>
      <c r="S135" t="s">
        <v>160</v>
      </c>
      <c r="T135" t="s">
        <v>160</v>
      </c>
      <c r="U135" t="s">
        <v>4</v>
      </c>
      <c r="V135" t="s">
        <v>203</v>
      </c>
      <c r="W135" t="s">
        <v>622</v>
      </c>
      <c r="X135" s="9">
        <v>43391</v>
      </c>
      <c r="Y135" t="s">
        <v>4</v>
      </c>
      <c r="AB135" s="9">
        <v>43384</v>
      </c>
      <c r="AC135" t="s">
        <v>269</v>
      </c>
      <c r="AD135" t="s">
        <v>25</v>
      </c>
    </row>
    <row r="136" spans="1:30" ht="30.75" customHeight="1">
      <c r="A136">
        <f>Table4[[#This Row],[Column1]]</f>
        <v>0</v>
      </c>
      <c r="B136">
        <f>Table4[[#This Row],[Column2]]</f>
        <v>0</v>
      </c>
      <c r="C136" t="s">
        <v>4</v>
      </c>
      <c r="AB136" s="9">
        <v>43382</v>
      </c>
      <c r="AC136" t="s">
        <v>269</v>
      </c>
      <c r="AD136" t="s">
        <v>348</v>
      </c>
    </row>
    <row r="137" spans="1:30" ht="30.75" customHeight="1">
      <c r="A137">
        <f>Table4[[#This Row],[Column1]]</f>
        <v>0</v>
      </c>
      <c r="B137">
        <f>Table4[[#This Row],[Column2]]</f>
        <v>0</v>
      </c>
      <c r="C137" t="s">
        <v>4</v>
      </c>
      <c r="AB137" s="9">
        <v>43378</v>
      </c>
      <c r="AC137" t="s">
        <v>269</v>
      </c>
      <c r="AD137" t="s">
        <v>25</v>
      </c>
    </row>
    <row r="138" spans="1:30" ht="30.75" customHeight="1">
      <c r="A138">
        <f>Table4[[#This Row],[Column1]]</f>
        <v>0</v>
      </c>
      <c r="B138">
        <f>Table4[[#This Row],[Column2]]</f>
        <v>0</v>
      </c>
      <c r="C138" t="s">
        <v>4</v>
      </c>
      <c r="AB138" s="9">
        <v>43384</v>
      </c>
      <c r="AC138" t="s">
        <v>269</v>
      </c>
      <c r="AD138" t="s">
        <v>25</v>
      </c>
    </row>
    <row r="139" spans="1:30" ht="30.75" customHeight="1">
      <c r="A139">
        <f>Table4[[#This Row],[Column1]]</f>
        <v>0</v>
      </c>
      <c r="B139">
        <f>Table4[[#This Row],[Column2]]</f>
        <v>0</v>
      </c>
      <c r="C139" t="s">
        <v>4</v>
      </c>
      <c r="AB139" s="9">
        <v>43381</v>
      </c>
      <c r="AC139" t="s">
        <v>269</v>
      </c>
      <c r="AD139" t="s">
        <v>25</v>
      </c>
    </row>
    <row r="140" spans="1:30" ht="30.75" customHeight="1">
      <c r="A140">
        <f>Table4[[#This Row],[Column1]]</f>
        <v>0</v>
      </c>
      <c r="B140">
        <f>Table4[[#This Row],[Column2]]</f>
        <v>0</v>
      </c>
      <c r="C140" t="s">
        <v>4</v>
      </c>
      <c r="AB140" s="9">
        <v>43380</v>
      </c>
      <c r="AC140" t="s">
        <v>269</v>
      </c>
      <c r="AD140" t="s">
        <v>25</v>
      </c>
    </row>
    <row r="141" spans="1:30" ht="30.75" customHeight="1">
      <c r="A141">
        <f>Table4[[#This Row],[Column1]]</f>
        <v>0</v>
      </c>
      <c r="B141">
        <f>Table4[[#This Row],[Column2]]</f>
        <v>0</v>
      </c>
      <c r="C141" t="s">
        <v>4</v>
      </c>
      <c r="AB141" s="9">
        <v>43384</v>
      </c>
      <c r="AC141" t="s">
        <v>269</v>
      </c>
      <c r="AD141" t="s">
        <v>25</v>
      </c>
    </row>
    <row r="142" spans="1:30" ht="30.75" customHeight="1">
      <c r="A142">
        <f>Table4[[#This Row],[Column1]]</f>
        <v>0</v>
      </c>
      <c r="B142">
        <f>Table4[[#This Row],[Column2]]</f>
        <v>0</v>
      </c>
      <c r="C142" t="s">
        <v>3</v>
      </c>
      <c r="D142" t="s">
        <v>143</v>
      </c>
      <c r="E142" t="s">
        <v>160</v>
      </c>
      <c r="F142" t="s">
        <v>25</v>
      </c>
      <c r="G142" t="s">
        <v>160</v>
      </c>
      <c r="H142" t="s">
        <v>160</v>
      </c>
      <c r="I142" t="s">
        <v>25</v>
      </c>
      <c r="J142" t="s">
        <v>25</v>
      </c>
      <c r="K142" t="s">
        <v>160</v>
      </c>
      <c r="L142" t="s">
        <v>79</v>
      </c>
      <c r="M142">
        <v>84</v>
      </c>
      <c r="N142">
        <v>113</v>
      </c>
      <c r="O142" t="s">
        <v>81</v>
      </c>
      <c r="P142" t="s">
        <v>160</v>
      </c>
      <c r="Q142" t="s">
        <v>160</v>
      </c>
      <c r="R142" t="s">
        <v>160</v>
      </c>
      <c r="S142" t="s">
        <v>160</v>
      </c>
      <c r="T142" t="s">
        <v>195</v>
      </c>
      <c r="U142" t="s">
        <v>4</v>
      </c>
      <c r="V142" t="s">
        <v>361</v>
      </c>
      <c r="W142" t="s">
        <v>637</v>
      </c>
      <c r="X142" s="9">
        <v>43396</v>
      </c>
      <c r="Y142" t="s">
        <v>3</v>
      </c>
      <c r="Z142" t="s">
        <v>143</v>
      </c>
      <c r="AA142" t="s">
        <v>650</v>
      </c>
      <c r="AB142" s="9">
        <v>43403</v>
      </c>
      <c r="AC142" t="s">
        <v>269</v>
      </c>
      <c r="AD142" t="s">
        <v>348</v>
      </c>
    </row>
    <row r="143" spans="1:30" ht="30.75" customHeight="1">
      <c r="A143">
        <f>Table4[[#This Row],[Column1]]</f>
        <v>0</v>
      </c>
      <c r="B143">
        <f>Table4[[#This Row],[Column2]]</f>
        <v>0</v>
      </c>
      <c r="C143" t="s">
        <v>3</v>
      </c>
      <c r="D143" t="s">
        <v>143</v>
      </c>
      <c r="E143" t="s">
        <v>529</v>
      </c>
      <c r="F143" t="s">
        <v>163</v>
      </c>
      <c r="G143" t="s">
        <v>166</v>
      </c>
      <c r="H143" t="s">
        <v>171</v>
      </c>
      <c r="I143" t="s">
        <v>25</v>
      </c>
      <c r="J143" t="s">
        <v>76</v>
      </c>
      <c r="K143" t="s">
        <v>160</v>
      </c>
      <c r="L143" t="s">
        <v>79</v>
      </c>
      <c r="M143">
        <v>70</v>
      </c>
      <c r="N143">
        <v>60</v>
      </c>
      <c r="O143" t="s">
        <v>81</v>
      </c>
      <c r="P143" t="s">
        <v>226</v>
      </c>
      <c r="Q143" t="s">
        <v>160</v>
      </c>
      <c r="R143" t="s">
        <v>160</v>
      </c>
      <c r="S143" t="s">
        <v>160</v>
      </c>
      <c r="T143" t="s">
        <v>160</v>
      </c>
      <c r="U143" t="s">
        <v>4</v>
      </c>
      <c r="V143" t="s">
        <v>203</v>
      </c>
      <c r="W143" t="s">
        <v>638</v>
      </c>
      <c r="X143" s="9">
        <v>43396</v>
      </c>
      <c r="Y143" t="s">
        <v>4</v>
      </c>
      <c r="AB143" s="9">
        <v>43396</v>
      </c>
      <c r="AC143" t="s">
        <v>269</v>
      </c>
      <c r="AD143" t="s">
        <v>348</v>
      </c>
    </row>
    <row r="144" spans="1:30" ht="30.75" customHeight="1">
      <c r="A144">
        <f>Table4[[#This Row],[Column1]]</f>
        <v>0</v>
      </c>
      <c r="B144">
        <f>Table4[[#This Row],[Column2]]</f>
        <v>0</v>
      </c>
      <c r="C144" t="s">
        <v>4</v>
      </c>
      <c r="AB144" s="9">
        <v>43384</v>
      </c>
      <c r="AC144" t="s">
        <v>269</v>
      </c>
      <c r="AD144" t="s">
        <v>25</v>
      </c>
    </row>
    <row r="145" spans="1:30" ht="30.75" customHeight="1">
      <c r="A145">
        <f>Table4[[#This Row],[Column1]]</f>
        <v>0</v>
      </c>
      <c r="B145">
        <f>Table4[[#This Row],[Column2]]</f>
        <v>0</v>
      </c>
      <c r="C145" t="s">
        <v>3</v>
      </c>
      <c r="D145" t="s">
        <v>143</v>
      </c>
      <c r="E145" t="s">
        <v>160</v>
      </c>
      <c r="F145" t="s">
        <v>25</v>
      </c>
      <c r="G145" t="s">
        <v>167</v>
      </c>
      <c r="H145" t="s">
        <v>160</v>
      </c>
      <c r="I145" t="s">
        <v>25</v>
      </c>
      <c r="J145" t="s">
        <v>25</v>
      </c>
      <c r="K145" t="s">
        <v>160</v>
      </c>
      <c r="L145" t="s">
        <v>79</v>
      </c>
      <c r="M145">
        <v>87</v>
      </c>
      <c r="N145">
        <v>76</v>
      </c>
      <c r="O145" t="s">
        <v>81</v>
      </c>
      <c r="P145" t="s">
        <v>160</v>
      </c>
      <c r="Q145" t="s">
        <v>160</v>
      </c>
      <c r="R145" t="s">
        <v>160</v>
      </c>
      <c r="S145" t="s">
        <v>160</v>
      </c>
      <c r="T145" t="s">
        <v>195</v>
      </c>
      <c r="U145" t="s">
        <v>4</v>
      </c>
      <c r="V145" t="s">
        <v>203</v>
      </c>
      <c r="W145" t="s">
        <v>640</v>
      </c>
      <c r="X145" s="9">
        <v>43397</v>
      </c>
      <c r="Y145" t="s">
        <v>4</v>
      </c>
      <c r="AB145" s="9">
        <v>43391</v>
      </c>
      <c r="AC145" t="s">
        <v>269</v>
      </c>
      <c r="AD145" t="s">
        <v>348</v>
      </c>
    </row>
    <row r="146" spans="1:30" ht="30.75" customHeight="1">
      <c r="A146">
        <f>Table4[[#This Row],[Column1]]</f>
        <v>0</v>
      </c>
      <c r="B146">
        <f>Table4[[#This Row],[Column2]]</f>
        <v>0</v>
      </c>
      <c r="C146" t="s">
        <v>4</v>
      </c>
      <c r="AB146" s="9">
        <v>43386</v>
      </c>
      <c r="AC146" t="s">
        <v>269</v>
      </c>
      <c r="AD146" t="s">
        <v>25</v>
      </c>
    </row>
    <row r="147" spans="1:30" ht="30.75" customHeight="1">
      <c r="A147">
        <f>Table4[[#This Row],[Column1]]</f>
        <v>0</v>
      </c>
      <c r="B147">
        <f>Table4[[#This Row],[Column2]]</f>
        <v>0</v>
      </c>
      <c r="C147" t="s">
        <v>3</v>
      </c>
      <c r="D147" t="s">
        <v>143</v>
      </c>
      <c r="E147" t="s">
        <v>160</v>
      </c>
      <c r="F147" t="s">
        <v>25</v>
      </c>
      <c r="G147" t="s">
        <v>160</v>
      </c>
      <c r="H147" t="s">
        <v>160</v>
      </c>
      <c r="I147" t="s">
        <v>25</v>
      </c>
      <c r="J147" t="s">
        <v>25</v>
      </c>
      <c r="K147" t="s">
        <v>160</v>
      </c>
      <c r="L147" t="s">
        <v>79</v>
      </c>
      <c r="M147">
        <v>62</v>
      </c>
      <c r="N147">
        <v>57</v>
      </c>
      <c r="O147" t="s">
        <v>81</v>
      </c>
      <c r="P147" t="s">
        <v>160</v>
      </c>
      <c r="Q147" t="s">
        <v>160</v>
      </c>
      <c r="R147" t="s">
        <v>160</v>
      </c>
      <c r="S147" t="s">
        <v>160</v>
      </c>
      <c r="T147" t="s">
        <v>195</v>
      </c>
      <c r="U147" t="s">
        <v>3</v>
      </c>
      <c r="V147" t="s">
        <v>203</v>
      </c>
      <c r="W147" t="s">
        <v>642</v>
      </c>
      <c r="X147" s="9">
        <v>43397</v>
      </c>
      <c r="Y147" t="s">
        <v>4</v>
      </c>
      <c r="AB147" s="9">
        <v>43392</v>
      </c>
      <c r="AC147" t="s">
        <v>269</v>
      </c>
      <c r="AD147" t="s">
        <v>276</v>
      </c>
    </row>
    <row r="148" spans="1:30" ht="30.75" customHeight="1">
      <c r="A148">
        <f>Table4[[#This Row],[Column1]]</f>
        <v>0</v>
      </c>
      <c r="B148">
        <f>Table4[[#This Row],[Column2]]</f>
        <v>0</v>
      </c>
      <c r="C148" t="s">
        <v>3</v>
      </c>
      <c r="D148" t="s">
        <v>145</v>
      </c>
      <c r="E148" t="s">
        <v>529</v>
      </c>
      <c r="F148" t="s">
        <v>164</v>
      </c>
      <c r="G148" t="s">
        <v>160</v>
      </c>
      <c r="H148" t="s">
        <v>171</v>
      </c>
      <c r="I148" t="s">
        <v>173</v>
      </c>
      <c r="J148" t="s">
        <v>76</v>
      </c>
      <c r="K148" t="s">
        <v>160</v>
      </c>
      <c r="L148" t="s">
        <v>79</v>
      </c>
      <c r="M148">
        <v>86</v>
      </c>
      <c r="N148">
        <v>107</v>
      </c>
      <c r="O148" t="s">
        <v>81</v>
      </c>
      <c r="P148" t="s">
        <v>226</v>
      </c>
      <c r="Q148" t="s">
        <v>160</v>
      </c>
      <c r="R148" t="s">
        <v>160</v>
      </c>
      <c r="S148" t="s">
        <v>160</v>
      </c>
      <c r="T148" t="s">
        <v>195</v>
      </c>
      <c r="U148" t="s">
        <v>4</v>
      </c>
      <c r="V148" t="s">
        <v>203</v>
      </c>
      <c r="W148" t="s">
        <v>643</v>
      </c>
      <c r="X148" s="9">
        <v>43398</v>
      </c>
      <c r="Y148" t="s">
        <v>3</v>
      </c>
      <c r="Z148" t="s">
        <v>145</v>
      </c>
      <c r="AA148" t="s">
        <v>660</v>
      </c>
    </row>
    <row r="149" spans="1:30" ht="30.75" customHeight="1">
      <c r="A149">
        <f>Table4[[#This Row],[Column1]]</f>
        <v>0</v>
      </c>
      <c r="B149">
        <f>Table4[[#This Row],[Column2]]</f>
        <v>0</v>
      </c>
      <c r="C149" t="s">
        <v>4</v>
      </c>
      <c r="AB149" s="9">
        <v>43389</v>
      </c>
      <c r="AC149" t="s">
        <v>269</v>
      </c>
      <c r="AD149" t="s">
        <v>262</v>
      </c>
    </row>
    <row r="150" spans="1:30" ht="30.75" customHeight="1">
      <c r="A150">
        <f>Table4[[#This Row],[Column1]]</f>
        <v>0</v>
      </c>
      <c r="B150">
        <f>Table4[[#This Row],[Column2]]</f>
        <v>0</v>
      </c>
      <c r="C150" t="s">
        <v>3</v>
      </c>
      <c r="D150" t="s">
        <v>144</v>
      </c>
      <c r="E150" t="s">
        <v>162</v>
      </c>
      <c r="F150" t="s">
        <v>163</v>
      </c>
      <c r="G150" t="s">
        <v>166</v>
      </c>
      <c r="H150" t="s">
        <v>171</v>
      </c>
      <c r="I150" t="s">
        <v>25</v>
      </c>
      <c r="J150" t="s">
        <v>25</v>
      </c>
      <c r="K150" t="s">
        <v>160</v>
      </c>
      <c r="L150" t="s">
        <v>79</v>
      </c>
      <c r="M150">
        <v>51</v>
      </c>
      <c r="N150">
        <v>50</v>
      </c>
      <c r="O150" t="s">
        <v>81</v>
      </c>
      <c r="P150" t="s">
        <v>226</v>
      </c>
      <c r="Q150" t="s">
        <v>160</v>
      </c>
      <c r="R150" t="s">
        <v>160</v>
      </c>
      <c r="S150" t="s">
        <v>160</v>
      </c>
      <c r="T150" t="s">
        <v>160</v>
      </c>
      <c r="U150" t="s">
        <v>4</v>
      </c>
      <c r="V150" t="s">
        <v>203</v>
      </c>
      <c r="W150" t="s">
        <v>653</v>
      </c>
      <c r="AB150" s="9">
        <v>43406</v>
      </c>
      <c r="AC150" t="s">
        <v>269</v>
      </c>
      <c r="AD150" t="s">
        <v>603</v>
      </c>
    </row>
    <row r="151" spans="1:30" ht="30.75" customHeight="1">
      <c r="A151">
        <f>Table4[[#This Row],[Column1]]</f>
        <v>0</v>
      </c>
      <c r="B151">
        <f>Table4[[#This Row],[Column2]]</f>
        <v>0</v>
      </c>
      <c r="C151" t="s">
        <v>4</v>
      </c>
      <c r="AB151" s="9">
        <v>43393</v>
      </c>
      <c r="AC151" t="s">
        <v>269</v>
      </c>
      <c r="AD151" t="s">
        <v>25</v>
      </c>
    </row>
    <row r="152" spans="1:30" ht="30.75" customHeight="1">
      <c r="A152">
        <f>Table4[[#This Row],[Column1]]</f>
        <v>0</v>
      </c>
      <c r="B152">
        <f>Table4[[#This Row],[Column2]]</f>
        <v>0</v>
      </c>
      <c r="C152" t="s">
        <v>4</v>
      </c>
      <c r="AB152" s="9">
        <v>43391</v>
      </c>
      <c r="AC152" t="s">
        <v>269</v>
      </c>
      <c r="AD152" t="s">
        <v>639</v>
      </c>
    </row>
    <row r="153" spans="1:30" ht="30.75" customHeight="1">
      <c r="A153">
        <f>Table4[[#This Row],[Column1]]</f>
        <v>0</v>
      </c>
      <c r="B153">
        <f>Table4[[#This Row],[Column2]]</f>
        <v>0</v>
      </c>
      <c r="C153" t="s">
        <v>3</v>
      </c>
      <c r="D153" t="s">
        <v>147</v>
      </c>
      <c r="E153" t="s">
        <v>161</v>
      </c>
      <c r="F153" t="s">
        <v>163</v>
      </c>
      <c r="G153" t="s">
        <v>166</v>
      </c>
      <c r="H153" t="s">
        <v>171</v>
      </c>
      <c r="I153" t="s">
        <v>214</v>
      </c>
      <c r="J153" t="s">
        <v>25</v>
      </c>
      <c r="K153" t="s">
        <v>160</v>
      </c>
      <c r="L153" t="s">
        <v>79</v>
      </c>
      <c r="M153">
        <v>71</v>
      </c>
      <c r="N153">
        <v>65</v>
      </c>
      <c r="O153" t="s">
        <v>81</v>
      </c>
      <c r="P153" t="s">
        <v>226</v>
      </c>
      <c r="Q153" t="s">
        <v>160</v>
      </c>
      <c r="R153" t="s">
        <v>160</v>
      </c>
      <c r="S153" t="s">
        <v>160</v>
      </c>
      <c r="T153" t="s">
        <v>195</v>
      </c>
      <c r="U153" t="s">
        <v>4</v>
      </c>
      <c r="V153" t="s">
        <v>203</v>
      </c>
      <c r="W153" t="s">
        <v>793</v>
      </c>
      <c r="X153" s="9">
        <v>43410</v>
      </c>
      <c r="Y153" t="s">
        <v>3</v>
      </c>
      <c r="Z153" t="s">
        <v>145</v>
      </c>
      <c r="AA153" t="s">
        <v>833</v>
      </c>
      <c r="AD153" t="s">
        <v>348</v>
      </c>
    </row>
    <row r="154" spans="1:30" ht="30.75" customHeight="1">
      <c r="A154">
        <f>Table4[[#This Row],[Column1]]</f>
        <v>0</v>
      </c>
      <c r="B154">
        <f>Table4[[#This Row],[Column2]]</f>
        <v>0</v>
      </c>
      <c r="C154" t="s">
        <v>3</v>
      </c>
      <c r="D154" t="s">
        <v>143</v>
      </c>
      <c r="E154" t="s">
        <v>160</v>
      </c>
      <c r="F154" t="s">
        <v>25</v>
      </c>
      <c r="G154" t="s">
        <v>160</v>
      </c>
      <c r="H154" t="s">
        <v>160</v>
      </c>
      <c r="I154" t="s">
        <v>25</v>
      </c>
      <c r="J154" t="s">
        <v>25</v>
      </c>
      <c r="K154" t="s">
        <v>160</v>
      </c>
      <c r="L154" t="s">
        <v>79</v>
      </c>
      <c r="M154">
        <v>90</v>
      </c>
      <c r="N154">
        <v>78</v>
      </c>
      <c r="O154" t="s">
        <v>81</v>
      </c>
      <c r="P154" t="s">
        <v>160</v>
      </c>
      <c r="Q154" t="s">
        <v>160</v>
      </c>
      <c r="R154" t="s">
        <v>160</v>
      </c>
      <c r="S154" t="s">
        <v>160</v>
      </c>
      <c r="T154" t="s">
        <v>195</v>
      </c>
      <c r="U154" t="s">
        <v>3</v>
      </c>
      <c r="V154" t="s">
        <v>203</v>
      </c>
      <c r="W154" t="s">
        <v>809</v>
      </c>
      <c r="X154" s="9">
        <v>43411</v>
      </c>
      <c r="Y154" t="s">
        <v>4</v>
      </c>
      <c r="AB154" s="9">
        <v>43405</v>
      </c>
      <c r="AC154" t="s">
        <v>269</v>
      </c>
      <c r="AD154" t="s">
        <v>25</v>
      </c>
    </row>
    <row r="155" spans="1:30" ht="30.75" customHeight="1">
      <c r="A155">
        <f>Table4[[#This Row],[Column1]]</f>
        <v>0</v>
      </c>
      <c r="B155">
        <f>Table4[[#This Row],[Column2]]</f>
        <v>0</v>
      </c>
      <c r="C155" t="s">
        <v>4</v>
      </c>
      <c r="AB155" s="9">
        <v>43402</v>
      </c>
      <c r="AC155" t="s">
        <v>269</v>
      </c>
      <c r="AD155" t="s">
        <v>25</v>
      </c>
    </row>
    <row r="156" spans="1:30" ht="30.75" customHeight="1">
      <c r="A156">
        <f>Table4[[#This Row],[Column1]]</f>
        <v>0</v>
      </c>
      <c r="B156">
        <f>Table4[[#This Row],[Column2]]</f>
        <v>0</v>
      </c>
      <c r="C156" t="s">
        <v>4</v>
      </c>
      <c r="AB156" s="9">
        <v>43402</v>
      </c>
      <c r="AC156" t="s">
        <v>269</v>
      </c>
      <c r="AD156" t="s">
        <v>25</v>
      </c>
    </row>
    <row r="157" spans="1:30" ht="30.75" customHeight="1">
      <c r="A157">
        <f>Table4[[#This Row],[Column1]]</f>
        <v>0</v>
      </c>
      <c r="B157">
        <f>Table4[[#This Row],[Column2]]</f>
        <v>0</v>
      </c>
      <c r="C157" t="s">
        <v>3</v>
      </c>
      <c r="D157" t="s">
        <v>147</v>
      </c>
      <c r="E157" t="s">
        <v>160</v>
      </c>
      <c r="F157" t="s">
        <v>25</v>
      </c>
      <c r="G157" t="s">
        <v>160</v>
      </c>
      <c r="H157" t="s">
        <v>171</v>
      </c>
      <c r="I157" t="s">
        <v>174</v>
      </c>
      <c r="J157" t="s">
        <v>76</v>
      </c>
      <c r="K157" t="s">
        <v>180</v>
      </c>
      <c r="L157" t="s">
        <v>79</v>
      </c>
      <c r="M157">
        <v>43</v>
      </c>
      <c r="N157">
        <v>63</v>
      </c>
      <c r="O157" t="s">
        <v>81</v>
      </c>
      <c r="P157" t="s">
        <v>226</v>
      </c>
      <c r="Q157" t="s">
        <v>160</v>
      </c>
      <c r="R157" t="s">
        <v>160</v>
      </c>
      <c r="S157" t="s">
        <v>160</v>
      </c>
      <c r="T157" t="s">
        <v>195</v>
      </c>
      <c r="U157" t="s">
        <v>4</v>
      </c>
      <c r="V157" t="s">
        <v>203</v>
      </c>
      <c r="W157" t="s">
        <v>810</v>
      </c>
      <c r="X157" s="9">
        <v>43411</v>
      </c>
      <c r="Y157" t="s">
        <v>3</v>
      </c>
      <c r="Z157" t="s">
        <v>143</v>
      </c>
      <c r="AA157" t="s">
        <v>840</v>
      </c>
    </row>
    <row r="158" spans="1:30" ht="30.75" customHeight="1">
      <c r="A158">
        <f>Table4[[#This Row],[Column1]]</f>
        <v>0</v>
      </c>
      <c r="B158">
        <f>Table4[[#This Row],[Column2]]</f>
        <v>0</v>
      </c>
      <c r="C158" t="s">
        <v>3</v>
      </c>
      <c r="D158" t="s">
        <v>145</v>
      </c>
      <c r="E158" t="s">
        <v>160</v>
      </c>
      <c r="F158" t="s">
        <v>163</v>
      </c>
      <c r="G158" t="s">
        <v>166</v>
      </c>
      <c r="H158" t="s">
        <v>171</v>
      </c>
      <c r="I158" t="s">
        <v>214</v>
      </c>
      <c r="J158" t="s">
        <v>76</v>
      </c>
      <c r="K158" t="s">
        <v>160</v>
      </c>
      <c r="L158">
        <v>119</v>
      </c>
      <c r="M158">
        <v>75</v>
      </c>
      <c r="N158">
        <v>78</v>
      </c>
      <c r="O158" t="s">
        <v>81</v>
      </c>
      <c r="P158" t="s">
        <v>226</v>
      </c>
      <c r="Q158" t="s">
        <v>160</v>
      </c>
      <c r="R158" t="s">
        <v>160</v>
      </c>
      <c r="S158" t="s">
        <v>160</v>
      </c>
      <c r="T158" t="s">
        <v>160</v>
      </c>
      <c r="U158" t="s">
        <v>4</v>
      </c>
      <c r="V158" t="s">
        <v>203</v>
      </c>
      <c r="W158" t="s">
        <v>818</v>
      </c>
      <c r="X158" s="9">
        <v>43412</v>
      </c>
      <c r="Y158" t="s">
        <v>3</v>
      </c>
      <c r="Z158" t="s">
        <v>143</v>
      </c>
      <c r="AA158" t="s">
        <v>850</v>
      </c>
    </row>
    <row r="159" spans="1:30" ht="30.75" customHeight="1">
      <c r="A159">
        <f>Table4[[#This Row],[Column1]]</f>
        <v>0</v>
      </c>
      <c r="B159">
        <f>Table4[[#This Row],[Column2]]</f>
        <v>0</v>
      </c>
      <c r="C159" t="s">
        <v>4</v>
      </c>
      <c r="AB159" s="9">
        <v>43399</v>
      </c>
      <c r="AC159" t="s">
        <v>269</v>
      </c>
      <c r="AD159" t="s">
        <v>25</v>
      </c>
    </row>
    <row r="160" spans="1:30" ht="30.75" customHeight="1">
      <c r="A160">
        <f>Table4[[#This Row],[Column1]]</f>
        <v>0</v>
      </c>
      <c r="B160">
        <f>Table4[[#This Row],[Column2]]</f>
        <v>0</v>
      </c>
      <c r="C160" t="s">
        <v>4</v>
      </c>
      <c r="AB160" s="9">
        <v>43402</v>
      </c>
      <c r="AC160" t="s">
        <v>269</v>
      </c>
      <c r="AD160" t="s">
        <v>25</v>
      </c>
    </row>
    <row r="161" spans="1:30" ht="30.75" customHeight="1">
      <c r="A161">
        <f>Table4[[#This Row],[Column1]]</f>
        <v>0</v>
      </c>
      <c r="B161">
        <f>Table4[[#This Row],[Column2]]</f>
        <v>0</v>
      </c>
      <c r="C161" t="s">
        <v>4</v>
      </c>
      <c r="AB161" s="9">
        <v>43402</v>
      </c>
      <c r="AC161" t="s">
        <v>269</v>
      </c>
      <c r="AD161" t="s">
        <v>25</v>
      </c>
    </row>
    <row r="162" spans="1:30" ht="30.75" customHeight="1">
      <c r="A162">
        <f>Table4[[#This Row],[Column1]]</f>
        <v>0</v>
      </c>
      <c r="B162">
        <f>Table4[[#This Row],[Column2]]</f>
        <v>0</v>
      </c>
      <c r="C162" t="s">
        <v>3</v>
      </c>
      <c r="D162" t="s">
        <v>147</v>
      </c>
      <c r="E162" t="s">
        <v>162</v>
      </c>
      <c r="F162" t="s">
        <v>163</v>
      </c>
      <c r="G162" t="s">
        <v>166</v>
      </c>
      <c r="H162" t="s">
        <v>171</v>
      </c>
      <c r="I162" t="s">
        <v>174</v>
      </c>
      <c r="J162" t="s">
        <v>76</v>
      </c>
      <c r="K162" t="s">
        <v>160</v>
      </c>
      <c r="L162" t="s">
        <v>79</v>
      </c>
      <c r="M162">
        <v>56</v>
      </c>
      <c r="N162">
        <v>60</v>
      </c>
      <c r="O162" t="s">
        <v>81</v>
      </c>
      <c r="P162" t="s">
        <v>160</v>
      </c>
      <c r="Q162" t="s">
        <v>160</v>
      </c>
      <c r="R162" t="s">
        <v>160</v>
      </c>
      <c r="S162" t="s">
        <v>160</v>
      </c>
      <c r="T162" t="s">
        <v>160</v>
      </c>
      <c r="U162" t="s">
        <v>3</v>
      </c>
      <c r="V162" t="s">
        <v>203</v>
      </c>
      <c r="W162" t="s">
        <v>822</v>
      </c>
      <c r="X162" s="9">
        <v>43413</v>
      </c>
      <c r="Y162" t="s">
        <v>3</v>
      </c>
      <c r="Z162" t="s">
        <v>143</v>
      </c>
      <c r="AA162" t="s">
        <v>849</v>
      </c>
    </row>
    <row r="163" spans="1:30" ht="30.75" customHeight="1">
      <c r="A163">
        <f>Table4[[#This Row],[Column1]]</f>
        <v>0</v>
      </c>
      <c r="B163">
        <f>Table4[[#This Row],[Column2]]</f>
        <v>0</v>
      </c>
      <c r="C163" t="s">
        <v>4</v>
      </c>
      <c r="AB163" s="9">
        <v>43402</v>
      </c>
      <c r="AC163" t="s">
        <v>269</v>
      </c>
      <c r="AD163" t="s">
        <v>25</v>
      </c>
    </row>
    <row r="164" spans="1:30" ht="30.75" customHeight="1">
      <c r="A164">
        <f>Table4[[#This Row],[Column1]]</f>
        <v>0</v>
      </c>
      <c r="B164">
        <f>Table4[[#This Row],[Column2]]</f>
        <v>0</v>
      </c>
      <c r="C164" t="s">
        <v>3</v>
      </c>
      <c r="D164" t="s">
        <v>145</v>
      </c>
      <c r="E164" t="s">
        <v>162</v>
      </c>
      <c r="F164" t="s">
        <v>165</v>
      </c>
      <c r="G164" t="s">
        <v>824</v>
      </c>
      <c r="H164" t="s">
        <v>171</v>
      </c>
      <c r="I164" t="s">
        <v>214</v>
      </c>
      <c r="J164" t="s">
        <v>25</v>
      </c>
      <c r="K164" t="s">
        <v>160</v>
      </c>
      <c r="L164" t="s">
        <v>539</v>
      </c>
      <c r="M164">
        <v>82</v>
      </c>
      <c r="N164">
        <v>59</v>
      </c>
      <c r="O164" t="s">
        <v>81</v>
      </c>
      <c r="P164" t="s">
        <v>226</v>
      </c>
      <c r="Q164" t="s">
        <v>160</v>
      </c>
      <c r="R164" t="s">
        <v>160</v>
      </c>
      <c r="S164" t="s">
        <v>160</v>
      </c>
      <c r="T164" t="s">
        <v>195</v>
      </c>
      <c r="U164" t="s">
        <v>4</v>
      </c>
      <c r="V164" t="s">
        <v>203</v>
      </c>
      <c r="W164" t="s">
        <v>825</v>
      </c>
    </row>
    <row r="165" spans="1:30" ht="30.75" customHeight="1">
      <c r="A165">
        <f>Table4[[#This Row],[Column1]]</f>
        <v>0</v>
      </c>
      <c r="B165">
        <f>Table4[[#This Row],[Column2]]</f>
        <v>0</v>
      </c>
      <c r="C165" t="s">
        <v>4</v>
      </c>
      <c r="AB165" s="9">
        <v>43409</v>
      </c>
      <c r="AC165" t="s">
        <v>269</v>
      </c>
      <c r="AD165" t="s">
        <v>348</v>
      </c>
    </row>
    <row r="166" spans="1:30" ht="30.75" customHeight="1">
      <c r="A166">
        <f>Table4[[#This Row],[Column1]]</f>
        <v>0</v>
      </c>
      <c r="B166">
        <f>Table4[[#This Row],[Column2]]</f>
        <v>0</v>
      </c>
      <c r="C166" t="s">
        <v>4</v>
      </c>
      <c r="AB166" s="9">
        <v>43404</v>
      </c>
      <c r="AC166" t="s">
        <v>269</v>
      </c>
      <c r="AD166" t="s">
        <v>25</v>
      </c>
    </row>
    <row r="167" spans="1:30" ht="30.75" customHeight="1">
      <c r="A167">
        <f>Table4[[#This Row],[Column1]]</f>
        <v>0</v>
      </c>
      <c r="B167">
        <f>Table4[[#This Row],[Column2]]</f>
        <v>0</v>
      </c>
      <c r="C167" t="s">
        <v>3</v>
      </c>
      <c r="D167" t="s">
        <v>143</v>
      </c>
      <c r="E167" t="s">
        <v>160</v>
      </c>
      <c r="F167" t="s">
        <v>72</v>
      </c>
      <c r="G167" t="s">
        <v>160</v>
      </c>
      <c r="H167" t="s">
        <v>160</v>
      </c>
      <c r="I167" t="s">
        <v>25</v>
      </c>
      <c r="J167" t="s">
        <v>25</v>
      </c>
      <c r="K167" t="s">
        <v>160</v>
      </c>
      <c r="L167" t="s">
        <v>79</v>
      </c>
      <c r="M167">
        <v>336</v>
      </c>
      <c r="N167">
        <v>332</v>
      </c>
      <c r="O167" t="s">
        <v>81</v>
      </c>
      <c r="P167" t="s">
        <v>160</v>
      </c>
      <c r="Q167" t="s">
        <v>160</v>
      </c>
      <c r="R167" t="s">
        <v>160</v>
      </c>
      <c r="S167" t="s">
        <v>160</v>
      </c>
      <c r="T167" t="s">
        <v>160</v>
      </c>
      <c r="U167" t="s">
        <v>3</v>
      </c>
      <c r="V167" t="s">
        <v>203</v>
      </c>
      <c r="W167" t="s">
        <v>835</v>
      </c>
    </row>
    <row r="168" spans="1:30" ht="30.75" customHeight="1">
      <c r="A168">
        <f>Table4[[#This Row],[Column1]]</f>
        <v>0</v>
      </c>
      <c r="B168">
        <f>Table4[[#This Row],[Column2]]</f>
        <v>0</v>
      </c>
      <c r="C168" t="s">
        <v>3</v>
      </c>
      <c r="D168" t="s">
        <v>144</v>
      </c>
      <c r="E168" t="s">
        <v>160</v>
      </c>
      <c r="F168" t="s">
        <v>25</v>
      </c>
      <c r="G168" t="s">
        <v>160</v>
      </c>
      <c r="H168" t="s">
        <v>160</v>
      </c>
      <c r="I168" t="s">
        <v>25</v>
      </c>
      <c r="J168" t="s">
        <v>25</v>
      </c>
      <c r="K168" t="s">
        <v>160</v>
      </c>
      <c r="L168" t="s">
        <v>79</v>
      </c>
      <c r="M168">
        <v>92</v>
      </c>
      <c r="N168">
        <v>141</v>
      </c>
      <c r="O168" t="s">
        <v>81</v>
      </c>
      <c r="P168" t="s">
        <v>160</v>
      </c>
      <c r="Q168" t="s">
        <v>160</v>
      </c>
      <c r="R168" t="s">
        <v>160</v>
      </c>
      <c r="S168" t="s">
        <v>160</v>
      </c>
      <c r="T168" t="s">
        <v>160</v>
      </c>
      <c r="U168" t="s">
        <v>4</v>
      </c>
      <c r="V168" t="s">
        <v>203</v>
      </c>
      <c r="W168" t="s">
        <v>834</v>
      </c>
    </row>
    <row r="169" spans="1:30" ht="30.75" customHeight="1">
      <c r="A169">
        <f>Table4[[#This Row],[Column1]]</f>
        <v>0</v>
      </c>
      <c r="B169">
        <f>Table4[[#This Row],[Column2]]</f>
        <v>0</v>
      </c>
      <c r="C169" t="s">
        <v>3</v>
      </c>
      <c r="D169" t="s">
        <v>145</v>
      </c>
      <c r="E169" t="s">
        <v>160</v>
      </c>
      <c r="F169" t="s">
        <v>25</v>
      </c>
      <c r="G169" t="s">
        <v>160</v>
      </c>
      <c r="H169" t="s">
        <v>171</v>
      </c>
      <c r="I169" t="s">
        <v>214</v>
      </c>
      <c r="J169" t="s">
        <v>25</v>
      </c>
      <c r="K169" t="s">
        <v>160</v>
      </c>
      <c r="L169" t="s">
        <v>79</v>
      </c>
      <c r="M169">
        <v>53</v>
      </c>
      <c r="N169">
        <v>68</v>
      </c>
      <c r="O169" t="s">
        <v>81</v>
      </c>
      <c r="P169" t="s">
        <v>226</v>
      </c>
      <c r="Q169" t="s">
        <v>160</v>
      </c>
      <c r="R169" t="s">
        <v>160</v>
      </c>
      <c r="S169" t="s">
        <v>160</v>
      </c>
      <c r="T169" t="s">
        <v>195</v>
      </c>
      <c r="U169" t="s">
        <v>4</v>
      </c>
      <c r="V169" t="s">
        <v>203</v>
      </c>
      <c r="W169" t="s">
        <v>841</v>
      </c>
    </row>
    <row r="170" spans="1:30" ht="30.75" customHeight="1">
      <c r="A170">
        <f>Table4[[#This Row],[Column1]]</f>
        <v>0</v>
      </c>
      <c r="B170">
        <f>Table4[[#This Row],[Column2]]</f>
        <v>0</v>
      </c>
      <c r="C170" t="s">
        <v>4</v>
      </c>
      <c r="AB170" s="9">
        <v>43408</v>
      </c>
      <c r="AC170" t="s">
        <v>269</v>
      </c>
      <c r="AD170" t="s">
        <v>25</v>
      </c>
    </row>
    <row r="171" spans="1:30" ht="30.75" customHeight="1">
      <c r="A171">
        <f>Table4[[#This Row],[Column1]]</f>
        <v>0</v>
      </c>
      <c r="B171">
        <f>Table4[[#This Row],[Column2]]</f>
        <v>0</v>
      </c>
    </row>
    <row r="172" spans="1:30" ht="30.75" customHeight="1">
      <c r="A172">
        <f>Table4[[#This Row],[Column1]]</f>
        <v>0</v>
      </c>
      <c r="B172">
        <f>Table4[[#This Row],[Column2]]</f>
        <v>0</v>
      </c>
      <c r="C172" t="s">
        <v>4</v>
      </c>
      <c r="AB172" s="9">
        <v>43409</v>
      </c>
      <c r="AC172" t="s">
        <v>269</v>
      </c>
      <c r="AD172" t="s">
        <v>348</v>
      </c>
    </row>
    <row r="173" spans="1:30" ht="30.75" customHeight="1">
      <c r="A173">
        <f>Table4[[#This Row],[Column1]]</f>
        <v>0</v>
      </c>
      <c r="B173">
        <f>Table4[[#This Row],[Column2]]</f>
        <v>0</v>
      </c>
    </row>
    <row r="174" spans="1:30" ht="30.75" customHeight="1">
      <c r="A174">
        <f>Table4[[#This Row],[Column1]]</f>
        <v>0</v>
      </c>
      <c r="B174">
        <f>Table4[[#This Row],[Column2]]</f>
        <v>0</v>
      </c>
    </row>
    <row r="175" spans="1:30" ht="30.75" customHeight="1">
      <c r="A175">
        <f>Table4[[#This Row],[Column1]]</f>
        <v>0</v>
      </c>
      <c r="B175">
        <f>Table4[[#This Row],[Column2]]</f>
        <v>0</v>
      </c>
    </row>
    <row r="176" spans="1:30" ht="30.75" customHeight="1">
      <c r="A176">
        <f>Table4[[#This Row],[Column1]]</f>
        <v>0</v>
      </c>
      <c r="B176">
        <f>Table4[[#This Row],[Column2]]</f>
        <v>0</v>
      </c>
    </row>
    <row r="177" spans="1:2" ht="30.75" customHeight="1">
      <c r="A177">
        <f>Table4[[#This Row],[Column1]]</f>
        <v>0</v>
      </c>
      <c r="B177">
        <f>Table4[[#This Row],[Column2]]</f>
        <v>0</v>
      </c>
    </row>
    <row r="178" spans="1:2" ht="30.75" customHeight="1">
      <c r="A178">
        <f>Table4[[#This Row],[Column1]]</f>
        <v>0</v>
      </c>
      <c r="B178">
        <f>Table4[[#This Row],[Column2]]</f>
        <v>0</v>
      </c>
    </row>
    <row r="179" spans="1:2" ht="30.75" customHeight="1">
      <c r="A179">
        <f>Table4[[#This Row],[Column1]]</f>
        <v>0</v>
      </c>
      <c r="B179">
        <f>Table4[[#This Row],[Column2]]</f>
        <v>0</v>
      </c>
    </row>
    <row r="180" spans="1:2" ht="30.75" customHeight="1">
      <c r="A180">
        <f>Table4[[#This Row],[Column1]]</f>
        <v>0</v>
      </c>
      <c r="B180">
        <f>Table4[[#This Row],[Column2]]</f>
        <v>0</v>
      </c>
    </row>
    <row r="181" spans="1:2" ht="30.75" customHeight="1">
      <c r="A181">
        <f>Table4[[#This Row],[Column1]]</f>
        <v>0</v>
      </c>
      <c r="B181">
        <f>Table4[[#This Row],[Column2]]</f>
        <v>0</v>
      </c>
    </row>
    <row r="182" spans="1:2" ht="30.75" customHeight="1">
      <c r="A182">
        <f>Table4[[#This Row],[Column1]]</f>
        <v>0</v>
      </c>
      <c r="B182">
        <f>Table4[[#This Row],[Column2]]</f>
        <v>0</v>
      </c>
    </row>
    <row r="183" spans="1:2" ht="30.75" customHeight="1">
      <c r="A183">
        <f>Table4[[#This Row],[Column1]]</f>
        <v>0</v>
      </c>
      <c r="B183">
        <f>Table4[[#This Row],[Column2]]</f>
        <v>0</v>
      </c>
    </row>
    <row r="184" spans="1:2" ht="30.75" customHeight="1">
      <c r="A184">
        <f>Table4[[#This Row],[Column1]]</f>
        <v>0</v>
      </c>
      <c r="B184">
        <f>Table4[[#This Row],[Column2]]</f>
        <v>0</v>
      </c>
    </row>
    <row r="185" spans="1:2" ht="30.75" customHeight="1">
      <c r="A185">
        <f>Table4[[#This Row],[Column1]]</f>
        <v>0</v>
      </c>
      <c r="B185">
        <f>Table4[[#This Row],[Column2]]</f>
        <v>0</v>
      </c>
    </row>
    <row r="186" spans="1:2" ht="30.75" customHeight="1">
      <c r="A186">
        <f>Table4[[#This Row],[Column1]]</f>
        <v>0</v>
      </c>
      <c r="B186">
        <f>Table4[[#This Row],[Column2]]</f>
        <v>0</v>
      </c>
    </row>
    <row r="187" spans="1:2" ht="30.75" customHeight="1">
      <c r="A187">
        <f>Table4[[#This Row],[Column1]]</f>
        <v>0</v>
      </c>
      <c r="B187">
        <f>Table4[[#This Row],[Column2]]</f>
        <v>0</v>
      </c>
    </row>
    <row r="188" spans="1:2" ht="30.75" customHeight="1">
      <c r="A188">
        <f>Table4[[#This Row],[Column1]]</f>
        <v>0</v>
      </c>
      <c r="B188">
        <f>Table4[[#This Row],[Column2]]</f>
        <v>0</v>
      </c>
    </row>
    <row r="189" spans="1:2" ht="30.75" customHeight="1">
      <c r="A189">
        <f>Table4[[#This Row],[Column1]]</f>
        <v>0</v>
      </c>
      <c r="B189">
        <f>Table4[[#This Row],[Column2]]</f>
        <v>0</v>
      </c>
    </row>
    <row r="190" spans="1:2" ht="30.75" customHeight="1">
      <c r="A190">
        <f>Table4[[#This Row],[Column1]]</f>
        <v>0</v>
      </c>
      <c r="B190">
        <f>Table4[[#This Row],[Column2]]</f>
        <v>0</v>
      </c>
    </row>
    <row r="191" spans="1:2" ht="30.75" customHeight="1">
      <c r="A191">
        <f>Table4[[#This Row],[Column1]]</f>
        <v>0</v>
      </c>
      <c r="B191">
        <f>Table4[[#This Row],[Column2]]</f>
        <v>0</v>
      </c>
    </row>
    <row r="192" spans="1:2" ht="30.75" customHeight="1">
      <c r="A192">
        <f>Table4[[#This Row],[Column1]]</f>
        <v>0</v>
      </c>
      <c r="B192">
        <f>Table4[[#This Row],[Column2]]</f>
        <v>0</v>
      </c>
    </row>
    <row r="193" spans="1:2" ht="30.75" customHeight="1">
      <c r="A193">
        <f>Table4[[#This Row],[Column1]]</f>
        <v>0</v>
      </c>
      <c r="B193">
        <f>Table4[[#This Row],[Column2]]</f>
        <v>0</v>
      </c>
    </row>
    <row r="194" spans="1:2" ht="30.75" customHeight="1">
      <c r="A194">
        <f>Table4[[#This Row],[Column1]]</f>
        <v>0</v>
      </c>
      <c r="B194">
        <f>Table4[[#This Row],[Column2]]</f>
        <v>0</v>
      </c>
    </row>
    <row r="195" spans="1:2" ht="30.75" customHeight="1">
      <c r="A195">
        <f>Table4[[#This Row],[Column1]]</f>
        <v>0</v>
      </c>
      <c r="B195">
        <f>Table4[[#This Row],[Column2]]</f>
        <v>0</v>
      </c>
    </row>
    <row r="196" spans="1:2" ht="30.75" customHeight="1">
      <c r="A196">
        <f>Table4[[#This Row],[Column1]]</f>
        <v>0</v>
      </c>
      <c r="B196">
        <f>Table4[[#This Row],[Column2]]</f>
        <v>0</v>
      </c>
    </row>
    <row r="197" spans="1:2" ht="30.75" customHeight="1">
      <c r="A197">
        <f>Table4[[#This Row],[Column1]]</f>
        <v>0</v>
      </c>
      <c r="B197">
        <f>Table4[[#This Row],[Column2]]</f>
        <v>0</v>
      </c>
    </row>
    <row r="198" spans="1:2" ht="30.75" customHeight="1">
      <c r="A198">
        <f>Table4[[#This Row],[Column1]]</f>
        <v>0</v>
      </c>
      <c r="B198">
        <f>Table4[[#This Row],[Column2]]</f>
        <v>0</v>
      </c>
    </row>
    <row r="199" spans="1:2" ht="30.75" customHeight="1">
      <c r="A199">
        <f>Table4[[#This Row],[Column1]]</f>
        <v>0</v>
      </c>
      <c r="B199">
        <f>Table4[[#This Row],[Column2]]</f>
        <v>0</v>
      </c>
    </row>
    <row r="200" spans="1:2" ht="30.75" customHeight="1">
      <c r="A200">
        <f>Table4[[#This Row],[Column1]]</f>
        <v>0</v>
      </c>
      <c r="B200">
        <f>Table4[[#This Row],[Column2]]</f>
        <v>0</v>
      </c>
    </row>
    <row r="201" spans="1:2" ht="30.75" customHeight="1">
      <c r="A201">
        <f>Table4[[#This Row],[Column1]]</f>
        <v>0</v>
      </c>
      <c r="B201">
        <f>Table4[[#This Row],[Column2]]</f>
        <v>0</v>
      </c>
    </row>
    <row r="202" spans="1:2" ht="30.75" customHeight="1">
      <c r="A202">
        <f>Table4[[#This Row],[Column1]]</f>
        <v>0</v>
      </c>
      <c r="B202">
        <f>Table4[[#This Row],[Column2]]</f>
        <v>0</v>
      </c>
    </row>
    <row r="203" spans="1:2" ht="30.75" customHeight="1">
      <c r="A203">
        <f>Table4[[#This Row],[Column1]]</f>
        <v>0</v>
      </c>
      <c r="B203">
        <f>Table4[[#This Row],[Column2]]</f>
        <v>0</v>
      </c>
    </row>
    <row r="204" spans="1:2" ht="30.75" customHeight="1">
      <c r="A204">
        <f>Table4[[#This Row],[Column1]]</f>
        <v>0</v>
      </c>
      <c r="B204">
        <f>Table4[[#This Row],[Column2]]</f>
        <v>0</v>
      </c>
    </row>
    <row r="205" spans="1:2" ht="30.75" customHeight="1">
      <c r="A205">
        <f>Table4[[#This Row],[Column1]]</f>
        <v>0</v>
      </c>
      <c r="B205">
        <f>Table4[[#This Row],[Column2]]</f>
        <v>0</v>
      </c>
    </row>
    <row r="206" spans="1:2" ht="30.75" customHeight="1">
      <c r="A206">
        <f>Table4[[#This Row],[Column1]]</f>
        <v>0</v>
      </c>
      <c r="B206">
        <f>Table4[[#This Row],[Column2]]</f>
        <v>0</v>
      </c>
    </row>
    <row r="207" spans="1:2" ht="30.75" customHeight="1">
      <c r="A207">
        <f>Table4[[#This Row],[Column1]]</f>
        <v>0</v>
      </c>
      <c r="B207">
        <f>Table4[[#This Row],[Column2]]</f>
        <v>0</v>
      </c>
    </row>
    <row r="208" spans="1:2" ht="30.75" customHeight="1">
      <c r="A208">
        <f>Table4[[#This Row],[Column1]]</f>
        <v>0</v>
      </c>
      <c r="B208">
        <f>Table4[[#This Row],[Column2]]</f>
        <v>0</v>
      </c>
    </row>
    <row r="209" spans="1:2" ht="30.75" customHeight="1">
      <c r="A209">
        <f>Table4[[#This Row],[Column1]]</f>
        <v>0</v>
      </c>
      <c r="B209">
        <f>Table4[[#This Row],[Column2]]</f>
        <v>0</v>
      </c>
    </row>
    <row r="210" spans="1:2" ht="30.75" customHeight="1">
      <c r="A210">
        <f>Table4[[#This Row],[Column1]]</f>
        <v>0</v>
      </c>
      <c r="B210">
        <f>Table4[[#This Row],[Column2]]</f>
        <v>0</v>
      </c>
    </row>
    <row r="211" spans="1:2" ht="30.75" customHeight="1">
      <c r="A211">
        <f>Table4[[#This Row],[Column1]]</f>
        <v>0</v>
      </c>
      <c r="B211">
        <f>Table4[[#This Row],[Column2]]</f>
        <v>0</v>
      </c>
    </row>
    <row r="212" spans="1:2" ht="30.75" customHeight="1">
      <c r="A212">
        <f>Table4[[#This Row],[Column1]]</f>
        <v>0</v>
      </c>
      <c r="B212">
        <f>Table4[[#This Row],[Column2]]</f>
        <v>0</v>
      </c>
    </row>
    <row r="213" spans="1:2" ht="30.75" customHeight="1">
      <c r="A213">
        <f>Table4[[#This Row],[Column1]]</f>
        <v>0</v>
      </c>
      <c r="B213">
        <f>Table4[[#This Row],[Column2]]</f>
        <v>0</v>
      </c>
    </row>
    <row r="214" spans="1:2" ht="30.75" customHeight="1">
      <c r="A214">
        <f>Table4[[#This Row],[Column1]]</f>
        <v>0</v>
      </c>
      <c r="B214">
        <f>Table4[[#This Row],[Column2]]</f>
        <v>0</v>
      </c>
    </row>
    <row r="215" spans="1:2" ht="30.75" customHeight="1">
      <c r="A215">
        <f>Table4[[#This Row],[Column1]]</f>
        <v>0</v>
      </c>
      <c r="B215">
        <f>Table4[[#This Row],[Column2]]</f>
        <v>0</v>
      </c>
    </row>
    <row r="216" spans="1:2" ht="30.75" customHeight="1">
      <c r="A216">
        <f>Table4[[#This Row],[Column1]]</f>
        <v>0</v>
      </c>
      <c r="B216">
        <f>Table4[[#This Row],[Column2]]</f>
        <v>0</v>
      </c>
    </row>
    <row r="217" spans="1:2" ht="30.75" customHeight="1">
      <c r="A217">
        <f>Table4[[#This Row],[Column1]]</f>
        <v>0</v>
      </c>
      <c r="B217">
        <f>Table4[[#This Row],[Column2]]</f>
        <v>0</v>
      </c>
    </row>
    <row r="218" spans="1:2" ht="30.75" customHeight="1">
      <c r="A218">
        <f>Table4[[#This Row],[Column1]]</f>
        <v>0</v>
      </c>
      <c r="B218">
        <f>Table4[[#This Row],[Column2]]</f>
        <v>0</v>
      </c>
    </row>
    <row r="219" spans="1:2" ht="30.75" customHeight="1">
      <c r="A219">
        <f>Table4[[#This Row],[Column1]]</f>
        <v>0</v>
      </c>
      <c r="B219">
        <f>Table4[[#This Row],[Column2]]</f>
        <v>0</v>
      </c>
    </row>
    <row r="220" spans="1:2" ht="30.75" customHeight="1">
      <c r="A220">
        <f>Table4[[#This Row],[Column1]]</f>
        <v>0</v>
      </c>
      <c r="B220">
        <f>Table4[[#This Row],[Column2]]</f>
        <v>0</v>
      </c>
    </row>
    <row r="221" spans="1:2" ht="30.75" customHeight="1">
      <c r="A221">
        <f>Table4[[#This Row],[Column1]]</f>
        <v>0</v>
      </c>
      <c r="B221">
        <f>Table4[[#This Row],[Column2]]</f>
        <v>0</v>
      </c>
    </row>
    <row r="222" spans="1:2" ht="30.75" customHeight="1">
      <c r="A222">
        <f>Table4[[#This Row],[Column1]]</f>
        <v>0</v>
      </c>
      <c r="B222">
        <f>Table4[[#This Row],[Column2]]</f>
        <v>0</v>
      </c>
    </row>
    <row r="223" spans="1:2" ht="30.75" customHeight="1">
      <c r="A223">
        <f>Table4[[#This Row],[Column1]]</f>
        <v>0</v>
      </c>
      <c r="B223">
        <f>Table4[[#This Row],[Column2]]</f>
        <v>0</v>
      </c>
    </row>
    <row r="224" spans="1:2" ht="30.75" customHeight="1">
      <c r="A224">
        <f>Table4[[#This Row],[Column1]]</f>
        <v>0</v>
      </c>
      <c r="B224">
        <f>Table4[[#This Row],[Column2]]</f>
        <v>0</v>
      </c>
    </row>
    <row r="225" spans="1:2" ht="30.75" customHeight="1">
      <c r="A225">
        <f>Table4[[#This Row],[Column1]]</f>
        <v>0</v>
      </c>
      <c r="B225">
        <f>Table4[[#This Row],[Column2]]</f>
        <v>0</v>
      </c>
    </row>
    <row r="226" spans="1:2" ht="30.75" customHeight="1">
      <c r="A226">
        <f>Table4[[#This Row],[Column1]]</f>
        <v>0</v>
      </c>
      <c r="B226">
        <f>Table4[[#This Row],[Column2]]</f>
        <v>0</v>
      </c>
    </row>
    <row r="227" spans="1:2" ht="30.75" customHeight="1">
      <c r="A227">
        <f>Table4[[#This Row],[Column1]]</f>
        <v>0</v>
      </c>
      <c r="B227">
        <f>Table4[[#This Row],[Column2]]</f>
        <v>0</v>
      </c>
    </row>
    <row r="228" spans="1:2" ht="30.75" customHeight="1">
      <c r="A228">
        <f>Table4[[#This Row],[Column1]]</f>
        <v>0</v>
      </c>
      <c r="B228">
        <f>Table4[[#This Row],[Column2]]</f>
        <v>0</v>
      </c>
    </row>
    <row r="229" spans="1:2" ht="30.75" customHeight="1">
      <c r="A229">
        <f>Table4[[#This Row],[Column1]]</f>
        <v>0</v>
      </c>
      <c r="B229">
        <f>Table4[[#This Row],[Column2]]</f>
        <v>0</v>
      </c>
    </row>
    <row r="230" spans="1:2" ht="30.75" customHeight="1">
      <c r="A230">
        <f>Table4[[#This Row],[Column1]]</f>
        <v>0</v>
      </c>
      <c r="B230">
        <f>Table4[[#This Row],[Column2]]</f>
        <v>0</v>
      </c>
    </row>
    <row r="231" spans="1:2" ht="30.75" customHeight="1">
      <c r="A231">
        <f>Table4[[#This Row],[Column1]]</f>
        <v>0</v>
      </c>
      <c r="B231">
        <f>Table4[[#This Row],[Column2]]</f>
        <v>0</v>
      </c>
    </row>
    <row r="232" spans="1:2" ht="30.75" customHeight="1">
      <c r="A232">
        <f>Table4[[#This Row],[Column1]]</f>
        <v>0</v>
      </c>
      <c r="B232">
        <f>Table4[[#This Row],[Column2]]</f>
        <v>0</v>
      </c>
    </row>
    <row r="233" spans="1:2" ht="30.75" customHeight="1">
      <c r="A233">
        <f>Table4[[#This Row],[Column1]]</f>
        <v>0</v>
      </c>
      <c r="B233">
        <f>Table4[[#This Row],[Column2]]</f>
        <v>0</v>
      </c>
    </row>
    <row r="234" spans="1:2" ht="30.75" customHeight="1">
      <c r="A234">
        <f>Table4[[#This Row],[Column1]]</f>
        <v>0</v>
      </c>
      <c r="B234">
        <f>Table4[[#This Row],[Column2]]</f>
        <v>0</v>
      </c>
    </row>
    <row r="235" spans="1:2" ht="30.75" customHeight="1">
      <c r="A235">
        <f>Table4[[#This Row],[Column1]]</f>
        <v>0</v>
      </c>
      <c r="B235">
        <f>Table4[[#This Row],[Column2]]</f>
        <v>0</v>
      </c>
    </row>
    <row r="236" spans="1:2" ht="30.75" customHeight="1">
      <c r="A236">
        <f>Table4[[#This Row],[Column1]]</f>
        <v>0</v>
      </c>
      <c r="B236">
        <f>Table4[[#This Row],[Column2]]</f>
        <v>0</v>
      </c>
    </row>
    <row r="237" spans="1:2" ht="30.75" customHeight="1">
      <c r="A237">
        <f>Table4[[#This Row],[Column1]]</f>
        <v>0</v>
      </c>
      <c r="B237">
        <f>Table4[[#This Row],[Column2]]</f>
        <v>0</v>
      </c>
    </row>
    <row r="238" spans="1:2" ht="30.75" customHeight="1">
      <c r="A238">
        <f>Table4[[#This Row],[Column1]]</f>
        <v>0</v>
      </c>
      <c r="B238">
        <f>Table4[[#This Row],[Column2]]</f>
        <v>0</v>
      </c>
    </row>
    <row r="239" spans="1:2" ht="30.75" customHeight="1">
      <c r="A239">
        <f>Table4[[#This Row],[Column1]]</f>
        <v>0</v>
      </c>
      <c r="B239">
        <f>Table4[[#This Row],[Column2]]</f>
        <v>0</v>
      </c>
    </row>
    <row r="240" spans="1:2" ht="30.75" customHeight="1">
      <c r="A240">
        <f>Table4[[#This Row],[Column1]]</f>
        <v>0</v>
      </c>
      <c r="B240">
        <f>Table4[[#This Row],[Column2]]</f>
        <v>0</v>
      </c>
    </row>
    <row r="241" spans="1:2" ht="30.75" customHeight="1">
      <c r="A241">
        <f>Table4[[#This Row],[Column1]]</f>
        <v>0</v>
      </c>
      <c r="B241">
        <f>Table4[[#This Row],[Column2]]</f>
        <v>0</v>
      </c>
    </row>
    <row r="242" spans="1:2" ht="30.75" customHeight="1">
      <c r="A242">
        <f>Table4[[#This Row],[Column1]]</f>
        <v>0</v>
      </c>
      <c r="B242">
        <f>Table4[[#This Row],[Column2]]</f>
        <v>0</v>
      </c>
    </row>
    <row r="243" spans="1:2" ht="30.75" customHeight="1">
      <c r="A243">
        <f>Table4[[#This Row],[Column1]]</f>
        <v>0</v>
      </c>
      <c r="B243">
        <f>Table4[[#This Row],[Column2]]</f>
        <v>0</v>
      </c>
    </row>
    <row r="244" spans="1:2" ht="30.75" customHeight="1">
      <c r="A244">
        <f>Table4[[#This Row],[Column1]]</f>
        <v>0</v>
      </c>
      <c r="B244">
        <f>Table4[[#This Row],[Column2]]</f>
        <v>0</v>
      </c>
    </row>
    <row r="245" spans="1:2" ht="30.75" customHeight="1">
      <c r="A245">
        <f>Table4[[#This Row],[Column1]]</f>
        <v>0</v>
      </c>
      <c r="B245">
        <f>Table4[[#This Row],[Column2]]</f>
        <v>0</v>
      </c>
    </row>
    <row r="246" spans="1:2" ht="30.75" customHeight="1">
      <c r="A246">
        <f>Table4[[#This Row],[Column1]]</f>
        <v>0</v>
      </c>
      <c r="B246">
        <f>Table4[[#This Row],[Column2]]</f>
        <v>0</v>
      </c>
    </row>
    <row r="247" spans="1:2" ht="30.75" customHeight="1">
      <c r="A247">
        <f>Table4[[#This Row],[Column1]]</f>
        <v>0</v>
      </c>
      <c r="B247">
        <f>Table4[[#This Row],[Column2]]</f>
        <v>0</v>
      </c>
    </row>
    <row r="248" spans="1:2" ht="30.75" customHeight="1">
      <c r="A248">
        <f>Table4[[#This Row],[Column1]]</f>
        <v>0</v>
      </c>
      <c r="B248">
        <f>Table4[[#This Row],[Column2]]</f>
        <v>0</v>
      </c>
    </row>
    <row r="249" spans="1:2" ht="30.75" customHeight="1">
      <c r="A249">
        <f>Table4[[#This Row],[Column1]]</f>
        <v>0</v>
      </c>
      <c r="B249">
        <f>Table4[[#This Row],[Column2]]</f>
        <v>0</v>
      </c>
    </row>
    <row r="250" spans="1:2" ht="30.75" customHeight="1">
      <c r="A250">
        <f>Table4[[#This Row],[Column1]]</f>
        <v>0</v>
      </c>
      <c r="B250">
        <f>Table4[[#This Row],[Column2]]</f>
        <v>0</v>
      </c>
    </row>
    <row r="251" spans="1:2" ht="30.75" customHeight="1">
      <c r="A251">
        <f>Table4[[#This Row],[Column1]]</f>
        <v>0</v>
      </c>
      <c r="B251">
        <f>Table4[[#This Row],[Column2]]</f>
        <v>0</v>
      </c>
    </row>
    <row r="252" spans="1:2" ht="30.75" customHeight="1">
      <c r="A252">
        <f>Table4[[#This Row],[Column1]]</f>
        <v>0</v>
      </c>
      <c r="B252">
        <f>Table4[[#This Row],[Column2]]</f>
        <v>0</v>
      </c>
    </row>
    <row r="253" spans="1:2" ht="30.75" customHeight="1">
      <c r="A253">
        <f>Table4[[#This Row],[Column1]]</f>
        <v>0</v>
      </c>
      <c r="B253">
        <f>Table4[[#This Row],[Column2]]</f>
        <v>0</v>
      </c>
    </row>
    <row r="254" spans="1:2" ht="30.75" customHeight="1">
      <c r="A254">
        <f>Table4[[#This Row],[Column1]]</f>
        <v>0</v>
      </c>
      <c r="B254">
        <f>Table4[[#This Row],[Column2]]</f>
        <v>0</v>
      </c>
    </row>
    <row r="255" spans="1:2" ht="30.75" customHeight="1">
      <c r="A255">
        <f>Table4[[#This Row],[Column1]]</f>
        <v>0</v>
      </c>
      <c r="B255">
        <f>Table4[[#This Row],[Column2]]</f>
        <v>0</v>
      </c>
    </row>
    <row r="256" spans="1:2" ht="30.75" customHeight="1">
      <c r="A256">
        <f>Table4[[#This Row],[Column1]]</f>
        <v>0</v>
      </c>
      <c r="B256">
        <f>Table4[[#This Row],[Column2]]</f>
        <v>0</v>
      </c>
    </row>
    <row r="257" spans="1:2" ht="30.75" customHeight="1">
      <c r="A257">
        <f>Table4[[#This Row],[Column1]]</f>
        <v>0</v>
      </c>
      <c r="B257">
        <f>Table4[[#This Row],[Column2]]</f>
        <v>0</v>
      </c>
    </row>
    <row r="258" spans="1:2" ht="30.75" customHeight="1">
      <c r="A258">
        <f>Table4[[#This Row],[Column1]]</f>
        <v>0</v>
      </c>
      <c r="B258">
        <f>Table4[[#This Row],[Column2]]</f>
        <v>0</v>
      </c>
    </row>
    <row r="259" spans="1:2" ht="30.75" customHeight="1">
      <c r="A259">
        <f>Table4[[#This Row],[Column1]]</f>
        <v>0</v>
      </c>
      <c r="B259">
        <f>Table4[[#This Row],[Column2]]</f>
        <v>0</v>
      </c>
    </row>
    <row r="260" spans="1:2" ht="30.75" customHeight="1">
      <c r="A260">
        <f>Table4[[#This Row],[Column1]]</f>
        <v>0</v>
      </c>
      <c r="B260">
        <f>Table4[[#This Row],[Column2]]</f>
        <v>0</v>
      </c>
    </row>
    <row r="261" spans="1:2" ht="30.75" customHeight="1">
      <c r="A261">
        <f>Table4[[#This Row],[Column1]]</f>
        <v>0</v>
      </c>
      <c r="B261">
        <f>Table4[[#This Row],[Column2]]</f>
        <v>0</v>
      </c>
    </row>
    <row r="262" spans="1:2" ht="30.75" customHeight="1">
      <c r="A262">
        <f>Table4[[#This Row],[Column1]]</f>
        <v>0</v>
      </c>
      <c r="B262">
        <f>Table4[[#This Row],[Column2]]</f>
        <v>0</v>
      </c>
    </row>
    <row r="263" spans="1:2" ht="30.75" customHeight="1">
      <c r="A263">
        <f>Table4[[#This Row],[Column1]]</f>
        <v>0</v>
      </c>
      <c r="B263">
        <f>Table4[[#This Row],[Column2]]</f>
        <v>0</v>
      </c>
    </row>
    <row r="264" spans="1:2" ht="30.75" customHeight="1">
      <c r="A264">
        <f>Table4[[#This Row],[Column1]]</f>
        <v>0</v>
      </c>
      <c r="B264">
        <f>Table4[[#This Row],[Column2]]</f>
        <v>0</v>
      </c>
    </row>
    <row r="265" spans="1:2" ht="30.75" customHeight="1">
      <c r="A265">
        <f>Table4[[#This Row],[Column1]]</f>
        <v>0</v>
      </c>
      <c r="B265">
        <f>Table4[[#This Row],[Column2]]</f>
        <v>0</v>
      </c>
    </row>
    <row r="266" spans="1:2" ht="30.75" customHeight="1">
      <c r="A266">
        <f>Table4[[#This Row],[Column1]]</f>
        <v>0</v>
      </c>
      <c r="B266">
        <f>Table4[[#This Row],[Column2]]</f>
        <v>0</v>
      </c>
    </row>
    <row r="267" spans="1:2" ht="30.75" customHeight="1">
      <c r="A267">
        <f>Table4[[#This Row],[Column1]]</f>
        <v>0</v>
      </c>
      <c r="B267">
        <f>Table4[[#This Row],[Column2]]</f>
        <v>0</v>
      </c>
    </row>
    <row r="268" spans="1:2" ht="30.75" customHeight="1">
      <c r="A268">
        <f>Table4[[#This Row],[Column1]]</f>
        <v>0</v>
      </c>
      <c r="B268">
        <f>Table4[[#This Row],[Column2]]</f>
        <v>0</v>
      </c>
    </row>
    <row r="269" spans="1:2" ht="30.75" customHeight="1">
      <c r="A269">
        <f>Table4[[#This Row],[Column1]]</f>
        <v>0</v>
      </c>
      <c r="B269">
        <f>Table4[[#This Row],[Column2]]</f>
        <v>0</v>
      </c>
    </row>
    <row r="270" spans="1:2" ht="30.75" customHeight="1">
      <c r="A270">
        <f>Table4[[#This Row],[Column1]]</f>
        <v>0</v>
      </c>
      <c r="B270">
        <f>Table4[[#This Row],[Column2]]</f>
        <v>0</v>
      </c>
    </row>
    <row r="271" spans="1:2" ht="30.75" customHeight="1">
      <c r="A271">
        <f>Table4[[#This Row],[Column1]]</f>
        <v>0</v>
      </c>
      <c r="B271">
        <f>Table4[[#This Row],[Column2]]</f>
        <v>0</v>
      </c>
    </row>
    <row r="272" spans="1:2" ht="30.75" customHeight="1">
      <c r="A272">
        <f>Table4[[#This Row],[Column1]]</f>
        <v>0</v>
      </c>
      <c r="B272">
        <f>Table4[[#This Row],[Column2]]</f>
        <v>0</v>
      </c>
    </row>
    <row r="273" spans="1:2" ht="30.75" customHeight="1">
      <c r="A273">
        <f>Table4[[#This Row],[Column1]]</f>
        <v>0</v>
      </c>
      <c r="B273">
        <f>Table4[[#This Row],[Column2]]</f>
        <v>0</v>
      </c>
    </row>
    <row r="274" spans="1:2" ht="30.75" customHeight="1">
      <c r="A274">
        <f>Table4[[#This Row],[Column1]]</f>
        <v>0</v>
      </c>
      <c r="B274">
        <f>Table4[[#This Row],[Column2]]</f>
        <v>0</v>
      </c>
    </row>
    <row r="275" spans="1:2" ht="30.75" customHeight="1">
      <c r="A275">
        <f>Table4[[#This Row],[Column1]]</f>
        <v>0</v>
      </c>
      <c r="B275">
        <f>Table4[[#This Row],[Column2]]</f>
        <v>0</v>
      </c>
    </row>
    <row r="276" spans="1:2" ht="30.75" customHeight="1">
      <c r="A276">
        <f>Table4[[#This Row],[Column1]]</f>
        <v>0</v>
      </c>
      <c r="B276">
        <f>Table4[[#This Row],[Column2]]</f>
        <v>0</v>
      </c>
    </row>
    <row r="277" spans="1:2" ht="30.75" customHeight="1">
      <c r="A277">
        <f>Table4[[#This Row],[Column1]]</f>
        <v>0</v>
      </c>
      <c r="B277">
        <f>Table4[[#This Row],[Column2]]</f>
        <v>0</v>
      </c>
    </row>
    <row r="278" spans="1:2" ht="30.75" customHeight="1">
      <c r="A278">
        <f>Table4[[#This Row],[Column1]]</f>
        <v>0</v>
      </c>
      <c r="B278">
        <f>Table4[[#This Row],[Column2]]</f>
        <v>0</v>
      </c>
    </row>
    <row r="279" spans="1:2" ht="30.75" customHeight="1">
      <c r="A279">
        <f>Table4[[#This Row],[Column1]]</f>
        <v>0</v>
      </c>
      <c r="B279">
        <f>Table4[[#This Row],[Column2]]</f>
        <v>0</v>
      </c>
    </row>
    <row r="280" spans="1:2" ht="30.75" customHeight="1">
      <c r="A280">
        <f>Table4[[#This Row],[Column1]]</f>
        <v>0</v>
      </c>
      <c r="B280">
        <f>Table4[[#This Row],[Column2]]</f>
        <v>0</v>
      </c>
    </row>
    <row r="281" spans="1:2" ht="30.75" customHeight="1">
      <c r="A281">
        <f>Table4[[#This Row],[Column1]]</f>
        <v>0</v>
      </c>
      <c r="B281">
        <f>Table4[[#This Row],[Column2]]</f>
        <v>0</v>
      </c>
    </row>
    <row r="282" spans="1:2" ht="30.75" customHeight="1">
      <c r="A282">
        <f>Table4[[#This Row],[Column1]]</f>
        <v>0</v>
      </c>
      <c r="B282">
        <f>Table4[[#This Row],[Column2]]</f>
        <v>0</v>
      </c>
    </row>
    <row r="283" spans="1:2" ht="30.75" customHeight="1">
      <c r="A283">
        <f>Table4[[#This Row],[Column1]]</f>
        <v>0</v>
      </c>
      <c r="B283">
        <f>Table4[[#This Row],[Column2]]</f>
        <v>0</v>
      </c>
    </row>
    <row r="284" spans="1:2" ht="30.75" customHeight="1">
      <c r="A284">
        <f>Table4[[#This Row],[Column1]]</f>
        <v>0</v>
      </c>
      <c r="B284">
        <f>Table4[[#This Row],[Column2]]</f>
        <v>0</v>
      </c>
    </row>
    <row r="285" spans="1:2" ht="30.75" customHeight="1">
      <c r="A285">
        <f>Table4[[#This Row],[Column1]]</f>
        <v>0</v>
      </c>
      <c r="B285">
        <f>Table4[[#This Row],[Column2]]</f>
        <v>0</v>
      </c>
    </row>
    <row r="286" spans="1:2" ht="30.75" customHeight="1">
      <c r="A286">
        <f>Table4[[#This Row],[Column1]]</f>
        <v>0</v>
      </c>
      <c r="B286">
        <f>Table4[[#This Row],[Column2]]</f>
        <v>0</v>
      </c>
    </row>
    <row r="287" spans="1:2" ht="30.75" customHeight="1">
      <c r="A287">
        <f>Table4[[#This Row],[Column1]]</f>
        <v>0</v>
      </c>
      <c r="B287">
        <f>Table4[[#This Row],[Column2]]</f>
        <v>0</v>
      </c>
    </row>
    <row r="288" spans="1:2" ht="30.75" customHeight="1">
      <c r="A288">
        <f>Table4[[#This Row],[Column1]]</f>
        <v>0</v>
      </c>
      <c r="B288">
        <f>Table4[[#This Row],[Column2]]</f>
        <v>0</v>
      </c>
    </row>
    <row r="289" spans="1:2" ht="30.75" customHeight="1">
      <c r="A289">
        <f>Table4[[#This Row],[Column1]]</f>
        <v>0</v>
      </c>
      <c r="B289">
        <f>Table4[[#This Row],[Column2]]</f>
        <v>0</v>
      </c>
    </row>
    <row r="290" spans="1:2" ht="30.75" customHeight="1">
      <c r="A290">
        <f>Table4[[#This Row],[Column1]]</f>
        <v>0</v>
      </c>
      <c r="B290">
        <f>Table4[[#This Row],[Column2]]</f>
        <v>0</v>
      </c>
    </row>
    <row r="291" spans="1:2" ht="30.75" customHeight="1">
      <c r="A291">
        <f>Table4[[#This Row],[Column1]]</f>
        <v>0</v>
      </c>
      <c r="B291">
        <f>Table4[[#This Row],[Column2]]</f>
        <v>0</v>
      </c>
    </row>
    <row r="292" spans="1:2" ht="30.75" customHeight="1">
      <c r="A292">
        <f>Table4[[#This Row],[Column1]]</f>
        <v>0</v>
      </c>
      <c r="B292">
        <f>Table4[[#This Row],[Column2]]</f>
        <v>0</v>
      </c>
    </row>
    <row r="293" spans="1:2" ht="30.75" customHeight="1">
      <c r="A293">
        <f>Table4[[#This Row],[Column1]]</f>
        <v>0</v>
      </c>
      <c r="B293">
        <f>Table4[[#This Row],[Column2]]</f>
        <v>0</v>
      </c>
    </row>
    <row r="294" spans="1:2" ht="30.75" customHeight="1">
      <c r="A294">
        <f>Table4[[#This Row],[Column1]]</f>
        <v>0</v>
      </c>
      <c r="B294">
        <f>Table4[[#This Row],[Column2]]</f>
        <v>0</v>
      </c>
    </row>
    <row r="295" spans="1:2" ht="30.75" customHeight="1">
      <c r="A295">
        <f>Table4[[#This Row],[Column1]]</f>
        <v>0</v>
      </c>
      <c r="B295">
        <f>Table4[[#This Row],[Column2]]</f>
        <v>0</v>
      </c>
    </row>
    <row r="296" spans="1:2" ht="30.75" customHeight="1">
      <c r="A296">
        <f>Table4[[#This Row],[Column1]]</f>
        <v>0</v>
      </c>
      <c r="B296">
        <f>Table4[[#This Row],[Column2]]</f>
        <v>0</v>
      </c>
    </row>
    <row r="297" spans="1:2" ht="30.75" customHeight="1">
      <c r="A297">
        <f>Table4[[#This Row],[Column1]]</f>
        <v>0</v>
      </c>
      <c r="B297">
        <f>Table4[[#This Row],[Column2]]</f>
        <v>0</v>
      </c>
    </row>
    <row r="298" spans="1:2" ht="30.75" customHeight="1">
      <c r="A298">
        <f>Table4[[#This Row],[Column1]]</f>
        <v>0</v>
      </c>
      <c r="B298">
        <f>Table4[[#This Row],[Column2]]</f>
        <v>0</v>
      </c>
    </row>
    <row r="299" spans="1:2" ht="30.75" customHeight="1">
      <c r="A299">
        <f>Table4[[#This Row],[Column1]]</f>
        <v>0</v>
      </c>
      <c r="B299">
        <f>Table4[[#This Row],[Column2]]</f>
        <v>0</v>
      </c>
    </row>
    <row r="300" spans="1:2" ht="30.75" customHeight="1">
      <c r="A300">
        <f>Table4[[#This Row],[Column1]]</f>
        <v>0</v>
      </c>
      <c r="B300">
        <f>Table4[[#This Row],[Column2]]</f>
        <v>0</v>
      </c>
    </row>
    <row r="301" spans="1:2" ht="30.75" customHeight="1">
      <c r="A301">
        <f>Table4[[#This Row],[Column1]]</f>
        <v>0</v>
      </c>
      <c r="B301">
        <f>Table4[[#This Row],[Column2]]</f>
        <v>0</v>
      </c>
    </row>
    <row r="302" spans="1:2" ht="30.75" customHeight="1">
      <c r="A302">
        <f>Table4[[#This Row],[Column1]]</f>
        <v>0</v>
      </c>
      <c r="B302">
        <f>Table4[[#This Row],[Column2]]</f>
        <v>0</v>
      </c>
    </row>
    <row r="303" spans="1:2" ht="30.75" customHeight="1">
      <c r="A303">
        <f>Table4[[#This Row],[Column1]]</f>
        <v>0</v>
      </c>
      <c r="B303">
        <f>Table4[[#This Row],[Column2]]</f>
        <v>0</v>
      </c>
    </row>
    <row r="304" spans="1:2" ht="30.75" customHeight="1">
      <c r="A304">
        <f>Table4[[#This Row],[Column1]]</f>
        <v>0</v>
      </c>
      <c r="B304">
        <f>Table4[[#This Row],[Column2]]</f>
        <v>0</v>
      </c>
    </row>
    <row r="305" spans="1:2" ht="30.75" customHeight="1">
      <c r="A305">
        <f>Table4[[#This Row],[Column1]]</f>
        <v>0</v>
      </c>
      <c r="B305">
        <f>Table4[[#This Row],[Column2]]</f>
        <v>0</v>
      </c>
    </row>
    <row r="306" spans="1:2" ht="30.75" customHeight="1">
      <c r="A306">
        <f>Table4[[#This Row],[Column1]]</f>
        <v>0</v>
      </c>
      <c r="B306">
        <f>Table4[[#This Row],[Column2]]</f>
        <v>0</v>
      </c>
    </row>
    <row r="307" spans="1:2" ht="30.75" customHeight="1">
      <c r="A307">
        <f>Table4[[#This Row],[Column1]]</f>
        <v>0</v>
      </c>
      <c r="B307">
        <f>Table4[[#This Row],[Column2]]</f>
        <v>0</v>
      </c>
    </row>
    <row r="308" spans="1:2" ht="30.75" customHeight="1">
      <c r="A308">
        <f>Table4[[#This Row],[Column1]]</f>
        <v>0</v>
      </c>
      <c r="B308">
        <f>Table4[[#This Row],[Column2]]</f>
        <v>0</v>
      </c>
    </row>
    <row r="309" spans="1:2" ht="30.75" customHeight="1">
      <c r="A309">
        <f>Table4[[#This Row],[Column1]]</f>
        <v>0</v>
      </c>
      <c r="B309">
        <f>Table4[[#This Row],[Column2]]</f>
        <v>0</v>
      </c>
    </row>
    <row r="310" spans="1:2" ht="30.75" customHeight="1">
      <c r="A310">
        <f>Table4[[#This Row],[Column1]]</f>
        <v>0</v>
      </c>
      <c r="B310">
        <f>Table4[[#This Row],[Column2]]</f>
        <v>0</v>
      </c>
    </row>
    <row r="311" spans="1:2" ht="30.75" customHeight="1">
      <c r="A311">
        <f>Table4[[#This Row],[Column1]]</f>
        <v>0</v>
      </c>
      <c r="B311">
        <f>Table4[[#This Row],[Column2]]</f>
        <v>0</v>
      </c>
    </row>
    <row r="312" spans="1:2" ht="30.75" customHeight="1">
      <c r="A312">
        <f>Table4[[#This Row],[Column1]]</f>
        <v>0</v>
      </c>
      <c r="B312">
        <f>Table4[[#This Row],[Column2]]</f>
        <v>0</v>
      </c>
    </row>
    <row r="313" spans="1:2" ht="30.75" customHeight="1">
      <c r="A313">
        <f>Table4[[#This Row],[Column1]]</f>
        <v>0</v>
      </c>
      <c r="B313">
        <f>Table4[[#This Row],[Column2]]</f>
        <v>0</v>
      </c>
    </row>
    <row r="314" spans="1:2" ht="30.75" customHeight="1">
      <c r="A314">
        <f>Table4[[#This Row],[Column1]]</f>
        <v>0</v>
      </c>
      <c r="B314">
        <f>Table4[[#This Row],[Column2]]</f>
        <v>0</v>
      </c>
    </row>
    <row r="315" spans="1:2" ht="30.75" customHeight="1">
      <c r="A315">
        <f>Table4[[#This Row],[Column1]]</f>
        <v>0</v>
      </c>
      <c r="B315">
        <f>Table4[[#This Row],[Column2]]</f>
        <v>0</v>
      </c>
    </row>
    <row r="316" spans="1:2" ht="30.75" customHeight="1">
      <c r="A316">
        <f>Table4[[#This Row],[Column1]]</f>
        <v>0</v>
      </c>
      <c r="B316">
        <f>Table4[[#This Row],[Column2]]</f>
        <v>0</v>
      </c>
    </row>
    <row r="317" spans="1:2" ht="30.75" customHeight="1">
      <c r="A317">
        <f>Table4[[#This Row],[Column1]]</f>
        <v>0</v>
      </c>
      <c r="B317">
        <f>Table4[[#This Row],[Column2]]</f>
        <v>0</v>
      </c>
    </row>
    <row r="318" spans="1:2" ht="30.75" customHeight="1">
      <c r="A318">
        <f>Table4[[#This Row],[Column1]]</f>
        <v>0</v>
      </c>
      <c r="B318">
        <f>Table4[[#This Row],[Column2]]</f>
        <v>0</v>
      </c>
    </row>
    <row r="319" spans="1:2" ht="30.75" customHeight="1">
      <c r="A319">
        <f>Table4[[#This Row],[Column1]]</f>
        <v>0</v>
      </c>
      <c r="B319">
        <f>Table4[[#This Row],[Column2]]</f>
        <v>0</v>
      </c>
    </row>
    <row r="320" spans="1:2" ht="30.75" customHeight="1">
      <c r="A320">
        <f>Table4[[#This Row],[Column1]]</f>
        <v>0</v>
      </c>
      <c r="B320">
        <f>Table4[[#This Row],[Column2]]</f>
        <v>0</v>
      </c>
    </row>
    <row r="321" spans="1:2" ht="30.75" customHeight="1">
      <c r="A321">
        <f>Table4[[#This Row],[Column1]]</f>
        <v>0</v>
      </c>
      <c r="B321">
        <f>Table4[[#This Row],[Column2]]</f>
        <v>0</v>
      </c>
    </row>
    <row r="322" spans="1:2" ht="30.75" customHeight="1">
      <c r="A322">
        <f>Table4[[#This Row],[Column1]]</f>
        <v>0</v>
      </c>
      <c r="B322">
        <f>Table4[[#This Row],[Column2]]</f>
        <v>0</v>
      </c>
    </row>
    <row r="323" spans="1:2" ht="30.75" customHeight="1">
      <c r="A323">
        <f>Table4[[#This Row],[Column1]]</f>
        <v>0</v>
      </c>
      <c r="B323">
        <f>Table4[[#This Row],[Column2]]</f>
        <v>0</v>
      </c>
    </row>
    <row r="324" spans="1:2" ht="30.75" customHeight="1">
      <c r="A324">
        <f>Table4[[#This Row],[Column1]]</f>
        <v>0</v>
      </c>
      <c r="B324">
        <f>Table4[[#This Row],[Column2]]</f>
        <v>0</v>
      </c>
    </row>
    <row r="325" spans="1:2" ht="30.75" customHeight="1">
      <c r="A325">
        <f>Table4[[#This Row],[Column1]]</f>
        <v>0</v>
      </c>
      <c r="B325">
        <f>Table4[[#This Row],[Column2]]</f>
        <v>0</v>
      </c>
    </row>
    <row r="326" spans="1:2" ht="30.75" customHeight="1">
      <c r="A326">
        <f>Table4[[#This Row],[Column1]]</f>
        <v>0</v>
      </c>
      <c r="B326">
        <f>Table4[[#This Row],[Column2]]</f>
        <v>0</v>
      </c>
    </row>
    <row r="327" spans="1:2" ht="30.75" customHeight="1">
      <c r="A327">
        <f>Table4[[#This Row],[Column1]]</f>
        <v>0</v>
      </c>
      <c r="B327">
        <f>Table4[[#This Row],[Column2]]</f>
        <v>0</v>
      </c>
    </row>
    <row r="328" spans="1:2" ht="30.75" customHeight="1">
      <c r="A328">
        <f>Table4[[#This Row],[Column1]]</f>
        <v>0</v>
      </c>
      <c r="B328">
        <f>Table4[[#This Row],[Column2]]</f>
        <v>0</v>
      </c>
    </row>
    <row r="329" spans="1:2" ht="30.75" customHeight="1">
      <c r="A329">
        <f>Table4[[#This Row],[Column1]]</f>
        <v>0</v>
      </c>
      <c r="B329">
        <f>Table4[[#This Row],[Column2]]</f>
        <v>0</v>
      </c>
    </row>
    <row r="330" spans="1:2" ht="30.75" customHeight="1">
      <c r="A330">
        <f>Table4[[#This Row],[Column1]]</f>
        <v>0</v>
      </c>
      <c r="B330">
        <f>Table4[[#This Row],[Column2]]</f>
        <v>0</v>
      </c>
    </row>
    <row r="331" spans="1:2" ht="30.75" customHeight="1">
      <c r="A331">
        <f>Table4[[#This Row],[Column1]]</f>
        <v>0</v>
      </c>
      <c r="B331">
        <f>Table4[[#This Row],[Column2]]</f>
        <v>0</v>
      </c>
    </row>
    <row r="332" spans="1:2" ht="30.75" customHeight="1">
      <c r="A332">
        <f>Table4[[#This Row],[Column1]]</f>
        <v>0</v>
      </c>
      <c r="B332">
        <f>Table4[[#This Row],[Column2]]</f>
        <v>0</v>
      </c>
    </row>
    <row r="333" spans="1:2" ht="30.75" customHeight="1">
      <c r="A333">
        <f>Table4[[#This Row],[Column1]]</f>
        <v>0</v>
      </c>
      <c r="B333">
        <f>Table4[[#This Row],[Column2]]</f>
        <v>0</v>
      </c>
    </row>
    <row r="334" spans="1:2" ht="30.75" customHeight="1">
      <c r="A334">
        <f>Table4[[#This Row],[Column1]]</f>
        <v>0</v>
      </c>
      <c r="B334">
        <f>Table4[[#This Row],[Column2]]</f>
        <v>0</v>
      </c>
    </row>
    <row r="335" spans="1:2" ht="30.75" customHeight="1">
      <c r="A335">
        <f>Table4[[#This Row],[Column1]]</f>
        <v>0</v>
      </c>
      <c r="B335">
        <f>Table4[[#This Row],[Column2]]</f>
        <v>0</v>
      </c>
    </row>
    <row r="336" spans="1:2" ht="30.75" customHeight="1">
      <c r="A336">
        <f>Table4[[#This Row],[Column1]]</f>
        <v>0</v>
      </c>
      <c r="B336">
        <f>Table4[[#This Row],[Column2]]</f>
        <v>0</v>
      </c>
    </row>
    <row r="337" spans="1:2" ht="30.75" customHeight="1">
      <c r="A337">
        <f>Table4[[#This Row],[Column1]]</f>
        <v>0</v>
      </c>
      <c r="B337">
        <f>Table4[[#This Row],[Column2]]</f>
        <v>0</v>
      </c>
    </row>
    <row r="338" spans="1:2" ht="30.75" customHeight="1">
      <c r="A338">
        <f>Table4[[#This Row],[Column1]]</f>
        <v>0</v>
      </c>
      <c r="B338">
        <f>Table4[[#This Row],[Column2]]</f>
        <v>0</v>
      </c>
    </row>
    <row r="339" spans="1:2" ht="30.75" customHeight="1">
      <c r="A339">
        <f>Table4[[#This Row],[Column1]]</f>
        <v>0</v>
      </c>
      <c r="B339">
        <f>Table4[[#This Row],[Column2]]</f>
        <v>0</v>
      </c>
    </row>
    <row r="340" spans="1:2" ht="30.75" customHeight="1">
      <c r="A340">
        <f>Table4[[#This Row],[Column1]]</f>
        <v>0</v>
      </c>
      <c r="B340">
        <f>Table4[[#This Row],[Column2]]</f>
        <v>0</v>
      </c>
    </row>
    <row r="341" spans="1:2" ht="30.75" customHeight="1">
      <c r="A341">
        <f>Table4[[#This Row],[Column1]]</f>
        <v>0</v>
      </c>
      <c r="B341">
        <f>Table4[[#This Row],[Column2]]</f>
        <v>0</v>
      </c>
    </row>
    <row r="342" spans="1:2" ht="30.75" customHeight="1">
      <c r="A342">
        <f>Table4[[#This Row],[Column1]]</f>
        <v>0</v>
      </c>
      <c r="B342">
        <f>Table4[[#This Row],[Column2]]</f>
        <v>0</v>
      </c>
    </row>
    <row r="343" spans="1:2" ht="30.75" customHeight="1">
      <c r="A343">
        <f>Table4[[#This Row],[Column1]]</f>
        <v>0</v>
      </c>
      <c r="B343">
        <f>Table4[[#This Row],[Column2]]</f>
        <v>0</v>
      </c>
    </row>
    <row r="344" spans="1:2" ht="30.75" customHeight="1">
      <c r="A344">
        <f>Table4[[#This Row],[Column1]]</f>
        <v>0</v>
      </c>
      <c r="B344">
        <f>Table4[[#This Row],[Column2]]</f>
        <v>0</v>
      </c>
    </row>
    <row r="345" spans="1:2" ht="30.75" customHeight="1">
      <c r="A345">
        <f>Table4[[#This Row],[Column1]]</f>
        <v>0</v>
      </c>
      <c r="B345">
        <f>Table4[[#This Row],[Column2]]</f>
        <v>0</v>
      </c>
    </row>
    <row r="346" spans="1:2" ht="30.75" customHeight="1">
      <c r="A346">
        <f>Table4[[#This Row],[Column1]]</f>
        <v>0</v>
      </c>
      <c r="B346">
        <f>Table4[[#This Row],[Column2]]</f>
        <v>0</v>
      </c>
    </row>
    <row r="347" spans="1:2" ht="30.75" customHeight="1">
      <c r="A347">
        <f>Table4[[#This Row],[Column1]]</f>
        <v>0</v>
      </c>
      <c r="B347">
        <f>Table4[[#This Row],[Column2]]</f>
        <v>0</v>
      </c>
    </row>
    <row r="348" spans="1:2" ht="30.75" customHeight="1">
      <c r="A348">
        <f>Table4[[#This Row],[Column1]]</f>
        <v>0</v>
      </c>
      <c r="B348">
        <f>Table4[[#This Row],[Column2]]</f>
        <v>0</v>
      </c>
    </row>
    <row r="349" spans="1:2" ht="30.75" customHeight="1">
      <c r="A349">
        <f>Table4[[#This Row],[Column1]]</f>
        <v>0</v>
      </c>
      <c r="B349">
        <f>Table4[[#This Row],[Column2]]</f>
        <v>0</v>
      </c>
    </row>
    <row r="350" spans="1:2" ht="30.75" customHeight="1">
      <c r="A350">
        <f>Table4[[#This Row],[Column1]]</f>
        <v>0</v>
      </c>
      <c r="B350">
        <f>Table4[[#This Row],[Column2]]</f>
        <v>0</v>
      </c>
    </row>
    <row r="351" spans="1:2" ht="30.75" customHeight="1">
      <c r="A351">
        <f>Table4[[#This Row],[Column1]]</f>
        <v>0</v>
      </c>
      <c r="B351">
        <f>Table4[[#This Row],[Column2]]</f>
        <v>0</v>
      </c>
    </row>
    <row r="352" spans="1:2" ht="30.75" customHeight="1">
      <c r="A352">
        <f>Table4[[#This Row],[Column1]]</f>
        <v>0</v>
      </c>
      <c r="B352">
        <f>Table4[[#This Row],[Column2]]</f>
        <v>0</v>
      </c>
    </row>
    <row r="353" spans="1:2" ht="30.75" customHeight="1">
      <c r="A353">
        <f>Table4[[#This Row],[Column1]]</f>
        <v>0</v>
      </c>
      <c r="B353">
        <f>Table4[[#This Row],[Column2]]</f>
        <v>0</v>
      </c>
    </row>
    <row r="354" spans="1:2" ht="30.75" customHeight="1">
      <c r="A354">
        <f>Table4[[#This Row],[Column1]]</f>
        <v>0</v>
      </c>
      <c r="B354">
        <f>Table4[[#This Row],[Column2]]</f>
        <v>0</v>
      </c>
    </row>
    <row r="355" spans="1:2" ht="30.75" customHeight="1">
      <c r="A355">
        <f>Table4[[#This Row],[Column1]]</f>
        <v>0</v>
      </c>
      <c r="B355">
        <f>Table4[[#This Row],[Column2]]</f>
        <v>0</v>
      </c>
    </row>
    <row r="356" spans="1:2" ht="30.75" customHeight="1">
      <c r="A356">
        <f>Table4[[#This Row],[Column1]]</f>
        <v>0</v>
      </c>
      <c r="B356">
        <f>Table4[[#This Row],[Column2]]</f>
        <v>0</v>
      </c>
    </row>
    <row r="357" spans="1:2" ht="30.75" customHeight="1">
      <c r="A357">
        <f>Table4[[#This Row],[Column1]]</f>
        <v>0</v>
      </c>
      <c r="B357">
        <f>Table4[[#This Row],[Column2]]</f>
        <v>0</v>
      </c>
    </row>
    <row r="358" spans="1:2" ht="30.75" customHeight="1">
      <c r="A358">
        <f>Table4[[#This Row],[Column1]]</f>
        <v>0</v>
      </c>
      <c r="B358">
        <f>Table4[[#This Row],[Column2]]</f>
        <v>0</v>
      </c>
    </row>
    <row r="359" spans="1:2" ht="30.75" customHeight="1">
      <c r="A359">
        <f>Table4[[#This Row],[Column1]]</f>
        <v>0</v>
      </c>
      <c r="B359">
        <f>Table4[[#This Row],[Column2]]</f>
        <v>0</v>
      </c>
    </row>
    <row r="360" spans="1:2" ht="30.75" customHeight="1">
      <c r="A360">
        <f>Table4[[#This Row],[Column1]]</f>
        <v>0</v>
      </c>
      <c r="B360">
        <f>Table4[[#This Row],[Column2]]</f>
        <v>0</v>
      </c>
    </row>
    <row r="361" spans="1:2" ht="30.75" customHeight="1">
      <c r="A361">
        <f>Table4[[#This Row],[Column1]]</f>
        <v>0</v>
      </c>
      <c r="B361">
        <f>Table4[[#This Row],[Column2]]</f>
        <v>0</v>
      </c>
    </row>
    <row r="362" spans="1:2" ht="30.75" customHeight="1">
      <c r="A362">
        <f>Table4[[#This Row],[Column1]]</f>
        <v>0</v>
      </c>
      <c r="B362">
        <f>Table4[[#This Row],[Column2]]</f>
        <v>0</v>
      </c>
    </row>
    <row r="363" spans="1:2" ht="30.75" customHeight="1">
      <c r="A363">
        <f>Table4[[#This Row],[Column1]]</f>
        <v>0</v>
      </c>
      <c r="B363">
        <f>Table4[[#This Row],[Column2]]</f>
        <v>0</v>
      </c>
    </row>
    <row r="364" spans="1:2" ht="30.75" customHeight="1">
      <c r="A364">
        <f>Table4[[#This Row],[Column1]]</f>
        <v>0</v>
      </c>
      <c r="B364">
        <f>Table4[[#This Row],[Column2]]</f>
        <v>0</v>
      </c>
    </row>
    <row r="365" spans="1:2" ht="30.75" customHeight="1">
      <c r="A365">
        <f>Table4[[#This Row],[Column1]]</f>
        <v>0</v>
      </c>
      <c r="B365">
        <f>Table4[[#This Row],[Column2]]</f>
        <v>0</v>
      </c>
    </row>
    <row r="366" spans="1:2" ht="30.75" customHeight="1">
      <c r="A366">
        <f>Table4[[#This Row],[Column1]]</f>
        <v>0</v>
      </c>
      <c r="B366">
        <f>Table4[[#This Row],[Column2]]</f>
        <v>0</v>
      </c>
    </row>
    <row r="367" spans="1:2" ht="30.75" customHeight="1">
      <c r="A367">
        <f>Table4[[#This Row],[Column1]]</f>
        <v>0</v>
      </c>
      <c r="B367">
        <f>Table4[[#This Row],[Column2]]</f>
        <v>0</v>
      </c>
    </row>
    <row r="368" spans="1:2" ht="30.75" customHeight="1">
      <c r="A368">
        <f>Table4[[#This Row],[Column1]]</f>
        <v>0</v>
      </c>
      <c r="B368">
        <f>Table4[[#This Row],[Column2]]</f>
        <v>0</v>
      </c>
    </row>
    <row r="369" spans="1:2" ht="30.75" customHeight="1">
      <c r="A369">
        <f>Table4[[#This Row],[Column1]]</f>
        <v>0</v>
      </c>
      <c r="B369">
        <f>Table4[[#This Row],[Column2]]</f>
        <v>0</v>
      </c>
    </row>
    <row r="370" spans="1:2" ht="30.75" customHeight="1">
      <c r="A370">
        <f>Table4[[#This Row],[Column1]]</f>
        <v>0</v>
      </c>
      <c r="B370">
        <f>Table4[[#This Row],[Column2]]</f>
        <v>0</v>
      </c>
    </row>
    <row r="371" spans="1:2" ht="30.75" customHeight="1">
      <c r="A371">
        <f>Table4[[#This Row],[Column1]]</f>
        <v>0</v>
      </c>
      <c r="B371">
        <f>Table4[[#This Row],[Column2]]</f>
        <v>0</v>
      </c>
    </row>
    <row r="372" spans="1:2" ht="30.75" customHeight="1">
      <c r="A372">
        <f>Table4[[#This Row],[Column1]]</f>
        <v>0</v>
      </c>
      <c r="B372">
        <f>Table4[[#This Row],[Column2]]</f>
        <v>0</v>
      </c>
    </row>
    <row r="373" spans="1:2" ht="30.75" customHeight="1">
      <c r="A373">
        <f>Table4[[#This Row],[Column1]]</f>
        <v>0</v>
      </c>
      <c r="B373">
        <f>Table4[[#This Row],[Column2]]</f>
        <v>0</v>
      </c>
    </row>
    <row r="374" spans="1:2" ht="30.75" customHeight="1">
      <c r="A374">
        <f>Table4[[#This Row],[Column1]]</f>
        <v>0</v>
      </c>
      <c r="B374">
        <f>Table4[[#This Row],[Column2]]</f>
        <v>0</v>
      </c>
    </row>
    <row r="375" spans="1:2" ht="30.75" customHeight="1">
      <c r="A375">
        <f>Table4[[#This Row],[Column1]]</f>
        <v>0</v>
      </c>
      <c r="B375">
        <f>Table4[[#This Row],[Column2]]</f>
        <v>0</v>
      </c>
    </row>
    <row r="376" spans="1:2" ht="30.75" customHeight="1">
      <c r="A376">
        <f>Table4[[#This Row],[Column1]]</f>
        <v>0</v>
      </c>
      <c r="B376">
        <f>Table4[[#This Row],[Column2]]</f>
        <v>0</v>
      </c>
    </row>
    <row r="377" spans="1:2" ht="30.75" customHeight="1">
      <c r="A377">
        <f>Table4[[#This Row],[Column1]]</f>
        <v>0</v>
      </c>
      <c r="B377">
        <f>Table4[[#This Row],[Column2]]</f>
        <v>0</v>
      </c>
    </row>
    <row r="378" spans="1:2" ht="30.75" customHeight="1">
      <c r="A378">
        <f>Table4[[#This Row],[Column1]]</f>
        <v>0</v>
      </c>
      <c r="B378">
        <f>Table4[[#This Row],[Column2]]</f>
        <v>0</v>
      </c>
    </row>
    <row r="379" spans="1:2" ht="30.75" customHeight="1">
      <c r="A379">
        <f>Table4[[#This Row],[Column1]]</f>
        <v>0</v>
      </c>
      <c r="B379">
        <f>Table4[[#This Row],[Column2]]</f>
        <v>0</v>
      </c>
    </row>
    <row r="380" spans="1:2" ht="30.75" customHeight="1">
      <c r="A380">
        <f>Table4[[#This Row],[Column1]]</f>
        <v>0</v>
      </c>
      <c r="B380">
        <f>Table4[[#This Row],[Column2]]</f>
        <v>0</v>
      </c>
    </row>
    <row r="381" spans="1:2" ht="30.75" customHeight="1">
      <c r="A381">
        <f>Table4[[#This Row],[Column1]]</f>
        <v>0</v>
      </c>
      <c r="B381">
        <f>Table4[[#This Row],[Column2]]</f>
        <v>0</v>
      </c>
    </row>
    <row r="382" spans="1:2" ht="30.75" customHeight="1">
      <c r="A382">
        <f>Table4[[#This Row],[Column1]]</f>
        <v>0</v>
      </c>
      <c r="B382">
        <f>Table4[[#This Row],[Column2]]</f>
        <v>0</v>
      </c>
    </row>
    <row r="383" spans="1:2" ht="30.75" customHeight="1">
      <c r="A383">
        <f>Table4[[#This Row],[Column1]]</f>
        <v>0</v>
      </c>
      <c r="B383">
        <f>Table4[[#This Row],[Column2]]</f>
        <v>0</v>
      </c>
    </row>
    <row r="384" spans="1:2" ht="30.75" customHeight="1">
      <c r="A384">
        <f>Table4[[#This Row],[Column1]]</f>
        <v>0</v>
      </c>
      <c r="B384">
        <f>Table4[[#This Row],[Column2]]</f>
        <v>0</v>
      </c>
    </row>
    <row r="385" spans="1:2" ht="30.75" customHeight="1">
      <c r="A385">
        <f>Table4[[#This Row],[Column1]]</f>
        <v>0</v>
      </c>
      <c r="B385">
        <f>Table4[[#This Row],[Column2]]</f>
        <v>0</v>
      </c>
    </row>
    <row r="386" spans="1:2" ht="30.75" customHeight="1">
      <c r="A386">
        <f>Table4[[#This Row],[Column1]]</f>
        <v>0</v>
      </c>
      <c r="B386">
        <f>Table4[[#This Row],[Column2]]</f>
        <v>0</v>
      </c>
    </row>
    <row r="387" spans="1:2" ht="30.75" customHeight="1">
      <c r="A387">
        <f>Table4[[#This Row],[Column1]]</f>
        <v>0</v>
      </c>
      <c r="B387">
        <f>Table4[[#This Row],[Column2]]</f>
        <v>0</v>
      </c>
    </row>
    <row r="388" spans="1:2" ht="30.75" customHeight="1">
      <c r="A388">
        <f>Table4[[#This Row],[Column1]]</f>
        <v>0</v>
      </c>
      <c r="B388">
        <f>Table4[[#This Row],[Column2]]</f>
        <v>0</v>
      </c>
    </row>
    <row r="389" spans="1:2" ht="30.75" customHeight="1">
      <c r="A389">
        <f>Table4[[#This Row],[Column1]]</f>
        <v>0</v>
      </c>
      <c r="B389">
        <f>Table4[[#This Row],[Column2]]</f>
        <v>0</v>
      </c>
    </row>
    <row r="390" spans="1:2" ht="30.75" customHeight="1">
      <c r="A390">
        <f>Table4[[#This Row],[Column1]]</f>
        <v>0</v>
      </c>
      <c r="B390">
        <f>Table4[[#This Row],[Column2]]</f>
        <v>0</v>
      </c>
    </row>
    <row r="391" spans="1:2" ht="30.75" customHeight="1">
      <c r="A391">
        <f>Table4[[#This Row],[Column1]]</f>
        <v>0</v>
      </c>
      <c r="B391">
        <f>Table4[[#This Row],[Column2]]</f>
        <v>0</v>
      </c>
    </row>
    <row r="392" spans="1:2" ht="30.75" customHeight="1">
      <c r="A392">
        <f>Table4[[#This Row],[Column1]]</f>
        <v>0</v>
      </c>
      <c r="B392">
        <f>Table4[[#This Row],[Column2]]</f>
        <v>0</v>
      </c>
    </row>
    <row r="393" spans="1:2" ht="30.75" customHeight="1">
      <c r="A393">
        <f>Table4[[#This Row],[Column1]]</f>
        <v>0</v>
      </c>
      <c r="B393">
        <f>Table4[[#This Row],[Column2]]</f>
        <v>0</v>
      </c>
    </row>
    <row r="394" spans="1:2" ht="30.75" customHeight="1">
      <c r="A394">
        <f>Table4[[#This Row],[Column1]]</f>
        <v>0</v>
      </c>
      <c r="B394">
        <f>Table4[[#This Row],[Column2]]</f>
        <v>0</v>
      </c>
    </row>
    <row r="395" spans="1:2" ht="30.75" customHeight="1">
      <c r="A395">
        <f>Table4[[#This Row],[Column1]]</f>
        <v>0</v>
      </c>
      <c r="B395">
        <f>Table4[[#This Row],[Column2]]</f>
        <v>0</v>
      </c>
    </row>
    <row r="396" spans="1:2" ht="30.75" customHeight="1">
      <c r="A396">
        <f>Table4[[#This Row],[Column1]]</f>
        <v>0</v>
      </c>
      <c r="B396">
        <f>Table4[[#This Row],[Column2]]</f>
        <v>0</v>
      </c>
    </row>
    <row r="397" spans="1:2" ht="30.75" customHeight="1">
      <c r="A397">
        <f>Table4[[#This Row],[Column1]]</f>
        <v>0</v>
      </c>
      <c r="B397">
        <f>Table4[[#This Row],[Column2]]</f>
        <v>0</v>
      </c>
    </row>
    <row r="398" spans="1:2" ht="30.75" customHeight="1">
      <c r="A398">
        <f>Table4[[#This Row],[Column1]]</f>
        <v>0</v>
      </c>
      <c r="B398">
        <f>Table4[[#This Row],[Column2]]</f>
        <v>0</v>
      </c>
    </row>
    <row r="399" spans="1:2" ht="30.75" customHeight="1">
      <c r="A399">
        <f>Table4[[#This Row],[Column1]]</f>
        <v>0</v>
      </c>
      <c r="B399">
        <f>Table4[[#This Row],[Column2]]</f>
        <v>0</v>
      </c>
    </row>
    <row r="400" spans="1:2" ht="30.75" customHeight="1">
      <c r="A400">
        <f>Table4[[#This Row],[Column1]]</f>
        <v>0</v>
      </c>
      <c r="B400">
        <f>Table4[[#This Row],[Column2]]</f>
        <v>0</v>
      </c>
    </row>
    <row r="401" spans="1:2" ht="30.75" customHeight="1">
      <c r="A401">
        <f>Table4[[#This Row],[Column1]]</f>
        <v>0</v>
      </c>
      <c r="B401">
        <f>Table4[[#This Row],[Column2]]</f>
        <v>0</v>
      </c>
    </row>
    <row r="402" spans="1:2" ht="30.75" customHeight="1">
      <c r="A402">
        <f>Table4[[#This Row],[Column1]]</f>
        <v>0</v>
      </c>
      <c r="B402">
        <f>Table4[[#This Row],[Column2]]</f>
        <v>0</v>
      </c>
    </row>
    <row r="403" spans="1:2" ht="30.75" customHeight="1">
      <c r="A403">
        <f>Table4[[#This Row],[Column1]]</f>
        <v>0</v>
      </c>
      <c r="B403">
        <f>Table4[[#This Row],[Column2]]</f>
        <v>0</v>
      </c>
    </row>
    <row r="404" spans="1:2" ht="30.75" customHeight="1">
      <c r="A404">
        <f>Table4[[#This Row],[Column1]]</f>
        <v>0</v>
      </c>
      <c r="B404">
        <f>Table4[[#This Row],[Column2]]</f>
        <v>0</v>
      </c>
    </row>
    <row r="405" spans="1:2" ht="30.75" customHeight="1">
      <c r="A405">
        <f>Table4[[#This Row],[Column1]]</f>
        <v>0</v>
      </c>
      <c r="B405">
        <f>Table4[[#This Row],[Column2]]</f>
        <v>0</v>
      </c>
    </row>
    <row r="406" spans="1:2" ht="30.75" customHeight="1">
      <c r="A406">
        <f>Table4[[#This Row],[Column1]]</f>
        <v>0</v>
      </c>
      <c r="B406">
        <f>Table4[[#This Row],[Column2]]</f>
        <v>0</v>
      </c>
    </row>
    <row r="407" spans="1:2" ht="30.75" customHeight="1">
      <c r="A407">
        <f>Table4[[#This Row],[Column1]]</f>
        <v>0</v>
      </c>
      <c r="B407">
        <f>Table4[[#This Row],[Column2]]</f>
        <v>0</v>
      </c>
    </row>
    <row r="408" spans="1:2" ht="30.75" customHeight="1">
      <c r="A408">
        <f>Table4[[#This Row],[Column1]]</f>
        <v>0</v>
      </c>
      <c r="B408">
        <f>Table4[[#This Row],[Column2]]</f>
        <v>0</v>
      </c>
    </row>
    <row r="409" spans="1:2" ht="30.75" customHeight="1">
      <c r="A409">
        <f>Table4[[#This Row],[Column1]]</f>
        <v>0</v>
      </c>
      <c r="B409">
        <f>Table4[[#This Row],[Column2]]</f>
        <v>0</v>
      </c>
    </row>
    <row r="410" spans="1:2" ht="30.75" customHeight="1">
      <c r="A410">
        <f>Table4[[#This Row],[Column1]]</f>
        <v>0</v>
      </c>
      <c r="B410">
        <f>Table4[[#This Row],[Column2]]</f>
        <v>0</v>
      </c>
    </row>
    <row r="411" spans="1:2" ht="30.75" customHeight="1">
      <c r="A411">
        <f>Table4[[#This Row],[Column1]]</f>
        <v>0</v>
      </c>
      <c r="B411">
        <f>Table4[[#This Row],[Column2]]</f>
        <v>0</v>
      </c>
    </row>
    <row r="412" spans="1:2" ht="30.75" customHeight="1">
      <c r="A412">
        <f>Table4[[#This Row],[Column1]]</f>
        <v>0</v>
      </c>
      <c r="B412">
        <f>Table4[[#This Row],[Column2]]</f>
        <v>0</v>
      </c>
    </row>
    <row r="413" spans="1:2" ht="30.75" customHeight="1">
      <c r="A413">
        <f>Table4[[#This Row],[Column1]]</f>
        <v>0</v>
      </c>
      <c r="B413">
        <f>Table4[[#This Row],[Column2]]</f>
        <v>0</v>
      </c>
    </row>
    <row r="414" spans="1:2" ht="30.75" customHeight="1">
      <c r="A414">
        <f>Table4[[#This Row],[Column1]]</f>
        <v>0</v>
      </c>
      <c r="B414">
        <f>Table4[[#This Row],[Column2]]</f>
        <v>0</v>
      </c>
    </row>
    <row r="415" spans="1:2" ht="30.75" customHeight="1">
      <c r="A415">
        <f>Table4[[#This Row],[Column1]]</f>
        <v>0</v>
      </c>
      <c r="B415">
        <f>Table4[[#This Row],[Column2]]</f>
        <v>0</v>
      </c>
    </row>
    <row r="416" spans="1:2" ht="30.75" customHeight="1">
      <c r="A416">
        <f>Table4[[#This Row],[Column1]]</f>
        <v>0</v>
      </c>
      <c r="B416">
        <f>Table4[[#This Row],[Column2]]</f>
        <v>0</v>
      </c>
    </row>
    <row r="417" spans="1:2" ht="30.75" customHeight="1">
      <c r="A417">
        <f>Table4[[#This Row],[Column1]]</f>
        <v>0</v>
      </c>
      <c r="B417">
        <f>Table4[[#This Row],[Column2]]</f>
        <v>0</v>
      </c>
    </row>
    <row r="418" spans="1:2" ht="30.75" customHeight="1">
      <c r="A418">
        <f>Table4[[#This Row],[Column1]]</f>
        <v>0</v>
      </c>
      <c r="B418">
        <f>Table4[[#This Row],[Column2]]</f>
        <v>0</v>
      </c>
    </row>
    <row r="419" spans="1:2" ht="30.75" customHeight="1">
      <c r="A419">
        <f>Table4[[#This Row],[Column1]]</f>
        <v>0</v>
      </c>
      <c r="B419">
        <f>Table4[[#This Row],[Column2]]</f>
        <v>0</v>
      </c>
    </row>
    <row r="420" spans="1:2" ht="30.75" customHeight="1">
      <c r="A420">
        <f>Table4[[#This Row],[Column1]]</f>
        <v>0</v>
      </c>
      <c r="B420">
        <f>Table4[[#This Row],[Column2]]</f>
        <v>0</v>
      </c>
    </row>
    <row r="421" spans="1:2" ht="30.75" customHeight="1">
      <c r="A421">
        <f>Table4[[#This Row],[Column1]]</f>
        <v>0</v>
      </c>
      <c r="B421">
        <f>Table4[[#This Row],[Column2]]</f>
        <v>0</v>
      </c>
    </row>
    <row r="422" spans="1:2" ht="30.75" customHeight="1">
      <c r="A422">
        <f>Table4[[#This Row],[Column1]]</f>
        <v>0</v>
      </c>
      <c r="B422">
        <f>Table4[[#This Row],[Column2]]</f>
        <v>0</v>
      </c>
    </row>
    <row r="423" spans="1:2" ht="30.75" customHeight="1">
      <c r="A423">
        <f>Table4[[#This Row],[Column1]]</f>
        <v>0</v>
      </c>
      <c r="B423">
        <f>Table4[[#This Row],[Column2]]</f>
        <v>0</v>
      </c>
    </row>
    <row r="424" spans="1:2" ht="30.75" customHeight="1">
      <c r="A424">
        <f>Table4[[#This Row],[Column1]]</f>
        <v>0</v>
      </c>
      <c r="B424">
        <f>Table4[[#This Row],[Column2]]</f>
        <v>0</v>
      </c>
    </row>
    <row r="425" spans="1:2" ht="30.75" customHeight="1">
      <c r="A425">
        <f>Table4[[#This Row],[Column1]]</f>
        <v>0</v>
      </c>
      <c r="B425">
        <f>Table4[[#This Row],[Column2]]</f>
        <v>0</v>
      </c>
    </row>
    <row r="426" spans="1:2" ht="30.75" customHeight="1">
      <c r="A426">
        <f>Table4[[#This Row],[Column1]]</f>
        <v>0</v>
      </c>
      <c r="B426">
        <f>Table4[[#This Row],[Column2]]</f>
        <v>0</v>
      </c>
    </row>
    <row r="427" spans="1:2" ht="30.75" customHeight="1">
      <c r="A427">
        <f>Table4[[#This Row],[Column1]]</f>
        <v>0</v>
      </c>
      <c r="B427">
        <f>Table4[[#This Row],[Column2]]</f>
        <v>0</v>
      </c>
    </row>
    <row r="428" spans="1:2" ht="30.75" customHeight="1">
      <c r="A428">
        <f>Table4[[#This Row],[Column1]]</f>
        <v>0</v>
      </c>
      <c r="B428">
        <f>Table4[[#This Row],[Column2]]</f>
        <v>0</v>
      </c>
    </row>
    <row r="429" spans="1:2" ht="30.75" customHeight="1">
      <c r="A429">
        <f>Table4[[#This Row],[Column1]]</f>
        <v>0</v>
      </c>
      <c r="B429">
        <f>Table4[[#This Row],[Column2]]</f>
        <v>0</v>
      </c>
    </row>
    <row r="430" spans="1:2" ht="30.75" customHeight="1">
      <c r="A430">
        <f>Table4[[#This Row],[Column1]]</f>
        <v>0</v>
      </c>
      <c r="B430">
        <f>Table4[[#This Row],[Column2]]</f>
        <v>0</v>
      </c>
    </row>
    <row r="431" spans="1:2" ht="30.75" customHeight="1">
      <c r="A431">
        <f>Table4[[#This Row],[Column1]]</f>
        <v>0</v>
      </c>
      <c r="B431">
        <f>Table4[[#This Row],[Column2]]</f>
        <v>0</v>
      </c>
    </row>
    <row r="432" spans="1:2" ht="30.75" customHeight="1">
      <c r="A432">
        <f>Table4[[#This Row],[Column1]]</f>
        <v>0</v>
      </c>
      <c r="B432">
        <f>Table4[[#This Row],[Column2]]</f>
        <v>0</v>
      </c>
    </row>
    <row r="433" spans="1:2" ht="30.75" customHeight="1">
      <c r="A433">
        <f>Table4[[#This Row],[Column1]]</f>
        <v>0</v>
      </c>
      <c r="B433">
        <f>Table4[[#This Row],[Column2]]</f>
        <v>0</v>
      </c>
    </row>
    <row r="434" spans="1:2" ht="30.75" customHeight="1">
      <c r="A434">
        <f>Table4[[#This Row],[Column1]]</f>
        <v>0</v>
      </c>
      <c r="B434">
        <f>Table4[[#This Row],[Column2]]</f>
        <v>0</v>
      </c>
    </row>
    <row r="435" spans="1:2" ht="30.75" customHeight="1">
      <c r="A435">
        <f>Table4[[#This Row],[Column1]]</f>
        <v>0</v>
      </c>
      <c r="B435">
        <f>Table4[[#This Row],[Column2]]</f>
        <v>0</v>
      </c>
    </row>
    <row r="436" spans="1:2" ht="30.75" customHeight="1">
      <c r="A436">
        <f>Table4[[#This Row],[Column1]]</f>
        <v>0</v>
      </c>
      <c r="B436">
        <f>Table4[[#This Row],[Column2]]</f>
        <v>0</v>
      </c>
    </row>
    <row r="437" spans="1:2" ht="30.75" customHeight="1">
      <c r="A437">
        <f>Table4[[#This Row],[Column1]]</f>
        <v>0</v>
      </c>
      <c r="B437">
        <f>Table4[[#This Row],[Column2]]</f>
        <v>0</v>
      </c>
    </row>
    <row r="438" spans="1:2" ht="30.75" customHeight="1">
      <c r="A438">
        <f>Table4[[#This Row],[Column1]]</f>
        <v>0</v>
      </c>
      <c r="B438">
        <f>Table4[[#This Row],[Column2]]</f>
        <v>0</v>
      </c>
    </row>
    <row r="439" spans="1:2" ht="30.75" customHeight="1">
      <c r="A439">
        <f>Table4[[#This Row],[Column1]]</f>
        <v>0</v>
      </c>
      <c r="B439">
        <f>Table4[[#This Row],[Column2]]</f>
        <v>0</v>
      </c>
    </row>
    <row r="440" spans="1:2" ht="30.75" customHeight="1">
      <c r="A440">
        <f>Table4[[#This Row],[Column1]]</f>
        <v>0</v>
      </c>
      <c r="B440">
        <f>Table4[[#This Row],[Column2]]</f>
        <v>0</v>
      </c>
    </row>
    <row r="441" spans="1:2" ht="30.75" customHeight="1">
      <c r="A441">
        <f>Table4[[#This Row],[Column1]]</f>
        <v>0</v>
      </c>
      <c r="B441">
        <f>Table4[[#This Row],[Column2]]</f>
        <v>0</v>
      </c>
    </row>
    <row r="442" spans="1:2" ht="30.75" customHeight="1">
      <c r="A442">
        <f>Table4[[#This Row],[Column1]]</f>
        <v>0</v>
      </c>
      <c r="B442">
        <f>Table4[[#This Row],[Column2]]</f>
        <v>0</v>
      </c>
    </row>
    <row r="443" spans="1:2" ht="30.75" customHeight="1">
      <c r="A443">
        <f>Table4[[#This Row],[Column1]]</f>
        <v>0</v>
      </c>
      <c r="B443">
        <f>Table4[[#This Row],[Column2]]</f>
        <v>0</v>
      </c>
    </row>
    <row r="444" spans="1:2" ht="30.75" customHeight="1">
      <c r="A444">
        <f>Table4[[#This Row],[Column1]]</f>
        <v>0</v>
      </c>
      <c r="B444">
        <f>Table4[[#This Row],[Column2]]</f>
        <v>0</v>
      </c>
    </row>
    <row r="445" spans="1:2" ht="30.75" customHeight="1">
      <c r="A445">
        <f>Table4[[#This Row],[Column1]]</f>
        <v>0</v>
      </c>
      <c r="B445">
        <f>Table4[[#This Row],[Column2]]</f>
        <v>0</v>
      </c>
    </row>
    <row r="446" spans="1:2" ht="30.75" customHeight="1">
      <c r="A446">
        <f>Table4[[#This Row],[Column1]]</f>
        <v>0</v>
      </c>
      <c r="B446">
        <f>Table4[[#This Row],[Column2]]</f>
        <v>0</v>
      </c>
    </row>
    <row r="447" spans="1:2" ht="30.75" customHeight="1">
      <c r="A447">
        <f>Table4[[#This Row],[Column1]]</f>
        <v>0</v>
      </c>
      <c r="B447">
        <f>Table4[[#This Row],[Column2]]</f>
        <v>0</v>
      </c>
    </row>
    <row r="448" spans="1:2" ht="30.75" customHeight="1">
      <c r="A448">
        <f>Table4[[#This Row],[Column1]]</f>
        <v>0</v>
      </c>
      <c r="B448">
        <f>Table4[[#This Row],[Column2]]</f>
        <v>0</v>
      </c>
    </row>
    <row r="449" spans="1:2" ht="30.75" customHeight="1">
      <c r="A449">
        <f>Table4[[#This Row],[Column1]]</f>
        <v>0</v>
      </c>
      <c r="B449">
        <f>Table4[[#This Row],[Column2]]</f>
        <v>0</v>
      </c>
    </row>
    <row r="450" spans="1:2" ht="30.75" customHeight="1">
      <c r="A450">
        <f>Table4[[#This Row],[Column1]]</f>
        <v>0</v>
      </c>
      <c r="B450">
        <f>Table4[[#This Row],[Column2]]</f>
        <v>0</v>
      </c>
    </row>
    <row r="451" spans="1:2" ht="30.75" customHeight="1">
      <c r="A451">
        <f>Table4[[#This Row],[Column1]]</f>
        <v>0</v>
      </c>
      <c r="B451">
        <f>Table4[[#This Row],[Column2]]</f>
        <v>0</v>
      </c>
    </row>
    <row r="452" spans="1:2" ht="30.75" customHeight="1">
      <c r="A452">
        <f>Table4[[#This Row],[Column1]]</f>
        <v>0</v>
      </c>
      <c r="B452">
        <f>Table4[[#This Row],[Column2]]</f>
        <v>0</v>
      </c>
    </row>
    <row r="453" spans="1:2" ht="30.75" customHeight="1">
      <c r="A453">
        <f>Table4[[#This Row],[Column1]]</f>
        <v>0</v>
      </c>
      <c r="B453">
        <f>Table4[[#This Row],[Column2]]</f>
        <v>0</v>
      </c>
    </row>
    <row r="454" spans="1:2" ht="30.75" customHeight="1">
      <c r="A454">
        <f>Table4[[#This Row],[Column1]]</f>
        <v>0</v>
      </c>
      <c r="B454">
        <f>Table4[[#This Row],[Column2]]</f>
        <v>0</v>
      </c>
    </row>
    <row r="455" spans="1:2" ht="30.75" customHeight="1">
      <c r="A455">
        <f>Table4[[#This Row],[Column1]]</f>
        <v>0</v>
      </c>
      <c r="B455">
        <f>Table4[[#This Row],[Column2]]</f>
        <v>0</v>
      </c>
    </row>
    <row r="456" spans="1:2" ht="30.75" customHeight="1">
      <c r="A456">
        <f>Table4[[#This Row],[Column1]]</f>
        <v>0</v>
      </c>
      <c r="B456">
        <f>Table4[[#This Row],[Column2]]</f>
        <v>0</v>
      </c>
    </row>
    <row r="457" spans="1:2" ht="30.75" customHeight="1">
      <c r="A457">
        <f>Table4[[#This Row],[Column1]]</f>
        <v>0</v>
      </c>
      <c r="B457">
        <f>Table4[[#This Row],[Column2]]</f>
        <v>0</v>
      </c>
    </row>
    <row r="458" spans="1:2" ht="30.75" customHeight="1">
      <c r="A458">
        <f>Table4[[#This Row],[Column1]]</f>
        <v>0</v>
      </c>
      <c r="B458">
        <f>Table4[[#This Row],[Column2]]</f>
        <v>0</v>
      </c>
    </row>
    <row r="459" spans="1:2" ht="30.75" customHeight="1">
      <c r="A459">
        <f>Table4[[#This Row],[Column1]]</f>
        <v>0</v>
      </c>
      <c r="B459">
        <f>Table4[[#This Row],[Column2]]</f>
        <v>0</v>
      </c>
    </row>
    <row r="460" spans="1:2" ht="30.75" customHeight="1">
      <c r="A460">
        <f>Table4[[#This Row],[Column1]]</f>
        <v>0</v>
      </c>
      <c r="B460">
        <f>Table4[[#This Row],[Column2]]</f>
        <v>0</v>
      </c>
    </row>
    <row r="461" spans="1:2" ht="30.75" customHeight="1">
      <c r="A461">
        <f>Table4[[#This Row],[Column1]]</f>
        <v>0</v>
      </c>
      <c r="B461">
        <f>Table4[[#This Row],[Column2]]</f>
        <v>0</v>
      </c>
    </row>
    <row r="462" spans="1:2" ht="30.75" customHeight="1">
      <c r="A462">
        <f>Table4[[#This Row],[Column1]]</f>
        <v>0</v>
      </c>
      <c r="B462">
        <f>Table4[[#This Row],[Column2]]</f>
        <v>0</v>
      </c>
    </row>
    <row r="463" spans="1:2" ht="30.75" customHeight="1">
      <c r="A463">
        <f>Table4[[#This Row],[Column1]]</f>
        <v>0</v>
      </c>
      <c r="B463">
        <f>Table4[[#This Row],[Column2]]</f>
        <v>0</v>
      </c>
    </row>
    <row r="464" spans="1:2" ht="30.75" customHeight="1">
      <c r="A464">
        <f>Table4[[#This Row],[Column1]]</f>
        <v>0</v>
      </c>
      <c r="B464">
        <f>Table4[[#This Row],[Column2]]</f>
        <v>0</v>
      </c>
    </row>
    <row r="465" spans="1:2" ht="30.75" customHeight="1">
      <c r="A465">
        <f>Table4[[#This Row],[Column1]]</f>
        <v>0</v>
      </c>
      <c r="B465">
        <f>Table4[[#This Row],[Column2]]</f>
        <v>0</v>
      </c>
    </row>
    <row r="466" spans="1:2" ht="30.75" customHeight="1">
      <c r="A466">
        <f>Table4[[#This Row],[Column1]]</f>
        <v>0</v>
      </c>
      <c r="B466">
        <f>Table4[[#This Row],[Column2]]</f>
        <v>0</v>
      </c>
    </row>
    <row r="467" spans="1:2" ht="30.75" customHeight="1">
      <c r="A467">
        <f>Table4[[#This Row],[Column1]]</f>
        <v>0</v>
      </c>
      <c r="B467">
        <f>Table4[[#This Row],[Column2]]</f>
        <v>0</v>
      </c>
    </row>
    <row r="468" spans="1:2" ht="30.75" customHeight="1">
      <c r="A468">
        <f>Table4[[#This Row],[Column1]]</f>
        <v>0</v>
      </c>
      <c r="B468">
        <f>Table4[[#This Row],[Column2]]</f>
        <v>0</v>
      </c>
    </row>
    <row r="469" spans="1:2" ht="30.75" customHeight="1">
      <c r="A469">
        <f>Table4[[#This Row],[Column1]]</f>
        <v>0</v>
      </c>
      <c r="B469">
        <f>Table4[[#This Row],[Column2]]</f>
        <v>0</v>
      </c>
    </row>
    <row r="470" spans="1:2" ht="30.75" customHeight="1">
      <c r="A470">
        <f>Table4[[#This Row],[Column1]]</f>
        <v>0</v>
      </c>
      <c r="B470">
        <f>Table4[[#This Row],[Column2]]</f>
        <v>0</v>
      </c>
    </row>
    <row r="471" spans="1:2" ht="30.75" customHeight="1">
      <c r="A471">
        <f>Table4[[#This Row],[Column1]]</f>
        <v>0</v>
      </c>
      <c r="B471">
        <f>Table4[[#This Row],[Column2]]</f>
        <v>0</v>
      </c>
    </row>
    <row r="472" spans="1:2" ht="30.75" customHeight="1">
      <c r="A472">
        <f>Table4[[#This Row],[Column1]]</f>
        <v>0</v>
      </c>
      <c r="B472">
        <f>Table4[[#This Row],[Column2]]</f>
        <v>0</v>
      </c>
    </row>
    <row r="473" spans="1:2" ht="30.75" customHeight="1">
      <c r="A473">
        <f>Table4[[#This Row],[Column1]]</f>
        <v>0</v>
      </c>
      <c r="B473">
        <f>Table4[[#This Row],[Column2]]</f>
        <v>0</v>
      </c>
    </row>
    <row r="474" spans="1:2" ht="30.75" customHeight="1">
      <c r="A474">
        <f>Table4[[#This Row],[Column1]]</f>
        <v>0</v>
      </c>
      <c r="B474">
        <f>Table4[[#This Row],[Column2]]</f>
        <v>0</v>
      </c>
    </row>
    <row r="475" spans="1:2" ht="30.75" customHeight="1">
      <c r="A475">
        <f>Table4[[#This Row],[Column1]]</f>
        <v>0</v>
      </c>
      <c r="B475">
        <f>Table4[[#This Row],[Column2]]</f>
        <v>0</v>
      </c>
    </row>
    <row r="476" spans="1:2" ht="30.75" customHeight="1">
      <c r="A476">
        <f>Table4[[#This Row],[Column1]]</f>
        <v>0</v>
      </c>
      <c r="B476">
        <f>Table4[[#This Row],[Column2]]</f>
        <v>0</v>
      </c>
    </row>
    <row r="477" spans="1:2" ht="30.75" customHeight="1">
      <c r="A477">
        <f>Table4[[#This Row],[Column1]]</f>
        <v>0</v>
      </c>
      <c r="B477">
        <f>Table4[[#This Row],[Column2]]</f>
        <v>0</v>
      </c>
    </row>
    <row r="478" spans="1:2" ht="30.75" customHeight="1">
      <c r="A478">
        <f>Table4[[#This Row],[Column1]]</f>
        <v>0</v>
      </c>
      <c r="B478">
        <f>Table4[[#This Row],[Column2]]</f>
        <v>0</v>
      </c>
    </row>
    <row r="479" spans="1:2" ht="30.75" customHeight="1">
      <c r="A479">
        <f>Table4[[#This Row],[Column1]]</f>
        <v>0</v>
      </c>
      <c r="B479">
        <f>Table4[[#This Row],[Column2]]</f>
        <v>0</v>
      </c>
    </row>
    <row r="480" spans="1:2" ht="30.75" customHeight="1">
      <c r="A480">
        <f>Table4[[#This Row],[Column1]]</f>
        <v>0</v>
      </c>
      <c r="B480">
        <f>Table4[[#This Row],[Column2]]</f>
        <v>0</v>
      </c>
    </row>
    <row r="481" spans="1:2" ht="30.75" customHeight="1">
      <c r="A481">
        <f>Table4[[#This Row],[Column1]]</f>
        <v>0</v>
      </c>
      <c r="B481">
        <f>Table4[[#This Row],[Column2]]</f>
        <v>0</v>
      </c>
    </row>
    <row r="482" spans="1:2" ht="30.75" customHeight="1">
      <c r="A482">
        <f>Table4[[#This Row],[Column1]]</f>
        <v>0</v>
      </c>
      <c r="B482">
        <f>Table4[[#This Row],[Column2]]</f>
        <v>0</v>
      </c>
    </row>
    <row r="483" spans="1:2" ht="30.75" customHeight="1">
      <c r="A483">
        <f>Table4[[#This Row],[Column1]]</f>
        <v>0</v>
      </c>
      <c r="B483">
        <f>Table4[[#This Row],[Column2]]</f>
        <v>0</v>
      </c>
    </row>
    <row r="484" spans="1:2" ht="30.75" customHeight="1">
      <c r="A484">
        <f>Table4[[#This Row],[Column1]]</f>
        <v>0</v>
      </c>
      <c r="B484">
        <f>Table4[[#This Row],[Column2]]</f>
        <v>0</v>
      </c>
    </row>
    <row r="485" spans="1:2" ht="30.75" customHeight="1">
      <c r="A485">
        <f>Table4[[#This Row],[Column1]]</f>
        <v>0</v>
      </c>
      <c r="B485">
        <f>Table4[[#This Row],[Column2]]</f>
        <v>0</v>
      </c>
    </row>
    <row r="486" spans="1:2" ht="30.75" customHeight="1">
      <c r="A486">
        <f>Table4[[#This Row],[Column1]]</f>
        <v>0</v>
      </c>
      <c r="B486">
        <f>Table4[[#This Row],[Column2]]</f>
        <v>0</v>
      </c>
    </row>
    <row r="487" spans="1:2" ht="30.75" customHeight="1">
      <c r="A487">
        <f>Table4[[#This Row],[Column1]]</f>
        <v>0</v>
      </c>
      <c r="B487">
        <f>Table4[[#This Row],[Column2]]</f>
        <v>0</v>
      </c>
    </row>
    <row r="488" spans="1:2" ht="30.75" customHeight="1">
      <c r="A488">
        <f>Table4[[#This Row],[Column1]]</f>
        <v>0</v>
      </c>
      <c r="B488">
        <f>Table4[[#This Row],[Column2]]</f>
        <v>0</v>
      </c>
    </row>
    <row r="489" spans="1:2" ht="30.75" customHeight="1">
      <c r="A489">
        <f>Table4[[#This Row],[Column1]]</f>
        <v>0</v>
      </c>
      <c r="B489">
        <f>Table4[[#This Row],[Column2]]</f>
        <v>0</v>
      </c>
    </row>
    <row r="490" spans="1:2" ht="30.75" customHeight="1">
      <c r="A490">
        <f>Table4[[#This Row],[Column1]]</f>
        <v>0</v>
      </c>
      <c r="B490">
        <f>Table4[[#This Row],[Column2]]</f>
        <v>0</v>
      </c>
    </row>
    <row r="491" spans="1:2" ht="30.75" customHeight="1">
      <c r="A491">
        <f>Table4[[#This Row],[Column1]]</f>
        <v>0</v>
      </c>
      <c r="B491">
        <f>Table4[[#This Row],[Column2]]</f>
        <v>0</v>
      </c>
    </row>
    <row r="492" spans="1:2" ht="30.75" customHeight="1">
      <c r="A492">
        <f>Table4[[#This Row],[Column1]]</f>
        <v>0</v>
      </c>
      <c r="B492">
        <f>Table4[[#This Row],[Column2]]</f>
        <v>0</v>
      </c>
    </row>
    <row r="493" spans="1:2" ht="30.75" customHeight="1">
      <c r="A493">
        <f>Table4[[#This Row],[Column1]]</f>
        <v>0</v>
      </c>
      <c r="B493">
        <f>Table4[[#This Row],[Column2]]</f>
        <v>0</v>
      </c>
    </row>
    <row r="494" spans="1:2" ht="30.75" customHeight="1">
      <c r="A494">
        <f>Table4[[#This Row],[Column1]]</f>
        <v>0</v>
      </c>
      <c r="B494">
        <f>Table4[[#This Row],[Column2]]</f>
        <v>0</v>
      </c>
    </row>
    <row r="495" spans="1:2" ht="30.75" customHeight="1">
      <c r="A495">
        <f>Table4[[#This Row],[Column1]]</f>
        <v>0</v>
      </c>
      <c r="B495">
        <f>Table4[[#This Row],[Column2]]</f>
        <v>0</v>
      </c>
    </row>
    <row r="496" spans="1:2" ht="30.75" customHeight="1">
      <c r="A496">
        <f>Table4[[#This Row],[Column1]]</f>
        <v>0</v>
      </c>
      <c r="B496">
        <f>Table4[[#This Row],[Column2]]</f>
        <v>0</v>
      </c>
    </row>
    <row r="497" spans="1:2" ht="30.75" customHeight="1">
      <c r="A497">
        <f>Table4[[#This Row],[Column1]]</f>
        <v>0</v>
      </c>
      <c r="B497">
        <f>Table4[[#This Row],[Column2]]</f>
        <v>0</v>
      </c>
    </row>
    <row r="498" spans="1:2" ht="30.75" customHeight="1">
      <c r="A498">
        <f>Table4[[#This Row],[Column1]]</f>
        <v>0</v>
      </c>
      <c r="B498">
        <f>Table4[[#This Row],[Column2]]</f>
        <v>0</v>
      </c>
    </row>
    <row r="499" spans="1:2" ht="30.75" customHeight="1">
      <c r="A499">
        <f>Table4[[#This Row],[Column1]]</f>
        <v>0</v>
      </c>
      <c r="B499">
        <f>Table4[[#This Row],[Column2]]</f>
        <v>0</v>
      </c>
    </row>
    <row r="500" spans="1:2" ht="30.75" customHeight="1">
      <c r="A500">
        <f>Table4[[#This Row],[Column1]]</f>
        <v>0</v>
      </c>
      <c r="B500">
        <f>Table4[[#This Row],[Column2]]</f>
        <v>0</v>
      </c>
    </row>
    <row r="501" spans="1:2" ht="30.75" customHeight="1">
      <c r="A501">
        <f>Table4[[#This Row],[Column1]]</f>
        <v>0</v>
      </c>
      <c r="B501">
        <f>Table4[[#This Row],[Column2]]</f>
        <v>0</v>
      </c>
    </row>
    <row r="502" spans="1:2" ht="30.75" customHeight="1">
      <c r="A502">
        <f>Table4[[#This Row],[Column1]]</f>
        <v>0</v>
      </c>
      <c r="B502">
        <f>Table4[[#This Row],[Column2]]</f>
        <v>0</v>
      </c>
    </row>
    <row r="503" spans="1:2" ht="30.75" customHeight="1">
      <c r="A503">
        <f>Table4[[#This Row],[Column1]]</f>
        <v>0</v>
      </c>
      <c r="B503">
        <f>Table4[[#This Row],[Column2]]</f>
        <v>0</v>
      </c>
    </row>
    <row r="504" spans="1:2" ht="30.75" customHeight="1">
      <c r="A504">
        <f>Table4[[#This Row],[Column1]]</f>
        <v>0</v>
      </c>
      <c r="B504">
        <f>Table4[[#This Row],[Column2]]</f>
        <v>0</v>
      </c>
    </row>
    <row r="505" spans="1:2" ht="30.75" customHeight="1">
      <c r="A505">
        <f>Table4[[#This Row],[Column1]]</f>
        <v>0</v>
      </c>
      <c r="B505">
        <f>Table4[[#This Row],[Column2]]</f>
        <v>0</v>
      </c>
    </row>
    <row r="506" spans="1:2" ht="30.75" customHeight="1">
      <c r="A506">
        <f>Table4[[#This Row],[Column1]]</f>
        <v>0</v>
      </c>
      <c r="B506">
        <f>Table4[[#This Row],[Column2]]</f>
        <v>0</v>
      </c>
    </row>
    <row r="507" spans="1:2" ht="30.75" customHeight="1">
      <c r="A507">
        <f>Table4[[#This Row],[Column1]]</f>
        <v>0</v>
      </c>
      <c r="B507">
        <f>Table4[[#This Row],[Column2]]</f>
        <v>0</v>
      </c>
    </row>
    <row r="508" spans="1:2" ht="30.75" customHeight="1">
      <c r="A508">
        <f>Table4[[#This Row],[Column1]]</f>
        <v>0</v>
      </c>
      <c r="B508">
        <f>Table4[[#This Row],[Column2]]</f>
        <v>0</v>
      </c>
    </row>
    <row r="509" spans="1:2" ht="30.75" customHeight="1">
      <c r="A509">
        <f>Table4[[#This Row],[Column1]]</f>
        <v>0</v>
      </c>
      <c r="B509">
        <f>Table4[[#This Row],[Column2]]</f>
        <v>0</v>
      </c>
    </row>
    <row r="510" spans="1:2" ht="30.75" customHeight="1">
      <c r="A510">
        <f>Table4[[#This Row],[Column1]]</f>
        <v>0</v>
      </c>
      <c r="B510">
        <f>Table4[[#This Row],[Column2]]</f>
        <v>0</v>
      </c>
    </row>
    <row r="511" spans="1:2" ht="30.75" customHeight="1">
      <c r="A511">
        <f>Table4[[#This Row],[Column1]]</f>
        <v>0</v>
      </c>
      <c r="B511">
        <f>Table4[[#This Row],[Column2]]</f>
        <v>0</v>
      </c>
    </row>
    <row r="512" spans="1:2" ht="30.75" customHeight="1">
      <c r="A512">
        <f>Table4[[#This Row],[Column1]]</f>
        <v>0</v>
      </c>
      <c r="B512">
        <f>Table4[[#This Row],[Column2]]</f>
        <v>0</v>
      </c>
    </row>
    <row r="513" spans="1:2" ht="30.75" customHeight="1">
      <c r="A513">
        <f>Table4[[#This Row],[Column1]]</f>
        <v>0</v>
      </c>
      <c r="B513">
        <f>Table4[[#This Row],[Column2]]</f>
        <v>0</v>
      </c>
    </row>
    <row r="514" spans="1:2" ht="30.75" customHeight="1">
      <c r="A514">
        <f>Table4[[#This Row],[Column1]]</f>
        <v>0</v>
      </c>
      <c r="B514">
        <f>Table4[[#This Row],[Column2]]</f>
        <v>0</v>
      </c>
    </row>
    <row r="515" spans="1:2" ht="30.75" customHeight="1">
      <c r="A515">
        <f>Table4[[#This Row],[Column1]]</f>
        <v>0</v>
      </c>
      <c r="B515">
        <f>Table4[[#This Row],[Column2]]</f>
        <v>0</v>
      </c>
    </row>
    <row r="516" spans="1:2" ht="30.75" customHeight="1">
      <c r="A516">
        <f>Table4[[#This Row],[Column1]]</f>
        <v>0</v>
      </c>
      <c r="B516">
        <f>Table4[[#This Row],[Column2]]</f>
        <v>0</v>
      </c>
    </row>
    <row r="517" spans="1:2" ht="30.75" customHeight="1">
      <c r="A517">
        <f>Table4[[#This Row],[Column1]]</f>
        <v>0</v>
      </c>
      <c r="B517">
        <f>Table4[[#This Row],[Column2]]</f>
        <v>0</v>
      </c>
    </row>
    <row r="518" spans="1:2" ht="30.75" customHeight="1">
      <c r="A518">
        <f>Table4[[#This Row],[Column1]]</f>
        <v>0</v>
      </c>
      <c r="B518">
        <f>Table4[[#This Row],[Column2]]</f>
        <v>0</v>
      </c>
    </row>
    <row r="519" spans="1:2" ht="30.75" customHeight="1">
      <c r="A519">
        <f>Table4[[#This Row],[Column1]]</f>
        <v>0</v>
      </c>
      <c r="B519">
        <f>Table4[[#This Row],[Column2]]</f>
        <v>0</v>
      </c>
    </row>
    <row r="520" spans="1:2" ht="30.75" customHeight="1">
      <c r="A520">
        <f>Table4[[#This Row],[Column1]]</f>
        <v>0</v>
      </c>
      <c r="B520">
        <f>Table4[[#This Row],[Column2]]</f>
        <v>0</v>
      </c>
    </row>
    <row r="521" spans="1:2" ht="30.75" customHeight="1">
      <c r="A521">
        <f>Table4[[#This Row],[Column1]]</f>
        <v>0</v>
      </c>
      <c r="B521">
        <f>Table4[[#This Row],[Column2]]</f>
        <v>0</v>
      </c>
    </row>
    <row r="522" spans="1:2" ht="30.75" customHeight="1">
      <c r="A522">
        <f>Table4[[#This Row],[Column1]]</f>
        <v>0</v>
      </c>
      <c r="B522">
        <f>Table4[[#This Row],[Column2]]</f>
        <v>0</v>
      </c>
    </row>
    <row r="523" spans="1:2" ht="30.75" customHeight="1">
      <c r="A523">
        <f>Table4[[#This Row],[Column1]]</f>
        <v>0</v>
      </c>
      <c r="B523">
        <f>Table4[[#This Row],[Column2]]</f>
        <v>0</v>
      </c>
    </row>
    <row r="524" spans="1:2" ht="30.75" customHeight="1">
      <c r="A524">
        <f>Table4[[#This Row],[Column1]]</f>
        <v>0</v>
      </c>
      <c r="B524">
        <f>Table4[[#This Row],[Column2]]</f>
        <v>0</v>
      </c>
    </row>
    <row r="525" spans="1:2" ht="30.75" customHeight="1">
      <c r="A525">
        <f>Table4[[#This Row],[Column1]]</f>
        <v>0</v>
      </c>
      <c r="B525">
        <f>Table4[[#This Row],[Column2]]</f>
        <v>0</v>
      </c>
    </row>
    <row r="526" spans="1:2" ht="30.75" customHeight="1">
      <c r="A526">
        <f>Table4[[#This Row],[Column1]]</f>
        <v>0</v>
      </c>
      <c r="B526">
        <f>Table4[[#This Row],[Column2]]</f>
        <v>0</v>
      </c>
    </row>
    <row r="527" spans="1:2" ht="30.75" customHeight="1">
      <c r="A527">
        <f>Table4[[#This Row],[Column1]]</f>
        <v>0</v>
      </c>
      <c r="B527">
        <f>Table4[[#This Row],[Column2]]</f>
        <v>0</v>
      </c>
    </row>
    <row r="528" spans="1:2" ht="30.75" customHeight="1">
      <c r="A528">
        <f>Table4[[#This Row],[Column1]]</f>
        <v>0</v>
      </c>
      <c r="B528">
        <f>Table4[[#This Row],[Column2]]</f>
        <v>0</v>
      </c>
    </row>
    <row r="529" spans="1:2" ht="30.75" customHeight="1">
      <c r="A529">
        <f>Table4[[#This Row],[Column1]]</f>
        <v>0</v>
      </c>
      <c r="B529">
        <f>Table4[[#This Row],[Column2]]</f>
        <v>0</v>
      </c>
    </row>
    <row r="530" spans="1:2" ht="30.75" customHeight="1">
      <c r="A530">
        <f>Table4[[#This Row],[Column1]]</f>
        <v>0</v>
      </c>
      <c r="B530">
        <f>Table4[[#This Row],[Column2]]</f>
        <v>0</v>
      </c>
    </row>
    <row r="531" spans="1:2" ht="30.75" customHeight="1">
      <c r="A531">
        <f>Table4[[#This Row],[Column1]]</f>
        <v>0</v>
      </c>
      <c r="B531">
        <f>Table4[[#This Row],[Column2]]</f>
        <v>0</v>
      </c>
    </row>
    <row r="532" spans="1:2" ht="30.75" customHeight="1">
      <c r="A532">
        <f>Table4[[#This Row],[Column1]]</f>
        <v>0</v>
      </c>
      <c r="B532">
        <f>Table4[[#This Row],[Column2]]</f>
        <v>0</v>
      </c>
    </row>
    <row r="533" spans="1:2" ht="30.75" customHeight="1">
      <c r="A533">
        <f>Table4[[#This Row],[Column1]]</f>
        <v>0</v>
      </c>
      <c r="B533">
        <f>Table4[[#This Row],[Column2]]</f>
        <v>0</v>
      </c>
    </row>
    <row r="534" spans="1:2" ht="30.75" customHeight="1">
      <c r="A534">
        <f>Table4[[#This Row],[Column1]]</f>
        <v>0</v>
      </c>
      <c r="B534">
        <f>Table4[[#This Row],[Column2]]</f>
        <v>0</v>
      </c>
    </row>
    <row r="535" spans="1:2" ht="30.75" customHeight="1">
      <c r="A535">
        <f>Table4[[#This Row],[Column1]]</f>
        <v>0</v>
      </c>
      <c r="B535">
        <f>Table4[[#This Row],[Column2]]</f>
        <v>0</v>
      </c>
    </row>
    <row r="536" spans="1:2" ht="30.75" customHeight="1">
      <c r="A536">
        <f>Table4[[#This Row],[Column1]]</f>
        <v>0</v>
      </c>
      <c r="B536">
        <f>Table4[[#This Row],[Column2]]</f>
        <v>0</v>
      </c>
    </row>
    <row r="537" spans="1:2" ht="30.75" customHeight="1">
      <c r="A537">
        <f>Table4[[#This Row],[Column1]]</f>
        <v>0</v>
      </c>
      <c r="B537">
        <f>Table4[[#This Row],[Column2]]</f>
        <v>0</v>
      </c>
    </row>
    <row r="538" spans="1:2" ht="30.75" customHeight="1">
      <c r="A538">
        <f>Table4[[#This Row],[Column1]]</f>
        <v>0</v>
      </c>
      <c r="B538">
        <f>Table4[[#This Row],[Column2]]</f>
        <v>0</v>
      </c>
    </row>
    <row r="539" spans="1:2" ht="30.75" customHeight="1">
      <c r="A539">
        <f>Table4[[#This Row],[Column1]]</f>
        <v>0</v>
      </c>
      <c r="B539">
        <f>Table4[[#This Row],[Column2]]</f>
        <v>0</v>
      </c>
    </row>
    <row r="540" spans="1:2" ht="30.75" customHeight="1">
      <c r="A540">
        <f>Table4[[#This Row],[Column1]]</f>
        <v>0</v>
      </c>
      <c r="B540">
        <f>Table4[[#This Row],[Column2]]</f>
        <v>0</v>
      </c>
    </row>
    <row r="541" spans="1:2" ht="30.75" customHeight="1">
      <c r="A541">
        <f>Table4[[#This Row],[Column1]]</f>
        <v>0</v>
      </c>
      <c r="B541">
        <f>Table4[[#This Row],[Column2]]</f>
        <v>0</v>
      </c>
    </row>
    <row r="542" spans="1:2" ht="30.75" customHeight="1">
      <c r="A542">
        <f>Table4[[#This Row],[Column1]]</f>
        <v>0</v>
      </c>
      <c r="B542">
        <f>Table4[[#This Row],[Column2]]</f>
        <v>0</v>
      </c>
    </row>
    <row r="543" spans="1:2" ht="30.75" customHeight="1">
      <c r="A543">
        <f>Table4[[#This Row],[Column1]]</f>
        <v>0</v>
      </c>
      <c r="B543">
        <f>Table4[[#This Row],[Column2]]</f>
        <v>0</v>
      </c>
    </row>
    <row r="544" spans="1:2" ht="30.75" customHeight="1">
      <c r="A544">
        <f>Table4[[#This Row],[Column1]]</f>
        <v>0</v>
      </c>
      <c r="B544">
        <f>Table4[[#This Row],[Column2]]</f>
        <v>0</v>
      </c>
    </row>
    <row r="545" spans="1:2" ht="30.75" customHeight="1">
      <c r="A545">
        <f>Table4[[#This Row],[Column1]]</f>
        <v>0</v>
      </c>
      <c r="B545">
        <f>Table4[[#This Row],[Column2]]</f>
        <v>0</v>
      </c>
    </row>
    <row r="546" spans="1:2" ht="30.75" customHeight="1">
      <c r="A546">
        <f>Table4[[#This Row],[Column1]]</f>
        <v>0</v>
      </c>
      <c r="B546">
        <f>Table4[[#This Row],[Column2]]</f>
        <v>0</v>
      </c>
    </row>
    <row r="547" spans="1:2" ht="30.75" customHeight="1">
      <c r="A547">
        <f>Table4[[#This Row],[Column1]]</f>
        <v>0</v>
      </c>
      <c r="B547">
        <f>Table4[[#This Row],[Column2]]</f>
        <v>0</v>
      </c>
    </row>
    <row r="548" spans="1:2" ht="30.75" customHeight="1">
      <c r="A548">
        <f>Table4[[#This Row],[Column1]]</f>
        <v>0</v>
      </c>
      <c r="B548">
        <f>Table4[[#This Row],[Column2]]</f>
        <v>0</v>
      </c>
    </row>
    <row r="549" spans="1:2" ht="30.75" customHeight="1">
      <c r="A549">
        <f>Table4[[#This Row],[Column1]]</f>
        <v>0</v>
      </c>
      <c r="B549">
        <f>Table4[[#This Row],[Column2]]</f>
        <v>0</v>
      </c>
    </row>
    <row r="550" spans="1:2" ht="30.75" customHeight="1">
      <c r="A550">
        <f>Table4[[#This Row],[Column1]]</f>
        <v>0</v>
      </c>
      <c r="B550">
        <f>Table4[[#This Row],[Column2]]</f>
        <v>0</v>
      </c>
    </row>
    <row r="551" spans="1:2" ht="30.75" customHeight="1">
      <c r="A551">
        <f>Table4[[#This Row],[Column1]]</f>
        <v>0</v>
      </c>
      <c r="B551">
        <f>Table4[[#This Row],[Column2]]</f>
        <v>0</v>
      </c>
    </row>
    <row r="552" spans="1:2" ht="30.75" customHeight="1">
      <c r="A552">
        <f>Table4[[#This Row],[Column1]]</f>
        <v>0</v>
      </c>
      <c r="B552">
        <f>Table4[[#This Row],[Column2]]</f>
        <v>0</v>
      </c>
    </row>
    <row r="553" spans="1:2" ht="30.75" customHeight="1">
      <c r="A553">
        <f>Table4[[#This Row],[Column1]]</f>
        <v>0</v>
      </c>
      <c r="B553">
        <f>Table4[[#This Row],[Column2]]</f>
        <v>0</v>
      </c>
    </row>
    <row r="554" spans="1:2" ht="30.75" customHeight="1">
      <c r="A554">
        <f>Table4[[#This Row],[Column1]]</f>
        <v>0</v>
      </c>
      <c r="B554">
        <f>Table4[[#This Row],[Column2]]</f>
        <v>0</v>
      </c>
    </row>
    <row r="555" spans="1:2" ht="30.75" customHeight="1">
      <c r="A555">
        <f>Table4[[#This Row],[Column1]]</f>
        <v>0</v>
      </c>
      <c r="B555">
        <f>Table4[[#This Row],[Column2]]</f>
        <v>0</v>
      </c>
    </row>
    <row r="556" spans="1:2" ht="30.75" customHeight="1">
      <c r="A556">
        <f>Table4[[#This Row],[Column1]]</f>
        <v>0</v>
      </c>
      <c r="B556">
        <f>Table4[[#This Row],[Column2]]</f>
        <v>0</v>
      </c>
    </row>
    <row r="557" spans="1:2" ht="30.75" customHeight="1">
      <c r="A557">
        <f>Table4[[#This Row],[Column1]]</f>
        <v>0</v>
      </c>
      <c r="B557">
        <f>Table4[[#This Row],[Column2]]</f>
        <v>0</v>
      </c>
    </row>
    <row r="558" spans="1:2" ht="30.75" customHeight="1">
      <c r="A558">
        <f>Table4[[#This Row],[Column1]]</f>
        <v>0</v>
      </c>
      <c r="B558">
        <f>Table4[[#This Row],[Column2]]</f>
        <v>0</v>
      </c>
    </row>
    <row r="559" spans="1:2" ht="30.75" customHeight="1">
      <c r="A559">
        <f>Table4[[#This Row],[Column1]]</f>
        <v>0</v>
      </c>
      <c r="B559">
        <f>Table4[[#This Row],[Column2]]</f>
        <v>0</v>
      </c>
    </row>
    <row r="560" spans="1:2" ht="30.75" customHeight="1">
      <c r="A560">
        <f>Table4[[#This Row],[Column1]]</f>
        <v>0</v>
      </c>
      <c r="B560">
        <f>Table4[[#This Row],[Column2]]</f>
        <v>0</v>
      </c>
    </row>
    <row r="561" spans="1:2" ht="30.75" customHeight="1">
      <c r="A561">
        <f>Table4[[#This Row],[Column1]]</f>
        <v>0</v>
      </c>
      <c r="B561">
        <f>Table4[[#This Row],[Column2]]</f>
        <v>0</v>
      </c>
    </row>
    <row r="562" spans="1:2" ht="30.75" customHeight="1">
      <c r="A562">
        <f>Table4[[#This Row],[Column1]]</f>
        <v>0</v>
      </c>
      <c r="B562">
        <f>Table4[[#This Row],[Column2]]</f>
        <v>0</v>
      </c>
    </row>
    <row r="563" spans="1:2" ht="30.75" customHeight="1">
      <c r="A563">
        <f>Table4[[#This Row],[Column1]]</f>
        <v>0</v>
      </c>
      <c r="B563">
        <f>Table4[[#This Row],[Column2]]</f>
        <v>0</v>
      </c>
    </row>
    <row r="564" spans="1:2" ht="30.75" customHeight="1">
      <c r="A564">
        <f>Table4[[#This Row],[Column1]]</f>
        <v>0</v>
      </c>
      <c r="B564">
        <f>Table4[[#This Row],[Column2]]</f>
        <v>0</v>
      </c>
    </row>
    <row r="565" spans="1:2" ht="30.75" customHeight="1">
      <c r="A565">
        <f>Table4[[#This Row],[Column1]]</f>
        <v>0</v>
      </c>
      <c r="B565">
        <f>Table4[[#This Row],[Column2]]</f>
        <v>0</v>
      </c>
    </row>
    <row r="566" spans="1:2" ht="30.75" customHeight="1">
      <c r="A566">
        <f>Table4[[#This Row],[Column1]]</f>
        <v>0</v>
      </c>
      <c r="B566">
        <f>Table4[[#This Row],[Column2]]</f>
        <v>0</v>
      </c>
    </row>
    <row r="567" spans="1:2" ht="30.75" customHeight="1">
      <c r="A567">
        <f>Table4[[#This Row],[Column1]]</f>
        <v>0</v>
      </c>
      <c r="B567">
        <f>Table4[[#This Row],[Column2]]</f>
        <v>0</v>
      </c>
    </row>
    <row r="568" spans="1:2" ht="30.75" customHeight="1">
      <c r="A568">
        <f>Table4[[#This Row],[Column1]]</f>
        <v>0</v>
      </c>
      <c r="B568">
        <f>Table4[[#This Row],[Column2]]</f>
        <v>0</v>
      </c>
    </row>
    <row r="569" spans="1:2" ht="30.75" customHeight="1">
      <c r="A569">
        <f>Table4[[#This Row],[Column1]]</f>
        <v>0</v>
      </c>
      <c r="B569">
        <f>Table4[[#This Row],[Column2]]</f>
        <v>0</v>
      </c>
    </row>
    <row r="570" spans="1:2" ht="30.75" customHeight="1">
      <c r="A570">
        <f>Table4[[#This Row],[Column1]]</f>
        <v>0</v>
      </c>
      <c r="B570">
        <f>Table4[[#This Row],[Column2]]</f>
        <v>0</v>
      </c>
    </row>
    <row r="571" spans="1:2" ht="30.75" customHeight="1">
      <c r="A571">
        <f>Table4[[#This Row],[Column1]]</f>
        <v>0</v>
      </c>
      <c r="B571">
        <f>Table4[[#This Row],[Column2]]</f>
        <v>0</v>
      </c>
    </row>
    <row r="572" spans="1:2" ht="30.75" customHeight="1">
      <c r="A572">
        <f>Table4[[#This Row],[Column1]]</f>
        <v>0</v>
      </c>
      <c r="B572">
        <f>Table4[[#This Row],[Column2]]</f>
        <v>0</v>
      </c>
    </row>
    <row r="573" spans="1:2" ht="30.75" customHeight="1">
      <c r="A573">
        <f>Table4[[#This Row],[Column1]]</f>
        <v>0</v>
      </c>
      <c r="B573">
        <f>Table4[[#This Row],[Column2]]</f>
        <v>0</v>
      </c>
    </row>
    <row r="574" spans="1:2" ht="30.75" customHeight="1">
      <c r="A574">
        <f>Table4[[#This Row],[Column1]]</f>
        <v>0</v>
      </c>
      <c r="B574">
        <f>Table4[[#This Row],[Column2]]</f>
        <v>0</v>
      </c>
    </row>
    <row r="575" spans="1:2" ht="30.75" customHeight="1">
      <c r="A575">
        <f>Table4[[#This Row],[Column1]]</f>
        <v>0</v>
      </c>
      <c r="B575">
        <f>Table4[[#This Row],[Column2]]</f>
        <v>0</v>
      </c>
    </row>
    <row r="576" spans="1:2" ht="30.75" customHeight="1">
      <c r="A576">
        <f>Table4[[#This Row],[Column1]]</f>
        <v>0</v>
      </c>
      <c r="B576">
        <f>Table4[[#This Row],[Column2]]</f>
        <v>0</v>
      </c>
    </row>
    <row r="577" spans="1:2" ht="30.75" customHeight="1">
      <c r="A577">
        <f>Table4[[#This Row],[Column1]]</f>
        <v>0</v>
      </c>
      <c r="B577">
        <f>Table4[[#This Row],[Column2]]</f>
        <v>0</v>
      </c>
    </row>
    <row r="578" spans="1:2" ht="30.75" customHeight="1">
      <c r="A578">
        <f>Table4[[#This Row],[Column1]]</f>
        <v>0</v>
      </c>
      <c r="B578">
        <f>Table4[[#This Row],[Column2]]</f>
        <v>0</v>
      </c>
    </row>
    <row r="579" spans="1:2" ht="30.75" customHeight="1">
      <c r="A579">
        <f>Table4[[#This Row],[Column1]]</f>
        <v>0</v>
      </c>
      <c r="B579">
        <f>Table4[[#This Row],[Column2]]</f>
        <v>0</v>
      </c>
    </row>
    <row r="580" spans="1:2" ht="30.75" customHeight="1">
      <c r="A580">
        <f>Table4[[#This Row],[Column1]]</f>
        <v>0</v>
      </c>
      <c r="B580">
        <f>Table4[[#This Row],[Column2]]</f>
        <v>0</v>
      </c>
    </row>
    <row r="581" spans="1:2" ht="30.75" customHeight="1">
      <c r="A581">
        <f>Table4[[#This Row],[Column1]]</f>
        <v>0</v>
      </c>
      <c r="B581">
        <f>Table4[[#This Row],[Column2]]</f>
        <v>0</v>
      </c>
    </row>
    <row r="582" spans="1:2" ht="30.75" customHeight="1">
      <c r="A582">
        <f>Table4[[#This Row],[Column1]]</f>
        <v>0</v>
      </c>
      <c r="B582">
        <f>Table4[[#This Row],[Column2]]</f>
        <v>0</v>
      </c>
    </row>
    <row r="583" spans="1:2" ht="30.75" customHeight="1">
      <c r="A583">
        <f>Table4[[#This Row],[Column1]]</f>
        <v>0</v>
      </c>
      <c r="B583">
        <f>Table4[[#This Row],[Column2]]</f>
        <v>0</v>
      </c>
    </row>
    <row r="584" spans="1:2" ht="30.75" customHeight="1">
      <c r="A584">
        <f>Table4[[#This Row],[Column1]]</f>
        <v>0</v>
      </c>
      <c r="B584">
        <f>Table4[[#This Row],[Column2]]</f>
        <v>0</v>
      </c>
    </row>
    <row r="585" spans="1:2" ht="30.75" customHeight="1">
      <c r="A585">
        <f>Table4[[#This Row],[Column1]]</f>
        <v>0</v>
      </c>
      <c r="B585">
        <f>Table4[[#This Row],[Column2]]</f>
        <v>0</v>
      </c>
    </row>
    <row r="586" spans="1:2" ht="30.75" customHeight="1">
      <c r="A586">
        <f>Table4[[#This Row],[Column1]]</f>
        <v>0</v>
      </c>
      <c r="B586">
        <f>Table4[[#This Row],[Column2]]</f>
        <v>0</v>
      </c>
    </row>
    <row r="587" spans="1:2" ht="30.75" customHeight="1">
      <c r="A587">
        <f>Table4[[#This Row],[Column1]]</f>
        <v>0</v>
      </c>
      <c r="B587">
        <f>Table4[[#This Row],[Column2]]</f>
        <v>0</v>
      </c>
    </row>
    <row r="588" spans="1:2" ht="30.75" customHeight="1">
      <c r="A588">
        <f>Table4[[#This Row],[Column1]]</f>
        <v>0</v>
      </c>
      <c r="B588">
        <f>Table4[[#This Row],[Column2]]</f>
        <v>0</v>
      </c>
    </row>
    <row r="589" spans="1:2" ht="30.75" customHeight="1">
      <c r="A589">
        <f>Table4[[#This Row],[Column1]]</f>
        <v>0</v>
      </c>
      <c r="B589">
        <f>Table4[[#This Row],[Column2]]</f>
        <v>0</v>
      </c>
    </row>
    <row r="590" spans="1:2" ht="30.75" customHeight="1">
      <c r="A590">
        <f>Table4[[#This Row],[Column1]]</f>
        <v>0</v>
      </c>
      <c r="B590">
        <f>Table4[[#This Row],[Column2]]</f>
        <v>0</v>
      </c>
    </row>
    <row r="591" spans="1:2" ht="30.75" customHeight="1">
      <c r="A591">
        <f>Table4[[#This Row],[Column1]]</f>
        <v>0</v>
      </c>
      <c r="B591">
        <f>Table4[[#This Row],[Column2]]</f>
        <v>0</v>
      </c>
    </row>
    <row r="592" spans="1:2" ht="30.75" customHeight="1">
      <c r="A592">
        <f>Table4[[#This Row],[Column1]]</f>
        <v>0</v>
      </c>
      <c r="B592">
        <f>Table4[[#This Row],[Column2]]</f>
        <v>0</v>
      </c>
    </row>
    <row r="593" spans="1:2" ht="30.75" customHeight="1">
      <c r="A593">
        <f>Table4[[#This Row],[Column1]]</f>
        <v>0</v>
      </c>
      <c r="B593">
        <f>Table4[[#This Row],[Column2]]</f>
        <v>0</v>
      </c>
    </row>
    <row r="594" spans="1:2" ht="30.75" customHeight="1">
      <c r="A594">
        <f>Table4[[#This Row],[Column1]]</f>
        <v>0</v>
      </c>
      <c r="B594">
        <f>Table4[[#This Row],[Column2]]</f>
        <v>0</v>
      </c>
    </row>
    <row r="595" spans="1:2" ht="30.75" customHeight="1">
      <c r="A595">
        <f>Table4[[#This Row],[Column1]]</f>
        <v>0</v>
      </c>
      <c r="B595">
        <f>Table4[[#This Row],[Column2]]</f>
        <v>0</v>
      </c>
    </row>
    <row r="596" spans="1:2" ht="30.75" customHeight="1">
      <c r="A596">
        <f>Table4[[#This Row],[Column1]]</f>
        <v>0</v>
      </c>
      <c r="B596">
        <f>Table4[[#This Row],[Column2]]</f>
        <v>0</v>
      </c>
    </row>
    <row r="597" spans="1:2" ht="30.75" customHeight="1">
      <c r="A597">
        <f>Table4[[#This Row],[Column1]]</f>
        <v>0</v>
      </c>
      <c r="B597">
        <f>Table4[[#This Row],[Column2]]</f>
        <v>0</v>
      </c>
    </row>
    <row r="598" spans="1:2" ht="30.75" customHeight="1">
      <c r="A598">
        <f>Table4[[#This Row],[Column1]]</f>
        <v>0</v>
      </c>
      <c r="B598">
        <f>Table4[[#This Row],[Column2]]</f>
        <v>0</v>
      </c>
    </row>
    <row r="599" spans="1:2" ht="30.75" customHeight="1">
      <c r="A599">
        <f>Table4[[#This Row],[Column1]]</f>
        <v>0</v>
      </c>
      <c r="B599">
        <f>Table4[[#This Row],[Column2]]</f>
        <v>0</v>
      </c>
    </row>
    <row r="600" spans="1:2" ht="30.75" customHeight="1">
      <c r="A600">
        <f>Table4[[#This Row],[Column1]]</f>
        <v>0</v>
      </c>
      <c r="B600">
        <f>Table4[[#This Row],[Column2]]</f>
        <v>0</v>
      </c>
    </row>
    <row r="601" spans="1:2" ht="30.75" customHeight="1">
      <c r="A601">
        <f>Table4[[#This Row],[Column1]]</f>
        <v>0</v>
      </c>
      <c r="B601">
        <f>Table4[[#This Row],[Column2]]</f>
        <v>0</v>
      </c>
    </row>
    <row r="602" spans="1:2" ht="30.75" customHeight="1">
      <c r="A602">
        <f>Table4[[#This Row],[Column1]]</f>
        <v>0</v>
      </c>
      <c r="B602">
        <f>Table4[[#This Row],[Column2]]</f>
        <v>0</v>
      </c>
    </row>
    <row r="603" spans="1:2" ht="30.75" customHeight="1">
      <c r="A603">
        <f>Table4[[#This Row],[Column1]]</f>
        <v>0</v>
      </c>
      <c r="B603">
        <f>Table4[[#This Row],[Column2]]</f>
        <v>0</v>
      </c>
    </row>
    <row r="604" spans="1:2" ht="30.75" customHeight="1">
      <c r="A604">
        <f>Table4[[#This Row],[Column1]]</f>
        <v>0</v>
      </c>
      <c r="B604">
        <f>Table4[[#This Row],[Column2]]</f>
        <v>0</v>
      </c>
    </row>
    <row r="605" spans="1:2" ht="30.75" customHeight="1">
      <c r="A605">
        <f>Table4[[#This Row],[Column1]]</f>
        <v>0</v>
      </c>
      <c r="B605">
        <f>Table4[[#This Row],[Column2]]</f>
        <v>0</v>
      </c>
    </row>
    <row r="606" spans="1:2" ht="30.75" customHeight="1">
      <c r="A606">
        <f>Table4[[#This Row],[Column1]]</f>
        <v>0</v>
      </c>
      <c r="B606">
        <f>Table4[[#This Row],[Column2]]</f>
        <v>0</v>
      </c>
    </row>
    <row r="607" spans="1:2" ht="30.75" customHeight="1">
      <c r="A607">
        <f>Table4[[#This Row],[Column1]]</f>
        <v>0</v>
      </c>
      <c r="B607">
        <f>Table4[[#This Row],[Column2]]</f>
        <v>0</v>
      </c>
    </row>
    <row r="608" spans="1:2" ht="30.75" customHeight="1">
      <c r="A608">
        <f>Table4[[#This Row],[Column1]]</f>
        <v>0</v>
      </c>
      <c r="B608">
        <f>Table4[[#This Row],[Column2]]</f>
        <v>0</v>
      </c>
    </row>
    <row r="609" spans="1:2" ht="30.75" customHeight="1">
      <c r="A609">
        <f>Table4[[#This Row],[Column1]]</f>
        <v>0</v>
      </c>
      <c r="B609">
        <f>Table4[[#This Row],[Column2]]</f>
        <v>0</v>
      </c>
    </row>
    <row r="610" spans="1:2" ht="30.75" customHeight="1">
      <c r="A610">
        <f>Table4[[#This Row],[Column1]]</f>
        <v>0</v>
      </c>
      <c r="B610">
        <f>Table4[[#This Row],[Column2]]</f>
        <v>0</v>
      </c>
    </row>
    <row r="611" spans="1:2" ht="30.75" customHeight="1">
      <c r="A611">
        <f>Table4[[#This Row],[Column1]]</f>
        <v>0</v>
      </c>
      <c r="B611">
        <f>Table4[[#This Row],[Column2]]</f>
        <v>0</v>
      </c>
    </row>
    <row r="612" spans="1:2" ht="30.75" customHeight="1">
      <c r="A612">
        <f>Table4[[#This Row],[Column1]]</f>
        <v>0</v>
      </c>
      <c r="B612">
        <f>Table4[[#This Row],[Column2]]</f>
        <v>0</v>
      </c>
    </row>
    <row r="613" spans="1:2" ht="30.75" customHeight="1">
      <c r="A613">
        <f>Table4[[#This Row],[Column1]]</f>
        <v>0</v>
      </c>
      <c r="B613">
        <f>Table4[[#This Row],[Column2]]</f>
        <v>0</v>
      </c>
    </row>
    <row r="614" spans="1:2" ht="30.75" customHeight="1">
      <c r="A614">
        <f>Table4[[#This Row],[Column1]]</f>
        <v>0</v>
      </c>
      <c r="B614">
        <f>Table4[[#This Row],[Column2]]</f>
        <v>0</v>
      </c>
    </row>
    <row r="615" spans="1:2" ht="30.75" customHeight="1">
      <c r="A615">
        <f>Table4[[#This Row],[Column1]]</f>
        <v>0</v>
      </c>
      <c r="B615">
        <f>Table4[[#This Row],[Column2]]</f>
        <v>0</v>
      </c>
    </row>
    <row r="616" spans="1:2" ht="30.75" customHeight="1">
      <c r="A616">
        <f>Table4[[#This Row],[Column1]]</f>
        <v>0</v>
      </c>
      <c r="B616">
        <f>Table4[[#This Row],[Column2]]</f>
        <v>0</v>
      </c>
    </row>
    <row r="617" spans="1:2" ht="30.75" customHeight="1">
      <c r="A617">
        <f>Table4[[#This Row],[Column1]]</f>
        <v>0</v>
      </c>
      <c r="B617">
        <f>Table4[[#This Row],[Column2]]</f>
        <v>0</v>
      </c>
    </row>
    <row r="618" spans="1:2" ht="30.75" customHeight="1">
      <c r="A618">
        <f>Table4[[#This Row],[Column1]]</f>
        <v>0</v>
      </c>
      <c r="B618">
        <f>Table4[[#This Row],[Column2]]</f>
        <v>0</v>
      </c>
    </row>
    <row r="619" spans="1:2" ht="30.75" customHeight="1">
      <c r="A619">
        <f>Table4[[#This Row],[Column1]]</f>
        <v>0</v>
      </c>
      <c r="B619">
        <f>Table4[[#This Row],[Column2]]</f>
        <v>0</v>
      </c>
    </row>
    <row r="620" spans="1:2" ht="30.75" customHeight="1">
      <c r="A620">
        <f>Table4[[#This Row],[Column1]]</f>
        <v>0</v>
      </c>
      <c r="B620">
        <f>Table4[[#This Row],[Column2]]</f>
        <v>0</v>
      </c>
    </row>
    <row r="621" spans="1:2" ht="30.75" customHeight="1">
      <c r="A621">
        <f>Table4[[#This Row],[Column1]]</f>
        <v>0</v>
      </c>
      <c r="B621">
        <f>Table4[[#This Row],[Column2]]</f>
        <v>0</v>
      </c>
    </row>
    <row r="622" spans="1:2" ht="30.75" customHeight="1">
      <c r="A622">
        <f>Table4[[#This Row],[Column1]]</f>
        <v>0</v>
      </c>
      <c r="B622">
        <f>Table4[[#This Row],[Column2]]</f>
        <v>0</v>
      </c>
    </row>
    <row r="623" spans="1:2" ht="30.75" customHeight="1">
      <c r="A623">
        <f>Table4[[#This Row],[Column1]]</f>
        <v>0</v>
      </c>
      <c r="B623">
        <f>Table4[[#This Row],[Column2]]</f>
        <v>0</v>
      </c>
    </row>
    <row r="624" spans="1:2" ht="30.75" customHeight="1">
      <c r="A624">
        <f>Table4[[#This Row],[Column1]]</f>
        <v>0</v>
      </c>
      <c r="B624">
        <f>Table4[[#This Row],[Column2]]</f>
        <v>0</v>
      </c>
    </row>
    <row r="625" spans="1:2" ht="30.75" customHeight="1">
      <c r="A625">
        <f>Table4[[#This Row],[Column1]]</f>
        <v>0</v>
      </c>
      <c r="B625">
        <f>Table4[[#This Row],[Column2]]</f>
        <v>0</v>
      </c>
    </row>
    <row r="626" spans="1:2" ht="30.75" customHeight="1">
      <c r="A626">
        <f>Table4[[#This Row],[Column1]]</f>
        <v>0</v>
      </c>
      <c r="B626">
        <f>Table4[[#This Row],[Column2]]</f>
        <v>0</v>
      </c>
    </row>
    <row r="627" spans="1:2" ht="30.75" customHeight="1">
      <c r="A627">
        <f>Table4[[#This Row],[Column1]]</f>
        <v>0</v>
      </c>
      <c r="B627">
        <f>Table4[[#This Row],[Column2]]</f>
        <v>0</v>
      </c>
    </row>
    <row r="628" spans="1:2" ht="30.75" customHeight="1">
      <c r="A628">
        <f>Table4[[#This Row],[Column1]]</f>
        <v>0</v>
      </c>
      <c r="B628">
        <f>Table4[[#This Row],[Column2]]</f>
        <v>0</v>
      </c>
    </row>
    <row r="629" spans="1:2" ht="30.75" customHeight="1">
      <c r="A629">
        <f>Table4[[#This Row],[Column1]]</f>
        <v>0</v>
      </c>
      <c r="B629">
        <f>Table4[[#This Row],[Column2]]</f>
        <v>0</v>
      </c>
    </row>
    <row r="630" spans="1:2" ht="30.75" customHeight="1">
      <c r="A630">
        <f>Table4[[#This Row],[Column1]]</f>
        <v>0</v>
      </c>
      <c r="B630">
        <f>Table4[[#This Row],[Column2]]</f>
        <v>0</v>
      </c>
    </row>
    <row r="631" spans="1:2" ht="30.75" customHeight="1">
      <c r="A631">
        <f>Table4[[#This Row],[Column1]]</f>
        <v>0</v>
      </c>
      <c r="B631">
        <f>Table4[[#This Row],[Column2]]</f>
        <v>0</v>
      </c>
    </row>
    <row r="632" spans="1:2" ht="30.75" customHeight="1">
      <c r="A632">
        <f>Table4[[#This Row],[Column1]]</f>
        <v>0</v>
      </c>
      <c r="B632">
        <f>Table4[[#This Row],[Column2]]</f>
        <v>0</v>
      </c>
    </row>
    <row r="633" spans="1:2" ht="30.75" customHeight="1">
      <c r="A633">
        <f>Table4[[#This Row],[Column1]]</f>
        <v>0</v>
      </c>
      <c r="B633">
        <f>Table4[[#This Row],[Column2]]</f>
        <v>0</v>
      </c>
    </row>
    <row r="634" spans="1:2" ht="30.75" customHeight="1">
      <c r="A634">
        <f>Table4[[#This Row],[Column1]]</f>
        <v>0</v>
      </c>
      <c r="B634">
        <f>Table4[[#This Row],[Column2]]</f>
        <v>0</v>
      </c>
    </row>
    <row r="635" spans="1:2" ht="30.75" customHeight="1">
      <c r="A635">
        <f>Table4[[#This Row],[Column1]]</f>
        <v>0</v>
      </c>
      <c r="B635">
        <f>Table4[[#This Row],[Column2]]</f>
        <v>0</v>
      </c>
    </row>
    <row r="636" spans="1:2" ht="30.75" customHeight="1">
      <c r="A636">
        <f>Table4[[#This Row],[Column1]]</f>
        <v>0</v>
      </c>
      <c r="B636">
        <f>Table4[[#This Row],[Column2]]</f>
        <v>0</v>
      </c>
    </row>
    <row r="637" spans="1:2" ht="30.75" customHeight="1">
      <c r="A637">
        <f>Table4[[#This Row],[Column1]]</f>
        <v>0</v>
      </c>
      <c r="B637">
        <f>Table4[[#This Row],[Column2]]</f>
        <v>0</v>
      </c>
    </row>
    <row r="638" spans="1:2" ht="30.75" customHeight="1">
      <c r="A638">
        <f>Table4[[#This Row],[Column1]]</f>
        <v>0</v>
      </c>
      <c r="B638">
        <f>Table4[[#This Row],[Column2]]</f>
        <v>0</v>
      </c>
    </row>
    <row r="639" spans="1:2" ht="30.75" customHeight="1">
      <c r="A639">
        <f>Table4[[#This Row],[Column1]]</f>
        <v>0</v>
      </c>
      <c r="B639">
        <f>Table4[[#This Row],[Column2]]</f>
        <v>0</v>
      </c>
    </row>
    <row r="640" spans="1:2" ht="30.75" customHeight="1">
      <c r="A640">
        <f>Table4[[#This Row],[Column1]]</f>
        <v>0</v>
      </c>
      <c r="B640">
        <f>Table4[[#This Row],[Column2]]</f>
        <v>0</v>
      </c>
    </row>
    <row r="641" spans="1:2" ht="30.75" customHeight="1">
      <c r="A641">
        <f>Table4[[#This Row],[Column1]]</f>
        <v>0</v>
      </c>
      <c r="B641">
        <f>Table4[[#This Row],[Column2]]</f>
        <v>0</v>
      </c>
    </row>
    <row r="642" spans="1:2" ht="30.75" customHeight="1">
      <c r="A642">
        <f>Table4[[#This Row],[Column1]]</f>
        <v>0</v>
      </c>
      <c r="B642">
        <f>Table4[[#This Row],[Column2]]</f>
        <v>0</v>
      </c>
    </row>
    <row r="643" spans="1:2" ht="30.75" customHeight="1">
      <c r="A643">
        <f>Table4[[#This Row],[Column1]]</f>
        <v>0</v>
      </c>
      <c r="B643">
        <f>Table4[[#This Row],[Column2]]</f>
        <v>0</v>
      </c>
    </row>
    <row r="644" spans="1:2" ht="30.75" customHeight="1">
      <c r="A644">
        <f>Table4[[#This Row],[Column1]]</f>
        <v>0</v>
      </c>
      <c r="B644">
        <f>Table4[[#This Row],[Column2]]</f>
        <v>0</v>
      </c>
    </row>
    <row r="645" spans="1:2" ht="30.75" customHeight="1">
      <c r="A645">
        <f>Table4[[#This Row],[Column1]]</f>
        <v>0</v>
      </c>
      <c r="B645">
        <f>Table4[[#This Row],[Column2]]</f>
        <v>0</v>
      </c>
    </row>
    <row r="646" spans="1:2" ht="30.75" customHeight="1">
      <c r="A646">
        <f>Table4[[#This Row],[Column1]]</f>
        <v>0</v>
      </c>
      <c r="B646">
        <f>Table4[[#This Row],[Column2]]</f>
        <v>0</v>
      </c>
    </row>
    <row r="647" spans="1:2" ht="30.75" customHeight="1">
      <c r="A647">
        <f>Table4[[#This Row],[Column1]]</f>
        <v>0</v>
      </c>
      <c r="B647">
        <f>Table4[[#This Row],[Column2]]</f>
        <v>0</v>
      </c>
    </row>
    <row r="648" spans="1:2" ht="30.75" customHeight="1">
      <c r="A648">
        <f>Table4[[#This Row],[Column1]]</f>
        <v>0</v>
      </c>
      <c r="B648">
        <f>Table4[[#This Row],[Column2]]</f>
        <v>0</v>
      </c>
    </row>
    <row r="649" spans="1:2" ht="30.75" customHeight="1">
      <c r="A649">
        <f>Table4[[#This Row],[Column1]]</f>
        <v>0</v>
      </c>
      <c r="B649">
        <f>Table4[[#This Row],[Column2]]</f>
        <v>0</v>
      </c>
    </row>
    <row r="650" spans="1:2" ht="30.75" customHeight="1">
      <c r="A650">
        <f>Table4[[#This Row],[Column1]]</f>
        <v>0</v>
      </c>
      <c r="B650">
        <f>Table4[[#This Row],[Column2]]</f>
        <v>0</v>
      </c>
    </row>
    <row r="651" spans="1:2" ht="30.75" customHeight="1">
      <c r="A651">
        <f>Table4[[#This Row],[Column1]]</f>
        <v>0</v>
      </c>
      <c r="B651">
        <f>Table4[[#This Row],[Column2]]</f>
        <v>0</v>
      </c>
    </row>
    <row r="652" spans="1:2" ht="30.75" customHeight="1">
      <c r="A652">
        <f>Table4[[#This Row],[Column1]]</f>
        <v>0</v>
      </c>
      <c r="B652">
        <f>Table4[[#This Row],[Column2]]</f>
        <v>0</v>
      </c>
    </row>
    <row r="653" spans="1:2" ht="30.75" customHeight="1">
      <c r="A653">
        <f>Table4[[#This Row],[Column1]]</f>
        <v>0</v>
      </c>
      <c r="B653">
        <f>Table4[[#This Row],[Column2]]</f>
        <v>0</v>
      </c>
    </row>
    <row r="654" spans="1:2" ht="30.75" customHeight="1">
      <c r="A654">
        <f>Table4[[#This Row],[Column1]]</f>
        <v>0</v>
      </c>
      <c r="B654">
        <f>Table4[[#This Row],[Column2]]</f>
        <v>0</v>
      </c>
    </row>
    <row r="655" spans="1:2" ht="30.75" customHeight="1">
      <c r="A655">
        <f>Table4[[#This Row],[Column1]]</f>
        <v>0</v>
      </c>
      <c r="B655">
        <f>Table4[[#This Row],[Column2]]</f>
        <v>0</v>
      </c>
    </row>
    <row r="656" spans="1:2" ht="30.75" customHeight="1">
      <c r="A656">
        <f>Table4[[#This Row],[Column1]]</f>
        <v>0</v>
      </c>
      <c r="B656">
        <f>Table4[[#This Row],[Column2]]</f>
        <v>0</v>
      </c>
    </row>
    <row r="657" spans="1:2" ht="30.75" customHeight="1">
      <c r="A657">
        <f>Table4[[#This Row],[Column1]]</f>
        <v>0</v>
      </c>
      <c r="B657">
        <f>Table4[[#This Row],[Column2]]</f>
        <v>0</v>
      </c>
    </row>
    <row r="658" spans="1:2" ht="30.75" customHeight="1">
      <c r="A658">
        <f>Table4[[#This Row],[Column1]]</f>
        <v>0</v>
      </c>
      <c r="B658">
        <f>Table4[[#This Row],[Column2]]</f>
        <v>0</v>
      </c>
    </row>
    <row r="659" spans="1:2" ht="30.75" customHeight="1">
      <c r="A659">
        <f>Table4[[#This Row],[Column1]]</f>
        <v>0</v>
      </c>
      <c r="B659">
        <f>Table4[[#This Row],[Column2]]</f>
        <v>0</v>
      </c>
    </row>
    <row r="660" spans="1:2" ht="30.75" customHeight="1">
      <c r="A660">
        <f>Table4[[#This Row],[Column1]]</f>
        <v>0</v>
      </c>
      <c r="B660">
        <f>Table4[[#This Row],[Column2]]</f>
        <v>0</v>
      </c>
    </row>
    <row r="661" spans="1:2" ht="30.75" customHeight="1">
      <c r="A661">
        <f>Table4[[#This Row],[Column1]]</f>
        <v>0</v>
      </c>
      <c r="B661">
        <f>Table4[[#This Row],[Column2]]</f>
        <v>0</v>
      </c>
    </row>
    <row r="662" spans="1:2" ht="30.75" customHeight="1">
      <c r="A662">
        <f>Table4[[#This Row],[Column1]]</f>
        <v>0</v>
      </c>
      <c r="B662">
        <f>Table4[[#This Row],[Column2]]</f>
        <v>0</v>
      </c>
    </row>
    <row r="663" spans="1:2" ht="30.75" customHeight="1">
      <c r="A663">
        <f>Table4[[#This Row],[Column1]]</f>
        <v>0</v>
      </c>
      <c r="B663">
        <f>Table4[[#This Row],[Column2]]</f>
        <v>0</v>
      </c>
    </row>
    <row r="664" spans="1:2" ht="30.75" customHeight="1">
      <c r="A664">
        <f>Table4[[#This Row],[Column1]]</f>
        <v>0</v>
      </c>
      <c r="B664">
        <f>Table4[[#This Row],[Column2]]</f>
        <v>0</v>
      </c>
    </row>
    <row r="665" spans="1:2" ht="30.75" customHeight="1">
      <c r="A665">
        <f>Table4[[#This Row],[Column1]]</f>
        <v>0</v>
      </c>
      <c r="B665">
        <f>Table4[[#This Row],[Column2]]</f>
        <v>0</v>
      </c>
    </row>
    <row r="666" spans="1:2" ht="30.75" customHeight="1">
      <c r="A666">
        <f>Table4[[#This Row],[Column1]]</f>
        <v>0</v>
      </c>
      <c r="B666">
        <f>Table4[[#This Row],[Column2]]</f>
        <v>0</v>
      </c>
    </row>
    <row r="667" spans="1:2" ht="30.75" customHeight="1">
      <c r="A667">
        <f>Table4[[#This Row],[Column1]]</f>
        <v>0</v>
      </c>
      <c r="B667">
        <f>Table4[[#This Row],[Column2]]</f>
        <v>0</v>
      </c>
    </row>
    <row r="668" spans="1:2" ht="30.75" customHeight="1">
      <c r="A668">
        <f>Table4[[#This Row],[Column1]]</f>
        <v>0</v>
      </c>
      <c r="B668">
        <f>Table4[[#This Row],[Column2]]</f>
        <v>0</v>
      </c>
    </row>
    <row r="669" spans="1:2" ht="30.75" customHeight="1">
      <c r="A669">
        <f>Table4[[#This Row],[Column1]]</f>
        <v>0</v>
      </c>
      <c r="B669">
        <f>Table4[[#This Row],[Column2]]</f>
        <v>0</v>
      </c>
    </row>
    <row r="670" spans="1:2" ht="30.75" customHeight="1">
      <c r="A670">
        <f>Table4[[#This Row],[Column1]]</f>
        <v>0</v>
      </c>
      <c r="B670">
        <f>Table4[[#This Row],[Column2]]</f>
        <v>0</v>
      </c>
    </row>
    <row r="671" spans="1:2" ht="30.75" customHeight="1">
      <c r="A671">
        <f>Table4[[#This Row],[Column1]]</f>
        <v>0</v>
      </c>
      <c r="B671">
        <f>Table4[[#This Row],[Column2]]</f>
        <v>0</v>
      </c>
    </row>
    <row r="672" spans="1:2" ht="30.75" customHeight="1">
      <c r="A672">
        <f>Table4[[#This Row],[Column1]]</f>
        <v>0</v>
      </c>
      <c r="B672">
        <f>Table4[[#This Row],[Column2]]</f>
        <v>0</v>
      </c>
    </row>
    <row r="673" spans="1:2" ht="30.75" customHeight="1">
      <c r="A673">
        <f>Table4[[#This Row],[Column1]]</f>
        <v>0</v>
      </c>
      <c r="B673">
        <f>Table4[[#This Row],[Column2]]</f>
        <v>0</v>
      </c>
    </row>
    <row r="674" spans="1:2" ht="30.75" customHeight="1">
      <c r="A674">
        <f>Table4[[#This Row],[Column1]]</f>
        <v>0</v>
      </c>
      <c r="B674">
        <f>Table4[[#This Row],[Column2]]</f>
        <v>0</v>
      </c>
    </row>
    <row r="675" spans="1:2" ht="30.75" customHeight="1">
      <c r="A675">
        <f>Table4[[#This Row],[Column1]]</f>
        <v>0</v>
      </c>
      <c r="B675">
        <f>Table4[[#This Row],[Column2]]</f>
        <v>0</v>
      </c>
    </row>
    <row r="676" spans="1:2" ht="30.75" customHeight="1">
      <c r="A676">
        <f>Table4[[#This Row],[Column1]]</f>
        <v>0</v>
      </c>
      <c r="B676">
        <f>Table4[[#This Row],[Column2]]</f>
        <v>0</v>
      </c>
    </row>
    <row r="677" spans="1:2" ht="30.75" customHeight="1">
      <c r="A677">
        <f>Table4[[#This Row],[Column1]]</f>
        <v>0</v>
      </c>
      <c r="B677">
        <f>Table4[[#This Row],[Column2]]</f>
        <v>0</v>
      </c>
    </row>
    <row r="678" spans="1:2" ht="30.75" customHeight="1">
      <c r="A678">
        <f>Table4[[#This Row],[Column1]]</f>
        <v>0</v>
      </c>
      <c r="B678">
        <f>Table4[[#This Row],[Column2]]</f>
        <v>0</v>
      </c>
    </row>
    <row r="679" spans="1:2" ht="30.75" customHeight="1">
      <c r="A679">
        <f>Table4[[#This Row],[Column1]]</f>
        <v>0</v>
      </c>
      <c r="B679">
        <f>Table4[[#This Row],[Column2]]</f>
        <v>0</v>
      </c>
    </row>
    <row r="680" spans="1:2" ht="30.75" customHeight="1">
      <c r="A680">
        <f>Table4[[#This Row],[Column1]]</f>
        <v>0</v>
      </c>
      <c r="B680">
        <f>Table4[[#This Row],[Column2]]</f>
        <v>0</v>
      </c>
    </row>
    <row r="681" spans="1:2" ht="30.75" customHeight="1">
      <c r="A681">
        <f>Table4[[#This Row],[Column1]]</f>
        <v>0</v>
      </c>
      <c r="B681">
        <f>Table4[[#This Row],[Column2]]</f>
        <v>0</v>
      </c>
    </row>
    <row r="682" spans="1:2" ht="30.75" customHeight="1">
      <c r="A682">
        <f>Table4[[#This Row],[Column1]]</f>
        <v>0</v>
      </c>
      <c r="B682">
        <f>Table4[[#This Row],[Column2]]</f>
        <v>0</v>
      </c>
    </row>
    <row r="683" spans="1:2" ht="30.75" customHeight="1">
      <c r="A683">
        <f>Table4[[#This Row],[Column1]]</f>
        <v>0</v>
      </c>
      <c r="B683">
        <f>Table4[[#This Row],[Column2]]</f>
        <v>0</v>
      </c>
    </row>
    <row r="684" spans="1:2" ht="30.75" customHeight="1">
      <c r="A684">
        <f>Table4[[#This Row],[Column1]]</f>
        <v>0</v>
      </c>
      <c r="B684">
        <f>Table4[[#This Row],[Column2]]</f>
        <v>0</v>
      </c>
    </row>
    <row r="685" spans="1:2" ht="30.75" customHeight="1">
      <c r="A685">
        <f>Table4[[#This Row],[Column1]]</f>
        <v>0</v>
      </c>
      <c r="B685">
        <f>Table4[[#This Row],[Column2]]</f>
        <v>0</v>
      </c>
    </row>
    <row r="686" spans="1:2" ht="30.75" customHeight="1">
      <c r="A686">
        <f>Table4[[#This Row],[Column1]]</f>
        <v>0</v>
      </c>
      <c r="B686">
        <f>Table4[[#This Row],[Column2]]</f>
        <v>0</v>
      </c>
    </row>
    <row r="687" spans="1:2" ht="30.75" customHeight="1">
      <c r="A687">
        <f>Table4[[#This Row],[Column1]]</f>
        <v>0</v>
      </c>
      <c r="B687">
        <f>Table4[[#This Row],[Column2]]</f>
        <v>0</v>
      </c>
    </row>
    <row r="688" spans="1:2" ht="30.75" customHeight="1">
      <c r="A688">
        <f>Table4[[#This Row],[Column1]]</f>
        <v>0</v>
      </c>
      <c r="B688">
        <f>Table4[[#This Row],[Column2]]</f>
        <v>0</v>
      </c>
    </row>
    <row r="689" spans="1:2" ht="30.75" customHeight="1">
      <c r="A689">
        <f>Table4[[#This Row],[Column1]]</f>
        <v>0</v>
      </c>
      <c r="B689">
        <f>Table4[[#This Row],[Column2]]</f>
        <v>0</v>
      </c>
    </row>
    <row r="690" spans="1:2" ht="30.75" customHeight="1">
      <c r="A690">
        <f>Table4[[#This Row],[Column1]]</f>
        <v>0</v>
      </c>
      <c r="B690">
        <f>Table4[[#This Row],[Column2]]</f>
        <v>0</v>
      </c>
    </row>
    <row r="691" spans="1:2" ht="30.75" customHeight="1">
      <c r="A691">
        <f>Table4[[#This Row],[Column1]]</f>
        <v>0</v>
      </c>
      <c r="B691">
        <f>Table4[[#This Row],[Column2]]</f>
        <v>0</v>
      </c>
    </row>
    <row r="692" spans="1:2" ht="30.75" customHeight="1">
      <c r="A692">
        <f>Table4[[#This Row],[Column1]]</f>
        <v>0</v>
      </c>
      <c r="B692">
        <f>Table4[[#This Row],[Column2]]</f>
        <v>0</v>
      </c>
    </row>
    <row r="693" spans="1:2" ht="30.75" customHeight="1">
      <c r="A693">
        <f>Table4[[#This Row],[Column1]]</f>
        <v>0</v>
      </c>
      <c r="B693">
        <f>Table4[[#This Row],[Column2]]</f>
        <v>0</v>
      </c>
    </row>
    <row r="694" spans="1:2" ht="30.75" customHeight="1">
      <c r="A694">
        <f>Table4[[#This Row],[Column1]]</f>
        <v>0</v>
      </c>
      <c r="B694">
        <f>Table4[[#This Row],[Column2]]</f>
        <v>0</v>
      </c>
    </row>
    <row r="695" spans="1:2" ht="30.75" customHeight="1">
      <c r="A695">
        <f>Table4[[#This Row],[Column1]]</f>
        <v>0</v>
      </c>
      <c r="B695">
        <f>Table4[[#This Row],[Column2]]</f>
        <v>0</v>
      </c>
    </row>
    <row r="696" spans="1:2" ht="30.75" customHeight="1">
      <c r="A696">
        <f>Table4[[#This Row],[Column1]]</f>
        <v>0</v>
      </c>
      <c r="B696">
        <f>Table4[[#This Row],[Column2]]</f>
        <v>0</v>
      </c>
    </row>
    <row r="697" spans="1:2" ht="30.75" customHeight="1">
      <c r="A697">
        <f>Table4[[#This Row],[Column1]]</f>
        <v>0</v>
      </c>
      <c r="B697">
        <f>Table4[[#This Row],[Column2]]</f>
        <v>0</v>
      </c>
    </row>
    <row r="698" spans="1:2" ht="30.75" customHeight="1">
      <c r="A698">
        <f>Table4[[#This Row],[Column1]]</f>
        <v>0</v>
      </c>
      <c r="B698">
        <f>Table4[[#This Row],[Column2]]</f>
        <v>0</v>
      </c>
    </row>
    <row r="699" spans="1:2" ht="30.75" customHeight="1">
      <c r="A699">
        <f>Table4[[#This Row],[Column1]]</f>
        <v>0</v>
      </c>
      <c r="B699">
        <f>Table4[[#This Row],[Column2]]</f>
        <v>0</v>
      </c>
    </row>
    <row r="700" spans="1:2" ht="30.75" customHeight="1">
      <c r="A700">
        <f>Table4[[#This Row],[Column1]]</f>
        <v>0</v>
      </c>
      <c r="B700">
        <f>Table4[[#This Row],[Column2]]</f>
        <v>0</v>
      </c>
    </row>
    <row r="701" spans="1:2" ht="30.75" customHeight="1">
      <c r="A701">
        <f>Table4[[#This Row],[Column1]]</f>
        <v>0</v>
      </c>
      <c r="B701">
        <f>Table4[[#This Row],[Column2]]</f>
        <v>0</v>
      </c>
    </row>
    <row r="702" spans="1:2" ht="30.75" customHeight="1">
      <c r="A702">
        <f>Table4[[#This Row],[Column1]]</f>
        <v>0</v>
      </c>
      <c r="B702">
        <f>Table4[[#This Row],[Column2]]</f>
        <v>0</v>
      </c>
    </row>
    <row r="703" spans="1:2" ht="30.75" customHeight="1">
      <c r="A703">
        <f>Table4[[#This Row],[Column1]]</f>
        <v>0</v>
      </c>
      <c r="B703">
        <f>Table4[[#This Row],[Column2]]</f>
        <v>0</v>
      </c>
    </row>
    <row r="704" spans="1:2" ht="30.75" customHeight="1">
      <c r="A704">
        <f>Table4[[#This Row],[Column1]]</f>
        <v>0</v>
      </c>
      <c r="B704">
        <f>Table4[[#This Row],[Column2]]</f>
        <v>0</v>
      </c>
    </row>
    <row r="705" spans="1:2" ht="30.75" customHeight="1">
      <c r="A705">
        <f>Table4[[#This Row],[Column1]]</f>
        <v>0</v>
      </c>
      <c r="B705">
        <f>Table4[[#This Row],[Column2]]</f>
        <v>0</v>
      </c>
    </row>
    <row r="706" spans="1:2" ht="30.75" customHeight="1">
      <c r="A706">
        <f>Table4[[#This Row],[Column1]]</f>
        <v>0</v>
      </c>
      <c r="B706">
        <f>Table4[[#This Row],[Column2]]</f>
        <v>0</v>
      </c>
    </row>
    <row r="707" spans="1:2" ht="30.75" customHeight="1">
      <c r="A707">
        <f>Table4[[#This Row],[Column1]]</f>
        <v>0</v>
      </c>
      <c r="B707">
        <f>Table4[[#This Row],[Column2]]</f>
        <v>0</v>
      </c>
    </row>
    <row r="708" spans="1:2" ht="30.75" customHeight="1">
      <c r="A708">
        <f>Table4[[#This Row],[Column1]]</f>
        <v>0</v>
      </c>
      <c r="B708">
        <f>Table4[[#This Row],[Column2]]</f>
        <v>0</v>
      </c>
    </row>
    <row r="709" spans="1:2" ht="30.75" customHeight="1">
      <c r="A709">
        <f>Table4[[#This Row],[Column1]]</f>
        <v>0</v>
      </c>
      <c r="B709">
        <f>Table4[[#This Row],[Column2]]</f>
        <v>0</v>
      </c>
    </row>
    <row r="710" spans="1:2" ht="30.75" customHeight="1">
      <c r="A710">
        <f>Table4[[#This Row],[Column1]]</f>
        <v>0</v>
      </c>
      <c r="B710">
        <f>Table4[[#This Row],[Column2]]</f>
        <v>0</v>
      </c>
    </row>
    <row r="711" spans="1:2" ht="30.75" customHeight="1">
      <c r="A711">
        <f>Table4[[#This Row],[Column1]]</f>
        <v>0</v>
      </c>
      <c r="B711">
        <f>Table4[[#This Row],[Column2]]</f>
        <v>0</v>
      </c>
    </row>
    <row r="712" spans="1:2" ht="30.75" customHeight="1">
      <c r="A712">
        <f>Table4[[#This Row],[Column1]]</f>
        <v>0</v>
      </c>
      <c r="B712">
        <f>Table4[[#This Row],[Column2]]</f>
        <v>0</v>
      </c>
    </row>
    <row r="713" spans="1:2" ht="30.75" customHeight="1">
      <c r="A713">
        <f>Table4[[#This Row],[Column1]]</f>
        <v>0</v>
      </c>
      <c r="B713">
        <f>Table4[[#This Row],[Column2]]</f>
        <v>0</v>
      </c>
    </row>
    <row r="714" spans="1:2" ht="30.75" customHeight="1">
      <c r="A714">
        <f>Table4[[#This Row],[Column1]]</f>
        <v>0</v>
      </c>
      <c r="B714">
        <f>Table4[[#This Row],[Column2]]</f>
        <v>0</v>
      </c>
    </row>
    <row r="715" spans="1:2" ht="30.75" customHeight="1">
      <c r="A715">
        <f>Table4[[#This Row],[Column1]]</f>
        <v>0</v>
      </c>
      <c r="B715">
        <f>Table4[[#This Row],[Column2]]</f>
        <v>0</v>
      </c>
    </row>
    <row r="716" spans="1:2" ht="30.75" customHeight="1">
      <c r="A716">
        <f>Table4[[#This Row],[Column1]]</f>
        <v>0</v>
      </c>
      <c r="B716">
        <f>Table4[[#This Row],[Column2]]</f>
        <v>0</v>
      </c>
    </row>
    <row r="717" spans="1:2" ht="30.75" customHeight="1">
      <c r="A717">
        <f>Table4[[#This Row],[Column1]]</f>
        <v>0</v>
      </c>
      <c r="B717">
        <f>Table4[[#This Row],[Column2]]</f>
        <v>0</v>
      </c>
    </row>
    <row r="718" spans="1:2" ht="30.75" customHeight="1">
      <c r="A718">
        <f>Table4[[#This Row],[Column1]]</f>
        <v>0</v>
      </c>
      <c r="B718">
        <f>Table4[[#This Row],[Column2]]</f>
        <v>0</v>
      </c>
    </row>
    <row r="719" spans="1:2" ht="30.75" customHeight="1">
      <c r="A719">
        <f>Table4[[#This Row],[Column1]]</f>
        <v>0</v>
      </c>
      <c r="B719">
        <f>Table4[[#This Row],[Column2]]</f>
        <v>0</v>
      </c>
    </row>
    <row r="720" spans="1:2" ht="30.75" customHeight="1">
      <c r="A720">
        <f>Table4[[#This Row],[Column1]]</f>
        <v>0</v>
      </c>
      <c r="B720">
        <f>Table4[[#This Row],[Column2]]</f>
        <v>0</v>
      </c>
    </row>
    <row r="721" spans="1:2" ht="30.75" customHeight="1">
      <c r="A721">
        <f>Table4[[#This Row],[Column1]]</f>
        <v>0</v>
      </c>
      <c r="B721">
        <f>Table4[[#This Row],[Column2]]</f>
        <v>0</v>
      </c>
    </row>
    <row r="722" spans="1:2" ht="30.75" customHeight="1">
      <c r="A722">
        <f>Table4[[#This Row],[Column1]]</f>
        <v>0</v>
      </c>
      <c r="B722">
        <f>Table4[[#This Row],[Column2]]</f>
        <v>0</v>
      </c>
    </row>
    <row r="723" spans="1:2" ht="30.75" customHeight="1">
      <c r="A723">
        <f>Table4[[#This Row],[Column1]]</f>
        <v>0</v>
      </c>
      <c r="B723">
        <f>Table4[[#This Row],[Column2]]</f>
        <v>0</v>
      </c>
    </row>
    <row r="724" spans="1:2" ht="30.75" customHeight="1">
      <c r="A724">
        <f>Table4[[#This Row],[Column1]]</f>
        <v>0</v>
      </c>
      <c r="B724">
        <f>Table4[[#This Row],[Column2]]</f>
        <v>0</v>
      </c>
    </row>
    <row r="725" spans="1:2" ht="30.75" customHeight="1">
      <c r="A725">
        <f>Table4[[#This Row],[Column1]]</f>
        <v>0</v>
      </c>
      <c r="B725">
        <f>Table4[[#This Row],[Column2]]</f>
        <v>0</v>
      </c>
    </row>
    <row r="726" spans="1:2" ht="30.75" customHeight="1">
      <c r="A726">
        <f>Table4[[#This Row],[Column1]]</f>
        <v>0</v>
      </c>
      <c r="B726">
        <f>Table4[[#This Row],[Column2]]</f>
        <v>0</v>
      </c>
    </row>
    <row r="727" spans="1:2" ht="30.75" customHeight="1">
      <c r="A727">
        <f>Table4[[#This Row],[Column1]]</f>
        <v>0</v>
      </c>
      <c r="B727">
        <f>Table4[[#This Row],[Column2]]</f>
        <v>0</v>
      </c>
    </row>
    <row r="728" spans="1:2" ht="30.75" customHeight="1">
      <c r="A728">
        <f>Table4[[#This Row],[Column1]]</f>
        <v>0</v>
      </c>
      <c r="B728">
        <f>Table4[[#This Row],[Column2]]</f>
        <v>0</v>
      </c>
    </row>
    <row r="729" spans="1:2" ht="30.75" customHeight="1">
      <c r="A729">
        <f>Table4[[#This Row],[Column1]]</f>
        <v>0</v>
      </c>
      <c r="B729">
        <f>Table4[[#This Row],[Column2]]</f>
        <v>0</v>
      </c>
    </row>
    <row r="730" spans="1:2" ht="30.75" customHeight="1">
      <c r="A730">
        <f>Table4[[#This Row],[Column1]]</f>
        <v>0</v>
      </c>
      <c r="B730">
        <f>Table4[[#This Row],[Column2]]</f>
        <v>0</v>
      </c>
    </row>
    <row r="731" spans="1:2" ht="30.75" customHeight="1">
      <c r="A731">
        <f>Table4[[#This Row],[Column1]]</f>
        <v>0</v>
      </c>
      <c r="B731">
        <f>Table4[[#This Row],[Column2]]</f>
        <v>0</v>
      </c>
    </row>
    <row r="732" spans="1:2" ht="30.75" customHeight="1">
      <c r="A732">
        <f>Table4[[#This Row],[Column1]]</f>
        <v>0</v>
      </c>
      <c r="B732">
        <f>Table4[[#This Row],[Column2]]</f>
        <v>0</v>
      </c>
    </row>
    <row r="733" spans="1:2" ht="30.75" customHeight="1">
      <c r="A733">
        <f>Table4[[#This Row],[Column1]]</f>
        <v>0</v>
      </c>
      <c r="B733">
        <f>Table4[[#This Row],[Column2]]</f>
        <v>0</v>
      </c>
    </row>
    <row r="734" spans="1:2" ht="30.75" customHeight="1">
      <c r="A734">
        <f>Table4[[#This Row],[Column1]]</f>
        <v>0</v>
      </c>
      <c r="B734">
        <f>Table4[[#This Row],[Column2]]</f>
        <v>0</v>
      </c>
    </row>
    <row r="735" spans="1:2" ht="30.75" customHeight="1">
      <c r="A735">
        <f>Table4[[#This Row],[Column1]]</f>
        <v>0</v>
      </c>
      <c r="B735">
        <f>Table4[[#This Row],[Column2]]</f>
        <v>0</v>
      </c>
    </row>
    <row r="736" spans="1:2" ht="30.75" customHeight="1">
      <c r="A736">
        <f>Table4[[#This Row],[Column1]]</f>
        <v>0</v>
      </c>
      <c r="B736">
        <f>Table4[[#This Row],[Column2]]</f>
        <v>0</v>
      </c>
    </row>
    <row r="737" spans="1:2" ht="30.75" customHeight="1">
      <c r="A737">
        <f>Table4[[#This Row],[Column1]]</f>
        <v>0</v>
      </c>
      <c r="B737">
        <f>Table4[[#This Row],[Column2]]</f>
        <v>0</v>
      </c>
    </row>
    <row r="738" spans="1:2" ht="30.75" customHeight="1">
      <c r="A738">
        <f>Table4[[#This Row],[Column1]]</f>
        <v>0</v>
      </c>
      <c r="B738">
        <f>Table4[[#This Row],[Column2]]</f>
        <v>0</v>
      </c>
    </row>
    <row r="739" spans="1:2" ht="30.75" customHeight="1">
      <c r="A739">
        <f>Table4[[#This Row],[Column1]]</f>
        <v>0</v>
      </c>
      <c r="B739">
        <f>Table4[[#This Row],[Column2]]</f>
        <v>0</v>
      </c>
    </row>
    <row r="740" spans="1:2" ht="30.75" customHeight="1">
      <c r="A740">
        <f>Table4[[#This Row],[Column1]]</f>
        <v>0</v>
      </c>
      <c r="B740">
        <f>Table4[[#This Row],[Column2]]</f>
        <v>0</v>
      </c>
    </row>
    <row r="741" spans="1:2" ht="30.75" customHeight="1">
      <c r="A741">
        <f>Table4[[#This Row],[Column1]]</f>
        <v>0</v>
      </c>
      <c r="B741">
        <f>Table4[[#This Row],[Column2]]</f>
        <v>0</v>
      </c>
    </row>
    <row r="742" spans="1:2" ht="30.75" customHeight="1">
      <c r="A742">
        <f>Table4[[#This Row],[Column1]]</f>
        <v>0</v>
      </c>
      <c r="B742">
        <f>Table4[[#This Row],[Column2]]</f>
        <v>0</v>
      </c>
    </row>
    <row r="743" spans="1:2" ht="30.75" customHeight="1">
      <c r="A743">
        <f>Table4[[#This Row],[Column1]]</f>
        <v>0</v>
      </c>
      <c r="B743">
        <f>Table4[[#This Row],[Column2]]</f>
        <v>0</v>
      </c>
    </row>
    <row r="744" spans="1:2" ht="30.75" customHeight="1">
      <c r="A744">
        <f>Table4[[#This Row],[Column1]]</f>
        <v>0</v>
      </c>
      <c r="B744">
        <f>Table4[[#This Row],[Column2]]</f>
        <v>0</v>
      </c>
    </row>
    <row r="745" spans="1:2" ht="30.75" customHeight="1">
      <c r="A745">
        <f>Table4[[#This Row],[Column1]]</f>
        <v>0</v>
      </c>
      <c r="B745">
        <f>Table4[[#This Row],[Column2]]</f>
        <v>0</v>
      </c>
    </row>
    <row r="746" spans="1:2" ht="30.75" customHeight="1">
      <c r="A746">
        <f>Table4[[#This Row],[Column1]]</f>
        <v>0</v>
      </c>
      <c r="B746">
        <f>Table4[[#This Row],[Column2]]</f>
        <v>0</v>
      </c>
    </row>
    <row r="747" spans="1:2" ht="30.75" customHeight="1">
      <c r="A747">
        <f>Table4[[#This Row],[Column1]]</f>
        <v>0</v>
      </c>
      <c r="B747">
        <f>Table4[[#This Row],[Column2]]</f>
        <v>0</v>
      </c>
    </row>
    <row r="748" spans="1:2" ht="30.75" customHeight="1">
      <c r="A748">
        <f>Table4[[#This Row],[Column1]]</f>
        <v>0</v>
      </c>
      <c r="B748">
        <f>Table4[[#This Row],[Column2]]</f>
        <v>0</v>
      </c>
    </row>
    <row r="749" spans="1:2" ht="30.75" customHeight="1">
      <c r="A749">
        <f>Table4[[#This Row],[Column1]]</f>
        <v>0</v>
      </c>
      <c r="B749">
        <f>Table4[[#This Row],[Column2]]</f>
        <v>0</v>
      </c>
    </row>
    <row r="750" spans="1:2" ht="30.75" customHeight="1">
      <c r="A750">
        <f>Table4[[#This Row],[Column1]]</f>
        <v>0</v>
      </c>
      <c r="B750">
        <f>Table4[[#This Row],[Column2]]</f>
        <v>0</v>
      </c>
    </row>
    <row r="751" spans="1:2" ht="30.75" customHeight="1">
      <c r="A751">
        <f>Table4[[#This Row],[Column1]]</f>
        <v>0</v>
      </c>
      <c r="B751">
        <f>Table4[[#This Row],[Column2]]</f>
        <v>0</v>
      </c>
    </row>
    <row r="752" spans="1:2" ht="30.75" customHeight="1">
      <c r="A752">
        <f>Table4[[#This Row],[Column1]]</f>
        <v>0</v>
      </c>
      <c r="B752">
        <f>Table4[[#This Row],[Column2]]</f>
        <v>0</v>
      </c>
    </row>
    <row r="753" spans="1:2" ht="30.75" customHeight="1">
      <c r="A753">
        <f>Table4[[#This Row],[Column1]]</f>
        <v>0</v>
      </c>
      <c r="B753">
        <f>Table4[[#This Row],[Column2]]</f>
        <v>0</v>
      </c>
    </row>
    <row r="754" spans="1:2" ht="30.75" customHeight="1">
      <c r="A754">
        <f>Table4[[#This Row],[Column1]]</f>
        <v>0</v>
      </c>
      <c r="B754">
        <f>Table4[[#This Row],[Column2]]</f>
        <v>0</v>
      </c>
    </row>
    <row r="755" spans="1:2" ht="30.75" customHeight="1">
      <c r="A755">
        <f>Table4[[#This Row],[Column1]]</f>
        <v>0</v>
      </c>
      <c r="B755">
        <f>Table4[[#This Row],[Column2]]</f>
        <v>0</v>
      </c>
    </row>
    <row r="756" spans="1:2" ht="30.75" customHeight="1">
      <c r="A756">
        <f>Table4[[#This Row],[Column1]]</f>
        <v>0</v>
      </c>
      <c r="B756">
        <f>Table4[[#This Row],[Column2]]</f>
        <v>0</v>
      </c>
    </row>
    <row r="757" spans="1:2" ht="30.75" customHeight="1">
      <c r="A757">
        <f>Table4[[#This Row],[Column1]]</f>
        <v>0</v>
      </c>
      <c r="B757">
        <f>Table4[[#This Row],[Column2]]</f>
        <v>0</v>
      </c>
    </row>
    <row r="758" spans="1:2" ht="30.75" customHeight="1">
      <c r="A758">
        <f>Table4[[#This Row],[Column1]]</f>
        <v>0</v>
      </c>
      <c r="B758">
        <f>Table4[[#This Row],[Column2]]</f>
        <v>0</v>
      </c>
    </row>
    <row r="759" spans="1:2" ht="30.75" customHeight="1">
      <c r="A759">
        <f>Table4[[#This Row],[Column1]]</f>
        <v>0</v>
      </c>
      <c r="B759">
        <f>Table4[[#This Row],[Column2]]</f>
        <v>0</v>
      </c>
    </row>
    <row r="760" spans="1:2" ht="30.75" customHeight="1">
      <c r="A760">
        <f>Table4[[#This Row],[Column1]]</f>
        <v>0</v>
      </c>
      <c r="B760">
        <f>Table4[[#This Row],[Column2]]</f>
        <v>0</v>
      </c>
    </row>
    <row r="761" spans="1:2" ht="30.75" customHeight="1">
      <c r="A761">
        <f>Table4[[#This Row],[Column1]]</f>
        <v>0</v>
      </c>
      <c r="B761">
        <f>Table4[[#This Row],[Column2]]</f>
        <v>0</v>
      </c>
    </row>
    <row r="762" spans="1:2" ht="30.75" customHeight="1">
      <c r="A762">
        <f>Table4[[#This Row],[Column1]]</f>
        <v>0</v>
      </c>
      <c r="B762">
        <f>Table4[[#This Row],[Column2]]</f>
        <v>0</v>
      </c>
    </row>
    <row r="763" spans="1:2" ht="30.75" customHeight="1">
      <c r="A763">
        <f>Table4[[#This Row],[Column1]]</f>
        <v>0</v>
      </c>
      <c r="B763">
        <f>Table4[[#This Row],[Column2]]</f>
        <v>0</v>
      </c>
    </row>
    <row r="764" spans="1:2" ht="30.75" customHeight="1">
      <c r="A764">
        <f>Table4[[#This Row],[Column1]]</f>
        <v>0</v>
      </c>
      <c r="B764">
        <f>Table4[[#This Row],[Column2]]</f>
        <v>0</v>
      </c>
    </row>
    <row r="765" spans="1:2" ht="30.75" customHeight="1">
      <c r="A765">
        <f>Table4[[#This Row],[Column1]]</f>
        <v>0</v>
      </c>
      <c r="B765">
        <f>Table4[[#This Row],[Column2]]</f>
        <v>0</v>
      </c>
    </row>
    <row r="766" spans="1:2" ht="30.75" customHeight="1">
      <c r="A766">
        <f>Table4[[#This Row],[Column1]]</f>
        <v>0</v>
      </c>
      <c r="B766">
        <f>Table4[[#This Row],[Column2]]</f>
        <v>0</v>
      </c>
    </row>
    <row r="767" spans="1:2" ht="30.75" customHeight="1">
      <c r="A767">
        <f>Table4[[#This Row],[Column1]]</f>
        <v>0</v>
      </c>
      <c r="B767">
        <f>Table4[[#This Row],[Column2]]</f>
        <v>0</v>
      </c>
    </row>
    <row r="768" spans="1:2" ht="30.75" customHeight="1">
      <c r="A768">
        <f>Table4[[#This Row],[Column1]]</f>
        <v>0</v>
      </c>
      <c r="B768">
        <f>Table4[[#This Row],[Column2]]</f>
        <v>0</v>
      </c>
    </row>
    <row r="769" spans="1:2" ht="30.75" customHeight="1">
      <c r="A769">
        <f>Table4[[#This Row],[Column1]]</f>
        <v>0</v>
      </c>
      <c r="B769">
        <f>Table4[[#This Row],[Column2]]</f>
        <v>0</v>
      </c>
    </row>
    <row r="770" spans="1:2" ht="30.75" customHeight="1">
      <c r="A770">
        <f>Table4[[#This Row],[Column1]]</f>
        <v>0</v>
      </c>
      <c r="B770">
        <f>Table4[[#This Row],[Column2]]</f>
        <v>0</v>
      </c>
    </row>
    <row r="771" spans="1:2" ht="30.75" customHeight="1">
      <c r="A771">
        <f>Table4[[#This Row],[Column1]]</f>
        <v>0</v>
      </c>
      <c r="B771">
        <f>Table4[[#This Row],[Column2]]</f>
        <v>0</v>
      </c>
    </row>
    <row r="772" spans="1:2" ht="30.75" customHeight="1">
      <c r="A772">
        <f>Table4[[#This Row],[Column1]]</f>
        <v>0</v>
      </c>
      <c r="B772">
        <f>Table4[[#This Row],[Column2]]</f>
        <v>0</v>
      </c>
    </row>
    <row r="773" spans="1:2" ht="30.75" customHeight="1">
      <c r="A773">
        <f>Table4[[#This Row],[Column1]]</f>
        <v>0</v>
      </c>
      <c r="B773">
        <f>Table4[[#This Row],[Column2]]</f>
        <v>0</v>
      </c>
    </row>
    <row r="774" spans="1:2" ht="30.75" customHeight="1">
      <c r="A774">
        <f>Table4[[#This Row],[Column1]]</f>
        <v>0</v>
      </c>
      <c r="B774">
        <f>Table4[[#This Row],[Column2]]</f>
        <v>0</v>
      </c>
    </row>
    <row r="775" spans="1:2" ht="30.75" customHeight="1">
      <c r="A775">
        <f>Table4[[#This Row],[Column1]]</f>
        <v>0</v>
      </c>
      <c r="B775">
        <f>Table4[[#This Row],[Column2]]</f>
        <v>0</v>
      </c>
    </row>
    <row r="776" spans="1:2" ht="30.75" customHeight="1">
      <c r="A776">
        <f>Table4[[#This Row],[Column1]]</f>
        <v>0</v>
      </c>
      <c r="B776">
        <f>Table4[[#This Row],[Column2]]</f>
        <v>0</v>
      </c>
    </row>
    <row r="777" spans="1:2" ht="30.75" customHeight="1">
      <c r="A777">
        <f>Table4[[#This Row],[Column1]]</f>
        <v>0</v>
      </c>
      <c r="B777">
        <f>Table4[[#This Row],[Column2]]</f>
        <v>0</v>
      </c>
    </row>
    <row r="778" spans="1:2" ht="30.75" customHeight="1">
      <c r="A778">
        <f>Table4[[#This Row],[Column1]]</f>
        <v>0</v>
      </c>
      <c r="B778">
        <f>Table4[[#This Row],[Column2]]</f>
        <v>0</v>
      </c>
    </row>
    <row r="779" spans="1:2" ht="30.75" customHeight="1">
      <c r="A779">
        <f>Table4[[#This Row],[Column1]]</f>
        <v>0</v>
      </c>
      <c r="B779">
        <f>Table4[[#This Row],[Column2]]</f>
        <v>0</v>
      </c>
    </row>
    <row r="780" spans="1:2" ht="30.75" customHeight="1">
      <c r="A780">
        <f>Table4[[#This Row],[Column1]]</f>
        <v>0</v>
      </c>
      <c r="B780">
        <f>Table4[[#This Row],[Column2]]</f>
        <v>0</v>
      </c>
    </row>
    <row r="781" spans="1:2" ht="30.75" customHeight="1">
      <c r="A781">
        <f>Table4[[#This Row],[Column1]]</f>
        <v>0</v>
      </c>
      <c r="B781">
        <f>Table4[[#This Row],[Column2]]</f>
        <v>0</v>
      </c>
    </row>
    <row r="782" spans="1:2" ht="30.75" customHeight="1">
      <c r="A782">
        <f>Table4[[#This Row],[Column1]]</f>
        <v>0</v>
      </c>
      <c r="B782">
        <f>Table4[[#This Row],[Column2]]</f>
        <v>0</v>
      </c>
    </row>
    <row r="783" spans="1:2" ht="30.75" customHeight="1">
      <c r="A783">
        <f>Table4[[#This Row],[Column1]]</f>
        <v>0</v>
      </c>
      <c r="B783">
        <f>Table4[[#This Row],[Column2]]</f>
        <v>0</v>
      </c>
    </row>
    <row r="784" spans="1:2" ht="30.75" customHeight="1">
      <c r="A784">
        <f>Table4[[#This Row],[Column1]]</f>
        <v>0</v>
      </c>
      <c r="B784">
        <f>Table4[[#This Row],[Column2]]</f>
        <v>0</v>
      </c>
    </row>
    <row r="785" spans="1:2" ht="30.75" customHeight="1">
      <c r="A785">
        <f>Table4[[#This Row],[Column1]]</f>
        <v>0</v>
      </c>
      <c r="B785">
        <f>Table4[[#This Row],[Column2]]</f>
        <v>0</v>
      </c>
    </row>
    <row r="786" spans="1:2" ht="30.75" customHeight="1">
      <c r="A786">
        <f>Table4[[#This Row],[Column1]]</f>
        <v>0</v>
      </c>
      <c r="B786">
        <f>Table4[[#This Row],[Column2]]</f>
        <v>0</v>
      </c>
    </row>
    <row r="787" spans="1:2" ht="30.75" customHeight="1">
      <c r="A787">
        <f>Table4[[#This Row],[Column1]]</f>
        <v>0</v>
      </c>
      <c r="B787">
        <f>Table4[[#This Row],[Column2]]</f>
        <v>0</v>
      </c>
    </row>
    <row r="788" spans="1:2" ht="30.75" customHeight="1">
      <c r="A788">
        <f>Table4[[#This Row],[Column1]]</f>
        <v>0</v>
      </c>
      <c r="B788">
        <f>Table4[[#This Row],[Column2]]</f>
        <v>0</v>
      </c>
    </row>
    <row r="789" spans="1:2" ht="30.75" customHeight="1">
      <c r="A789">
        <f>Table4[[#This Row],[Column1]]</f>
        <v>0</v>
      </c>
      <c r="B789">
        <f>Table4[[#This Row],[Column2]]</f>
        <v>0</v>
      </c>
    </row>
    <row r="790" spans="1:2" ht="30.75" customHeight="1">
      <c r="A790">
        <f>Table4[[#This Row],[Column1]]</f>
        <v>0</v>
      </c>
      <c r="B790">
        <f>Table4[[#This Row],[Column2]]</f>
        <v>0</v>
      </c>
    </row>
    <row r="791" spans="1:2" ht="30.75" customHeight="1">
      <c r="A791">
        <f>Table4[[#This Row],[Column1]]</f>
        <v>0</v>
      </c>
      <c r="B791">
        <f>Table4[[#This Row],[Column2]]</f>
        <v>0</v>
      </c>
    </row>
    <row r="792" spans="1:2" ht="30.75" customHeight="1">
      <c r="A792">
        <f>Table4[[#This Row],[Column1]]</f>
        <v>0</v>
      </c>
      <c r="B792">
        <f>Table4[[#This Row],[Column2]]</f>
        <v>0</v>
      </c>
    </row>
    <row r="793" spans="1:2" ht="30.75" customHeight="1">
      <c r="A793">
        <f>Table4[[#This Row],[Column1]]</f>
        <v>0</v>
      </c>
      <c r="B793">
        <f>Table4[[#This Row],[Column2]]</f>
        <v>0</v>
      </c>
    </row>
    <row r="794" spans="1:2" ht="30.75" customHeight="1">
      <c r="A794">
        <f>Table4[[#This Row],[Column1]]</f>
        <v>0</v>
      </c>
      <c r="B794">
        <f>Table4[[#This Row],[Column2]]</f>
        <v>0</v>
      </c>
    </row>
    <row r="795" spans="1:2" ht="30.75" customHeight="1">
      <c r="A795">
        <f>Table4[[#This Row],[Column1]]</f>
        <v>0</v>
      </c>
      <c r="B795">
        <f>Table4[[#This Row],[Column2]]</f>
        <v>0</v>
      </c>
    </row>
    <row r="796" spans="1:2" ht="30.75" customHeight="1">
      <c r="A796">
        <f>Table4[[#This Row],[Column1]]</f>
        <v>0</v>
      </c>
      <c r="B796">
        <f>Table4[[#This Row],[Column2]]</f>
        <v>0</v>
      </c>
    </row>
    <row r="797" spans="1:2" ht="30.75" customHeight="1">
      <c r="A797">
        <f>Table4[[#This Row],[Column1]]</f>
        <v>0</v>
      </c>
      <c r="B797">
        <f>Table4[[#This Row],[Column2]]</f>
        <v>0</v>
      </c>
    </row>
    <row r="798" spans="1:2" ht="30.75" customHeight="1">
      <c r="A798">
        <f>Table4[[#This Row],[Column1]]</f>
        <v>0</v>
      </c>
      <c r="B798">
        <f>Table4[[#This Row],[Column2]]</f>
        <v>0</v>
      </c>
    </row>
    <row r="799" spans="1:2" ht="30.75" customHeight="1">
      <c r="A799">
        <f>Table4[[#This Row],[Column1]]</f>
        <v>0</v>
      </c>
      <c r="B799">
        <f>Table4[[#This Row],[Column2]]</f>
        <v>0</v>
      </c>
    </row>
    <row r="800" spans="1:2" ht="30.75" customHeight="1">
      <c r="A800">
        <f>Table4[[#This Row],[Column1]]</f>
        <v>0</v>
      </c>
      <c r="B800">
        <f>Table4[[#This Row],[Column2]]</f>
        <v>0</v>
      </c>
    </row>
    <row r="801" spans="1:2" ht="30.75" customHeight="1">
      <c r="A801">
        <f>Table4[[#This Row],[Column1]]</f>
        <v>0</v>
      </c>
      <c r="B801">
        <f>Table4[[#This Row],[Column2]]</f>
        <v>0</v>
      </c>
    </row>
    <row r="802" spans="1:2" ht="30.75" customHeight="1">
      <c r="A802">
        <f>Table4[[#This Row],[Column1]]</f>
        <v>0</v>
      </c>
      <c r="B802">
        <f>Table4[[#This Row],[Column2]]</f>
        <v>0</v>
      </c>
    </row>
    <row r="803" spans="1:2" ht="30.75" customHeight="1">
      <c r="A803">
        <f>Table4[[#This Row],[Column1]]</f>
        <v>0</v>
      </c>
      <c r="B803">
        <f>Table4[[#This Row],[Column2]]</f>
        <v>0</v>
      </c>
    </row>
    <row r="804" spans="1:2" ht="30.75" customHeight="1">
      <c r="A804">
        <f>Table4[[#This Row],[Column1]]</f>
        <v>0</v>
      </c>
      <c r="B804">
        <f>Table4[[#This Row],[Column2]]</f>
        <v>0</v>
      </c>
    </row>
    <row r="805" spans="1:2" ht="30.75" customHeight="1">
      <c r="A805">
        <f>Table4[[#This Row],[Column1]]</f>
        <v>0</v>
      </c>
      <c r="B805">
        <f>Table4[[#This Row],[Column2]]</f>
        <v>0</v>
      </c>
    </row>
    <row r="806" spans="1:2" ht="30.75" customHeight="1">
      <c r="A806">
        <f>Table4[[#This Row],[Column1]]</f>
        <v>0</v>
      </c>
      <c r="B806">
        <f>Table4[[#This Row],[Column2]]</f>
        <v>0</v>
      </c>
    </row>
    <row r="807" spans="1:2" ht="30.75" customHeight="1">
      <c r="A807">
        <f>Table4[[#This Row],[Column1]]</f>
        <v>0</v>
      </c>
      <c r="B807">
        <f>Table4[[#This Row],[Column2]]</f>
        <v>0</v>
      </c>
    </row>
    <row r="808" spans="1:2" ht="30.75" customHeight="1">
      <c r="A808">
        <f>Table4[[#This Row],[Column1]]</f>
        <v>0</v>
      </c>
      <c r="B808">
        <f>Table4[[#This Row],[Column2]]</f>
        <v>0</v>
      </c>
    </row>
    <row r="809" spans="1:2" ht="30.75" customHeight="1">
      <c r="A809">
        <f>Table4[[#This Row],[Column1]]</f>
        <v>0</v>
      </c>
      <c r="B809">
        <f>Table4[[#This Row],[Column2]]</f>
        <v>0</v>
      </c>
    </row>
    <row r="810" spans="1:2" ht="30.75" customHeight="1">
      <c r="A810">
        <f>Table4[[#This Row],[Column1]]</f>
        <v>0</v>
      </c>
      <c r="B810">
        <f>Table4[[#This Row],[Column2]]</f>
        <v>0</v>
      </c>
    </row>
    <row r="811" spans="1:2" ht="30.75" customHeight="1">
      <c r="A811">
        <f>Table4[[#This Row],[Column1]]</f>
        <v>0</v>
      </c>
      <c r="B811">
        <f>Table4[[#This Row],[Column2]]</f>
        <v>0</v>
      </c>
    </row>
    <row r="812" spans="1:2" ht="30.75" customHeight="1">
      <c r="A812">
        <f>Table4[[#This Row],[Column1]]</f>
        <v>0</v>
      </c>
      <c r="B812">
        <f>Table4[[#This Row],[Column2]]</f>
        <v>0</v>
      </c>
    </row>
    <row r="813" spans="1:2" ht="30.75" customHeight="1">
      <c r="A813">
        <f>Table4[[#This Row],[Column1]]</f>
        <v>0</v>
      </c>
      <c r="B813">
        <f>Table4[[#This Row],[Column2]]</f>
        <v>0</v>
      </c>
    </row>
    <row r="814" spans="1:2" ht="30.75" customHeight="1">
      <c r="A814">
        <f>Table4[[#This Row],[Column1]]</f>
        <v>0</v>
      </c>
      <c r="B814">
        <f>Table4[[#This Row],[Column2]]</f>
        <v>0</v>
      </c>
    </row>
    <row r="815" spans="1:2" ht="30.75" customHeight="1">
      <c r="A815">
        <f>Table4[[#This Row],[Column1]]</f>
        <v>0</v>
      </c>
      <c r="B815">
        <f>Table4[[#This Row],[Column2]]</f>
        <v>0</v>
      </c>
    </row>
    <row r="816" spans="1:2" ht="30.75" customHeight="1">
      <c r="A816">
        <f>Table4[[#This Row],[Column1]]</f>
        <v>0</v>
      </c>
      <c r="B816">
        <f>Table4[[#This Row],[Column2]]</f>
        <v>0</v>
      </c>
    </row>
    <row r="817" spans="1:2" ht="30.75" customHeight="1">
      <c r="A817">
        <f>Table4[[#This Row],[Column1]]</f>
        <v>0</v>
      </c>
      <c r="B817">
        <f>Table4[[#This Row],[Column2]]</f>
        <v>0</v>
      </c>
    </row>
    <row r="818" spans="1:2" ht="30.75" customHeight="1">
      <c r="A818">
        <f>Table4[[#This Row],[Column1]]</f>
        <v>0</v>
      </c>
      <c r="B818">
        <f>Table4[[#This Row],[Column2]]</f>
        <v>0</v>
      </c>
    </row>
    <row r="819" spans="1:2" ht="30.75" customHeight="1">
      <c r="A819">
        <f>Table4[[#This Row],[Column1]]</f>
        <v>0</v>
      </c>
      <c r="B819">
        <f>Table4[[#This Row],[Column2]]</f>
        <v>0</v>
      </c>
    </row>
    <row r="820" spans="1:2" ht="30.75" customHeight="1">
      <c r="A820">
        <f>Table4[[#This Row],[Column1]]</f>
        <v>0</v>
      </c>
      <c r="B820">
        <f>Table4[[#This Row],[Column2]]</f>
        <v>0</v>
      </c>
    </row>
    <row r="821" spans="1:2" ht="30.75" customHeight="1">
      <c r="A821">
        <f>Table4[[#This Row],[Column1]]</f>
        <v>0</v>
      </c>
      <c r="B821">
        <f>Table4[[#This Row],[Column2]]</f>
        <v>0</v>
      </c>
    </row>
    <row r="822" spans="1:2" ht="30.75" customHeight="1">
      <c r="A822">
        <f>Table4[[#This Row],[Column1]]</f>
        <v>0</v>
      </c>
      <c r="B822">
        <f>Table4[[#This Row],[Column2]]</f>
        <v>0</v>
      </c>
    </row>
    <row r="823" spans="1:2" ht="30.75" customHeight="1">
      <c r="A823">
        <f>Table4[[#This Row],[Column1]]</f>
        <v>0</v>
      </c>
      <c r="B823">
        <f>Table4[[#This Row],[Column2]]</f>
        <v>0</v>
      </c>
    </row>
    <row r="824" spans="1:2" ht="30.75" customHeight="1">
      <c r="A824">
        <f>Table4[[#This Row],[Column1]]</f>
        <v>0</v>
      </c>
      <c r="B824">
        <f>Table4[[#This Row],[Column2]]</f>
        <v>0</v>
      </c>
    </row>
    <row r="825" spans="1:2" ht="30.75" customHeight="1">
      <c r="A825">
        <f>Table4[[#This Row],[Column1]]</f>
        <v>0</v>
      </c>
      <c r="B825">
        <f>Table4[[#This Row],[Column2]]</f>
        <v>0</v>
      </c>
    </row>
    <row r="826" spans="1:2" ht="30.75" customHeight="1">
      <c r="A826">
        <f>Table4[[#This Row],[Column1]]</f>
        <v>0</v>
      </c>
      <c r="B826">
        <f>Table4[[#This Row],[Column2]]</f>
        <v>0</v>
      </c>
    </row>
    <row r="827" spans="1:2" ht="30.75" customHeight="1">
      <c r="A827">
        <f>Table4[[#This Row],[Column1]]</f>
        <v>0</v>
      </c>
      <c r="B827">
        <f>Table4[[#This Row],[Column2]]</f>
        <v>0</v>
      </c>
    </row>
    <row r="828" spans="1:2" ht="30.75" customHeight="1">
      <c r="A828">
        <f>Table4[[#This Row],[Column1]]</f>
        <v>0</v>
      </c>
      <c r="B828">
        <f>Table4[[#This Row],[Column2]]</f>
        <v>0</v>
      </c>
    </row>
    <row r="829" spans="1:2" ht="30.75" customHeight="1">
      <c r="A829">
        <f>Table4[[#This Row],[Column1]]</f>
        <v>0</v>
      </c>
      <c r="B829">
        <f>Table4[[#This Row],[Column2]]</f>
        <v>0</v>
      </c>
    </row>
    <row r="830" spans="1:2" ht="30.75" customHeight="1">
      <c r="A830">
        <f>Table4[[#This Row],[Column1]]</f>
        <v>0</v>
      </c>
      <c r="B830">
        <f>Table4[[#This Row],[Column2]]</f>
        <v>0</v>
      </c>
    </row>
    <row r="831" spans="1:2" ht="30.75" customHeight="1">
      <c r="A831">
        <f>Table4[[#This Row],[Column1]]</f>
        <v>0</v>
      </c>
      <c r="B831">
        <f>Table4[[#This Row],[Column2]]</f>
        <v>0</v>
      </c>
    </row>
    <row r="832" spans="1:2" ht="30.75" customHeight="1">
      <c r="A832">
        <f>Table4[[#This Row],[Column1]]</f>
        <v>0</v>
      </c>
      <c r="B832">
        <f>Table4[[#This Row],[Column2]]</f>
        <v>0</v>
      </c>
    </row>
    <row r="833" spans="1:2" ht="30.75" customHeight="1">
      <c r="A833">
        <f>Table4[[#This Row],[Column1]]</f>
        <v>0</v>
      </c>
      <c r="B833">
        <f>Table4[[#This Row],[Column2]]</f>
        <v>0</v>
      </c>
    </row>
    <row r="834" spans="1:2" ht="30.75" customHeight="1">
      <c r="A834">
        <f>Table4[[#This Row],[Column1]]</f>
        <v>0</v>
      </c>
      <c r="B834">
        <f>Table4[[#This Row],[Column2]]</f>
        <v>0</v>
      </c>
    </row>
    <row r="835" spans="1:2" ht="30.75" customHeight="1">
      <c r="A835">
        <f>Table4[[#This Row],[Column1]]</f>
        <v>0</v>
      </c>
      <c r="B835">
        <f>Table4[[#This Row],[Column2]]</f>
        <v>0</v>
      </c>
    </row>
    <row r="836" spans="1:2" ht="30.75" customHeight="1">
      <c r="A836">
        <f>Table4[[#This Row],[Column1]]</f>
        <v>0</v>
      </c>
      <c r="B836">
        <f>Table4[[#This Row],[Column2]]</f>
        <v>0</v>
      </c>
    </row>
    <row r="837" spans="1:2" ht="30.75" customHeight="1">
      <c r="A837">
        <f>Table4[[#This Row],[Column1]]</f>
        <v>0</v>
      </c>
      <c r="B837">
        <f>Table4[[#This Row],[Column2]]</f>
        <v>0</v>
      </c>
    </row>
    <row r="838" spans="1:2" ht="30.75" customHeight="1">
      <c r="A838">
        <f>Table4[[#This Row],[Column1]]</f>
        <v>0</v>
      </c>
      <c r="B838">
        <f>Table4[[#This Row],[Column2]]</f>
        <v>0</v>
      </c>
    </row>
    <row r="839" spans="1:2" ht="30.75" customHeight="1">
      <c r="A839">
        <f>Table4[[#This Row],[Column1]]</f>
        <v>0</v>
      </c>
      <c r="B839">
        <f>Table4[[#This Row],[Column2]]</f>
        <v>0</v>
      </c>
    </row>
    <row r="840" spans="1:2" ht="30.75" customHeight="1">
      <c r="A840">
        <f>Table4[[#This Row],[Column1]]</f>
        <v>0</v>
      </c>
      <c r="B840">
        <f>Table4[[#This Row],[Column2]]</f>
        <v>0</v>
      </c>
    </row>
    <row r="841" spans="1:2" ht="30.75" customHeight="1">
      <c r="A841">
        <f>Table4[[#This Row],[Column1]]</f>
        <v>0</v>
      </c>
      <c r="B841">
        <f>Table4[[#This Row],[Column2]]</f>
        <v>0</v>
      </c>
    </row>
    <row r="842" spans="1:2" ht="30.75" customHeight="1">
      <c r="A842">
        <f>Table4[[#This Row],[Column1]]</f>
        <v>0</v>
      </c>
      <c r="B842">
        <f>Table4[[#This Row],[Column2]]</f>
        <v>0</v>
      </c>
    </row>
    <row r="843" spans="1:2" ht="30.75" customHeight="1">
      <c r="A843">
        <f>Table4[[#This Row],[Column1]]</f>
        <v>0</v>
      </c>
      <c r="B843">
        <f>Table4[[#This Row],[Column2]]</f>
        <v>0</v>
      </c>
    </row>
    <row r="844" spans="1:2" ht="30.75" customHeight="1">
      <c r="A844">
        <f>Table4[[#This Row],[Column1]]</f>
        <v>0</v>
      </c>
      <c r="B844">
        <f>Table4[[#This Row],[Column2]]</f>
        <v>0</v>
      </c>
    </row>
    <row r="845" spans="1:2" ht="30.75" customHeight="1">
      <c r="A845">
        <f>Table4[[#This Row],[Column1]]</f>
        <v>0</v>
      </c>
      <c r="B845">
        <f>Table4[[#This Row],[Column2]]</f>
        <v>0</v>
      </c>
    </row>
    <row r="846" spans="1:2" ht="30.75" customHeight="1">
      <c r="A846">
        <f>Table4[[#This Row],[Column1]]</f>
        <v>0</v>
      </c>
      <c r="B846">
        <f>Table4[[#This Row],[Column2]]</f>
        <v>0</v>
      </c>
    </row>
    <row r="847" spans="1:2" ht="30.75" customHeight="1">
      <c r="A847">
        <f>Table4[[#This Row],[Column1]]</f>
        <v>0</v>
      </c>
      <c r="B847">
        <f>Table4[[#This Row],[Column2]]</f>
        <v>0</v>
      </c>
    </row>
    <row r="848" spans="1:2" ht="30.75" customHeight="1">
      <c r="A848">
        <f>Table4[[#This Row],[Column1]]</f>
        <v>0</v>
      </c>
      <c r="B848">
        <f>Table4[[#This Row],[Column2]]</f>
        <v>0</v>
      </c>
    </row>
    <row r="849" spans="1:2" ht="30.75" customHeight="1">
      <c r="A849">
        <f>Table4[[#This Row],[Column1]]</f>
        <v>0</v>
      </c>
      <c r="B849">
        <f>Table4[[#This Row],[Column2]]</f>
        <v>0</v>
      </c>
    </row>
    <row r="850" spans="1:2" ht="30.75" customHeight="1">
      <c r="A850">
        <f>Table4[[#This Row],[Column1]]</f>
        <v>0</v>
      </c>
      <c r="B850">
        <f>Table4[[#This Row],[Column2]]</f>
        <v>0</v>
      </c>
    </row>
    <row r="851" spans="1:2" ht="30.75" customHeight="1">
      <c r="A851">
        <f>Table4[[#This Row],[Column1]]</f>
        <v>0</v>
      </c>
      <c r="B851">
        <f>Table4[[#This Row],[Column2]]</f>
        <v>0</v>
      </c>
    </row>
    <row r="852" spans="1:2" ht="30.75" customHeight="1">
      <c r="A852">
        <f>Table4[[#This Row],[Column1]]</f>
        <v>0</v>
      </c>
      <c r="B852">
        <f>Table4[[#This Row],[Column2]]</f>
        <v>0</v>
      </c>
    </row>
    <row r="853" spans="1:2" ht="30.75" customHeight="1">
      <c r="A853">
        <f>Table4[[#This Row],[Column1]]</f>
        <v>0</v>
      </c>
      <c r="B853">
        <f>Table4[[#This Row],[Column2]]</f>
        <v>0</v>
      </c>
    </row>
    <row r="854" spans="1:2" ht="30.75" customHeight="1">
      <c r="A854">
        <f>Table4[[#This Row],[Column1]]</f>
        <v>0</v>
      </c>
      <c r="B854">
        <f>Table4[[#This Row],[Column2]]</f>
        <v>0</v>
      </c>
    </row>
    <row r="855" spans="1:2" ht="30.75" customHeight="1">
      <c r="A855">
        <f>Table4[[#This Row],[Column1]]</f>
        <v>0</v>
      </c>
      <c r="B855">
        <f>Table4[[#This Row],[Column2]]</f>
        <v>0</v>
      </c>
    </row>
    <row r="856" spans="1:2" ht="30.75" customHeight="1">
      <c r="A856">
        <f>Table4[[#This Row],[Column1]]</f>
        <v>0</v>
      </c>
      <c r="B856">
        <f>Table4[[#This Row],[Column2]]</f>
        <v>0</v>
      </c>
    </row>
    <row r="857" spans="1:2" ht="30.75" customHeight="1">
      <c r="A857">
        <f>Table4[[#This Row],[Column1]]</f>
        <v>0</v>
      </c>
      <c r="B857">
        <f>Table4[[#This Row],[Column2]]</f>
        <v>0</v>
      </c>
    </row>
    <row r="858" spans="1:2" ht="30.75" customHeight="1">
      <c r="A858">
        <f>Table4[[#This Row],[Column1]]</f>
        <v>0</v>
      </c>
      <c r="B858">
        <f>Table4[[#This Row],[Column2]]</f>
        <v>0</v>
      </c>
    </row>
    <row r="859" spans="1:2" ht="30.75" customHeight="1">
      <c r="A859">
        <f>Table4[[#This Row],[Column1]]</f>
        <v>0</v>
      </c>
      <c r="B859">
        <f>Table4[[#This Row],[Column2]]</f>
        <v>0</v>
      </c>
    </row>
    <row r="860" spans="1:2" ht="30.75" customHeight="1">
      <c r="A860">
        <f>Table4[[#This Row],[Column1]]</f>
        <v>0</v>
      </c>
      <c r="B860">
        <f>Table4[[#This Row],[Column2]]</f>
        <v>0</v>
      </c>
    </row>
    <row r="861" spans="1:2" ht="30.75" customHeight="1">
      <c r="A861">
        <f>Table4[[#This Row],[Column1]]</f>
        <v>0</v>
      </c>
      <c r="B861">
        <f>Table4[[#This Row],[Column2]]</f>
        <v>0</v>
      </c>
    </row>
    <row r="862" spans="1:2" ht="30.75" customHeight="1">
      <c r="A862">
        <f>Table4[[#This Row],[Column1]]</f>
        <v>0</v>
      </c>
      <c r="B862">
        <f>Table4[[#This Row],[Column2]]</f>
        <v>0</v>
      </c>
    </row>
    <row r="863" spans="1:2" ht="30.75" customHeight="1">
      <c r="A863">
        <f>Table4[[#This Row],[Column1]]</f>
        <v>0</v>
      </c>
      <c r="B863">
        <f>Table4[[#This Row],[Column2]]</f>
        <v>0</v>
      </c>
    </row>
    <row r="864" spans="1:2" ht="30.75" customHeight="1">
      <c r="A864">
        <f>Table4[[#This Row],[Column1]]</f>
        <v>0</v>
      </c>
      <c r="B864">
        <f>Table4[[#This Row],[Column2]]</f>
        <v>0</v>
      </c>
    </row>
    <row r="865" spans="1:2" ht="30.75" customHeight="1">
      <c r="A865">
        <f>Table4[[#This Row],[Column1]]</f>
        <v>0</v>
      </c>
      <c r="B865">
        <f>Table4[[#This Row],[Column2]]</f>
        <v>0</v>
      </c>
    </row>
    <row r="866" spans="1:2" ht="30.75" customHeight="1">
      <c r="A866">
        <f>Table4[[#This Row],[Column1]]</f>
        <v>0</v>
      </c>
      <c r="B866">
        <f>Table4[[#This Row],[Column2]]</f>
        <v>0</v>
      </c>
    </row>
    <row r="867" spans="1:2" ht="30.75" customHeight="1">
      <c r="A867">
        <f>Table4[[#This Row],[Column1]]</f>
        <v>0</v>
      </c>
      <c r="B867">
        <f>Table4[[#This Row],[Column2]]</f>
        <v>0</v>
      </c>
    </row>
    <row r="868" spans="1:2" ht="30.75" customHeight="1">
      <c r="A868">
        <f>Table4[[#This Row],[Column1]]</f>
        <v>0</v>
      </c>
      <c r="B868">
        <f>Table4[[#This Row],[Column2]]</f>
        <v>0</v>
      </c>
    </row>
    <row r="869" spans="1:2" ht="30.75" customHeight="1">
      <c r="A869">
        <f>Table4[[#This Row],[Column1]]</f>
        <v>0</v>
      </c>
      <c r="B869">
        <f>Table4[[#This Row],[Column2]]</f>
        <v>0</v>
      </c>
    </row>
    <row r="870" spans="1:2" ht="30.75" customHeight="1">
      <c r="A870">
        <f>Table4[[#This Row],[Column1]]</f>
        <v>0</v>
      </c>
      <c r="B870">
        <f>Table4[[#This Row],[Column2]]</f>
        <v>0</v>
      </c>
    </row>
    <row r="871" spans="1:2" ht="30.75" customHeight="1">
      <c r="A871">
        <f>Table4[[#This Row],[Column1]]</f>
        <v>0</v>
      </c>
      <c r="B871">
        <f>Table4[[#This Row],[Column2]]</f>
        <v>0</v>
      </c>
    </row>
    <row r="872" spans="1:2" ht="30.75" customHeight="1">
      <c r="A872">
        <f>Table4[[#This Row],[Column1]]</f>
        <v>0</v>
      </c>
      <c r="B872">
        <f>Table4[[#This Row],[Column2]]</f>
        <v>0</v>
      </c>
    </row>
    <row r="873" spans="1:2" ht="30.75" customHeight="1">
      <c r="A873">
        <f>Table4[[#This Row],[Column1]]</f>
        <v>0</v>
      </c>
      <c r="B873">
        <f>Table4[[#This Row],[Column2]]</f>
        <v>0</v>
      </c>
    </row>
    <row r="874" spans="1:2" ht="30.75" customHeight="1">
      <c r="A874">
        <f>Table4[[#This Row],[Column1]]</f>
        <v>0</v>
      </c>
      <c r="B874">
        <f>Table4[[#This Row],[Column2]]</f>
        <v>0</v>
      </c>
    </row>
    <row r="875" spans="1:2" ht="30.75" customHeight="1">
      <c r="A875">
        <f>Table4[[#This Row],[Column1]]</f>
        <v>0</v>
      </c>
      <c r="B875">
        <f>Table4[[#This Row],[Column2]]</f>
        <v>0</v>
      </c>
    </row>
    <row r="876" spans="1:2" ht="30.75" customHeight="1">
      <c r="A876">
        <f>Table4[[#This Row],[Column1]]</f>
        <v>0</v>
      </c>
      <c r="B876">
        <f>Table4[[#This Row],[Column2]]</f>
        <v>0</v>
      </c>
    </row>
    <row r="877" spans="1:2" ht="30.75" customHeight="1">
      <c r="A877">
        <f>Table4[[#This Row],[Column1]]</f>
        <v>0</v>
      </c>
      <c r="B877">
        <f>Table4[[#This Row],[Column2]]</f>
        <v>0</v>
      </c>
    </row>
    <row r="878" spans="1:2" ht="30.75" customHeight="1">
      <c r="A878">
        <f>Table4[[#This Row],[Column1]]</f>
        <v>0</v>
      </c>
      <c r="B878">
        <f>Table4[[#This Row],[Column2]]</f>
        <v>0</v>
      </c>
    </row>
    <row r="879" spans="1:2" ht="30.75" customHeight="1">
      <c r="A879">
        <f>Table4[[#This Row],[Column1]]</f>
        <v>0</v>
      </c>
      <c r="B879">
        <f>Table4[[#This Row],[Column2]]</f>
        <v>0</v>
      </c>
    </row>
    <row r="880" spans="1:2" ht="30.75" customHeight="1">
      <c r="A880">
        <f>Table4[[#This Row],[Column1]]</f>
        <v>0</v>
      </c>
      <c r="B880">
        <f>Table4[[#This Row],[Column2]]</f>
        <v>0</v>
      </c>
    </row>
    <row r="881" spans="1:2" ht="30.75" customHeight="1">
      <c r="A881">
        <f>Table4[[#This Row],[Column1]]</f>
        <v>0</v>
      </c>
      <c r="B881">
        <f>Table4[[#This Row],[Column2]]</f>
        <v>0</v>
      </c>
    </row>
    <row r="882" spans="1:2" ht="30.75" customHeight="1">
      <c r="A882">
        <f>Table4[[#This Row],[Column1]]</f>
        <v>0</v>
      </c>
      <c r="B882">
        <f>Table4[[#This Row],[Column2]]</f>
        <v>0</v>
      </c>
    </row>
    <row r="883" spans="1:2" ht="30.75" customHeight="1">
      <c r="A883">
        <f>Table4[[#This Row],[Column1]]</f>
        <v>0</v>
      </c>
      <c r="B883">
        <f>Table4[[#This Row],[Column2]]</f>
        <v>0</v>
      </c>
    </row>
    <row r="884" spans="1:2" ht="30.75" customHeight="1">
      <c r="A884">
        <f>Table4[[#This Row],[Column1]]</f>
        <v>0</v>
      </c>
      <c r="B884">
        <f>Table4[[#This Row],[Column2]]</f>
        <v>0</v>
      </c>
    </row>
    <row r="885" spans="1:2" ht="30.75" customHeight="1">
      <c r="A885">
        <f>Table4[[#This Row],[Column1]]</f>
        <v>0</v>
      </c>
      <c r="B885">
        <f>Table4[[#This Row],[Column2]]</f>
        <v>0</v>
      </c>
    </row>
    <row r="886" spans="1:2" ht="30.75" customHeight="1">
      <c r="A886">
        <f>Table4[[#This Row],[Column1]]</f>
        <v>0</v>
      </c>
      <c r="B886">
        <f>Table4[[#This Row],[Column2]]</f>
        <v>0</v>
      </c>
    </row>
    <row r="887" spans="1:2" ht="30.75" customHeight="1">
      <c r="A887">
        <f>Table4[[#This Row],[Column1]]</f>
        <v>0</v>
      </c>
      <c r="B887">
        <f>Table4[[#This Row],[Column2]]</f>
        <v>0</v>
      </c>
    </row>
    <row r="888" spans="1:2" ht="30.75" customHeight="1">
      <c r="A888">
        <f>Table4[[#This Row],[Column1]]</f>
        <v>0</v>
      </c>
      <c r="B888">
        <f>Table4[[#This Row],[Column2]]</f>
        <v>0</v>
      </c>
    </row>
    <row r="889" spans="1:2" ht="30.75" customHeight="1">
      <c r="A889">
        <f>Table4[[#This Row],[Column1]]</f>
        <v>0</v>
      </c>
      <c r="B889">
        <f>Table4[[#This Row],[Column2]]</f>
        <v>0</v>
      </c>
    </row>
    <row r="890" spans="1:2" ht="30.75" customHeight="1">
      <c r="A890">
        <f>Table4[[#This Row],[Column1]]</f>
        <v>0</v>
      </c>
      <c r="B890">
        <f>Table4[[#This Row],[Column2]]</f>
        <v>0</v>
      </c>
    </row>
    <row r="891" spans="1:2" ht="30.75" customHeight="1">
      <c r="A891">
        <f>Table4[[#This Row],[Column1]]</f>
        <v>0</v>
      </c>
      <c r="B891">
        <f>Table4[[#This Row],[Column2]]</f>
        <v>0</v>
      </c>
    </row>
    <row r="892" spans="1:2" ht="30.75" customHeight="1">
      <c r="A892">
        <f>Table4[[#This Row],[Column1]]</f>
        <v>0</v>
      </c>
      <c r="B892">
        <f>Table4[[#This Row],[Column2]]</f>
        <v>0</v>
      </c>
    </row>
    <row r="893" spans="1:2" ht="30.75" customHeight="1">
      <c r="A893">
        <f>Table4[[#This Row],[Column1]]</f>
        <v>0</v>
      </c>
      <c r="B893">
        <f>Table4[[#This Row],[Column2]]</f>
        <v>0</v>
      </c>
    </row>
    <row r="894" spans="1:2" ht="30.75" customHeight="1">
      <c r="A894">
        <f>Table4[[#This Row],[Column1]]</f>
        <v>0</v>
      </c>
      <c r="B894">
        <f>Table4[[#This Row],[Column2]]</f>
        <v>0</v>
      </c>
    </row>
    <row r="895" spans="1:2" ht="30.75" customHeight="1">
      <c r="A895">
        <f>Table4[[#This Row],[Column1]]</f>
        <v>0</v>
      </c>
      <c r="B895">
        <f>Table4[[#This Row],[Column2]]</f>
        <v>0</v>
      </c>
    </row>
    <row r="896" spans="1:2" ht="30.75" customHeight="1">
      <c r="A896">
        <f>Table4[[#This Row],[Column1]]</f>
        <v>0</v>
      </c>
      <c r="B896">
        <f>Table4[[#This Row],[Column2]]</f>
        <v>0</v>
      </c>
    </row>
    <row r="897" spans="1:2" ht="30.75" customHeight="1">
      <c r="A897">
        <f>Table4[[#This Row],[Column1]]</f>
        <v>0</v>
      </c>
      <c r="B897">
        <f>Table4[[#This Row],[Column2]]</f>
        <v>0</v>
      </c>
    </row>
    <row r="898" spans="1:2" ht="30.75" customHeight="1">
      <c r="A898">
        <f>Table4[[#This Row],[Column1]]</f>
        <v>0</v>
      </c>
      <c r="B898">
        <f>Table4[[#This Row],[Column2]]</f>
        <v>0</v>
      </c>
    </row>
    <row r="899" spans="1:2" ht="30.75" customHeight="1">
      <c r="A899">
        <f>Table4[[#This Row],[Column1]]</f>
        <v>0</v>
      </c>
      <c r="B899">
        <f>Table4[[#This Row],[Column2]]</f>
        <v>0</v>
      </c>
    </row>
    <row r="900" spans="1:2" ht="30.75" customHeight="1">
      <c r="A900">
        <f>Table4[[#This Row],[Column1]]</f>
        <v>0</v>
      </c>
      <c r="B900">
        <f>Table4[[#This Row],[Column2]]</f>
        <v>0</v>
      </c>
    </row>
    <row r="901" spans="1:2" ht="30.75" customHeight="1">
      <c r="A901">
        <f>Table4[[#This Row],[Column1]]</f>
        <v>0</v>
      </c>
      <c r="B901">
        <f>Table4[[#This Row],[Column2]]</f>
        <v>0</v>
      </c>
    </row>
    <row r="902" spans="1:2" ht="30.75" customHeight="1">
      <c r="A902">
        <f>Table4[[#This Row],[Column1]]</f>
        <v>0</v>
      </c>
      <c r="B902">
        <f>Table4[[#This Row],[Column2]]</f>
        <v>0</v>
      </c>
    </row>
    <row r="903" spans="1:2" ht="30.75" customHeight="1">
      <c r="A903">
        <f>Table4[[#This Row],[Column1]]</f>
        <v>0</v>
      </c>
      <c r="B903">
        <f>Table4[[#This Row],[Column2]]</f>
        <v>0</v>
      </c>
    </row>
    <row r="904" spans="1:2" ht="30.75" customHeight="1">
      <c r="A904">
        <f>Table4[[#This Row],[Column1]]</f>
        <v>0</v>
      </c>
      <c r="B904">
        <f>Table4[[#This Row],[Column2]]</f>
        <v>0</v>
      </c>
    </row>
    <row r="905" spans="1:2" ht="30.75" customHeight="1">
      <c r="A905">
        <f>Table4[[#This Row],[Column1]]</f>
        <v>0</v>
      </c>
      <c r="B905">
        <f>Table4[[#This Row],[Column2]]</f>
        <v>0</v>
      </c>
    </row>
    <row r="906" spans="1:2" ht="30.75" customHeight="1">
      <c r="A906">
        <f>Table4[[#This Row],[Column1]]</f>
        <v>0</v>
      </c>
      <c r="B906">
        <f>Table4[[#This Row],[Column2]]</f>
        <v>0</v>
      </c>
    </row>
    <row r="907" spans="1:2" ht="30.75" customHeight="1">
      <c r="A907">
        <f>Table4[[#This Row],[Column1]]</f>
        <v>0</v>
      </c>
      <c r="B907">
        <f>Table4[[#This Row],[Column2]]</f>
        <v>0</v>
      </c>
    </row>
    <row r="908" spans="1:2" ht="30.75" customHeight="1">
      <c r="A908">
        <f>Table4[[#This Row],[Column1]]</f>
        <v>0</v>
      </c>
      <c r="B908">
        <f>Table4[[#This Row],[Column2]]</f>
        <v>0</v>
      </c>
    </row>
    <row r="909" spans="1:2" ht="30.75" customHeight="1">
      <c r="A909">
        <f>Table4[[#This Row],[Column1]]</f>
        <v>0</v>
      </c>
      <c r="B909">
        <f>Table4[[#This Row],[Column2]]</f>
        <v>0</v>
      </c>
    </row>
    <row r="910" spans="1:2" ht="30.75" customHeight="1">
      <c r="A910">
        <f>Table4[[#This Row],[Column1]]</f>
        <v>0</v>
      </c>
      <c r="B910">
        <f>Table4[[#This Row],[Column2]]</f>
        <v>0</v>
      </c>
    </row>
    <row r="911" spans="1:2" ht="30.75" customHeight="1">
      <c r="A911">
        <f>Table4[[#This Row],[Column1]]</f>
        <v>0</v>
      </c>
      <c r="B911">
        <f>Table4[[#This Row],[Column2]]</f>
        <v>0</v>
      </c>
    </row>
    <row r="912" spans="1:2" ht="30.75" customHeight="1">
      <c r="A912">
        <f>Table4[[#This Row],[Column1]]</f>
        <v>0</v>
      </c>
      <c r="B912">
        <f>Table4[[#This Row],[Column2]]</f>
        <v>0</v>
      </c>
    </row>
    <row r="913" spans="1:2" ht="30.75" customHeight="1">
      <c r="A913">
        <f>Table4[[#This Row],[Column1]]</f>
        <v>0</v>
      </c>
      <c r="B913">
        <f>Table4[[#This Row],[Column2]]</f>
        <v>0</v>
      </c>
    </row>
    <row r="914" spans="1:2" ht="30.75" customHeight="1">
      <c r="A914">
        <f>Table4[[#This Row],[Column1]]</f>
        <v>0</v>
      </c>
      <c r="B914">
        <f>Table4[[#This Row],[Column2]]</f>
        <v>0</v>
      </c>
    </row>
    <row r="915" spans="1:2" ht="30.75" customHeight="1">
      <c r="A915">
        <f>Table4[[#This Row],[Column1]]</f>
        <v>0</v>
      </c>
      <c r="B915">
        <f>Table4[[#This Row],[Column2]]</f>
        <v>0</v>
      </c>
    </row>
    <row r="916" spans="1:2" ht="30.75" customHeight="1">
      <c r="A916">
        <f>Table4[[#This Row],[Column1]]</f>
        <v>0</v>
      </c>
      <c r="B916">
        <f>Table4[[#This Row],[Column2]]</f>
        <v>0</v>
      </c>
    </row>
    <row r="917" spans="1:2" ht="30.75" customHeight="1">
      <c r="A917">
        <f>Table4[[#This Row],[Column1]]</f>
        <v>0</v>
      </c>
      <c r="B917">
        <f>Table4[[#This Row],[Column2]]</f>
        <v>0</v>
      </c>
    </row>
    <row r="918" spans="1:2" ht="30.75" customHeight="1">
      <c r="A918">
        <f>Table4[[#This Row],[Column1]]</f>
        <v>0</v>
      </c>
      <c r="B918">
        <f>Table4[[#This Row],[Column2]]</f>
        <v>0</v>
      </c>
    </row>
    <row r="919" spans="1:2" ht="30.75" customHeight="1">
      <c r="A919">
        <f>Table4[[#This Row],[Column1]]</f>
        <v>0</v>
      </c>
      <c r="B919">
        <f>Table4[[#This Row],[Column2]]</f>
        <v>0</v>
      </c>
    </row>
    <row r="920" spans="1:2" ht="30.75" customHeight="1">
      <c r="A920">
        <f>Table4[[#This Row],[Column1]]</f>
        <v>0</v>
      </c>
      <c r="B920">
        <f>Table4[[#This Row],[Column2]]</f>
        <v>0</v>
      </c>
    </row>
    <row r="921" spans="1:2" ht="30.75" customHeight="1">
      <c r="A921">
        <f>Table4[[#This Row],[Column1]]</f>
        <v>0</v>
      </c>
      <c r="B921">
        <f>Table4[[#This Row],[Column2]]</f>
        <v>0</v>
      </c>
    </row>
    <row r="922" spans="1:2" ht="30.75" customHeight="1">
      <c r="A922">
        <f>Table4[[#This Row],[Column1]]</f>
        <v>0</v>
      </c>
      <c r="B922">
        <f>Table4[[#This Row],[Column2]]</f>
        <v>0</v>
      </c>
    </row>
    <row r="923" spans="1:2" ht="30.75" customHeight="1">
      <c r="A923">
        <f>Table4[[#This Row],[Column1]]</f>
        <v>0</v>
      </c>
      <c r="B923">
        <f>Table4[[#This Row],[Column2]]</f>
        <v>0</v>
      </c>
    </row>
    <row r="924" spans="1:2" ht="30.75" customHeight="1">
      <c r="A924">
        <f>Table4[[#This Row],[Column1]]</f>
        <v>0</v>
      </c>
      <c r="B924">
        <f>Table4[[#This Row],[Column2]]</f>
        <v>0</v>
      </c>
    </row>
    <row r="925" spans="1:2" ht="30.75" customHeight="1">
      <c r="A925">
        <f>Table4[[#This Row],[Column1]]</f>
        <v>0</v>
      </c>
      <c r="B925">
        <f>Table4[[#This Row],[Column2]]</f>
        <v>0</v>
      </c>
    </row>
    <row r="926" spans="1:2" ht="30.75" customHeight="1">
      <c r="A926">
        <f>Table4[[#This Row],[Column1]]</f>
        <v>0</v>
      </c>
      <c r="B926">
        <f>Table4[[#This Row],[Column2]]</f>
        <v>0</v>
      </c>
    </row>
    <row r="927" spans="1:2" ht="30.75" customHeight="1">
      <c r="A927">
        <f>Table4[[#This Row],[Column1]]</f>
        <v>0</v>
      </c>
      <c r="B927">
        <f>Table4[[#This Row],[Column2]]</f>
        <v>0</v>
      </c>
    </row>
    <row r="928" spans="1:2" ht="30.75" customHeight="1">
      <c r="A928">
        <f>Table4[[#This Row],[Column1]]</f>
        <v>0</v>
      </c>
      <c r="B928">
        <f>Table4[[#This Row],[Column2]]</f>
        <v>0</v>
      </c>
    </row>
    <row r="929" spans="1:2" ht="30.75" customHeight="1">
      <c r="A929">
        <f>Table4[[#This Row],[Column1]]</f>
        <v>0</v>
      </c>
      <c r="B929">
        <f>Table4[[#This Row],[Column2]]</f>
        <v>0</v>
      </c>
    </row>
    <row r="930" spans="1:2" ht="30.75" customHeight="1">
      <c r="A930">
        <f>Table4[[#This Row],[Column1]]</f>
        <v>0</v>
      </c>
      <c r="B930">
        <f>Table4[[#This Row],[Column2]]</f>
        <v>0</v>
      </c>
    </row>
    <row r="931" spans="1:2" ht="30.75" customHeight="1">
      <c r="A931">
        <f>Table4[[#This Row],[Column1]]</f>
        <v>0</v>
      </c>
      <c r="B931">
        <f>Table4[[#This Row],[Column2]]</f>
        <v>0</v>
      </c>
    </row>
    <row r="932" spans="1:2" ht="30.75" customHeight="1">
      <c r="A932">
        <f>Table4[[#This Row],[Column1]]</f>
        <v>0</v>
      </c>
      <c r="B932">
        <f>Table4[[#This Row],[Column2]]</f>
        <v>0</v>
      </c>
    </row>
    <row r="933" spans="1:2" ht="30.75" customHeight="1">
      <c r="A933">
        <f>Table4[[#This Row],[Column1]]</f>
        <v>0</v>
      </c>
      <c r="B933">
        <f>Table4[[#This Row],[Column2]]</f>
        <v>0</v>
      </c>
    </row>
    <row r="934" spans="1:2" ht="30.75" customHeight="1">
      <c r="A934">
        <f>Table4[[#This Row],[Column1]]</f>
        <v>0</v>
      </c>
      <c r="B934">
        <f>Table4[[#This Row],[Column2]]</f>
        <v>0</v>
      </c>
    </row>
    <row r="935" spans="1:2" ht="30.75" customHeight="1">
      <c r="A935">
        <f>Table4[[#This Row],[Column1]]</f>
        <v>0</v>
      </c>
      <c r="B935">
        <f>Table4[[#This Row],[Column2]]</f>
        <v>0</v>
      </c>
    </row>
    <row r="936" spans="1:2" ht="30.75" customHeight="1">
      <c r="A936">
        <f>Table4[[#This Row],[Column1]]</f>
        <v>0</v>
      </c>
      <c r="B936">
        <f>Table4[[#This Row],[Column2]]</f>
        <v>0</v>
      </c>
    </row>
    <row r="937" spans="1:2" ht="30.75" customHeight="1">
      <c r="A937">
        <f>Table4[[#This Row],[Column1]]</f>
        <v>0</v>
      </c>
      <c r="B937">
        <f>Table4[[#This Row],[Column2]]</f>
        <v>0</v>
      </c>
    </row>
    <row r="938" spans="1:2" ht="30.75" customHeight="1">
      <c r="A938">
        <f>Table4[[#This Row],[Column1]]</f>
        <v>0</v>
      </c>
      <c r="B938">
        <f>Table4[[#This Row],[Column2]]</f>
        <v>0</v>
      </c>
    </row>
    <row r="939" spans="1:2" ht="30.75" customHeight="1">
      <c r="A939">
        <f>Table4[[#This Row],[Column1]]</f>
        <v>0</v>
      </c>
      <c r="B939">
        <f>Table4[[#This Row],[Column2]]</f>
        <v>0</v>
      </c>
    </row>
    <row r="940" spans="1:2" ht="30.75" customHeight="1">
      <c r="A940">
        <f>Table4[[#This Row],[Column1]]</f>
        <v>0</v>
      </c>
      <c r="B940">
        <f>Table4[[#This Row],[Column2]]</f>
        <v>0</v>
      </c>
    </row>
    <row r="941" spans="1:2" ht="30.75" customHeight="1">
      <c r="A941">
        <f>Table4[[#This Row],[Column1]]</f>
        <v>0</v>
      </c>
      <c r="B941">
        <f>Table4[[#This Row],[Column2]]</f>
        <v>0</v>
      </c>
    </row>
    <row r="942" spans="1:2" ht="30.75" customHeight="1">
      <c r="A942">
        <f>Table4[[#This Row],[Column1]]</f>
        <v>0</v>
      </c>
      <c r="B942">
        <f>Table4[[#This Row],[Column2]]</f>
        <v>0</v>
      </c>
    </row>
    <row r="943" spans="1:2" ht="30.75" customHeight="1">
      <c r="A943">
        <f>Table4[[#This Row],[Column1]]</f>
        <v>0</v>
      </c>
      <c r="B943">
        <f>Table4[[#This Row],[Column2]]</f>
        <v>0</v>
      </c>
    </row>
    <row r="944" spans="1:2" ht="30.75" customHeight="1">
      <c r="A944">
        <f>Table4[[#This Row],[Column1]]</f>
        <v>0</v>
      </c>
      <c r="B944">
        <f>Table4[[#This Row],[Column2]]</f>
        <v>0</v>
      </c>
    </row>
    <row r="945" spans="1:2" ht="30.75" customHeight="1">
      <c r="A945">
        <f>Table4[[#This Row],[Column1]]</f>
        <v>0</v>
      </c>
      <c r="B945">
        <f>Table4[[#This Row],[Column2]]</f>
        <v>0</v>
      </c>
    </row>
    <row r="946" spans="1:2" ht="30.75" customHeight="1">
      <c r="A946">
        <f>Table4[[#This Row],[Column1]]</f>
        <v>0</v>
      </c>
      <c r="B946">
        <f>Table4[[#This Row],[Column2]]</f>
        <v>0</v>
      </c>
    </row>
    <row r="947" spans="1:2" ht="30.75" customHeight="1">
      <c r="A947">
        <f>Table4[[#This Row],[Column1]]</f>
        <v>0</v>
      </c>
      <c r="B947">
        <f>Table4[[#This Row],[Column2]]</f>
        <v>0</v>
      </c>
    </row>
    <row r="948" spans="1:2" ht="30.75" customHeight="1">
      <c r="A948">
        <f>Table4[[#This Row],[Column1]]</f>
        <v>0</v>
      </c>
      <c r="B948">
        <f>Table4[[#This Row],[Column2]]</f>
        <v>0</v>
      </c>
    </row>
    <row r="949" spans="1:2" ht="30.75" customHeight="1">
      <c r="A949">
        <f>Table4[[#This Row],[Column1]]</f>
        <v>0</v>
      </c>
      <c r="B949">
        <f>Table4[[#This Row],[Column2]]</f>
        <v>0</v>
      </c>
    </row>
    <row r="950" spans="1:2" ht="30.75" customHeight="1">
      <c r="A950">
        <f>Table4[[#This Row],[Column1]]</f>
        <v>0</v>
      </c>
      <c r="B950">
        <f>Table4[[#This Row],[Column2]]</f>
        <v>0</v>
      </c>
    </row>
    <row r="951" spans="1:2" ht="30.75" customHeight="1">
      <c r="A951">
        <f>Table4[[#This Row],[Column1]]</f>
        <v>0</v>
      </c>
      <c r="B951">
        <f>Table4[[#This Row],[Column2]]</f>
        <v>0</v>
      </c>
    </row>
    <row r="952" spans="1:2" ht="30.75" customHeight="1">
      <c r="A952">
        <f>Table4[[#This Row],[Column1]]</f>
        <v>0</v>
      </c>
      <c r="B952">
        <f>Table4[[#This Row],[Column2]]</f>
        <v>0</v>
      </c>
    </row>
    <row r="953" spans="1:2" ht="30.75" customHeight="1">
      <c r="A953">
        <f>Table4[[#This Row],[Column1]]</f>
        <v>0</v>
      </c>
      <c r="B953">
        <f>Table4[[#This Row],[Column2]]</f>
        <v>0</v>
      </c>
    </row>
    <row r="954" spans="1:2" ht="30.75" customHeight="1">
      <c r="A954">
        <f>Table4[[#This Row],[Column1]]</f>
        <v>0</v>
      </c>
      <c r="B954">
        <f>Table4[[#This Row],[Column2]]</f>
        <v>0</v>
      </c>
    </row>
    <row r="955" spans="1:2" ht="30.75" customHeight="1">
      <c r="A955">
        <f>Table4[[#This Row],[Column1]]</f>
        <v>0</v>
      </c>
      <c r="B955">
        <f>Table4[[#This Row],[Column2]]</f>
        <v>0</v>
      </c>
    </row>
    <row r="956" spans="1:2" ht="30.75" customHeight="1">
      <c r="A956">
        <f>Table4[[#This Row],[Column1]]</f>
        <v>0</v>
      </c>
      <c r="B956">
        <f>Table4[[#This Row],[Column2]]</f>
        <v>0</v>
      </c>
    </row>
    <row r="957" spans="1:2" ht="30.75" customHeight="1">
      <c r="A957">
        <f>Table4[[#This Row],[Column1]]</f>
        <v>0</v>
      </c>
      <c r="B957">
        <f>Table4[[#This Row],[Column2]]</f>
        <v>0</v>
      </c>
    </row>
    <row r="958" spans="1:2" ht="30.75" customHeight="1">
      <c r="A958">
        <f>Table4[[#This Row],[Column1]]</f>
        <v>0</v>
      </c>
      <c r="B958">
        <f>Table4[[#This Row],[Column2]]</f>
        <v>0</v>
      </c>
    </row>
    <row r="959" spans="1:2" ht="30.75" customHeight="1">
      <c r="A959">
        <f>Table4[[#This Row],[Column1]]</f>
        <v>0</v>
      </c>
      <c r="B959">
        <f>Table4[[#This Row],[Column2]]</f>
        <v>0</v>
      </c>
    </row>
    <row r="960" spans="1:2" ht="30.75" customHeight="1">
      <c r="A960">
        <f>Table4[[#This Row],[Column1]]</f>
        <v>0</v>
      </c>
      <c r="B960">
        <f>Table4[[#This Row],[Column2]]</f>
        <v>0</v>
      </c>
    </row>
    <row r="961" spans="1:2" ht="30.75" customHeight="1">
      <c r="A961">
        <f>Table4[[#This Row],[Column1]]</f>
        <v>0</v>
      </c>
      <c r="B961">
        <f>Table4[[#This Row],[Column2]]</f>
        <v>0</v>
      </c>
    </row>
    <row r="962" spans="1:2" ht="30.75" customHeight="1">
      <c r="A962">
        <f>Table4[[#This Row],[Column1]]</f>
        <v>0</v>
      </c>
      <c r="B962">
        <f>Table4[[#This Row],[Column2]]</f>
        <v>0</v>
      </c>
    </row>
    <row r="963" spans="1:2" ht="30.75" customHeight="1">
      <c r="A963">
        <f>Table4[[#This Row],[Column1]]</f>
        <v>0</v>
      </c>
      <c r="B963">
        <f>Table4[[#This Row],[Column2]]</f>
        <v>0</v>
      </c>
    </row>
    <row r="964" spans="1:2" ht="30.75" customHeight="1">
      <c r="A964">
        <f>Table4[[#This Row],[Column1]]</f>
        <v>0</v>
      </c>
      <c r="B964">
        <f>Table4[[#This Row],[Column2]]</f>
        <v>0</v>
      </c>
    </row>
    <row r="965" spans="1:2" ht="30.75" customHeight="1">
      <c r="A965">
        <f>Table4[[#This Row],[Column1]]</f>
        <v>0</v>
      </c>
      <c r="B965">
        <f>Table4[[#This Row],[Column2]]</f>
        <v>0</v>
      </c>
    </row>
    <row r="966" spans="1:2" ht="30.75" customHeight="1">
      <c r="A966">
        <f>Table4[[#This Row],[Column1]]</f>
        <v>0</v>
      </c>
      <c r="B966">
        <f>Table4[[#This Row],[Column2]]</f>
        <v>0</v>
      </c>
    </row>
    <row r="967" spans="1:2" ht="30.75" customHeight="1">
      <c r="A967">
        <f>Table4[[#This Row],[Column1]]</f>
        <v>0</v>
      </c>
      <c r="B967">
        <f>Table4[[#This Row],[Column2]]</f>
        <v>0</v>
      </c>
    </row>
    <row r="968" spans="1:2" ht="30.75" customHeight="1">
      <c r="A968">
        <f>Table4[[#This Row],[Column1]]</f>
        <v>0</v>
      </c>
      <c r="B968">
        <f>Table4[[#This Row],[Column2]]</f>
        <v>0</v>
      </c>
    </row>
    <row r="969" spans="1:2" ht="30.75" customHeight="1">
      <c r="A969">
        <f>Table4[[#This Row],[Column1]]</f>
        <v>0</v>
      </c>
      <c r="B969">
        <f>Table4[[#This Row],[Column2]]</f>
        <v>0</v>
      </c>
    </row>
    <row r="970" spans="1:2" ht="30.75" customHeight="1">
      <c r="A970">
        <f>Table4[[#This Row],[Column1]]</f>
        <v>0</v>
      </c>
      <c r="B970">
        <f>Table4[[#This Row],[Column2]]</f>
        <v>0</v>
      </c>
    </row>
    <row r="971" spans="1:2" ht="30.75" customHeight="1">
      <c r="A971">
        <f>Table4[[#This Row],[Column1]]</f>
        <v>0</v>
      </c>
      <c r="B971">
        <f>Table4[[#This Row],[Column2]]</f>
        <v>0</v>
      </c>
    </row>
    <row r="972" spans="1:2" ht="30.75" customHeight="1">
      <c r="A972">
        <f>Table4[[#This Row],[Column1]]</f>
        <v>0</v>
      </c>
      <c r="B972">
        <f>Table4[[#This Row],[Column2]]</f>
        <v>0</v>
      </c>
    </row>
    <row r="973" spans="1:2" ht="30.75" customHeight="1">
      <c r="A973">
        <f>Table4[[#This Row],[Column1]]</f>
        <v>0</v>
      </c>
      <c r="B973">
        <f>Table4[[#This Row],[Column2]]</f>
        <v>0</v>
      </c>
    </row>
    <row r="974" spans="1:2" ht="30.75" customHeight="1">
      <c r="A974">
        <f>Table4[[#This Row],[Column1]]</f>
        <v>0</v>
      </c>
      <c r="B974">
        <f>Table4[[#This Row],[Column2]]</f>
        <v>0</v>
      </c>
    </row>
    <row r="975" spans="1:2" ht="30.75" customHeight="1">
      <c r="A975">
        <f>Table4[[#This Row],[Column1]]</f>
        <v>0</v>
      </c>
      <c r="B975">
        <f>Table4[[#This Row],[Column2]]</f>
        <v>0</v>
      </c>
    </row>
    <row r="976" spans="1:2" ht="30.75" customHeight="1">
      <c r="A976">
        <f>Table4[[#This Row],[Column1]]</f>
        <v>0</v>
      </c>
      <c r="B976">
        <f>Table4[[#This Row],[Column2]]</f>
        <v>0</v>
      </c>
    </row>
    <row r="977" spans="1:2" ht="30.75" customHeight="1">
      <c r="A977">
        <f>Table4[[#This Row],[Column1]]</f>
        <v>0</v>
      </c>
      <c r="B977">
        <f>Table4[[#This Row],[Column2]]</f>
        <v>0</v>
      </c>
    </row>
    <row r="978" spans="1:2" ht="30.75" customHeight="1">
      <c r="A978">
        <f>Table4[[#This Row],[Column1]]</f>
        <v>0</v>
      </c>
      <c r="B978">
        <f>Table4[[#This Row],[Column2]]</f>
        <v>0</v>
      </c>
    </row>
    <row r="979" spans="1:2" ht="30.75" customHeight="1">
      <c r="A979">
        <f>Table4[[#This Row],[Column1]]</f>
        <v>0</v>
      </c>
      <c r="B979">
        <f>Table4[[#This Row],[Column2]]</f>
        <v>0</v>
      </c>
    </row>
    <row r="980" spans="1:2" ht="30.75" customHeight="1">
      <c r="A980">
        <f>Table4[[#This Row],[Column1]]</f>
        <v>0</v>
      </c>
      <c r="B980">
        <f>Table4[[#This Row],[Column2]]</f>
        <v>0</v>
      </c>
    </row>
    <row r="981" spans="1:2" ht="30.75" customHeight="1">
      <c r="A981">
        <f>Table4[[#This Row],[Column1]]</f>
        <v>0</v>
      </c>
      <c r="B981">
        <f>Table4[[#This Row],[Column2]]</f>
        <v>0</v>
      </c>
    </row>
    <row r="982" spans="1:2" ht="30.75" customHeight="1">
      <c r="A982">
        <f>Table4[[#This Row],[Column1]]</f>
        <v>0</v>
      </c>
      <c r="B982">
        <f>Table4[[#This Row],[Column2]]</f>
        <v>0</v>
      </c>
    </row>
    <row r="983" spans="1:2" ht="30.75" customHeight="1">
      <c r="A983">
        <f>Table4[[#This Row],[Column1]]</f>
        <v>0</v>
      </c>
      <c r="B983">
        <f>Table4[[#This Row],[Column2]]</f>
        <v>0</v>
      </c>
    </row>
    <row r="984" spans="1:2" ht="30.75" customHeight="1">
      <c r="A984">
        <f>Table4[[#This Row],[Column1]]</f>
        <v>0</v>
      </c>
      <c r="B984">
        <f>Table4[[#This Row],[Column2]]</f>
        <v>0</v>
      </c>
    </row>
    <row r="985" spans="1:2" ht="30.75" customHeight="1">
      <c r="A985">
        <f>Table4[[#This Row],[Column1]]</f>
        <v>0</v>
      </c>
      <c r="B985">
        <f>Table4[[#This Row],[Column2]]</f>
        <v>0</v>
      </c>
    </row>
    <row r="986" spans="1:2" ht="30.75" customHeight="1">
      <c r="A986">
        <f>Table4[[#This Row],[Column1]]</f>
        <v>0</v>
      </c>
      <c r="B986">
        <f>Table4[[#This Row],[Column2]]</f>
        <v>0</v>
      </c>
    </row>
    <row r="987" spans="1:2" ht="30.75" customHeight="1">
      <c r="A987">
        <f>Table4[[#This Row],[Column1]]</f>
        <v>0</v>
      </c>
      <c r="B987">
        <f>Table4[[#This Row],[Column2]]</f>
        <v>0</v>
      </c>
    </row>
    <row r="988" spans="1:2" ht="30.75" customHeight="1">
      <c r="A988">
        <f>Table4[[#This Row],[Column1]]</f>
        <v>0</v>
      </c>
      <c r="B988">
        <f>Table4[[#This Row],[Column2]]</f>
        <v>0</v>
      </c>
    </row>
    <row r="989" spans="1:2" ht="30.75" customHeight="1">
      <c r="A989">
        <f>Table4[[#This Row],[Column1]]</f>
        <v>0</v>
      </c>
      <c r="B989">
        <f>Table4[[#This Row],[Column2]]</f>
        <v>0</v>
      </c>
    </row>
    <row r="990" spans="1:2" ht="30.75" customHeight="1">
      <c r="A990">
        <f>Table4[[#This Row],[Column1]]</f>
        <v>0</v>
      </c>
      <c r="B990">
        <f>Table4[[#This Row],[Column2]]</f>
        <v>0</v>
      </c>
    </row>
    <row r="991" spans="1:2" ht="30.75" customHeight="1">
      <c r="A991">
        <f>Table4[[#This Row],[Column1]]</f>
        <v>0</v>
      </c>
      <c r="B991">
        <f>Table4[[#This Row],[Column2]]</f>
        <v>0</v>
      </c>
    </row>
    <row r="992" spans="1:2" ht="30.75" customHeight="1">
      <c r="A992">
        <f>Table4[[#This Row],[Column1]]</f>
        <v>0</v>
      </c>
      <c r="B992">
        <f>Table4[[#This Row],[Column2]]</f>
        <v>0</v>
      </c>
    </row>
    <row r="993" spans="1:2" ht="30.75" customHeight="1">
      <c r="A993">
        <f>Table4[[#This Row],[Column1]]</f>
        <v>0</v>
      </c>
      <c r="B993">
        <f>Table4[[#This Row],[Column2]]</f>
        <v>0</v>
      </c>
    </row>
    <row r="994" spans="1:2" ht="30.75" customHeight="1">
      <c r="A994">
        <f>Table4[[#This Row],[Column1]]</f>
        <v>0</v>
      </c>
      <c r="B994">
        <f>Table4[[#This Row],[Column2]]</f>
        <v>0</v>
      </c>
    </row>
    <row r="995" spans="1:2" ht="30.75" customHeight="1">
      <c r="A995">
        <f>Table4[[#This Row],[Column1]]</f>
        <v>0</v>
      </c>
      <c r="B995">
        <f>Table4[[#This Row],[Column2]]</f>
        <v>0</v>
      </c>
    </row>
    <row r="996" spans="1:2" ht="30.75" customHeight="1">
      <c r="A996">
        <f>Table4[[#This Row],[Column1]]</f>
        <v>0</v>
      </c>
      <c r="B996">
        <f>Table4[[#This Row],[Column2]]</f>
        <v>0</v>
      </c>
    </row>
    <row r="997" spans="1:2" ht="30.75" customHeight="1">
      <c r="A997">
        <f>Table4[[#This Row],[Column1]]</f>
        <v>0</v>
      </c>
      <c r="B997">
        <f>Table4[[#This Row],[Column2]]</f>
        <v>0</v>
      </c>
    </row>
    <row r="998" spans="1:2" ht="30.75" customHeight="1">
      <c r="A998">
        <f>Table4[[#This Row],[Column1]]</f>
        <v>0</v>
      </c>
      <c r="B998">
        <f>Table4[[#This Row],[Column2]]</f>
        <v>0</v>
      </c>
    </row>
    <row r="999" spans="1:2" ht="30.75" customHeight="1">
      <c r="A999">
        <f>Table4[[#This Row],[Column1]]</f>
        <v>0</v>
      </c>
      <c r="B999">
        <f>Table4[[#This Row],[Column2]]</f>
        <v>0</v>
      </c>
    </row>
    <row r="1000" spans="1:2" ht="30.75" customHeight="1">
      <c r="A1000">
        <f>Table4[[#This Row],[Column1]]</f>
        <v>0</v>
      </c>
      <c r="B1000">
        <f>Table4[[#This Row],[Column2]]</f>
        <v>0</v>
      </c>
    </row>
    <row r="1001" spans="1:2" ht="30.75" customHeight="1">
      <c r="A1001">
        <f>Table4[[#This Row],[Column1]]</f>
        <v>0</v>
      </c>
      <c r="B1001">
        <f>Table4[[#This Row],[Column2]]</f>
        <v>0</v>
      </c>
    </row>
    <row r="1002" spans="1:2" ht="30.75" customHeight="1">
      <c r="A1002">
        <f>Table4[[#This Row],[Column1]]</f>
        <v>0</v>
      </c>
      <c r="B1002">
        <f>Table4[[#This Row],[Column2]]</f>
        <v>0</v>
      </c>
    </row>
    <row r="1003" spans="1:2" ht="30.75" customHeight="1">
      <c r="A1003">
        <f>Table4[[#This Row],[Column1]]</f>
        <v>0</v>
      </c>
      <c r="B1003">
        <f>Table4[[#This Row],[Column2]]</f>
        <v>0</v>
      </c>
    </row>
    <row r="1004" spans="1:2" ht="30.75" customHeight="1">
      <c r="A1004">
        <f>Table4[[#This Row],[Column1]]</f>
        <v>0</v>
      </c>
      <c r="B1004">
        <f>Table4[[#This Row],[Column2]]</f>
        <v>0</v>
      </c>
    </row>
    <row r="1005" spans="1:2" ht="30.75" customHeight="1">
      <c r="A1005">
        <f>Table4[[#This Row],[Column1]]</f>
        <v>0</v>
      </c>
      <c r="B1005">
        <f>Table4[[#This Row],[Column2]]</f>
        <v>0</v>
      </c>
    </row>
    <row r="1006" spans="1:2" ht="30.75" customHeight="1">
      <c r="A1006">
        <f>Table4[[#This Row],[Column1]]</f>
        <v>0</v>
      </c>
      <c r="B1006">
        <f>Table4[[#This Row],[Column2]]</f>
        <v>0</v>
      </c>
    </row>
    <row r="1007" spans="1:2" ht="30.75" customHeight="1">
      <c r="A1007">
        <f>Table4[[#This Row],[Column1]]</f>
        <v>0</v>
      </c>
      <c r="B1007">
        <f>Table4[[#This Row],[Column2]]</f>
        <v>0</v>
      </c>
    </row>
    <row r="1008" spans="1:2" ht="30.75" customHeight="1">
      <c r="A1008">
        <f>Table4[[#This Row],[Column1]]</f>
        <v>0</v>
      </c>
      <c r="B1008">
        <f>Table4[[#This Row],[Column2]]</f>
        <v>0</v>
      </c>
    </row>
    <row r="1009" spans="1:2" ht="30.75" customHeight="1">
      <c r="A1009">
        <f>Table4[[#This Row],[Column1]]</f>
        <v>0</v>
      </c>
      <c r="B1009">
        <f>Table4[[#This Row],[Column2]]</f>
        <v>0</v>
      </c>
    </row>
    <row r="1010" spans="1:2" ht="30.75" customHeight="1">
      <c r="A1010">
        <f>Table4[[#This Row],[Column1]]</f>
        <v>0</v>
      </c>
      <c r="B1010">
        <f>Table4[[#This Row],[Column2]]</f>
        <v>0</v>
      </c>
    </row>
    <row r="1011" spans="1:2" ht="30.75" customHeight="1">
      <c r="A1011">
        <f>Table4[[#This Row],[Column1]]</f>
        <v>0</v>
      </c>
      <c r="B1011">
        <f>Table4[[#This Row],[Column2]]</f>
        <v>0</v>
      </c>
    </row>
    <row r="1012" spans="1:2" ht="30.75" customHeight="1">
      <c r="A1012">
        <f>Table4[[#This Row],[Column1]]</f>
        <v>0</v>
      </c>
      <c r="B1012">
        <f>Table4[[#This Row],[Column2]]</f>
        <v>0</v>
      </c>
    </row>
    <row r="1013" spans="1:2" ht="30.75" customHeight="1">
      <c r="A1013">
        <f>Table4[[#This Row],[Column1]]</f>
        <v>0</v>
      </c>
      <c r="B1013">
        <f>Table4[[#This Row],[Column2]]</f>
        <v>0</v>
      </c>
    </row>
    <row r="1014" spans="1:2" ht="30.75" customHeight="1">
      <c r="A1014">
        <f>Table4[[#This Row],[Column1]]</f>
        <v>0</v>
      </c>
      <c r="B1014">
        <f>Table4[[#This Row],[Column2]]</f>
        <v>0</v>
      </c>
    </row>
    <row r="1015" spans="1:2" ht="30.75" customHeight="1">
      <c r="A1015">
        <f>Table4[[#This Row],[Column1]]</f>
        <v>0</v>
      </c>
      <c r="B1015">
        <f>Table4[[#This Row],[Column2]]</f>
        <v>0</v>
      </c>
    </row>
    <row r="1016" spans="1:2" ht="30.75" customHeight="1">
      <c r="A1016">
        <f>Table4[[#This Row],[Column1]]</f>
        <v>0</v>
      </c>
      <c r="B1016">
        <f>Table4[[#This Row],[Column2]]</f>
        <v>0</v>
      </c>
    </row>
    <row r="1017" spans="1:2" ht="30.75" customHeight="1">
      <c r="A1017">
        <f>Table4[[#This Row],[Column1]]</f>
        <v>0</v>
      </c>
      <c r="B1017">
        <f>Table4[[#This Row],[Column2]]</f>
        <v>0</v>
      </c>
    </row>
    <row r="1018" spans="1:2" ht="30.75" customHeight="1">
      <c r="A1018">
        <f>Table4[[#This Row],[Column1]]</f>
        <v>0</v>
      </c>
      <c r="B1018">
        <f>Table4[[#This Row],[Column2]]</f>
        <v>0</v>
      </c>
    </row>
    <row r="1019" spans="1:2" ht="30.75" customHeight="1">
      <c r="A1019">
        <f>Table4[[#This Row],[Column1]]</f>
        <v>0</v>
      </c>
      <c r="B1019">
        <f>Table4[[#This Row],[Column2]]</f>
        <v>0</v>
      </c>
    </row>
    <row r="1020" spans="1:2" ht="30.75" customHeight="1">
      <c r="A1020">
        <f>Table4[[#This Row],[Column1]]</f>
        <v>0</v>
      </c>
      <c r="B1020">
        <f>Table4[[#This Row],[Column2]]</f>
        <v>0</v>
      </c>
    </row>
    <row r="1021" spans="1:2" ht="30.75" customHeight="1">
      <c r="A1021">
        <f>Table4[[#This Row],[Column1]]</f>
        <v>0</v>
      </c>
      <c r="B1021">
        <f>Table4[[#This Row],[Column2]]</f>
        <v>0</v>
      </c>
    </row>
    <row r="1022" spans="1:2" ht="30.75" customHeight="1">
      <c r="A1022">
        <f>Table4[[#This Row],[Column1]]</f>
        <v>0</v>
      </c>
      <c r="B1022">
        <f>Table4[[#This Row],[Column2]]</f>
        <v>0</v>
      </c>
    </row>
    <row r="1023" spans="1:2" ht="30.75" customHeight="1">
      <c r="A1023">
        <f>Table4[[#This Row],[Column1]]</f>
        <v>0</v>
      </c>
      <c r="B1023">
        <f>Table4[[#This Row],[Column2]]</f>
        <v>0</v>
      </c>
    </row>
    <row r="1024" spans="1:2" ht="30.75" customHeight="1">
      <c r="A1024">
        <f>Table4[[#This Row],[Column1]]</f>
        <v>0</v>
      </c>
      <c r="B1024">
        <f>Table4[[#This Row],[Column2]]</f>
        <v>0</v>
      </c>
    </row>
    <row r="1025" spans="1:2" ht="30.75" customHeight="1">
      <c r="A1025">
        <f>Table4[[#This Row],[Column1]]</f>
        <v>0</v>
      </c>
      <c r="B1025">
        <f>Table4[[#This Row],[Column2]]</f>
        <v>0</v>
      </c>
    </row>
    <row r="1026" spans="1:2" ht="30.75" customHeight="1">
      <c r="A1026">
        <f>Table4[[#This Row],[Column1]]</f>
        <v>0</v>
      </c>
      <c r="B1026">
        <f>Table4[[#This Row],[Column2]]</f>
        <v>0</v>
      </c>
    </row>
    <row r="1027" spans="1:2" ht="30.75" customHeight="1">
      <c r="A1027">
        <f>Table4[[#This Row],[Column1]]</f>
        <v>0</v>
      </c>
      <c r="B1027">
        <f>Table4[[#This Row],[Column2]]</f>
        <v>0</v>
      </c>
    </row>
    <row r="1028" spans="1:2" ht="30.75" customHeight="1">
      <c r="A1028">
        <f>Table4[[#This Row],[Column1]]</f>
        <v>0</v>
      </c>
      <c r="B1028">
        <f>Table4[[#This Row],[Column2]]</f>
        <v>0</v>
      </c>
    </row>
    <row r="1029" spans="1:2" ht="30.75" customHeight="1">
      <c r="A1029">
        <f>Table4[[#This Row],[Column1]]</f>
        <v>0</v>
      </c>
      <c r="B1029">
        <f>Table4[[#This Row],[Column2]]</f>
        <v>0</v>
      </c>
    </row>
    <row r="1030" spans="1:2" ht="30.75" customHeight="1">
      <c r="A1030">
        <f>Table4[[#This Row],[Column1]]</f>
        <v>0</v>
      </c>
      <c r="B1030">
        <f>Table4[[#This Row],[Column2]]</f>
        <v>0</v>
      </c>
    </row>
    <row r="1031" spans="1:2" ht="30.75" customHeight="1">
      <c r="A1031">
        <f>Table4[[#This Row],[Column1]]</f>
        <v>0</v>
      </c>
      <c r="B1031">
        <f>Table4[[#This Row],[Column2]]</f>
        <v>0</v>
      </c>
    </row>
    <row r="1032" spans="1:2" ht="30.75" customHeight="1">
      <c r="A1032">
        <f>Table4[[#This Row],[Column1]]</f>
        <v>0</v>
      </c>
      <c r="B1032">
        <f>Table4[[#This Row],[Column2]]</f>
        <v>0</v>
      </c>
    </row>
    <row r="1033" spans="1:2" ht="30.75" customHeight="1">
      <c r="A1033">
        <f>Table4[[#This Row],[Column1]]</f>
        <v>0</v>
      </c>
      <c r="B1033">
        <f>Table4[[#This Row],[Column2]]</f>
        <v>0</v>
      </c>
    </row>
    <row r="1034" spans="1:2" ht="30.75" customHeight="1">
      <c r="A1034">
        <f>Table4[[#This Row],[Column1]]</f>
        <v>0</v>
      </c>
      <c r="B1034">
        <f>Table4[[#This Row],[Column2]]</f>
        <v>0</v>
      </c>
    </row>
    <row r="1035" spans="1:2" ht="30.75" customHeight="1">
      <c r="A1035">
        <f>Table4[[#This Row],[Column1]]</f>
        <v>0</v>
      </c>
      <c r="B1035">
        <f>Table4[[#This Row],[Column2]]</f>
        <v>0</v>
      </c>
    </row>
    <row r="1036" spans="1:2" ht="30.75" customHeight="1">
      <c r="A1036">
        <f>Table4[[#This Row],[Column1]]</f>
        <v>0</v>
      </c>
      <c r="B1036">
        <f>Table4[[#This Row],[Column2]]</f>
        <v>0</v>
      </c>
    </row>
    <row r="1037" spans="1:2" ht="30.75" customHeight="1">
      <c r="A1037">
        <f>Table4[[#This Row],[Column1]]</f>
        <v>0</v>
      </c>
      <c r="B1037">
        <f>Table4[[#This Row],[Column2]]</f>
        <v>0</v>
      </c>
    </row>
    <row r="1038" spans="1:2" ht="30.75" customHeight="1">
      <c r="A1038">
        <f>Table4[[#This Row],[Column1]]</f>
        <v>0</v>
      </c>
      <c r="B1038">
        <f>Table4[[#This Row],[Column2]]</f>
        <v>0</v>
      </c>
    </row>
    <row r="1039" spans="1:2" ht="30.75" customHeight="1">
      <c r="A1039">
        <f>Table4[[#This Row],[Column1]]</f>
        <v>0</v>
      </c>
      <c r="B1039">
        <f>Table4[[#This Row],[Column2]]</f>
        <v>0</v>
      </c>
    </row>
    <row r="1040" spans="1:2" ht="30.75" customHeight="1">
      <c r="A1040">
        <f>Table4[[#This Row],[Column1]]</f>
        <v>0</v>
      </c>
      <c r="B1040">
        <f>Table4[[#This Row],[Column2]]</f>
        <v>0</v>
      </c>
    </row>
    <row r="1041" spans="1:2" ht="30.75" customHeight="1">
      <c r="A1041">
        <f>Table4[[#This Row],[Column1]]</f>
        <v>0</v>
      </c>
      <c r="B1041">
        <f>Table4[[#This Row],[Column2]]</f>
        <v>0</v>
      </c>
    </row>
    <row r="1042" spans="1:2" ht="30.75" customHeight="1">
      <c r="A1042">
        <f>Table4[[#This Row],[Column1]]</f>
        <v>0</v>
      </c>
      <c r="B1042">
        <f>Table4[[#This Row],[Column2]]</f>
        <v>0</v>
      </c>
    </row>
    <row r="1043" spans="1:2" ht="30.75" customHeight="1">
      <c r="A1043">
        <f>Table4[[#This Row],[Column1]]</f>
        <v>0</v>
      </c>
      <c r="B1043">
        <f>Table4[[#This Row],[Column2]]</f>
        <v>0</v>
      </c>
    </row>
    <row r="1044" spans="1:2" ht="30.75" customHeight="1">
      <c r="A1044">
        <f>Table4[[#This Row],[Column1]]</f>
        <v>0</v>
      </c>
      <c r="B1044">
        <f>Table4[[#This Row],[Column2]]</f>
        <v>0</v>
      </c>
    </row>
    <row r="1045" spans="1:2" ht="30.75" customHeight="1">
      <c r="A1045">
        <f>Table4[[#This Row],[Column1]]</f>
        <v>0</v>
      </c>
      <c r="B1045">
        <f>Table4[[#This Row],[Column2]]</f>
        <v>0</v>
      </c>
    </row>
    <row r="1046" spans="1:2" ht="30.75" customHeight="1">
      <c r="A1046">
        <f>Table4[[#This Row],[Column1]]</f>
        <v>0</v>
      </c>
      <c r="B1046">
        <f>Table4[[#This Row],[Column2]]</f>
        <v>0</v>
      </c>
    </row>
    <row r="1047" spans="1:2" ht="30.75" customHeight="1">
      <c r="A1047">
        <f>Table4[[#This Row],[Column1]]</f>
        <v>0</v>
      </c>
      <c r="B1047">
        <f>Table4[[#This Row],[Column2]]</f>
        <v>0</v>
      </c>
    </row>
    <row r="1048" spans="1:2" ht="30.75" customHeight="1">
      <c r="A1048">
        <f>Table4[[#This Row],[Column1]]</f>
        <v>0</v>
      </c>
      <c r="B1048">
        <f>Table4[[#This Row],[Column2]]</f>
        <v>0</v>
      </c>
    </row>
    <row r="1049" spans="1:2" ht="30.75" customHeight="1">
      <c r="A1049">
        <f>Table4[[#This Row],[Column1]]</f>
        <v>0</v>
      </c>
      <c r="B1049">
        <f>Table4[[#This Row],[Column2]]</f>
        <v>0</v>
      </c>
    </row>
    <row r="1050" spans="1:2" ht="30.75" customHeight="1">
      <c r="A1050">
        <f>Table4[[#This Row],[Column1]]</f>
        <v>0</v>
      </c>
      <c r="B1050">
        <f>Table4[[#This Row],[Column2]]</f>
        <v>0</v>
      </c>
    </row>
    <row r="1051" spans="1:2" ht="30.75" customHeight="1">
      <c r="A1051">
        <f>Table4[[#This Row],[Column1]]</f>
        <v>0</v>
      </c>
      <c r="B1051">
        <f>Table4[[#This Row],[Column2]]</f>
        <v>0</v>
      </c>
    </row>
    <row r="1052" spans="1:2" ht="30.75" customHeight="1">
      <c r="A1052">
        <f>Table4[[#This Row],[Column1]]</f>
        <v>0</v>
      </c>
      <c r="B1052">
        <f>Table4[[#This Row],[Column2]]</f>
        <v>0</v>
      </c>
    </row>
    <row r="1053" spans="1:2" ht="30.75" customHeight="1">
      <c r="A1053">
        <f>Table4[[#This Row],[Column1]]</f>
        <v>0</v>
      </c>
      <c r="B1053">
        <f>Table4[[#This Row],[Column2]]</f>
        <v>0</v>
      </c>
    </row>
    <row r="1054" spans="1:2" ht="30.75" customHeight="1">
      <c r="A1054">
        <f>Table4[[#This Row],[Column1]]</f>
        <v>0</v>
      </c>
      <c r="B1054">
        <f>Table4[[#This Row],[Column2]]</f>
        <v>0</v>
      </c>
    </row>
    <row r="1055" spans="1:2" ht="30.75" customHeight="1">
      <c r="A1055">
        <f>Table4[[#This Row],[Column1]]</f>
        <v>0</v>
      </c>
      <c r="B1055">
        <f>Table4[[#This Row],[Column2]]</f>
        <v>0</v>
      </c>
    </row>
    <row r="1056" spans="1:2" ht="30.75" customHeight="1">
      <c r="A1056">
        <f>Table4[[#This Row],[Column1]]</f>
        <v>0</v>
      </c>
      <c r="B1056">
        <f>Table4[[#This Row],[Column2]]</f>
        <v>0</v>
      </c>
    </row>
    <row r="1057" spans="1:2" ht="30.75" customHeight="1">
      <c r="A1057">
        <f>Table4[[#This Row],[Column1]]</f>
        <v>0</v>
      </c>
      <c r="B1057">
        <f>Table4[[#This Row],[Column2]]</f>
        <v>0</v>
      </c>
    </row>
    <row r="1058" spans="1:2" ht="30.75" customHeight="1">
      <c r="A1058">
        <f>Table4[[#This Row],[Column1]]</f>
        <v>0</v>
      </c>
      <c r="B1058">
        <f>Table4[[#This Row],[Column2]]</f>
        <v>0</v>
      </c>
    </row>
    <row r="1059" spans="1:2" ht="30.75" customHeight="1">
      <c r="A1059">
        <f>Table4[[#This Row],[Column1]]</f>
        <v>0</v>
      </c>
      <c r="B1059">
        <f>Table4[[#This Row],[Column2]]</f>
        <v>0</v>
      </c>
    </row>
    <row r="1060" spans="1:2" ht="30.75" customHeight="1">
      <c r="A1060">
        <f>Table4[[#This Row],[Column1]]</f>
        <v>0</v>
      </c>
      <c r="B1060">
        <f>Table4[[#This Row],[Column2]]</f>
        <v>0</v>
      </c>
    </row>
    <row r="1061" spans="1:2" ht="30.75" customHeight="1">
      <c r="A1061">
        <f>Table4[[#This Row],[Column1]]</f>
        <v>0</v>
      </c>
      <c r="B1061">
        <f>Table4[[#This Row],[Column2]]</f>
        <v>0</v>
      </c>
    </row>
    <row r="1062" spans="1:2" ht="30.75" customHeight="1">
      <c r="A1062">
        <f>Table4[[#This Row],[Column1]]</f>
        <v>0</v>
      </c>
      <c r="B1062">
        <f>Table4[[#This Row],[Column2]]</f>
        <v>0</v>
      </c>
    </row>
    <row r="1063" spans="1:2" ht="30.75" customHeight="1">
      <c r="A1063">
        <f>Table4[[#This Row],[Column1]]</f>
        <v>0</v>
      </c>
      <c r="B1063">
        <f>Table4[[#This Row],[Column2]]</f>
        <v>0</v>
      </c>
    </row>
    <row r="1064" spans="1:2" ht="30.75" customHeight="1">
      <c r="A1064">
        <f>Table4[[#This Row],[Column1]]</f>
        <v>0</v>
      </c>
      <c r="B1064">
        <f>Table4[[#This Row],[Column2]]</f>
        <v>0</v>
      </c>
    </row>
    <row r="1065" spans="1:2" ht="30.75" customHeight="1">
      <c r="A1065">
        <f>Table4[[#This Row],[Column1]]</f>
        <v>0</v>
      </c>
      <c r="B1065">
        <f>Table4[[#This Row],[Column2]]</f>
        <v>0</v>
      </c>
    </row>
    <row r="1066" spans="1:2" ht="30.75" customHeight="1">
      <c r="A1066">
        <f>Table4[[#This Row],[Column1]]</f>
        <v>0</v>
      </c>
      <c r="B1066">
        <f>Table4[[#This Row],[Column2]]</f>
        <v>0</v>
      </c>
    </row>
    <row r="1067" spans="1:2" ht="30.75" customHeight="1">
      <c r="A1067">
        <f>Table4[[#This Row],[Column1]]</f>
        <v>0</v>
      </c>
      <c r="B1067">
        <f>Table4[[#This Row],[Column2]]</f>
        <v>0</v>
      </c>
    </row>
    <row r="1068" spans="1:2" ht="30.75" customHeight="1">
      <c r="A1068">
        <f>Table4[[#This Row],[Column1]]</f>
        <v>0</v>
      </c>
      <c r="B1068">
        <f>Table4[[#This Row],[Column2]]</f>
        <v>0</v>
      </c>
    </row>
    <row r="1069" spans="1:2" ht="30.75" customHeight="1">
      <c r="A1069">
        <f>Table4[[#This Row],[Column1]]</f>
        <v>0</v>
      </c>
      <c r="B1069">
        <f>Table4[[#This Row],[Column2]]</f>
        <v>0</v>
      </c>
    </row>
    <row r="1070" spans="1:2" ht="30.75" customHeight="1">
      <c r="A1070">
        <f>Table4[[#This Row],[Column1]]</f>
        <v>0</v>
      </c>
      <c r="B1070">
        <f>Table4[[#This Row],[Column2]]</f>
        <v>0</v>
      </c>
    </row>
    <row r="1071" spans="1:2" ht="30.75" customHeight="1">
      <c r="A1071">
        <f>Table4[[#This Row],[Column1]]</f>
        <v>0</v>
      </c>
      <c r="B1071">
        <f>Table4[[#This Row],[Column2]]</f>
        <v>0</v>
      </c>
    </row>
    <row r="1072" spans="1:2" ht="30.75" customHeight="1">
      <c r="A1072">
        <f>Table4[[#This Row],[Column1]]</f>
        <v>0</v>
      </c>
      <c r="B1072">
        <f>Table4[[#This Row],[Column2]]</f>
        <v>0</v>
      </c>
    </row>
    <row r="1073" spans="1:2" ht="30.75" customHeight="1">
      <c r="A1073">
        <f>Table4[[#This Row],[Column1]]</f>
        <v>0</v>
      </c>
      <c r="B1073">
        <f>Table4[[#This Row],[Column2]]</f>
        <v>0</v>
      </c>
    </row>
    <row r="1074" spans="1:2" ht="30.75" customHeight="1">
      <c r="A1074">
        <f>Table4[[#This Row],[Column1]]</f>
        <v>0</v>
      </c>
      <c r="B1074">
        <f>Table4[[#This Row],[Column2]]</f>
        <v>0</v>
      </c>
    </row>
    <row r="1075" spans="1:2" ht="30.75" customHeight="1">
      <c r="A1075">
        <f>Table4[[#This Row],[Column1]]</f>
        <v>0</v>
      </c>
      <c r="B1075">
        <f>Table4[[#This Row],[Column2]]</f>
        <v>0</v>
      </c>
    </row>
    <row r="1076" spans="1:2" ht="30.75" customHeight="1">
      <c r="A1076">
        <f>Table4[[#This Row],[Column1]]</f>
        <v>0</v>
      </c>
      <c r="B1076">
        <f>Table4[[#This Row],[Column2]]</f>
        <v>0</v>
      </c>
    </row>
    <row r="1077" spans="1:2" ht="30.75" customHeight="1">
      <c r="A1077">
        <f>Table4[[#This Row],[Column1]]</f>
        <v>0</v>
      </c>
      <c r="B1077">
        <f>Table4[[#This Row],[Column2]]</f>
        <v>0</v>
      </c>
    </row>
    <row r="1078" spans="1:2" ht="30.75" customHeight="1">
      <c r="A1078">
        <f>Table4[[#This Row],[Column1]]</f>
        <v>0</v>
      </c>
      <c r="B1078">
        <f>Table4[[#This Row],[Column2]]</f>
        <v>0</v>
      </c>
    </row>
    <row r="1079" spans="1:2" ht="30.75" customHeight="1">
      <c r="A1079">
        <f>Table4[[#This Row],[Column1]]</f>
        <v>0</v>
      </c>
      <c r="B1079">
        <f>Table4[[#This Row],[Column2]]</f>
        <v>0</v>
      </c>
    </row>
    <row r="1080" spans="1:2" ht="30.75" customHeight="1">
      <c r="A1080">
        <f>Table4[[#This Row],[Column1]]</f>
        <v>0</v>
      </c>
      <c r="B1080">
        <f>Table4[[#This Row],[Column2]]</f>
        <v>0</v>
      </c>
    </row>
    <row r="1081" spans="1:2" ht="30.75" customHeight="1">
      <c r="A1081">
        <f>Table4[[#This Row],[Column1]]</f>
        <v>0</v>
      </c>
      <c r="B1081">
        <f>Table4[[#This Row],[Column2]]</f>
        <v>0</v>
      </c>
    </row>
    <row r="1082" spans="1:2" ht="30.75" customHeight="1">
      <c r="A1082">
        <f>Table4[[#This Row],[Column1]]</f>
        <v>0</v>
      </c>
      <c r="B1082">
        <f>Table4[[#This Row],[Column2]]</f>
        <v>0</v>
      </c>
    </row>
    <row r="1083" spans="1:2" ht="30.75" customHeight="1">
      <c r="A1083">
        <f>Table4[[#This Row],[Column1]]</f>
        <v>0</v>
      </c>
      <c r="B1083">
        <f>Table4[[#This Row],[Column2]]</f>
        <v>0</v>
      </c>
    </row>
    <row r="1084" spans="1:2" ht="30.75" customHeight="1">
      <c r="A1084">
        <f>Table4[[#This Row],[Column1]]</f>
        <v>0</v>
      </c>
      <c r="B1084">
        <f>Table4[[#This Row],[Column2]]</f>
        <v>0</v>
      </c>
    </row>
    <row r="1085" spans="1:2" ht="30.75" customHeight="1">
      <c r="A1085">
        <f>Table4[[#This Row],[Column1]]</f>
        <v>0</v>
      </c>
      <c r="B1085">
        <f>Table4[[#This Row],[Column2]]</f>
        <v>0</v>
      </c>
    </row>
    <row r="1086" spans="1:2" ht="30.75" customHeight="1">
      <c r="A1086">
        <f>Table4[[#This Row],[Column1]]</f>
        <v>0</v>
      </c>
      <c r="B1086">
        <f>Table4[[#This Row],[Column2]]</f>
        <v>0</v>
      </c>
    </row>
    <row r="1087" spans="1:2" ht="30.75" customHeight="1">
      <c r="A1087">
        <f>Table4[[#This Row],[Column1]]</f>
        <v>0</v>
      </c>
      <c r="B1087">
        <f>Table4[[#This Row],[Column2]]</f>
        <v>0</v>
      </c>
    </row>
    <row r="1088" spans="1:2" ht="30.75" customHeight="1">
      <c r="A1088">
        <f>Table4[[#This Row],[Column1]]</f>
        <v>0</v>
      </c>
      <c r="B1088">
        <f>Table4[[#This Row],[Column2]]</f>
        <v>0</v>
      </c>
    </row>
    <row r="1089" spans="1:2" ht="30.75" customHeight="1">
      <c r="A1089">
        <f>Table4[[#This Row],[Column1]]</f>
        <v>0</v>
      </c>
      <c r="B1089">
        <f>Table4[[#This Row],[Column2]]</f>
        <v>0</v>
      </c>
    </row>
    <row r="1090" spans="1:2" ht="30.75" customHeight="1">
      <c r="A1090">
        <f>Table4[[#This Row],[Column1]]</f>
        <v>0</v>
      </c>
      <c r="B1090">
        <f>Table4[[#This Row],[Column2]]</f>
        <v>0</v>
      </c>
    </row>
    <row r="1091" spans="1:2" ht="30.75" customHeight="1">
      <c r="A1091">
        <f>Table4[[#This Row],[Column1]]</f>
        <v>0</v>
      </c>
      <c r="B1091">
        <f>Table4[[#This Row],[Column2]]</f>
        <v>0</v>
      </c>
    </row>
    <row r="1092" spans="1:2" ht="30.75" customHeight="1">
      <c r="A1092">
        <f>Table4[[#This Row],[Column1]]</f>
        <v>0</v>
      </c>
      <c r="B1092">
        <f>Table4[[#This Row],[Column2]]</f>
        <v>0</v>
      </c>
    </row>
    <row r="1093" spans="1:2" ht="30.75" customHeight="1">
      <c r="A1093">
        <f>Table4[[#This Row],[Column1]]</f>
        <v>0</v>
      </c>
      <c r="B1093">
        <f>Table4[[#This Row],[Column2]]</f>
        <v>0</v>
      </c>
    </row>
    <row r="1094" spans="1:2" ht="30.75" customHeight="1">
      <c r="A1094">
        <f>Table4[[#This Row],[Column1]]</f>
        <v>0</v>
      </c>
      <c r="B1094">
        <f>Table4[[#This Row],[Column2]]</f>
        <v>0</v>
      </c>
    </row>
    <row r="1095" spans="1:2" ht="30.75" customHeight="1">
      <c r="A1095">
        <f>Table4[[#This Row],[Column1]]</f>
        <v>0</v>
      </c>
      <c r="B1095">
        <f>Table4[[#This Row],[Column2]]</f>
        <v>0</v>
      </c>
    </row>
    <row r="1096" spans="1:2" ht="30.75" customHeight="1">
      <c r="A1096">
        <f>Table4[[#This Row],[Column1]]</f>
        <v>0</v>
      </c>
      <c r="B1096">
        <f>Table4[[#This Row],[Column2]]</f>
        <v>0</v>
      </c>
    </row>
    <row r="1097" spans="1:2" ht="30.75" customHeight="1">
      <c r="A1097">
        <f>Table4[[#This Row],[Column1]]</f>
        <v>0</v>
      </c>
      <c r="B1097">
        <f>Table4[[#This Row],[Column2]]</f>
        <v>0</v>
      </c>
    </row>
    <row r="1098" spans="1:2" ht="30.75" customHeight="1">
      <c r="A1098">
        <f>Table4[[#This Row],[Column1]]</f>
        <v>0</v>
      </c>
      <c r="B1098">
        <f>Table4[[#This Row],[Column2]]</f>
        <v>0</v>
      </c>
    </row>
    <row r="1099" spans="1:2" ht="30.75" customHeight="1">
      <c r="A1099">
        <f>Table4[[#This Row],[Column1]]</f>
        <v>0</v>
      </c>
      <c r="B1099">
        <f>Table4[[#This Row],[Column2]]</f>
        <v>0</v>
      </c>
    </row>
    <row r="1100" spans="1:2" ht="30.75" customHeight="1">
      <c r="A1100">
        <f>Table4[[#This Row],[Column1]]</f>
        <v>0</v>
      </c>
      <c r="B1100">
        <f>Table4[[#This Row],[Column2]]</f>
        <v>0</v>
      </c>
    </row>
    <row r="1101" spans="1:2" ht="30.75" customHeight="1">
      <c r="A1101">
        <f>Table4[[#This Row],[Column1]]</f>
        <v>0</v>
      </c>
      <c r="B1101">
        <f>Table4[[#This Row],[Column2]]</f>
        <v>0</v>
      </c>
    </row>
    <row r="1102" spans="1:2" ht="30.75" customHeight="1">
      <c r="A1102">
        <f>Table4[[#This Row],[Column1]]</f>
        <v>0</v>
      </c>
      <c r="B1102">
        <f>Table4[[#This Row],[Column2]]</f>
        <v>0</v>
      </c>
    </row>
    <row r="1103" spans="1:2" ht="30.75" customHeight="1">
      <c r="A1103">
        <f>Table4[[#This Row],[Column1]]</f>
        <v>0</v>
      </c>
      <c r="B1103">
        <f>Table4[[#This Row],[Column2]]</f>
        <v>0</v>
      </c>
    </row>
    <row r="1104" spans="1:2" ht="30.75" customHeight="1">
      <c r="A1104">
        <f>Table4[[#This Row],[Column1]]</f>
        <v>0</v>
      </c>
      <c r="B1104">
        <f>Table4[[#This Row],[Column2]]</f>
        <v>0</v>
      </c>
    </row>
    <row r="1105" spans="1:2" ht="30.75" customHeight="1">
      <c r="A1105">
        <f>Table4[[#This Row],[Column1]]</f>
        <v>0</v>
      </c>
      <c r="B1105">
        <f>Table4[[#This Row],[Column2]]</f>
        <v>0</v>
      </c>
    </row>
    <row r="1106" spans="1:2" ht="30.75" customHeight="1">
      <c r="A1106">
        <f>Table4[[#This Row],[Column1]]</f>
        <v>0</v>
      </c>
      <c r="B1106">
        <f>Table4[[#This Row],[Column2]]</f>
        <v>0</v>
      </c>
    </row>
    <row r="1107" spans="1:2" ht="30.75" customHeight="1">
      <c r="A1107">
        <f>Table4[[#This Row],[Column1]]</f>
        <v>0</v>
      </c>
      <c r="B1107">
        <f>Table4[[#This Row],[Column2]]</f>
        <v>0</v>
      </c>
    </row>
    <row r="1108" spans="1:2" ht="30.75" customHeight="1">
      <c r="A1108">
        <f>Table4[[#This Row],[Column1]]</f>
        <v>0</v>
      </c>
      <c r="B1108">
        <f>Table4[[#This Row],[Column2]]</f>
        <v>0</v>
      </c>
    </row>
    <row r="1109" spans="1:2" ht="30.75" customHeight="1">
      <c r="A1109">
        <f>Table4[[#This Row],[Column1]]</f>
        <v>0</v>
      </c>
      <c r="B1109">
        <f>Table4[[#This Row],[Column2]]</f>
        <v>0</v>
      </c>
    </row>
    <row r="1110" spans="1:2" ht="30.75" customHeight="1">
      <c r="A1110">
        <f>Table4[[#This Row],[Column1]]</f>
        <v>0</v>
      </c>
      <c r="B1110">
        <f>Table4[[#This Row],[Column2]]</f>
        <v>0</v>
      </c>
    </row>
    <row r="1111" spans="1:2" ht="30.75" customHeight="1">
      <c r="A1111">
        <f>Table4[[#This Row],[Column1]]</f>
        <v>0</v>
      </c>
      <c r="B1111">
        <f>Table4[[#This Row],[Column2]]</f>
        <v>0</v>
      </c>
    </row>
    <row r="1112" spans="1:2" ht="30.75" customHeight="1">
      <c r="A1112">
        <f>Table4[[#This Row],[Column1]]</f>
        <v>0</v>
      </c>
      <c r="B1112">
        <f>Table4[[#This Row],[Column2]]</f>
        <v>0</v>
      </c>
    </row>
    <row r="1113" spans="1:2" ht="30.75" customHeight="1">
      <c r="A1113">
        <f>Table4[[#This Row],[Column1]]</f>
        <v>0</v>
      </c>
      <c r="B1113">
        <f>Table4[[#This Row],[Column2]]</f>
        <v>0</v>
      </c>
    </row>
    <row r="1114" spans="1:2" ht="30.75" customHeight="1">
      <c r="A1114">
        <f>Table4[[#This Row],[Column1]]</f>
        <v>0</v>
      </c>
      <c r="B1114">
        <f>Table4[[#This Row],[Column2]]</f>
        <v>0</v>
      </c>
    </row>
    <row r="1115" spans="1:2" ht="30.75" customHeight="1">
      <c r="A1115">
        <f>Table4[[#This Row],[Column1]]</f>
        <v>0</v>
      </c>
      <c r="B1115">
        <f>Table4[[#This Row],[Column2]]</f>
        <v>0</v>
      </c>
    </row>
    <row r="1116" spans="1:2" ht="30.75" customHeight="1">
      <c r="A1116">
        <f>Table4[[#This Row],[Column1]]</f>
        <v>0</v>
      </c>
      <c r="B1116">
        <f>Table4[[#This Row],[Column2]]</f>
        <v>0</v>
      </c>
    </row>
    <row r="1117" spans="1:2" ht="30.75" customHeight="1">
      <c r="A1117">
        <f>Table4[[#This Row],[Column1]]</f>
        <v>0</v>
      </c>
      <c r="B1117">
        <f>Table4[[#This Row],[Column2]]</f>
        <v>0</v>
      </c>
    </row>
    <row r="1118" spans="1:2" ht="30.75" customHeight="1">
      <c r="A1118">
        <f>Table4[[#This Row],[Column1]]</f>
        <v>0</v>
      </c>
      <c r="B1118">
        <f>Table4[[#This Row],[Column2]]</f>
        <v>0</v>
      </c>
    </row>
    <row r="1119" spans="1:2" ht="30.75" customHeight="1">
      <c r="A1119">
        <f>Table4[[#This Row],[Column1]]</f>
        <v>0</v>
      </c>
      <c r="B1119">
        <f>Table4[[#This Row],[Column2]]</f>
        <v>0</v>
      </c>
    </row>
    <row r="1120" spans="1:2" ht="30.75" customHeight="1">
      <c r="A1120">
        <f>Table4[[#This Row],[Column1]]</f>
        <v>0</v>
      </c>
      <c r="B1120">
        <f>Table4[[#This Row],[Column2]]</f>
        <v>0</v>
      </c>
    </row>
    <row r="1121" spans="1:2" ht="30.75" customHeight="1">
      <c r="A1121">
        <f>Table4[[#This Row],[Column1]]</f>
        <v>0</v>
      </c>
      <c r="B1121">
        <f>Table4[[#This Row],[Column2]]</f>
        <v>0</v>
      </c>
    </row>
    <row r="1122" spans="1:2" ht="30.75" customHeight="1">
      <c r="A1122">
        <f>Table4[[#This Row],[Column1]]</f>
        <v>0</v>
      </c>
      <c r="B1122">
        <f>Table4[[#This Row],[Column2]]</f>
        <v>0</v>
      </c>
    </row>
    <row r="1123" spans="1:2" ht="30.75" customHeight="1">
      <c r="A1123">
        <f>Table4[[#This Row],[Column1]]</f>
        <v>0</v>
      </c>
      <c r="B1123">
        <f>Table4[[#This Row],[Column2]]</f>
        <v>0</v>
      </c>
    </row>
    <row r="1124" spans="1:2" ht="30.75" customHeight="1">
      <c r="A1124">
        <f>Table4[[#This Row],[Column1]]</f>
        <v>0</v>
      </c>
      <c r="B1124">
        <f>Table4[[#This Row],[Column2]]</f>
        <v>0</v>
      </c>
    </row>
    <row r="1125" spans="1:2" ht="30.75" customHeight="1">
      <c r="A1125">
        <f>Table4[[#This Row],[Column1]]</f>
        <v>0</v>
      </c>
      <c r="B1125">
        <f>Table4[[#This Row],[Column2]]</f>
        <v>0</v>
      </c>
    </row>
    <row r="1126" spans="1:2" ht="30.75" customHeight="1">
      <c r="A1126">
        <f>Table4[[#This Row],[Column1]]</f>
        <v>0</v>
      </c>
      <c r="B1126">
        <f>Table4[[#This Row],[Column2]]</f>
        <v>0</v>
      </c>
    </row>
    <row r="1127" spans="1:2" ht="30.75" customHeight="1">
      <c r="A1127">
        <f>Table4[[#This Row],[Column1]]</f>
        <v>0</v>
      </c>
      <c r="B1127">
        <f>Table4[[#This Row],[Column2]]</f>
        <v>0</v>
      </c>
    </row>
    <row r="1128" spans="1:2" ht="30.75" customHeight="1">
      <c r="A1128">
        <f>Table4[[#This Row],[Column1]]</f>
        <v>0</v>
      </c>
      <c r="B1128">
        <f>Table4[[#This Row],[Column2]]</f>
        <v>0</v>
      </c>
    </row>
    <row r="1129" spans="1:2" ht="30.75" customHeight="1">
      <c r="A1129">
        <f>Table4[[#This Row],[Column1]]</f>
        <v>0</v>
      </c>
      <c r="B1129">
        <f>Table4[[#This Row],[Column2]]</f>
        <v>0</v>
      </c>
    </row>
    <row r="1130" spans="1:2" ht="30.75" customHeight="1">
      <c r="A1130">
        <f>Table4[[#This Row],[Column1]]</f>
        <v>0</v>
      </c>
      <c r="B1130">
        <f>Table4[[#This Row],[Column2]]</f>
        <v>0</v>
      </c>
    </row>
    <row r="1131" spans="1:2" ht="30.75" customHeight="1">
      <c r="A1131">
        <f>Table4[[#This Row],[Column1]]</f>
        <v>0</v>
      </c>
      <c r="B1131">
        <f>Table4[[#This Row],[Column2]]</f>
        <v>0</v>
      </c>
    </row>
    <row r="1132" spans="1:2" ht="30.75" customHeight="1">
      <c r="A1132">
        <f>Table4[[#This Row],[Column1]]</f>
        <v>0</v>
      </c>
      <c r="B1132">
        <f>Table4[[#This Row],[Column2]]</f>
        <v>0</v>
      </c>
    </row>
    <row r="1133" spans="1:2" ht="30.75" customHeight="1">
      <c r="A1133">
        <f>Table4[[#This Row],[Column1]]</f>
        <v>0</v>
      </c>
      <c r="B1133">
        <f>Table4[[#This Row],[Column2]]</f>
        <v>0</v>
      </c>
    </row>
    <row r="1134" spans="1:2" ht="30.75" customHeight="1">
      <c r="A1134">
        <f>Table4[[#This Row],[Column1]]</f>
        <v>0</v>
      </c>
      <c r="B1134">
        <f>Table4[[#This Row],[Column2]]</f>
        <v>0</v>
      </c>
    </row>
    <row r="1135" spans="1:2" ht="30.75" customHeight="1">
      <c r="A1135">
        <f>Table4[[#This Row],[Column1]]</f>
        <v>0</v>
      </c>
      <c r="B1135">
        <f>Table4[[#This Row],[Column2]]</f>
        <v>0</v>
      </c>
    </row>
    <row r="1136" spans="1:2" ht="30.75" customHeight="1">
      <c r="A1136">
        <f>Table4[[#This Row],[Column1]]</f>
        <v>0</v>
      </c>
      <c r="B1136">
        <f>Table4[[#This Row],[Column2]]</f>
        <v>0</v>
      </c>
    </row>
    <row r="1137" spans="1:2" ht="30.75" customHeight="1">
      <c r="A1137">
        <f>Table4[[#This Row],[Column1]]</f>
        <v>0</v>
      </c>
      <c r="B1137">
        <f>Table4[[#This Row],[Column2]]</f>
        <v>0</v>
      </c>
    </row>
    <row r="1138" spans="1:2" ht="30.75" customHeight="1">
      <c r="A1138">
        <f>Table4[[#This Row],[Column1]]</f>
        <v>0</v>
      </c>
      <c r="B1138">
        <f>Table4[[#This Row],[Column2]]</f>
        <v>0</v>
      </c>
    </row>
    <row r="1139" spans="1:2" ht="30.75" customHeight="1">
      <c r="A1139">
        <f>Table4[[#This Row],[Column1]]</f>
        <v>0</v>
      </c>
      <c r="B1139">
        <f>Table4[[#This Row],[Column2]]</f>
        <v>0</v>
      </c>
    </row>
    <row r="1140" spans="1:2" ht="30.75" customHeight="1">
      <c r="A1140">
        <f>Table4[[#This Row],[Column1]]</f>
        <v>0</v>
      </c>
      <c r="B1140">
        <f>Table4[[#This Row],[Column2]]</f>
        <v>0</v>
      </c>
    </row>
    <row r="1141" spans="1:2" ht="30.75" customHeight="1">
      <c r="A1141">
        <f>Table4[[#This Row],[Column1]]</f>
        <v>0</v>
      </c>
      <c r="B1141">
        <f>Table4[[#This Row],[Column2]]</f>
        <v>0</v>
      </c>
    </row>
    <row r="1142" spans="1:2" ht="30.75" customHeight="1">
      <c r="A1142">
        <f>Table4[[#This Row],[Column1]]</f>
        <v>0</v>
      </c>
      <c r="B1142">
        <f>Table4[[#This Row],[Column2]]</f>
        <v>0</v>
      </c>
    </row>
    <row r="1143" spans="1:2" ht="30.75" customHeight="1">
      <c r="A1143">
        <f>Table4[[#This Row],[Column1]]</f>
        <v>0</v>
      </c>
      <c r="B1143">
        <f>Table4[[#This Row],[Column2]]</f>
        <v>0</v>
      </c>
    </row>
    <row r="1144" spans="1:2" ht="30.75" customHeight="1">
      <c r="A1144">
        <f>Table4[[#This Row],[Column1]]</f>
        <v>0</v>
      </c>
      <c r="B1144">
        <f>Table4[[#This Row],[Column2]]</f>
        <v>0</v>
      </c>
    </row>
    <row r="1145" spans="1:2" ht="30.75" customHeight="1">
      <c r="A1145">
        <f>Table4[[#This Row],[Column1]]</f>
        <v>0</v>
      </c>
      <c r="B1145">
        <f>Table4[[#This Row],[Column2]]</f>
        <v>0</v>
      </c>
    </row>
    <row r="1146" spans="1:2" ht="30.75" customHeight="1">
      <c r="A1146">
        <f>Table4[[#This Row],[Column1]]</f>
        <v>0</v>
      </c>
      <c r="B1146">
        <f>Table4[[#This Row],[Column2]]</f>
        <v>0</v>
      </c>
    </row>
    <row r="1147" spans="1:2" ht="30.75" customHeight="1">
      <c r="A1147">
        <f>Table4[[#This Row],[Column1]]</f>
        <v>0</v>
      </c>
      <c r="B1147">
        <f>Table4[[#This Row],[Column2]]</f>
        <v>0</v>
      </c>
    </row>
    <row r="1148" spans="1:2" ht="30.75" customHeight="1">
      <c r="A1148">
        <f>Table4[[#This Row],[Column1]]</f>
        <v>0</v>
      </c>
      <c r="B1148">
        <f>Table4[[#This Row],[Column2]]</f>
        <v>0</v>
      </c>
    </row>
    <row r="1149" spans="1:2" ht="30.75" customHeight="1">
      <c r="A1149">
        <f>Table4[[#This Row],[Column1]]</f>
        <v>0</v>
      </c>
      <c r="B1149">
        <f>Table4[[#This Row],[Column2]]</f>
        <v>0</v>
      </c>
    </row>
    <row r="1150" spans="1:2" ht="30.75" customHeight="1">
      <c r="A1150">
        <f>Table4[[#This Row],[Column1]]</f>
        <v>0</v>
      </c>
      <c r="B1150">
        <f>Table4[[#This Row],[Column2]]</f>
        <v>0</v>
      </c>
    </row>
    <row r="1151" spans="1:2" ht="30.75" customHeight="1">
      <c r="A1151">
        <f>Table4[[#This Row],[Column1]]</f>
        <v>0</v>
      </c>
      <c r="B1151">
        <f>Table4[[#This Row],[Column2]]</f>
        <v>0</v>
      </c>
    </row>
    <row r="1152" spans="1:2" ht="30.75" customHeight="1">
      <c r="A1152">
        <f>Table4[[#This Row],[Column1]]</f>
        <v>0</v>
      </c>
      <c r="B1152">
        <f>Table4[[#This Row],[Column2]]</f>
        <v>0</v>
      </c>
    </row>
    <row r="1153" spans="1:2" ht="30.75" customHeight="1">
      <c r="A1153">
        <f>Table4[[#This Row],[Column1]]</f>
        <v>0</v>
      </c>
      <c r="B1153">
        <f>Table4[[#This Row],[Column2]]</f>
        <v>0</v>
      </c>
    </row>
    <row r="1154" spans="1:2" ht="30.75" customHeight="1">
      <c r="A1154">
        <f>Table4[[#This Row],[Column1]]</f>
        <v>0</v>
      </c>
      <c r="B1154">
        <f>Table4[[#This Row],[Column2]]</f>
        <v>0</v>
      </c>
    </row>
    <row r="1155" spans="1:2" ht="30.75" customHeight="1">
      <c r="A1155">
        <f>Table4[[#This Row],[Column1]]</f>
        <v>0</v>
      </c>
      <c r="B1155">
        <f>Table4[[#This Row],[Column2]]</f>
        <v>0</v>
      </c>
    </row>
    <row r="1156" spans="1:2" ht="30.75" customHeight="1">
      <c r="A1156">
        <f>Table4[[#This Row],[Column1]]</f>
        <v>0</v>
      </c>
      <c r="B1156">
        <f>Table4[[#This Row],[Column2]]</f>
        <v>0</v>
      </c>
    </row>
    <row r="1157" spans="1:2" ht="30.75" customHeight="1">
      <c r="A1157">
        <f>Table4[[#This Row],[Column1]]</f>
        <v>0</v>
      </c>
      <c r="B1157">
        <f>Table4[[#This Row],[Column2]]</f>
        <v>0</v>
      </c>
    </row>
    <row r="1158" spans="1:2" ht="30.75" customHeight="1">
      <c r="A1158">
        <f>Table4[[#This Row],[Column1]]</f>
        <v>0</v>
      </c>
      <c r="B1158">
        <f>Table4[[#This Row],[Column2]]</f>
        <v>0</v>
      </c>
    </row>
    <row r="1159" spans="1:2" ht="30.75" customHeight="1">
      <c r="A1159">
        <f>Table4[[#This Row],[Column1]]</f>
        <v>0</v>
      </c>
      <c r="B1159">
        <f>Table4[[#This Row],[Column2]]</f>
        <v>0</v>
      </c>
    </row>
    <row r="1160" spans="1:2" ht="30.75" customHeight="1">
      <c r="A1160">
        <f>Table4[[#This Row],[Column1]]</f>
        <v>0</v>
      </c>
      <c r="B1160">
        <f>Table4[[#This Row],[Column2]]</f>
        <v>0</v>
      </c>
    </row>
    <row r="1161" spans="1:2" ht="30.75" customHeight="1">
      <c r="A1161">
        <f>Table4[[#This Row],[Column1]]</f>
        <v>0</v>
      </c>
      <c r="B1161">
        <f>Table4[[#This Row],[Column2]]</f>
        <v>0</v>
      </c>
    </row>
    <row r="1162" spans="1:2" ht="30.75" customHeight="1">
      <c r="A1162">
        <f>Table4[[#This Row],[Column1]]</f>
        <v>0</v>
      </c>
      <c r="B1162">
        <f>Table4[[#This Row],[Column2]]</f>
        <v>0</v>
      </c>
    </row>
    <row r="1163" spans="1:2" ht="30.75" customHeight="1">
      <c r="A1163">
        <f>Table4[[#This Row],[Column1]]</f>
        <v>0</v>
      </c>
      <c r="B1163">
        <f>Table4[[#This Row],[Column2]]</f>
        <v>0</v>
      </c>
    </row>
    <row r="1164" spans="1:2" ht="30.75" customHeight="1">
      <c r="A1164">
        <f>Table4[[#This Row],[Column1]]</f>
        <v>0</v>
      </c>
      <c r="B1164">
        <f>Table4[[#This Row],[Column2]]</f>
        <v>0</v>
      </c>
    </row>
    <row r="1165" spans="1:2" ht="30.75" customHeight="1">
      <c r="A1165">
        <f>Table4[[#This Row],[Column1]]</f>
        <v>0</v>
      </c>
      <c r="B1165">
        <f>Table4[[#This Row],[Column2]]</f>
        <v>0</v>
      </c>
    </row>
    <row r="1166" spans="1:2" ht="30.75" customHeight="1">
      <c r="A1166">
        <f>Table4[[#This Row],[Column1]]</f>
        <v>0</v>
      </c>
      <c r="B1166">
        <f>Table4[[#This Row],[Column2]]</f>
        <v>0</v>
      </c>
    </row>
    <row r="1167" spans="1:2" ht="30.75" customHeight="1">
      <c r="A1167">
        <f>Table4[[#This Row],[Column1]]</f>
        <v>0</v>
      </c>
      <c r="B1167">
        <f>Table4[[#This Row],[Column2]]</f>
        <v>0</v>
      </c>
    </row>
    <row r="1168" spans="1:2" ht="30.75" customHeight="1">
      <c r="A1168">
        <f>Table4[[#This Row],[Column1]]</f>
        <v>0</v>
      </c>
      <c r="B1168">
        <f>Table4[[#This Row],[Column2]]</f>
        <v>0</v>
      </c>
    </row>
    <row r="1169" spans="1:2" ht="30.75" customHeight="1">
      <c r="A1169">
        <f>Table4[[#This Row],[Column1]]</f>
        <v>0</v>
      </c>
      <c r="B1169">
        <f>Table4[[#This Row],[Column2]]</f>
        <v>0</v>
      </c>
    </row>
    <row r="1170" spans="1:2" ht="30.75" customHeight="1">
      <c r="A1170">
        <f>Table4[[#This Row],[Column1]]</f>
        <v>0</v>
      </c>
      <c r="B1170">
        <f>Table4[[#This Row],[Column2]]</f>
        <v>0</v>
      </c>
    </row>
    <row r="1171" spans="1:2" ht="30.75" customHeight="1">
      <c r="A1171">
        <f>Table4[[#This Row],[Column1]]</f>
        <v>0</v>
      </c>
      <c r="B1171">
        <f>Table4[[#This Row],[Column2]]</f>
        <v>0</v>
      </c>
    </row>
    <row r="1172" spans="1:2" ht="30.75" customHeight="1">
      <c r="A1172">
        <f>Table4[[#This Row],[Column1]]</f>
        <v>0</v>
      </c>
      <c r="B1172">
        <f>Table4[[#This Row],[Column2]]</f>
        <v>0</v>
      </c>
    </row>
    <row r="1173" spans="1:2" ht="30.75" customHeight="1">
      <c r="A1173">
        <f>Table4[[#This Row],[Column1]]</f>
        <v>0</v>
      </c>
      <c r="B1173">
        <f>Table4[[#This Row],[Column2]]</f>
        <v>0</v>
      </c>
    </row>
    <row r="1174" spans="1:2" ht="30.75" customHeight="1">
      <c r="A1174">
        <f>Table4[[#This Row],[Column1]]</f>
        <v>0</v>
      </c>
      <c r="B1174">
        <f>Table4[[#This Row],[Column2]]</f>
        <v>0</v>
      </c>
    </row>
    <row r="1175" spans="1:2" ht="30.75" customHeight="1">
      <c r="A1175">
        <f>Table4[[#This Row],[Column1]]</f>
        <v>0</v>
      </c>
      <c r="B1175">
        <f>Table4[[#This Row],[Column2]]</f>
        <v>0</v>
      </c>
    </row>
    <row r="1176" spans="1:2" ht="30.75" customHeight="1">
      <c r="A1176">
        <f>Table4[[#This Row],[Column1]]</f>
        <v>0</v>
      </c>
      <c r="B1176">
        <f>Table4[[#This Row],[Column2]]</f>
        <v>0</v>
      </c>
    </row>
    <row r="1177" spans="1:2" ht="30.75" customHeight="1">
      <c r="A1177">
        <f>Table4[[#This Row],[Column1]]</f>
        <v>0</v>
      </c>
      <c r="B1177">
        <f>Table4[[#This Row],[Column2]]</f>
        <v>0</v>
      </c>
    </row>
    <row r="1178" spans="1:2" ht="30.75" customHeight="1">
      <c r="A1178">
        <f>Table4[[#This Row],[Column1]]</f>
        <v>0</v>
      </c>
      <c r="B1178">
        <f>Table4[[#This Row],[Column2]]</f>
        <v>0</v>
      </c>
    </row>
    <row r="1179" spans="1:2" ht="30.75" customHeight="1">
      <c r="A1179">
        <f>Table4[[#This Row],[Column1]]</f>
        <v>0</v>
      </c>
      <c r="B1179">
        <f>Table4[[#This Row],[Column2]]</f>
        <v>0</v>
      </c>
    </row>
    <row r="1180" spans="1:2" ht="30.75" customHeight="1">
      <c r="A1180">
        <f>Table4[[#This Row],[Column1]]</f>
        <v>0</v>
      </c>
      <c r="B1180">
        <f>Table4[[#This Row],[Column2]]</f>
        <v>0</v>
      </c>
    </row>
    <row r="1181" spans="1:2" ht="30.75" customHeight="1">
      <c r="A1181">
        <f>Table4[[#This Row],[Column1]]</f>
        <v>0</v>
      </c>
      <c r="B1181">
        <f>Table4[[#This Row],[Column2]]</f>
        <v>0</v>
      </c>
    </row>
    <row r="1182" spans="1:2" ht="30.75" customHeight="1">
      <c r="A1182">
        <f>Table4[[#This Row],[Column1]]</f>
        <v>0</v>
      </c>
      <c r="B1182">
        <f>Table4[[#This Row],[Column2]]</f>
        <v>0</v>
      </c>
    </row>
    <row r="1183" spans="1:2" ht="30.75" customHeight="1">
      <c r="A1183">
        <f>Table4[[#This Row],[Column1]]</f>
        <v>0</v>
      </c>
      <c r="B1183">
        <f>Table4[[#This Row],[Column2]]</f>
        <v>0</v>
      </c>
    </row>
    <row r="1184" spans="1:2" ht="30.75" customHeight="1">
      <c r="A1184">
        <f>Table4[[#This Row],[Column1]]</f>
        <v>0</v>
      </c>
      <c r="B1184">
        <f>Table4[[#This Row],[Column2]]</f>
        <v>0</v>
      </c>
    </row>
    <row r="1185" spans="1:2" ht="30.75" customHeight="1">
      <c r="A1185">
        <f>Table4[[#This Row],[Column1]]</f>
        <v>0</v>
      </c>
      <c r="B1185">
        <f>Table4[[#This Row],[Column2]]</f>
        <v>0</v>
      </c>
    </row>
    <row r="1186" spans="1:2" ht="30.75" customHeight="1">
      <c r="A1186">
        <f>Table4[[#This Row],[Column1]]</f>
        <v>0</v>
      </c>
      <c r="B1186">
        <f>Table4[[#This Row],[Column2]]</f>
        <v>0</v>
      </c>
    </row>
    <row r="1187" spans="1:2" ht="30.75" customHeight="1">
      <c r="A1187">
        <f>Table4[[#This Row],[Column1]]</f>
        <v>0</v>
      </c>
      <c r="B1187">
        <f>Table4[[#This Row],[Column2]]</f>
        <v>0</v>
      </c>
    </row>
    <row r="1188" spans="1:2" ht="30.75" customHeight="1">
      <c r="A1188">
        <f>Table4[[#This Row],[Column1]]</f>
        <v>0</v>
      </c>
      <c r="B1188">
        <f>Table4[[#This Row],[Column2]]</f>
        <v>0</v>
      </c>
    </row>
    <row r="1189" spans="1:2" ht="30.75" customHeight="1">
      <c r="A1189">
        <f>Table4[[#This Row],[Column1]]</f>
        <v>0</v>
      </c>
      <c r="B1189">
        <f>Table4[[#This Row],[Column2]]</f>
        <v>0</v>
      </c>
    </row>
    <row r="1190" spans="1:2" ht="30.75" customHeight="1">
      <c r="A1190">
        <f>Table4[[#This Row],[Column1]]</f>
        <v>0</v>
      </c>
      <c r="B1190">
        <f>Table4[[#This Row],[Column2]]</f>
        <v>0</v>
      </c>
    </row>
    <row r="1191" spans="1:2" ht="30.75" customHeight="1">
      <c r="A1191">
        <f>Table4[[#This Row],[Column1]]</f>
        <v>0</v>
      </c>
      <c r="B1191">
        <f>Table4[[#This Row],[Column2]]</f>
        <v>0</v>
      </c>
    </row>
    <row r="1192" spans="1:2" ht="30.75" customHeight="1">
      <c r="A1192">
        <f>Table4[[#This Row],[Column1]]</f>
        <v>0</v>
      </c>
      <c r="B1192">
        <f>Table4[[#This Row],[Column2]]</f>
        <v>0</v>
      </c>
    </row>
    <row r="1193" spans="1:2" ht="30.75" customHeight="1">
      <c r="A1193">
        <f>Table4[[#This Row],[Column1]]</f>
        <v>0</v>
      </c>
      <c r="B1193">
        <f>Table4[[#This Row],[Column2]]</f>
        <v>0</v>
      </c>
    </row>
    <row r="1194" spans="1:2" ht="30.75" customHeight="1">
      <c r="A1194">
        <f>Table4[[#This Row],[Column1]]</f>
        <v>0</v>
      </c>
      <c r="B1194">
        <f>Table4[[#This Row],[Column2]]</f>
        <v>0</v>
      </c>
    </row>
    <row r="1195" spans="1:2" ht="30.75" customHeight="1">
      <c r="A1195">
        <f>Table4[[#This Row],[Column1]]</f>
        <v>0</v>
      </c>
      <c r="B1195">
        <f>Table4[[#This Row],[Column2]]</f>
        <v>0</v>
      </c>
    </row>
    <row r="1196" spans="1:2" ht="30.75" customHeight="1">
      <c r="A1196">
        <f>Table4[[#This Row],[Column1]]</f>
        <v>0</v>
      </c>
      <c r="B1196">
        <f>Table4[[#This Row],[Column2]]</f>
        <v>0</v>
      </c>
    </row>
    <row r="1197" spans="1:2" ht="30.75" customHeight="1">
      <c r="A1197">
        <f>Table4[[#This Row],[Column1]]</f>
        <v>0</v>
      </c>
      <c r="B1197">
        <f>Table4[[#This Row],[Column2]]</f>
        <v>0</v>
      </c>
    </row>
    <row r="1198" spans="1:2" ht="30.75" customHeight="1">
      <c r="A1198">
        <f>Table4[[#This Row],[Column1]]</f>
        <v>0</v>
      </c>
      <c r="B1198">
        <f>Table4[[#This Row],[Column2]]</f>
        <v>0</v>
      </c>
    </row>
    <row r="1199" spans="1:2" ht="30.75" customHeight="1">
      <c r="A1199">
        <f>Table4[[#This Row],[Column1]]</f>
        <v>0</v>
      </c>
      <c r="B1199">
        <f>Table4[[#This Row],[Column2]]</f>
        <v>0</v>
      </c>
    </row>
    <row r="1200" spans="1:2" ht="30.75" customHeight="1">
      <c r="A1200">
        <f>Table4[[#This Row],[Column1]]</f>
        <v>0</v>
      </c>
      <c r="B1200">
        <f>Table4[[#This Row],[Column2]]</f>
        <v>0</v>
      </c>
    </row>
    <row r="1201" spans="1:2" ht="30.75" customHeight="1">
      <c r="A1201">
        <f>Table4[[#This Row],[Column1]]</f>
        <v>0</v>
      </c>
      <c r="B1201">
        <f>Table4[[#This Row],[Column2]]</f>
        <v>0</v>
      </c>
    </row>
    <row r="1202" spans="1:2" ht="30.75" customHeight="1">
      <c r="A1202">
        <f>Table4[[#This Row],[Column1]]</f>
        <v>0</v>
      </c>
      <c r="B1202">
        <f>Table4[[#This Row],[Column2]]</f>
        <v>0</v>
      </c>
    </row>
    <row r="1203" spans="1:2" ht="30.75" customHeight="1">
      <c r="A1203">
        <f>Table4[[#This Row],[Column1]]</f>
        <v>0</v>
      </c>
      <c r="B1203">
        <f>Table4[[#This Row],[Column2]]</f>
        <v>0</v>
      </c>
    </row>
    <row r="1204" spans="1:2" ht="30.75" customHeight="1">
      <c r="A1204">
        <f>Table4[[#This Row],[Column1]]</f>
        <v>0</v>
      </c>
      <c r="B1204">
        <f>Table4[[#This Row],[Column2]]</f>
        <v>0</v>
      </c>
    </row>
    <row r="1205" spans="1:2" ht="30.75" customHeight="1">
      <c r="A1205">
        <f>Table4[[#This Row],[Column1]]</f>
        <v>0</v>
      </c>
      <c r="B1205">
        <f>Table4[[#This Row],[Column2]]</f>
        <v>0</v>
      </c>
    </row>
    <row r="1206" spans="1:2" ht="30.75" customHeight="1">
      <c r="A1206">
        <f>Table4[[#This Row],[Column1]]</f>
        <v>0</v>
      </c>
      <c r="B1206">
        <f>Table4[[#This Row],[Column2]]</f>
        <v>0</v>
      </c>
    </row>
    <row r="1207" spans="1:2" ht="30.75" customHeight="1">
      <c r="A1207">
        <f>Table4[[#This Row],[Column1]]</f>
        <v>0</v>
      </c>
      <c r="B1207">
        <f>Table4[[#This Row],[Column2]]</f>
        <v>0</v>
      </c>
    </row>
    <row r="1208" spans="1:2" ht="30.75" customHeight="1">
      <c r="A1208">
        <f>Table4[[#This Row],[Column1]]</f>
        <v>0</v>
      </c>
      <c r="B1208">
        <f>Table4[[#This Row],[Column2]]</f>
        <v>0</v>
      </c>
    </row>
    <row r="1209" spans="1:2" ht="30.75" customHeight="1">
      <c r="A1209">
        <f>Table4[[#This Row],[Column1]]</f>
        <v>0</v>
      </c>
      <c r="B1209">
        <f>Table4[[#This Row],[Column2]]</f>
        <v>0</v>
      </c>
    </row>
    <row r="1210" spans="1:2" ht="30.75" customHeight="1">
      <c r="A1210">
        <f>Table4[[#This Row],[Column1]]</f>
        <v>0</v>
      </c>
      <c r="B1210">
        <f>Table4[[#This Row],[Column2]]</f>
        <v>0</v>
      </c>
    </row>
    <row r="1211" spans="1:2" ht="30.75" customHeight="1">
      <c r="A1211">
        <f>Table4[[#This Row],[Column1]]</f>
        <v>0</v>
      </c>
      <c r="B1211">
        <f>Table4[[#This Row],[Column2]]</f>
        <v>0</v>
      </c>
    </row>
    <row r="1212" spans="1:2" ht="30.75" customHeight="1">
      <c r="A1212">
        <f>Table4[[#This Row],[Column1]]</f>
        <v>0</v>
      </c>
      <c r="B1212">
        <f>Table4[[#This Row],[Column2]]</f>
        <v>0</v>
      </c>
    </row>
    <row r="1213" spans="1:2" ht="30.75" customHeight="1">
      <c r="A1213">
        <f>Table4[[#This Row],[Column1]]</f>
        <v>0</v>
      </c>
      <c r="B1213">
        <f>Table4[[#This Row],[Column2]]</f>
        <v>0</v>
      </c>
    </row>
    <row r="1214" spans="1:2" ht="30.75" customHeight="1">
      <c r="A1214">
        <f>Table4[[#This Row],[Column1]]</f>
        <v>0</v>
      </c>
      <c r="B1214">
        <f>Table4[[#This Row],[Column2]]</f>
        <v>0</v>
      </c>
    </row>
    <row r="1215" spans="1:2" ht="30.75" customHeight="1">
      <c r="A1215">
        <f>Table4[[#This Row],[Column1]]</f>
        <v>0</v>
      </c>
      <c r="B1215">
        <f>Table4[[#This Row],[Column2]]</f>
        <v>0</v>
      </c>
    </row>
    <row r="1216" spans="1:2" ht="30.75" customHeight="1">
      <c r="A1216">
        <f>Table4[[#This Row],[Column1]]</f>
        <v>0</v>
      </c>
      <c r="B1216">
        <f>Table4[[#This Row],[Column2]]</f>
        <v>0</v>
      </c>
    </row>
    <row r="1217" spans="1:2" ht="30.75" customHeight="1">
      <c r="A1217">
        <f>Table4[[#This Row],[Column1]]</f>
        <v>0</v>
      </c>
      <c r="B1217">
        <f>Table4[[#This Row],[Column2]]</f>
        <v>0</v>
      </c>
    </row>
    <row r="1218" spans="1:2" ht="30.75" customHeight="1">
      <c r="A1218">
        <f>Table4[[#This Row],[Column1]]</f>
        <v>0</v>
      </c>
      <c r="B1218">
        <f>Table4[[#This Row],[Column2]]</f>
        <v>0</v>
      </c>
    </row>
    <row r="1219" spans="1:2" ht="30.75" customHeight="1">
      <c r="A1219">
        <f>Table4[[#This Row],[Column1]]</f>
        <v>0</v>
      </c>
      <c r="B1219">
        <f>Table4[[#This Row],[Column2]]</f>
        <v>0</v>
      </c>
    </row>
    <row r="1220" spans="1:2" ht="30.75" customHeight="1">
      <c r="A1220">
        <f>Table4[[#This Row],[Column1]]</f>
        <v>0</v>
      </c>
      <c r="B1220">
        <f>Table4[[#This Row],[Column2]]</f>
        <v>0</v>
      </c>
    </row>
    <row r="1221" spans="1:2" ht="30.75" customHeight="1">
      <c r="A1221">
        <f>Table4[[#This Row],[Column1]]</f>
        <v>0</v>
      </c>
      <c r="B1221">
        <f>Table4[[#This Row],[Column2]]</f>
        <v>0</v>
      </c>
    </row>
    <row r="1222" spans="1:2" ht="30.75" customHeight="1">
      <c r="A1222">
        <f>Table4[[#This Row],[Column1]]</f>
        <v>0</v>
      </c>
      <c r="B1222">
        <f>Table4[[#This Row],[Column2]]</f>
        <v>0</v>
      </c>
    </row>
    <row r="1223" spans="1:2" ht="30.75" customHeight="1">
      <c r="A1223">
        <f>Table4[[#This Row],[Column1]]</f>
        <v>0</v>
      </c>
      <c r="B1223">
        <f>Table4[[#This Row],[Column2]]</f>
        <v>0</v>
      </c>
    </row>
    <row r="1224" spans="1:2" ht="30.75" customHeight="1">
      <c r="A1224">
        <f>Table4[[#This Row],[Column1]]</f>
        <v>0</v>
      </c>
      <c r="B1224">
        <f>Table4[[#This Row],[Column2]]</f>
        <v>0</v>
      </c>
    </row>
    <row r="1225" spans="1:2" ht="30.75" customHeight="1">
      <c r="A1225">
        <f>Table4[[#This Row],[Column1]]</f>
        <v>0</v>
      </c>
      <c r="B1225">
        <f>Table4[[#This Row],[Column2]]</f>
        <v>0</v>
      </c>
    </row>
    <row r="1226" spans="1:2" ht="30.75" customHeight="1">
      <c r="A1226">
        <f>Table4[[#This Row],[Column1]]</f>
        <v>0</v>
      </c>
      <c r="B1226">
        <f>Table4[[#This Row],[Column2]]</f>
        <v>0</v>
      </c>
    </row>
    <row r="1227" spans="1:2" ht="30.75" customHeight="1">
      <c r="A1227">
        <f>Table4[[#This Row],[Column1]]</f>
        <v>0</v>
      </c>
      <c r="B1227">
        <f>Table4[[#This Row],[Column2]]</f>
        <v>0</v>
      </c>
    </row>
    <row r="1228" spans="1:2" ht="30.75" customHeight="1">
      <c r="A1228">
        <f>Table4[[#This Row],[Column1]]</f>
        <v>0</v>
      </c>
      <c r="B1228">
        <f>Table4[[#This Row],[Column2]]</f>
        <v>0</v>
      </c>
    </row>
    <row r="1229" spans="1:2" ht="30.75" customHeight="1">
      <c r="A1229">
        <f>Table4[[#This Row],[Column1]]</f>
        <v>0</v>
      </c>
      <c r="B1229">
        <f>Table4[[#This Row],[Column2]]</f>
        <v>0</v>
      </c>
    </row>
    <row r="1230" spans="1:2" ht="30.75" customHeight="1">
      <c r="A1230">
        <f>Table4[[#This Row],[Column1]]</f>
        <v>0</v>
      </c>
      <c r="B1230">
        <f>Table4[[#This Row],[Column2]]</f>
        <v>0</v>
      </c>
    </row>
    <row r="1231" spans="1:2" ht="30.75" customHeight="1">
      <c r="A1231">
        <f>Table4[[#This Row],[Column1]]</f>
        <v>0</v>
      </c>
      <c r="B1231">
        <f>Table4[[#This Row],[Column2]]</f>
        <v>0</v>
      </c>
    </row>
    <row r="1232" spans="1:2" ht="30.75" customHeight="1">
      <c r="A1232">
        <f>Table4[[#This Row],[Column1]]</f>
        <v>0</v>
      </c>
      <c r="B1232">
        <f>Table4[[#This Row],[Column2]]</f>
        <v>0</v>
      </c>
    </row>
    <row r="1233" spans="1:2" ht="30.75" customHeight="1">
      <c r="A1233">
        <f>Table4[[#This Row],[Column1]]</f>
        <v>0</v>
      </c>
      <c r="B1233">
        <f>Table4[[#This Row],[Column2]]</f>
        <v>0</v>
      </c>
    </row>
    <row r="1234" spans="1:2" ht="30.75" customHeight="1">
      <c r="A1234">
        <f>Table4[[#This Row],[Column1]]</f>
        <v>0</v>
      </c>
      <c r="B1234">
        <f>Table4[[#This Row],[Column2]]</f>
        <v>0</v>
      </c>
    </row>
    <row r="1235" spans="1:2" ht="30.75" customHeight="1">
      <c r="A1235">
        <f>Table4[[#This Row],[Column1]]</f>
        <v>0</v>
      </c>
      <c r="B1235">
        <f>Table4[[#This Row],[Column2]]</f>
        <v>0</v>
      </c>
    </row>
    <row r="1236" spans="1:2" ht="30.75" customHeight="1">
      <c r="A1236">
        <f>Table4[[#This Row],[Column1]]</f>
        <v>0</v>
      </c>
      <c r="B1236">
        <f>Table4[[#This Row],[Column2]]</f>
        <v>0</v>
      </c>
    </row>
    <row r="1237" spans="1:2" ht="30.75" customHeight="1">
      <c r="A1237">
        <f>Table4[[#This Row],[Column1]]</f>
        <v>0</v>
      </c>
      <c r="B1237">
        <f>Table4[[#This Row],[Column2]]</f>
        <v>0</v>
      </c>
    </row>
    <row r="1238" spans="1:2" ht="30.75" customHeight="1">
      <c r="A1238">
        <f>Table4[[#This Row],[Column1]]</f>
        <v>0</v>
      </c>
      <c r="B1238">
        <f>Table4[[#This Row],[Column2]]</f>
        <v>0</v>
      </c>
    </row>
    <row r="1239" spans="1:2" ht="30.75" customHeight="1">
      <c r="A1239">
        <f>Table4[[#This Row],[Column1]]</f>
        <v>0</v>
      </c>
      <c r="B1239">
        <f>Table4[[#This Row],[Column2]]</f>
        <v>0</v>
      </c>
    </row>
    <row r="1240" spans="1:2" ht="30.75" customHeight="1">
      <c r="A1240">
        <f>Table4[[#This Row],[Column1]]</f>
        <v>0</v>
      </c>
      <c r="B1240">
        <f>Table4[[#This Row],[Column2]]</f>
        <v>0</v>
      </c>
    </row>
    <row r="1241" spans="1:2" ht="30.75" customHeight="1">
      <c r="A1241">
        <f>Table4[[#This Row],[Column1]]</f>
        <v>0</v>
      </c>
      <c r="B1241">
        <f>Table4[[#This Row],[Column2]]</f>
        <v>0</v>
      </c>
    </row>
    <row r="1242" spans="1:2" ht="30.75" customHeight="1">
      <c r="A1242">
        <f>Table4[[#This Row],[Column1]]</f>
        <v>0</v>
      </c>
      <c r="B1242">
        <f>Table4[[#This Row],[Column2]]</f>
        <v>0</v>
      </c>
    </row>
    <row r="1243" spans="1:2" ht="30.75" customHeight="1">
      <c r="A1243">
        <f>Table4[[#This Row],[Column1]]</f>
        <v>0</v>
      </c>
      <c r="B1243">
        <f>Table4[[#This Row],[Column2]]</f>
        <v>0</v>
      </c>
    </row>
    <row r="1244" spans="1:2" ht="30.75" customHeight="1">
      <c r="A1244">
        <f>Table4[[#This Row],[Column1]]</f>
        <v>0</v>
      </c>
      <c r="B1244">
        <f>Table4[[#This Row],[Column2]]</f>
        <v>0</v>
      </c>
    </row>
    <row r="1245" spans="1:2" ht="30.75" customHeight="1">
      <c r="A1245">
        <f>Table4[[#This Row],[Column1]]</f>
        <v>0</v>
      </c>
      <c r="B1245">
        <f>Table4[[#This Row],[Column2]]</f>
        <v>0</v>
      </c>
    </row>
    <row r="1246" spans="1:2" ht="30.75" customHeight="1">
      <c r="A1246">
        <f>Table4[[#This Row],[Column1]]</f>
        <v>0</v>
      </c>
      <c r="B1246">
        <f>Table4[[#This Row],[Column2]]</f>
        <v>0</v>
      </c>
    </row>
    <row r="1247" spans="1:2" ht="30.75" customHeight="1">
      <c r="A1247">
        <f>Table4[[#This Row],[Column1]]</f>
        <v>0</v>
      </c>
      <c r="B1247">
        <f>Table4[[#This Row],[Column2]]</f>
        <v>0</v>
      </c>
    </row>
    <row r="1248" spans="1:2" ht="30.75" customHeight="1">
      <c r="A1248">
        <f>Table4[[#This Row],[Column1]]</f>
        <v>0</v>
      </c>
      <c r="B1248">
        <f>Table4[[#This Row],[Column2]]</f>
        <v>0</v>
      </c>
    </row>
    <row r="1249" spans="1:2" ht="30.75" customHeight="1">
      <c r="A1249">
        <f>Table4[[#This Row],[Column1]]</f>
        <v>0</v>
      </c>
      <c r="B1249">
        <f>Table4[[#This Row],[Column2]]</f>
        <v>0</v>
      </c>
    </row>
    <row r="1250" spans="1:2" ht="30.75" customHeight="1">
      <c r="A1250">
        <f>Table4[[#This Row],[Column1]]</f>
        <v>0</v>
      </c>
      <c r="B1250">
        <f>Table4[[#This Row],[Column2]]</f>
        <v>0</v>
      </c>
    </row>
    <row r="1251" spans="1:2" ht="30.75" customHeight="1">
      <c r="A1251">
        <f>Table4[[#This Row],[Column1]]</f>
        <v>0</v>
      </c>
      <c r="B1251">
        <f>Table4[[#This Row],[Column2]]</f>
        <v>0</v>
      </c>
    </row>
    <row r="1252" spans="1:2" ht="30.75" customHeight="1">
      <c r="A1252">
        <f>Table4[[#This Row],[Column1]]</f>
        <v>0</v>
      </c>
      <c r="B1252">
        <f>Table4[[#This Row],[Column2]]</f>
        <v>0</v>
      </c>
    </row>
    <row r="1253" spans="1:2" ht="30.75" customHeight="1">
      <c r="A1253">
        <f>Table4[[#This Row],[Column1]]</f>
        <v>0</v>
      </c>
      <c r="B1253">
        <f>Table4[[#This Row],[Column2]]</f>
        <v>0</v>
      </c>
    </row>
    <row r="1254" spans="1:2" ht="30.75" customHeight="1">
      <c r="A1254">
        <f>Table4[[#This Row],[Column1]]</f>
        <v>0</v>
      </c>
      <c r="B1254">
        <f>Table4[[#This Row],[Column2]]</f>
        <v>0</v>
      </c>
    </row>
    <row r="1255" spans="1:2" ht="30.75" customHeight="1">
      <c r="A1255">
        <f>Table4[[#This Row],[Column1]]</f>
        <v>0</v>
      </c>
      <c r="B1255">
        <f>Table4[[#This Row],[Column2]]</f>
        <v>0</v>
      </c>
    </row>
    <row r="1256" spans="1:2" ht="30.75" customHeight="1">
      <c r="A1256">
        <f>Table4[[#This Row],[Column1]]</f>
        <v>0</v>
      </c>
      <c r="B1256">
        <f>Table4[[#This Row],[Column2]]</f>
        <v>0</v>
      </c>
    </row>
    <row r="1257" spans="1:2" ht="30.75" customHeight="1">
      <c r="A1257">
        <f>Table4[[#This Row],[Column1]]</f>
        <v>0</v>
      </c>
      <c r="B1257">
        <f>Table4[[#This Row],[Column2]]</f>
        <v>0</v>
      </c>
    </row>
    <row r="1258" spans="1:2" ht="30.75" customHeight="1">
      <c r="A1258">
        <f>Table4[[#This Row],[Column1]]</f>
        <v>0</v>
      </c>
      <c r="B1258">
        <f>Table4[[#This Row],[Column2]]</f>
        <v>0</v>
      </c>
    </row>
    <row r="1259" spans="1:2" ht="30.75" customHeight="1">
      <c r="A1259">
        <f>Table4[[#This Row],[Column1]]</f>
        <v>0</v>
      </c>
      <c r="B1259">
        <f>Table4[[#This Row],[Column2]]</f>
        <v>0</v>
      </c>
    </row>
    <row r="1260" spans="1:2" ht="30.75" customHeight="1">
      <c r="A1260">
        <f>Table4[[#This Row],[Column1]]</f>
        <v>0</v>
      </c>
      <c r="B1260">
        <f>Table4[[#This Row],[Column2]]</f>
        <v>0</v>
      </c>
    </row>
    <row r="1261" spans="1:2" ht="30.75" customHeight="1">
      <c r="A1261">
        <f>Table4[[#This Row],[Column1]]</f>
        <v>0</v>
      </c>
      <c r="B1261">
        <f>Table4[[#This Row],[Column2]]</f>
        <v>0</v>
      </c>
    </row>
    <row r="1262" spans="1:2" ht="30.75" customHeight="1">
      <c r="A1262">
        <f>Table4[[#This Row],[Column1]]</f>
        <v>0</v>
      </c>
      <c r="B1262">
        <f>Table4[[#This Row],[Column2]]</f>
        <v>0</v>
      </c>
    </row>
    <row r="1263" spans="1:2" ht="30.75" customHeight="1">
      <c r="A1263">
        <f>Table4[[#This Row],[Column1]]</f>
        <v>0</v>
      </c>
      <c r="B1263">
        <f>Table4[[#This Row],[Column2]]</f>
        <v>0</v>
      </c>
    </row>
    <row r="1264" spans="1:2" ht="30.75" customHeight="1">
      <c r="A1264">
        <f>Table4[[#This Row],[Column1]]</f>
        <v>0</v>
      </c>
      <c r="B1264">
        <f>Table4[[#This Row],[Column2]]</f>
        <v>0</v>
      </c>
    </row>
    <row r="1265" spans="1:2" ht="30.75" customHeight="1">
      <c r="A1265">
        <f>Table4[[#This Row],[Column1]]</f>
        <v>0</v>
      </c>
      <c r="B1265">
        <f>Table4[[#This Row],[Column2]]</f>
        <v>0</v>
      </c>
    </row>
    <row r="1266" spans="1:2" ht="30.75" customHeight="1">
      <c r="A1266">
        <f>Table4[[#This Row],[Column1]]</f>
        <v>0</v>
      </c>
      <c r="B1266">
        <f>Table4[[#This Row],[Column2]]</f>
        <v>0</v>
      </c>
    </row>
    <row r="1267" spans="1:2" ht="30.75" customHeight="1">
      <c r="A1267">
        <f>Table4[[#This Row],[Column1]]</f>
        <v>0</v>
      </c>
      <c r="B1267">
        <f>Table4[[#This Row],[Column2]]</f>
        <v>0</v>
      </c>
    </row>
    <row r="1268" spans="1:2" ht="30.75" customHeight="1">
      <c r="A1268">
        <f>Table4[[#This Row],[Column1]]</f>
        <v>0</v>
      </c>
      <c r="B1268">
        <f>Table4[[#This Row],[Column2]]</f>
        <v>0</v>
      </c>
    </row>
    <row r="1269" spans="1:2" ht="30.75" customHeight="1">
      <c r="A1269">
        <f>Table4[[#This Row],[Column1]]</f>
        <v>0</v>
      </c>
      <c r="B1269">
        <f>Table4[[#This Row],[Column2]]</f>
        <v>0</v>
      </c>
    </row>
    <row r="1270" spans="1:2" ht="30.75" customHeight="1">
      <c r="A1270">
        <f>Table4[[#This Row],[Column1]]</f>
        <v>0</v>
      </c>
      <c r="B1270">
        <f>Table4[[#This Row],[Column2]]</f>
        <v>0</v>
      </c>
    </row>
    <row r="1271" spans="1:2" ht="30.75" customHeight="1">
      <c r="A1271">
        <f>Table4[[#This Row],[Column1]]</f>
        <v>0</v>
      </c>
      <c r="B1271">
        <f>Table4[[#This Row],[Column2]]</f>
        <v>0</v>
      </c>
    </row>
    <row r="1272" spans="1:2" ht="30.75" customHeight="1">
      <c r="A1272">
        <f>Table4[[#This Row],[Column1]]</f>
        <v>0</v>
      </c>
      <c r="B1272">
        <f>Table4[[#This Row],[Column2]]</f>
        <v>0</v>
      </c>
    </row>
    <row r="1273" spans="1:2" ht="30.75" customHeight="1">
      <c r="A1273">
        <f>Table4[[#This Row],[Column1]]</f>
        <v>0</v>
      </c>
      <c r="B1273">
        <f>Table4[[#This Row],[Column2]]</f>
        <v>0</v>
      </c>
    </row>
    <row r="1274" spans="1:2" ht="30.75" customHeight="1">
      <c r="A1274">
        <f>Table4[[#This Row],[Column1]]</f>
        <v>0</v>
      </c>
      <c r="B1274">
        <f>Table4[[#This Row],[Column2]]</f>
        <v>0</v>
      </c>
    </row>
    <row r="1275" spans="1:2" ht="30.75" customHeight="1">
      <c r="A1275">
        <f>Table4[[#This Row],[Column1]]</f>
        <v>0</v>
      </c>
      <c r="B1275">
        <f>Table4[[#This Row],[Column2]]</f>
        <v>0</v>
      </c>
    </row>
    <row r="1276" spans="1:2" ht="30.75" customHeight="1">
      <c r="A1276">
        <f>Table4[[#This Row],[Column1]]</f>
        <v>0</v>
      </c>
      <c r="B1276">
        <f>Table4[[#This Row],[Column2]]</f>
        <v>0</v>
      </c>
    </row>
    <row r="1277" spans="1:2" ht="30.75" customHeight="1">
      <c r="A1277">
        <f>Table4[[#This Row],[Column1]]</f>
        <v>0</v>
      </c>
      <c r="B1277">
        <f>Table4[[#This Row],[Column2]]</f>
        <v>0</v>
      </c>
    </row>
    <row r="1278" spans="1:2" ht="30.75" customHeight="1">
      <c r="A1278">
        <f>Table4[[#This Row],[Column1]]</f>
        <v>0</v>
      </c>
      <c r="B1278">
        <f>Table4[[#This Row],[Column2]]</f>
        <v>0</v>
      </c>
    </row>
    <row r="1279" spans="1:2" ht="30.75" customHeight="1">
      <c r="A1279">
        <f>Table4[[#This Row],[Column1]]</f>
        <v>0</v>
      </c>
      <c r="B1279">
        <f>Table4[[#This Row],[Column2]]</f>
        <v>0</v>
      </c>
    </row>
    <row r="1280" spans="1:2" ht="30.75" customHeight="1">
      <c r="A1280">
        <f>Table4[[#This Row],[Column1]]</f>
        <v>0</v>
      </c>
      <c r="B1280">
        <f>Table4[[#This Row],[Column2]]</f>
        <v>0</v>
      </c>
    </row>
    <row r="1281" spans="1:2" ht="30.75" customHeight="1">
      <c r="A1281">
        <f>Table4[[#This Row],[Column1]]</f>
        <v>0</v>
      </c>
      <c r="B1281">
        <f>Table4[[#This Row],[Column2]]</f>
        <v>0</v>
      </c>
    </row>
    <row r="1282" spans="1:2" ht="30.75" customHeight="1">
      <c r="A1282">
        <f>Table4[[#This Row],[Column1]]</f>
        <v>0</v>
      </c>
      <c r="B1282">
        <f>Table4[[#This Row],[Column2]]</f>
        <v>0</v>
      </c>
    </row>
    <row r="1283" spans="1:2" ht="30.75" customHeight="1">
      <c r="A1283">
        <f>Table4[[#This Row],[Column1]]</f>
        <v>0</v>
      </c>
      <c r="B1283">
        <f>Table4[[#This Row],[Column2]]</f>
        <v>0</v>
      </c>
    </row>
    <row r="1284" spans="1:2" ht="30.75" customHeight="1">
      <c r="A1284">
        <f>Table4[[#This Row],[Column1]]</f>
        <v>0</v>
      </c>
      <c r="B1284">
        <f>Table4[[#This Row],[Column2]]</f>
        <v>0</v>
      </c>
    </row>
    <row r="1285" spans="1:2" ht="30.75" customHeight="1">
      <c r="A1285">
        <f>Table4[[#This Row],[Column1]]</f>
        <v>0</v>
      </c>
      <c r="B1285">
        <f>Table4[[#This Row],[Column2]]</f>
        <v>0</v>
      </c>
    </row>
    <row r="1286" spans="1:2" ht="30.75" customHeight="1">
      <c r="A1286">
        <f>Table4[[#This Row],[Column1]]</f>
        <v>0</v>
      </c>
      <c r="B1286">
        <f>Table4[[#This Row],[Column2]]</f>
        <v>0</v>
      </c>
    </row>
    <row r="1287" spans="1:2" ht="30.75" customHeight="1">
      <c r="A1287">
        <f>Table4[[#This Row],[Column1]]</f>
        <v>0</v>
      </c>
      <c r="B1287">
        <f>Table4[[#This Row],[Column2]]</f>
        <v>0</v>
      </c>
    </row>
    <row r="1288" spans="1:2" ht="30.75" customHeight="1">
      <c r="A1288">
        <f>Table4[[#This Row],[Column1]]</f>
        <v>0</v>
      </c>
      <c r="B1288">
        <f>Table4[[#This Row],[Column2]]</f>
        <v>0</v>
      </c>
    </row>
    <row r="1289" spans="1:2" ht="30.75" customHeight="1">
      <c r="A1289">
        <f>Table4[[#This Row],[Column1]]</f>
        <v>0</v>
      </c>
      <c r="B1289">
        <f>Table4[[#This Row],[Column2]]</f>
        <v>0</v>
      </c>
    </row>
    <row r="1290" spans="1:2" ht="30.75" customHeight="1">
      <c r="A1290">
        <f>Table4[[#This Row],[Column1]]</f>
        <v>0</v>
      </c>
      <c r="B1290">
        <f>Table4[[#This Row],[Column2]]</f>
        <v>0</v>
      </c>
    </row>
    <row r="1291" spans="1:2" ht="30.75" customHeight="1">
      <c r="A1291">
        <f>Table4[[#This Row],[Column1]]</f>
        <v>0</v>
      </c>
      <c r="B1291">
        <f>Table4[[#This Row],[Column2]]</f>
        <v>0</v>
      </c>
    </row>
    <row r="1292" spans="1:2" ht="30.75" customHeight="1">
      <c r="A1292">
        <f>Table4[[#This Row],[Column1]]</f>
        <v>0</v>
      </c>
      <c r="B1292">
        <f>Table4[[#This Row],[Column2]]</f>
        <v>0</v>
      </c>
    </row>
    <row r="1293" spans="1:2" ht="30.75" customHeight="1">
      <c r="A1293">
        <f>Table4[[#This Row],[Column1]]</f>
        <v>0</v>
      </c>
      <c r="B1293">
        <f>Table4[[#This Row],[Column2]]</f>
        <v>0</v>
      </c>
    </row>
    <row r="1294" spans="1:2" ht="30.75" customHeight="1">
      <c r="A1294">
        <f>Table4[[#This Row],[Column1]]</f>
        <v>0</v>
      </c>
      <c r="B1294">
        <f>Table4[[#This Row],[Column2]]</f>
        <v>0</v>
      </c>
    </row>
    <row r="1295" spans="1:2" ht="30.75" customHeight="1">
      <c r="A1295">
        <f>Table4[[#This Row],[Column1]]</f>
        <v>0</v>
      </c>
      <c r="B1295">
        <f>Table4[[#This Row],[Column2]]</f>
        <v>0</v>
      </c>
    </row>
    <row r="1296" spans="1:2" ht="30.75" customHeight="1">
      <c r="A1296">
        <f>Table4[[#This Row],[Column1]]</f>
        <v>0</v>
      </c>
      <c r="B1296">
        <f>Table4[[#This Row],[Column2]]</f>
        <v>0</v>
      </c>
    </row>
    <row r="1297" spans="1:2" ht="30.75" customHeight="1">
      <c r="A1297">
        <f>Table4[[#This Row],[Column1]]</f>
        <v>0</v>
      </c>
      <c r="B1297">
        <f>Table4[[#This Row],[Column2]]</f>
        <v>0</v>
      </c>
    </row>
    <row r="1298" spans="1:2" ht="30.75" customHeight="1">
      <c r="A1298">
        <f>Table4[[#This Row],[Column1]]</f>
        <v>0</v>
      </c>
      <c r="B1298">
        <f>Table4[[#This Row],[Column2]]</f>
        <v>0</v>
      </c>
    </row>
    <row r="1299" spans="1:2" ht="30.75" customHeight="1">
      <c r="A1299">
        <f>Table4[[#This Row],[Column1]]</f>
        <v>0</v>
      </c>
      <c r="B1299">
        <f>Table4[[#This Row],[Column2]]</f>
        <v>0</v>
      </c>
    </row>
    <row r="1300" spans="1:2" ht="30.75" customHeight="1">
      <c r="A1300">
        <f>Table4[[#This Row],[Column1]]</f>
        <v>0</v>
      </c>
      <c r="B1300">
        <f>Table4[[#This Row],[Column2]]</f>
        <v>0</v>
      </c>
    </row>
    <row r="1301" spans="1:2" ht="30.75" customHeight="1">
      <c r="A1301">
        <f>Table4[[#This Row],[Column1]]</f>
        <v>0</v>
      </c>
      <c r="B1301">
        <f>Table4[[#This Row],[Column2]]</f>
        <v>0</v>
      </c>
    </row>
    <row r="1302" spans="1:2" ht="30.75" customHeight="1">
      <c r="A1302">
        <f>Table4[[#This Row],[Column1]]</f>
        <v>0</v>
      </c>
      <c r="B1302">
        <f>Table4[[#This Row],[Column2]]</f>
        <v>0</v>
      </c>
    </row>
    <row r="1303" spans="1:2" ht="30.75" customHeight="1">
      <c r="A1303">
        <f>Table4[[#This Row],[Column1]]</f>
        <v>0</v>
      </c>
      <c r="B1303">
        <f>Table4[[#This Row],[Column2]]</f>
        <v>0</v>
      </c>
    </row>
    <row r="1304" spans="1:2" ht="30.75" customHeight="1">
      <c r="A1304">
        <f>Table4[[#This Row],[Column1]]</f>
        <v>0</v>
      </c>
      <c r="B1304">
        <f>Table4[[#This Row],[Column2]]</f>
        <v>0</v>
      </c>
    </row>
    <row r="1305" spans="1:2" ht="30.75" customHeight="1">
      <c r="A1305">
        <f>Table4[[#This Row],[Column1]]</f>
        <v>0</v>
      </c>
      <c r="B1305">
        <f>Table4[[#This Row],[Column2]]</f>
        <v>0</v>
      </c>
    </row>
    <row r="1306" spans="1:2" ht="30.75" customHeight="1">
      <c r="A1306">
        <f>Table4[[#This Row],[Column1]]</f>
        <v>0</v>
      </c>
      <c r="B1306">
        <f>Table4[[#This Row],[Column2]]</f>
        <v>0</v>
      </c>
    </row>
    <row r="1307" spans="1:2" ht="30.75" customHeight="1">
      <c r="A1307">
        <f>Table4[[#This Row],[Column1]]</f>
        <v>0</v>
      </c>
      <c r="B1307">
        <f>Table4[[#This Row],[Column2]]</f>
        <v>0</v>
      </c>
    </row>
    <row r="1308" spans="1:2" ht="30.75" customHeight="1">
      <c r="A1308">
        <f>Table4[[#This Row],[Column1]]</f>
        <v>0</v>
      </c>
      <c r="B1308">
        <f>Table4[[#This Row],[Column2]]</f>
        <v>0</v>
      </c>
    </row>
    <row r="1309" spans="1:2" ht="30.75" customHeight="1">
      <c r="A1309">
        <f>Table4[[#This Row],[Column1]]</f>
        <v>0</v>
      </c>
      <c r="B1309">
        <f>Table4[[#This Row],[Column2]]</f>
        <v>0</v>
      </c>
    </row>
    <row r="1310" spans="1:2" ht="30.75" customHeight="1">
      <c r="A1310">
        <f>Table4[[#This Row],[Column1]]</f>
        <v>0</v>
      </c>
      <c r="B1310">
        <f>Table4[[#This Row],[Column2]]</f>
        <v>0</v>
      </c>
    </row>
    <row r="1311" spans="1:2" ht="30.75" customHeight="1">
      <c r="A1311">
        <f>Table4[[#This Row],[Column1]]</f>
        <v>0</v>
      </c>
      <c r="B1311">
        <f>Table4[[#This Row],[Column2]]</f>
        <v>0</v>
      </c>
    </row>
    <row r="1312" spans="1:2" ht="30.75" customHeight="1">
      <c r="A1312">
        <f>Table4[[#This Row],[Column1]]</f>
        <v>0</v>
      </c>
      <c r="B1312">
        <f>Table4[[#This Row],[Column2]]</f>
        <v>0</v>
      </c>
    </row>
    <row r="1313" spans="1:2" ht="30.75" customHeight="1">
      <c r="A1313">
        <f>Table4[[#This Row],[Column1]]</f>
        <v>0</v>
      </c>
      <c r="B1313">
        <f>Table4[[#This Row],[Column2]]</f>
        <v>0</v>
      </c>
    </row>
    <row r="1314" spans="1:2" ht="30.75" customHeight="1">
      <c r="A1314">
        <f>Table4[[#This Row],[Column1]]</f>
        <v>0</v>
      </c>
      <c r="B1314">
        <f>Table4[[#This Row],[Column2]]</f>
        <v>0</v>
      </c>
    </row>
    <row r="1315" spans="1:2" ht="30.75" customHeight="1">
      <c r="A1315">
        <f>Table4[[#This Row],[Column1]]</f>
        <v>0</v>
      </c>
      <c r="B1315">
        <f>Table4[[#This Row],[Column2]]</f>
        <v>0</v>
      </c>
    </row>
    <row r="1316" spans="1:2" ht="30.75" customHeight="1">
      <c r="A1316">
        <f>Table4[[#This Row],[Column1]]</f>
        <v>0</v>
      </c>
      <c r="B1316">
        <f>Table4[[#This Row],[Column2]]</f>
        <v>0</v>
      </c>
    </row>
    <row r="1317" spans="1:2" ht="30.75" customHeight="1">
      <c r="A1317">
        <f>Table4[[#This Row],[Column1]]</f>
        <v>0</v>
      </c>
      <c r="B1317">
        <f>Table4[[#This Row],[Column2]]</f>
        <v>0</v>
      </c>
    </row>
    <row r="1318" spans="1:2" ht="30.75" customHeight="1">
      <c r="A1318">
        <f>Table4[[#This Row],[Column1]]</f>
        <v>0</v>
      </c>
      <c r="B1318">
        <f>Table4[[#This Row],[Column2]]</f>
        <v>0</v>
      </c>
    </row>
    <row r="1319" spans="1:2" ht="30.75" customHeight="1">
      <c r="A1319">
        <f>Table4[[#This Row],[Column1]]</f>
        <v>0</v>
      </c>
      <c r="B1319">
        <f>Table4[[#This Row],[Column2]]</f>
        <v>0</v>
      </c>
    </row>
    <row r="1320" spans="1:2" ht="30.75" customHeight="1">
      <c r="A1320">
        <f>Table4[[#This Row],[Column1]]</f>
        <v>0</v>
      </c>
      <c r="B1320">
        <f>Table4[[#This Row],[Column2]]</f>
        <v>0</v>
      </c>
    </row>
    <row r="1321" spans="1:2" ht="30.75" customHeight="1">
      <c r="A1321">
        <f>Table4[[#This Row],[Column1]]</f>
        <v>0</v>
      </c>
      <c r="B1321">
        <f>Table4[[#This Row],[Column2]]</f>
        <v>0</v>
      </c>
    </row>
    <row r="1322" spans="1:2" ht="30.75" customHeight="1">
      <c r="A1322">
        <f>Table4[[#This Row],[Column1]]</f>
        <v>0</v>
      </c>
      <c r="B1322">
        <f>Table4[[#This Row],[Column2]]</f>
        <v>0</v>
      </c>
    </row>
    <row r="1323" spans="1:2" ht="30.75" customHeight="1">
      <c r="A1323">
        <f>Table4[[#This Row],[Column1]]</f>
        <v>0</v>
      </c>
      <c r="B1323">
        <f>Table4[[#This Row],[Column2]]</f>
        <v>0</v>
      </c>
    </row>
    <row r="1324" spans="1:2" ht="30.75" customHeight="1">
      <c r="A1324">
        <f>Table4[[#This Row],[Column1]]</f>
        <v>0</v>
      </c>
      <c r="B1324">
        <f>Table4[[#This Row],[Column2]]</f>
        <v>0</v>
      </c>
    </row>
    <row r="1325" spans="1:2" ht="30.75" customHeight="1">
      <c r="A1325">
        <f>Table4[[#This Row],[Column1]]</f>
        <v>0</v>
      </c>
      <c r="B1325">
        <f>Table4[[#This Row],[Column2]]</f>
        <v>0</v>
      </c>
    </row>
    <row r="1326" spans="1:2" ht="30.75" customHeight="1">
      <c r="A1326">
        <f>Table4[[#This Row],[Column1]]</f>
        <v>0</v>
      </c>
      <c r="B1326">
        <f>Table4[[#This Row],[Column2]]</f>
        <v>0</v>
      </c>
    </row>
    <row r="1327" spans="1:2" ht="30.75" customHeight="1">
      <c r="A1327">
        <f>Table4[[#This Row],[Column1]]</f>
        <v>0</v>
      </c>
      <c r="B1327">
        <f>Table4[[#This Row],[Column2]]</f>
        <v>0</v>
      </c>
    </row>
    <row r="1328" spans="1:2" ht="30.75" customHeight="1">
      <c r="A1328">
        <f>Table4[[#This Row],[Column1]]</f>
        <v>0</v>
      </c>
      <c r="B1328">
        <f>Table4[[#This Row],[Column2]]</f>
        <v>0</v>
      </c>
    </row>
    <row r="1329" spans="1:2" ht="30.75" customHeight="1">
      <c r="A1329">
        <f>Table4[[#This Row],[Column1]]</f>
        <v>0</v>
      </c>
      <c r="B1329">
        <f>Table4[[#This Row],[Column2]]</f>
        <v>0</v>
      </c>
    </row>
    <row r="1330" spans="1:2" ht="30.75" customHeight="1">
      <c r="A1330">
        <f>Table4[[#This Row],[Column1]]</f>
        <v>0</v>
      </c>
      <c r="B1330">
        <f>Table4[[#This Row],[Column2]]</f>
        <v>0</v>
      </c>
    </row>
    <row r="1331" spans="1:2" ht="30.75" customHeight="1">
      <c r="A1331">
        <f>Table4[[#This Row],[Column1]]</f>
        <v>0</v>
      </c>
      <c r="B1331">
        <f>Table4[[#This Row],[Column2]]</f>
        <v>0</v>
      </c>
    </row>
    <row r="1332" spans="1:2" ht="30.75" customHeight="1">
      <c r="A1332">
        <f>Table4[[#This Row],[Column1]]</f>
        <v>0</v>
      </c>
      <c r="B1332">
        <f>Table4[[#This Row],[Column2]]</f>
        <v>0</v>
      </c>
    </row>
    <row r="1333" spans="1:2" ht="30.75" customHeight="1">
      <c r="A1333">
        <f>Table4[[#This Row],[Column1]]</f>
        <v>0</v>
      </c>
      <c r="B1333">
        <f>Table4[[#This Row],[Column2]]</f>
        <v>0</v>
      </c>
    </row>
    <row r="1334" spans="1:2" ht="30.75" customHeight="1">
      <c r="A1334">
        <f>Table4[[#This Row],[Column1]]</f>
        <v>0</v>
      </c>
      <c r="B1334">
        <f>Table4[[#This Row],[Column2]]</f>
        <v>0</v>
      </c>
    </row>
    <row r="1335" spans="1:2" ht="30.75" customHeight="1">
      <c r="A1335">
        <f>Table4[[#This Row],[Column1]]</f>
        <v>0</v>
      </c>
      <c r="B1335">
        <f>Table4[[#This Row],[Column2]]</f>
        <v>0</v>
      </c>
    </row>
    <row r="1336" spans="1:2" ht="30.75" customHeight="1">
      <c r="A1336">
        <f>Table4[[#This Row],[Column1]]</f>
        <v>0</v>
      </c>
      <c r="B1336">
        <f>Table4[[#This Row],[Column2]]</f>
        <v>0</v>
      </c>
    </row>
    <row r="1337" spans="1:2" ht="30.75" customHeight="1">
      <c r="A1337">
        <f>Table4[[#This Row],[Column1]]</f>
        <v>0</v>
      </c>
      <c r="B1337">
        <f>Table4[[#This Row],[Column2]]</f>
        <v>0</v>
      </c>
    </row>
    <row r="1338" spans="1:2" ht="30.75" customHeight="1">
      <c r="A1338">
        <f>Table4[[#This Row],[Column1]]</f>
        <v>0</v>
      </c>
      <c r="B1338">
        <f>Table4[[#This Row],[Column2]]</f>
        <v>0</v>
      </c>
    </row>
    <row r="1339" spans="1:2" ht="30.75" customHeight="1">
      <c r="A1339">
        <f>Table4[[#This Row],[Column1]]</f>
        <v>0</v>
      </c>
      <c r="B1339">
        <f>Table4[[#This Row],[Column2]]</f>
        <v>0</v>
      </c>
    </row>
    <row r="1340" spans="1:2" ht="30.75" customHeight="1">
      <c r="A1340">
        <f>Table4[[#This Row],[Column1]]</f>
        <v>0</v>
      </c>
      <c r="B1340">
        <f>Table4[[#This Row],[Column2]]</f>
        <v>0</v>
      </c>
    </row>
    <row r="1341" spans="1:2" ht="30.75" customHeight="1">
      <c r="A1341">
        <f>Table4[[#This Row],[Column1]]</f>
        <v>0</v>
      </c>
      <c r="B1341">
        <f>Table4[[#This Row],[Column2]]</f>
        <v>0</v>
      </c>
    </row>
    <row r="1342" spans="1:2" ht="30.75" customHeight="1">
      <c r="A1342">
        <f>Table4[[#This Row],[Column1]]</f>
        <v>0</v>
      </c>
      <c r="B1342">
        <f>Table4[[#This Row],[Column2]]</f>
        <v>0</v>
      </c>
    </row>
    <row r="1343" spans="1:2" ht="30.75" customHeight="1">
      <c r="A1343">
        <f>Table4[[#This Row],[Column1]]</f>
        <v>0</v>
      </c>
      <c r="B1343">
        <f>Table4[[#This Row],[Column2]]</f>
        <v>0</v>
      </c>
    </row>
    <row r="1344" spans="1:2" ht="30.75" customHeight="1">
      <c r="A1344">
        <f>Table4[[#This Row],[Column1]]</f>
        <v>0</v>
      </c>
      <c r="B1344">
        <f>Table4[[#This Row],[Column2]]</f>
        <v>0</v>
      </c>
    </row>
    <row r="1345" spans="1:2" ht="30.75" customHeight="1">
      <c r="A1345">
        <f>Table4[[#This Row],[Column1]]</f>
        <v>0</v>
      </c>
      <c r="B1345">
        <f>Table4[[#This Row],[Column2]]</f>
        <v>0</v>
      </c>
    </row>
    <row r="1346" spans="1:2" ht="30.75" customHeight="1">
      <c r="A1346">
        <f>Table4[[#This Row],[Column1]]</f>
        <v>0</v>
      </c>
      <c r="B1346">
        <f>Table4[[#This Row],[Column2]]</f>
        <v>0</v>
      </c>
    </row>
    <row r="1347" spans="1:2" ht="30.75" customHeight="1">
      <c r="A1347">
        <f>Table4[[#This Row],[Column1]]</f>
        <v>0</v>
      </c>
      <c r="B1347">
        <f>Table4[[#This Row],[Column2]]</f>
        <v>0</v>
      </c>
    </row>
    <row r="1348" spans="1:2" ht="30.75" customHeight="1">
      <c r="A1348">
        <f>Table4[[#This Row],[Column1]]</f>
        <v>0</v>
      </c>
      <c r="B1348">
        <f>Table4[[#This Row],[Column2]]</f>
        <v>0</v>
      </c>
    </row>
    <row r="1349" spans="1:2" ht="30.75" customHeight="1">
      <c r="A1349">
        <f>Table4[[#This Row],[Column1]]</f>
        <v>0</v>
      </c>
      <c r="B1349">
        <f>Table4[[#This Row],[Column2]]</f>
        <v>0</v>
      </c>
    </row>
    <row r="1350" spans="1:2" ht="30.75" customHeight="1">
      <c r="A1350">
        <f>Table4[[#This Row],[Column1]]</f>
        <v>0</v>
      </c>
      <c r="B1350">
        <f>Table4[[#This Row],[Column2]]</f>
        <v>0</v>
      </c>
    </row>
    <row r="1351" spans="1:2" ht="30.75" customHeight="1">
      <c r="A1351">
        <f>Table4[[#This Row],[Column1]]</f>
        <v>0</v>
      </c>
      <c r="B1351">
        <f>Table4[[#This Row],[Column2]]</f>
        <v>0</v>
      </c>
    </row>
    <row r="1352" spans="1:2" ht="30.75" customHeight="1">
      <c r="A1352">
        <f>Table4[[#This Row],[Column1]]</f>
        <v>0</v>
      </c>
      <c r="B1352">
        <f>Table4[[#This Row],[Column2]]</f>
        <v>0</v>
      </c>
    </row>
    <row r="1353" spans="1:2" ht="30.75" customHeight="1">
      <c r="A1353">
        <f>Table4[[#This Row],[Column1]]</f>
        <v>0</v>
      </c>
      <c r="B1353">
        <f>Table4[[#This Row],[Column2]]</f>
        <v>0</v>
      </c>
    </row>
    <row r="1354" spans="1:2" ht="30.75" customHeight="1">
      <c r="A1354">
        <f>Table4[[#This Row],[Column1]]</f>
        <v>0</v>
      </c>
      <c r="B1354">
        <f>Table4[[#This Row],[Column2]]</f>
        <v>0</v>
      </c>
    </row>
    <row r="1355" spans="1:2" ht="30.75" customHeight="1">
      <c r="A1355">
        <f>Table4[[#This Row],[Column1]]</f>
        <v>0</v>
      </c>
      <c r="B1355">
        <f>Table4[[#This Row],[Column2]]</f>
        <v>0</v>
      </c>
    </row>
    <row r="1356" spans="1:2" ht="30.75" customHeight="1">
      <c r="A1356">
        <f>Table4[[#This Row],[Column1]]</f>
        <v>0</v>
      </c>
      <c r="B1356">
        <f>Table4[[#This Row],[Column2]]</f>
        <v>0</v>
      </c>
    </row>
    <row r="1357" spans="1:2" ht="30.75" customHeight="1">
      <c r="A1357">
        <f>Table4[[#This Row],[Column1]]</f>
        <v>0</v>
      </c>
      <c r="B1357">
        <f>Table4[[#This Row],[Column2]]</f>
        <v>0</v>
      </c>
    </row>
    <row r="1358" spans="1:2" ht="30.75" customHeight="1">
      <c r="A1358">
        <f>Table4[[#This Row],[Column1]]</f>
        <v>0</v>
      </c>
      <c r="B1358">
        <f>Table4[[#This Row],[Column2]]</f>
        <v>0</v>
      </c>
    </row>
    <row r="1359" spans="1:2" ht="30.75" customHeight="1">
      <c r="A1359">
        <f>Table4[[#This Row],[Column1]]</f>
        <v>0</v>
      </c>
      <c r="B1359">
        <f>Table4[[#This Row],[Column2]]</f>
        <v>0</v>
      </c>
    </row>
    <row r="1360" spans="1:2" ht="30.75" customHeight="1">
      <c r="A1360">
        <f>Table4[[#This Row],[Column1]]</f>
        <v>0</v>
      </c>
      <c r="B1360">
        <f>Table4[[#This Row],[Column2]]</f>
        <v>0</v>
      </c>
    </row>
    <row r="1361" spans="1:2" ht="30.75" customHeight="1">
      <c r="A1361">
        <f>Table4[[#This Row],[Column1]]</f>
        <v>0</v>
      </c>
      <c r="B1361">
        <f>Table4[[#This Row],[Column2]]</f>
        <v>0</v>
      </c>
    </row>
    <row r="1362" spans="1:2" ht="30.75" customHeight="1">
      <c r="A1362">
        <f>Table4[[#This Row],[Column1]]</f>
        <v>0</v>
      </c>
      <c r="B1362">
        <f>Table4[[#This Row],[Column2]]</f>
        <v>0</v>
      </c>
    </row>
    <row r="1363" spans="1:2" ht="30.75" customHeight="1">
      <c r="A1363">
        <f>Table4[[#This Row],[Column1]]</f>
        <v>0</v>
      </c>
      <c r="B1363">
        <f>Table4[[#This Row],[Column2]]</f>
        <v>0</v>
      </c>
    </row>
    <row r="1364" spans="1:2" ht="30.75" customHeight="1">
      <c r="A1364">
        <f>Table4[[#This Row],[Column1]]</f>
        <v>0</v>
      </c>
      <c r="B1364">
        <f>Table4[[#This Row],[Column2]]</f>
        <v>0</v>
      </c>
    </row>
    <row r="1365" spans="1:2" ht="30.75" customHeight="1">
      <c r="A1365">
        <f>Table4[[#This Row],[Column1]]</f>
        <v>0</v>
      </c>
      <c r="B1365">
        <f>Table4[[#This Row],[Column2]]</f>
        <v>0</v>
      </c>
    </row>
    <row r="1366" spans="1:2" ht="30.75" customHeight="1">
      <c r="A1366">
        <f>Table4[[#This Row],[Column1]]</f>
        <v>0</v>
      </c>
      <c r="B1366">
        <f>Table4[[#This Row],[Column2]]</f>
        <v>0</v>
      </c>
    </row>
    <row r="1367" spans="1:2" ht="30.75" customHeight="1">
      <c r="A1367">
        <f>Table4[[#This Row],[Column1]]</f>
        <v>0</v>
      </c>
      <c r="B1367">
        <f>Table4[[#This Row],[Column2]]</f>
        <v>0</v>
      </c>
    </row>
    <row r="1368" spans="1:2" ht="30.75" customHeight="1">
      <c r="A1368">
        <f>Table4[[#This Row],[Column1]]</f>
        <v>0</v>
      </c>
      <c r="B1368">
        <f>Table4[[#This Row],[Column2]]</f>
        <v>0</v>
      </c>
    </row>
    <row r="1369" spans="1:2" ht="30.75" customHeight="1">
      <c r="A1369">
        <f>Table4[[#This Row],[Column1]]</f>
        <v>0</v>
      </c>
      <c r="B1369">
        <f>Table4[[#This Row],[Column2]]</f>
        <v>0</v>
      </c>
    </row>
    <row r="1370" spans="1:2" ht="30.75" customHeight="1">
      <c r="A1370">
        <f>Table4[[#This Row],[Column1]]</f>
        <v>0</v>
      </c>
      <c r="B1370">
        <f>Table4[[#This Row],[Column2]]</f>
        <v>0</v>
      </c>
    </row>
    <row r="1371" spans="1:2" ht="30.75" customHeight="1">
      <c r="A1371">
        <f>Table4[[#This Row],[Column1]]</f>
        <v>0</v>
      </c>
      <c r="B1371">
        <f>Table4[[#This Row],[Column2]]</f>
        <v>0</v>
      </c>
    </row>
    <row r="1372" spans="1:2" ht="30.75" customHeight="1">
      <c r="A1372">
        <f>Table4[[#This Row],[Column1]]</f>
        <v>0</v>
      </c>
      <c r="B1372">
        <f>Table4[[#This Row],[Column2]]</f>
        <v>0</v>
      </c>
    </row>
    <row r="1373" spans="1:2" ht="30.75" customHeight="1">
      <c r="A1373">
        <f>Table4[[#This Row],[Column1]]</f>
        <v>0</v>
      </c>
      <c r="B1373">
        <f>Table4[[#This Row],[Column2]]</f>
        <v>0</v>
      </c>
    </row>
    <row r="1374" spans="1:2" ht="30.75" customHeight="1">
      <c r="A1374">
        <f>Table4[[#This Row],[Column1]]</f>
        <v>0</v>
      </c>
      <c r="B1374">
        <f>Table4[[#This Row],[Column2]]</f>
        <v>0</v>
      </c>
    </row>
    <row r="1375" spans="1:2" ht="30.75" customHeight="1">
      <c r="A1375">
        <f>Table4[[#This Row],[Column1]]</f>
        <v>0</v>
      </c>
      <c r="B1375">
        <f>Table4[[#This Row],[Column2]]</f>
        <v>0</v>
      </c>
    </row>
    <row r="1376" spans="1:2" ht="30.75" customHeight="1">
      <c r="A1376">
        <f>Table4[[#This Row],[Column1]]</f>
        <v>0</v>
      </c>
      <c r="B1376">
        <f>Table4[[#This Row],[Column2]]</f>
        <v>0</v>
      </c>
    </row>
    <row r="1377" spans="1:2" ht="30.75" customHeight="1">
      <c r="A1377">
        <f>Table4[[#This Row],[Column1]]</f>
        <v>0</v>
      </c>
      <c r="B1377">
        <f>Table4[[#This Row],[Column2]]</f>
        <v>0</v>
      </c>
    </row>
    <row r="1378" spans="1:2" ht="30.75" customHeight="1">
      <c r="A1378">
        <f>Table4[[#This Row],[Column1]]</f>
        <v>0</v>
      </c>
      <c r="B1378">
        <f>Table4[[#This Row],[Column2]]</f>
        <v>0</v>
      </c>
    </row>
    <row r="1379" spans="1:2" ht="30.75" customHeight="1">
      <c r="A1379">
        <f>Table4[[#This Row],[Column1]]</f>
        <v>0</v>
      </c>
      <c r="B1379">
        <f>Table4[[#This Row],[Column2]]</f>
        <v>0</v>
      </c>
    </row>
    <row r="1380" spans="1:2" ht="30.75" customHeight="1">
      <c r="A1380">
        <f>Table4[[#This Row],[Column1]]</f>
        <v>0</v>
      </c>
      <c r="B1380">
        <f>Table4[[#This Row],[Column2]]</f>
        <v>0</v>
      </c>
    </row>
    <row r="1381" spans="1:2" ht="30.75" customHeight="1">
      <c r="A1381">
        <f>Table4[[#This Row],[Column1]]</f>
        <v>0</v>
      </c>
      <c r="B1381">
        <f>Table4[[#This Row],[Column2]]</f>
        <v>0</v>
      </c>
    </row>
    <row r="1382" spans="1:2" ht="30.75" customHeight="1">
      <c r="A1382">
        <f>Table4[[#This Row],[Column1]]</f>
        <v>0</v>
      </c>
      <c r="B1382">
        <f>Table4[[#This Row],[Column2]]</f>
        <v>0</v>
      </c>
    </row>
    <row r="1383" spans="1:2" ht="30.75" customHeight="1">
      <c r="A1383">
        <f>Table4[[#This Row],[Column1]]</f>
        <v>0</v>
      </c>
      <c r="B1383">
        <f>Table4[[#This Row],[Column2]]</f>
        <v>0</v>
      </c>
    </row>
    <row r="1384" spans="1:2" ht="30.75" customHeight="1">
      <c r="A1384">
        <f>Table4[[#This Row],[Column1]]</f>
        <v>0</v>
      </c>
      <c r="B1384">
        <f>Table4[[#This Row],[Column2]]</f>
        <v>0</v>
      </c>
    </row>
    <row r="1385" spans="1:2" ht="30.75" customHeight="1">
      <c r="A1385">
        <f>Table4[[#This Row],[Column1]]</f>
        <v>0</v>
      </c>
      <c r="B1385">
        <f>Table4[[#This Row],[Column2]]</f>
        <v>0</v>
      </c>
    </row>
    <row r="1386" spans="1:2" ht="30.75" customHeight="1">
      <c r="A1386">
        <f>Table4[[#This Row],[Column1]]</f>
        <v>0</v>
      </c>
      <c r="B1386">
        <f>Table4[[#This Row],[Column2]]</f>
        <v>0</v>
      </c>
    </row>
    <row r="1387" spans="1:2" ht="30.75" customHeight="1">
      <c r="A1387">
        <f>Table4[[#This Row],[Column1]]</f>
        <v>0</v>
      </c>
      <c r="B1387">
        <f>Table4[[#This Row],[Column2]]</f>
        <v>0</v>
      </c>
    </row>
    <row r="1388" spans="1:2" ht="30.75" customHeight="1">
      <c r="A1388">
        <f>Table4[[#This Row],[Column1]]</f>
        <v>0</v>
      </c>
      <c r="B1388">
        <f>Table4[[#This Row],[Column2]]</f>
        <v>0</v>
      </c>
    </row>
    <row r="1389" spans="1:2" ht="30.75" customHeight="1">
      <c r="A1389">
        <f>Table4[[#This Row],[Column1]]</f>
        <v>0</v>
      </c>
      <c r="B1389">
        <f>Table4[[#This Row],[Column2]]</f>
        <v>0</v>
      </c>
    </row>
    <row r="1390" spans="1:2" ht="30.75" customHeight="1">
      <c r="A1390">
        <f>Table4[[#This Row],[Column1]]</f>
        <v>0</v>
      </c>
      <c r="B1390">
        <f>Table4[[#This Row],[Column2]]</f>
        <v>0</v>
      </c>
    </row>
    <row r="1391" spans="1:2" ht="30.75" customHeight="1">
      <c r="A1391">
        <f>Table4[[#This Row],[Column1]]</f>
        <v>0</v>
      </c>
      <c r="B1391">
        <f>Table4[[#This Row],[Column2]]</f>
        <v>0</v>
      </c>
    </row>
    <row r="1392" spans="1:2" ht="30.75" customHeight="1">
      <c r="A1392">
        <f>Table4[[#This Row],[Column1]]</f>
        <v>0</v>
      </c>
      <c r="B1392">
        <f>Table4[[#This Row],[Column2]]</f>
        <v>0</v>
      </c>
    </row>
    <row r="1393" spans="1:2" ht="30.75" customHeight="1">
      <c r="A1393">
        <f>Table4[[#This Row],[Column1]]</f>
        <v>0</v>
      </c>
      <c r="B1393">
        <f>Table4[[#This Row],[Column2]]</f>
        <v>0</v>
      </c>
    </row>
    <row r="1394" spans="1:2" ht="30.75" customHeight="1">
      <c r="A1394">
        <f>Table4[[#This Row],[Column1]]</f>
        <v>0</v>
      </c>
      <c r="B1394">
        <f>Table4[[#This Row],[Column2]]</f>
        <v>0</v>
      </c>
    </row>
    <row r="1395" spans="1:2" ht="30.75" customHeight="1">
      <c r="A1395">
        <f>Table4[[#This Row],[Column1]]</f>
        <v>0</v>
      </c>
      <c r="B1395">
        <f>Table4[[#This Row],[Column2]]</f>
        <v>0</v>
      </c>
    </row>
    <row r="1396" spans="1:2" ht="30.75" customHeight="1">
      <c r="A1396">
        <f>Table4[[#This Row],[Column1]]</f>
        <v>0</v>
      </c>
      <c r="B1396">
        <f>Table4[[#This Row],[Column2]]</f>
        <v>0</v>
      </c>
    </row>
    <row r="1397" spans="1:2" ht="30.75" customHeight="1">
      <c r="A1397">
        <f>Table4[[#This Row],[Column1]]</f>
        <v>0</v>
      </c>
      <c r="B1397">
        <f>Table4[[#This Row],[Column2]]</f>
        <v>0</v>
      </c>
    </row>
    <row r="1398" spans="1:2" ht="30.75" customHeight="1">
      <c r="A1398">
        <f>Table4[[#This Row],[Column1]]</f>
        <v>0</v>
      </c>
      <c r="B1398">
        <f>Table4[[#This Row],[Column2]]</f>
        <v>0</v>
      </c>
    </row>
    <row r="1399" spans="1:2" ht="30.75" customHeight="1">
      <c r="A1399">
        <f>Table4[[#This Row],[Column1]]</f>
        <v>0</v>
      </c>
      <c r="B1399">
        <f>Table4[[#This Row],[Column2]]</f>
        <v>0</v>
      </c>
    </row>
    <row r="1400" spans="1:2" ht="30.75" customHeight="1">
      <c r="A1400">
        <f>Table4[[#This Row],[Column1]]</f>
        <v>0</v>
      </c>
      <c r="B1400">
        <f>Table4[[#This Row],[Column2]]</f>
        <v>0</v>
      </c>
    </row>
    <row r="1401" spans="1:2" ht="30.75" customHeight="1">
      <c r="A1401">
        <f>Table4[[#This Row],[Column1]]</f>
        <v>0</v>
      </c>
      <c r="B1401">
        <f>Table4[[#This Row],[Column2]]</f>
        <v>0</v>
      </c>
    </row>
    <row r="1402" spans="1:2" ht="30.75" customHeight="1">
      <c r="A1402">
        <f>Table4[[#This Row],[Column1]]</f>
        <v>0</v>
      </c>
      <c r="B1402">
        <f>Table4[[#This Row],[Column2]]</f>
        <v>0</v>
      </c>
    </row>
    <row r="1403" spans="1:2" ht="30.75" customHeight="1">
      <c r="A1403">
        <f>Table4[[#This Row],[Column1]]</f>
        <v>0</v>
      </c>
      <c r="B1403">
        <f>Table4[[#This Row],[Column2]]</f>
        <v>0</v>
      </c>
    </row>
    <row r="1404" spans="1:2" ht="30.75" customHeight="1">
      <c r="A1404">
        <f>Table4[[#This Row],[Column1]]</f>
        <v>0</v>
      </c>
      <c r="B1404">
        <f>Table4[[#This Row],[Column2]]</f>
        <v>0</v>
      </c>
    </row>
    <row r="1405" spans="1:2" ht="30.75" customHeight="1">
      <c r="A1405">
        <f>Table4[[#This Row],[Column1]]</f>
        <v>0</v>
      </c>
      <c r="B1405">
        <f>Table4[[#This Row],[Column2]]</f>
        <v>0</v>
      </c>
    </row>
    <row r="1406" spans="1:2" ht="30.75" customHeight="1">
      <c r="A1406">
        <f>Table4[[#This Row],[Column1]]</f>
        <v>0</v>
      </c>
      <c r="B1406">
        <f>Table4[[#This Row],[Column2]]</f>
        <v>0</v>
      </c>
    </row>
    <row r="1407" spans="1:2" ht="30.75" customHeight="1">
      <c r="A1407">
        <f>Table4[[#This Row],[Column1]]</f>
        <v>0</v>
      </c>
      <c r="B1407">
        <f>Table4[[#This Row],[Column2]]</f>
        <v>0</v>
      </c>
    </row>
    <row r="1408" spans="1:2" ht="30.75" customHeight="1">
      <c r="A1408">
        <f>Table4[[#This Row],[Column1]]</f>
        <v>0</v>
      </c>
      <c r="B1408">
        <f>Table4[[#This Row],[Column2]]</f>
        <v>0</v>
      </c>
    </row>
    <row r="1409" spans="1:2" ht="30.75" customHeight="1">
      <c r="A1409">
        <f>Table4[[#This Row],[Column1]]</f>
        <v>0</v>
      </c>
      <c r="B1409">
        <f>Table4[[#This Row],[Column2]]</f>
        <v>0</v>
      </c>
    </row>
    <row r="1410" spans="1:2" ht="30.75" customHeight="1">
      <c r="A1410">
        <f>Table4[[#This Row],[Column1]]</f>
        <v>0</v>
      </c>
      <c r="B1410">
        <f>Table4[[#This Row],[Column2]]</f>
        <v>0</v>
      </c>
    </row>
    <row r="1411" spans="1:2" ht="30.75" customHeight="1">
      <c r="A1411">
        <f>Table4[[#This Row],[Column1]]</f>
        <v>0</v>
      </c>
      <c r="B1411">
        <f>Table4[[#This Row],[Column2]]</f>
        <v>0</v>
      </c>
    </row>
    <row r="1412" spans="1:2" ht="30.75" customHeight="1">
      <c r="A1412">
        <f>Table4[[#This Row],[Column1]]</f>
        <v>0</v>
      </c>
      <c r="B1412">
        <f>Table4[[#This Row],[Column2]]</f>
        <v>0</v>
      </c>
    </row>
    <row r="1413" spans="1:2" ht="30.75" customHeight="1">
      <c r="A1413">
        <f>Table4[[#This Row],[Column1]]</f>
        <v>0</v>
      </c>
      <c r="B1413">
        <f>Table4[[#This Row],[Column2]]</f>
        <v>0</v>
      </c>
    </row>
    <row r="1414" spans="1:2" ht="30.75" customHeight="1">
      <c r="A1414">
        <f>Table4[[#This Row],[Column1]]</f>
        <v>0</v>
      </c>
      <c r="B1414">
        <f>Table4[[#This Row],[Column2]]</f>
        <v>0</v>
      </c>
    </row>
    <row r="1415" spans="1:2" ht="30.75" customHeight="1">
      <c r="A1415">
        <f>Table4[[#This Row],[Column1]]</f>
        <v>0</v>
      </c>
      <c r="B1415">
        <f>Table4[[#This Row],[Column2]]</f>
        <v>0</v>
      </c>
    </row>
    <row r="1416" spans="1:2" ht="30.75" customHeight="1">
      <c r="A1416">
        <f>Table4[[#This Row],[Column1]]</f>
        <v>0</v>
      </c>
      <c r="B1416">
        <f>Table4[[#This Row],[Column2]]</f>
        <v>0</v>
      </c>
    </row>
    <row r="1417" spans="1:2" ht="30.75" customHeight="1">
      <c r="A1417">
        <f>Table4[[#This Row],[Column1]]</f>
        <v>0</v>
      </c>
      <c r="B1417">
        <f>Table4[[#This Row],[Column2]]</f>
        <v>0</v>
      </c>
    </row>
    <row r="1418" spans="1:2" ht="30.75" customHeight="1">
      <c r="A1418">
        <f>Table4[[#This Row],[Column1]]</f>
        <v>0</v>
      </c>
      <c r="B1418">
        <f>Table4[[#This Row],[Column2]]</f>
        <v>0</v>
      </c>
    </row>
    <row r="1419" spans="1:2" ht="30.75" customHeight="1">
      <c r="A1419">
        <f>Table4[[#This Row],[Column1]]</f>
        <v>0</v>
      </c>
      <c r="B1419">
        <f>Table4[[#This Row],[Column2]]</f>
        <v>0</v>
      </c>
    </row>
    <row r="1420" spans="1:2" ht="30.75" customHeight="1">
      <c r="A1420">
        <f>Table4[[#This Row],[Column1]]</f>
        <v>0</v>
      </c>
      <c r="B1420">
        <f>Table4[[#This Row],[Column2]]</f>
        <v>0</v>
      </c>
    </row>
    <row r="1421" spans="1:2" ht="30.75" customHeight="1">
      <c r="A1421">
        <f>Table4[[#This Row],[Column1]]</f>
        <v>0</v>
      </c>
      <c r="B1421">
        <f>Table4[[#This Row],[Column2]]</f>
        <v>0</v>
      </c>
    </row>
    <row r="1422" spans="1:2" ht="30.75" customHeight="1">
      <c r="A1422">
        <f>Table4[[#This Row],[Column1]]</f>
        <v>0</v>
      </c>
      <c r="B1422">
        <f>Table4[[#This Row],[Column2]]</f>
        <v>0</v>
      </c>
    </row>
    <row r="1423" spans="1:2" ht="30.75" customHeight="1">
      <c r="A1423">
        <f>Table4[[#This Row],[Column1]]</f>
        <v>0</v>
      </c>
      <c r="B1423">
        <f>Table4[[#This Row],[Column2]]</f>
        <v>0</v>
      </c>
    </row>
    <row r="1424" spans="1:2" ht="30.75" customHeight="1">
      <c r="A1424">
        <f>Table4[[#This Row],[Column1]]</f>
        <v>0</v>
      </c>
      <c r="B1424">
        <f>Table4[[#This Row],[Column2]]</f>
        <v>0</v>
      </c>
    </row>
    <row r="1425" spans="1:2" ht="30.75" customHeight="1">
      <c r="A1425">
        <f>Table4[[#This Row],[Column1]]</f>
        <v>0</v>
      </c>
      <c r="B1425">
        <f>Table4[[#This Row],[Column2]]</f>
        <v>0</v>
      </c>
    </row>
    <row r="1426" spans="1:2" ht="30.75" customHeight="1">
      <c r="A1426">
        <f>Table4[[#This Row],[Column1]]</f>
        <v>0</v>
      </c>
      <c r="B1426">
        <f>Table4[[#This Row],[Column2]]</f>
        <v>0</v>
      </c>
    </row>
    <row r="1427" spans="1:2" ht="30.75" customHeight="1">
      <c r="A1427">
        <f>Table4[[#This Row],[Column1]]</f>
        <v>0</v>
      </c>
      <c r="B1427">
        <f>Table4[[#This Row],[Column2]]</f>
        <v>0</v>
      </c>
    </row>
    <row r="1428" spans="1:2" ht="30.75" customHeight="1">
      <c r="A1428">
        <f>Table4[[#This Row],[Column1]]</f>
        <v>0</v>
      </c>
      <c r="B1428">
        <f>Table4[[#This Row],[Column2]]</f>
        <v>0</v>
      </c>
    </row>
    <row r="1429" spans="1:2" ht="30.75" customHeight="1">
      <c r="A1429">
        <f>Table4[[#This Row],[Column1]]</f>
        <v>0</v>
      </c>
      <c r="B1429">
        <f>Table4[[#This Row],[Column2]]</f>
        <v>0</v>
      </c>
    </row>
    <row r="1430" spans="1:2" ht="30.75" customHeight="1">
      <c r="A1430">
        <f>Table4[[#This Row],[Column1]]</f>
        <v>0</v>
      </c>
      <c r="B1430">
        <f>Table4[[#This Row],[Column2]]</f>
        <v>0</v>
      </c>
    </row>
    <row r="1431" spans="1:2" ht="30.75" customHeight="1">
      <c r="A1431">
        <f>Table4[[#This Row],[Column1]]</f>
        <v>0</v>
      </c>
      <c r="B1431">
        <f>Table4[[#This Row],[Column2]]</f>
        <v>0</v>
      </c>
    </row>
    <row r="1432" spans="1:2" ht="30.75" customHeight="1">
      <c r="A1432">
        <f>Table4[[#This Row],[Column1]]</f>
        <v>0</v>
      </c>
      <c r="B1432">
        <f>Table4[[#This Row],[Column2]]</f>
        <v>0</v>
      </c>
    </row>
    <row r="1433" spans="1:2" ht="30.75" customHeight="1">
      <c r="A1433">
        <f>Table4[[#This Row],[Column1]]</f>
        <v>0</v>
      </c>
      <c r="B1433">
        <f>Table4[[#This Row],[Column2]]</f>
        <v>0</v>
      </c>
    </row>
    <row r="1434" spans="1:2" ht="30.75" customHeight="1">
      <c r="A1434">
        <f>Table4[[#This Row],[Column1]]</f>
        <v>0</v>
      </c>
      <c r="B1434">
        <f>Table4[[#This Row],[Column2]]</f>
        <v>0</v>
      </c>
    </row>
    <row r="1435" spans="1:2" ht="30.75" customHeight="1">
      <c r="A1435">
        <f>Table4[[#This Row],[Column1]]</f>
        <v>0</v>
      </c>
      <c r="B1435">
        <f>Table4[[#This Row],[Column2]]</f>
        <v>0</v>
      </c>
    </row>
    <row r="1436" spans="1:2" ht="30.75" customHeight="1">
      <c r="A1436">
        <f>Table4[[#This Row],[Column1]]</f>
        <v>0</v>
      </c>
      <c r="B1436">
        <f>Table4[[#This Row],[Column2]]</f>
        <v>0</v>
      </c>
    </row>
    <row r="1437" spans="1:2" ht="30.75" customHeight="1">
      <c r="A1437">
        <f>Table4[[#This Row],[Column1]]</f>
        <v>0</v>
      </c>
      <c r="B1437">
        <f>Table4[[#This Row],[Column2]]</f>
        <v>0</v>
      </c>
    </row>
    <row r="1438" spans="1:2" ht="30.75" customHeight="1">
      <c r="A1438">
        <f>Table4[[#This Row],[Column1]]</f>
        <v>0</v>
      </c>
      <c r="B1438">
        <f>Table4[[#This Row],[Column2]]</f>
        <v>0</v>
      </c>
    </row>
    <row r="1439" spans="1:2" ht="30.75" customHeight="1">
      <c r="A1439">
        <f>Table4[[#This Row],[Column1]]</f>
        <v>0</v>
      </c>
      <c r="B1439">
        <f>Table4[[#This Row],[Column2]]</f>
        <v>0</v>
      </c>
    </row>
    <row r="1440" spans="1:2" ht="30.75" customHeight="1">
      <c r="A1440">
        <f>Table4[[#This Row],[Column1]]</f>
        <v>0</v>
      </c>
      <c r="B1440">
        <f>Table4[[#This Row],[Column2]]</f>
        <v>0</v>
      </c>
    </row>
    <row r="1441" spans="1:2" ht="30.75" customHeight="1">
      <c r="A1441">
        <f>Table4[[#This Row],[Column1]]</f>
        <v>0</v>
      </c>
      <c r="B1441">
        <f>Table4[[#This Row],[Column2]]</f>
        <v>0</v>
      </c>
    </row>
    <row r="1442" spans="1:2" ht="30.75" customHeight="1">
      <c r="A1442">
        <f>Table4[[#This Row],[Column1]]</f>
        <v>0</v>
      </c>
      <c r="B1442">
        <f>Table4[[#This Row],[Column2]]</f>
        <v>0</v>
      </c>
    </row>
    <row r="1443" spans="1:2" ht="30.75" customHeight="1">
      <c r="A1443">
        <f>Table4[[#This Row],[Column1]]</f>
        <v>0</v>
      </c>
      <c r="B1443">
        <f>Table4[[#This Row],[Column2]]</f>
        <v>0</v>
      </c>
    </row>
    <row r="1444" spans="1:2" ht="30.75" customHeight="1">
      <c r="A1444">
        <f>Table4[[#This Row],[Column1]]</f>
        <v>0</v>
      </c>
      <c r="B1444">
        <f>Table4[[#This Row],[Column2]]</f>
        <v>0</v>
      </c>
    </row>
    <row r="1445" spans="1:2" ht="30.75" customHeight="1">
      <c r="A1445">
        <f>Table4[[#This Row],[Column1]]</f>
        <v>0</v>
      </c>
      <c r="B1445">
        <f>Table4[[#This Row],[Column2]]</f>
        <v>0</v>
      </c>
    </row>
    <row r="1446" spans="1:2" ht="30.75" customHeight="1">
      <c r="A1446">
        <f>Table4[[#This Row],[Column1]]</f>
        <v>0</v>
      </c>
      <c r="B1446">
        <f>Table4[[#This Row],[Column2]]</f>
        <v>0</v>
      </c>
    </row>
    <row r="1447" spans="1:2" ht="30.75" customHeight="1">
      <c r="A1447">
        <f>Table4[[#This Row],[Column1]]</f>
        <v>0</v>
      </c>
      <c r="B1447">
        <f>Table4[[#This Row],[Column2]]</f>
        <v>0</v>
      </c>
    </row>
    <row r="1448" spans="1:2" ht="30.75" customHeight="1">
      <c r="A1448">
        <f>Table4[[#This Row],[Column1]]</f>
        <v>0</v>
      </c>
      <c r="B1448">
        <f>Table4[[#This Row],[Column2]]</f>
        <v>0</v>
      </c>
    </row>
    <row r="1449" spans="1:2" ht="30.75" customHeight="1">
      <c r="A1449">
        <f>Table4[[#This Row],[Column1]]</f>
        <v>0</v>
      </c>
      <c r="B1449">
        <f>Table4[[#This Row],[Column2]]</f>
        <v>0</v>
      </c>
    </row>
    <row r="1450" spans="1:2" ht="30.75" customHeight="1">
      <c r="A1450">
        <f>Table4[[#This Row],[Column1]]</f>
        <v>0</v>
      </c>
      <c r="B1450">
        <f>Table4[[#This Row],[Column2]]</f>
        <v>0</v>
      </c>
    </row>
    <row r="1451" spans="1:2" ht="30.75" customHeight="1">
      <c r="A1451">
        <f>Table4[[#This Row],[Column1]]</f>
        <v>0</v>
      </c>
      <c r="B1451">
        <f>Table4[[#This Row],[Column2]]</f>
        <v>0</v>
      </c>
    </row>
    <row r="1452" spans="1:2" ht="30.75" customHeight="1">
      <c r="A1452">
        <f>Table4[[#This Row],[Column1]]</f>
        <v>0</v>
      </c>
      <c r="B1452">
        <f>Table4[[#This Row],[Column2]]</f>
        <v>0</v>
      </c>
    </row>
    <row r="1453" spans="1:2" ht="30.75" customHeight="1">
      <c r="A1453">
        <f>Table4[[#This Row],[Column1]]</f>
        <v>0</v>
      </c>
      <c r="B1453">
        <f>Table4[[#This Row],[Column2]]</f>
        <v>0</v>
      </c>
    </row>
    <row r="1454" spans="1:2" ht="30.75" customHeight="1">
      <c r="A1454">
        <f>Table4[[#This Row],[Column1]]</f>
        <v>0</v>
      </c>
      <c r="B1454">
        <f>Table4[[#This Row],[Column2]]</f>
        <v>0</v>
      </c>
    </row>
    <row r="1455" spans="1:2" ht="30.75" customHeight="1">
      <c r="A1455">
        <f>Table4[[#This Row],[Column1]]</f>
        <v>0</v>
      </c>
      <c r="B1455">
        <f>Table4[[#This Row],[Column2]]</f>
        <v>0</v>
      </c>
    </row>
    <row r="1456" spans="1:2" ht="30.75" customHeight="1">
      <c r="A1456">
        <f>Table4[[#This Row],[Column1]]</f>
        <v>0</v>
      </c>
      <c r="B1456">
        <f>Table4[[#This Row],[Column2]]</f>
        <v>0</v>
      </c>
    </row>
    <row r="1457" spans="1:2" ht="30.75" customHeight="1">
      <c r="A1457">
        <f>Table4[[#This Row],[Column1]]</f>
        <v>0</v>
      </c>
      <c r="B1457">
        <f>Table4[[#This Row],[Column2]]</f>
        <v>0</v>
      </c>
    </row>
    <row r="1458" spans="1:2" ht="30.75" customHeight="1">
      <c r="A1458">
        <f>Table4[[#This Row],[Column1]]</f>
        <v>0</v>
      </c>
      <c r="B1458">
        <f>Table4[[#This Row],[Column2]]</f>
        <v>0</v>
      </c>
    </row>
    <row r="1459" spans="1:2" ht="30.75" customHeight="1">
      <c r="A1459">
        <f>Table4[[#This Row],[Column1]]</f>
        <v>0</v>
      </c>
      <c r="B1459">
        <f>Table4[[#This Row],[Column2]]</f>
        <v>0</v>
      </c>
    </row>
    <row r="1460" spans="1:2" ht="30.75" customHeight="1">
      <c r="A1460">
        <f>Table4[[#This Row],[Column1]]</f>
        <v>0</v>
      </c>
      <c r="B1460">
        <f>Table4[[#This Row],[Column2]]</f>
        <v>0</v>
      </c>
    </row>
    <row r="1461" spans="1:2" ht="30.75" customHeight="1">
      <c r="A1461">
        <f>Table4[[#This Row],[Column1]]</f>
        <v>0</v>
      </c>
      <c r="B1461">
        <f>Table4[[#This Row],[Column2]]</f>
        <v>0</v>
      </c>
    </row>
    <row r="1462" spans="1:2" ht="30.75" customHeight="1">
      <c r="A1462">
        <f>Table4[[#This Row],[Column1]]</f>
        <v>0</v>
      </c>
      <c r="B1462">
        <f>Table4[[#This Row],[Column2]]</f>
        <v>0</v>
      </c>
    </row>
    <row r="1463" spans="1:2" ht="30.75" customHeight="1">
      <c r="A1463">
        <f>Table4[[#This Row],[Column1]]</f>
        <v>0</v>
      </c>
      <c r="B1463">
        <f>Table4[[#This Row],[Column2]]</f>
        <v>0</v>
      </c>
    </row>
    <row r="1464" spans="1:2" ht="30.75" customHeight="1">
      <c r="A1464">
        <f>Table4[[#This Row],[Column1]]</f>
        <v>0</v>
      </c>
      <c r="B1464">
        <f>Table4[[#This Row],[Column2]]</f>
        <v>0</v>
      </c>
    </row>
    <row r="1465" spans="1:2" ht="30.75" customHeight="1">
      <c r="A1465">
        <f>Table4[[#This Row],[Column1]]</f>
        <v>0</v>
      </c>
      <c r="B1465">
        <f>Table4[[#This Row],[Column2]]</f>
        <v>0</v>
      </c>
    </row>
    <row r="1466" spans="1:2" ht="30.75" customHeight="1">
      <c r="A1466">
        <f>Table4[[#This Row],[Column1]]</f>
        <v>0</v>
      </c>
      <c r="B1466">
        <f>Table4[[#This Row],[Column2]]</f>
        <v>0</v>
      </c>
    </row>
    <row r="1467" spans="1:2" ht="30.75" customHeight="1">
      <c r="A1467">
        <f>Table4[[#This Row],[Column1]]</f>
        <v>0</v>
      </c>
      <c r="B1467">
        <f>Table4[[#This Row],[Column2]]</f>
        <v>0</v>
      </c>
    </row>
    <row r="1468" spans="1:2" ht="30.75" customHeight="1">
      <c r="A1468">
        <f>Table4[[#This Row],[Column1]]</f>
        <v>0</v>
      </c>
      <c r="B1468">
        <f>Table4[[#This Row],[Column2]]</f>
        <v>0</v>
      </c>
    </row>
    <row r="1469" spans="1:2" ht="30.75" customHeight="1">
      <c r="A1469">
        <f>Table4[[#This Row],[Column1]]</f>
        <v>0</v>
      </c>
      <c r="B1469">
        <f>Table4[[#This Row],[Column2]]</f>
        <v>0</v>
      </c>
    </row>
    <row r="1470" spans="1:2" ht="30.75" customHeight="1">
      <c r="A1470">
        <f>Table4[[#This Row],[Column1]]</f>
        <v>0</v>
      </c>
      <c r="B1470">
        <f>Table4[[#This Row],[Column2]]</f>
        <v>0</v>
      </c>
    </row>
    <row r="1471" spans="1:2" ht="30.75" customHeight="1">
      <c r="A1471">
        <f>Table4[[#This Row],[Column1]]</f>
        <v>0</v>
      </c>
      <c r="B1471">
        <f>Table4[[#This Row],[Column2]]</f>
        <v>0</v>
      </c>
    </row>
    <row r="1472" spans="1:2" ht="30.75" customHeight="1">
      <c r="A1472">
        <f>Table4[[#This Row],[Column1]]</f>
        <v>0</v>
      </c>
      <c r="B1472">
        <f>Table4[[#This Row],[Column2]]</f>
        <v>0</v>
      </c>
    </row>
    <row r="1473" spans="1:2" ht="30.75" customHeight="1">
      <c r="A1473">
        <f>Table4[[#This Row],[Column1]]</f>
        <v>0</v>
      </c>
      <c r="B1473">
        <f>Table4[[#This Row],[Column2]]</f>
        <v>0</v>
      </c>
    </row>
    <row r="1474" spans="1:2" ht="30.75" customHeight="1">
      <c r="A1474">
        <f>Table4[[#This Row],[Column1]]</f>
        <v>0</v>
      </c>
      <c r="B1474">
        <f>Table4[[#This Row],[Column2]]</f>
        <v>0</v>
      </c>
    </row>
    <row r="1475" spans="1:2" ht="30.75" customHeight="1">
      <c r="A1475">
        <f>Table4[[#This Row],[Column1]]</f>
        <v>0</v>
      </c>
      <c r="B1475">
        <f>Table4[[#This Row],[Column2]]</f>
        <v>0</v>
      </c>
    </row>
    <row r="1476" spans="1:2" ht="30.75" customHeight="1">
      <c r="A1476">
        <f>Table4[[#This Row],[Column1]]</f>
        <v>0</v>
      </c>
      <c r="B1476">
        <f>Table4[[#This Row],[Column2]]</f>
        <v>0</v>
      </c>
    </row>
    <row r="1477" spans="1:2" ht="30.75" customHeight="1">
      <c r="A1477">
        <f>Table4[[#This Row],[Column1]]</f>
        <v>0</v>
      </c>
      <c r="B1477">
        <f>Table4[[#This Row],[Column2]]</f>
        <v>0</v>
      </c>
    </row>
    <row r="1478" spans="1:2" ht="30.75" customHeight="1">
      <c r="A1478">
        <f>Table4[[#This Row],[Column1]]</f>
        <v>0</v>
      </c>
      <c r="B1478">
        <f>Table4[[#This Row],[Column2]]</f>
        <v>0</v>
      </c>
    </row>
    <row r="1479" spans="1:2" ht="30.75" customHeight="1">
      <c r="A1479">
        <f>Table4[[#This Row],[Column1]]</f>
        <v>0</v>
      </c>
      <c r="B1479">
        <f>Table4[[#This Row],[Column2]]</f>
        <v>0</v>
      </c>
    </row>
    <row r="1480" spans="1:2" ht="30.75" customHeight="1">
      <c r="A1480">
        <f>Table4[[#This Row],[Column1]]</f>
        <v>0</v>
      </c>
      <c r="B1480">
        <f>Table4[[#This Row],[Column2]]</f>
        <v>0</v>
      </c>
    </row>
    <row r="1481" spans="1:2" ht="30.75" customHeight="1">
      <c r="A1481">
        <f>Table4[[#This Row],[Column1]]</f>
        <v>0</v>
      </c>
      <c r="B1481">
        <f>Table4[[#This Row],[Column2]]</f>
        <v>0</v>
      </c>
    </row>
    <row r="1482" spans="1:2" ht="30.75" customHeight="1">
      <c r="A1482">
        <f>Table4[[#This Row],[Column1]]</f>
        <v>0</v>
      </c>
      <c r="B1482">
        <f>Table4[[#This Row],[Column2]]</f>
        <v>0</v>
      </c>
    </row>
    <row r="1483" spans="1:2" ht="30.75" customHeight="1">
      <c r="A1483">
        <f>Table4[[#This Row],[Column1]]</f>
        <v>0</v>
      </c>
      <c r="B1483">
        <f>Table4[[#This Row],[Column2]]</f>
        <v>0</v>
      </c>
    </row>
    <row r="1484" spans="1:2" ht="30.75" customHeight="1">
      <c r="A1484">
        <f>Table4[[#This Row],[Column1]]</f>
        <v>0</v>
      </c>
      <c r="B1484">
        <f>Table4[[#This Row],[Column2]]</f>
        <v>0</v>
      </c>
    </row>
    <row r="1485" spans="1:2" ht="30.75" customHeight="1">
      <c r="A1485">
        <f>Table4[[#This Row],[Column1]]</f>
        <v>0</v>
      </c>
      <c r="B1485">
        <f>Table4[[#This Row],[Column2]]</f>
        <v>0</v>
      </c>
    </row>
    <row r="1486" spans="1:2" ht="30.75" customHeight="1">
      <c r="A1486">
        <f>Table4[[#This Row],[Column1]]</f>
        <v>0</v>
      </c>
      <c r="B1486">
        <f>Table4[[#This Row],[Column2]]</f>
        <v>0</v>
      </c>
    </row>
    <row r="1487" spans="1:2" ht="30.75" customHeight="1">
      <c r="A1487">
        <f>Table4[[#This Row],[Column1]]</f>
        <v>0</v>
      </c>
      <c r="B1487">
        <f>Table4[[#This Row],[Column2]]</f>
        <v>0</v>
      </c>
    </row>
    <row r="1488" spans="1:2" ht="30.75" customHeight="1">
      <c r="A1488">
        <f>Table4[[#This Row],[Column1]]</f>
        <v>0</v>
      </c>
      <c r="B1488">
        <f>Table4[[#This Row],[Column2]]</f>
        <v>0</v>
      </c>
    </row>
    <row r="1489" spans="1:2" ht="30.75" customHeight="1">
      <c r="A1489">
        <f>Table4[[#This Row],[Column1]]</f>
        <v>0</v>
      </c>
      <c r="B1489">
        <f>Table4[[#This Row],[Column2]]</f>
        <v>0</v>
      </c>
    </row>
    <row r="1490" spans="1:2" ht="30.75" customHeight="1">
      <c r="A1490">
        <f>Table4[[#This Row],[Column1]]</f>
        <v>0</v>
      </c>
      <c r="B1490">
        <f>Table4[[#This Row],[Column2]]</f>
        <v>0</v>
      </c>
    </row>
    <row r="1491" spans="1:2" ht="30.75" customHeight="1">
      <c r="A1491">
        <f>Table4[[#This Row],[Column1]]</f>
        <v>0</v>
      </c>
      <c r="B1491">
        <f>Table4[[#This Row],[Column2]]</f>
        <v>0</v>
      </c>
    </row>
    <row r="1492" spans="1:2" ht="30.75" customHeight="1">
      <c r="A1492">
        <f>Table4[[#This Row],[Column1]]</f>
        <v>0</v>
      </c>
      <c r="B1492">
        <f>Table4[[#This Row],[Column2]]</f>
        <v>0</v>
      </c>
    </row>
    <row r="1493" spans="1:2" ht="30.75" customHeight="1">
      <c r="A1493">
        <f>Table4[[#This Row],[Column1]]</f>
        <v>0</v>
      </c>
      <c r="B1493">
        <f>Table4[[#This Row],[Column2]]</f>
        <v>0</v>
      </c>
    </row>
    <row r="1494" spans="1:2" ht="30.75" customHeight="1">
      <c r="A1494">
        <f>Table4[[#This Row],[Column1]]</f>
        <v>0</v>
      </c>
      <c r="B1494">
        <f>Table4[[#This Row],[Column2]]</f>
        <v>0</v>
      </c>
    </row>
    <row r="1495" spans="1:2" ht="30.75" customHeight="1">
      <c r="A1495">
        <f>Table4[[#This Row],[Column1]]</f>
        <v>0</v>
      </c>
      <c r="B1495">
        <f>Table4[[#This Row],[Column2]]</f>
        <v>0</v>
      </c>
    </row>
    <row r="1496" spans="1:2" ht="30.75" customHeight="1">
      <c r="A1496">
        <f>Table4[[#This Row],[Column1]]</f>
        <v>0</v>
      </c>
      <c r="B1496">
        <f>Table4[[#This Row],[Column2]]</f>
        <v>0</v>
      </c>
    </row>
    <row r="1497" spans="1:2" ht="30.75" customHeight="1">
      <c r="A1497">
        <f>Table4[[#This Row],[Column1]]</f>
        <v>0</v>
      </c>
      <c r="B1497">
        <f>Table4[[#This Row],[Column2]]</f>
        <v>0</v>
      </c>
    </row>
    <row r="1498" spans="1:2" ht="30.75" customHeight="1">
      <c r="A1498">
        <f>Table4[[#This Row],[Column1]]</f>
        <v>0</v>
      </c>
      <c r="B1498">
        <f>Table4[[#This Row],[Column2]]</f>
        <v>0</v>
      </c>
    </row>
    <row r="1499" spans="1:2" ht="30.75" customHeight="1">
      <c r="A1499">
        <f>Table4[[#This Row],[Column1]]</f>
        <v>0</v>
      </c>
      <c r="B1499">
        <f>Table4[[#This Row],[Column2]]</f>
        <v>0</v>
      </c>
    </row>
    <row r="1500" spans="1:2" ht="30.75" customHeight="1">
      <c r="A1500">
        <f>Table4[[#This Row],[Column1]]</f>
        <v>0</v>
      </c>
      <c r="B1500">
        <f>Table4[[#This Row],[Column2]]</f>
        <v>0</v>
      </c>
    </row>
    <row r="1501" spans="1:2" ht="30.75" customHeight="1">
      <c r="A1501">
        <f>Table4[[#This Row],[Column1]]</f>
        <v>0</v>
      </c>
      <c r="B1501">
        <f>Table4[[#This Row],[Column2]]</f>
        <v>0</v>
      </c>
    </row>
    <row r="1502" spans="1:2" ht="30.75" customHeight="1">
      <c r="A1502">
        <f>Table4[[#This Row],[Column1]]</f>
        <v>0</v>
      </c>
      <c r="B1502">
        <f>Table4[[#This Row],[Column2]]</f>
        <v>0</v>
      </c>
    </row>
    <row r="1503" spans="1:2" ht="30.75" customHeight="1">
      <c r="A1503">
        <f>Table4[[#This Row],[Column1]]</f>
        <v>0</v>
      </c>
      <c r="B1503">
        <f>Table4[[#This Row],[Column2]]</f>
        <v>0</v>
      </c>
    </row>
    <row r="1504" spans="1:2" ht="30.75" customHeight="1">
      <c r="A1504">
        <f>Table4[[#This Row],[Column1]]</f>
        <v>0</v>
      </c>
      <c r="B1504">
        <f>Table4[[#This Row],[Column2]]</f>
        <v>0</v>
      </c>
    </row>
    <row r="1505" spans="1:2" ht="30.75" customHeight="1">
      <c r="A1505">
        <f>Table4[[#This Row],[Column1]]</f>
        <v>0</v>
      </c>
      <c r="B1505">
        <f>Table4[[#This Row],[Column2]]</f>
        <v>0</v>
      </c>
    </row>
    <row r="1506" spans="1:2" ht="30.75" customHeight="1">
      <c r="A1506">
        <f>Table4[[#This Row],[Column1]]</f>
        <v>0</v>
      </c>
      <c r="B1506">
        <f>Table4[[#This Row],[Column2]]</f>
        <v>0</v>
      </c>
    </row>
    <row r="1507" spans="1:2" ht="30.75" customHeight="1">
      <c r="A1507">
        <f>Table4[[#This Row],[Column1]]</f>
        <v>0</v>
      </c>
      <c r="B1507">
        <f>Table4[[#This Row],[Column2]]</f>
        <v>0</v>
      </c>
    </row>
    <row r="1508" spans="1:2" ht="30.75" customHeight="1">
      <c r="A1508">
        <f>Table4[[#This Row],[Column1]]</f>
        <v>0</v>
      </c>
      <c r="B1508">
        <f>Table4[[#This Row],[Column2]]</f>
        <v>0</v>
      </c>
    </row>
    <row r="1509" spans="1:2" ht="30.75" customHeight="1">
      <c r="A1509">
        <f>Table4[[#This Row],[Column1]]</f>
        <v>0</v>
      </c>
      <c r="B1509">
        <f>Table4[[#This Row],[Column2]]</f>
        <v>0</v>
      </c>
    </row>
    <row r="1510" spans="1:2" ht="30.75" customHeight="1">
      <c r="A1510">
        <f>Table4[[#This Row],[Column1]]</f>
        <v>0</v>
      </c>
      <c r="B1510">
        <f>Table4[[#This Row],[Column2]]</f>
        <v>0</v>
      </c>
    </row>
    <row r="1511" spans="1:2" ht="30.75" customHeight="1">
      <c r="A1511">
        <f>Table4[[#This Row],[Column1]]</f>
        <v>0</v>
      </c>
      <c r="B1511">
        <f>Table4[[#This Row],[Column2]]</f>
        <v>0</v>
      </c>
    </row>
    <row r="1512" spans="1:2" ht="30.75" customHeight="1">
      <c r="A1512">
        <f>Table4[[#This Row],[Column1]]</f>
        <v>0</v>
      </c>
      <c r="B1512">
        <f>Table4[[#This Row],[Column2]]</f>
        <v>0</v>
      </c>
    </row>
    <row r="1513" spans="1:2" ht="30.75" customHeight="1">
      <c r="A1513">
        <f>Table4[[#This Row],[Column1]]</f>
        <v>0</v>
      </c>
      <c r="B1513">
        <f>Table4[[#This Row],[Column2]]</f>
        <v>0</v>
      </c>
    </row>
    <row r="1514" spans="1:2" ht="30.75" customHeight="1">
      <c r="A1514">
        <f>Table4[[#This Row],[Column1]]</f>
        <v>0</v>
      </c>
      <c r="B1514">
        <f>Table4[[#This Row],[Column2]]</f>
        <v>0</v>
      </c>
    </row>
    <row r="1515" spans="1:2" ht="30.75" customHeight="1">
      <c r="A1515">
        <f>Table4[[#This Row],[Column1]]</f>
        <v>0</v>
      </c>
      <c r="B1515">
        <f>Table4[[#This Row],[Column2]]</f>
        <v>0</v>
      </c>
    </row>
    <row r="1516" spans="1:2" ht="30.75" customHeight="1">
      <c r="A1516">
        <f>Table4[[#This Row],[Column1]]</f>
        <v>0</v>
      </c>
      <c r="B1516">
        <f>Table4[[#This Row],[Column2]]</f>
        <v>0</v>
      </c>
    </row>
    <row r="1517" spans="1:2" ht="30.75" customHeight="1">
      <c r="A1517">
        <f>Table4[[#This Row],[Column1]]</f>
        <v>0</v>
      </c>
      <c r="B1517">
        <f>Table4[[#This Row],[Column2]]</f>
        <v>0</v>
      </c>
    </row>
    <row r="1518" spans="1:2" ht="30.75" customHeight="1">
      <c r="A1518">
        <f>Table4[[#This Row],[Column1]]</f>
        <v>0</v>
      </c>
      <c r="B1518">
        <f>Table4[[#This Row],[Column2]]</f>
        <v>0</v>
      </c>
    </row>
    <row r="1519" spans="1:2" ht="30.75" customHeight="1">
      <c r="A1519">
        <f>Table4[[#This Row],[Column1]]</f>
        <v>0</v>
      </c>
      <c r="B1519">
        <f>Table4[[#This Row],[Column2]]</f>
        <v>0</v>
      </c>
    </row>
    <row r="1520" spans="1:2" ht="30.75" customHeight="1">
      <c r="A1520">
        <f>Table4[[#This Row],[Column1]]</f>
        <v>0</v>
      </c>
      <c r="B1520">
        <f>Table4[[#This Row],[Column2]]</f>
        <v>0</v>
      </c>
    </row>
    <row r="1521" spans="1:2" ht="30.75" customHeight="1">
      <c r="A1521">
        <f>Table4[[#This Row],[Column1]]</f>
        <v>0</v>
      </c>
      <c r="B1521">
        <f>Table4[[#This Row],[Column2]]</f>
        <v>0</v>
      </c>
    </row>
    <row r="1522" spans="1:2" ht="30.75" customHeight="1">
      <c r="A1522">
        <f>Table4[[#This Row],[Column1]]</f>
        <v>0</v>
      </c>
      <c r="B1522">
        <f>Table4[[#This Row],[Column2]]</f>
        <v>0</v>
      </c>
    </row>
    <row r="1523" spans="1:2" ht="30.75" customHeight="1">
      <c r="A1523">
        <f>Table4[[#This Row],[Column1]]</f>
        <v>0</v>
      </c>
      <c r="B1523">
        <f>Table4[[#This Row],[Column2]]</f>
        <v>0</v>
      </c>
    </row>
    <row r="1524" spans="1:2" ht="30.75" customHeight="1">
      <c r="A1524">
        <f>Table4[[#This Row],[Column1]]</f>
        <v>0</v>
      </c>
      <c r="B1524">
        <f>Table4[[#This Row],[Column2]]</f>
        <v>0</v>
      </c>
    </row>
    <row r="1525" spans="1:2" ht="30.75" customHeight="1">
      <c r="A1525">
        <f>Table4[[#This Row],[Column1]]</f>
        <v>0</v>
      </c>
      <c r="B1525">
        <f>Table4[[#This Row],[Column2]]</f>
        <v>0</v>
      </c>
    </row>
    <row r="1526" spans="1:2" ht="30.75" customHeight="1">
      <c r="A1526">
        <f>Table4[[#This Row],[Column1]]</f>
        <v>0</v>
      </c>
      <c r="B1526">
        <f>Table4[[#This Row],[Column2]]</f>
        <v>0</v>
      </c>
    </row>
    <row r="1527" spans="1:2" ht="30.75" customHeight="1">
      <c r="A1527">
        <f>Table4[[#This Row],[Column1]]</f>
        <v>0</v>
      </c>
      <c r="B1527">
        <f>Table4[[#This Row],[Column2]]</f>
        <v>0</v>
      </c>
    </row>
    <row r="1528" spans="1:2" ht="30.75" customHeight="1">
      <c r="A1528">
        <f>Table4[[#This Row],[Column1]]</f>
        <v>0</v>
      </c>
      <c r="B1528">
        <f>Table4[[#This Row],[Column2]]</f>
        <v>0</v>
      </c>
    </row>
    <row r="1529" spans="1:2" ht="30.75" customHeight="1">
      <c r="A1529">
        <f>Table4[[#This Row],[Column1]]</f>
        <v>0</v>
      </c>
      <c r="B1529">
        <f>Table4[[#This Row],[Column2]]</f>
        <v>0</v>
      </c>
    </row>
    <row r="1530" spans="1:2" ht="30.75" customHeight="1">
      <c r="A1530">
        <f>Table4[[#This Row],[Column1]]</f>
        <v>0</v>
      </c>
      <c r="B1530">
        <f>Table4[[#This Row],[Column2]]</f>
        <v>0</v>
      </c>
    </row>
    <row r="1531" spans="1:2" ht="30.75" customHeight="1">
      <c r="A1531">
        <f>Table4[[#This Row],[Column1]]</f>
        <v>0</v>
      </c>
      <c r="B1531">
        <f>Table4[[#This Row],[Column2]]</f>
        <v>0</v>
      </c>
    </row>
    <row r="1532" spans="1:2" ht="30.75" customHeight="1">
      <c r="A1532">
        <f>Table4[[#This Row],[Column1]]</f>
        <v>0</v>
      </c>
      <c r="B1532">
        <f>Table4[[#This Row],[Column2]]</f>
        <v>0</v>
      </c>
    </row>
    <row r="1533" spans="1:2" ht="30.75" customHeight="1">
      <c r="A1533">
        <f>Table4[[#This Row],[Column1]]</f>
        <v>0</v>
      </c>
      <c r="B1533">
        <f>Table4[[#This Row],[Column2]]</f>
        <v>0</v>
      </c>
    </row>
    <row r="1534" spans="1:2" ht="30.75" customHeight="1">
      <c r="A1534">
        <f>Table4[[#This Row],[Column1]]</f>
        <v>0</v>
      </c>
      <c r="B1534">
        <f>Table4[[#This Row],[Column2]]</f>
        <v>0</v>
      </c>
    </row>
    <row r="1535" spans="1:2" ht="30.75" customHeight="1">
      <c r="A1535">
        <f>Table4[[#This Row],[Column1]]</f>
        <v>0</v>
      </c>
      <c r="B1535">
        <f>Table4[[#This Row],[Column2]]</f>
        <v>0</v>
      </c>
    </row>
    <row r="1536" spans="1:2" ht="30.75" customHeight="1">
      <c r="A1536">
        <f>Table4[[#This Row],[Column1]]</f>
        <v>0</v>
      </c>
      <c r="B1536">
        <f>Table4[[#This Row],[Column2]]</f>
        <v>0</v>
      </c>
    </row>
    <row r="1537" spans="1:2" ht="30.75" customHeight="1">
      <c r="A1537">
        <f>Table4[[#This Row],[Column1]]</f>
        <v>0</v>
      </c>
      <c r="B1537">
        <f>Table4[[#This Row],[Column2]]</f>
        <v>0</v>
      </c>
    </row>
    <row r="1538" spans="1:2" ht="30.75" customHeight="1">
      <c r="A1538">
        <f>Table4[[#This Row],[Column1]]</f>
        <v>0</v>
      </c>
      <c r="B1538">
        <f>Table4[[#This Row],[Column2]]</f>
        <v>0</v>
      </c>
    </row>
    <row r="1539" spans="1:2" ht="30.75" customHeight="1">
      <c r="A1539">
        <f>Table4[[#This Row],[Column1]]</f>
        <v>0</v>
      </c>
      <c r="B1539">
        <f>Table4[[#This Row],[Column2]]</f>
        <v>0</v>
      </c>
    </row>
    <row r="1540" spans="1:2" ht="30.75" customHeight="1">
      <c r="A1540">
        <f>Table4[[#This Row],[Column1]]</f>
        <v>0</v>
      </c>
      <c r="B1540">
        <f>Table4[[#This Row],[Column2]]</f>
        <v>0</v>
      </c>
    </row>
    <row r="1541" spans="1:2" ht="30.75" customHeight="1">
      <c r="A1541">
        <f>Table4[[#This Row],[Column1]]</f>
        <v>0</v>
      </c>
      <c r="B1541">
        <f>Table4[[#This Row],[Column2]]</f>
        <v>0</v>
      </c>
    </row>
    <row r="1542" spans="1:2" ht="30.75" customHeight="1">
      <c r="A1542">
        <f>Table4[[#This Row],[Column1]]</f>
        <v>0</v>
      </c>
      <c r="B1542">
        <f>Table4[[#This Row],[Column2]]</f>
        <v>0</v>
      </c>
    </row>
    <row r="1543" spans="1:2" ht="30.75" customHeight="1">
      <c r="A1543">
        <f>Table4[[#This Row],[Column1]]</f>
        <v>0</v>
      </c>
      <c r="B1543">
        <f>Table4[[#This Row],[Column2]]</f>
        <v>0</v>
      </c>
    </row>
    <row r="1544" spans="1:2" ht="30.75" customHeight="1">
      <c r="A1544">
        <f>Table4[[#This Row],[Column1]]</f>
        <v>0</v>
      </c>
      <c r="B1544">
        <f>Table4[[#This Row],[Column2]]</f>
        <v>0</v>
      </c>
    </row>
    <row r="1545" spans="1:2" ht="30.75" customHeight="1">
      <c r="A1545">
        <f>Table4[[#This Row],[Column1]]</f>
        <v>0</v>
      </c>
      <c r="B1545">
        <f>Table4[[#This Row],[Column2]]</f>
        <v>0</v>
      </c>
    </row>
    <row r="1546" spans="1:2" ht="30.75" customHeight="1">
      <c r="A1546">
        <f>Table4[[#This Row],[Column1]]</f>
        <v>0</v>
      </c>
      <c r="B1546">
        <f>Table4[[#This Row],[Column2]]</f>
        <v>0</v>
      </c>
    </row>
    <row r="1547" spans="1:2" ht="30.75" customHeight="1">
      <c r="A1547">
        <f>Table4[[#This Row],[Column1]]</f>
        <v>0</v>
      </c>
      <c r="B1547">
        <f>Table4[[#This Row],[Column2]]</f>
        <v>0</v>
      </c>
    </row>
    <row r="1548" spans="1:2" ht="30.75" customHeight="1">
      <c r="A1548">
        <f>Table4[[#This Row],[Column1]]</f>
        <v>0</v>
      </c>
      <c r="B1548">
        <f>Table4[[#This Row],[Column2]]</f>
        <v>0</v>
      </c>
    </row>
    <row r="1549" spans="1:2" ht="30.75" customHeight="1">
      <c r="A1549">
        <f>Table4[[#This Row],[Column1]]</f>
        <v>0</v>
      </c>
      <c r="B1549">
        <f>Table4[[#This Row],[Column2]]</f>
        <v>0</v>
      </c>
    </row>
    <row r="1550" spans="1:2" ht="30.75" customHeight="1">
      <c r="A1550">
        <f>Table4[[#This Row],[Column1]]</f>
        <v>0</v>
      </c>
      <c r="B1550">
        <f>Table4[[#This Row],[Column2]]</f>
        <v>0</v>
      </c>
    </row>
    <row r="1551" spans="1:2" ht="30.75" customHeight="1">
      <c r="A1551">
        <f>Table4[[#This Row],[Column1]]</f>
        <v>0</v>
      </c>
      <c r="B1551">
        <f>Table4[[#This Row],[Column2]]</f>
        <v>0</v>
      </c>
    </row>
    <row r="1552" spans="1:2" ht="30.75" customHeight="1">
      <c r="A1552">
        <f>Table4[[#This Row],[Column1]]</f>
        <v>0</v>
      </c>
      <c r="B1552">
        <f>Table4[[#This Row],[Column2]]</f>
        <v>0</v>
      </c>
    </row>
    <row r="1553" spans="1:2" ht="30.75" customHeight="1">
      <c r="A1553">
        <f>Table4[[#This Row],[Column1]]</f>
        <v>0</v>
      </c>
      <c r="B1553">
        <f>Table4[[#This Row],[Column2]]</f>
        <v>0</v>
      </c>
    </row>
    <row r="1554" spans="1:2" ht="30.75" customHeight="1">
      <c r="A1554">
        <f>Table4[[#This Row],[Column1]]</f>
        <v>0</v>
      </c>
      <c r="B1554">
        <f>Table4[[#This Row],[Column2]]</f>
        <v>0</v>
      </c>
    </row>
    <row r="1555" spans="1:2" ht="30.75" customHeight="1">
      <c r="A1555">
        <f>Table4[[#This Row],[Column1]]</f>
        <v>0</v>
      </c>
      <c r="B1555">
        <f>Table4[[#This Row],[Column2]]</f>
        <v>0</v>
      </c>
    </row>
    <row r="1556" spans="1:2" ht="30.75" customHeight="1">
      <c r="A1556">
        <f>Table4[[#This Row],[Column1]]</f>
        <v>0</v>
      </c>
      <c r="B1556">
        <f>Table4[[#This Row],[Column2]]</f>
        <v>0</v>
      </c>
    </row>
    <row r="1557" spans="1:2" ht="30.75" customHeight="1">
      <c r="A1557">
        <f>Table4[[#This Row],[Column1]]</f>
        <v>0</v>
      </c>
      <c r="B1557">
        <f>Table4[[#This Row],[Column2]]</f>
        <v>0</v>
      </c>
    </row>
    <row r="1558" spans="1:2" ht="30.75" customHeight="1">
      <c r="A1558">
        <f>Table4[[#This Row],[Column1]]</f>
        <v>0</v>
      </c>
      <c r="B1558">
        <f>Table4[[#This Row],[Column2]]</f>
        <v>0</v>
      </c>
    </row>
    <row r="1559" spans="1:2" ht="30.75" customHeight="1">
      <c r="A1559">
        <f>Table4[[#This Row],[Column1]]</f>
        <v>0</v>
      </c>
      <c r="B1559">
        <f>Table4[[#This Row],[Column2]]</f>
        <v>0</v>
      </c>
    </row>
    <row r="1560" spans="1:2" ht="30.75" customHeight="1">
      <c r="A1560">
        <f>Table4[[#This Row],[Column1]]</f>
        <v>0</v>
      </c>
      <c r="B1560">
        <f>Table4[[#This Row],[Column2]]</f>
        <v>0</v>
      </c>
    </row>
    <row r="1561" spans="1:2" ht="30.75" customHeight="1">
      <c r="A1561">
        <f>Table4[[#This Row],[Column1]]</f>
        <v>0</v>
      </c>
      <c r="B1561">
        <f>Table4[[#This Row],[Column2]]</f>
        <v>0</v>
      </c>
    </row>
    <row r="1562" spans="1:2" ht="30.75" customHeight="1">
      <c r="A1562">
        <f>Table4[[#This Row],[Column1]]</f>
        <v>0</v>
      </c>
      <c r="B1562">
        <f>Table4[[#This Row],[Column2]]</f>
        <v>0</v>
      </c>
    </row>
    <row r="1563" spans="1:2" ht="30.75" customHeight="1">
      <c r="A1563">
        <f>Table4[[#This Row],[Column1]]</f>
        <v>0</v>
      </c>
      <c r="B1563">
        <f>Table4[[#This Row],[Column2]]</f>
        <v>0</v>
      </c>
    </row>
    <row r="1564" spans="1:2" ht="30.75" customHeight="1">
      <c r="A1564">
        <f>Table4[[#This Row],[Column1]]</f>
        <v>0</v>
      </c>
      <c r="B1564">
        <f>Table4[[#This Row],[Column2]]</f>
        <v>0</v>
      </c>
    </row>
    <row r="1565" spans="1:2" ht="30.75" customHeight="1">
      <c r="A1565">
        <f>Table4[[#This Row],[Column1]]</f>
        <v>0</v>
      </c>
      <c r="B1565">
        <f>Table4[[#This Row],[Column2]]</f>
        <v>0</v>
      </c>
    </row>
    <row r="1566" spans="1:2" ht="30.75" customHeight="1">
      <c r="A1566">
        <f>Table4[[#This Row],[Column1]]</f>
        <v>0</v>
      </c>
      <c r="B1566">
        <f>Table4[[#This Row],[Column2]]</f>
        <v>0</v>
      </c>
    </row>
    <row r="1567" spans="1:2" ht="30.75" customHeight="1">
      <c r="A1567">
        <f>Table4[[#This Row],[Column1]]</f>
        <v>0</v>
      </c>
      <c r="B1567">
        <f>Table4[[#This Row],[Column2]]</f>
        <v>0</v>
      </c>
    </row>
    <row r="1568" spans="1:2" ht="30.75" customHeight="1">
      <c r="A1568">
        <f>Table4[[#This Row],[Column1]]</f>
        <v>0</v>
      </c>
      <c r="B1568">
        <f>Table4[[#This Row],[Column2]]</f>
        <v>0</v>
      </c>
    </row>
    <row r="1569" spans="1:2" ht="30.75" customHeight="1">
      <c r="A1569">
        <f>Table4[[#This Row],[Column1]]</f>
        <v>0</v>
      </c>
      <c r="B1569">
        <f>Table4[[#This Row],[Column2]]</f>
        <v>0</v>
      </c>
    </row>
    <row r="1570" spans="1:2" ht="30.75" customHeight="1">
      <c r="A1570">
        <f>Table4[[#This Row],[Column1]]</f>
        <v>0</v>
      </c>
      <c r="B1570">
        <f>Table4[[#This Row],[Column2]]</f>
        <v>0</v>
      </c>
    </row>
    <row r="1571" spans="1:2" ht="30.75" customHeight="1">
      <c r="A1571">
        <f>Table4[[#This Row],[Column1]]</f>
        <v>0</v>
      </c>
      <c r="B1571">
        <f>Table4[[#This Row],[Column2]]</f>
        <v>0</v>
      </c>
    </row>
    <row r="1572" spans="1:2" ht="30.75" customHeight="1">
      <c r="A1572">
        <f>Table4[[#This Row],[Column1]]</f>
        <v>0</v>
      </c>
      <c r="B1572">
        <f>Table4[[#This Row],[Column2]]</f>
        <v>0</v>
      </c>
    </row>
    <row r="1573" spans="1:2" ht="30.75" customHeight="1">
      <c r="A1573">
        <f>Table4[[#This Row],[Column1]]</f>
        <v>0</v>
      </c>
      <c r="B1573">
        <f>Table4[[#This Row],[Column2]]</f>
        <v>0</v>
      </c>
    </row>
    <row r="1574" spans="1:2" ht="30.75" customHeight="1">
      <c r="A1574">
        <f>Table4[[#This Row],[Column1]]</f>
        <v>0</v>
      </c>
      <c r="B1574">
        <f>Table4[[#This Row],[Column2]]</f>
        <v>0</v>
      </c>
    </row>
    <row r="1575" spans="1:2" ht="30.75" customHeight="1">
      <c r="A1575">
        <f>Table4[[#This Row],[Column1]]</f>
        <v>0</v>
      </c>
      <c r="B1575">
        <f>Table4[[#This Row],[Column2]]</f>
        <v>0</v>
      </c>
    </row>
    <row r="1576" spans="1:2" ht="30.75" customHeight="1">
      <c r="A1576">
        <f>Table4[[#This Row],[Column1]]</f>
        <v>0</v>
      </c>
      <c r="B1576">
        <f>Table4[[#This Row],[Column2]]</f>
        <v>0</v>
      </c>
    </row>
    <row r="1577" spans="1:2" ht="30.75" customHeight="1">
      <c r="A1577">
        <f>Table4[[#This Row],[Column1]]</f>
        <v>0</v>
      </c>
      <c r="B1577">
        <f>Table4[[#This Row],[Column2]]</f>
        <v>0</v>
      </c>
    </row>
    <row r="1578" spans="1:2" ht="30.75" customHeight="1">
      <c r="A1578">
        <f>Table4[[#This Row],[Column1]]</f>
        <v>0</v>
      </c>
      <c r="B1578">
        <f>Table4[[#This Row],[Column2]]</f>
        <v>0</v>
      </c>
    </row>
    <row r="1579" spans="1:2" ht="30.75" customHeight="1">
      <c r="A1579">
        <f>Table4[[#This Row],[Column1]]</f>
        <v>0</v>
      </c>
      <c r="B1579">
        <f>Table4[[#This Row],[Column2]]</f>
        <v>0</v>
      </c>
    </row>
    <row r="1580" spans="1:2" ht="30.75" customHeight="1">
      <c r="A1580">
        <f>Table4[[#This Row],[Column1]]</f>
        <v>0</v>
      </c>
      <c r="B1580">
        <f>Table4[[#This Row],[Column2]]</f>
        <v>0</v>
      </c>
    </row>
    <row r="1581" spans="1:2" ht="30.75" customHeight="1">
      <c r="A1581">
        <f>Table4[[#This Row],[Column1]]</f>
        <v>0</v>
      </c>
      <c r="B1581">
        <f>Table4[[#This Row],[Column2]]</f>
        <v>0</v>
      </c>
    </row>
    <row r="1582" spans="1:2" ht="30.75" customHeight="1">
      <c r="A1582">
        <f>Table4[[#This Row],[Column1]]</f>
        <v>0</v>
      </c>
      <c r="B1582">
        <f>Table4[[#This Row],[Column2]]</f>
        <v>0</v>
      </c>
    </row>
    <row r="1583" spans="1:2" ht="30.75" customHeight="1">
      <c r="A1583">
        <f>Table4[[#This Row],[Column1]]</f>
        <v>0</v>
      </c>
      <c r="B1583">
        <f>Table4[[#This Row],[Column2]]</f>
        <v>0</v>
      </c>
    </row>
    <row r="1584" spans="1:2" ht="30.75" customHeight="1">
      <c r="A1584">
        <f>Table4[[#This Row],[Column1]]</f>
        <v>0</v>
      </c>
      <c r="B1584">
        <f>Table4[[#This Row],[Column2]]</f>
        <v>0</v>
      </c>
    </row>
    <row r="1585" spans="1:2" ht="30.75" customHeight="1">
      <c r="A1585">
        <f>Table4[[#This Row],[Column1]]</f>
        <v>0</v>
      </c>
      <c r="B1585">
        <f>Table4[[#This Row],[Column2]]</f>
        <v>0</v>
      </c>
    </row>
    <row r="1586" spans="1:2" ht="30.75" customHeight="1">
      <c r="A1586">
        <f>Table4[[#This Row],[Column1]]</f>
        <v>0</v>
      </c>
      <c r="B1586">
        <f>Table4[[#This Row],[Column2]]</f>
        <v>0</v>
      </c>
    </row>
    <row r="1587" spans="1:2" ht="30.75" customHeight="1">
      <c r="A1587">
        <f>Table4[[#This Row],[Column1]]</f>
        <v>0</v>
      </c>
      <c r="B1587">
        <f>Table4[[#This Row],[Column2]]</f>
        <v>0</v>
      </c>
    </row>
    <row r="1588" spans="1:2" ht="30.75" customHeight="1">
      <c r="A1588">
        <f>Table4[[#This Row],[Column1]]</f>
        <v>0</v>
      </c>
      <c r="B1588">
        <f>Table4[[#This Row],[Column2]]</f>
        <v>0</v>
      </c>
    </row>
    <row r="1589" spans="1:2" ht="30.75" customHeight="1">
      <c r="A1589">
        <f>Table4[[#This Row],[Column1]]</f>
        <v>0</v>
      </c>
      <c r="B1589">
        <f>Table4[[#This Row],[Column2]]</f>
        <v>0</v>
      </c>
    </row>
    <row r="1590" spans="1:2" ht="30.75" customHeight="1">
      <c r="A1590">
        <f>Table4[[#This Row],[Column1]]</f>
        <v>0</v>
      </c>
      <c r="B1590">
        <f>Table4[[#This Row],[Column2]]</f>
        <v>0</v>
      </c>
    </row>
    <row r="1591" spans="1:2" ht="30.75" customHeight="1">
      <c r="A1591">
        <f>Table4[[#This Row],[Column1]]</f>
        <v>0</v>
      </c>
      <c r="B1591">
        <f>Table4[[#This Row],[Column2]]</f>
        <v>0</v>
      </c>
    </row>
    <row r="1592" spans="1:2" ht="30.75" customHeight="1">
      <c r="A1592">
        <f>Table4[[#This Row],[Column1]]</f>
        <v>0</v>
      </c>
      <c r="B1592">
        <f>Table4[[#This Row],[Column2]]</f>
        <v>0</v>
      </c>
    </row>
    <row r="1593" spans="1:2" ht="30.75" customHeight="1">
      <c r="A1593">
        <f>Table4[[#This Row],[Column1]]</f>
        <v>0</v>
      </c>
      <c r="B1593">
        <f>Table4[[#This Row],[Column2]]</f>
        <v>0</v>
      </c>
    </row>
    <row r="1594" spans="1:2" ht="30.75" customHeight="1">
      <c r="A1594">
        <f>Table4[[#This Row],[Column1]]</f>
        <v>0</v>
      </c>
      <c r="B1594">
        <f>Table4[[#This Row],[Column2]]</f>
        <v>0</v>
      </c>
    </row>
    <row r="1595" spans="1:2" ht="30.75" customHeight="1">
      <c r="A1595">
        <f>Table4[[#This Row],[Column1]]</f>
        <v>0</v>
      </c>
      <c r="B1595">
        <f>Table4[[#This Row],[Column2]]</f>
        <v>0</v>
      </c>
    </row>
    <row r="1596" spans="1:2" ht="30.75" customHeight="1">
      <c r="A1596">
        <f>Table4[[#This Row],[Column1]]</f>
        <v>0</v>
      </c>
      <c r="B1596">
        <f>Table4[[#This Row],[Column2]]</f>
        <v>0</v>
      </c>
    </row>
    <row r="1597" spans="1:2" ht="30.75" customHeight="1">
      <c r="A1597">
        <f>Table4[[#This Row],[Column1]]</f>
        <v>0</v>
      </c>
      <c r="B1597">
        <f>Table4[[#This Row],[Column2]]</f>
        <v>0</v>
      </c>
    </row>
    <row r="1598" spans="1:2" ht="30.75" customHeight="1">
      <c r="A1598">
        <f>Table4[[#This Row],[Column1]]</f>
        <v>0</v>
      </c>
      <c r="B1598">
        <f>Table4[[#This Row],[Column2]]</f>
        <v>0</v>
      </c>
    </row>
    <row r="1599" spans="1:2" ht="30.75" customHeight="1">
      <c r="A1599">
        <f>Table4[[#This Row],[Column1]]</f>
        <v>0</v>
      </c>
      <c r="B1599">
        <f>Table4[[#This Row],[Column2]]</f>
        <v>0</v>
      </c>
    </row>
    <row r="1600" spans="1:2" ht="30.75" customHeight="1">
      <c r="A1600">
        <f>Table4[[#This Row],[Column1]]</f>
        <v>0</v>
      </c>
      <c r="B1600">
        <f>Table4[[#This Row],[Column2]]</f>
        <v>0</v>
      </c>
    </row>
    <row r="1601" spans="1:2" ht="30.75" customHeight="1">
      <c r="A1601">
        <f>Table4[[#This Row],[Column1]]</f>
        <v>0</v>
      </c>
      <c r="B1601">
        <f>Table4[[#This Row],[Column2]]</f>
        <v>0</v>
      </c>
    </row>
    <row r="1602" spans="1:2" ht="30.75" customHeight="1">
      <c r="A1602">
        <f>Table4[[#This Row],[Column1]]</f>
        <v>0</v>
      </c>
      <c r="B1602">
        <f>Table4[[#This Row],[Column2]]</f>
        <v>0</v>
      </c>
    </row>
    <row r="1603" spans="1:2" ht="30.75" customHeight="1">
      <c r="A1603">
        <f>Table4[[#This Row],[Column1]]</f>
        <v>0</v>
      </c>
      <c r="B1603">
        <f>Table4[[#This Row],[Column2]]</f>
        <v>0</v>
      </c>
    </row>
    <row r="1604" spans="1:2" ht="30.75" customHeight="1">
      <c r="A1604">
        <f>Table4[[#This Row],[Column1]]</f>
        <v>0</v>
      </c>
      <c r="B1604">
        <f>Table4[[#This Row],[Column2]]</f>
        <v>0</v>
      </c>
    </row>
    <row r="1605" spans="1:2" ht="30.75" customHeight="1">
      <c r="A1605">
        <f>Table4[[#This Row],[Column1]]</f>
        <v>0</v>
      </c>
      <c r="B1605">
        <f>Table4[[#This Row],[Column2]]</f>
        <v>0</v>
      </c>
    </row>
    <row r="1606" spans="1:2" ht="30.75" customHeight="1">
      <c r="A1606">
        <f>Table4[[#This Row],[Column1]]</f>
        <v>0</v>
      </c>
      <c r="B1606">
        <f>Table4[[#This Row],[Column2]]</f>
        <v>0</v>
      </c>
    </row>
    <row r="1607" spans="1:2" ht="30.75" customHeight="1">
      <c r="A1607">
        <f>Table4[[#This Row],[Column1]]</f>
        <v>0</v>
      </c>
      <c r="B1607">
        <f>Table4[[#This Row],[Column2]]</f>
        <v>0</v>
      </c>
    </row>
    <row r="1608" spans="1:2" ht="30.75" customHeight="1">
      <c r="A1608">
        <f>Table4[[#This Row],[Column1]]</f>
        <v>0</v>
      </c>
      <c r="B1608">
        <f>Table4[[#This Row],[Column2]]</f>
        <v>0</v>
      </c>
    </row>
    <row r="1609" spans="1:2" ht="30.75" customHeight="1">
      <c r="A1609">
        <f>Table4[[#This Row],[Column1]]</f>
        <v>0</v>
      </c>
      <c r="B1609">
        <f>Table4[[#This Row],[Column2]]</f>
        <v>0</v>
      </c>
    </row>
    <row r="1610" spans="1:2" ht="30.75" customHeight="1">
      <c r="A1610">
        <f>Table4[[#This Row],[Column1]]</f>
        <v>0</v>
      </c>
      <c r="B1610">
        <f>Table4[[#This Row],[Column2]]</f>
        <v>0</v>
      </c>
    </row>
    <row r="1611" spans="1:2" ht="30.75" customHeight="1">
      <c r="A1611">
        <f>Table4[[#This Row],[Column1]]</f>
        <v>0</v>
      </c>
      <c r="B1611">
        <f>Table4[[#This Row],[Column2]]</f>
        <v>0</v>
      </c>
    </row>
    <row r="1612" spans="1:2" ht="30.75" customHeight="1">
      <c r="A1612">
        <f>Table4[[#This Row],[Column1]]</f>
        <v>0</v>
      </c>
      <c r="B1612">
        <f>Table4[[#This Row],[Column2]]</f>
        <v>0</v>
      </c>
    </row>
    <row r="1613" spans="1:2" ht="30.75" customHeight="1">
      <c r="A1613">
        <f>Table4[[#This Row],[Column1]]</f>
        <v>0</v>
      </c>
      <c r="B1613">
        <f>Table4[[#This Row],[Column2]]</f>
        <v>0</v>
      </c>
    </row>
    <row r="1614" spans="1:2" ht="30.75" customHeight="1">
      <c r="A1614">
        <f>Table4[[#This Row],[Column1]]</f>
        <v>0</v>
      </c>
      <c r="B1614">
        <f>Table4[[#This Row],[Column2]]</f>
        <v>0</v>
      </c>
    </row>
    <row r="1615" spans="1:2" ht="30.75" customHeight="1">
      <c r="A1615">
        <f>Table4[[#This Row],[Column1]]</f>
        <v>0</v>
      </c>
      <c r="B1615">
        <f>Table4[[#This Row],[Column2]]</f>
        <v>0</v>
      </c>
    </row>
    <row r="1616" spans="1:2" ht="30.75" customHeight="1">
      <c r="A1616">
        <f>Table4[[#This Row],[Column1]]</f>
        <v>0</v>
      </c>
      <c r="B1616">
        <f>Table4[[#This Row],[Column2]]</f>
        <v>0</v>
      </c>
    </row>
    <row r="1617" spans="1:2" ht="30.75" customHeight="1">
      <c r="A1617">
        <f>Table4[[#This Row],[Column1]]</f>
        <v>0</v>
      </c>
      <c r="B1617">
        <f>Table4[[#This Row],[Column2]]</f>
        <v>0</v>
      </c>
    </row>
    <row r="1618" spans="1:2" ht="30.75" customHeight="1">
      <c r="A1618">
        <f>Table4[[#This Row],[Column1]]</f>
        <v>0</v>
      </c>
      <c r="B1618">
        <f>Table4[[#This Row],[Column2]]</f>
        <v>0</v>
      </c>
    </row>
    <row r="1619" spans="1:2" ht="30.75" customHeight="1">
      <c r="A1619">
        <f>Table4[[#This Row],[Column1]]</f>
        <v>0</v>
      </c>
      <c r="B1619">
        <f>Table4[[#This Row],[Column2]]</f>
        <v>0</v>
      </c>
    </row>
    <row r="1620" spans="1:2" ht="30.75" customHeight="1">
      <c r="A1620">
        <f>Table4[[#This Row],[Column1]]</f>
        <v>0</v>
      </c>
      <c r="B1620">
        <f>Table4[[#This Row],[Column2]]</f>
        <v>0</v>
      </c>
    </row>
    <row r="1621" spans="1:2" ht="30.75" customHeight="1">
      <c r="A1621">
        <f>Table4[[#This Row],[Column1]]</f>
        <v>0</v>
      </c>
      <c r="B1621">
        <f>Table4[[#This Row],[Column2]]</f>
        <v>0</v>
      </c>
    </row>
    <row r="1622" spans="1:2" ht="30.75" customHeight="1">
      <c r="A1622">
        <f>Table4[[#This Row],[Column1]]</f>
        <v>0</v>
      </c>
      <c r="B1622">
        <f>Table4[[#This Row],[Column2]]</f>
        <v>0</v>
      </c>
    </row>
    <row r="1623" spans="1:2" ht="30.75" customHeight="1">
      <c r="A1623">
        <f>Table4[[#This Row],[Column1]]</f>
        <v>0</v>
      </c>
      <c r="B1623">
        <f>Table4[[#This Row],[Column2]]</f>
        <v>0</v>
      </c>
    </row>
    <row r="1624" spans="1:2" ht="30.75" customHeight="1">
      <c r="A1624">
        <f>Table4[[#This Row],[Column1]]</f>
        <v>0</v>
      </c>
      <c r="B1624">
        <f>Table4[[#This Row],[Column2]]</f>
        <v>0</v>
      </c>
    </row>
    <row r="1625" spans="1:2" ht="30.75" customHeight="1">
      <c r="A1625">
        <f>Table4[[#This Row],[Column1]]</f>
        <v>0</v>
      </c>
      <c r="B1625">
        <f>Table4[[#This Row],[Column2]]</f>
        <v>0</v>
      </c>
    </row>
    <row r="1626" spans="1:2" ht="30.75" customHeight="1">
      <c r="A1626">
        <f>Table4[[#This Row],[Column1]]</f>
        <v>0</v>
      </c>
      <c r="B1626">
        <f>Table4[[#This Row],[Column2]]</f>
        <v>0</v>
      </c>
    </row>
    <row r="1627" spans="1:2" ht="30.75" customHeight="1">
      <c r="A1627">
        <f>Table4[[#This Row],[Column1]]</f>
        <v>0</v>
      </c>
      <c r="B1627">
        <f>Table4[[#This Row],[Column2]]</f>
        <v>0</v>
      </c>
    </row>
    <row r="1628" spans="1:2" ht="30.75" customHeight="1">
      <c r="A1628">
        <f>Table4[[#This Row],[Column1]]</f>
        <v>0</v>
      </c>
      <c r="B1628">
        <f>Table4[[#This Row],[Column2]]</f>
        <v>0</v>
      </c>
    </row>
    <row r="1629" spans="1:2" ht="30.75" customHeight="1">
      <c r="A1629">
        <f>Table4[[#This Row],[Column1]]</f>
        <v>0</v>
      </c>
      <c r="B1629">
        <f>Table4[[#This Row],[Column2]]</f>
        <v>0</v>
      </c>
    </row>
    <row r="1630" spans="1:2" ht="30.75" customHeight="1">
      <c r="A1630">
        <f>Table4[[#This Row],[Column1]]</f>
        <v>0</v>
      </c>
      <c r="B1630">
        <f>Table4[[#This Row],[Column2]]</f>
        <v>0</v>
      </c>
    </row>
    <row r="1631" spans="1:2" ht="30.75" customHeight="1">
      <c r="A1631">
        <f>Table4[[#This Row],[Column1]]</f>
        <v>0</v>
      </c>
      <c r="B1631">
        <f>Table4[[#This Row],[Column2]]</f>
        <v>0</v>
      </c>
    </row>
    <row r="1632" spans="1:2" ht="30.75" customHeight="1">
      <c r="A1632">
        <f>Table4[[#This Row],[Column1]]</f>
        <v>0</v>
      </c>
      <c r="B1632">
        <f>Table4[[#This Row],[Column2]]</f>
        <v>0</v>
      </c>
    </row>
    <row r="1633" spans="1:2" ht="30.75" customHeight="1">
      <c r="A1633">
        <f>Table4[[#This Row],[Column1]]</f>
        <v>0</v>
      </c>
      <c r="B1633">
        <f>Table4[[#This Row],[Column2]]</f>
        <v>0</v>
      </c>
    </row>
    <row r="1634" spans="1:2" ht="30.75" customHeight="1">
      <c r="A1634">
        <f>Table4[[#This Row],[Column1]]</f>
        <v>0</v>
      </c>
      <c r="B1634">
        <f>Table4[[#This Row],[Column2]]</f>
        <v>0</v>
      </c>
    </row>
    <row r="1635" spans="1:2" ht="30.75" customHeight="1">
      <c r="A1635">
        <f>Table4[[#This Row],[Column1]]</f>
        <v>0</v>
      </c>
      <c r="B1635">
        <f>Table4[[#This Row],[Column2]]</f>
        <v>0</v>
      </c>
    </row>
    <row r="1636" spans="1:2" ht="30.75" customHeight="1">
      <c r="A1636">
        <f>Table4[[#This Row],[Column1]]</f>
        <v>0</v>
      </c>
      <c r="B1636">
        <f>Table4[[#This Row],[Column2]]</f>
        <v>0</v>
      </c>
    </row>
    <row r="1637" spans="1:2" ht="30.75" customHeight="1">
      <c r="A1637">
        <f>Table4[[#This Row],[Column1]]</f>
        <v>0</v>
      </c>
      <c r="B1637">
        <f>Table4[[#This Row],[Column2]]</f>
        <v>0</v>
      </c>
    </row>
    <row r="1638" spans="1:2" ht="30.75" customHeight="1">
      <c r="A1638">
        <f>Table4[[#This Row],[Column1]]</f>
        <v>0</v>
      </c>
      <c r="B1638">
        <f>Table4[[#This Row],[Column2]]</f>
        <v>0</v>
      </c>
    </row>
    <row r="1639" spans="1:2" ht="30.75" customHeight="1">
      <c r="A1639">
        <f>Table4[[#This Row],[Column1]]</f>
        <v>0</v>
      </c>
      <c r="B1639">
        <f>Table4[[#This Row],[Column2]]</f>
        <v>0</v>
      </c>
    </row>
    <row r="1640" spans="1:2" ht="30.75" customHeight="1">
      <c r="A1640">
        <f>Table4[[#This Row],[Column1]]</f>
        <v>0</v>
      </c>
      <c r="B1640">
        <f>Table4[[#This Row],[Column2]]</f>
        <v>0</v>
      </c>
    </row>
    <row r="1641" spans="1:2" ht="30.75" customHeight="1">
      <c r="A1641">
        <f>Table4[[#This Row],[Column1]]</f>
        <v>0</v>
      </c>
      <c r="B1641">
        <f>Table4[[#This Row],[Column2]]</f>
        <v>0</v>
      </c>
    </row>
    <row r="1642" spans="1:2" ht="30.75" customHeight="1">
      <c r="A1642">
        <f>Table4[[#This Row],[Column1]]</f>
        <v>0</v>
      </c>
      <c r="B1642">
        <f>Table4[[#This Row],[Column2]]</f>
        <v>0</v>
      </c>
    </row>
    <row r="1643" spans="1:2" ht="30.75" customHeight="1">
      <c r="A1643">
        <f>Table4[[#This Row],[Column1]]</f>
        <v>0</v>
      </c>
      <c r="B1643">
        <f>Table4[[#This Row],[Column2]]</f>
        <v>0</v>
      </c>
    </row>
    <row r="1644" spans="1:2" ht="30.75" customHeight="1">
      <c r="A1644">
        <f>Table4[[#This Row],[Column1]]</f>
        <v>0</v>
      </c>
      <c r="B1644">
        <f>Table4[[#This Row],[Column2]]</f>
        <v>0</v>
      </c>
    </row>
    <row r="1645" spans="1:2" ht="30.75" customHeight="1">
      <c r="A1645">
        <f>Table4[[#This Row],[Column1]]</f>
        <v>0</v>
      </c>
      <c r="B1645">
        <f>Table4[[#This Row],[Column2]]</f>
        <v>0</v>
      </c>
    </row>
    <row r="1646" spans="1:2" ht="30.75" customHeight="1">
      <c r="A1646">
        <f>Table4[[#This Row],[Column1]]</f>
        <v>0</v>
      </c>
      <c r="B1646">
        <f>Table4[[#This Row],[Column2]]</f>
        <v>0</v>
      </c>
    </row>
    <row r="1647" spans="1:2" ht="30.75" customHeight="1">
      <c r="A1647">
        <f>Table4[[#This Row],[Column1]]</f>
        <v>0</v>
      </c>
      <c r="B1647">
        <f>Table4[[#This Row],[Column2]]</f>
        <v>0</v>
      </c>
    </row>
    <row r="1648" spans="1:2" ht="30.75" customHeight="1">
      <c r="A1648">
        <f>Table4[[#This Row],[Column1]]</f>
        <v>0</v>
      </c>
      <c r="B1648">
        <f>Table4[[#This Row],[Column2]]</f>
        <v>0</v>
      </c>
    </row>
    <row r="1649" spans="1:2" ht="30.75" customHeight="1">
      <c r="A1649">
        <f>Table4[[#This Row],[Column1]]</f>
        <v>0</v>
      </c>
      <c r="B1649">
        <f>Table4[[#This Row],[Column2]]</f>
        <v>0</v>
      </c>
    </row>
    <row r="1650" spans="1:2" ht="30.75" customHeight="1">
      <c r="A1650">
        <f>Table4[[#This Row],[Column1]]</f>
        <v>0</v>
      </c>
      <c r="B1650">
        <f>Table4[[#This Row],[Column2]]</f>
        <v>0</v>
      </c>
    </row>
    <row r="1651" spans="1:2" ht="30.75" customHeight="1">
      <c r="A1651">
        <f>Table4[[#This Row],[Column1]]</f>
        <v>0</v>
      </c>
      <c r="B1651">
        <f>Table4[[#This Row],[Column2]]</f>
        <v>0</v>
      </c>
    </row>
    <row r="1652" spans="1:2" ht="30.75" customHeight="1">
      <c r="A1652">
        <f>Table4[[#This Row],[Column1]]</f>
        <v>0</v>
      </c>
      <c r="B1652">
        <f>Table4[[#This Row],[Column2]]</f>
        <v>0</v>
      </c>
    </row>
    <row r="1653" spans="1:2" ht="30.75" customHeight="1">
      <c r="A1653">
        <f>Table4[[#This Row],[Column1]]</f>
        <v>0</v>
      </c>
      <c r="B1653">
        <f>Table4[[#This Row],[Column2]]</f>
        <v>0</v>
      </c>
    </row>
    <row r="1654" spans="1:2" ht="30.75" customHeight="1">
      <c r="A1654">
        <f>Table4[[#This Row],[Column1]]</f>
        <v>0</v>
      </c>
      <c r="B1654">
        <f>Table4[[#This Row],[Column2]]</f>
        <v>0</v>
      </c>
    </row>
    <row r="1655" spans="1:2" ht="30.75" customHeight="1">
      <c r="A1655">
        <f>Table4[[#This Row],[Column1]]</f>
        <v>0</v>
      </c>
      <c r="B1655">
        <f>Table4[[#This Row],[Column2]]</f>
        <v>0</v>
      </c>
    </row>
    <row r="1656" spans="1:2" ht="30.75" customHeight="1">
      <c r="A1656">
        <f>Table4[[#This Row],[Column1]]</f>
        <v>0</v>
      </c>
      <c r="B1656">
        <f>Table4[[#This Row],[Column2]]</f>
        <v>0</v>
      </c>
    </row>
    <row r="1657" spans="1:2" ht="30.75" customHeight="1">
      <c r="A1657">
        <f>Table4[[#This Row],[Column1]]</f>
        <v>0</v>
      </c>
      <c r="B1657">
        <f>Table4[[#This Row],[Column2]]</f>
        <v>0</v>
      </c>
    </row>
    <row r="1658" spans="1:2" ht="30.75" customHeight="1">
      <c r="A1658">
        <f>Table4[[#This Row],[Column1]]</f>
        <v>0</v>
      </c>
      <c r="B1658">
        <f>Table4[[#This Row],[Column2]]</f>
        <v>0</v>
      </c>
    </row>
    <row r="1659" spans="1:2" ht="30.75" customHeight="1">
      <c r="A1659">
        <f>Table4[[#This Row],[Column1]]</f>
        <v>0</v>
      </c>
      <c r="B1659">
        <f>Table4[[#This Row],[Column2]]</f>
        <v>0</v>
      </c>
    </row>
    <row r="1660" spans="1:2" ht="30.75" customHeight="1">
      <c r="A1660">
        <f>Table4[[#This Row],[Column1]]</f>
        <v>0</v>
      </c>
      <c r="B1660">
        <f>Table4[[#This Row],[Column2]]</f>
        <v>0</v>
      </c>
    </row>
    <row r="1661" spans="1:2" ht="30.75" customHeight="1">
      <c r="A1661">
        <f>Table4[[#This Row],[Column1]]</f>
        <v>0</v>
      </c>
      <c r="B1661">
        <f>Table4[[#This Row],[Column2]]</f>
        <v>0</v>
      </c>
    </row>
    <row r="1662" spans="1:2" ht="30.75" customHeight="1">
      <c r="A1662">
        <f>Table4[[#This Row],[Column1]]</f>
        <v>0</v>
      </c>
      <c r="B1662">
        <f>Table4[[#This Row],[Column2]]</f>
        <v>0</v>
      </c>
    </row>
    <row r="1663" spans="1:2" ht="30.75" customHeight="1">
      <c r="A1663">
        <f>Table4[[#This Row],[Column1]]</f>
        <v>0</v>
      </c>
      <c r="B1663">
        <f>Table4[[#This Row],[Column2]]</f>
        <v>0</v>
      </c>
    </row>
    <row r="1664" spans="1:2" ht="30.75" customHeight="1">
      <c r="A1664">
        <f>Table4[[#This Row],[Column1]]</f>
        <v>0</v>
      </c>
      <c r="B1664">
        <f>Table4[[#This Row],[Column2]]</f>
        <v>0</v>
      </c>
    </row>
    <row r="1665" spans="1:2" ht="30.75" customHeight="1">
      <c r="A1665">
        <f>Table4[[#This Row],[Column1]]</f>
        <v>0</v>
      </c>
      <c r="B1665">
        <f>Table4[[#This Row],[Column2]]</f>
        <v>0</v>
      </c>
    </row>
    <row r="1666" spans="1:2" ht="30.75" customHeight="1">
      <c r="A1666">
        <f>Table4[[#This Row],[Column1]]</f>
        <v>0</v>
      </c>
      <c r="B1666">
        <f>Table4[[#This Row],[Column2]]</f>
        <v>0</v>
      </c>
    </row>
    <row r="1667" spans="1:2" ht="30.75" customHeight="1">
      <c r="A1667">
        <f>Table4[[#This Row],[Column1]]</f>
        <v>0</v>
      </c>
      <c r="B1667">
        <f>Table4[[#This Row],[Column2]]</f>
        <v>0</v>
      </c>
    </row>
    <row r="1668" spans="1:2" ht="30.75" customHeight="1">
      <c r="A1668">
        <f>Table4[[#This Row],[Column1]]</f>
        <v>0</v>
      </c>
      <c r="B1668">
        <f>Table4[[#This Row],[Column2]]</f>
        <v>0</v>
      </c>
    </row>
    <row r="1669" spans="1:2" ht="30.75" customHeight="1">
      <c r="A1669">
        <f>Table4[[#This Row],[Column1]]</f>
        <v>0</v>
      </c>
      <c r="B1669">
        <f>Table4[[#This Row],[Column2]]</f>
        <v>0</v>
      </c>
    </row>
    <row r="1670" spans="1:2" ht="30.75" customHeight="1">
      <c r="A1670">
        <f>Table4[[#This Row],[Column1]]</f>
        <v>0</v>
      </c>
      <c r="B1670">
        <f>Table4[[#This Row],[Column2]]</f>
        <v>0</v>
      </c>
    </row>
    <row r="1671" spans="1:2" ht="30.75" customHeight="1">
      <c r="A1671">
        <f>Table4[[#This Row],[Column1]]</f>
        <v>0</v>
      </c>
      <c r="B1671">
        <f>Table4[[#This Row],[Column2]]</f>
        <v>0</v>
      </c>
    </row>
    <row r="1672" spans="1:2" ht="30.75" customHeight="1">
      <c r="A1672">
        <f>Table4[[#This Row],[Column1]]</f>
        <v>0</v>
      </c>
      <c r="B1672">
        <f>Table4[[#This Row],[Column2]]</f>
        <v>0</v>
      </c>
    </row>
    <row r="1673" spans="1:2" ht="30.75" customHeight="1">
      <c r="A1673">
        <f>Table4[[#This Row],[Column1]]</f>
        <v>0</v>
      </c>
      <c r="B1673">
        <f>Table4[[#This Row],[Column2]]</f>
        <v>0</v>
      </c>
    </row>
    <row r="1674" spans="1:2" ht="30.75" customHeight="1">
      <c r="A1674">
        <f>Table4[[#This Row],[Column1]]</f>
        <v>0</v>
      </c>
      <c r="B1674">
        <f>Table4[[#This Row],[Column2]]</f>
        <v>0</v>
      </c>
    </row>
    <row r="1675" spans="1:2" ht="30.75" customHeight="1">
      <c r="A1675">
        <f>Table4[[#This Row],[Column1]]</f>
        <v>0</v>
      </c>
      <c r="B1675">
        <f>Table4[[#This Row],[Column2]]</f>
        <v>0</v>
      </c>
    </row>
    <row r="1676" spans="1:2" ht="30.75" customHeight="1">
      <c r="A1676">
        <f>Table4[[#This Row],[Column1]]</f>
        <v>0</v>
      </c>
      <c r="B1676">
        <f>Table4[[#This Row],[Column2]]</f>
        <v>0</v>
      </c>
    </row>
    <row r="1677" spans="1:2" ht="30.75" customHeight="1">
      <c r="A1677">
        <f>Table4[[#This Row],[Column1]]</f>
        <v>0</v>
      </c>
      <c r="B1677">
        <f>Table4[[#This Row],[Column2]]</f>
        <v>0</v>
      </c>
    </row>
    <row r="1678" spans="1:2" ht="30.75" customHeight="1">
      <c r="A1678">
        <f>Table4[[#This Row],[Column1]]</f>
        <v>0</v>
      </c>
      <c r="B1678">
        <f>Table4[[#This Row],[Column2]]</f>
        <v>0</v>
      </c>
    </row>
    <row r="1679" spans="1:2" ht="30.75" customHeight="1">
      <c r="A1679">
        <f>Table4[[#This Row],[Column1]]</f>
        <v>0</v>
      </c>
      <c r="B1679">
        <f>Table4[[#This Row],[Column2]]</f>
        <v>0</v>
      </c>
    </row>
    <row r="1680" spans="1:2" ht="30.75" customHeight="1">
      <c r="A1680">
        <f>Table4[[#This Row],[Column1]]</f>
        <v>0</v>
      </c>
      <c r="B1680">
        <f>Table4[[#This Row],[Column2]]</f>
        <v>0</v>
      </c>
    </row>
    <row r="1681" spans="1:2" ht="30.75" customHeight="1">
      <c r="A1681">
        <f>Table4[[#This Row],[Column1]]</f>
        <v>0</v>
      </c>
      <c r="B1681">
        <f>Table4[[#This Row],[Column2]]</f>
        <v>0</v>
      </c>
    </row>
    <row r="1682" spans="1:2" ht="30.75" customHeight="1">
      <c r="A1682">
        <f>Table4[[#This Row],[Column1]]</f>
        <v>0</v>
      </c>
      <c r="B1682">
        <f>Table4[[#This Row],[Column2]]</f>
        <v>0</v>
      </c>
    </row>
    <row r="1683" spans="1:2" ht="30.75" customHeight="1">
      <c r="A1683">
        <f>Table4[[#This Row],[Column1]]</f>
        <v>0</v>
      </c>
      <c r="B1683">
        <f>Table4[[#This Row],[Column2]]</f>
        <v>0</v>
      </c>
    </row>
    <row r="1684" spans="1:2" ht="30.75" customHeight="1">
      <c r="A1684">
        <f>Table4[[#This Row],[Column1]]</f>
        <v>0</v>
      </c>
      <c r="B1684">
        <f>Table4[[#This Row],[Column2]]</f>
        <v>0</v>
      </c>
    </row>
    <row r="1685" spans="1:2" ht="30.75" customHeight="1">
      <c r="A1685">
        <f>Table4[[#This Row],[Column1]]</f>
        <v>0</v>
      </c>
      <c r="B1685">
        <f>Table4[[#This Row],[Column2]]</f>
        <v>0</v>
      </c>
    </row>
    <row r="1686" spans="1:2" ht="30.75" customHeight="1">
      <c r="A1686">
        <f>Table4[[#This Row],[Column1]]</f>
        <v>0</v>
      </c>
      <c r="B1686">
        <f>Table4[[#This Row],[Column2]]</f>
        <v>0</v>
      </c>
    </row>
    <row r="1687" spans="1:2" ht="30.75" customHeight="1">
      <c r="A1687">
        <f>Table4[[#This Row],[Column1]]</f>
        <v>0</v>
      </c>
      <c r="B1687">
        <f>Table4[[#This Row],[Column2]]</f>
        <v>0</v>
      </c>
    </row>
    <row r="1688" spans="1:2" ht="30.75" customHeight="1">
      <c r="A1688">
        <f>Table4[[#This Row],[Column1]]</f>
        <v>0</v>
      </c>
      <c r="B1688">
        <f>Table4[[#This Row],[Column2]]</f>
        <v>0</v>
      </c>
    </row>
    <row r="1689" spans="1:2" ht="30.75" customHeight="1">
      <c r="A1689">
        <f>Table4[[#This Row],[Column1]]</f>
        <v>0</v>
      </c>
      <c r="B1689">
        <f>Table4[[#This Row],[Column2]]</f>
        <v>0</v>
      </c>
    </row>
    <row r="1690" spans="1:2" ht="30.75" customHeight="1">
      <c r="A1690">
        <f>Table4[[#This Row],[Column1]]</f>
        <v>0</v>
      </c>
      <c r="B1690">
        <f>Table4[[#This Row],[Column2]]</f>
        <v>0</v>
      </c>
    </row>
    <row r="1691" spans="1:2" ht="30.75" customHeight="1">
      <c r="A1691">
        <f>Table4[[#This Row],[Column1]]</f>
        <v>0</v>
      </c>
      <c r="B1691">
        <f>Table4[[#This Row],[Column2]]</f>
        <v>0</v>
      </c>
    </row>
    <row r="1692" spans="1:2" ht="30.75" customHeight="1">
      <c r="A1692">
        <f>Table4[[#This Row],[Column1]]</f>
        <v>0</v>
      </c>
      <c r="B1692">
        <f>Table4[[#This Row],[Column2]]</f>
        <v>0</v>
      </c>
    </row>
    <row r="1693" spans="1:2" ht="30.75" customHeight="1">
      <c r="A1693">
        <f>Table4[[#This Row],[Column1]]</f>
        <v>0</v>
      </c>
      <c r="B1693">
        <f>Table4[[#This Row],[Column2]]</f>
        <v>0</v>
      </c>
    </row>
    <row r="1694" spans="1:2" ht="30.75" customHeight="1">
      <c r="A1694">
        <f>Table4[[#This Row],[Column1]]</f>
        <v>0</v>
      </c>
      <c r="B1694">
        <f>Table4[[#This Row],[Column2]]</f>
        <v>0</v>
      </c>
    </row>
    <row r="1695" spans="1:2" ht="30.75" customHeight="1">
      <c r="A1695">
        <f>Table4[[#This Row],[Column1]]</f>
        <v>0</v>
      </c>
      <c r="B1695">
        <f>Table4[[#This Row],[Column2]]</f>
        <v>0</v>
      </c>
    </row>
    <row r="1696" spans="1:2" ht="30.75" customHeight="1">
      <c r="A1696">
        <f>Table4[[#This Row],[Column1]]</f>
        <v>0</v>
      </c>
      <c r="B1696">
        <f>Table4[[#This Row],[Column2]]</f>
        <v>0</v>
      </c>
    </row>
    <row r="1697" spans="1:2" ht="30.75" customHeight="1">
      <c r="A1697">
        <f>Table4[[#This Row],[Column1]]</f>
        <v>0</v>
      </c>
      <c r="B1697">
        <f>Table4[[#This Row],[Column2]]</f>
        <v>0</v>
      </c>
    </row>
    <row r="1698" spans="1:2" ht="30.75" customHeight="1">
      <c r="A1698">
        <f>Table4[[#This Row],[Column1]]</f>
        <v>0</v>
      </c>
      <c r="B1698">
        <f>Table4[[#This Row],[Column2]]</f>
        <v>0</v>
      </c>
    </row>
    <row r="1699" spans="1:2" ht="30.75" customHeight="1">
      <c r="A1699">
        <f>Table4[[#This Row],[Column1]]</f>
        <v>0</v>
      </c>
      <c r="B1699">
        <f>Table4[[#This Row],[Column2]]</f>
        <v>0</v>
      </c>
    </row>
    <row r="1700" spans="1:2" ht="30.75" customHeight="1">
      <c r="A1700">
        <f>Table4[[#This Row],[Column1]]</f>
        <v>0</v>
      </c>
      <c r="B1700">
        <f>Table4[[#This Row],[Column2]]</f>
        <v>0</v>
      </c>
    </row>
    <row r="1701" spans="1:2" ht="30.75" customHeight="1">
      <c r="A1701">
        <f>Table4[[#This Row],[Column1]]</f>
        <v>0</v>
      </c>
      <c r="B1701">
        <f>Table4[[#This Row],[Column2]]</f>
        <v>0</v>
      </c>
    </row>
    <row r="1702" spans="1:2" ht="30.75" customHeight="1">
      <c r="A1702">
        <f>Table4[[#This Row],[Column1]]</f>
        <v>0</v>
      </c>
      <c r="B1702">
        <f>Table4[[#This Row],[Column2]]</f>
        <v>0</v>
      </c>
    </row>
    <row r="1703" spans="1:2" ht="30.75" customHeight="1">
      <c r="A1703">
        <f>Table4[[#This Row],[Column1]]</f>
        <v>0</v>
      </c>
      <c r="B1703">
        <f>Table4[[#This Row],[Column2]]</f>
        <v>0</v>
      </c>
    </row>
    <row r="1704" spans="1:2" ht="30.75" customHeight="1">
      <c r="A1704">
        <f>Table4[[#This Row],[Column1]]</f>
        <v>0</v>
      </c>
      <c r="B1704">
        <f>Table4[[#This Row],[Column2]]</f>
        <v>0</v>
      </c>
    </row>
    <row r="1705" spans="1:2" ht="30.75" customHeight="1">
      <c r="A1705">
        <f>Table4[[#This Row],[Column1]]</f>
        <v>0</v>
      </c>
      <c r="B1705">
        <f>Table4[[#This Row],[Column2]]</f>
        <v>0</v>
      </c>
    </row>
    <row r="1706" spans="1:2" ht="30.75" customHeight="1">
      <c r="A1706">
        <f>Table4[[#This Row],[Column1]]</f>
        <v>0</v>
      </c>
      <c r="B1706">
        <f>Table4[[#This Row],[Column2]]</f>
        <v>0</v>
      </c>
    </row>
    <row r="1707" spans="1:2" ht="30.75" customHeight="1">
      <c r="A1707">
        <f>Table4[[#This Row],[Column1]]</f>
        <v>0</v>
      </c>
      <c r="B1707">
        <f>Table4[[#This Row],[Column2]]</f>
        <v>0</v>
      </c>
    </row>
    <row r="1708" spans="1:2" ht="30.75" customHeight="1">
      <c r="A1708">
        <f>Table4[[#This Row],[Column1]]</f>
        <v>0</v>
      </c>
      <c r="B1708">
        <f>Table4[[#This Row],[Column2]]</f>
        <v>0</v>
      </c>
    </row>
    <row r="1709" spans="1:2" ht="30.75" customHeight="1">
      <c r="A1709">
        <f>Table4[[#This Row],[Column1]]</f>
        <v>0</v>
      </c>
      <c r="B1709">
        <f>Table4[[#This Row],[Column2]]</f>
        <v>0</v>
      </c>
    </row>
    <row r="1710" spans="1:2" ht="30.75" customHeight="1">
      <c r="A1710">
        <f>Table4[[#This Row],[Column1]]</f>
        <v>0</v>
      </c>
      <c r="B1710">
        <f>Table4[[#This Row],[Column2]]</f>
        <v>0</v>
      </c>
    </row>
    <row r="1711" spans="1:2" ht="30.75" customHeight="1">
      <c r="A1711">
        <f>Table4[[#This Row],[Column1]]</f>
        <v>0</v>
      </c>
      <c r="B1711">
        <f>Table4[[#This Row],[Column2]]</f>
        <v>0</v>
      </c>
    </row>
    <row r="1712" spans="1:2" ht="30.75" customHeight="1">
      <c r="A1712">
        <f>Table4[[#This Row],[Column1]]</f>
        <v>0</v>
      </c>
      <c r="B1712">
        <f>Table4[[#This Row],[Column2]]</f>
        <v>0</v>
      </c>
    </row>
    <row r="1713" spans="1:2" ht="30.75" customHeight="1">
      <c r="A1713">
        <f>Table4[[#This Row],[Column1]]</f>
        <v>0</v>
      </c>
      <c r="B1713">
        <f>Table4[[#This Row],[Column2]]</f>
        <v>0</v>
      </c>
    </row>
    <row r="1714" spans="1:2" ht="30.75" customHeight="1">
      <c r="A1714">
        <f>Table4[[#This Row],[Column1]]</f>
        <v>0</v>
      </c>
      <c r="B1714">
        <f>Table4[[#This Row],[Column2]]</f>
        <v>0</v>
      </c>
    </row>
    <row r="1715" spans="1:2" ht="30.75" customHeight="1">
      <c r="A1715">
        <f>Table4[[#This Row],[Column1]]</f>
        <v>0</v>
      </c>
      <c r="B1715">
        <f>Table4[[#This Row],[Column2]]</f>
        <v>0</v>
      </c>
    </row>
    <row r="1716" spans="1:2" ht="30.75" customHeight="1">
      <c r="A1716">
        <f>Table4[[#This Row],[Column1]]</f>
        <v>0</v>
      </c>
      <c r="B1716">
        <f>Table4[[#This Row],[Column2]]</f>
        <v>0</v>
      </c>
    </row>
    <row r="1717" spans="1:2" ht="30.75" customHeight="1">
      <c r="A1717">
        <f>Table4[[#This Row],[Column1]]</f>
        <v>0</v>
      </c>
      <c r="B1717">
        <f>Table4[[#This Row],[Column2]]</f>
        <v>0</v>
      </c>
    </row>
    <row r="1718" spans="1:2" ht="30.75" customHeight="1">
      <c r="A1718">
        <f>Table4[[#This Row],[Column1]]</f>
        <v>0</v>
      </c>
      <c r="B1718">
        <f>Table4[[#This Row],[Column2]]</f>
        <v>0</v>
      </c>
    </row>
    <row r="1719" spans="1:2" ht="30.75" customHeight="1">
      <c r="A1719">
        <f>Table4[[#This Row],[Column1]]</f>
        <v>0</v>
      </c>
      <c r="B1719">
        <f>Table4[[#This Row],[Column2]]</f>
        <v>0</v>
      </c>
    </row>
    <row r="1720" spans="1:2" ht="30.75" customHeight="1">
      <c r="A1720">
        <f>Table4[[#This Row],[Column1]]</f>
        <v>0</v>
      </c>
      <c r="B1720">
        <f>Table4[[#This Row],[Column2]]</f>
        <v>0</v>
      </c>
    </row>
    <row r="1721" spans="1:2" ht="30.75" customHeight="1">
      <c r="A1721">
        <f>Table4[[#This Row],[Column1]]</f>
        <v>0</v>
      </c>
      <c r="B1721">
        <f>Table4[[#This Row],[Column2]]</f>
        <v>0</v>
      </c>
    </row>
    <row r="1722" spans="1:2" ht="30.75" customHeight="1">
      <c r="A1722">
        <f>Table4[[#This Row],[Column1]]</f>
        <v>0</v>
      </c>
      <c r="B1722">
        <f>Table4[[#This Row],[Column2]]</f>
        <v>0</v>
      </c>
    </row>
    <row r="1723" spans="1:2" ht="30.75" customHeight="1">
      <c r="A1723">
        <f>Table4[[#This Row],[Column1]]</f>
        <v>0</v>
      </c>
      <c r="B1723">
        <f>Table4[[#This Row],[Column2]]</f>
        <v>0</v>
      </c>
    </row>
    <row r="1724" spans="1:2" ht="30.75" customHeight="1">
      <c r="A1724">
        <f>Table4[[#This Row],[Column1]]</f>
        <v>0</v>
      </c>
      <c r="B1724">
        <f>Table4[[#This Row],[Column2]]</f>
        <v>0</v>
      </c>
    </row>
    <row r="1725" spans="1:2" ht="30.75" customHeight="1">
      <c r="A1725">
        <f>Table4[[#This Row],[Column1]]</f>
        <v>0</v>
      </c>
      <c r="B1725">
        <f>Table4[[#This Row],[Column2]]</f>
        <v>0</v>
      </c>
    </row>
    <row r="1726" spans="1:2" ht="30.75" customHeight="1">
      <c r="A1726">
        <f>Table4[[#This Row],[Column1]]</f>
        <v>0</v>
      </c>
      <c r="B1726">
        <f>Table4[[#This Row],[Column2]]</f>
        <v>0</v>
      </c>
    </row>
    <row r="1727" spans="1:2" ht="30.75" customHeight="1">
      <c r="A1727">
        <f>Table4[[#This Row],[Column1]]</f>
        <v>0</v>
      </c>
      <c r="B1727">
        <f>Table4[[#This Row],[Column2]]</f>
        <v>0</v>
      </c>
    </row>
    <row r="1728" spans="1:2" ht="30.75" customHeight="1">
      <c r="A1728">
        <f>Table4[[#This Row],[Column1]]</f>
        <v>0</v>
      </c>
      <c r="B1728">
        <f>Table4[[#This Row],[Column2]]</f>
        <v>0</v>
      </c>
    </row>
    <row r="1729" spans="1:2" ht="30.75" customHeight="1">
      <c r="A1729">
        <f>Table4[[#This Row],[Column1]]</f>
        <v>0</v>
      </c>
      <c r="B1729">
        <f>Table4[[#This Row],[Column2]]</f>
        <v>0</v>
      </c>
    </row>
    <row r="1730" spans="1:2" ht="30.75" customHeight="1">
      <c r="A1730">
        <f>Table4[[#This Row],[Column1]]</f>
        <v>0</v>
      </c>
      <c r="B1730">
        <f>Table4[[#This Row],[Column2]]</f>
        <v>0</v>
      </c>
    </row>
    <row r="1731" spans="1:2" ht="30.75" customHeight="1">
      <c r="A1731">
        <f>Table4[[#This Row],[Column1]]</f>
        <v>0</v>
      </c>
      <c r="B1731">
        <f>Table4[[#This Row],[Column2]]</f>
        <v>0</v>
      </c>
    </row>
    <row r="1732" spans="1:2" ht="30.75" customHeight="1">
      <c r="A1732">
        <f>Table4[[#This Row],[Column1]]</f>
        <v>0</v>
      </c>
      <c r="B1732">
        <f>Table4[[#This Row],[Column2]]</f>
        <v>0</v>
      </c>
    </row>
    <row r="1733" spans="1:2" ht="30.75" customHeight="1">
      <c r="A1733">
        <f>Table4[[#This Row],[Column1]]</f>
        <v>0</v>
      </c>
      <c r="B1733">
        <f>Table4[[#This Row],[Column2]]</f>
        <v>0</v>
      </c>
    </row>
    <row r="1734" spans="1:2" ht="30.75" customHeight="1">
      <c r="A1734">
        <f>Table4[[#This Row],[Column1]]</f>
        <v>0</v>
      </c>
      <c r="B1734">
        <f>Table4[[#This Row],[Column2]]</f>
        <v>0</v>
      </c>
    </row>
    <row r="1735" spans="1:2" ht="30.75" customHeight="1">
      <c r="A1735">
        <f>Table4[[#This Row],[Column1]]</f>
        <v>0</v>
      </c>
      <c r="B1735">
        <f>Table4[[#This Row],[Column2]]</f>
        <v>0</v>
      </c>
    </row>
    <row r="1736" spans="1:2" ht="30.75" customHeight="1">
      <c r="A1736">
        <f>Table4[[#This Row],[Column1]]</f>
        <v>0</v>
      </c>
      <c r="B1736">
        <f>Table4[[#This Row],[Column2]]</f>
        <v>0</v>
      </c>
    </row>
    <row r="1737" spans="1:2" ht="30.75" customHeight="1">
      <c r="A1737">
        <f>Table4[[#This Row],[Column1]]</f>
        <v>0</v>
      </c>
      <c r="B1737">
        <f>Table4[[#This Row],[Column2]]</f>
        <v>0</v>
      </c>
    </row>
    <row r="1738" spans="1:2" ht="30.75" customHeight="1">
      <c r="A1738">
        <f>Table4[[#This Row],[Column1]]</f>
        <v>0</v>
      </c>
      <c r="B1738">
        <f>Table4[[#This Row],[Column2]]</f>
        <v>0</v>
      </c>
    </row>
    <row r="1739" spans="1:2" ht="30.75" customHeight="1">
      <c r="A1739">
        <f>Table4[[#This Row],[Column1]]</f>
        <v>0</v>
      </c>
      <c r="B1739">
        <f>Table4[[#This Row],[Column2]]</f>
        <v>0</v>
      </c>
    </row>
    <row r="1740" spans="1:2" ht="30.75" customHeight="1">
      <c r="A1740">
        <f>Table4[[#This Row],[Column1]]</f>
        <v>0</v>
      </c>
      <c r="B1740">
        <f>Table4[[#This Row],[Column2]]</f>
        <v>0</v>
      </c>
    </row>
    <row r="1741" spans="1:2" ht="30.75" customHeight="1">
      <c r="A1741">
        <f>Table4[[#This Row],[Column1]]</f>
        <v>0</v>
      </c>
      <c r="B1741">
        <f>Table4[[#This Row],[Column2]]</f>
        <v>0</v>
      </c>
    </row>
    <row r="1742" spans="1:2" ht="30.75" customHeight="1">
      <c r="A1742">
        <f>Table4[[#This Row],[Column1]]</f>
        <v>0</v>
      </c>
      <c r="B1742">
        <f>Table4[[#This Row],[Column2]]</f>
        <v>0</v>
      </c>
    </row>
    <row r="1743" spans="1:2" ht="30.75" customHeight="1">
      <c r="A1743">
        <f>Table4[[#This Row],[Column1]]</f>
        <v>0</v>
      </c>
      <c r="B1743">
        <f>Table4[[#This Row],[Column2]]</f>
        <v>0</v>
      </c>
    </row>
    <row r="1744" spans="1:2" ht="30.75" customHeight="1">
      <c r="A1744">
        <f>Table4[[#This Row],[Column1]]</f>
        <v>0</v>
      </c>
      <c r="B1744">
        <f>Table4[[#This Row],[Column2]]</f>
        <v>0</v>
      </c>
    </row>
    <row r="1745" spans="1:2" ht="30.75" customHeight="1">
      <c r="A1745">
        <f>Table4[[#This Row],[Column1]]</f>
        <v>0</v>
      </c>
      <c r="B1745">
        <f>Table4[[#This Row],[Column2]]</f>
        <v>0</v>
      </c>
    </row>
    <row r="1746" spans="1:2" ht="30.75" customHeight="1">
      <c r="A1746">
        <f>Table4[[#This Row],[Column1]]</f>
        <v>0</v>
      </c>
      <c r="B1746">
        <f>Table4[[#This Row],[Column2]]</f>
        <v>0</v>
      </c>
    </row>
    <row r="1747" spans="1:2" ht="30.75" customHeight="1">
      <c r="A1747">
        <f>Table4[[#This Row],[Column1]]</f>
        <v>0</v>
      </c>
      <c r="B1747">
        <f>Table4[[#This Row],[Column2]]</f>
        <v>0</v>
      </c>
    </row>
    <row r="1748" spans="1:2" ht="30.75" customHeight="1">
      <c r="A1748">
        <f>Table4[[#This Row],[Column1]]</f>
        <v>0</v>
      </c>
      <c r="B1748">
        <f>Table4[[#This Row],[Column2]]</f>
        <v>0</v>
      </c>
    </row>
    <row r="1749" spans="1:2" ht="30.75" customHeight="1">
      <c r="A1749">
        <f>Table4[[#This Row],[Column1]]</f>
        <v>0</v>
      </c>
      <c r="B1749">
        <f>Table4[[#This Row],[Column2]]</f>
        <v>0</v>
      </c>
    </row>
    <row r="1750" spans="1:2" ht="30.75" customHeight="1">
      <c r="A1750">
        <f>Table4[[#This Row],[Column1]]</f>
        <v>0</v>
      </c>
      <c r="B1750">
        <f>Table4[[#This Row],[Column2]]</f>
        <v>0</v>
      </c>
    </row>
    <row r="1751" spans="1:2" ht="30.75" customHeight="1">
      <c r="A1751">
        <f>Table4[[#This Row],[Column1]]</f>
        <v>0</v>
      </c>
      <c r="B1751">
        <f>Table4[[#This Row],[Column2]]</f>
        <v>0</v>
      </c>
    </row>
    <row r="1752" spans="1:2" ht="30.75" customHeight="1">
      <c r="A1752">
        <f>Table4[[#This Row],[Column1]]</f>
        <v>0</v>
      </c>
      <c r="B1752">
        <f>Table4[[#This Row],[Column2]]</f>
        <v>0</v>
      </c>
    </row>
    <row r="1753" spans="1:2" ht="30.75" customHeight="1">
      <c r="A1753">
        <f>Table4[[#This Row],[Column1]]</f>
        <v>0</v>
      </c>
      <c r="B1753">
        <f>Table4[[#This Row],[Column2]]</f>
        <v>0</v>
      </c>
    </row>
    <row r="1754" spans="1:2" ht="30.75" customHeight="1">
      <c r="A1754">
        <f>Table4[[#This Row],[Column1]]</f>
        <v>0</v>
      </c>
      <c r="B1754">
        <f>Table4[[#This Row],[Column2]]</f>
        <v>0</v>
      </c>
    </row>
    <row r="1755" spans="1:2" ht="30.75" customHeight="1">
      <c r="A1755">
        <f>Table4[[#This Row],[Column1]]</f>
        <v>0</v>
      </c>
      <c r="B1755">
        <f>Table4[[#This Row],[Column2]]</f>
        <v>0</v>
      </c>
    </row>
    <row r="1756" spans="1:2" ht="30.75" customHeight="1">
      <c r="A1756">
        <f>Table4[[#This Row],[Column1]]</f>
        <v>0</v>
      </c>
      <c r="B1756">
        <f>Table4[[#This Row],[Column2]]</f>
        <v>0</v>
      </c>
    </row>
    <row r="1757" spans="1:2" ht="30.75" customHeight="1">
      <c r="A1757">
        <f>Table4[[#This Row],[Column1]]</f>
        <v>0</v>
      </c>
      <c r="B1757">
        <f>Table4[[#This Row],[Column2]]</f>
        <v>0</v>
      </c>
    </row>
    <row r="1758" spans="1:2" ht="30.75" customHeight="1">
      <c r="A1758">
        <f>Table4[[#This Row],[Column1]]</f>
        <v>0</v>
      </c>
      <c r="B1758">
        <f>Table4[[#This Row],[Column2]]</f>
        <v>0</v>
      </c>
    </row>
    <row r="1759" spans="1:2" ht="30.75" customHeight="1">
      <c r="A1759">
        <f>Table4[[#This Row],[Column1]]</f>
        <v>0</v>
      </c>
      <c r="B1759">
        <f>Table4[[#This Row],[Column2]]</f>
        <v>0</v>
      </c>
    </row>
    <row r="1760" spans="1:2" ht="30.75" customHeight="1">
      <c r="A1760">
        <f>Table4[[#This Row],[Column1]]</f>
        <v>0</v>
      </c>
      <c r="B1760">
        <f>Table4[[#This Row],[Column2]]</f>
        <v>0</v>
      </c>
    </row>
    <row r="1761" spans="1:2" ht="30.75" customHeight="1">
      <c r="A1761">
        <f>Table4[[#This Row],[Column1]]</f>
        <v>0</v>
      </c>
      <c r="B1761">
        <f>Table4[[#This Row],[Column2]]</f>
        <v>0</v>
      </c>
    </row>
    <row r="1762" spans="1:2" ht="30.75" customHeight="1">
      <c r="A1762">
        <f>Table4[[#This Row],[Column1]]</f>
        <v>0</v>
      </c>
      <c r="B1762">
        <f>Table4[[#This Row],[Column2]]</f>
        <v>0</v>
      </c>
    </row>
    <row r="1763" spans="1:2" ht="30.75" customHeight="1">
      <c r="A1763">
        <f>Table4[[#This Row],[Column1]]</f>
        <v>0</v>
      </c>
      <c r="B1763">
        <f>Table4[[#This Row],[Column2]]</f>
        <v>0</v>
      </c>
    </row>
    <row r="1764" spans="1:2" ht="30.75" customHeight="1">
      <c r="A1764">
        <f>Table4[[#This Row],[Column1]]</f>
        <v>0</v>
      </c>
      <c r="B1764">
        <f>Table4[[#This Row],[Column2]]</f>
        <v>0</v>
      </c>
    </row>
    <row r="1765" spans="1:2" ht="30.75" customHeight="1">
      <c r="A1765">
        <f>Table4[[#This Row],[Column1]]</f>
        <v>0</v>
      </c>
      <c r="B1765">
        <f>Table4[[#This Row],[Column2]]</f>
        <v>0</v>
      </c>
    </row>
    <row r="1766" spans="1:2" ht="30.75" customHeight="1">
      <c r="A1766">
        <f>Table4[[#This Row],[Column1]]</f>
        <v>0</v>
      </c>
      <c r="B1766">
        <f>Table4[[#This Row],[Column2]]</f>
        <v>0</v>
      </c>
    </row>
    <row r="1767" spans="1:2" ht="30.75" customHeight="1">
      <c r="A1767">
        <f>Table4[[#This Row],[Column1]]</f>
        <v>0</v>
      </c>
      <c r="B1767">
        <f>Table4[[#This Row],[Column2]]</f>
        <v>0</v>
      </c>
    </row>
    <row r="1768" spans="1:2" ht="30.75" customHeight="1">
      <c r="A1768">
        <f>Table4[[#This Row],[Column1]]</f>
        <v>0</v>
      </c>
      <c r="B1768">
        <f>Table4[[#This Row],[Column2]]</f>
        <v>0</v>
      </c>
    </row>
    <row r="1769" spans="1:2" ht="30.75" customHeight="1">
      <c r="A1769">
        <f>Table4[[#This Row],[Column1]]</f>
        <v>0</v>
      </c>
      <c r="B1769">
        <f>Table4[[#This Row],[Column2]]</f>
        <v>0</v>
      </c>
    </row>
    <row r="1770" spans="1:2" ht="30.75" customHeight="1">
      <c r="A1770">
        <f>Table4[[#This Row],[Column1]]</f>
        <v>0</v>
      </c>
      <c r="B1770">
        <f>Table4[[#This Row],[Column2]]</f>
        <v>0</v>
      </c>
    </row>
    <row r="1771" spans="1:2" ht="30.75" customHeight="1">
      <c r="A1771">
        <f>Table4[[#This Row],[Column1]]</f>
        <v>0</v>
      </c>
      <c r="B1771">
        <f>Table4[[#This Row],[Column2]]</f>
        <v>0</v>
      </c>
    </row>
    <row r="1772" spans="1:2" ht="30.75" customHeight="1">
      <c r="A1772">
        <f>Table4[[#This Row],[Column1]]</f>
        <v>0</v>
      </c>
      <c r="B1772">
        <f>Table4[[#This Row],[Column2]]</f>
        <v>0</v>
      </c>
    </row>
    <row r="1773" spans="1:2" ht="30.75" customHeight="1">
      <c r="A1773">
        <f>Table4[[#This Row],[Column1]]</f>
        <v>0</v>
      </c>
      <c r="B1773">
        <f>Table4[[#This Row],[Column2]]</f>
        <v>0</v>
      </c>
    </row>
    <row r="1774" spans="1:2" ht="30.75" customHeight="1">
      <c r="A1774">
        <f>Table4[[#This Row],[Column1]]</f>
        <v>0</v>
      </c>
      <c r="B1774">
        <f>Table4[[#This Row],[Column2]]</f>
        <v>0</v>
      </c>
    </row>
    <row r="1775" spans="1:2" ht="30.75" customHeight="1">
      <c r="A1775">
        <f>Table4[[#This Row],[Column1]]</f>
        <v>0</v>
      </c>
      <c r="B1775">
        <f>Table4[[#This Row],[Column2]]</f>
        <v>0</v>
      </c>
    </row>
    <row r="1776" spans="1:2" ht="30.75" customHeight="1">
      <c r="A1776">
        <f>Table4[[#This Row],[Column1]]</f>
        <v>0</v>
      </c>
      <c r="B1776">
        <f>Table4[[#This Row],[Column2]]</f>
        <v>0</v>
      </c>
    </row>
    <row r="1777" spans="1:2" ht="30.75" customHeight="1">
      <c r="A1777">
        <f>Table4[[#This Row],[Column1]]</f>
        <v>0</v>
      </c>
      <c r="B1777">
        <f>Table4[[#This Row],[Column2]]</f>
        <v>0</v>
      </c>
    </row>
    <row r="1778" spans="1:2" ht="30.75" customHeight="1">
      <c r="A1778">
        <f>Table4[[#This Row],[Column1]]</f>
        <v>0</v>
      </c>
      <c r="B1778">
        <f>Table4[[#This Row],[Column2]]</f>
        <v>0</v>
      </c>
    </row>
    <row r="1779" spans="1:2" ht="30.75" customHeight="1">
      <c r="A1779">
        <f>Table4[[#This Row],[Column1]]</f>
        <v>0</v>
      </c>
      <c r="B1779">
        <f>Table4[[#This Row],[Column2]]</f>
        <v>0</v>
      </c>
    </row>
    <row r="1780" spans="1:2" ht="30.75" customHeight="1">
      <c r="A1780">
        <f>Table4[[#This Row],[Column1]]</f>
        <v>0</v>
      </c>
      <c r="B1780">
        <f>Table4[[#This Row],[Column2]]</f>
        <v>0</v>
      </c>
    </row>
    <row r="1781" spans="1:2" ht="30.75" customHeight="1">
      <c r="A1781">
        <f>Table4[[#This Row],[Column1]]</f>
        <v>0</v>
      </c>
      <c r="B1781">
        <f>Table4[[#This Row],[Column2]]</f>
        <v>0</v>
      </c>
    </row>
    <row r="1782" spans="1:2" ht="30.75" customHeight="1">
      <c r="A1782">
        <f>Table4[[#This Row],[Column1]]</f>
        <v>0</v>
      </c>
      <c r="B1782">
        <f>Table4[[#This Row],[Column2]]</f>
        <v>0</v>
      </c>
    </row>
    <row r="1783" spans="1:2" ht="30.75" customHeight="1">
      <c r="A1783">
        <f>Table4[[#This Row],[Column1]]</f>
        <v>0</v>
      </c>
      <c r="B1783">
        <f>Table4[[#This Row],[Column2]]</f>
        <v>0</v>
      </c>
    </row>
    <row r="1784" spans="1:2" ht="30.75" customHeight="1">
      <c r="A1784">
        <f>Table4[[#This Row],[Column1]]</f>
        <v>0</v>
      </c>
      <c r="B1784">
        <f>Table4[[#This Row],[Column2]]</f>
        <v>0</v>
      </c>
    </row>
    <row r="1785" spans="1:2" ht="30.75" customHeight="1">
      <c r="A1785">
        <f>Table4[[#This Row],[Column1]]</f>
        <v>0</v>
      </c>
      <c r="B1785">
        <f>Table4[[#This Row],[Column2]]</f>
        <v>0</v>
      </c>
    </row>
    <row r="1786" spans="1:2" ht="30.75" customHeight="1">
      <c r="A1786">
        <f>Table4[[#This Row],[Column1]]</f>
        <v>0</v>
      </c>
      <c r="B1786">
        <f>Table4[[#This Row],[Column2]]</f>
        <v>0</v>
      </c>
    </row>
    <row r="1787" spans="1:2" ht="30.75" customHeight="1">
      <c r="A1787">
        <f>Table4[[#This Row],[Column1]]</f>
        <v>0</v>
      </c>
      <c r="B1787">
        <f>Table4[[#This Row],[Column2]]</f>
        <v>0</v>
      </c>
    </row>
    <row r="1788" spans="1:2" ht="30.75" customHeight="1">
      <c r="A1788">
        <f>Table4[[#This Row],[Column1]]</f>
        <v>0</v>
      </c>
      <c r="B1788">
        <f>Table4[[#This Row],[Column2]]</f>
        <v>0</v>
      </c>
    </row>
    <row r="1789" spans="1:2" ht="30.75" customHeight="1">
      <c r="A1789">
        <f>Table4[[#This Row],[Column1]]</f>
        <v>0</v>
      </c>
      <c r="B1789">
        <f>Table4[[#This Row],[Column2]]</f>
        <v>0</v>
      </c>
    </row>
    <row r="1790" spans="1:2" ht="30.75" customHeight="1">
      <c r="A1790">
        <f>Table4[[#This Row],[Column1]]</f>
        <v>0</v>
      </c>
      <c r="B1790">
        <f>Table4[[#This Row],[Column2]]</f>
        <v>0</v>
      </c>
    </row>
    <row r="1791" spans="1:2" ht="30.75" customHeight="1">
      <c r="A1791">
        <f>Table4[[#This Row],[Column1]]</f>
        <v>0</v>
      </c>
      <c r="B1791">
        <f>Table4[[#This Row],[Column2]]</f>
        <v>0</v>
      </c>
    </row>
    <row r="1792" spans="1:2" ht="30.75" customHeight="1">
      <c r="A1792">
        <f>Table4[[#This Row],[Column1]]</f>
        <v>0</v>
      </c>
      <c r="B1792">
        <f>Table4[[#This Row],[Column2]]</f>
        <v>0</v>
      </c>
    </row>
    <row r="1793" spans="1:2" ht="30.75" customHeight="1">
      <c r="A1793">
        <f>Table4[[#This Row],[Column1]]</f>
        <v>0</v>
      </c>
      <c r="B1793">
        <f>Table4[[#This Row],[Column2]]</f>
        <v>0</v>
      </c>
    </row>
    <row r="1794" spans="1:2" ht="30.75" customHeight="1">
      <c r="A1794">
        <f>Table4[[#This Row],[Column1]]</f>
        <v>0</v>
      </c>
      <c r="B1794">
        <f>Table4[[#This Row],[Column2]]</f>
        <v>0</v>
      </c>
    </row>
    <row r="1795" spans="1:2" ht="30.75" customHeight="1">
      <c r="A1795">
        <f>Table4[[#This Row],[Column1]]</f>
        <v>0</v>
      </c>
      <c r="B1795">
        <f>Table4[[#This Row],[Column2]]</f>
        <v>0</v>
      </c>
    </row>
    <row r="1796" spans="1:2" ht="30.75" customHeight="1">
      <c r="A1796">
        <f>Table4[[#This Row],[Column1]]</f>
        <v>0</v>
      </c>
      <c r="B1796">
        <f>Table4[[#This Row],[Column2]]</f>
        <v>0</v>
      </c>
    </row>
    <row r="1797" spans="1:2" ht="30.75" customHeight="1">
      <c r="A1797">
        <f>Table4[[#This Row],[Column1]]</f>
        <v>0</v>
      </c>
      <c r="B1797">
        <f>Table4[[#This Row],[Column2]]</f>
        <v>0</v>
      </c>
    </row>
    <row r="1798" spans="1:2" ht="30.75" customHeight="1">
      <c r="A1798">
        <f>Table4[[#This Row],[Column1]]</f>
        <v>0</v>
      </c>
      <c r="B1798">
        <f>Table4[[#This Row],[Column2]]</f>
        <v>0</v>
      </c>
    </row>
    <row r="1799" spans="1:2" ht="30.75" customHeight="1">
      <c r="A1799">
        <f>Table4[[#This Row],[Column1]]</f>
        <v>0</v>
      </c>
      <c r="B1799">
        <f>Table4[[#This Row],[Column2]]</f>
        <v>0</v>
      </c>
    </row>
    <row r="1800" spans="1:2" ht="30.75" customHeight="1">
      <c r="A1800">
        <f>Table4[[#This Row],[Column1]]</f>
        <v>0</v>
      </c>
      <c r="B1800">
        <f>Table4[[#This Row],[Column2]]</f>
        <v>0</v>
      </c>
    </row>
    <row r="1801" spans="1:2" ht="30.75" customHeight="1">
      <c r="A1801">
        <f>Table4[[#This Row],[Column1]]</f>
        <v>0</v>
      </c>
      <c r="B1801">
        <f>Table4[[#This Row],[Column2]]</f>
        <v>0</v>
      </c>
    </row>
    <row r="1802" spans="1:2" ht="30.75" customHeight="1">
      <c r="A1802">
        <f>Table4[[#This Row],[Column1]]</f>
        <v>0</v>
      </c>
      <c r="B1802">
        <f>Table4[[#This Row],[Column2]]</f>
        <v>0</v>
      </c>
    </row>
    <row r="1803" spans="1:2" ht="30.75" customHeight="1">
      <c r="A1803">
        <f>Table4[[#This Row],[Column1]]</f>
        <v>0</v>
      </c>
      <c r="B1803">
        <f>Table4[[#This Row],[Column2]]</f>
        <v>0</v>
      </c>
    </row>
    <row r="1804" spans="1:2" ht="30.75" customHeight="1">
      <c r="A1804">
        <f>Table4[[#This Row],[Column1]]</f>
        <v>0</v>
      </c>
      <c r="B1804">
        <f>Table4[[#This Row],[Column2]]</f>
        <v>0</v>
      </c>
    </row>
    <row r="1805" spans="1:2" ht="30.75" customHeight="1">
      <c r="A1805">
        <f>Table4[[#This Row],[Column1]]</f>
        <v>0</v>
      </c>
      <c r="B1805">
        <f>Table4[[#This Row],[Column2]]</f>
        <v>0</v>
      </c>
    </row>
    <row r="1806" spans="1:2" ht="30.75" customHeight="1">
      <c r="A1806">
        <f>Table4[[#This Row],[Column1]]</f>
        <v>0</v>
      </c>
      <c r="B1806">
        <f>Table4[[#This Row],[Column2]]</f>
        <v>0</v>
      </c>
    </row>
    <row r="1807" spans="1:2" ht="30.75" customHeight="1">
      <c r="A1807">
        <f>Table4[[#This Row],[Column1]]</f>
        <v>0</v>
      </c>
      <c r="B1807">
        <f>Table4[[#This Row],[Column2]]</f>
        <v>0</v>
      </c>
    </row>
    <row r="1808" spans="1:2" ht="30.75" customHeight="1">
      <c r="A1808">
        <f>Table4[[#This Row],[Column1]]</f>
        <v>0</v>
      </c>
      <c r="B1808">
        <f>Table4[[#This Row],[Column2]]</f>
        <v>0</v>
      </c>
    </row>
    <row r="1809" spans="1:2" ht="30.75" customHeight="1">
      <c r="A1809">
        <f>Table4[[#This Row],[Column1]]</f>
        <v>0</v>
      </c>
      <c r="B1809">
        <f>Table4[[#This Row],[Column2]]</f>
        <v>0</v>
      </c>
    </row>
    <row r="1810" spans="1:2" ht="30.75" customHeight="1">
      <c r="A1810">
        <f>Table4[[#This Row],[Column1]]</f>
        <v>0</v>
      </c>
      <c r="B1810">
        <f>Table4[[#This Row],[Column2]]</f>
        <v>0</v>
      </c>
    </row>
    <row r="1811" spans="1:2" ht="30.75" customHeight="1">
      <c r="A1811">
        <f>Table4[[#This Row],[Column1]]</f>
        <v>0</v>
      </c>
      <c r="B1811">
        <f>Table4[[#This Row],[Column2]]</f>
        <v>0</v>
      </c>
    </row>
    <row r="1812" spans="1:2" ht="30.75" customHeight="1">
      <c r="A1812">
        <f>Table4[[#This Row],[Column1]]</f>
        <v>0</v>
      </c>
      <c r="B1812">
        <f>Table4[[#This Row],[Column2]]</f>
        <v>0</v>
      </c>
    </row>
    <row r="1813" spans="1:2" ht="30.75" customHeight="1">
      <c r="A1813">
        <f>Table4[[#This Row],[Column1]]</f>
        <v>0</v>
      </c>
      <c r="B1813">
        <f>Table4[[#This Row],[Column2]]</f>
        <v>0</v>
      </c>
    </row>
    <row r="1814" spans="1:2" ht="30.75" customHeight="1">
      <c r="A1814">
        <f>Table4[[#This Row],[Column1]]</f>
        <v>0</v>
      </c>
      <c r="B1814">
        <f>Table4[[#This Row],[Column2]]</f>
        <v>0</v>
      </c>
    </row>
    <row r="1815" spans="1:2" ht="30.75" customHeight="1">
      <c r="A1815">
        <f>Table4[[#This Row],[Column1]]</f>
        <v>0</v>
      </c>
      <c r="B1815">
        <f>Table4[[#This Row],[Column2]]</f>
        <v>0</v>
      </c>
    </row>
    <row r="1816" spans="1:2" ht="30.75" customHeight="1">
      <c r="A1816">
        <f>Table4[[#This Row],[Column1]]</f>
        <v>0</v>
      </c>
      <c r="B1816">
        <f>Table4[[#This Row],[Column2]]</f>
        <v>0</v>
      </c>
    </row>
    <row r="1817" spans="1:2" ht="30.75" customHeight="1">
      <c r="A1817">
        <f>Table4[[#This Row],[Column1]]</f>
        <v>0</v>
      </c>
      <c r="B1817">
        <f>Table4[[#This Row],[Column2]]</f>
        <v>0</v>
      </c>
    </row>
    <row r="1818" spans="1:2" ht="30.75" customHeight="1">
      <c r="A1818">
        <f>Table4[[#This Row],[Column1]]</f>
        <v>0</v>
      </c>
      <c r="B1818">
        <f>Table4[[#This Row],[Column2]]</f>
        <v>0</v>
      </c>
    </row>
    <row r="1819" spans="1:2" ht="30.75" customHeight="1">
      <c r="A1819">
        <f>Table4[[#This Row],[Column1]]</f>
        <v>0</v>
      </c>
      <c r="B1819">
        <f>Table4[[#This Row],[Column2]]</f>
        <v>0</v>
      </c>
    </row>
    <row r="1820" spans="1:2" ht="30.75" customHeight="1">
      <c r="A1820">
        <f>Table4[[#This Row],[Column1]]</f>
        <v>0</v>
      </c>
      <c r="B1820">
        <f>Table4[[#This Row],[Column2]]</f>
        <v>0</v>
      </c>
    </row>
    <row r="1821" spans="1:2" ht="30.75" customHeight="1">
      <c r="A1821">
        <f>Table4[[#This Row],[Column1]]</f>
        <v>0</v>
      </c>
      <c r="B1821">
        <f>Table4[[#This Row],[Column2]]</f>
        <v>0</v>
      </c>
    </row>
    <row r="1822" spans="1:2" ht="30.75" customHeight="1">
      <c r="A1822">
        <f>Table4[[#This Row],[Column1]]</f>
        <v>0</v>
      </c>
      <c r="B1822">
        <f>Table4[[#This Row],[Column2]]</f>
        <v>0</v>
      </c>
    </row>
    <row r="1823" spans="1:2" ht="30.75" customHeight="1">
      <c r="A1823">
        <f>Table4[[#This Row],[Column1]]</f>
        <v>0</v>
      </c>
      <c r="B1823">
        <f>Table4[[#This Row],[Column2]]</f>
        <v>0</v>
      </c>
    </row>
    <row r="1824" spans="1:2" ht="30.75" customHeight="1">
      <c r="A1824">
        <f>Table4[[#This Row],[Column1]]</f>
        <v>0</v>
      </c>
      <c r="B1824">
        <f>Table4[[#This Row],[Column2]]</f>
        <v>0</v>
      </c>
    </row>
    <row r="1825" spans="1:2" ht="30.75" customHeight="1">
      <c r="A1825">
        <f>Table4[[#This Row],[Column1]]</f>
        <v>0</v>
      </c>
      <c r="B1825">
        <f>Table4[[#This Row],[Column2]]</f>
        <v>0</v>
      </c>
    </row>
    <row r="1826" spans="1:2" ht="30.75" customHeight="1">
      <c r="A1826">
        <f>Table4[[#This Row],[Column1]]</f>
        <v>0</v>
      </c>
      <c r="B1826">
        <f>Table4[[#This Row],[Column2]]</f>
        <v>0</v>
      </c>
    </row>
    <row r="1827" spans="1:2" ht="30.75" customHeight="1">
      <c r="A1827">
        <f>Table4[[#This Row],[Column1]]</f>
        <v>0</v>
      </c>
      <c r="B1827">
        <f>Table4[[#This Row],[Column2]]</f>
        <v>0</v>
      </c>
    </row>
    <row r="1828" spans="1:2" ht="30.75" customHeight="1">
      <c r="A1828">
        <f>Table4[[#This Row],[Column1]]</f>
        <v>0</v>
      </c>
      <c r="B1828">
        <f>Table4[[#This Row],[Column2]]</f>
        <v>0</v>
      </c>
    </row>
    <row r="1829" spans="1:2" ht="30.75" customHeight="1">
      <c r="A1829">
        <f>Table4[[#This Row],[Column1]]</f>
        <v>0</v>
      </c>
      <c r="B1829">
        <f>Table4[[#This Row],[Column2]]</f>
        <v>0</v>
      </c>
    </row>
    <row r="1830" spans="1:2" ht="30.75" customHeight="1">
      <c r="A1830">
        <f>Table4[[#This Row],[Column1]]</f>
        <v>0</v>
      </c>
      <c r="B1830">
        <f>Table4[[#This Row],[Column2]]</f>
        <v>0</v>
      </c>
    </row>
    <row r="1831" spans="1:2" ht="30.75" customHeight="1">
      <c r="A1831">
        <f>Table4[[#This Row],[Column1]]</f>
        <v>0</v>
      </c>
      <c r="B1831">
        <f>Table4[[#This Row],[Column2]]</f>
        <v>0</v>
      </c>
    </row>
    <row r="1832" spans="1:2" ht="30.75" customHeight="1">
      <c r="A1832">
        <f>Table4[[#This Row],[Column1]]</f>
        <v>0</v>
      </c>
      <c r="B1832">
        <f>Table4[[#This Row],[Column2]]</f>
        <v>0</v>
      </c>
    </row>
    <row r="1833" spans="1:2" ht="30.75" customHeight="1">
      <c r="A1833">
        <f>Table4[[#This Row],[Column1]]</f>
        <v>0</v>
      </c>
      <c r="B1833">
        <f>Table4[[#This Row],[Column2]]</f>
        <v>0</v>
      </c>
    </row>
    <row r="1834" spans="1:2" ht="30.75" customHeight="1">
      <c r="A1834">
        <f>Table4[[#This Row],[Column1]]</f>
        <v>0</v>
      </c>
      <c r="B1834">
        <f>Table4[[#This Row],[Column2]]</f>
        <v>0</v>
      </c>
    </row>
    <row r="1835" spans="1:2" ht="30.75" customHeight="1">
      <c r="A1835">
        <f>Table4[[#This Row],[Column1]]</f>
        <v>0</v>
      </c>
      <c r="B1835">
        <f>Table4[[#This Row],[Column2]]</f>
        <v>0</v>
      </c>
    </row>
    <row r="1836" spans="1:2" ht="30.75" customHeight="1">
      <c r="A1836">
        <f>Table4[[#This Row],[Column1]]</f>
        <v>0</v>
      </c>
      <c r="B1836">
        <f>Table4[[#This Row],[Column2]]</f>
        <v>0</v>
      </c>
    </row>
    <row r="1837" spans="1:2" ht="30.75" customHeight="1">
      <c r="A1837">
        <f>Table4[[#This Row],[Column1]]</f>
        <v>0</v>
      </c>
      <c r="B1837">
        <f>Table4[[#This Row],[Column2]]</f>
        <v>0</v>
      </c>
    </row>
    <row r="1838" spans="1:2" ht="30.75" customHeight="1">
      <c r="A1838">
        <f>Table4[[#This Row],[Column1]]</f>
        <v>0</v>
      </c>
      <c r="B1838">
        <f>Table4[[#This Row],[Column2]]</f>
        <v>0</v>
      </c>
    </row>
    <row r="1839" spans="1:2" ht="30.75" customHeight="1">
      <c r="A1839">
        <f>Table4[[#This Row],[Column1]]</f>
        <v>0</v>
      </c>
      <c r="B1839">
        <f>Table4[[#This Row],[Column2]]</f>
        <v>0</v>
      </c>
    </row>
    <row r="1840" spans="1:2" ht="30.75" customHeight="1">
      <c r="A1840">
        <f>Table4[[#This Row],[Column1]]</f>
        <v>0</v>
      </c>
      <c r="B1840">
        <f>Table4[[#This Row],[Column2]]</f>
        <v>0</v>
      </c>
    </row>
    <row r="1841" spans="1:2" ht="30.75" customHeight="1">
      <c r="A1841">
        <f>Table4[[#This Row],[Column1]]</f>
        <v>0</v>
      </c>
      <c r="B1841">
        <f>Table4[[#This Row],[Column2]]</f>
        <v>0</v>
      </c>
    </row>
    <row r="1842" spans="1:2" ht="30.75" customHeight="1">
      <c r="A1842">
        <f>Table4[[#This Row],[Column1]]</f>
        <v>0</v>
      </c>
      <c r="B1842">
        <f>Table4[[#This Row],[Column2]]</f>
        <v>0</v>
      </c>
    </row>
    <row r="1843" spans="1:2" ht="30.75" customHeight="1">
      <c r="A1843">
        <f>Table4[[#This Row],[Column1]]</f>
        <v>0</v>
      </c>
      <c r="B1843">
        <f>Table4[[#This Row],[Column2]]</f>
        <v>0</v>
      </c>
    </row>
    <row r="1844" spans="1:2" ht="30.75" customHeight="1">
      <c r="A1844">
        <f>Table4[[#This Row],[Column1]]</f>
        <v>0</v>
      </c>
      <c r="B1844">
        <f>Table4[[#This Row],[Column2]]</f>
        <v>0</v>
      </c>
    </row>
    <row r="1845" spans="1:2" ht="30.75" customHeight="1">
      <c r="A1845">
        <f>Table4[[#This Row],[Column1]]</f>
        <v>0</v>
      </c>
      <c r="B1845">
        <f>Table4[[#This Row],[Column2]]</f>
        <v>0</v>
      </c>
    </row>
    <row r="1846" spans="1:2" ht="30.75" customHeight="1">
      <c r="A1846">
        <f>Table4[[#This Row],[Column1]]</f>
        <v>0</v>
      </c>
      <c r="B1846">
        <f>Table4[[#This Row],[Column2]]</f>
        <v>0</v>
      </c>
    </row>
    <row r="1847" spans="1:2" ht="30.75" customHeight="1">
      <c r="A1847">
        <f>Table4[[#This Row],[Column1]]</f>
        <v>0</v>
      </c>
      <c r="B1847">
        <f>Table4[[#This Row],[Column2]]</f>
        <v>0</v>
      </c>
    </row>
    <row r="1848" spans="1:2" ht="30.75" customHeight="1">
      <c r="A1848">
        <f>Table4[[#This Row],[Column1]]</f>
        <v>0</v>
      </c>
      <c r="B1848">
        <f>Table4[[#This Row],[Column2]]</f>
        <v>0</v>
      </c>
    </row>
    <row r="1849" spans="1:2" ht="30.75" customHeight="1">
      <c r="A1849">
        <f>Table4[[#This Row],[Column1]]</f>
        <v>0</v>
      </c>
      <c r="B1849">
        <f>Table4[[#This Row],[Column2]]</f>
        <v>0</v>
      </c>
    </row>
    <row r="1850" spans="1:2" ht="30.75" customHeight="1">
      <c r="A1850">
        <f>Table4[[#This Row],[Column1]]</f>
        <v>0</v>
      </c>
      <c r="B1850">
        <f>Table4[[#This Row],[Column2]]</f>
        <v>0</v>
      </c>
    </row>
    <row r="1851" spans="1:2" ht="30.75" customHeight="1">
      <c r="A1851">
        <f>Table4[[#This Row],[Column1]]</f>
        <v>0</v>
      </c>
      <c r="B1851">
        <f>Table4[[#This Row],[Column2]]</f>
        <v>0</v>
      </c>
    </row>
    <row r="1852" spans="1:2" ht="30.75" customHeight="1">
      <c r="A1852">
        <f>Table4[[#This Row],[Column1]]</f>
        <v>0</v>
      </c>
      <c r="B1852">
        <f>Table4[[#This Row],[Column2]]</f>
        <v>0</v>
      </c>
    </row>
    <row r="1853" spans="1:2" ht="30.75" customHeight="1">
      <c r="A1853">
        <f>Table4[[#This Row],[Column1]]</f>
        <v>0</v>
      </c>
      <c r="B1853">
        <f>Table4[[#This Row],[Column2]]</f>
        <v>0</v>
      </c>
    </row>
    <row r="1854" spans="1:2" ht="30.75" customHeight="1">
      <c r="A1854">
        <f>Table4[[#This Row],[Column1]]</f>
        <v>0</v>
      </c>
      <c r="B1854">
        <f>Table4[[#This Row],[Column2]]</f>
        <v>0</v>
      </c>
    </row>
    <row r="1855" spans="1:2" ht="30.75" customHeight="1">
      <c r="A1855">
        <f>Table4[[#This Row],[Column1]]</f>
        <v>0</v>
      </c>
      <c r="B1855">
        <f>Table4[[#This Row],[Column2]]</f>
        <v>0</v>
      </c>
    </row>
    <row r="1856" spans="1:2" ht="30.75" customHeight="1">
      <c r="A1856">
        <f>Table4[[#This Row],[Column1]]</f>
        <v>0</v>
      </c>
      <c r="B1856">
        <f>Table4[[#This Row],[Column2]]</f>
        <v>0</v>
      </c>
    </row>
    <row r="1857" spans="1:2" ht="30.75" customHeight="1">
      <c r="A1857">
        <f>Table4[[#This Row],[Column1]]</f>
        <v>0</v>
      </c>
      <c r="B1857">
        <f>Table4[[#This Row],[Column2]]</f>
        <v>0</v>
      </c>
    </row>
    <row r="1858" spans="1:2" ht="30.75" customHeight="1">
      <c r="A1858">
        <f>Table4[[#This Row],[Column1]]</f>
        <v>0</v>
      </c>
      <c r="B1858">
        <f>Table4[[#This Row],[Column2]]</f>
        <v>0</v>
      </c>
    </row>
    <row r="1859" spans="1:2" ht="30.75" customHeight="1">
      <c r="A1859">
        <f>Table4[[#This Row],[Column1]]</f>
        <v>0</v>
      </c>
      <c r="B1859">
        <f>Table4[[#This Row],[Column2]]</f>
        <v>0</v>
      </c>
    </row>
    <row r="1860" spans="1:2" ht="30.75" customHeight="1">
      <c r="A1860">
        <f>Table4[[#This Row],[Column1]]</f>
        <v>0</v>
      </c>
      <c r="B1860">
        <f>Table4[[#This Row],[Column2]]</f>
        <v>0</v>
      </c>
    </row>
    <row r="1861" spans="1:2" ht="30.75" customHeight="1">
      <c r="A1861">
        <f>Table4[[#This Row],[Column1]]</f>
        <v>0</v>
      </c>
      <c r="B1861">
        <f>Table4[[#This Row],[Column2]]</f>
        <v>0</v>
      </c>
    </row>
    <row r="1862" spans="1:2" ht="30.75" customHeight="1">
      <c r="A1862">
        <f>Table4[[#This Row],[Column1]]</f>
        <v>0</v>
      </c>
      <c r="B1862">
        <f>Table4[[#This Row],[Column2]]</f>
        <v>0</v>
      </c>
    </row>
    <row r="1863" spans="1:2" ht="30.75" customHeight="1">
      <c r="A1863">
        <f>Table4[[#This Row],[Column1]]</f>
        <v>0</v>
      </c>
      <c r="B1863">
        <f>Table4[[#This Row],[Column2]]</f>
        <v>0</v>
      </c>
    </row>
    <row r="1864" spans="1:2" ht="30.75" customHeight="1">
      <c r="A1864">
        <f>Table4[[#This Row],[Column1]]</f>
        <v>0</v>
      </c>
      <c r="B1864">
        <f>Table4[[#This Row],[Column2]]</f>
        <v>0</v>
      </c>
    </row>
    <row r="1865" spans="1:2" ht="30.75" customHeight="1">
      <c r="A1865">
        <f>Table4[[#This Row],[Column1]]</f>
        <v>0</v>
      </c>
      <c r="B1865">
        <f>Table4[[#This Row],[Column2]]</f>
        <v>0</v>
      </c>
    </row>
    <row r="1866" spans="1:2" ht="30.75" customHeight="1">
      <c r="A1866">
        <f>Table4[[#This Row],[Column1]]</f>
        <v>0</v>
      </c>
      <c r="B1866">
        <f>Table4[[#This Row],[Column2]]</f>
        <v>0</v>
      </c>
    </row>
    <row r="1867" spans="1:2" ht="30.75" customHeight="1">
      <c r="A1867">
        <f>Table4[[#This Row],[Column1]]</f>
        <v>0</v>
      </c>
      <c r="B1867">
        <f>Table4[[#This Row],[Column2]]</f>
        <v>0</v>
      </c>
    </row>
    <row r="1868" spans="1:2" ht="30.75" customHeight="1">
      <c r="A1868">
        <f>Table4[[#This Row],[Column1]]</f>
        <v>0</v>
      </c>
      <c r="B1868">
        <f>Table4[[#This Row],[Column2]]</f>
        <v>0</v>
      </c>
    </row>
    <row r="1869" spans="1:2" ht="30.75" customHeight="1">
      <c r="A1869">
        <f>Table4[[#This Row],[Column1]]</f>
        <v>0</v>
      </c>
      <c r="B1869">
        <f>Table4[[#This Row],[Column2]]</f>
        <v>0</v>
      </c>
    </row>
    <row r="1870" spans="1:2" ht="30.75" customHeight="1">
      <c r="A1870">
        <f>Table4[[#This Row],[Column1]]</f>
        <v>0</v>
      </c>
      <c r="B1870">
        <f>Table4[[#This Row],[Column2]]</f>
        <v>0</v>
      </c>
    </row>
    <row r="1871" spans="1:2" ht="30.75" customHeight="1">
      <c r="A1871">
        <f>Table4[[#This Row],[Column1]]</f>
        <v>0</v>
      </c>
      <c r="B1871">
        <f>Table4[[#This Row],[Column2]]</f>
        <v>0</v>
      </c>
    </row>
    <row r="1872" spans="1:2" ht="30.75" customHeight="1">
      <c r="A1872">
        <f>Table4[[#This Row],[Column1]]</f>
        <v>0</v>
      </c>
      <c r="B1872">
        <f>Table4[[#This Row],[Column2]]</f>
        <v>0</v>
      </c>
    </row>
    <row r="1873" spans="1:2" ht="30.75" customHeight="1">
      <c r="A1873">
        <f>Table4[[#This Row],[Column1]]</f>
        <v>0</v>
      </c>
      <c r="B1873">
        <f>Table4[[#This Row],[Column2]]</f>
        <v>0</v>
      </c>
    </row>
    <row r="1874" spans="1:2" ht="30.75" customHeight="1">
      <c r="A1874">
        <f>Table4[[#This Row],[Column1]]</f>
        <v>0</v>
      </c>
      <c r="B1874">
        <f>Table4[[#This Row],[Column2]]</f>
        <v>0</v>
      </c>
    </row>
    <row r="1875" spans="1:2" ht="30.75" customHeight="1">
      <c r="A1875">
        <f>Table4[[#This Row],[Column1]]</f>
        <v>0</v>
      </c>
      <c r="B1875">
        <f>Table4[[#This Row],[Column2]]</f>
        <v>0</v>
      </c>
    </row>
    <row r="1876" spans="1:2" ht="30.75" customHeight="1">
      <c r="A1876">
        <f>Table4[[#This Row],[Column1]]</f>
        <v>0</v>
      </c>
      <c r="B1876">
        <f>Table4[[#This Row],[Column2]]</f>
        <v>0</v>
      </c>
    </row>
    <row r="1877" spans="1:2" ht="30.75" customHeight="1">
      <c r="A1877">
        <f>Table4[[#This Row],[Column1]]</f>
        <v>0</v>
      </c>
      <c r="B1877">
        <f>Table4[[#This Row],[Column2]]</f>
        <v>0</v>
      </c>
    </row>
    <row r="1878" spans="1:2" ht="30.75" customHeight="1">
      <c r="A1878">
        <f>Table4[[#This Row],[Column1]]</f>
        <v>0</v>
      </c>
      <c r="B1878">
        <f>Table4[[#This Row],[Column2]]</f>
        <v>0</v>
      </c>
    </row>
    <row r="1879" spans="1:2" ht="30.75" customHeight="1">
      <c r="A1879">
        <f>Table4[[#This Row],[Column1]]</f>
        <v>0</v>
      </c>
      <c r="B1879">
        <f>Table4[[#This Row],[Column2]]</f>
        <v>0</v>
      </c>
    </row>
    <row r="1880" spans="1:2" ht="30.75" customHeight="1">
      <c r="A1880">
        <f>Table4[[#This Row],[Column1]]</f>
        <v>0</v>
      </c>
      <c r="B1880">
        <f>Table4[[#This Row],[Column2]]</f>
        <v>0</v>
      </c>
    </row>
    <row r="1881" spans="1:2" ht="30.75" customHeight="1">
      <c r="A1881">
        <f>Table4[[#This Row],[Column1]]</f>
        <v>0</v>
      </c>
      <c r="B1881">
        <f>Table4[[#This Row],[Column2]]</f>
        <v>0</v>
      </c>
    </row>
    <row r="1882" spans="1:2" ht="30.75" customHeight="1">
      <c r="A1882">
        <f>Table4[[#This Row],[Column1]]</f>
        <v>0</v>
      </c>
      <c r="B1882">
        <f>Table4[[#This Row],[Column2]]</f>
        <v>0</v>
      </c>
    </row>
    <row r="1883" spans="1:2" ht="30.75" customHeight="1">
      <c r="A1883">
        <f>Table4[[#This Row],[Column1]]</f>
        <v>0</v>
      </c>
      <c r="B1883">
        <f>Table4[[#This Row],[Column2]]</f>
        <v>0</v>
      </c>
    </row>
    <row r="1884" spans="1:2" ht="30.75" customHeight="1">
      <c r="A1884">
        <f>Table4[[#This Row],[Column1]]</f>
        <v>0</v>
      </c>
      <c r="B1884">
        <f>Table4[[#This Row],[Column2]]</f>
        <v>0</v>
      </c>
    </row>
    <row r="1885" spans="1:2" ht="30.75" customHeight="1">
      <c r="A1885">
        <f>Table4[[#This Row],[Column1]]</f>
        <v>0</v>
      </c>
      <c r="B1885">
        <f>Table4[[#This Row],[Column2]]</f>
        <v>0</v>
      </c>
    </row>
    <row r="1886" spans="1:2" ht="30.75" customHeight="1">
      <c r="A1886">
        <f>Table4[[#This Row],[Column1]]</f>
        <v>0</v>
      </c>
      <c r="B1886">
        <f>Table4[[#This Row],[Column2]]</f>
        <v>0</v>
      </c>
    </row>
    <row r="1887" spans="1:2" ht="30.75" customHeight="1">
      <c r="A1887">
        <f>Table4[[#This Row],[Column1]]</f>
        <v>0</v>
      </c>
      <c r="B1887">
        <f>Table4[[#This Row],[Column2]]</f>
        <v>0</v>
      </c>
    </row>
    <row r="1888" spans="1:2" ht="30.75" customHeight="1">
      <c r="A1888">
        <f>Table4[[#This Row],[Column1]]</f>
        <v>0</v>
      </c>
      <c r="B1888">
        <f>Table4[[#This Row],[Column2]]</f>
        <v>0</v>
      </c>
    </row>
    <row r="1889" spans="1:2" ht="30.75" customHeight="1">
      <c r="A1889">
        <f>Table4[[#This Row],[Column1]]</f>
        <v>0</v>
      </c>
      <c r="B1889">
        <f>Table4[[#This Row],[Column2]]</f>
        <v>0</v>
      </c>
    </row>
    <row r="1890" spans="1:2" ht="30.75" customHeight="1">
      <c r="A1890">
        <f>Table4[[#This Row],[Column1]]</f>
        <v>0</v>
      </c>
      <c r="B1890">
        <f>Table4[[#This Row],[Column2]]</f>
        <v>0</v>
      </c>
    </row>
    <row r="1891" spans="1:2" ht="30.75" customHeight="1">
      <c r="A1891">
        <f>Table4[[#This Row],[Column1]]</f>
        <v>0</v>
      </c>
      <c r="B1891">
        <f>Table4[[#This Row],[Column2]]</f>
        <v>0</v>
      </c>
    </row>
    <row r="1892" spans="1:2" ht="30.75" customHeight="1">
      <c r="A1892">
        <f>Table4[[#This Row],[Column1]]</f>
        <v>0</v>
      </c>
      <c r="B1892">
        <f>Table4[[#This Row],[Column2]]</f>
        <v>0</v>
      </c>
    </row>
    <row r="1893" spans="1:2" ht="30.75" customHeight="1">
      <c r="A1893">
        <f>Table4[[#This Row],[Column1]]</f>
        <v>0</v>
      </c>
      <c r="B1893">
        <f>Table4[[#This Row],[Column2]]</f>
        <v>0</v>
      </c>
    </row>
    <row r="1894" spans="1:2" ht="30.75" customHeight="1">
      <c r="A1894">
        <f>Table4[[#This Row],[Column1]]</f>
        <v>0</v>
      </c>
      <c r="B1894">
        <f>Table4[[#This Row],[Column2]]</f>
        <v>0</v>
      </c>
    </row>
    <row r="1895" spans="1:2" ht="30.75" customHeight="1">
      <c r="A1895">
        <f>Table4[[#This Row],[Column1]]</f>
        <v>0</v>
      </c>
      <c r="B1895">
        <f>Table4[[#This Row],[Column2]]</f>
        <v>0</v>
      </c>
    </row>
    <row r="1896" spans="1:2" ht="30.75" customHeight="1">
      <c r="A1896">
        <f>Table4[[#This Row],[Column1]]</f>
        <v>0</v>
      </c>
      <c r="B1896">
        <f>Table4[[#This Row],[Column2]]</f>
        <v>0</v>
      </c>
    </row>
    <row r="1897" spans="1:2" ht="30.75" customHeight="1">
      <c r="A1897">
        <f>Table4[[#This Row],[Column1]]</f>
        <v>0</v>
      </c>
      <c r="B1897">
        <f>Table4[[#This Row],[Column2]]</f>
        <v>0</v>
      </c>
    </row>
    <row r="1898" spans="1:2" ht="30.75" customHeight="1">
      <c r="A1898">
        <f>Table4[[#This Row],[Column1]]</f>
        <v>0</v>
      </c>
      <c r="B1898">
        <f>Table4[[#This Row],[Column2]]</f>
        <v>0</v>
      </c>
    </row>
    <row r="1899" spans="1:2" ht="30.75" customHeight="1">
      <c r="A1899">
        <f>Table4[[#This Row],[Column1]]</f>
        <v>0</v>
      </c>
      <c r="B1899">
        <f>Table4[[#This Row],[Column2]]</f>
        <v>0</v>
      </c>
    </row>
    <row r="1900" spans="1:2" ht="30.75" customHeight="1">
      <c r="A1900">
        <f>Table4[[#This Row],[Column1]]</f>
        <v>0</v>
      </c>
      <c r="B1900">
        <f>Table4[[#This Row],[Column2]]</f>
        <v>0</v>
      </c>
    </row>
    <row r="1901" spans="1:2" ht="30.75" customHeight="1">
      <c r="A1901">
        <f>Table4[[#This Row],[Column1]]</f>
        <v>0</v>
      </c>
      <c r="B1901">
        <f>Table4[[#This Row],[Column2]]</f>
        <v>0</v>
      </c>
    </row>
    <row r="1902" spans="1:2" ht="30.75" customHeight="1">
      <c r="A1902">
        <f>Table4[[#This Row],[Column1]]</f>
        <v>0</v>
      </c>
      <c r="B1902">
        <f>Table4[[#This Row],[Column2]]</f>
        <v>0</v>
      </c>
    </row>
    <row r="1903" spans="1:2" ht="30.75" customHeight="1">
      <c r="A1903">
        <f>Table4[[#This Row],[Column1]]</f>
        <v>0</v>
      </c>
      <c r="B1903">
        <f>Table4[[#This Row],[Column2]]</f>
        <v>0</v>
      </c>
    </row>
    <row r="1904" spans="1:2" ht="30.75" customHeight="1">
      <c r="A1904">
        <f>Table4[[#This Row],[Column1]]</f>
        <v>0</v>
      </c>
      <c r="B1904">
        <f>Table4[[#This Row],[Column2]]</f>
        <v>0</v>
      </c>
    </row>
    <row r="1905" spans="1:2" ht="30.75" customHeight="1">
      <c r="A1905">
        <f>Table4[[#This Row],[Column1]]</f>
        <v>0</v>
      </c>
      <c r="B1905">
        <f>Table4[[#This Row],[Column2]]</f>
        <v>0</v>
      </c>
    </row>
    <row r="1906" spans="1:2" ht="30.75" customHeight="1">
      <c r="A1906">
        <f>Table4[[#This Row],[Column1]]</f>
        <v>0</v>
      </c>
      <c r="B1906">
        <f>Table4[[#This Row],[Column2]]</f>
        <v>0</v>
      </c>
    </row>
    <row r="1907" spans="1:2" ht="30.75" customHeight="1">
      <c r="A1907">
        <f>Table4[[#This Row],[Column1]]</f>
        <v>0</v>
      </c>
      <c r="B1907">
        <f>Table4[[#This Row],[Column2]]</f>
        <v>0</v>
      </c>
    </row>
    <row r="1908" spans="1:2" ht="30.75" customHeight="1">
      <c r="A1908">
        <f>Table4[[#This Row],[Column1]]</f>
        <v>0</v>
      </c>
      <c r="B1908">
        <f>Table4[[#This Row],[Column2]]</f>
        <v>0</v>
      </c>
    </row>
    <row r="1909" spans="1:2" ht="30.75" customHeight="1">
      <c r="A1909">
        <f>Table4[[#This Row],[Column1]]</f>
        <v>0</v>
      </c>
      <c r="B1909">
        <f>Table4[[#This Row],[Column2]]</f>
        <v>0</v>
      </c>
    </row>
    <row r="1910" spans="1:2" ht="30.75" customHeight="1">
      <c r="A1910">
        <f>Table4[[#This Row],[Column1]]</f>
        <v>0</v>
      </c>
      <c r="B1910">
        <f>Table4[[#This Row],[Column2]]</f>
        <v>0</v>
      </c>
    </row>
    <row r="1911" spans="1:2" ht="30.75" customHeight="1">
      <c r="A1911">
        <f>Table4[[#This Row],[Column1]]</f>
        <v>0</v>
      </c>
      <c r="B1911">
        <f>Table4[[#This Row],[Column2]]</f>
        <v>0</v>
      </c>
    </row>
    <row r="1912" spans="1:2" ht="30.75" customHeight="1">
      <c r="A1912">
        <f>Table4[[#This Row],[Column1]]</f>
        <v>0</v>
      </c>
      <c r="B1912">
        <f>Table4[[#This Row],[Column2]]</f>
        <v>0</v>
      </c>
    </row>
    <row r="1913" spans="1:2" ht="30.75" customHeight="1">
      <c r="A1913">
        <f>Table4[[#This Row],[Column1]]</f>
        <v>0</v>
      </c>
      <c r="B1913">
        <f>Table4[[#This Row],[Column2]]</f>
        <v>0</v>
      </c>
    </row>
    <row r="1914" spans="1:2" ht="30.75" customHeight="1">
      <c r="A1914">
        <f>Table4[[#This Row],[Column1]]</f>
        <v>0</v>
      </c>
      <c r="B1914">
        <f>Table4[[#This Row],[Column2]]</f>
        <v>0</v>
      </c>
    </row>
    <row r="1915" spans="1:2" ht="30.75" customHeight="1">
      <c r="A1915">
        <f>Table4[[#This Row],[Column1]]</f>
        <v>0</v>
      </c>
      <c r="B1915">
        <f>Table4[[#This Row],[Column2]]</f>
        <v>0</v>
      </c>
    </row>
    <row r="1916" spans="1:2" ht="30.75" customHeight="1">
      <c r="A1916">
        <f>Table4[[#This Row],[Column1]]</f>
        <v>0</v>
      </c>
      <c r="B1916">
        <f>Table4[[#This Row],[Column2]]</f>
        <v>0</v>
      </c>
    </row>
    <row r="1917" spans="1:2" ht="30.75" customHeight="1">
      <c r="A1917">
        <f>Table4[[#This Row],[Column1]]</f>
        <v>0</v>
      </c>
      <c r="B1917">
        <f>Table4[[#This Row],[Column2]]</f>
        <v>0</v>
      </c>
    </row>
    <row r="1918" spans="1:2" ht="30.75" customHeight="1">
      <c r="A1918">
        <f>Table4[[#This Row],[Column1]]</f>
        <v>0</v>
      </c>
      <c r="B1918">
        <f>Table4[[#This Row],[Column2]]</f>
        <v>0</v>
      </c>
    </row>
    <row r="1919" spans="1:2" ht="30.75" customHeight="1">
      <c r="A1919">
        <f>Table4[[#This Row],[Column1]]</f>
        <v>0</v>
      </c>
      <c r="B1919">
        <f>Table4[[#This Row],[Column2]]</f>
        <v>0</v>
      </c>
    </row>
    <row r="1920" spans="1:2" ht="30.75" customHeight="1">
      <c r="A1920">
        <f>Table4[[#This Row],[Column1]]</f>
        <v>0</v>
      </c>
      <c r="B1920">
        <f>Table4[[#This Row],[Column2]]</f>
        <v>0</v>
      </c>
    </row>
    <row r="1921" spans="1:2" ht="30.75" customHeight="1">
      <c r="A1921">
        <f>Table4[[#This Row],[Column1]]</f>
        <v>0</v>
      </c>
      <c r="B1921">
        <f>Table4[[#This Row],[Column2]]</f>
        <v>0</v>
      </c>
    </row>
    <row r="1922" spans="1:2" ht="30.75" customHeight="1">
      <c r="A1922">
        <f>Table4[[#This Row],[Column1]]</f>
        <v>0</v>
      </c>
      <c r="B1922">
        <f>Table4[[#This Row],[Column2]]</f>
        <v>0</v>
      </c>
    </row>
    <row r="1923" spans="1:2" ht="30.75" customHeight="1">
      <c r="A1923">
        <f>Table4[[#This Row],[Column1]]</f>
        <v>0</v>
      </c>
      <c r="B1923">
        <f>Table4[[#This Row],[Column2]]</f>
        <v>0</v>
      </c>
    </row>
    <row r="1924" spans="1:2" ht="30.75" customHeight="1">
      <c r="A1924">
        <f>Table4[[#This Row],[Column1]]</f>
        <v>0</v>
      </c>
      <c r="B1924">
        <f>Table4[[#This Row],[Column2]]</f>
        <v>0</v>
      </c>
    </row>
    <row r="1925" spans="1:2" ht="30.75" customHeight="1">
      <c r="A1925">
        <f>Table4[[#This Row],[Column1]]</f>
        <v>0</v>
      </c>
      <c r="B1925">
        <f>Table4[[#This Row],[Column2]]</f>
        <v>0</v>
      </c>
    </row>
    <row r="1926" spans="1:2" ht="30.75" customHeight="1">
      <c r="A1926">
        <f>Table4[[#This Row],[Column1]]</f>
        <v>0</v>
      </c>
      <c r="B1926">
        <f>Table4[[#This Row],[Column2]]</f>
        <v>0</v>
      </c>
    </row>
    <row r="1927" spans="1:2" ht="30.75" customHeight="1">
      <c r="A1927">
        <f>Table4[[#This Row],[Column1]]</f>
        <v>0</v>
      </c>
      <c r="B1927">
        <f>Table4[[#This Row],[Column2]]</f>
        <v>0</v>
      </c>
    </row>
    <row r="1928" spans="1:2" ht="30.75" customHeight="1">
      <c r="A1928">
        <f>Table4[[#This Row],[Column1]]</f>
        <v>0</v>
      </c>
      <c r="B1928">
        <f>Table4[[#This Row],[Column2]]</f>
        <v>0</v>
      </c>
    </row>
    <row r="1929" spans="1:2" ht="30.75" customHeight="1">
      <c r="A1929">
        <f>Table4[[#This Row],[Column1]]</f>
        <v>0</v>
      </c>
      <c r="B1929">
        <f>Table4[[#This Row],[Column2]]</f>
        <v>0</v>
      </c>
    </row>
    <row r="1930" spans="1:2" ht="30.75" customHeight="1">
      <c r="A1930">
        <f>Table4[[#This Row],[Column1]]</f>
        <v>0</v>
      </c>
      <c r="B1930">
        <f>Table4[[#This Row],[Column2]]</f>
        <v>0</v>
      </c>
    </row>
    <row r="1931" spans="1:2" ht="30.75" customHeight="1">
      <c r="A1931">
        <f>Table4[[#This Row],[Column1]]</f>
        <v>0</v>
      </c>
      <c r="B1931">
        <f>Table4[[#This Row],[Column2]]</f>
        <v>0</v>
      </c>
    </row>
    <row r="1932" spans="1:2" ht="30.75" customHeight="1">
      <c r="A1932">
        <f>Table4[[#This Row],[Column1]]</f>
        <v>0</v>
      </c>
      <c r="B1932">
        <f>Table4[[#This Row],[Column2]]</f>
        <v>0</v>
      </c>
    </row>
    <row r="1933" spans="1:2" ht="30.75" customHeight="1">
      <c r="A1933">
        <f>Table4[[#This Row],[Column1]]</f>
        <v>0</v>
      </c>
      <c r="B1933">
        <f>Table4[[#This Row],[Column2]]</f>
        <v>0</v>
      </c>
    </row>
    <row r="1934" spans="1:2" ht="30.75" customHeight="1">
      <c r="A1934">
        <f>Table4[[#This Row],[Column1]]</f>
        <v>0</v>
      </c>
      <c r="B1934">
        <f>Table4[[#This Row],[Column2]]</f>
        <v>0</v>
      </c>
    </row>
    <row r="1935" spans="1:2" ht="30.75" customHeight="1">
      <c r="A1935">
        <f>Table4[[#This Row],[Column1]]</f>
        <v>0</v>
      </c>
      <c r="B1935">
        <f>Table4[[#This Row],[Column2]]</f>
        <v>0</v>
      </c>
    </row>
    <row r="1936" spans="1:2" ht="30.75" customHeight="1">
      <c r="A1936">
        <f>Table4[[#This Row],[Column1]]</f>
        <v>0</v>
      </c>
      <c r="B1936">
        <f>Table4[[#This Row],[Column2]]</f>
        <v>0</v>
      </c>
    </row>
    <row r="1937" spans="1:2" ht="30.75" customHeight="1">
      <c r="A1937">
        <f>Table4[[#This Row],[Column1]]</f>
        <v>0</v>
      </c>
      <c r="B1937">
        <f>Table4[[#This Row],[Column2]]</f>
        <v>0</v>
      </c>
    </row>
    <row r="1938" spans="1:2" ht="30.75" customHeight="1">
      <c r="A1938">
        <f>Table4[[#This Row],[Column1]]</f>
        <v>0</v>
      </c>
      <c r="B1938">
        <f>Table4[[#This Row],[Column2]]</f>
        <v>0</v>
      </c>
    </row>
    <row r="1939" spans="1:2" ht="30.75" customHeight="1">
      <c r="A1939">
        <f>Table4[[#This Row],[Column1]]</f>
        <v>0</v>
      </c>
      <c r="B1939">
        <f>Table4[[#This Row],[Column2]]</f>
        <v>0</v>
      </c>
    </row>
    <row r="1940" spans="1:2" ht="30.75" customHeight="1">
      <c r="A1940">
        <f>Table4[[#This Row],[Column1]]</f>
        <v>0</v>
      </c>
      <c r="B1940">
        <f>Table4[[#This Row],[Column2]]</f>
        <v>0</v>
      </c>
    </row>
    <row r="1941" spans="1:2" ht="30.75" customHeight="1">
      <c r="A1941">
        <f>Table4[[#This Row],[Column1]]</f>
        <v>0</v>
      </c>
      <c r="B1941">
        <f>Table4[[#This Row],[Column2]]</f>
        <v>0</v>
      </c>
    </row>
    <row r="1942" spans="1:2" ht="30.75" customHeight="1">
      <c r="A1942">
        <f>Table4[[#This Row],[Column1]]</f>
        <v>0</v>
      </c>
      <c r="B1942">
        <f>Table4[[#This Row],[Column2]]</f>
        <v>0</v>
      </c>
    </row>
    <row r="1943" spans="1:2" ht="30.75" customHeight="1">
      <c r="A1943">
        <f>Table4[[#This Row],[Column1]]</f>
        <v>0</v>
      </c>
      <c r="B1943">
        <f>Table4[[#This Row],[Column2]]</f>
        <v>0</v>
      </c>
    </row>
    <row r="1944" spans="1:2" ht="30.75" customHeight="1">
      <c r="A1944">
        <f>Table4[[#This Row],[Column1]]</f>
        <v>0</v>
      </c>
      <c r="B1944">
        <f>Table4[[#This Row],[Column2]]</f>
        <v>0</v>
      </c>
    </row>
    <row r="1945" spans="1:2" ht="30.75" customHeight="1">
      <c r="A1945">
        <f>Table4[[#This Row],[Column1]]</f>
        <v>0</v>
      </c>
      <c r="B1945">
        <f>Table4[[#This Row],[Column2]]</f>
        <v>0</v>
      </c>
    </row>
    <row r="1946" spans="1:2" ht="30.75" customHeight="1">
      <c r="A1946">
        <f>Table4[[#This Row],[Column1]]</f>
        <v>0</v>
      </c>
      <c r="B1946">
        <f>Table4[[#This Row],[Column2]]</f>
        <v>0</v>
      </c>
    </row>
    <row r="1947" spans="1:2" ht="30.75" customHeight="1">
      <c r="A1947">
        <f>Table4[[#This Row],[Column1]]</f>
        <v>0</v>
      </c>
      <c r="B1947">
        <f>Table4[[#This Row],[Column2]]</f>
        <v>0</v>
      </c>
    </row>
    <row r="1948" spans="1:2" ht="30.75" customHeight="1">
      <c r="A1948">
        <f>Table4[[#This Row],[Column1]]</f>
        <v>0</v>
      </c>
      <c r="B1948">
        <f>Table4[[#This Row],[Column2]]</f>
        <v>0</v>
      </c>
    </row>
    <row r="1949" spans="1:2" ht="30.75" customHeight="1">
      <c r="A1949">
        <f>Table4[[#This Row],[Column1]]</f>
        <v>0</v>
      </c>
      <c r="B1949">
        <f>Table4[[#This Row],[Column2]]</f>
        <v>0</v>
      </c>
    </row>
    <row r="1950" spans="1:2" ht="30.75" customHeight="1">
      <c r="A1950">
        <f>Table4[[#This Row],[Column1]]</f>
        <v>0</v>
      </c>
      <c r="B1950">
        <f>Table4[[#This Row],[Column2]]</f>
        <v>0</v>
      </c>
    </row>
    <row r="1951" spans="1:2" ht="30.75" customHeight="1">
      <c r="A1951">
        <f>Table4[[#This Row],[Column1]]</f>
        <v>0</v>
      </c>
      <c r="B1951">
        <f>Table4[[#This Row],[Column2]]</f>
        <v>0</v>
      </c>
    </row>
    <row r="1952" spans="1:2" ht="30.75" customHeight="1">
      <c r="A1952">
        <f>Table4[[#This Row],[Column1]]</f>
        <v>0</v>
      </c>
      <c r="B1952">
        <f>Table4[[#This Row],[Column2]]</f>
        <v>0</v>
      </c>
    </row>
    <row r="1953" spans="1:2" ht="30.75" customHeight="1">
      <c r="A1953">
        <f>Table4[[#This Row],[Column1]]</f>
        <v>0</v>
      </c>
      <c r="B1953">
        <f>Table4[[#This Row],[Column2]]</f>
        <v>0</v>
      </c>
    </row>
    <row r="1954" spans="1:2" ht="30.75" customHeight="1">
      <c r="A1954">
        <f>Table4[[#This Row],[Column1]]</f>
        <v>0</v>
      </c>
      <c r="B1954">
        <f>Table4[[#This Row],[Column2]]</f>
        <v>0</v>
      </c>
    </row>
    <row r="1955" spans="1:2" ht="30.75" customHeight="1">
      <c r="A1955">
        <f>Table4[[#This Row],[Column1]]</f>
        <v>0</v>
      </c>
      <c r="B1955">
        <f>Table4[[#This Row],[Column2]]</f>
        <v>0</v>
      </c>
    </row>
    <row r="1956" spans="1:2" ht="30.75" customHeight="1">
      <c r="A1956">
        <f>Table4[[#This Row],[Column1]]</f>
        <v>0</v>
      </c>
      <c r="B1956">
        <f>Table4[[#This Row],[Column2]]</f>
        <v>0</v>
      </c>
    </row>
    <row r="1957" spans="1:2" ht="30.75" customHeight="1">
      <c r="A1957">
        <f>Table4[[#This Row],[Column1]]</f>
        <v>0</v>
      </c>
      <c r="B1957">
        <f>Table4[[#This Row],[Column2]]</f>
        <v>0</v>
      </c>
    </row>
    <row r="1958" spans="1:2" ht="30.75" customHeight="1">
      <c r="A1958">
        <f>Table4[[#This Row],[Column1]]</f>
        <v>0</v>
      </c>
      <c r="B1958">
        <f>Table4[[#This Row],[Column2]]</f>
        <v>0</v>
      </c>
    </row>
    <row r="1959" spans="1:2" ht="30.75" customHeight="1">
      <c r="A1959">
        <f>Table4[[#This Row],[Column1]]</f>
        <v>0</v>
      </c>
      <c r="B1959">
        <f>Table4[[#This Row],[Column2]]</f>
        <v>0</v>
      </c>
    </row>
    <row r="1960" spans="1:2" ht="30.75" customHeight="1">
      <c r="A1960">
        <f>Table4[[#This Row],[Column1]]</f>
        <v>0</v>
      </c>
      <c r="B1960">
        <f>Table4[[#This Row],[Column2]]</f>
        <v>0</v>
      </c>
    </row>
    <row r="1961" spans="1:2" ht="30.75" customHeight="1">
      <c r="A1961">
        <f>Table4[[#This Row],[Column1]]</f>
        <v>0</v>
      </c>
      <c r="B1961">
        <f>Table4[[#This Row],[Column2]]</f>
        <v>0</v>
      </c>
    </row>
    <row r="1962" spans="1:2" ht="30.75" customHeight="1">
      <c r="A1962">
        <f>Table4[[#This Row],[Column1]]</f>
        <v>0</v>
      </c>
      <c r="B1962">
        <f>Table4[[#This Row],[Column2]]</f>
        <v>0</v>
      </c>
    </row>
    <row r="1963" spans="1:2" ht="30.75" customHeight="1">
      <c r="A1963">
        <f>Table4[[#This Row],[Column1]]</f>
        <v>0</v>
      </c>
      <c r="B1963">
        <f>Table4[[#This Row],[Column2]]</f>
        <v>0</v>
      </c>
    </row>
    <row r="1964" spans="1:2" ht="30.75" customHeight="1">
      <c r="A1964">
        <f>Table4[[#This Row],[Column1]]</f>
        <v>0</v>
      </c>
      <c r="B1964">
        <f>Table4[[#This Row],[Column2]]</f>
        <v>0</v>
      </c>
    </row>
    <row r="1965" spans="1:2" ht="30.75" customHeight="1">
      <c r="A1965">
        <f>Table4[[#This Row],[Column1]]</f>
        <v>0</v>
      </c>
      <c r="B1965">
        <f>Table4[[#This Row],[Column2]]</f>
        <v>0</v>
      </c>
    </row>
    <row r="1966" spans="1:2" ht="30.75" customHeight="1">
      <c r="A1966">
        <f>Table4[[#This Row],[Column1]]</f>
        <v>0</v>
      </c>
      <c r="B1966">
        <f>Table4[[#This Row],[Column2]]</f>
        <v>0</v>
      </c>
    </row>
    <row r="1967" spans="1:2" ht="30.75" customHeight="1">
      <c r="A1967">
        <f>Table4[[#This Row],[Column1]]</f>
        <v>0</v>
      </c>
      <c r="B1967">
        <f>Table4[[#This Row],[Column2]]</f>
        <v>0</v>
      </c>
    </row>
    <row r="1968" spans="1:2" ht="30.75" customHeight="1">
      <c r="A1968">
        <f>Table4[[#This Row],[Column1]]</f>
        <v>0</v>
      </c>
      <c r="B1968">
        <f>Table4[[#This Row],[Column2]]</f>
        <v>0</v>
      </c>
    </row>
    <row r="1969" spans="1:2" ht="30.75" customHeight="1">
      <c r="A1969">
        <f>Table4[[#This Row],[Column1]]</f>
        <v>0</v>
      </c>
      <c r="B1969">
        <f>Table4[[#This Row],[Column2]]</f>
        <v>0</v>
      </c>
    </row>
    <row r="1970" spans="1:2" ht="30.75" customHeight="1">
      <c r="A1970">
        <f>Table4[[#This Row],[Column1]]</f>
        <v>0</v>
      </c>
      <c r="B1970">
        <f>Table4[[#This Row],[Column2]]</f>
        <v>0</v>
      </c>
    </row>
    <row r="1971" spans="1:2" ht="30.75" customHeight="1">
      <c r="A1971">
        <f>Table4[[#This Row],[Column1]]</f>
        <v>0</v>
      </c>
      <c r="B1971">
        <f>Table4[[#This Row],[Column2]]</f>
        <v>0</v>
      </c>
    </row>
    <row r="1972" spans="1:2" ht="30.75" customHeight="1">
      <c r="A1972">
        <f>Table4[[#This Row],[Column1]]</f>
        <v>0</v>
      </c>
      <c r="B1972">
        <f>Table4[[#This Row],[Column2]]</f>
        <v>0</v>
      </c>
    </row>
    <row r="1973" spans="1:2" ht="30.75" customHeight="1">
      <c r="A1973">
        <f>Table4[[#This Row],[Column1]]</f>
        <v>0</v>
      </c>
      <c r="B1973">
        <f>Table4[[#This Row],[Column2]]</f>
        <v>0</v>
      </c>
    </row>
    <row r="1974" spans="1:2" ht="30.75" customHeight="1">
      <c r="A1974">
        <f>Table4[[#This Row],[Column1]]</f>
        <v>0</v>
      </c>
      <c r="B1974">
        <f>Table4[[#This Row],[Column2]]</f>
        <v>0</v>
      </c>
    </row>
    <row r="1975" spans="1:2" ht="30.75" customHeight="1">
      <c r="A1975">
        <f>Table4[[#This Row],[Column1]]</f>
        <v>0</v>
      </c>
      <c r="B1975">
        <f>Table4[[#This Row],[Column2]]</f>
        <v>0</v>
      </c>
    </row>
    <row r="1976" spans="1:2" ht="30.75" customHeight="1">
      <c r="A1976">
        <f>Table4[[#This Row],[Column1]]</f>
        <v>0</v>
      </c>
      <c r="B1976">
        <f>Table4[[#This Row],[Column2]]</f>
        <v>0</v>
      </c>
    </row>
    <row r="1977" spans="1:2" ht="30.75" customHeight="1">
      <c r="A1977">
        <f>Table4[[#This Row],[Column1]]</f>
        <v>0</v>
      </c>
      <c r="B1977">
        <f>Table4[[#This Row],[Column2]]</f>
        <v>0</v>
      </c>
    </row>
    <row r="1978" spans="1:2" ht="30.75" customHeight="1">
      <c r="A1978">
        <f>Table4[[#This Row],[Column1]]</f>
        <v>0</v>
      </c>
      <c r="B1978">
        <f>Table4[[#This Row],[Column2]]</f>
        <v>0</v>
      </c>
    </row>
    <row r="1979" spans="1:2" ht="30.75" customHeight="1">
      <c r="A1979">
        <f>Table4[[#This Row],[Column1]]</f>
        <v>0</v>
      </c>
      <c r="B1979">
        <f>Table4[[#This Row],[Column2]]</f>
        <v>0</v>
      </c>
    </row>
    <row r="1980" spans="1:2" ht="30.75" customHeight="1">
      <c r="A1980">
        <f>Table4[[#This Row],[Column1]]</f>
        <v>0</v>
      </c>
      <c r="B1980">
        <f>Table4[[#This Row],[Column2]]</f>
        <v>0</v>
      </c>
    </row>
    <row r="1981" spans="1:2" ht="30.75" customHeight="1">
      <c r="A1981">
        <f>Table4[[#This Row],[Column1]]</f>
        <v>0</v>
      </c>
      <c r="B1981">
        <f>Table4[[#This Row],[Column2]]</f>
        <v>0</v>
      </c>
    </row>
    <row r="1982" spans="1:2" ht="30.75" customHeight="1">
      <c r="A1982">
        <f>Table4[[#This Row],[Column1]]</f>
        <v>0</v>
      </c>
      <c r="B1982">
        <f>Table4[[#This Row],[Column2]]</f>
        <v>0</v>
      </c>
    </row>
    <row r="1983" spans="1:2" ht="30.75" customHeight="1">
      <c r="A1983">
        <f>Table4[[#This Row],[Column1]]</f>
        <v>0</v>
      </c>
      <c r="B1983">
        <f>Table4[[#This Row],[Column2]]</f>
        <v>0</v>
      </c>
    </row>
    <row r="1984" spans="1:2" ht="30.75" customHeight="1">
      <c r="A1984">
        <f>Table4[[#This Row],[Column1]]</f>
        <v>0</v>
      </c>
      <c r="B1984">
        <f>Table4[[#This Row],[Column2]]</f>
        <v>0</v>
      </c>
    </row>
    <row r="1985" spans="1:2" ht="30.75" customHeight="1">
      <c r="A1985">
        <f>Table4[[#This Row],[Column1]]</f>
        <v>0</v>
      </c>
      <c r="B1985">
        <f>Table4[[#This Row],[Column2]]</f>
        <v>0</v>
      </c>
    </row>
    <row r="1986" spans="1:2" ht="30.75" customHeight="1">
      <c r="A1986">
        <f>Table4[[#This Row],[Column1]]</f>
        <v>0</v>
      </c>
      <c r="B1986">
        <f>Table4[[#This Row],[Column2]]</f>
        <v>0</v>
      </c>
    </row>
    <row r="1987" spans="1:2" ht="30.75" customHeight="1">
      <c r="A1987">
        <f>Table4[[#This Row],[Column1]]</f>
        <v>0</v>
      </c>
      <c r="B1987">
        <f>Table4[[#This Row],[Column2]]</f>
        <v>0</v>
      </c>
    </row>
    <row r="1988" spans="1:2" ht="30.75" customHeight="1">
      <c r="A1988">
        <f>Table4[[#This Row],[Column1]]</f>
        <v>0</v>
      </c>
      <c r="B1988">
        <f>Table4[[#This Row],[Column2]]</f>
        <v>0</v>
      </c>
    </row>
    <row r="1989" spans="1:2" ht="30.75" customHeight="1">
      <c r="A1989">
        <f>Table4[[#This Row],[Column1]]</f>
        <v>0</v>
      </c>
      <c r="B1989">
        <f>Table4[[#This Row],[Column2]]</f>
        <v>0</v>
      </c>
    </row>
    <row r="1990" spans="1:2" ht="30.75" customHeight="1">
      <c r="A1990">
        <f>Table4[[#This Row],[Column1]]</f>
        <v>0</v>
      </c>
      <c r="B1990">
        <f>Table4[[#This Row],[Column2]]</f>
        <v>0</v>
      </c>
    </row>
    <row r="1991" spans="1:2" ht="30.75" customHeight="1">
      <c r="A1991">
        <f>Table4[[#This Row],[Column1]]</f>
        <v>0</v>
      </c>
      <c r="B1991">
        <f>Table4[[#This Row],[Column2]]</f>
        <v>0</v>
      </c>
    </row>
    <row r="1992" spans="1:2" ht="30.75" customHeight="1">
      <c r="A1992">
        <f>Table4[[#This Row],[Column1]]</f>
        <v>0</v>
      </c>
      <c r="B1992">
        <f>Table4[[#This Row],[Column2]]</f>
        <v>0</v>
      </c>
    </row>
    <row r="1993" spans="1:2" ht="30.75" customHeight="1">
      <c r="A1993">
        <f>Table4[[#This Row],[Column1]]</f>
        <v>0</v>
      </c>
      <c r="B1993">
        <f>Table4[[#This Row],[Column2]]</f>
        <v>0</v>
      </c>
    </row>
    <row r="1994" spans="1:2" ht="30.75" customHeight="1">
      <c r="A1994">
        <f>Table4[[#This Row],[Column1]]</f>
        <v>0</v>
      </c>
      <c r="B1994">
        <f>Table4[[#This Row],[Column2]]</f>
        <v>0</v>
      </c>
    </row>
    <row r="1995" spans="1:2" ht="30.75" customHeight="1">
      <c r="A1995">
        <f>Table4[[#This Row],[Column1]]</f>
        <v>0</v>
      </c>
      <c r="B1995">
        <f>Table4[[#This Row],[Column2]]</f>
        <v>0</v>
      </c>
    </row>
    <row r="1996" spans="1:2" ht="30.75" customHeight="1">
      <c r="A1996">
        <f>Table4[[#This Row],[Column1]]</f>
        <v>0</v>
      </c>
      <c r="B1996">
        <f>Table4[[#This Row],[Column2]]</f>
        <v>0</v>
      </c>
    </row>
    <row r="1997" spans="1:2" ht="30.75" customHeight="1">
      <c r="A1997">
        <f>Table4[[#This Row],[Column1]]</f>
        <v>0</v>
      </c>
      <c r="B1997">
        <f>Table4[[#This Row],[Column2]]</f>
        <v>0</v>
      </c>
    </row>
    <row r="1998" spans="1:2" ht="30.75" customHeight="1">
      <c r="A1998">
        <f>Table4[[#This Row],[Column1]]</f>
        <v>0</v>
      </c>
      <c r="B1998">
        <f>Table4[[#This Row],[Column2]]</f>
        <v>0</v>
      </c>
    </row>
    <row r="1999" spans="1:2" ht="30.75" customHeight="1">
      <c r="A1999">
        <f>Table4[[#This Row],[Column1]]</f>
        <v>0</v>
      </c>
      <c r="B1999">
        <f>Table4[[#This Row],[Column2]]</f>
        <v>0</v>
      </c>
    </row>
    <row r="2000" spans="1:2" ht="30.75" customHeight="1">
      <c r="A2000">
        <f>Table4[[#This Row],[Column1]]</f>
        <v>0</v>
      </c>
      <c r="B2000">
        <f>Table4[[#This Row],[Column2]]</f>
        <v>0</v>
      </c>
    </row>
    <row r="2001" spans="1:2" ht="30.75" customHeight="1">
      <c r="A2001">
        <f>Table4[[#This Row],[Column1]]</f>
        <v>0</v>
      </c>
      <c r="B2001">
        <f>Table4[[#This Row],[Column2]]</f>
        <v>0</v>
      </c>
    </row>
    <row r="2002" spans="1:2" ht="30.75" customHeight="1">
      <c r="A2002">
        <f>Table4[[#This Row],[Column1]]</f>
        <v>0</v>
      </c>
      <c r="B2002">
        <f>Table4[[#This Row],[Column2]]</f>
        <v>0</v>
      </c>
    </row>
    <row r="2003" spans="1:2" ht="30.75" customHeight="1">
      <c r="A2003">
        <f>Table4[[#This Row],[Column1]]</f>
        <v>0</v>
      </c>
      <c r="B2003">
        <f>Table4[[#This Row],[Column2]]</f>
        <v>0</v>
      </c>
    </row>
    <row r="2004" spans="1:2" ht="30.75" customHeight="1">
      <c r="A2004">
        <f>Table4[[#This Row],[Column1]]</f>
        <v>0</v>
      </c>
      <c r="B2004">
        <f>Table4[[#This Row],[Column2]]</f>
        <v>0</v>
      </c>
    </row>
    <row r="2005" spans="1:2" ht="30.75" customHeight="1">
      <c r="A2005">
        <f>Table4[[#This Row],[Column1]]</f>
        <v>0</v>
      </c>
      <c r="B2005">
        <f>Table4[[#This Row],[Column2]]</f>
        <v>0</v>
      </c>
    </row>
    <row r="2006" spans="1:2" ht="30.75" customHeight="1">
      <c r="A2006">
        <f>Table4[[#This Row],[Column1]]</f>
        <v>0</v>
      </c>
      <c r="B2006">
        <f>Table4[[#This Row],[Column2]]</f>
        <v>0</v>
      </c>
    </row>
    <row r="2007" spans="1:2" ht="30.75" customHeight="1">
      <c r="A2007">
        <f>Table4[[#This Row],[Column1]]</f>
        <v>0</v>
      </c>
      <c r="B2007">
        <f>Table4[[#This Row],[Column2]]</f>
        <v>0</v>
      </c>
    </row>
    <row r="2008" spans="1:2" ht="30.75" customHeight="1">
      <c r="A2008">
        <f>Table4[[#This Row],[Column1]]</f>
        <v>0</v>
      </c>
      <c r="B2008">
        <f>Table4[[#This Row],[Column2]]</f>
        <v>0</v>
      </c>
    </row>
    <row r="2009" spans="1:2" ht="30.75" customHeight="1">
      <c r="A2009">
        <f>Table4[[#This Row],[Column1]]</f>
        <v>0</v>
      </c>
      <c r="B2009">
        <f>Table4[[#This Row],[Column2]]</f>
        <v>0</v>
      </c>
    </row>
    <row r="2010" spans="1:2" ht="30.75" customHeight="1">
      <c r="A2010">
        <f>Table4[[#This Row],[Column1]]</f>
        <v>0</v>
      </c>
      <c r="B2010">
        <f>Table4[[#This Row],[Column2]]</f>
        <v>0</v>
      </c>
    </row>
    <row r="2011" spans="1:2" ht="30.75" customHeight="1">
      <c r="A2011">
        <f>Table4[[#This Row],[Column1]]</f>
        <v>0</v>
      </c>
      <c r="B2011">
        <f>Table4[[#This Row],[Column2]]</f>
        <v>0</v>
      </c>
    </row>
    <row r="2012" spans="1:2" ht="30.75" customHeight="1">
      <c r="A2012">
        <f>Table4[[#This Row],[Column1]]</f>
        <v>0</v>
      </c>
      <c r="B2012">
        <f>Table4[[#This Row],[Column2]]</f>
        <v>0</v>
      </c>
    </row>
    <row r="2013" spans="1:2" ht="30.75" customHeight="1">
      <c r="A2013">
        <f>Table4[[#This Row],[Column1]]</f>
        <v>0</v>
      </c>
      <c r="B2013">
        <f>Table4[[#This Row],[Column2]]</f>
        <v>0</v>
      </c>
    </row>
    <row r="2014" spans="1:2" ht="30.75" customHeight="1">
      <c r="A2014">
        <f>Table4[[#This Row],[Column1]]</f>
        <v>0</v>
      </c>
      <c r="B2014">
        <f>Table4[[#This Row],[Column2]]</f>
        <v>0</v>
      </c>
    </row>
    <row r="2015" spans="1:2" ht="30.75" customHeight="1">
      <c r="A2015">
        <f>Table4[[#This Row],[Column1]]</f>
        <v>0</v>
      </c>
      <c r="B2015">
        <f>Table4[[#This Row],[Column2]]</f>
        <v>0</v>
      </c>
    </row>
    <row r="2016" spans="1:2" ht="30.75" customHeight="1">
      <c r="A2016">
        <f>Table4[[#This Row],[Column1]]</f>
        <v>0</v>
      </c>
      <c r="B2016">
        <f>Table4[[#This Row],[Column2]]</f>
        <v>0</v>
      </c>
    </row>
    <row r="2017" spans="1:2" ht="30.75" customHeight="1">
      <c r="A2017">
        <f>Table4[[#This Row],[Column1]]</f>
        <v>0</v>
      </c>
      <c r="B2017">
        <f>Table4[[#This Row],[Column2]]</f>
        <v>0</v>
      </c>
    </row>
    <row r="2018" spans="1:2" ht="30.75" customHeight="1">
      <c r="A2018">
        <f>Table4[[#This Row],[Column1]]</f>
        <v>0</v>
      </c>
      <c r="B2018">
        <f>Table4[[#This Row],[Column2]]</f>
        <v>0</v>
      </c>
    </row>
    <row r="2019" spans="1:2" ht="30.75" customHeight="1">
      <c r="A2019">
        <f>Table4[[#This Row],[Column1]]</f>
        <v>0</v>
      </c>
      <c r="B2019">
        <f>Table4[[#This Row],[Column2]]</f>
        <v>0</v>
      </c>
    </row>
    <row r="2020" spans="1:2" ht="30.75" customHeight="1">
      <c r="A2020">
        <f>Table4[[#This Row],[Column1]]</f>
        <v>0</v>
      </c>
      <c r="B2020">
        <f>Table4[[#This Row],[Column2]]</f>
        <v>0</v>
      </c>
    </row>
    <row r="2021" spans="1:2" ht="30.75" customHeight="1">
      <c r="A2021">
        <f>Table4[[#This Row],[Column1]]</f>
        <v>0</v>
      </c>
      <c r="B2021">
        <f>Table4[[#This Row],[Column2]]</f>
        <v>0</v>
      </c>
    </row>
    <row r="2022" spans="1:2" ht="30.75" customHeight="1">
      <c r="A2022">
        <f>Table4[[#This Row],[Column1]]</f>
        <v>0</v>
      </c>
      <c r="B2022">
        <f>Table4[[#This Row],[Column2]]</f>
        <v>0</v>
      </c>
    </row>
    <row r="2023" spans="1:2" ht="30.75" customHeight="1">
      <c r="A2023">
        <f>Table4[[#This Row],[Column1]]</f>
        <v>0</v>
      </c>
      <c r="B2023">
        <f>Table4[[#This Row],[Column2]]</f>
        <v>0</v>
      </c>
    </row>
    <row r="2024" spans="1:2" ht="30.75" customHeight="1">
      <c r="A2024">
        <f>Table4[[#This Row],[Column1]]</f>
        <v>0</v>
      </c>
      <c r="B2024">
        <f>Table4[[#This Row],[Column2]]</f>
        <v>0</v>
      </c>
    </row>
    <row r="2025" spans="1:2" ht="30.75" customHeight="1">
      <c r="A2025">
        <f>Table4[[#This Row],[Column1]]</f>
        <v>0</v>
      </c>
      <c r="B2025">
        <f>Table4[[#This Row],[Column2]]</f>
        <v>0</v>
      </c>
    </row>
    <row r="2026" spans="1:2" ht="30.75" customHeight="1">
      <c r="A2026">
        <f>Table4[[#This Row],[Column1]]</f>
        <v>0</v>
      </c>
      <c r="B2026">
        <f>Table4[[#This Row],[Column2]]</f>
        <v>0</v>
      </c>
    </row>
    <row r="2027" spans="1:2" ht="30.75" customHeight="1">
      <c r="A2027">
        <f>Table4[[#This Row],[Column1]]</f>
        <v>0</v>
      </c>
      <c r="B2027">
        <f>Table4[[#This Row],[Column2]]</f>
        <v>0</v>
      </c>
    </row>
    <row r="2028" spans="1:2" ht="30.75" customHeight="1">
      <c r="A2028">
        <f>Table4[[#This Row],[Column1]]</f>
        <v>0</v>
      </c>
      <c r="B2028">
        <f>Table4[[#This Row],[Column2]]</f>
        <v>0</v>
      </c>
    </row>
    <row r="2029" spans="1:2" ht="30.75" customHeight="1">
      <c r="A2029">
        <f>Table4[[#This Row],[Column1]]</f>
        <v>0</v>
      </c>
      <c r="B2029">
        <f>Table4[[#This Row],[Column2]]</f>
        <v>0</v>
      </c>
    </row>
    <row r="2030" spans="1:2" ht="30.75" customHeight="1">
      <c r="A2030">
        <f>Table4[[#This Row],[Column1]]</f>
        <v>0</v>
      </c>
      <c r="B2030">
        <f>Table4[[#This Row],[Column2]]</f>
        <v>0</v>
      </c>
    </row>
    <row r="2031" spans="1:2" ht="30.75" customHeight="1">
      <c r="A2031">
        <f>Table4[[#This Row],[Column1]]</f>
        <v>0</v>
      </c>
      <c r="B2031">
        <f>Table4[[#This Row],[Column2]]</f>
        <v>0</v>
      </c>
    </row>
    <row r="2032" spans="1:2" ht="30.75" customHeight="1">
      <c r="A2032">
        <f>Table4[[#This Row],[Column1]]</f>
        <v>0</v>
      </c>
      <c r="B2032">
        <f>Table4[[#This Row],[Column2]]</f>
        <v>0</v>
      </c>
    </row>
    <row r="2033" spans="1:2" ht="30.75" customHeight="1">
      <c r="A2033">
        <f>Table4[[#This Row],[Column1]]</f>
        <v>0</v>
      </c>
      <c r="B2033">
        <f>Table4[[#This Row],[Column2]]</f>
        <v>0</v>
      </c>
    </row>
    <row r="2034" spans="1:2" ht="30.75" customHeight="1">
      <c r="A2034">
        <f>Table4[[#This Row],[Column1]]</f>
        <v>0</v>
      </c>
      <c r="B2034">
        <f>Table4[[#This Row],[Column2]]</f>
        <v>0</v>
      </c>
    </row>
    <row r="2035" spans="1:2" ht="30.75" customHeight="1">
      <c r="A2035">
        <f>Table4[[#This Row],[Column1]]</f>
        <v>0</v>
      </c>
      <c r="B2035">
        <f>Table4[[#This Row],[Column2]]</f>
        <v>0</v>
      </c>
    </row>
    <row r="2036" spans="1:2" ht="30.75" customHeight="1">
      <c r="A2036">
        <f>Table4[[#This Row],[Column1]]</f>
        <v>0</v>
      </c>
      <c r="B2036">
        <f>Table4[[#This Row],[Column2]]</f>
        <v>0</v>
      </c>
    </row>
    <row r="2037" spans="1:2" ht="30.75" customHeight="1">
      <c r="A2037">
        <f>Table4[[#This Row],[Column1]]</f>
        <v>0</v>
      </c>
      <c r="B2037">
        <f>Table4[[#This Row],[Column2]]</f>
        <v>0</v>
      </c>
    </row>
    <row r="2038" spans="1:2" ht="30.75" customHeight="1">
      <c r="A2038">
        <f>Table4[[#This Row],[Column1]]</f>
        <v>0</v>
      </c>
      <c r="B2038">
        <f>Table4[[#This Row],[Column2]]</f>
        <v>0</v>
      </c>
    </row>
    <row r="2039" spans="1:2" ht="30.75" customHeight="1">
      <c r="A2039">
        <f>Table4[[#This Row],[Column1]]</f>
        <v>0</v>
      </c>
      <c r="B2039">
        <f>Table4[[#This Row],[Column2]]</f>
        <v>0</v>
      </c>
    </row>
    <row r="2040" spans="1:2" ht="30.75" customHeight="1">
      <c r="A2040">
        <f>Table4[[#This Row],[Column1]]</f>
        <v>0</v>
      </c>
      <c r="B2040">
        <f>Table4[[#This Row],[Column2]]</f>
        <v>0</v>
      </c>
    </row>
    <row r="2041" spans="1:2" ht="30.75" customHeight="1">
      <c r="A2041">
        <f>Table4[[#This Row],[Column1]]</f>
        <v>0</v>
      </c>
      <c r="B2041">
        <f>Table4[[#This Row],[Column2]]</f>
        <v>0</v>
      </c>
    </row>
    <row r="2042" spans="1:2" ht="30.75" customHeight="1">
      <c r="A2042">
        <f>Table4[[#This Row],[Column1]]</f>
        <v>0</v>
      </c>
      <c r="B2042">
        <f>Table4[[#This Row],[Column2]]</f>
        <v>0</v>
      </c>
    </row>
    <row r="2043" spans="1:2" ht="30.75" customHeight="1">
      <c r="A2043">
        <f>Table4[[#This Row],[Column1]]</f>
        <v>0</v>
      </c>
      <c r="B2043">
        <f>Table4[[#This Row],[Column2]]</f>
        <v>0</v>
      </c>
    </row>
    <row r="2044" spans="1:2" ht="30.75" customHeight="1">
      <c r="A2044">
        <f>Table4[[#This Row],[Column1]]</f>
        <v>0</v>
      </c>
      <c r="B2044">
        <f>Table4[[#This Row],[Column2]]</f>
        <v>0</v>
      </c>
    </row>
    <row r="2045" spans="1:2" ht="30.75" customHeight="1">
      <c r="A2045">
        <f>Table4[[#This Row],[Column1]]</f>
        <v>0</v>
      </c>
      <c r="B2045">
        <f>Table4[[#This Row],[Column2]]</f>
        <v>0</v>
      </c>
    </row>
    <row r="2046" spans="1:2" ht="30.75" customHeight="1">
      <c r="A2046">
        <f>Table4[[#This Row],[Column1]]</f>
        <v>0</v>
      </c>
      <c r="B2046">
        <f>Table4[[#This Row],[Column2]]</f>
        <v>0</v>
      </c>
    </row>
    <row r="2047" spans="1:2" ht="30.75" customHeight="1">
      <c r="A2047">
        <f>Table4[[#This Row],[Column1]]</f>
        <v>0</v>
      </c>
      <c r="B2047">
        <f>Table4[[#This Row],[Column2]]</f>
        <v>0</v>
      </c>
    </row>
    <row r="2048" spans="1:2" ht="30.75" customHeight="1">
      <c r="A2048">
        <f>Table4[[#This Row],[Column1]]</f>
        <v>0</v>
      </c>
      <c r="B2048">
        <f>Table4[[#This Row],[Column2]]</f>
        <v>0</v>
      </c>
    </row>
    <row r="2049" spans="1:2" ht="30.75" customHeight="1">
      <c r="A2049">
        <f>Table4[[#This Row],[Column1]]</f>
        <v>0</v>
      </c>
      <c r="B2049">
        <f>Table4[[#This Row],[Column2]]</f>
        <v>0</v>
      </c>
    </row>
    <row r="2050" spans="1:2" ht="30.75" customHeight="1">
      <c r="A2050">
        <f>Table4[[#This Row],[Column1]]</f>
        <v>0</v>
      </c>
      <c r="B2050">
        <f>Table4[[#This Row],[Column2]]</f>
        <v>0</v>
      </c>
    </row>
    <row r="2051" spans="1:2" ht="30.75" customHeight="1">
      <c r="A2051">
        <f>Table4[[#This Row],[Column1]]</f>
        <v>0</v>
      </c>
      <c r="B2051">
        <f>Table4[[#This Row],[Column2]]</f>
        <v>0</v>
      </c>
    </row>
    <row r="2052" spans="1:2" ht="30.75" customHeight="1">
      <c r="A2052">
        <f>Table4[[#This Row],[Column1]]</f>
        <v>0</v>
      </c>
      <c r="B2052">
        <f>Table4[[#This Row],[Column2]]</f>
        <v>0</v>
      </c>
    </row>
    <row r="2053" spans="1:2" ht="30.75" customHeight="1">
      <c r="A2053">
        <f>Table4[[#This Row],[Column1]]</f>
        <v>0</v>
      </c>
      <c r="B2053">
        <f>Table4[[#This Row],[Column2]]</f>
        <v>0</v>
      </c>
    </row>
    <row r="2054" spans="1:2" ht="30.75" customHeight="1">
      <c r="A2054">
        <f>Table4[[#This Row],[Column1]]</f>
        <v>0</v>
      </c>
      <c r="B2054">
        <f>Table4[[#This Row],[Column2]]</f>
        <v>0</v>
      </c>
    </row>
    <row r="2055" spans="1:2" ht="30.75" customHeight="1">
      <c r="A2055">
        <f>Table4[[#This Row],[Column1]]</f>
        <v>0</v>
      </c>
      <c r="B2055">
        <f>Table4[[#This Row],[Column2]]</f>
        <v>0</v>
      </c>
    </row>
    <row r="2056" spans="1:2" ht="30.75" customHeight="1">
      <c r="A2056">
        <f>Table4[[#This Row],[Column1]]</f>
        <v>0</v>
      </c>
      <c r="B2056">
        <f>Table4[[#This Row],[Column2]]</f>
        <v>0</v>
      </c>
    </row>
    <row r="2057" spans="1:2" ht="30.75" customHeight="1">
      <c r="A2057">
        <f>Table4[[#This Row],[Column1]]</f>
        <v>0</v>
      </c>
      <c r="B2057">
        <f>Table4[[#This Row],[Column2]]</f>
        <v>0</v>
      </c>
    </row>
    <row r="2058" spans="1:2" ht="30.75" customHeight="1">
      <c r="A2058">
        <f>Table4[[#This Row],[Column1]]</f>
        <v>0</v>
      </c>
      <c r="B2058">
        <f>Table4[[#This Row],[Column2]]</f>
        <v>0</v>
      </c>
    </row>
    <row r="2059" spans="1:2" ht="30.75" customHeight="1">
      <c r="A2059">
        <f>Table4[[#This Row],[Column1]]</f>
        <v>0</v>
      </c>
      <c r="B2059">
        <f>Table4[[#This Row],[Column2]]</f>
        <v>0</v>
      </c>
    </row>
    <row r="2060" spans="1:2" ht="30.75" customHeight="1">
      <c r="A2060">
        <f>Table4[[#This Row],[Column1]]</f>
        <v>0</v>
      </c>
      <c r="B2060">
        <f>Table4[[#This Row],[Column2]]</f>
        <v>0</v>
      </c>
    </row>
    <row r="2061" spans="1:2" ht="30.75" customHeight="1">
      <c r="A2061">
        <f>Table4[[#This Row],[Column1]]</f>
        <v>0</v>
      </c>
      <c r="B2061">
        <f>Table4[[#This Row],[Column2]]</f>
        <v>0</v>
      </c>
    </row>
    <row r="2062" spans="1:2" ht="30.75" customHeight="1">
      <c r="A2062">
        <f>Table4[[#This Row],[Column1]]</f>
        <v>0</v>
      </c>
      <c r="B2062">
        <f>Table4[[#This Row],[Column2]]</f>
        <v>0</v>
      </c>
    </row>
    <row r="2063" spans="1:2" ht="30.75" customHeight="1">
      <c r="A2063">
        <f>Table4[[#This Row],[Column1]]</f>
        <v>0</v>
      </c>
      <c r="B2063">
        <f>Table4[[#This Row],[Column2]]</f>
        <v>0</v>
      </c>
    </row>
    <row r="2064" spans="1:2" ht="30.75" customHeight="1">
      <c r="A2064">
        <f>Table4[[#This Row],[Column1]]</f>
        <v>0</v>
      </c>
      <c r="B2064">
        <f>Table4[[#This Row],[Column2]]</f>
        <v>0</v>
      </c>
    </row>
    <row r="2065" spans="1:2" ht="30.75" customHeight="1">
      <c r="A2065">
        <f>Table4[[#This Row],[Column1]]</f>
        <v>0</v>
      </c>
      <c r="B2065">
        <f>Table4[[#This Row],[Column2]]</f>
        <v>0</v>
      </c>
    </row>
    <row r="2066" spans="1:2" ht="30.75" customHeight="1">
      <c r="A2066">
        <f>Table4[[#This Row],[Column1]]</f>
        <v>0</v>
      </c>
      <c r="B2066">
        <f>Table4[[#This Row],[Column2]]</f>
        <v>0</v>
      </c>
    </row>
    <row r="2067" spans="1:2" ht="30.75" customHeight="1">
      <c r="A2067">
        <f>Table4[[#This Row],[Column1]]</f>
        <v>0</v>
      </c>
      <c r="B2067">
        <f>Table4[[#This Row],[Column2]]</f>
        <v>0</v>
      </c>
    </row>
    <row r="2068" spans="1:2" ht="30.75" customHeight="1">
      <c r="A2068">
        <f>Table4[[#This Row],[Column1]]</f>
        <v>0</v>
      </c>
      <c r="B2068">
        <f>Table4[[#This Row],[Column2]]</f>
        <v>0</v>
      </c>
    </row>
    <row r="2069" spans="1:2" ht="30.75" customHeight="1">
      <c r="A2069">
        <f>Table4[[#This Row],[Column1]]</f>
        <v>0</v>
      </c>
      <c r="B2069">
        <f>Table4[[#This Row],[Column2]]</f>
        <v>0</v>
      </c>
    </row>
    <row r="2070" spans="1:2" ht="30.75" customHeight="1">
      <c r="A2070">
        <f>Table4[[#This Row],[Column1]]</f>
        <v>0</v>
      </c>
      <c r="B2070">
        <f>Table4[[#This Row],[Column2]]</f>
        <v>0</v>
      </c>
    </row>
    <row r="2071" spans="1:2" ht="30.75" customHeight="1">
      <c r="A2071">
        <f>Table4[[#This Row],[Column1]]</f>
        <v>0</v>
      </c>
      <c r="B2071">
        <f>Table4[[#This Row],[Column2]]</f>
        <v>0</v>
      </c>
    </row>
    <row r="2072" spans="1:2" ht="30.75" customHeight="1">
      <c r="A2072">
        <f>Table4[[#This Row],[Column1]]</f>
        <v>0</v>
      </c>
      <c r="B2072">
        <f>Table4[[#This Row],[Column2]]</f>
        <v>0</v>
      </c>
    </row>
    <row r="2073" spans="1:2" ht="30.75" customHeight="1">
      <c r="A2073">
        <f>Table4[[#This Row],[Column1]]</f>
        <v>0</v>
      </c>
      <c r="B2073">
        <f>Table4[[#This Row],[Column2]]</f>
        <v>0</v>
      </c>
    </row>
    <row r="2074" spans="1:2" ht="30.75" customHeight="1">
      <c r="A2074">
        <f>Table4[[#This Row],[Column1]]</f>
        <v>0</v>
      </c>
      <c r="B2074">
        <f>Table4[[#This Row],[Column2]]</f>
        <v>0</v>
      </c>
    </row>
    <row r="2075" spans="1:2" ht="30.75" customHeight="1">
      <c r="A2075">
        <f>Table4[[#This Row],[Column1]]</f>
        <v>0</v>
      </c>
      <c r="B2075">
        <f>Table4[[#This Row],[Column2]]</f>
        <v>0</v>
      </c>
    </row>
    <row r="2076" spans="1:2" ht="30.75" customHeight="1">
      <c r="A2076">
        <f>Table4[[#This Row],[Column1]]</f>
        <v>0</v>
      </c>
      <c r="B2076">
        <f>Table4[[#This Row],[Column2]]</f>
        <v>0</v>
      </c>
    </row>
    <row r="2077" spans="1:2" ht="30.75" customHeight="1">
      <c r="A2077">
        <f>Table4[[#This Row],[Column1]]</f>
        <v>0</v>
      </c>
      <c r="B2077">
        <f>Table4[[#This Row],[Column2]]</f>
        <v>0</v>
      </c>
    </row>
    <row r="2078" spans="1:2" ht="30.75" customHeight="1">
      <c r="A2078">
        <f>Table4[[#This Row],[Column1]]</f>
        <v>0</v>
      </c>
      <c r="B2078">
        <f>Table4[[#This Row],[Column2]]</f>
        <v>0</v>
      </c>
    </row>
    <row r="2079" spans="1:2" ht="30.75" customHeight="1">
      <c r="A2079">
        <f>Table4[[#This Row],[Column1]]</f>
        <v>0</v>
      </c>
      <c r="B2079">
        <f>Table4[[#This Row],[Column2]]</f>
        <v>0</v>
      </c>
    </row>
    <row r="2080" spans="1:2" ht="30.75" customHeight="1">
      <c r="A2080">
        <f>Table4[[#This Row],[Column1]]</f>
        <v>0</v>
      </c>
      <c r="B2080">
        <f>Table4[[#This Row],[Column2]]</f>
        <v>0</v>
      </c>
    </row>
    <row r="2081" spans="1:2" ht="30.75" customHeight="1">
      <c r="A2081">
        <f>Table4[[#This Row],[Column1]]</f>
        <v>0</v>
      </c>
      <c r="B2081">
        <f>Table4[[#This Row],[Column2]]</f>
        <v>0</v>
      </c>
    </row>
    <row r="2082" spans="1:2" ht="30.75" customHeight="1">
      <c r="A2082">
        <f>Table4[[#This Row],[Column1]]</f>
        <v>0</v>
      </c>
      <c r="B2082">
        <f>Table4[[#This Row],[Column2]]</f>
        <v>0</v>
      </c>
    </row>
    <row r="2083" spans="1:2" ht="30.75" customHeight="1">
      <c r="A2083">
        <f>Table4[[#This Row],[Column1]]</f>
        <v>0</v>
      </c>
      <c r="B2083">
        <f>Table4[[#This Row],[Column2]]</f>
        <v>0</v>
      </c>
    </row>
    <row r="2084" spans="1:2" ht="30.75" customHeight="1">
      <c r="A2084">
        <f>Table4[[#This Row],[Column1]]</f>
        <v>0</v>
      </c>
      <c r="B2084">
        <f>Table4[[#This Row],[Column2]]</f>
        <v>0</v>
      </c>
    </row>
    <row r="2085" spans="1:2" ht="30.75" customHeight="1">
      <c r="A2085">
        <f>Table4[[#This Row],[Column1]]</f>
        <v>0</v>
      </c>
      <c r="B2085">
        <f>Table4[[#This Row],[Column2]]</f>
        <v>0</v>
      </c>
    </row>
    <row r="2086" spans="1:2" ht="30.75" customHeight="1">
      <c r="A2086">
        <f>Table4[[#This Row],[Column1]]</f>
        <v>0</v>
      </c>
      <c r="B2086">
        <f>Table4[[#This Row],[Column2]]</f>
        <v>0</v>
      </c>
    </row>
    <row r="2087" spans="1:2" ht="30.75" customHeight="1">
      <c r="A2087">
        <f>Table4[[#This Row],[Column1]]</f>
        <v>0</v>
      </c>
      <c r="B2087">
        <f>Table4[[#This Row],[Column2]]</f>
        <v>0</v>
      </c>
    </row>
    <row r="2088" spans="1:2" ht="30.75" customHeight="1">
      <c r="A2088">
        <f>Table4[[#This Row],[Column1]]</f>
        <v>0</v>
      </c>
      <c r="B2088">
        <f>Table4[[#This Row],[Column2]]</f>
        <v>0</v>
      </c>
    </row>
    <row r="2089" spans="1:2" ht="30.75" customHeight="1">
      <c r="A2089">
        <f>Table4[[#This Row],[Column1]]</f>
        <v>0</v>
      </c>
      <c r="B2089">
        <f>Table4[[#This Row],[Column2]]</f>
        <v>0</v>
      </c>
    </row>
    <row r="2090" spans="1:2" ht="30.75" customHeight="1">
      <c r="A2090">
        <f>Table4[[#This Row],[Column1]]</f>
        <v>0</v>
      </c>
      <c r="B2090">
        <f>Table4[[#This Row],[Column2]]</f>
        <v>0</v>
      </c>
    </row>
    <row r="2091" spans="1:2" ht="30.75" customHeight="1">
      <c r="A2091">
        <f>Table4[[#This Row],[Column1]]</f>
        <v>0</v>
      </c>
      <c r="B2091">
        <f>Table4[[#This Row],[Column2]]</f>
        <v>0</v>
      </c>
    </row>
    <row r="2092" spans="1:2" ht="30.75" customHeight="1">
      <c r="A2092">
        <f>Table4[[#This Row],[Column1]]</f>
        <v>0</v>
      </c>
      <c r="B2092">
        <f>Table4[[#This Row],[Column2]]</f>
        <v>0</v>
      </c>
    </row>
    <row r="2093" spans="1:2" ht="30.75" customHeight="1">
      <c r="A2093">
        <f>Table4[[#This Row],[Column1]]</f>
        <v>0</v>
      </c>
      <c r="B2093">
        <f>Table4[[#This Row],[Column2]]</f>
        <v>0</v>
      </c>
    </row>
    <row r="2094" spans="1:2" ht="30.75" customHeight="1">
      <c r="A2094">
        <f>Table4[[#This Row],[Column1]]</f>
        <v>0</v>
      </c>
      <c r="B2094">
        <f>Table4[[#This Row],[Column2]]</f>
        <v>0</v>
      </c>
    </row>
    <row r="2095" spans="1:2" ht="30.75" customHeight="1">
      <c r="A2095">
        <f>Table4[[#This Row],[Column1]]</f>
        <v>0</v>
      </c>
      <c r="B2095">
        <f>Table4[[#This Row],[Column2]]</f>
        <v>0</v>
      </c>
    </row>
    <row r="2096" spans="1:2" ht="30.75" customHeight="1">
      <c r="A2096">
        <f>Table4[[#This Row],[Column1]]</f>
        <v>0</v>
      </c>
      <c r="B2096">
        <f>Table4[[#This Row],[Column2]]</f>
        <v>0</v>
      </c>
    </row>
    <row r="2097" spans="1:2" ht="30.75" customHeight="1">
      <c r="A2097">
        <f>Table4[[#This Row],[Column1]]</f>
        <v>0</v>
      </c>
      <c r="B2097">
        <f>Table4[[#This Row],[Column2]]</f>
        <v>0</v>
      </c>
    </row>
    <row r="2098" spans="1:2" ht="30.75" customHeight="1">
      <c r="A2098">
        <f>Table4[[#This Row],[Column1]]</f>
        <v>0</v>
      </c>
      <c r="B2098">
        <f>Table4[[#This Row],[Column2]]</f>
        <v>0</v>
      </c>
    </row>
    <row r="2099" spans="1:2" ht="30.75" customHeight="1">
      <c r="A2099">
        <f>Table4[[#This Row],[Column1]]</f>
        <v>0</v>
      </c>
      <c r="B2099">
        <f>Table4[[#This Row],[Column2]]</f>
        <v>0</v>
      </c>
    </row>
    <row r="2100" spans="1:2" ht="30.75" customHeight="1">
      <c r="A2100">
        <f>Table4[[#This Row],[Column1]]</f>
        <v>0</v>
      </c>
      <c r="B2100">
        <f>Table4[[#This Row],[Column2]]</f>
        <v>0</v>
      </c>
    </row>
    <row r="2101" spans="1:2" ht="30.75" customHeight="1">
      <c r="A2101">
        <f>Table4[[#This Row],[Column1]]</f>
        <v>0</v>
      </c>
      <c r="B2101">
        <f>Table4[[#This Row],[Column2]]</f>
        <v>0</v>
      </c>
    </row>
    <row r="2102" spans="1:2" ht="30.75" customHeight="1">
      <c r="A2102">
        <f>Table4[[#This Row],[Column1]]</f>
        <v>0</v>
      </c>
      <c r="B2102">
        <f>Table4[[#This Row],[Column2]]</f>
        <v>0</v>
      </c>
    </row>
    <row r="2103" spans="1:2" ht="30.75" customHeight="1">
      <c r="A2103">
        <f>Table4[[#This Row],[Column1]]</f>
        <v>0</v>
      </c>
      <c r="B2103">
        <f>Table4[[#This Row],[Column2]]</f>
        <v>0</v>
      </c>
    </row>
    <row r="2104" spans="1:2" ht="30.75" customHeight="1">
      <c r="A2104">
        <f>Table4[[#This Row],[Column1]]</f>
        <v>0</v>
      </c>
      <c r="B2104">
        <f>Table4[[#This Row],[Column2]]</f>
        <v>0</v>
      </c>
    </row>
    <row r="2105" spans="1:2" ht="30.75" customHeight="1">
      <c r="A2105">
        <f>Table4[[#This Row],[Column1]]</f>
        <v>0</v>
      </c>
      <c r="B2105">
        <f>Table4[[#This Row],[Column2]]</f>
        <v>0</v>
      </c>
    </row>
    <row r="2106" spans="1:2" ht="30.75" customHeight="1">
      <c r="A2106">
        <f>Table4[[#This Row],[Column1]]</f>
        <v>0</v>
      </c>
      <c r="B2106">
        <f>Table4[[#This Row],[Column2]]</f>
        <v>0</v>
      </c>
    </row>
    <row r="2107" spans="1:2" ht="30.75" customHeight="1">
      <c r="A2107">
        <f>Table4[[#This Row],[Column1]]</f>
        <v>0</v>
      </c>
      <c r="B2107">
        <f>Table4[[#This Row],[Column2]]</f>
        <v>0</v>
      </c>
    </row>
    <row r="2108" spans="1:2" ht="30.75" customHeight="1">
      <c r="A2108">
        <f>Table4[[#This Row],[Column1]]</f>
        <v>0</v>
      </c>
      <c r="B2108">
        <f>Table4[[#This Row],[Column2]]</f>
        <v>0</v>
      </c>
    </row>
    <row r="2109" spans="1:2" ht="30.75" customHeight="1">
      <c r="A2109">
        <f>Table4[[#This Row],[Column1]]</f>
        <v>0</v>
      </c>
      <c r="B2109">
        <f>Table4[[#This Row],[Column2]]</f>
        <v>0</v>
      </c>
    </row>
    <row r="2110" spans="1:2" ht="30.75" customHeight="1">
      <c r="A2110">
        <f>Table4[[#This Row],[Column1]]</f>
        <v>0</v>
      </c>
      <c r="B2110">
        <f>Table4[[#This Row],[Column2]]</f>
        <v>0</v>
      </c>
    </row>
    <row r="2111" spans="1:2" ht="30.75" customHeight="1">
      <c r="A2111">
        <f>Table4[[#This Row],[Column1]]</f>
        <v>0</v>
      </c>
      <c r="B2111">
        <f>Table4[[#This Row],[Column2]]</f>
        <v>0</v>
      </c>
    </row>
    <row r="2112" spans="1:2" ht="30.75" customHeight="1">
      <c r="A2112">
        <f>Table4[[#This Row],[Column1]]</f>
        <v>0</v>
      </c>
      <c r="B2112">
        <f>Table4[[#This Row],[Column2]]</f>
        <v>0</v>
      </c>
    </row>
    <row r="2113" spans="1:2" ht="30.75" customHeight="1">
      <c r="A2113">
        <f>Table4[[#This Row],[Column1]]</f>
        <v>0</v>
      </c>
      <c r="B2113">
        <f>Table4[[#This Row],[Column2]]</f>
        <v>0</v>
      </c>
    </row>
    <row r="2114" spans="1:2" ht="30.75" customHeight="1">
      <c r="A2114">
        <f>Table4[[#This Row],[Column1]]</f>
        <v>0</v>
      </c>
      <c r="B2114">
        <f>Table4[[#This Row],[Column2]]</f>
        <v>0</v>
      </c>
    </row>
    <row r="2115" spans="1:2" ht="30.75" customHeight="1">
      <c r="A2115">
        <f>Table4[[#This Row],[Column1]]</f>
        <v>0</v>
      </c>
      <c r="B2115">
        <f>Table4[[#This Row],[Column2]]</f>
        <v>0</v>
      </c>
    </row>
    <row r="2116" spans="1:2" ht="30.75" customHeight="1">
      <c r="A2116">
        <f>Table4[[#This Row],[Column1]]</f>
        <v>0</v>
      </c>
      <c r="B2116">
        <f>Table4[[#This Row],[Column2]]</f>
        <v>0</v>
      </c>
    </row>
    <row r="2117" spans="1:2" ht="30.75" customHeight="1">
      <c r="A2117">
        <f>Table4[[#This Row],[Column1]]</f>
        <v>0</v>
      </c>
      <c r="B2117">
        <f>Table4[[#This Row],[Column2]]</f>
        <v>0</v>
      </c>
    </row>
    <row r="2118" spans="1:2" ht="30.75" customHeight="1">
      <c r="A2118">
        <f>Table4[[#This Row],[Column1]]</f>
        <v>0</v>
      </c>
      <c r="B2118">
        <f>Table4[[#This Row],[Column2]]</f>
        <v>0</v>
      </c>
    </row>
    <row r="2119" spans="1:2" ht="30.75" customHeight="1">
      <c r="A2119">
        <f>Table4[[#This Row],[Column1]]</f>
        <v>0</v>
      </c>
      <c r="B2119">
        <f>Table4[[#This Row],[Column2]]</f>
        <v>0</v>
      </c>
    </row>
    <row r="2120" spans="1:2" ht="30.75" customHeight="1">
      <c r="A2120">
        <f>Table4[[#This Row],[Column1]]</f>
        <v>0</v>
      </c>
      <c r="B2120">
        <f>Table4[[#This Row],[Column2]]</f>
        <v>0</v>
      </c>
    </row>
    <row r="2121" spans="1:2" ht="30.75" customHeight="1">
      <c r="A2121">
        <f>Table4[[#This Row],[Column1]]</f>
        <v>0</v>
      </c>
      <c r="B2121">
        <f>Table4[[#This Row],[Column2]]</f>
        <v>0</v>
      </c>
    </row>
    <row r="2122" spans="1:2" ht="30.75" customHeight="1">
      <c r="A2122">
        <f>Table4[[#This Row],[Column1]]</f>
        <v>0</v>
      </c>
      <c r="B2122">
        <f>Table4[[#This Row],[Column2]]</f>
        <v>0</v>
      </c>
    </row>
    <row r="2123" spans="1:2" ht="30.75" customHeight="1">
      <c r="A2123">
        <f>Table4[[#This Row],[Column1]]</f>
        <v>0</v>
      </c>
      <c r="B2123">
        <f>Table4[[#This Row],[Column2]]</f>
        <v>0</v>
      </c>
    </row>
    <row r="2124" spans="1:2" ht="30.75" customHeight="1">
      <c r="A2124">
        <f>Table4[[#This Row],[Column1]]</f>
        <v>0</v>
      </c>
      <c r="B2124">
        <f>Table4[[#This Row],[Column2]]</f>
        <v>0</v>
      </c>
    </row>
    <row r="2125" spans="1:2" ht="30.75" customHeight="1">
      <c r="A2125">
        <f>Table4[[#This Row],[Column1]]</f>
        <v>0</v>
      </c>
      <c r="B2125">
        <f>Table4[[#This Row],[Column2]]</f>
        <v>0</v>
      </c>
    </row>
    <row r="2126" spans="1:2" ht="30.75" customHeight="1">
      <c r="A2126">
        <f>Table4[[#This Row],[Column1]]</f>
        <v>0</v>
      </c>
      <c r="B2126">
        <f>Table4[[#This Row],[Column2]]</f>
        <v>0</v>
      </c>
    </row>
    <row r="2127" spans="1:2" ht="30.75" customHeight="1">
      <c r="A2127">
        <f>Table4[[#This Row],[Column1]]</f>
        <v>0</v>
      </c>
      <c r="B2127">
        <f>Table4[[#This Row],[Column2]]</f>
        <v>0</v>
      </c>
    </row>
    <row r="2128" spans="1:2" ht="30.75" customHeight="1">
      <c r="A2128">
        <f>Table4[[#This Row],[Column1]]</f>
        <v>0</v>
      </c>
      <c r="B2128">
        <f>Table4[[#This Row],[Column2]]</f>
        <v>0</v>
      </c>
    </row>
    <row r="2129" spans="1:2" ht="30.75" customHeight="1">
      <c r="A2129">
        <f>Table4[[#This Row],[Column1]]</f>
        <v>0</v>
      </c>
      <c r="B2129">
        <f>Table4[[#This Row],[Column2]]</f>
        <v>0</v>
      </c>
    </row>
    <row r="2130" spans="1:2" ht="30.75" customHeight="1">
      <c r="A2130">
        <f>Table4[[#This Row],[Column1]]</f>
        <v>0</v>
      </c>
      <c r="B2130">
        <f>Table4[[#This Row],[Column2]]</f>
        <v>0</v>
      </c>
    </row>
    <row r="2131" spans="1:2" ht="30.75" customHeight="1">
      <c r="A2131">
        <f>Table4[[#This Row],[Column1]]</f>
        <v>0</v>
      </c>
      <c r="B2131">
        <f>Table4[[#This Row],[Column2]]</f>
        <v>0</v>
      </c>
    </row>
    <row r="2132" spans="1:2" ht="30.75" customHeight="1">
      <c r="A2132">
        <f>Table4[[#This Row],[Column1]]</f>
        <v>0</v>
      </c>
      <c r="B2132">
        <f>Table4[[#This Row],[Column2]]</f>
        <v>0</v>
      </c>
    </row>
    <row r="2133" spans="1:2" ht="30.75" customHeight="1">
      <c r="A2133">
        <f>Table4[[#This Row],[Column1]]</f>
        <v>0</v>
      </c>
      <c r="B2133">
        <f>Table4[[#This Row],[Column2]]</f>
        <v>0</v>
      </c>
    </row>
    <row r="2134" spans="1:2" ht="30.75" customHeight="1">
      <c r="A2134">
        <f>Table4[[#This Row],[Column1]]</f>
        <v>0</v>
      </c>
      <c r="B2134">
        <f>Table4[[#This Row],[Column2]]</f>
        <v>0</v>
      </c>
    </row>
    <row r="2135" spans="1:2" ht="30.75" customHeight="1">
      <c r="A2135">
        <f>Table4[[#This Row],[Column1]]</f>
        <v>0</v>
      </c>
      <c r="B2135">
        <f>Table4[[#This Row],[Column2]]</f>
        <v>0</v>
      </c>
    </row>
    <row r="2136" spans="1:2" ht="30.75" customHeight="1">
      <c r="A2136">
        <f>Table4[[#This Row],[Column1]]</f>
        <v>0</v>
      </c>
      <c r="B2136">
        <f>Table4[[#This Row],[Column2]]</f>
        <v>0</v>
      </c>
    </row>
    <row r="2137" spans="1:2" ht="30.75" customHeight="1">
      <c r="A2137">
        <f>Table4[[#This Row],[Column1]]</f>
        <v>0</v>
      </c>
      <c r="B2137">
        <f>Table4[[#This Row],[Column2]]</f>
        <v>0</v>
      </c>
    </row>
    <row r="2138" spans="1:2" ht="30.75" customHeight="1">
      <c r="A2138">
        <f>Table4[[#This Row],[Column1]]</f>
        <v>0</v>
      </c>
      <c r="B2138">
        <f>Table4[[#This Row],[Column2]]</f>
        <v>0</v>
      </c>
    </row>
    <row r="2139" spans="1:2" ht="30.75" customHeight="1">
      <c r="A2139">
        <f>Table4[[#This Row],[Column1]]</f>
        <v>0</v>
      </c>
      <c r="B2139">
        <f>Table4[[#This Row],[Column2]]</f>
        <v>0</v>
      </c>
    </row>
    <row r="2140" spans="1:2" ht="30.75" customHeight="1">
      <c r="A2140">
        <f>Table4[[#This Row],[Column1]]</f>
        <v>0</v>
      </c>
      <c r="B2140">
        <f>Table4[[#This Row],[Column2]]</f>
        <v>0</v>
      </c>
    </row>
    <row r="2141" spans="1:2" ht="30.75" customHeight="1">
      <c r="A2141">
        <f>Table4[[#This Row],[Column1]]</f>
        <v>0</v>
      </c>
      <c r="B2141">
        <f>Table4[[#This Row],[Column2]]</f>
        <v>0</v>
      </c>
    </row>
    <row r="2142" spans="1:2" ht="30.75" customHeight="1">
      <c r="A2142">
        <f>Table4[[#This Row],[Column1]]</f>
        <v>0</v>
      </c>
      <c r="B2142">
        <f>Table4[[#This Row],[Column2]]</f>
        <v>0</v>
      </c>
    </row>
    <row r="2143" spans="1:2" ht="30.75" customHeight="1">
      <c r="A2143">
        <f>Table4[[#This Row],[Column1]]</f>
        <v>0</v>
      </c>
      <c r="B2143">
        <f>Table4[[#This Row],[Column2]]</f>
        <v>0</v>
      </c>
    </row>
    <row r="2144" spans="1:2" ht="30.75" customHeight="1">
      <c r="A2144">
        <f>Table4[[#This Row],[Column1]]</f>
        <v>0</v>
      </c>
      <c r="B2144">
        <f>Table4[[#This Row],[Column2]]</f>
        <v>0</v>
      </c>
    </row>
    <row r="2145" spans="1:2" ht="30.75" customHeight="1">
      <c r="A2145">
        <f>Table4[[#This Row],[Column1]]</f>
        <v>0</v>
      </c>
      <c r="B2145">
        <f>Table4[[#This Row],[Column2]]</f>
        <v>0</v>
      </c>
    </row>
    <row r="2146" spans="1:2" ht="30.75" customHeight="1">
      <c r="A2146">
        <f>Table4[[#This Row],[Column1]]</f>
        <v>0</v>
      </c>
      <c r="B2146">
        <f>Table4[[#This Row],[Column2]]</f>
        <v>0</v>
      </c>
    </row>
    <row r="2147" spans="1:2" ht="30.75" customHeight="1">
      <c r="A2147">
        <f>Table4[[#This Row],[Column1]]</f>
        <v>0</v>
      </c>
      <c r="B2147">
        <f>Table4[[#This Row],[Column2]]</f>
        <v>0</v>
      </c>
    </row>
    <row r="2148" spans="1:2" ht="30.75" customHeight="1">
      <c r="A2148">
        <f>Table4[[#This Row],[Column1]]</f>
        <v>0</v>
      </c>
      <c r="B2148">
        <f>Table4[[#This Row],[Column2]]</f>
        <v>0</v>
      </c>
    </row>
    <row r="2149" spans="1:2" ht="30.75" customHeight="1">
      <c r="A2149">
        <f>Table4[[#This Row],[Column1]]</f>
        <v>0</v>
      </c>
      <c r="B2149">
        <f>Table4[[#This Row],[Column2]]</f>
        <v>0</v>
      </c>
    </row>
    <row r="2150" spans="1:2" ht="30.75" customHeight="1">
      <c r="A2150">
        <f>Table4[[#This Row],[Column1]]</f>
        <v>0</v>
      </c>
      <c r="B2150">
        <f>Table4[[#This Row],[Column2]]</f>
        <v>0</v>
      </c>
    </row>
    <row r="2151" spans="1:2" ht="30.75" customHeight="1">
      <c r="A2151">
        <f>Table4[[#This Row],[Column1]]</f>
        <v>0</v>
      </c>
      <c r="B2151">
        <f>Table4[[#This Row],[Column2]]</f>
        <v>0</v>
      </c>
    </row>
    <row r="2152" spans="1:2" ht="30.75" customHeight="1">
      <c r="A2152">
        <f>Table4[[#This Row],[Column1]]</f>
        <v>0</v>
      </c>
      <c r="B2152">
        <f>Table4[[#This Row],[Column2]]</f>
        <v>0</v>
      </c>
    </row>
    <row r="2153" spans="1:2" ht="30.75" customHeight="1">
      <c r="A2153">
        <f>Table4[[#This Row],[Column1]]</f>
        <v>0</v>
      </c>
      <c r="B2153">
        <f>Table4[[#This Row],[Column2]]</f>
        <v>0</v>
      </c>
    </row>
    <row r="2154" spans="1:2" ht="30.75" customHeight="1">
      <c r="A2154">
        <f>Table4[[#This Row],[Column1]]</f>
        <v>0</v>
      </c>
      <c r="B2154">
        <f>Table4[[#This Row],[Column2]]</f>
        <v>0</v>
      </c>
    </row>
    <row r="2155" spans="1:2" ht="30.75" customHeight="1">
      <c r="A2155">
        <f>Table4[[#This Row],[Column1]]</f>
        <v>0</v>
      </c>
      <c r="B2155">
        <f>Table4[[#This Row],[Column2]]</f>
        <v>0</v>
      </c>
    </row>
    <row r="2156" spans="1:2" ht="30.75" customHeight="1">
      <c r="A2156">
        <f>Table4[[#This Row],[Column1]]</f>
        <v>0</v>
      </c>
      <c r="B2156">
        <f>Table4[[#This Row],[Column2]]</f>
        <v>0</v>
      </c>
    </row>
    <row r="2157" spans="1:2" ht="30.75" customHeight="1">
      <c r="A2157">
        <f>Table4[[#This Row],[Column1]]</f>
        <v>0</v>
      </c>
      <c r="B2157">
        <f>Table4[[#This Row],[Column2]]</f>
        <v>0</v>
      </c>
    </row>
    <row r="2158" spans="1:2" ht="30.75" customHeight="1">
      <c r="A2158">
        <f>Table4[[#This Row],[Column1]]</f>
        <v>0</v>
      </c>
      <c r="B2158">
        <f>Table4[[#This Row],[Column2]]</f>
        <v>0</v>
      </c>
    </row>
    <row r="2159" spans="1:2" ht="30.75" customHeight="1">
      <c r="A2159">
        <f>Table4[[#This Row],[Column1]]</f>
        <v>0</v>
      </c>
      <c r="B2159">
        <f>Table4[[#This Row],[Column2]]</f>
        <v>0</v>
      </c>
    </row>
    <row r="2160" spans="1:2" ht="30.75" customHeight="1">
      <c r="A2160">
        <f>Table4[[#This Row],[Column1]]</f>
        <v>0</v>
      </c>
      <c r="B2160">
        <f>Table4[[#This Row],[Column2]]</f>
        <v>0</v>
      </c>
    </row>
    <row r="2161" spans="1:2" ht="30.75" customHeight="1">
      <c r="A2161">
        <f>Table4[[#This Row],[Column1]]</f>
        <v>0</v>
      </c>
      <c r="B2161">
        <f>Table4[[#This Row],[Column2]]</f>
        <v>0</v>
      </c>
    </row>
    <row r="2162" spans="1:2" ht="30.75" customHeight="1">
      <c r="A2162">
        <f>Table4[[#This Row],[Column1]]</f>
        <v>0</v>
      </c>
      <c r="B2162">
        <f>Table4[[#This Row],[Column2]]</f>
        <v>0</v>
      </c>
    </row>
    <row r="2163" spans="1:2" ht="30.75" customHeight="1">
      <c r="A2163">
        <f>Table4[[#This Row],[Column1]]</f>
        <v>0</v>
      </c>
      <c r="B2163">
        <f>Table4[[#This Row],[Column2]]</f>
        <v>0</v>
      </c>
    </row>
    <row r="2164" spans="1:2" ht="30.75" customHeight="1">
      <c r="A2164">
        <f>Table4[[#This Row],[Column1]]</f>
        <v>0</v>
      </c>
      <c r="B2164">
        <f>Table4[[#This Row],[Column2]]</f>
        <v>0</v>
      </c>
    </row>
    <row r="2165" spans="1:2" ht="30.75" customHeight="1">
      <c r="A2165">
        <f>Table4[[#This Row],[Column1]]</f>
        <v>0</v>
      </c>
      <c r="B2165">
        <f>Table4[[#This Row],[Column2]]</f>
        <v>0</v>
      </c>
    </row>
    <row r="2166" spans="1:2" ht="30.75" customHeight="1">
      <c r="A2166">
        <f>Table4[[#This Row],[Column1]]</f>
        <v>0</v>
      </c>
      <c r="B2166">
        <f>Table4[[#This Row],[Column2]]</f>
        <v>0</v>
      </c>
    </row>
    <row r="2167" spans="1:2" ht="30.75" customHeight="1">
      <c r="A2167">
        <f>Table4[[#This Row],[Column1]]</f>
        <v>0</v>
      </c>
      <c r="B2167">
        <f>Table4[[#This Row],[Column2]]</f>
        <v>0</v>
      </c>
    </row>
    <row r="2168" spans="1:2" ht="30.75" customHeight="1">
      <c r="A2168">
        <f>Table4[[#This Row],[Column1]]</f>
        <v>0</v>
      </c>
      <c r="B2168">
        <f>Table4[[#This Row],[Column2]]</f>
        <v>0</v>
      </c>
    </row>
    <row r="2169" spans="1:2" ht="30.75" customHeight="1">
      <c r="A2169">
        <f>Table4[[#This Row],[Column1]]</f>
        <v>0</v>
      </c>
      <c r="B2169">
        <f>Table4[[#This Row],[Column2]]</f>
        <v>0</v>
      </c>
    </row>
    <row r="2170" spans="1:2" ht="30.75" customHeight="1">
      <c r="A2170">
        <f>Table4[[#This Row],[Column1]]</f>
        <v>0</v>
      </c>
      <c r="B2170">
        <f>Table4[[#This Row],[Column2]]</f>
        <v>0</v>
      </c>
    </row>
    <row r="2171" spans="1:2" ht="30.75" customHeight="1">
      <c r="A2171">
        <f>Table4[[#This Row],[Column1]]</f>
        <v>0</v>
      </c>
      <c r="B2171">
        <f>Table4[[#This Row],[Column2]]</f>
        <v>0</v>
      </c>
    </row>
    <row r="2172" spans="1:2" ht="30.75" customHeight="1">
      <c r="A2172">
        <f>Table4[[#This Row],[Column1]]</f>
        <v>0</v>
      </c>
      <c r="B2172">
        <f>Table4[[#This Row],[Column2]]</f>
        <v>0</v>
      </c>
    </row>
    <row r="2173" spans="1:2" ht="30.75" customHeight="1">
      <c r="A2173">
        <f>Table4[[#This Row],[Column1]]</f>
        <v>0</v>
      </c>
      <c r="B2173">
        <f>Table4[[#This Row],[Column2]]</f>
        <v>0</v>
      </c>
    </row>
    <row r="2174" spans="1:2" ht="30.75" customHeight="1">
      <c r="A2174">
        <f>Table4[[#This Row],[Column1]]</f>
        <v>0</v>
      </c>
      <c r="B2174">
        <f>Table4[[#This Row],[Column2]]</f>
        <v>0</v>
      </c>
    </row>
    <row r="2175" spans="1:2" ht="30.75" customHeight="1">
      <c r="A2175">
        <f>Table4[[#This Row],[Column1]]</f>
        <v>0</v>
      </c>
      <c r="B2175">
        <f>Table4[[#This Row],[Column2]]</f>
        <v>0</v>
      </c>
    </row>
    <row r="2176" spans="1:2" ht="30.75" customHeight="1">
      <c r="A2176">
        <f>Table4[[#This Row],[Column1]]</f>
        <v>0</v>
      </c>
      <c r="B2176">
        <f>Table4[[#This Row],[Column2]]</f>
        <v>0</v>
      </c>
    </row>
    <row r="2177" spans="1:2" ht="30.75" customHeight="1">
      <c r="A2177">
        <f>Table4[[#This Row],[Column1]]</f>
        <v>0</v>
      </c>
      <c r="B2177">
        <f>Table4[[#This Row],[Column2]]</f>
        <v>0</v>
      </c>
    </row>
    <row r="2178" spans="1:2" ht="30.75" customHeight="1">
      <c r="A2178">
        <f>Table4[[#This Row],[Column1]]</f>
        <v>0</v>
      </c>
      <c r="B2178">
        <f>Table4[[#This Row],[Column2]]</f>
        <v>0</v>
      </c>
    </row>
    <row r="2179" spans="1:2" ht="30.75" customHeight="1">
      <c r="A2179">
        <f>Table4[[#This Row],[Column1]]</f>
        <v>0</v>
      </c>
      <c r="B2179">
        <f>Table4[[#This Row],[Column2]]</f>
        <v>0</v>
      </c>
    </row>
    <row r="2180" spans="1:2" ht="30.75" customHeight="1">
      <c r="A2180">
        <f>Table4[[#This Row],[Column1]]</f>
        <v>0</v>
      </c>
      <c r="B2180">
        <f>Table4[[#This Row],[Column2]]</f>
        <v>0</v>
      </c>
    </row>
    <row r="2181" spans="1:2" ht="30.75" customHeight="1">
      <c r="A2181">
        <f>Table4[[#This Row],[Column1]]</f>
        <v>0</v>
      </c>
      <c r="B2181">
        <f>Table4[[#This Row],[Column2]]</f>
        <v>0</v>
      </c>
    </row>
    <row r="2182" spans="1:2" ht="30.75" customHeight="1">
      <c r="A2182">
        <f>Table4[[#This Row],[Column1]]</f>
        <v>0</v>
      </c>
      <c r="B2182">
        <f>Table4[[#This Row],[Column2]]</f>
        <v>0</v>
      </c>
    </row>
    <row r="2183" spans="1:2" ht="30.75" customHeight="1">
      <c r="A2183">
        <f>Table4[[#This Row],[Column1]]</f>
        <v>0</v>
      </c>
      <c r="B2183">
        <f>Table4[[#This Row],[Column2]]</f>
        <v>0</v>
      </c>
    </row>
    <row r="2184" spans="1:2" ht="30.75" customHeight="1">
      <c r="A2184">
        <f>Table4[[#This Row],[Column1]]</f>
        <v>0</v>
      </c>
      <c r="B2184">
        <f>Table4[[#This Row],[Column2]]</f>
        <v>0</v>
      </c>
    </row>
    <row r="2185" spans="1:2" ht="30.75" customHeight="1">
      <c r="A2185">
        <f>Table4[[#This Row],[Column1]]</f>
        <v>0</v>
      </c>
      <c r="B2185">
        <f>Table4[[#This Row],[Column2]]</f>
        <v>0</v>
      </c>
    </row>
    <row r="2186" spans="1:2" ht="30.75" customHeight="1">
      <c r="A2186">
        <f>Table4[[#This Row],[Column1]]</f>
        <v>0</v>
      </c>
      <c r="B2186">
        <f>Table4[[#This Row],[Column2]]</f>
        <v>0</v>
      </c>
    </row>
    <row r="2187" spans="1:2" ht="30.75" customHeight="1">
      <c r="A2187">
        <f>Table4[[#This Row],[Column1]]</f>
        <v>0</v>
      </c>
      <c r="B2187">
        <f>Table4[[#This Row],[Column2]]</f>
        <v>0</v>
      </c>
    </row>
    <row r="2188" spans="1:2" ht="30.75" customHeight="1">
      <c r="A2188">
        <f>Table4[[#This Row],[Column1]]</f>
        <v>0</v>
      </c>
      <c r="B2188">
        <f>Table4[[#This Row],[Column2]]</f>
        <v>0</v>
      </c>
    </row>
    <row r="2189" spans="1:2" ht="30.75" customHeight="1">
      <c r="A2189">
        <f>Table4[[#This Row],[Column1]]</f>
        <v>0</v>
      </c>
      <c r="B2189">
        <f>Table4[[#This Row],[Column2]]</f>
        <v>0</v>
      </c>
    </row>
    <row r="2190" spans="1:2" ht="30.75" customHeight="1">
      <c r="A2190">
        <f>Table4[[#This Row],[Column1]]</f>
        <v>0</v>
      </c>
      <c r="B2190">
        <f>Table4[[#This Row],[Column2]]</f>
        <v>0</v>
      </c>
    </row>
    <row r="2191" spans="1:2" ht="30.75" customHeight="1">
      <c r="A2191">
        <f>Table4[[#This Row],[Column1]]</f>
        <v>0</v>
      </c>
      <c r="B2191">
        <f>Table4[[#This Row],[Column2]]</f>
        <v>0</v>
      </c>
    </row>
    <row r="2192" spans="1:2" ht="30.75" customHeight="1">
      <c r="A2192">
        <f>Table4[[#This Row],[Column1]]</f>
        <v>0</v>
      </c>
      <c r="B2192">
        <f>Table4[[#This Row],[Column2]]</f>
        <v>0</v>
      </c>
    </row>
    <row r="2193" spans="1:2" ht="30.75" customHeight="1">
      <c r="A2193">
        <f>Table4[[#This Row],[Column1]]</f>
        <v>0</v>
      </c>
      <c r="B2193">
        <f>Table4[[#This Row],[Column2]]</f>
        <v>0</v>
      </c>
    </row>
    <row r="2194" spans="1:2" ht="30.75" customHeight="1">
      <c r="A2194">
        <f>Table4[[#This Row],[Column1]]</f>
        <v>0</v>
      </c>
      <c r="B2194">
        <f>Table4[[#This Row],[Column2]]</f>
        <v>0</v>
      </c>
    </row>
    <row r="2195" spans="1:2" ht="30.75" customHeight="1">
      <c r="A2195">
        <f>Table4[[#This Row],[Column1]]</f>
        <v>0</v>
      </c>
      <c r="B2195">
        <f>Table4[[#This Row],[Column2]]</f>
        <v>0</v>
      </c>
    </row>
    <row r="2196" spans="1:2" ht="30.75" customHeight="1">
      <c r="A2196">
        <f>Table4[[#This Row],[Column1]]</f>
        <v>0</v>
      </c>
      <c r="B2196">
        <f>Table4[[#This Row],[Column2]]</f>
        <v>0</v>
      </c>
    </row>
    <row r="2197" spans="1:2" ht="30.75" customHeight="1">
      <c r="A2197">
        <f>Table4[[#This Row],[Column1]]</f>
        <v>0</v>
      </c>
      <c r="B2197">
        <f>Table4[[#This Row],[Column2]]</f>
        <v>0</v>
      </c>
    </row>
    <row r="2198" spans="1:2" ht="30.75" customHeight="1">
      <c r="A2198">
        <f>Table4[[#This Row],[Column1]]</f>
        <v>0</v>
      </c>
      <c r="B2198">
        <f>Table4[[#This Row],[Column2]]</f>
        <v>0</v>
      </c>
    </row>
    <row r="2199" spans="1:2" ht="30.75" customHeight="1">
      <c r="A2199">
        <f>Table4[[#This Row],[Column1]]</f>
        <v>0</v>
      </c>
      <c r="B2199">
        <f>Table4[[#This Row],[Column2]]</f>
        <v>0</v>
      </c>
    </row>
    <row r="2200" spans="1:2" ht="30.75" customHeight="1">
      <c r="A2200">
        <f>Table4[[#This Row],[Column1]]</f>
        <v>0</v>
      </c>
      <c r="B2200">
        <f>Table4[[#This Row],[Column2]]</f>
        <v>0</v>
      </c>
    </row>
    <row r="2201" spans="1:2" ht="30.75" customHeight="1">
      <c r="A2201">
        <f>Table4[[#This Row],[Column1]]</f>
        <v>0</v>
      </c>
      <c r="B2201">
        <f>Table4[[#This Row],[Column2]]</f>
        <v>0</v>
      </c>
    </row>
    <row r="2202" spans="1:2" ht="30.75" customHeight="1">
      <c r="A2202">
        <f>Table4[[#This Row],[Column1]]</f>
        <v>0</v>
      </c>
      <c r="B2202">
        <f>Table4[[#This Row],[Column2]]</f>
        <v>0</v>
      </c>
    </row>
    <row r="2203" spans="1:2" ht="30.75" customHeight="1">
      <c r="A2203">
        <f>Table4[[#This Row],[Column1]]</f>
        <v>0</v>
      </c>
      <c r="B2203">
        <f>Table4[[#This Row],[Column2]]</f>
        <v>0</v>
      </c>
    </row>
    <row r="2204" spans="1:2" ht="30.75" customHeight="1">
      <c r="A2204">
        <f>Table4[[#This Row],[Column1]]</f>
        <v>0</v>
      </c>
      <c r="B2204">
        <f>Table4[[#This Row],[Column2]]</f>
        <v>0</v>
      </c>
    </row>
    <row r="2205" spans="1:2" ht="30.75" customHeight="1">
      <c r="A2205">
        <f>Table4[[#This Row],[Column1]]</f>
        <v>0</v>
      </c>
      <c r="B2205">
        <f>Table4[[#This Row],[Column2]]</f>
        <v>0</v>
      </c>
    </row>
    <row r="2206" spans="1:2" ht="30.75" customHeight="1">
      <c r="A2206">
        <f>Table4[[#This Row],[Column1]]</f>
        <v>0</v>
      </c>
      <c r="B2206">
        <f>Table4[[#This Row],[Column2]]</f>
        <v>0</v>
      </c>
    </row>
    <row r="2207" spans="1:2" ht="30.75" customHeight="1">
      <c r="A2207">
        <f>Table4[[#This Row],[Column1]]</f>
        <v>0</v>
      </c>
      <c r="B2207">
        <f>Table4[[#This Row],[Column2]]</f>
        <v>0</v>
      </c>
    </row>
    <row r="2208" spans="1:2" ht="30.75" customHeight="1">
      <c r="A2208">
        <f>Table4[[#This Row],[Column1]]</f>
        <v>0</v>
      </c>
      <c r="B2208">
        <f>Table4[[#This Row],[Column2]]</f>
        <v>0</v>
      </c>
    </row>
    <row r="2209" spans="1:2" ht="30.75" customHeight="1">
      <c r="A2209">
        <f>Table4[[#This Row],[Column1]]</f>
        <v>0</v>
      </c>
      <c r="B2209">
        <f>Table4[[#This Row],[Column2]]</f>
        <v>0</v>
      </c>
    </row>
    <row r="2210" spans="1:2" ht="30.75" customHeight="1">
      <c r="A2210">
        <f>Table4[[#This Row],[Column1]]</f>
        <v>0</v>
      </c>
      <c r="B2210">
        <f>Table4[[#This Row],[Column2]]</f>
        <v>0</v>
      </c>
    </row>
    <row r="2211" spans="1:2" ht="30.75" customHeight="1">
      <c r="A2211">
        <f>Table4[[#This Row],[Column1]]</f>
        <v>0</v>
      </c>
      <c r="B2211">
        <f>Table4[[#This Row],[Column2]]</f>
        <v>0</v>
      </c>
    </row>
    <row r="2212" spans="1:2" ht="30.75" customHeight="1">
      <c r="A2212">
        <f>Table4[[#This Row],[Column1]]</f>
        <v>0</v>
      </c>
      <c r="B2212">
        <f>Table4[[#This Row],[Column2]]</f>
        <v>0</v>
      </c>
    </row>
    <row r="2213" spans="1:2" ht="30.75" customHeight="1">
      <c r="A2213">
        <f>Table4[[#This Row],[Column1]]</f>
        <v>0</v>
      </c>
      <c r="B2213">
        <f>Table4[[#This Row],[Column2]]</f>
        <v>0</v>
      </c>
    </row>
    <row r="2214" spans="1:2" ht="30.75" customHeight="1">
      <c r="A2214">
        <f>Table4[[#This Row],[Column1]]</f>
        <v>0</v>
      </c>
      <c r="B2214">
        <f>Table4[[#This Row],[Column2]]</f>
        <v>0</v>
      </c>
    </row>
    <row r="2215" spans="1:2" ht="30.75" customHeight="1">
      <c r="A2215">
        <f>Table4[[#This Row],[Column1]]</f>
        <v>0</v>
      </c>
      <c r="B2215">
        <f>Table4[[#This Row],[Column2]]</f>
        <v>0</v>
      </c>
    </row>
    <row r="2216" spans="1:2" ht="30.75" customHeight="1">
      <c r="A2216">
        <f>Table4[[#This Row],[Column1]]</f>
        <v>0</v>
      </c>
      <c r="B2216">
        <f>Table4[[#This Row],[Column2]]</f>
        <v>0</v>
      </c>
    </row>
    <row r="2217" spans="1:2" ht="30.75" customHeight="1">
      <c r="A2217">
        <f>Table4[[#This Row],[Column1]]</f>
        <v>0</v>
      </c>
      <c r="B2217">
        <f>Table4[[#This Row],[Column2]]</f>
        <v>0</v>
      </c>
    </row>
    <row r="2218" spans="1:2" ht="30.75" customHeight="1">
      <c r="A2218">
        <f>Table4[[#This Row],[Column1]]</f>
        <v>0</v>
      </c>
      <c r="B2218">
        <f>Table4[[#This Row],[Column2]]</f>
        <v>0</v>
      </c>
    </row>
    <row r="2219" spans="1:2" ht="30.75" customHeight="1">
      <c r="A2219">
        <f>Table4[[#This Row],[Column1]]</f>
        <v>0</v>
      </c>
      <c r="B2219">
        <f>Table4[[#This Row],[Column2]]</f>
        <v>0</v>
      </c>
    </row>
    <row r="2220" spans="1:2" ht="30.75" customHeight="1">
      <c r="A2220">
        <f>Table4[[#This Row],[Column1]]</f>
        <v>0</v>
      </c>
      <c r="B2220">
        <f>Table4[[#This Row],[Column2]]</f>
        <v>0</v>
      </c>
    </row>
    <row r="2221" spans="1:2" ht="30.75" customHeight="1">
      <c r="A2221">
        <f>Table4[[#This Row],[Column1]]</f>
        <v>0</v>
      </c>
      <c r="B2221">
        <f>Table4[[#This Row],[Column2]]</f>
        <v>0</v>
      </c>
    </row>
    <row r="2222" spans="1:2" ht="30.75" customHeight="1">
      <c r="A2222">
        <f>Table4[[#This Row],[Column1]]</f>
        <v>0</v>
      </c>
      <c r="B2222">
        <f>Table4[[#This Row],[Column2]]</f>
        <v>0</v>
      </c>
    </row>
    <row r="2223" spans="1:2" ht="30.75" customHeight="1">
      <c r="A2223">
        <f>Table4[[#This Row],[Column1]]</f>
        <v>0</v>
      </c>
      <c r="B2223">
        <f>Table4[[#This Row],[Column2]]</f>
        <v>0</v>
      </c>
    </row>
    <row r="2224" spans="1:2" ht="30.75" customHeight="1">
      <c r="A2224">
        <f>Table4[[#This Row],[Column1]]</f>
        <v>0</v>
      </c>
      <c r="B2224">
        <f>Table4[[#This Row],[Column2]]</f>
        <v>0</v>
      </c>
    </row>
    <row r="2225" spans="1:2" ht="30.75" customHeight="1">
      <c r="A2225">
        <f>Table4[[#This Row],[Column1]]</f>
        <v>0</v>
      </c>
      <c r="B2225">
        <f>Table4[[#This Row],[Column2]]</f>
        <v>0</v>
      </c>
    </row>
    <row r="2226" spans="1:2" ht="30.75" customHeight="1">
      <c r="A2226">
        <f>Table4[[#This Row],[Column1]]</f>
        <v>0</v>
      </c>
      <c r="B2226">
        <f>Table4[[#This Row],[Column2]]</f>
        <v>0</v>
      </c>
    </row>
    <row r="2227" spans="1:2" ht="30.75" customHeight="1">
      <c r="A2227">
        <f>Table4[[#This Row],[Column1]]</f>
        <v>0</v>
      </c>
      <c r="B2227">
        <f>Table4[[#This Row],[Column2]]</f>
        <v>0</v>
      </c>
    </row>
    <row r="2228" spans="1:2" ht="30.75" customHeight="1">
      <c r="A2228">
        <f>Table4[[#This Row],[Column1]]</f>
        <v>0</v>
      </c>
      <c r="B2228">
        <f>Table4[[#This Row],[Column2]]</f>
        <v>0</v>
      </c>
    </row>
    <row r="2229" spans="1:2" ht="30.75" customHeight="1">
      <c r="A2229">
        <f>Table4[[#This Row],[Column1]]</f>
        <v>0</v>
      </c>
      <c r="B2229">
        <f>Table4[[#This Row],[Column2]]</f>
        <v>0</v>
      </c>
    </row>
    <row r="2230" spans="1:2" ht="30.75" customHeight="1">
      <c r="A2230">
        <f>Table4[[#This Row],[Column1]]</f>
        <v>0</v>
      </c>
      <c r="B2230">
        <f>Table4[[#This Row],[Column2]]</f>
        <v>0</v>
      </c>
    </row>
    <row r="2231" spans="1:2" ht="30.75" customHeight="1">
      <c r="A2231">
        <f>Table4[[#This Row],[Column1]]</f>
        <v>0</v>
      </c>
      <c r="B2231">
        <f>Table4[[#This Row],[Column2]]</f>
        <v>0</v>
      </c>
    </row>
    <row r="2232" spans="1:2" ht="30.75" customHeight="1">
      <c r="A2232">
        <f>Table4[[#This Row],[Column1]]</f>
        <v>0</v>
      </c>
      <c r="B2232">
        <f>Table4[[#This Row],[Column2]]</f>
        <v>0</v>
      </c>
    </row>
    <row r="2233" spans="1:2" ht="30.75" customHeight="1">
      <c r="A2233">
        <f>Table4[[#This Row],[Column1]]</f>
        <v>0</v>
      </c>
      <c r="B2233">
        <f>Table4[[#This Row],[Column2]]</f>
        <v>0</v>
      </c>
    </row>
    <row r="2234" spans="1:2" ht="30.75" customHeight="1">
      <c r="A2234">
        <f>Table4[[#This Row],[Column1]]</f>
        <v>0</v>
      </c>
      <c r="B2234">
        <f>Table4[[#This Row],[Column2]]</f>
        <v>0</v>
      </c>
    </row>
    <row r="2235" spans="1:2" ht="30.75" customHeight="1">
      <c r="A2235">
        <f>Table4[[#This Row],[Column1]]</f>
        <v>0</v>
      </c>
      <c r="B2235">
        <f>Table4[[#This Row],[Column2]]</f>
        <v>0</v>
      </c>
    </row>
    <row r="2236" spans="1:2" ht="30.75" customHeight="1">
      <c r="A2236">
        <f>Table4[[#This Row],[Column1]]</f>
        <v>0</v>
      </c>
      <c r="B2236">
        <f>Table4[[#This Row],[Column2]]</f>
        <v>0</v>
      </c>
    </row>
    <row r="2237" spans="1:2" ht="30.75" customHeight="1">
      <c r="A2237">
        <f>Table4[[#This Row],[Column1]]</f>
        <v>0</v>
      </c>
      <c r="B2237">
        <f>Table4[[#This Row],[Column2]]</f>
        <v>0</v>
      </c>
    </row>
    <row r="2238" spans="1:2" ht="30.75" customHeight="1">
      <c r="A2238">
        <f>Table4[[#This Row],[Column1]]</f>
        <v>0</v>
      </c>
      <c r="B2238">
        <f>Table4[[#This Row],[Column2]]</f>
        <v>0</v>
      </c>
    </row>
    <row r="2239" spans="1:2" ht="30.75" customHeight="1">
      <c r="A2239">
        <f>Table4[[#This Row],[Column1]]</f>
        <v>0</v>
      </c>
      <c r="B2239">
        <f>Table4[[#This Row],[Column2]]</f>
        <v>0</v>
      </c>
    </row>
    <row r="2240" spans="1:2" ht="30.75" customHeight="1">
      <c r="A2240">
        <f>Table4[[#This Row],[Column1]]</f>
        <v>0</v>
      </c>
      <c r="B2240">
        <f>Table4[[#This Row],[Column2]]</f>
        <v>0</v>
      </c>
    </row>
    <row r="2241" spans="1:2" ht="30.75" customHeight="1">
      <c r="A2241">
        <f>Table4[[#This Row],[Column1]]</f>
        <v>0</v>
      </c>
      <c r="B2241">
        <f>Table4[[#This Row],[Column2]]</f>
        <v>0</v>
      </c>
    </row>
    <row r="2242" spans="1:2" ht="30.75" customHeight="1">
      <c r="A2242">
        <f>Table4[[#This Row],[Column1]]</f>
        <v>0</v>
      </c>
      <c r="B2242">
        <f>Table4[[#This Row],[Column2]]</f>
        <v>0</v>
      </c>
    </row>
    <row r="2243" spans="1:2" ht="30.75" customHeight="1">
      <c r="A2243">
        <f>Table4[[#This Row],[Column1]]</f>
        <v>0</v>
      </c>
      <c r="B2243">
        <f>Table4[[#This Row],[Column2]]</f>
        <v>0</v>
      </c>
    </row>
    <row r="2244" spans="1:2" ht="30.75" customHeight="1">
      <c r="A2244">
        <f>Table4[[#This Row],[Column1]]</f>
        <v>0</v>
      </c>
      <c r="B2244">
        <f>Table4[[#This Row],[Column2]]</f>
        <v>0</v>
      </c>
    </row>
    <row r="2245" spans="1:2" ht="30.75" customHeight="1">
      <c r="A2245">
        <f>Table4[[#This Row],[Column1]]</f>
        <v>0</v>
      </c>
      <c r="B2245">
        <f>Table4[[#This Row],[Column2]]</f>
        <v>0</v>
      </c>
    </row>
    <row r="2246" spans="1:2" ht="30.75" customHeight="1">
      <c r="A2246">
        <f>Table4[[#This Row],[Column1]]</f>
        <v>0</v>
      </c>
      <c r="B2246">
        <f>Table4[[#This Row],[Column2]]</f>
        <v>0</v>
      </c>
    </row>
    <row r="2247" spans="1:2" ht="30.75" customHeight="1">
      <c r="A2247">
        <f>Table4[[#This Row],[Column1]]</f>
        <v>0</v>
      </c>
      <c r="B2247">
        <f>Table4[[#This Row],[Column2]]</f>
        <v>0</v>
      </c>
    </row>
    <row r="2248" spans="1:2" ht="30.75" customHeight="1">
      <c r="A2248">
        <f>Table4[[#This Row],[Column1]]</f>
        <v>0</v>
      </c>
      <c r="B2248">
        <f>Table4[[#This Row],[Column2]]</f>
        <v>0</v>
      </c>
    </row>
    <row r="2249" spans="1:2" ht="30.75" customHeight="1">
      <c r="A2249">
        <f>Table4[[#This Row],[Column1]]</f>
        <v>0</v>
      </c>
      <c r="B2249">
        <f>Table4[[#This Row],[Column2]]</f>
        <v>0</v>
      </c>
    </row>
    <row r="2250" spans="1:2" ht="30.75" customHeight="1">
      <c r="A2250">
        <f>Table4[[#This Row],[Column1]]</f>
        <v>0</v>
      </c>
      <c r="B2250">
        <f>Table4[[#This Row],[Column2]]</f>
        <v>0</v>
      </c>
    </row>
    <row r="2251" spans="1:2" ht="30.75" customHeight="1">
      <c r="A2251">
        <f>Table4[[#This Row],[Column1]]</f>
        <v>0</v>
      </c>
      <c r="B2251">
        <f>Table4[[#This Row],[Column2]]</f>
        <v>0</v>
      </c>
    </row>
    <row r="2252" spans="1:2" ht="30.75" customHeight="1">
      <c r="A2252">
        <f>Table4[[#This Row],[Column1]]</f>
        <v>0</v>
      </c>
      <c r="B2252">
        <f>Table4[[#This Row],[Column2]]</f>
        <v>0</v>
      </c>
    </row>
    <row r="2253" spans="1:2" ht="30.75" customHeight="1">
      <c r="A2253">
        <f>Table4[[#This Row],[Column1]]</f>
        <v>0</v>
      </c>
      <c r="B2253">
        <f>Table4[[#This Row],[Column2]]</f>
        <v>0</v>
      </c>
    </row>
    <row r="2254" spans="1:2" ht="30.75" customHeight="1">
      <c r="A2254">
        <f>Table4[[#This Row],[Column1]]</f>
        <v>0</v>
      </c>
      <c r="B2254">
        <f>Table4[[#This Row],[Column2]]</f>
        <v>0</v>
      </c>
    </row>
    <row r="2255" spans="1:2" ht="30.75" customHeight="1">
      <c r="A2255">
        <f>Table4[[#This Row],[Column1]]</f>
        <v>0</v>
      </c>
      <c r="B2255">
        <f>Table4[[#This Row],[Column2]]</f>
        <v>0</v>
      </c>
    </row>
    <row r="2256" spans="1:2" ht="30.75" customHeight="1">
      <c r="A2256">
        <f>Table4[[#This Row],[Column1]]</f>
        <v>0</v>
      </c>
      <c r="B2256">
        <f>Table4[[#This Row],[Column2]]</f>
        <v>0</v>
      </c>
    </row>
    <row r="2257" spans="1:2" ht="30.75" customHeight="1">
      <c r="A2257">
        <f>Table4[[#This Row],[Column1]]</f>
        <v>0</v>
      </c>
      <c r="B2257">
        <f>Table4[[#This Row],[Column2]]</f>
        <v>0</v>
      </c>
    </row>
    <row r="2258" spans="1:2" ht="30.75" customHeight="1">
      <c r="A2258">
        <f>Table4[[#This Row],[Column1]]</f>
        <v>0</v>
      </c>
      <c r="B2258">
        <f>Table4[[#This Row],[Column2]]</f>
        <v>0</v>
      </c>
    </row>
    <row r="2259" spans="1:2" ht="30.75" customHeight="1">
      <c r="A2259">
        <f>Table4[[#This Row],[Column1]]</f>
        <v>0</v>
      </c>
      <c r="B2259">
        <f>Table4[[#This Row],[Column2]]</f>
        <v>0</v>
      </c>
    </row>
    <row r="2260" spans="1:2" ht="30.75" customHeight="1">
      <c r="A2260">
        <f>Table4[[#This Row],[Column1]]</f>
        <v>0</v>
      </c>
      <c r="B2260">
        <f>Table4[[#This Row],[Column2]]</f>
        <v>0</v>
      </c>
    </row>
    <row r="2261" spans="1:2" ht="30.75" customHeight="1">
      <c r="A2261">
        <f>Table4[[#This Row],[Column1]]</f>
        <v>0</v>
      </c>
      <c r="B2261">
        <f>Table4[[#This Row],[Column2]]</f>
        <v>0</v>
      </c>
    </row>
    <row r="2262" spans="1:2" ht="30.75" customHeight="1">
      <c r="A2262">
        <f>Table4[[#This Row],[Column1]]</f>
        <v>0</v>
      </c>
      <c r="B2262">
        <f>Table4[[#This Row],[Column2]]</f>
        <v>0</v>
      </c>
    </row>
    <row r="2263" spans="1:2" ht="30.75" customHeight="1">
      <c r="A2263">
        <f>Table4[[#This Row],[Column1]]</f>
        <v>0</v>
      </c>
      <c r="B2263">
        <f>Table4[[#This Row],[Column2]]</f>
        <v>0</v>
      </c>
    </row>
    <row r="2264" spans="1:2" ht="30.75" customHeight="1">
      <c r="A2264">
        <f>Table4[[#This Row],[Column1]]</f>
        <v>0</v>
      </c>
      <c r="B2264">
        <f>Table4[[#This Row],[Column2]]</f>
        <v>0</v>
      </c>
    </row>
    <row r="2265" spans="1:2" ht="30.75" customHeight="1">
      <c r="A2265">
        <f>Table4[[#This Row],[Column1]]</f>
        <v>0</v>
      </c>
      <c r="B2265">
        <f>Table4[[#This Row],[Column2]]</f>
        <v>0</v>
      </c>
    </row>
    <row r="2266" spans="1:2" ht="30.75" customHeight="1">
      <c r="A2266">
        <f>Table4[[#This Row],[Column1]]</f>
        <v>0</v>
      </c>
      <c r="B2266">
        <f>Table4[[#This Row],[Column2]]</f>
        <v>0</v>
      </c>
    </row>
    <row r="2267" spans="1:2" ht="30.75" customHeight="1">
      <c r="A2267">
        <f>Table4[[#This Row],[Column1]]</f>
        <v>0</v>
      </c>
      <c r="B2267">
        <f>Table4[[#This Row],[Column2]]</f>
        <v>0</v>
      </c>
    </row>
    <row r="2268" spans="1:2" ht="30.75" customHeight="1">
      <c r="A2268">
        <f>Table4[[#This Row],[Column1]]</f>
        <v>0</v>
      </c>
      <c r="B2268">
        <f>Table4[[#This Row],[Column2]]</f>
        <v>0</v>
      </c>
    </row>
    <row r="2269" spans="1:2" ht="30.75" customHeight="1">
      <c r="A2269">
        <f>Table4[[#This Row],[Column1]]</f>
        <v>0</v>
      </c>
      <c r="B2269">
        <f>Table4[[#This Row],[Column2]]</f>
        <v>0</v>
      </c>
    </row>
    <row r="2270" spans="1:2" ht="30.75" customHeight="1">
      <c r="A2270">
        <f>Table4[[#This Row],[Column1]]</f>
        <v>0</v>
      </c>
      <c r="B2270">
        <f>Table4[[#This Row],[Column2]]</f>
        <v>0</v>
      </c>
    </row>
    <row r="2271" spans="1:2" ht="30.75" customHeight="1">
      <c r="A2271">
        <f>Table4[[#This Row],[Column1]]</f>
        <v>0</v>
      </c>
      <c r="B2271">
        <f>Table4[[#This Row],[Column2]]</f>
        <v>0</v>
      </c>
    </row>
    <row r="2272" spans="1:2" ht="30.75" customHeight="1">
      <c r="A2272">
        <f>Table4[[#This Row],[Column1]]</f>
        <v>0</v>
      </c>
      <c r="B2272">
        <f>Table4[[#This Row],[Column2]]</f>
        <v>0</v>
      </c>
    </row>
    <row r="2273" spans="1:2" ht="30.75" customHeight="1">
      <c r="A2273">
        <f>Table4[[#This Row],[Column1]]</f>
        <v>0</v>
      </c>
      <c r="B2273">
        <f>Table4[[#This Row],[Column2]]</f>
        <v>0</v>
      </c>
    </row>
    <row r="2274" spans="1:2" ht="30.75" customHeight="1">
      <c r="A2274">
        <f>Table4[[#This Row],[Column1]]</f>
        <v>0</v>
      </c>
      <c r="B2274">
        <f>Table4[[#This Row],[Column2]]</f>
        <v>0</v>
      </c>
    </row>
    <row r="2275" spans="1:2" ht="30.75" customHeight="1">
      <c r="A2275">
        <f>Table4[[#This Row],[Column1]]</f>
        <v>0</v>
      </c>
      <c r="B2275">
        <f>Table4[[#This Row],[Column2]]</f>
        <v>0</v>
      </c>
    </row>
    <row r="2276" spans="1:2" ht="30.75" customHeight="1">
      <c r="A2276">
        <f>Table4[[#This Row],[Column1]]</f>
        <v>0</v>
      </c>
      <c r="B2276">
        <f>Table4[[#This Row],[Column2]]</f>
        <v>0</v>
      </c>
    </row>
    <row r="2277" spans="1:2" ht="30.75" customHeight="1">
      <c r="A2277">
        <f>Table4[[#This Row],[Column1]]</f>
        <v>0</v>
      </c>
      <c r="B2277">
        <f>Table4[[#This Row],[Column2]]</f>
        <v>0</v>
      </c>
    </row>
    <row r="2278" spans="1:2" ht="30.75" customHeight="1">
      <c r="A2278">
        <f>Table4[[#This Row],[Column1]]</f>
        <v>0</v>
      </c>
      <c r="B2278">
        <f>Table4[[#This Row],[Column2]]</f>
        <v>0</v>
      </c>
    </row>
    <row r="2279" spans="1:2" ht="30.75" customHeight="1">
      <c r="A2279">
        <f>Table4[[#This Row],[Column1]]</f>
        <v>0</v>
      </c>
      <c r="B2279">
        <f>Table4[[#This Row],[Column2]]</f>
        <v>0</v>
      </c>
    </row>
    <row r="2280" spans="1:2" ht="30.75" customHeight="1">
      <c r="A2280">
        <f>Table4[[#This Row],[Column1]]</f>
        <v>0</v>
      </c>
      <c r="B2280">
        <f>Table4[[#This Row],[Column2]]</f>
        <v>0</v>
      </c>
    </row>
    <row r="2281" spans="1:2" ht="30.75" customHeight="1">
      <c r="A2281">
        <f>Table4[[#This Row],[Column1]]</f>
        <v>0</v>
      </c>
      <c r="B2281">
        <f>Table4[[#This Row],[Column2]]</f>
        <v>0</v>
      </c>
    </row>
    <row r="2282" spans="1:2" ht="30.75" customHeight="1">
      <c r="A2282">
        <f>Table4[[#This Row],[Column1]]</f>
        <v>0</v>
      </c>
      <c r="B2282">
        <f>Table4[[#This Row],[Column2]]</f>
        <v>0</v>
      </c>
    </row>
    <row r="2283" spans="1:2" ht="30.75" customHeight="1">
      <c r="A2283">
        <f>Table4[[#This Row],[Column1]]</f>
        <v>0</v>
      </c>
      <c r="B2283">
        <f>Table4[[#This Row],[Column2]]</f>
        <v>0</v>
      </c>
    </row>
    <row r="2284" spans="1:2" ht="30.75" customHeight="1">
      <c r="A2284">
        <f>Table4[[#This Row],[Column1]]</f>
        <v>0</v>
      </c>
      <c r="B2284">
        <f>Table4[[#This Row],[Column2]]</f>
        <v>0</v>
      </c>
    </row>
    <row r="2285" spans="1:2" ht="30.75" customHeight="1">
      <c r="A2285">
        <f>Table4[[#This Row],[Column1]]</f>
        <v>0</v>
      </c>
      <c r="B2285">
        <f>Table4[[#This Row],[Column2]]</f>
        <v>0</v>
      </c>
    </row>
    <row r="2286" spans="1:2" ht="30.75" customHeight="1">
      <c r="A2286">
        <f>Table4[[#This Row],[Column1]]</f>
        <v>0</v>
      </c>
      <c r="B2286">
        <f>Table4[[#This Row],[Column2]]</f>
        <v>0</v>
      </c>
    </row>
    <row r="2287" spans="1:2" ht="30.75" customHeight="1">
      <c r="A2287">
        <f>Table4[[#This Row],[Column1]]</f>
        <v>0</v>
      </c>
      <c r="B2287">
        <f>Table4[[#This Row],[Column2]]</f>
        <v>0</v>
      </c>
    </row>
    <row r="2288" spans="1:2" ht="30.75" customHeight="1">
      <c r="A2288">
        <f>Table4[[#This Row],[Column1]]</f>
        <v>0</v>
      </c>
      <c r="B2288">
        <f>Table4[[#This Row],[Column2]]</f>
        <v>0</v>
      </c>
    </row>
    <row r="2289" spans="1:2" ht="30.75" customHeight="1">
      <c r="A2289">
        <f>Table4[[#This Row],[Column1]]</f>
        <v>0</v>
      </c>
      <c r="B2289">
        <f>Table4[[#This Row],[Column2]]</f>
        <v>0</v>
      </c>
    </row>
    <row r="2290" spans="1:2" ht="30.75" customHeight="1">
      <c r="A2290">
        <f>Table4[[#This Row],[Column1]]</f>
        <v>0</v>
      </c>
      <c r="B2290">
        <f>Table4[[#This Row],[Column2]]</f>
        <v>0</v>
      </c>
    </row>
    <row r="2291" spans="1:2" ht="30.75" customHeight="1">
      <c r="A2291">
        <f>Table4[[#This Row],[Column1]]</f>
        <v>0</v>
      </c>
      <c r="B2291">
        <f>Table4[[#This Row],[Column2]]</f>
        <v>0</v>
      </c>
    </row>
    <row r="2292" spans="1:2" ht="30.75" customHeight="1">
      <c r="A2292">
        <f>Table4[[#This Row],[Column1]]</f>
        <v>0</v>
      </c>
      <c r="B2292">
        <f>Table4[[#This Row],[Column2]]</f>
        <v>0</v>
      </c>
    </row>
    <row r="2293" spans="1:2" ht="30.75" customHeight="1">
      <c r="A2293">
        <f>Table4[[#This Row],[Column1]]</f>
        <v>0</v>
      </c>
      <c r="B2293">
        <f>Table4[[#This Row],[Column2]]</f>
        <v>0</v>
      </c>
    </row>
    <row r="2294" spans="1:2" ht="30.75" customHeight="1">
      <c r="A2294">
        <f>Table4[[#This Row],[Column1]]</f>
        <v>0</v>
      </c>
      <c r="B2294">
        <f>Table4[[#This Row],[Column2]]</f>
        <v>0</v>
      </c>
    </row>
    <row r="2295" spans="1:2" ht="30.75" customHeight="1">
      <c r="A2295">
        <f>Table4[[#This Row],[Column1]]</f>
        <v>0</v>
      </c>
      <c r="B2295">
        <f>Table4[[#This Row],[Column2]]</f>
        <v>0</v>
      </c>
    </row>
    <row r="2296" spans="1:2" ht="30.75" customHeight="1">
      <c r="A2296">
        <f>Table4[[#This Row],[Column1]]</f>
        <v>0</v>
      </c>
      <c r="B2296">
        <f>Table4[[#This Row],[Column2]]</f>
        <v>0</v>
      </c>
    </row>
    <row r="2297" spans="1:2" ht="30.75" customHeight="1">
      <c r="A2297">
        <f>Table4[[#This Row],[Column1]]</f>
        <v>0</v>
      </c>
      <c r="B2297">
        <f>Table4[[#This Row],[Column2]]</f>
        <v>0</v>
      </c>
    </row>
    <row r="2298" spans="1:2" ht="30.75" customHeight="1">
      <c r="A2298">
        <f>Table4[[#This Row],[Column1]]</f>
        <v>0</v>
      </c>
      <c r="B2298">
        <f>Table4[[#This Row],[Column2]]</f>
        <v>0</v>
      </c>
    </row>
    <row r="2299" spans="1:2" ht="30.75" customHeight="1">
      <c r="A2299">
        <f>Table4[[#This Row],[Column1]]</f>
        <v>0</v>
      </c>
      <c r="B2299">
        <f>Table4[[#This Row],[Column2]]</f>
        <v>0</v>
      </c>
    </row>
    <row r="2300" spans="1:2" ht="30.75" customHeight="1">
      <c r="A2300">
        <f>Table4[[#This Row],[Column1]]</f>
        <v>0</v>
      </c>
      <c r="B2300">
        <f>Table4[[#This Row],[Column2]]</f>
        <v>0</v>
      </c>
    </row>
    <row r="2301" spans="1:2" ht="30.75" customHeight="1">
      <c r="A2301">
        <f>Table4[[#This Row],[Column1]]</f>
        <v>0</v>
      </c>
      <c r="B2301">
        <f>Table4[[#This Row],[Column2]]</f>
        <v>0</v>
      </c>
    </row>
    <row r="2302" spans="1:2" ht="30.75" customHeight="1">
      <c r="A2302">
        <f>Table4[[#This Row],[Column1]]</f>
        <v>0</v>
      </c>
      <c r="B2302">
        <f>Table4[[#This Row],[Column2]]</f>
        <v>0</v>
      </c>
    </row>
    <row r="2303" spans="1:2" ht="30.75" customHeight="1">
      <c r="A2303">
        <f>Table4[[#This Row],[Column1]]</f>
        <v>0</v>
      </c>
      <c r="B2303">
        <f>Table4[[#This Row],[Column2]]</f>
        <v>0</v>
      </c>
    </row>
    <row r="2304" spans="1:2" ht="30.75" customHeight="1">
      <c r="A2304">
        <f>Table4[[#This Row],[Column1]]</f>
        <v>0</v>
      </c>
      <c r="B2304">
        <f>Table4[[#This Row],[Column2]]</f>
        <v>0</v>
      </c>
    </row>
    <row r="2305" spans="1:2" ht="30.75" customHeight="1">
      <c r="A2305">
        <f>Table4[[#This Row],[Column1]]</f>
        <v>0</v>
      </c>
      <c r="B2305">
        <f>Table4[[#This Row],[Column2]]</f>
        <v>0</v>
      </c>
    </row>
    <row r="2306" spans="1:2" ht="30.75" customHeight="1">
      <c r="A2306">
        <f>Table4[[#This Row],[Column1]]</f>
        <v>0</v>
      </c>
      <c r="B2306">
        <f>Table4[[#This Row],[Column2]]</f>
        <v>0</v>
      </c>
    </row>
    <row r="2307" spans="1:2" ht="30.75" customHeight="1">
      <c r="A2307">
        <f>Table4[[#This Row],[Column1]]</f>
        <v>0</v>
      </c>
      <c r="B2307">
        <f>Table4[[#This Row],[Column2]]</f>
        <v>0</v>
      </c>
    </row>
    <row r="2308" spans="1:2" ht="30.75" customHeight="1">
      <c r="A2308">
        <f>Table4[[#This Row],[Column1]]</f>
        <v>0</v>
      </c>
      <c r="B2308">
        <f>Table4[[#This Row],[Column2]]</f>
        <v>0</v>
      </c>
    </row>
    <row r="2309" spans="1:2" ht="30.75" customHeight="1">
      <c r="A2309">
        <f>Table4[[#This Row],[Column1]]</f>
        <v>0</v>
      </c>
      <c r="B2309">
        <f>Table4[[#This Row],[Column2]]</f>
        <v>0</v>
      </c>
    </row>
    <row r="2310" spans="1:2" ht="30.75" customHeight="1">
      <c r="A2310">
        <f>Table4[[#This Row],[Column1]]</f>
        <v>0</v>
      </c>
      <c r="B2310">
        <f>Table4[[#This Row],[Column2]]</f>
        <v>0</v>
      </c>
    </row>
    <row r="2311" spans="1:2" ht="30.75" customHeight="1">
      <c r="A2311">
        <f>Table4[[#This Row],[Column1]]</f>
        <v>0</v>
      </c>
      <c r="B2311">
        <f>Table4[[#This Row],[Column2]]</f>
        <v>0</v>
      </c>
    </row>
    <row r="2312" spans="1:2" ht="30.75" customHeight="1">
      <c r="A2312">
        <f>Table4[[#This Row],[Column1]]</f>
        <v>0</v>
      </c>
      <c r="B2312">
        <f>Table4[[#This Row],[Column2]]</f>
        <v>0</v>
      </c>
    </row>
    <row r="2313" spans="1:2" ht="30.75" customHeight="1">
      <c r="A2313">
        <f>Table4[[#This Row],[Column1]]</f>
        <v>0</v>
      </c>
      <c r="B2313">
        <f>Table4[[#This Row],[Column2]]</f>
        <v>0</v>
      </c>
    </row>
    <row r="2314" spans="1:2" ht="30.75" customHeight="1">
      <c r="A2314">
        <f>Table4[[#This Row],[Column1]]</f>
        <v>0</v>
      </c>
      <c r="B2314">
        <f>Table4[[#This Row],[Column2]]</f>
        <v>0</v>
      </c>
    </row>
    <row r="2315" spans="1:2" ht="30.75" customHeight="1">
      <c r="A2315">
        <f>Table4[[#This Row],[Column1]]</f>
        <v>0</v>
      </c>
      <c r="B2315">
        <f>Table4[[#This Row],[Column2]]</f>
        <v>0</v>
      </c>
    </row>
    <row r="2316" spans="1:2" ht="30.75" customHeight="1">
      <c r="A2316">
        <f>Table4[[#This Row],[Column1]]</f>
        <v>0</v>
      </c>
      <c r="B2316">
        <f>Table4[[#This Row],[Column2]]</f>
        <v>0</v>
      </c>
    </row>
    <row r="2317" spans="1:2" ht="30.75" customHeight="1">
      <c r="A2317">
        <f>Table4[[#This Row],[Column1]]</f>
        <v>0</v>
      </c>
      <c r="B2317">
        <f>Table4[[#This Row],[Column2]]</f>
        <v>0</v>
      </c>
    </row>
    <row r="2318" spans="1:2" ht="30.75" customHeight="1">
      <c r="A2318">
        <f>Table4[[#This Row],[Column1]]</f>
        <v>0</v>
      </c>
      <c r="B2318">
        <f>Table4[[#This Row],[Column2]]</f>
        <v>0</v>
      </c>
    </row>
    <row r="2319" spans="1:2" ht="30.75" customHeight="1">
      <c r="A2319">
        <f>Table4[[#This Row],[Column1]]</f>
        <v>0</v>
      </c>
      <c r="B2319">
        <f>Table4[[#This Row],[Column2]]</f>
        <v>0</v>
      </c>
    </row>
    <row r="2320" spans="1:2" ht="30.75" customHeight="1">
      <c r="A2320">
        <f>Table4[[#This Row],[Column1]]</f>
        <v>0</v>
      </c>
      <c r="B2320">
        <f>Table4[[#This Row],[Column2]]</f>
        <v>0</v>
      </c>
    </row>
    <row r="2321" spans="1:2" ht="30.75" customHeight="1">
      <c r="A2321">
        <f>Table4[[#This Row],[Column1]]</f>
        <v>0</v>
      </c>
      <c r="B2321">
        <f>Table4[[#This Row],[Column2]]</f>
        <v>0</v>
      </c>
    </row>
    <row r="2322" spans="1:2" ht="30.75" customHeight="1">
      <c r="A2322">
        <f>Table4[[#This Row],[Column1]]</f>
        <v>0</v>
      </c>
      <c r="B2322">
        <f>Table4[[#This Row],[Column2]]</f>
        <v>0</v>
      </c>
    </row>
    <row r="2323" spans="1:2" ht="30.75" customHeight="1">
      <c r="A2323">
        <f>Table4[[#This Row],[Column1]]</f>
        <v>0</v>
      </c>
      <c r="B2323">
        <f>Table4[[#This Row],[Column2]]</f>
        <v>0</v>
      </c>
    </row>
    <row r="2324" spans="1:2" ht="30.75" customHeight="1">
      <c r="A2324">
        <f>Table4[[#This Row],[Column1]]</f>
        <v>0</v>
      </c>
      <c r="B2324">
        <f>Table4[[#This Row],[Column2]]</f>
        <v>0</v>
      </c>
    </row>
    <row r="2325" spans="1:2" ht="30.75" customHeight="1">
      <c r="A2325">
        <f>Table4[[#This Row],[Column1]]</f>
        <v>0</v>
      </c>
      <c r="B2325">
        <f>Table4[[#This Row],[Column2]]</f>
        <v>0</v>
      </c>
    </row>
    <row r="2326" spans="1:2" ht="30.75" customHeight="1">
      <c r="A2326">
        <f>Table4[[#This Row],[Column1]]</f>
        <v>0</v>
      </c>
      <c r="B2326">
        <f>Table4[[#This Row],[Column2]]</f>
        <v>0</v>
      </c>
    </row>
    <row r="2327" spans="1:2" ht="30.75" customHeight="1">
      <c r="A2327">
        <f>Table4[[#This Row],[Column1]]</f>
        <v>0</v>
      </c>
      <c r="B2327">
        <f>Table4[[#This Row],[Column2]]</f>
        <v>0</v>
      </c>
    </row>
    <row r="2328" spans="1:2" ht="30.75" customHeight="1">
      <c r="A2328">
        <f>Table4[[#This Row],[Column1]]</f>
        <v>0</v>
      </c>
      <c r="B2328">
        <f>Table4[[#This Row],[Column2]]</f>
        <v>0</v>
      </c>
    </row>
    <row r="2329" spans="1:2" ht="30.75" customHeight="1">
      <c r="A2329">
        <f>Table4[[#This Row],[Column1]]</f>
        <v>0</v>
      </c>
      <c r="B2329">
        <f>Table4[[#This Row],[Column2]]</f>
        <v>0</v>
      </c>
    </row>
    <row r="2330" spans="1:2" ht="30.75" customHeight="1">
      <c r="A2330">
        <f>Table4[[#This Row],[Column1]]</f>
        <v>0</v>
      </c>
      <c r="B2330">
        <f>Table4[[#This Row],[Column2]]</f>
        <v>0</v>
      </c>
    </row>
    <row r="2331" spans="1:2" ht="30.75" customHeight="1">
      <c r="A2331">
        <f>Table4[[#This Row],[Column1]]</f>
        <v>0</v>
      </c>
      <c r="B2331">
        <f>Table4[[#This Row],[Column2]]</f>
        <v>0</v>
      </c>
    </row>
    <row r="2332" spans="1:2" ht="30.75" customHeight="1">
      <c r="A2332">
        <f>Table4[[#This Row],[Column1]]</f>
        <v>0</v>
      </c>
      <c r="B2332">
        <f>Table4[[#This Row],[Column2]]</f>
        <v>0</v>
      </c>
    </row>
    <row r="2333" spans="1:2" ht="30.75" customHeight="1">
      <c r="A2333">
        <f>Table4[[#This Row],[Column1]]</f>
        <v>0</v>
      </c>
      <c r="B2333">
        <f>Table4[[#This Row],[Column2]]</f>
        <v>0</v>
      </c>
    </row>
    <row r="2334" spans="1:2" ht="30.75" customHeight="1">
      <c r="A2334">
        <f>Table4[[#This Row],[Column1]]</f>
        <v>0</v>
      </c>
      <c r="B2334">
        <f>Table4[[#This Row],[Column2]]</f>
        <v>0</v>
      </c>
    </row>
    <row r="2335" spans="1:2" ht="30.75" customHeight="1">
      <c r="A2335">
        <f>Table4[[#This Row],[Column1]]</f>
        <v>0</v>
      </c>
      <c r="B2335">
        <f>Table4[[#This Row],[Column2]]</f>
        <v>0</v>
      </c>
    </row>
    <row r="2336" spans="1:2" ht="30.75" customHeight="1">
      <c r="A2336">
        <f>Table4[[#This Row],[Column1]]</f>
        <v>0</v>
      </c>
      <c r="B2336">
        <f>Table4[[#This Row],[Column2]]</f>
        <v>0</v>
      </c>
    </row>
    <row r="2337" spans="1:2" ht="30.75" customHeight="1">
      <c r="A2337">
        <f>Table4[[#This Row],[Column1]]</f>
        <v>0</v>
      </c>
      <c r="B2337">
        <f>Table4[[#This Row],[Column2]]</f>
        <v>0</v>
      </c>
    </row>
    <row r="2338" spans="1:2" ht="30.75" customHeight="1">
      <c r="A2338">
        <f>Table4[[#This Row],[Column1]]</f>
        <v>0</v>
      </c>
      <c r="B2338">
        <f>Table4[[#This Row],[Column2]]</f>
        <v>0</v>
      </c>
    </row>
    <row r="2339" spans="1:2" ht="30.75" customHeight="1">
      <c r="A2339">
        <f>Table4[[#This Row],[Column1]]</f>
        <v>0</v>
      </c>
      <c r="B2339">
        <f>Table4[[#This Row],[Column2]]</f>
        <v>0</v>
      </c>
    </row>
    <row r="2340" spans="1:2" ht="30.75" customHeight="1">
      <c r="A2340">
        <f>Table4[[#This Row],[Column1]]</f>
        <v>0</v>
      </c>
      <c r="B2340">
        <f>Table4[[#This Row],[Column2]]</f>
        <v>0</v>
      </c>
    </row>
    <row r="2341" spans="1:2" ht="30.75" customHeight="1">
      <c r="A2341">
        <f>Table4[[#This Row],[Column1]]</f>
        <v>0</v>
      </c>
      <c r="B2341">
        <f>Table4[[#This Row],[Column2]]</f>
        <v>0</v>
      </c>
    </row>
    <row r="2342" spans="1:2" ht="30.75" customHeight="1">
      <c r="A2342">
        <f>Table4[[#This Row],[Column1]]</f>
        <v>0</v>
      </c>
      <c r="B2342">
        <f>Table4[[#This Row],[Column2]]</f>
        <v>0</v>
      </c>
    </row>
    <row r="2343" spans="1:2" ht="30.75" customHeight="1">
      <c r="A2343">
        <f>Table4[[#This Row],[Column1]]</f>
        <v>0</v>
      </c>
      <c r="B2343">
        <f>Table4[[#This Row],[Column2]]</f>
        <v>0</v>
      </c>
    </row>
    <row r="2344" spans="1:2" ht="30.75" customHeight="1">
      <c r="A2344">
        <f>Table4[[#This Row],[Column1]]</f>
        <v>0</v>
      </c>
      <c r="B2344">
        <f>Table4[[#This Row],[Column2]]</f>
        <v>0</v>
      </c>
    </row>
    <row r="2345" spans="1:2" ht="30.75" customHeight="1">
      <c r="A2345">
        <f>Table4[[#This Row],[Column1]]</f>
        <v>0</v>
      </c>
      <c r="B2345">
        <f>Table4[[#This Row],[Column2]]</f>
        <v>0</v>
      </c>
    </row>
    <row r="2346" spans="1:2" ht="30.75" customHeight="1">
      <c r="A2346">
        <f>Table4[[#This Row],[Column1]]</f>
        <v>0</v>
      </c>
      <c r="B2346">
        <f>Table4[[#This Row],[Column2]]</f>
        <v>0</v>
      </c>
    </row>
    <row r="2347" spans="1:2" ht="30.75" customHeight="1">
      <c r="A2347">
        <f>Table4[[#This Row],[Column1]]</f>
        <v>0</v>
      </c>
      <c r="B2347">
        <f>Table4[[#This Row],[Column2]]</f>
        <v>0</v>
      </c>
    </row>
    <row r="2348" spans="1:2" ht="30.75" customHeight="1">
      <c r="A2348">
        <f>Table4[[#This Row],[Column1]]</f>
        <v>0</v>
      </c>
      <c r="B2348">
        <f>Table4[[#This Row],[Column2]]</f>
        <v>0</v>
      </c>
    </row>
    <row r="2349" spans="1:2" ht="30.75" customHeight="1">
      <c r="A2349">
        <f>Table4[[#This Row],[Column1]]</f>
        <v>0</v>
      </c>
      <c r="B2349">
        <f>Table4[[#This Row],[Column2]]</f>
        <v>0</v>
      </c>
    </row>
    <row r="2350" spans="1:2" ht="30.75" customHeight="1">
      <c r="A2350">
        <f>Table4[[#This Row],[Column1]]</f>
        <v>0</v>
      </c>
      <c r="B2350">
        <f>Table4[[#This Row],[Column2]]</f>
        <v>0</v>
      </c>
    </row>
    <row r="2351" spans="1:2" ht="30.75" customHeight="1">
      <c r="A2351">
        <f>Table4[[#This Row],[Column1]]</f>
        <v>0</v>
      </c>
      <c r="B2351">
        <f>Table4[[#This Row],[Column2]]</f>
        <v>0</v>
      </c>
    </row>
    <row r="2352" spans="1:2" ht="30.75" customHeight="1">
      <c r="A2352">
        <f>Table4[[#This Row],[Column1]]</f>
        <v>0</v>
      </c>
      <c r="B2352">
        <f>Table4[[#This Row],[Column2]]</f>
        <v>0</v>
      </c>
    </row>
    <row r="2353" spans="1:2" ht="30.75" customHeight="1">
      <c r="A2353">
        <f>Table4[[#This Row],[Column1]]</f>
        <v>0</v>
      </c>
      <c r="B2353">
        <f>Table4[[#This Row],[Column2]]</f>
        <v>0</v>
      </c>
    </row>
    <row r="2354" spans="1:2" ht="30.75" customHeight="1">
      <c r="A2354">
        <f>Table4[[#This Row],[Column1]]</f>
        <v>0</v>
      </c>
      <c r="B2354">
        <f>Table4[[#This Row],[Column2]]</f>
        <v>0</v>
      </c>
    </row>
    <row r="2355" spans="1:2" ht="30.75" customHeight="1">
      <c r="A2355">
        <f>Table4[[#This Row],[Column1]]</f>
        <v>0</v>
      </c>
      <c r="B2355">
        <f>Table4[[#This Row],[Column2]]</f>
        <v>0</v>
      </c>
    </row>
    <row r="2356" spans="1:2" ht="30.75" customHeight="1">
      <c r="A2356">
        <f>Table4[[#This Row],[Column1]]</f>
        <v>0</v>
      </c>
      <c r="B2356">
        <f>Table4[[#This Row],[Column2]]</f>
        <v>0</v>
      </c>
    </row>
    <row r="2357" spans="1:2" ht="30.75" customHeight="1">
      <c r="A2357">
        <f>Table4[[#This Row],[Column1]]</f>
        <v>0</v>
      </c>
      <c r="B2357">
        <f>Table4[[#This Row],[Column2]]</f>
        <v>0</v>
      </c>
    </row>
    <row r="2358" spans="1:2" ht="30.75" customHeight="1">
      <c r="A2358">
        <f>Table4[[#This Row],[Column1]]</f>
        <v>0</v>
      </c>
      <c r="B2358">
        <f>Table4[[#This Row],[Column2]]</f>
        <v>0</v>
      </c>
    </row>
    <row r="2359" spans="1:2" ht="30.75" customHeight="1">
      <c r="A2359">
        <f>Table4[[#This Row],[Column1]]</f>
        <v>0</v>
      </c>
      <c r="B2359">
        <f>Table4[[#This Row],[Column2]]</f>
        <v>0</v>
      </c>
    </row>
    <row r="2360" spans="1:2" ht="30.75" customHeight="1">
      <c r="A2360">
        <f>Table4[[#This Row],[Column1]]</f>
        <v>0</v>
      </c>
      <c r="B2360">
        <f>Table4[[#This Row],[Column2]]</f>
        <v>0</v>
      </c>
    </row>
    <row r="2361" spans="1:2" ht="30.75" customHeight="1">
      <c r="A2361">
        <f>Table4[[#This Row],[Column1]]</f>
        <v>0</v>
      </c>
      <c r="B2361">
        <f>Table4[[#This Row],[Column2]]</f>
        <v>0</v>
      </c>
    </row>
    <row r="2362" spans="1:2" ht="30.75" customHeight="1">
      <c r="A2362">
        <f>Table4[[#This Row],[Column1]]</f>
        <v>0</v>
      </c>
      <c r="B2362">
        <f>Table4[[#This Row],[Column2]]</f>
        <v>0</v>
      </c>
    </row>
    <row r="2363" spans="1:2" ht="30.75" customHeight="1">
      <c r="A2363">
        <f>Table4[[#This Row],[Column1]]</f>
        <v>0</v>
      </c>
      <c r="B2363">
        <f>Table4[[#This Row],[Column2]]</f>
        <v>0</v>
      </c>
    </row>
    <row r="2364" spans="1:2" ht="30.75" customHeight="1">
      <c r="A2364">
        <f>Table4[[#This Row],[Column1]]</f>
        <v>0</v>
      </c>
      <c r="B2364">
        <f>Table4[[#This Row],[Column2]]</f>
        <v>0</v>
      </c>
    </row>
    <row r="2365" spans="1:2" ht="30.75" customHeight="1">
      <c r="A2365">
        <f>Table4[[#This Row],[Column1]]</f>
        <v>0</v>
      </c>
      <c r="B2365">
        <f>Table4[[#This Row],[Column2]]</f>
        <v>0</v>
      </c>
    </row>
    <row r="2366" spans="1:2" ht="30.75" customHeight="1">
      <c r="A2366">
        <f>Table4[[#This Row],[Column1]]</f>
        <v>0</v>
      </c>
      <c r="B2366">
        <f>Table4[[#This Row],[Column2]]</f>
        <v>0</v>
      </c>
    </row>
    <row r="2367" spans="1:2" ht="30.75" customHeight="1">
      <c r="A2367">
        <f>Table4[[#This Row],[Column1]]</f>
        <v>0</v>
      </c>
      <c r="B2367">
        <f>Table4[[#This Row],[Column2]]</f>
        <v>0</v>
      </c>
    </row>
    <row r="2368" spans="1:2" ht="30.75" customHeight="1">
      <c r="A2368">
        <f>Table4[[#This Row],[Column1]]</f>
        <v>0</v>
      </c>
      <c r="B2368">
        <f>Table4[[#This Row],[Column2]]</f>
        <v>0</v>
      </c>
    </row>
    <row r="2369" spans="1:2" ht="30.75" customHeight="1">
      <c r="A2369">
        <f>Table4[[#This Row],[Column1]]</f>
        <v>0</v>
      </c>
      <c r="B2369">
        <f>Table4[[#This Row],[Column2]]</f>
        <v>0</v>
      </c>
    </row>
    <row r="2370" spans="1:2" ht="30.75" customHeight="1">
      <c r="A2370">
        <f>Table4[[#This Row],[Column1]]</f>
        <v>0</v>
      </c>
      <c r="B2370">
        <f>Table4[[#This Row],[Column2]]</f>
        <v>0</v>
      </c>
    </row>
    <row r="2371" spans="1:2" ht="30.75" customHeight="1">
      <c r="A2371">
        <f>Table4[[#This Row],[Column1]]</f>
        <v>0</v>
      </c>
      <c r="B2371">
        <f>Table4[[#This Row],[Column2]]</f>
        <v>0</v>
      </c>
    </row>
    <row r="2372" spans="1:2" ht="30.75" customHeight="1">
      <c r="A2372">
        <f>Table4[[#This Row],[Column1]]</f>
        <v>0</v>
      </c>
      <c r="B2372">
        <f>Table4[[#This Row],[Column2]]</f>
        <v>0</v>
      </c>
    </row>
    <row r="2373" spans="1:2" ht="30.75" customHeight="1">
      <c r="A2373">
        <f>Table4[[#This Row],[Column1]]</f>
        <v>0</v>
      </c>
      <c r="B2373">
        <f>Table4[[#This Row],[Column2]]</f>
        <v>0</v>
      </c>
    </row>
    <row r="2374" spans="1:2" ht="30.75" customHeight="1">
      <c r="A2374">
        <f>Table4[[#This Row],[Column1]]</f>
        <v>0</v>
      </c>
      <c r="B2374">
        <f>Table4[[#This Row],[Column2]]</f>
        <v>0</v>
      </c>
    </row>
    <row r="2375" spans="1:2" ht="30.75" customHeight="1">
      <c r="A2375">
        <f>Table4[[#This Row],[Column1]]</f>
        <v>0</v>
      </c>
      <c r="B2375">
        <f>Table4[[#This Row],[Column2]]</f>
        <v>0</v>
      </c>
    </row>
    <row r="2376" spans="1:2" ht="30.75" customHeight="1">
      <c r="A2376">
        <f>Table4[[#This Row],[Column1]]</f>
        <v>0</v>
      </c>
      <c r="B2376">
        <f>Table4[[#This Row],[Column2]]</f>
        <v>0</v>
      </c>
    </row>
    <row r="2377" spans="1:2" ht="30.75" customHeight="1">
      <c r="A2377">
        <f>Table4[[#This Row],[Column1]]</f>
        <v>0</v>
      </c>
      <c r="B2377">
        <f>Table4[[#This Row],[Column2]]</f>
        <v>0</v>
      </c>
    </row>
    <row r="2378" spans="1:2" ht="30.75" customHeight="1">
      <c r="A2378">
        <f>Table4[[#This Row],[Column1]]</f>
        <v>0</v>
      </c>
      <c r="B2378">
        <f>Table4[[#This Row],[Column2]]</f>
        <v>0</v>
      </c>
    </row>
    <row r="2379" spans="1:2" ht="30.75" customHeight="1">
      <c r="A2379">
        <f>Table4[[#This Row],[Column1]]</f>
        <v>0</v>
      </c>
      <c r="B2379">
        <f>Table4[[#This Row],[Column2]]</f>
        <v>0</v>
      </c>
    </row>
    <row r="2380" spans="1:2" ht="30.75" customHeight="1">
      <c r="A2380">
        <f>Table4[[#This Row],[Column1]]</f>
        <v>0</v>
      </c>
      <c r="B2380">
        <f>Table4[[#This Row],[Column2]]</f>
        <v>0</v>
      </c>
    </row>
    <row r="2381" spans="1:2" ht="30.75" customHeight="1">
      <c r="A2381">
        <f>Table4[[#This Row],[Column1]]</f>
        <v>0</v>
      </c>
      <c r="B2381">
        <f>Table4[[#This Row],[Column2]]</f>
        <v>0</v>
      </c>
    </row>
    <row r="2382" spans="1:2" ht="30.75" customHeight="1">
      <c r="A2382">
        <f>Table4[[#This Row],[Column1]]</f>
        <v>0</v>
      </c>
      <c r="B2382">
        <f>Table4[[#This Row],[Column2]]</f>
        <v>0</v>
      </c>
    </row>
    <row r="2383" spans="1:2" ht="30.75" customHeight="1">
      <c r="A2383">
        <f>Table4[[#This Row],[Column1]]</f>
        <v>0</v>
      </c>
      <c r="B2383">
        <f>Table4[[#This Row],[Column2]]</f>
        <v>0</v>
      </c>
    </row>
    <row r="2384" spans="1:2" ht="30.75" customHeight="1">
      <c r="A2384">
        <f>Table4[[#This Row],[Column1]]</f>
        <v>0</v>
      </c>
      <c r="B2384">
        <f>Table4[[#This Row],[Column2]]</f>
        <v>0</v>
      </c>
    </row>
    <row r="2385" spans="1:2" ht="30.75" customHeight="1">
      <c r="A2385">
        <f>Table4[[#This Row],[Column1]]</f>
        <v>0</v>
      </c>
      <c r="B2385">
        <f>Table4[[#This Row],[Column2]]</f>
        <v>0</v>
      </c>
    </row>
    <row r="2386" spans="1:2" ht="30.75" customHeight="1">
      <c r="A2386">
        <f>Table4[[#This Row],[Column1]]</f>
        <v>0</v>
      </c>
      <c r="B2386">
        <f>Table4[[#This Row],[Column2]]</f>
        <v>0</v>
      </c>
    </row>
    <row r="2387" spans="1:2" ht="30.75" customHeight="1">
      <c r="A2387">
        <f>Table4[[#This Row],[Column1]]</f>
        <v>0</v>
      </c>
      <c r="B2387">
        <f>Table4[[#This Row],[Column2]]</f>
        <v>0</v>
      </c>
    </row>
    <row r="2388" spans="1:2" ht="30.75" customHeight="1">
      <c r="A2388">
        <f>Table4[[#This Row],[Column1]]</f>
        <v>0</v>
      </c>
      <c r="B2388">
        <f>Table4[[#This Row],[Column2]]</f>
        <v>0</v>
      </c>
    </row>
    <row r="2389" spans="1:2" ht="30.75" customHeight="1">
      <c r="A2389">
        <f>Table4[[#This Row],[Column1]]</f>
        <v>0</v>
      </c>
      <c r="B2389">
        <f>Table4[[#This Row],[Column2]]</f>
        <v>0</v>
      </c>
    </row>
    <row r="2390" spans="1:2" ht="30.75" customHeight="1">
      <c r="A2390">
        <f>Table4[[#This Row],[Column1]]</f>
        <v>0</v>
      </c>
      <c r="B2390">
        <f>Table4[[#This Row],[Column2]]</f>
        <v>0</v>
      </c>
    </row>
    <row r="2391" spans="1:2" ht="30.75" customHeight="1">
      <c r="A2391">
        <f>Table4[[#This Row],[Column1]]</f>
        <v>0</v>
      </c>
      <c r="B2391">
        <f>Table4[[#This Row],[Column2]]</f>
        <v>0</v>
      </c>
    </row>
    <row r="2392" spans="1:2" ht="30.75" customHeight="1">
      <c r="A2392">
        <f>Table4[[#This Row],[Column1]]</f>
        <v>0</v>
      </c>
      <c r="B2392">
        <f>Table4[[#This Row],[Column2]]</f>
        <v>0</v>
      </c>
    </row>
    <row r="2393" spans="1:2" ht="30.75" customHeight="1">
      <c r="A2393">
        <f>Table4[[#This Row],[Column1]]</f>
        <v>0</v>
      </c>
      <c r="B2393">
        <f>Table4[[#This Row],[Column2]]</f>
        <v>0</v>
      </c>
    </row>
    <row r="2394" spans="1:2" ht="30.75" customHeight="1">
      <c r="A2394">
        <f>Table4[[#This Row],[Column1]]</f>
        <v>0</v>
      </c>
      <c r="B2394">
        <f>Table4[[#This Row],[Column2]]</f>
        <v>0</v>
      </c>
    </row>
    <row r="2395" spans="1:2" ht="30.75" customHeight="1">
      <c r="A2395">
        <f>Table4[[#This Row],[Column1]]</f>
        <v>0</v>
      </c>
      <c r="B2395">
        <f>Table4[[#This Row],[Column2]]</f>
        <v>0</v>
      </c>
    </row>
    <row r="2396" spans="1:2" ht="30.75" customHeight="1">
      <c r="A2396">
        <f>Table4[[#This Row],[Column1]]</f>
        <v>0</v>
      </c>
      <c r="B2396">
        <f>Table4[[#This Row],[Column2]]</f>
        <v>0</v>
      </c>
    </row>
    <row r="2397" spans="1:2" ht="30.75" customHeight="1">
      <c r="A2397">
        <f>Table4[[#This Row],[Column1]]</f>
        <v>0</v>
      </c>
      <c r="B2397">
        <f>Table4[[#This Row],[Column2]]</f>
        <v>0</v>
      </c>
    </row>
    <row r="2398" spans="1:2" ht="30.75" customHeight="1">
      <c r="A2398">
        <f>Table4[[#This Row],[Column1]]</f>
        <v>0</v>
      </c>
      <c r="B2398">
        <f>Table4[[#This Row],[Column2]]</f>
        <v>0</v>
      </c>
    </row>
    <row r="2399" spans="1:2" ht="30.75" customHeight="1">
      <c r="A2399">
        <f>Table4[[#This Row],[Column1]]</f>
        <v>0</v>
      </c>
      <c r="B2399">
        <f>Table4[[#This Row],[Column2]]</f>
        <v>0</v>
      </c>
    </row>
    <row r="2400" spans="1:2" ht="30.75" customHeight="1">
      <c r="A2400">
        <f>Table4[[#This Row],[Column1]]</f>
        <v>0</v>
      </c>
      <c r="B2400">
        <f>Table4[[#This Row],[Column2]]</f>
        <v>0</v>
      </c>
    </row>
    <row r="2401" spans="1:2" ht="30.75" customHeight="1">
      <c r="A2401">
        <f>Table4[[#This Row],[Column1]]</f>
        <v>0</v>
      </c>
      <c r="B2401">
        <f>Table4[[#This Row],[Column2]]</f>
        <v>0</v>
      </c>
    </row>
    <row r="2402" spans="1:2" ht="30.75" customHeight="1">
      <c r="A2402">
        <f>Table4[[#This Row],[Column1]]</f>
        <v>0</v>
      </c>
      <c r="B2402">
        <f>Table4[[#This Row],[Column2]]</f>
        <v>0</v>
      </c>
    </row>
    <row r="2403" spans="1:2" ht="30.75" customHeight="1">
      <c r="A2403">
        <f>Table4[[#This Row],[Column1]]</f>
        <v>0</v>
      </c>
      <c r="B2403">
        <f>Table4[[#This Row],[Column2]]</f>
        <v>0</v>
      </c>
    </row>
    <row r="2404" spans="1:2" ht="30.75" customHeight="1">
      <c r="A2404">
        <f>Table4[[#This Row],[Column1]]</f>
        <v>0</v>
      </c>
      <c r="B2404">
        <f>Table4[[#This Row],[Column2]]</f>
        <v>0</v>
      </c>
    </row>
    <row r="2405" spans="1:2" ht="30.75" customHeight="1">
      <c r="A2405">
        <f>Table4[[#This Row],[Column1]]</f>
        <v>0</v>
      </c>
      <c r="B2405">
        <f>Table4[[#This Row],[Column2]]</f>
        <v>0</v>
      </c>
    </row>
    <row r="2406" spans="1:2" ht="30.75" customHeight="1">
      <c r="A2406">
        <f>Table4[[#This Row],[Column1]]</f>
        <v>0</v>
      </c>
      <c r="B2406">
        <f>Table4[[#This Row],[Column2]]</f>
        <v>0</v>
      </c>
    </row>
    <row r="2407" spans="1:2" ht="30.75" customHeight="1">
      <c r="A2407">
        <f>Table4[[#This Row],[Column1]]</f>
        <v>0</v>
      </c>
      <c r="B2407">
        <f>Table4[[#This Row],[Column2]]</f>
        <v>0</v>
      </c>
    </row>
    <row r="2408" spans="1:2" ht="30.75" customHeight="1">
      <c r="A2408">
        <f>Table4[[#This Row],[Column1]]</f>
        <v>0</v>
      </c>
      <c r="B2408">
        <f>Table4[[#This Row],[Column2]]</f>
        <v>0</v>
      </c>
    </row>
    <row r="2409" spans="1:2" ht="30.75" customHeight="1">
      <c r="A2409">
        <f>Table4[[#This Row],[Column1]]</f>
        <v>0</v>
      </c>
      <c r="B2409">
        <f>Table4[[#This Row],[Column2]]</f>
        <v>0</v>
      </c>
    </row>
    <row r="2410" spans="1:2" ht="30.75" customHeight="1">
      <c r="A2410">
        <f>Table4[[#This Row],[Column1]]</f>
        <v>0</v>
      </c>
      <c r="B2410">
        <f>Table4[[#This Row],[Column2]]</f>
        <v>0</v>
      </c>
    </row>
    <row r="2411" spans="1:2" ht="30.75" customHeight="1">
      <c r="A2411">
        <f>Table4[[#This Row],[Column1]]</f>
        <v>0</v>
      </c>
      <c r="B2411">
        <f>Table4[[#This Row],[Column2]]</f>
        <v>0</v>
      </c>
    </row>
    <row r="2412" spans="1:2" ht="30.75" customHeight="1">
      <c r="A2412">
        <f>Table4[[#This Row],[Column1]]</f>
        <v>0</v>
      </c>
      <c r="B2412">
        <f>Table4[[#This Row],[Column2]]</f>
        <v>0</v>
      </c>
    </row>
    <row r="2413" spans="1:2" ht="30.75" customHeight="1">
      <c r="A2413">
        <f>Table4[[#This Row],[Column1]]</f>
        <v>0</v>
      </c>
      <c r="B2413">
        <f>Table4[[#This Row],[Column2]]</f>
        <v>0</v>
      </c>
    </row>
    <row r="2414" spans="1:2" ht="30.75" customHeight="1">
      <c r="A2414">
        <f>Table4[[#This Row],[Column1]]</f>
        <v>0</v>
      </c>
      <c r="B2414">
        <f>Table4[[#This Row],[Column2]]</f>
        <v>0</v>
      </c>
    </row>
    <row r="2415" spans="1:2" ht="30.75" customHeight="1">
      <c r="A2415">
        <f>Table4[[#This Row],[Column1]]</f>
        <v>0</v>
      </c>
      <c r="B2415">
        <f>Table4[[#This Row],[Column2]]</f>
        <v>0</v>
      </c>
    </row>
    <row r="2416" spans="1:2" ht="30.75" customHeight="1">
      <c r="A2416">
        <f>Table4[[#This Row],[Column1]]</f>
        <v>0</v>
      </c>
      <c r="B2416">
        <f>Table4[[#This Row],[Column2]]</f>
        <v>0</v>
      </c>
    </row>
    <row r="2417" spans="1:2" ht="30.75" customHeight="1">
      <c r="A2417">
        <f>Table4[[#This Row],[Column1]]</f>
        <v>0</v>
      </c>
      <c r="B2417">
        <f>Table4[[#This Row],[Column2]]</f>
        <v>0</v>
      </c>
    </row>
    <row r="2418" spans="1:2" ht="30.75" customHeight="1">
      <c r="A2418">
        <f>Table4[[#This Row],[Column1]]</f>
        <v>0</v>
      </c>
      <c r="B2418">
        <f>Table4[[#This Row],[Column2]]</f>
        <v>0</v>
      </c>
    </row>
    <row r="2419" spans="1:2" ht="30.75" customHeight="1">
      <c r="A2419">
        <f>Table4[[#This Row],[Column1]]</f>
        <v>0</v>
      </c>
      <c r="B2419">
        <f>Table4[[#This Row],[Column2]]</f>
        <v>0</v>
      </c>
    </row>
    <row r="2420" spans="1:2" ht="30.75" customHeight="1">
      <c r="A2420">
        <f>Table4[[#This Row],[Column1]]</f>
        <v>0</v>
      </c>
      <c r="B2420">
        <f>Table4[[#This Row],[Column2]]</f>
        <v>0</v>
      </c>
    </row>
    <row r="2421" spans="1:2" ht="30.75" customHeight="1">
      <c r="A2421">
        <f>Table4[[#This Row],[Column1]]</f>
        <v>0</v>
      </c>
      <c r="B2421">
        <f>Table4[[#This Row],[Column2]]</f>
        <v>0</v>
      </c>
    </row>
    <row r="2422" spans="1:2" ht="30.75" customHeight="1">
      <c r="A2422">
        <f>Table4[[#This Row],[Column1]]</f>
        <v>0</v>
      </c>
      <c r="B2422">
        <f>Table4[[#This Row],[Column2]]</f>
        <v>0</v>
      </c>
    </row>
    <row r="2423" spans="1:2" ht="30.75" customHeight="1">
      <c r="A2423">
        <f>Table4[[#This Row],[Column1]]</f>
        <v>0</v>
      </c>
      <c r="B2423">
        <f>Table4[[#This Row],[Column2]]</f>
        <v>0</v>
      </c>
    </row>
    <row r="2424" spans="1:2" ht="30.75" customHeight="1">
      <c r="A2424">
        <f>Table4[[#This Row],[Column1]]</f>
        <v>0</v>
      </c>
      <c r="B2424">
        <f>Table4[[#This Row],[Column2]]</f>
        <v>0</v>
      </c>
    </row>
    <row r="2425" spans="1:2" ht="30.75" customHeight="1">
      <c r="A2425">
        <f>Table4[[#This Row],[Column1]]</f>
        <v>0</v>
      </c>
      <c r="B2425">
        <f>Table4[[#This Row],[Column2]]</f>
        <v>0</v>
      </c>
    </row>
    <row r="2426" spans="1:2" ht="30.75" customHeight="1">
      <c r="A2426">
        <f>Table4[[#This Row],[Column1]]</f>
        <v>0</v>
      </c>
      <c r="B2426">
        <f>Table4[[#This Row],[Column2]]</f>
        <v>0</v>
      </c>
    </row>
    <row r="2427" spans="1:2" ht="30.75" customHeight="1">
      <c r="A2427">
        <f>Table4[[#This Row],[Column1]]</f>
        <v>0</v>
      </c>
      <c r="B2427">
        <f>Table4[[#This Row],[Column2]]</f>
        <v>0</v>
      </c>
    </row>
    <row r="2428" spans="1:2" ht="30.75" customHeight="1">
      <c r="A2428">
        <f>Table4[[#This Row],[Column1]]</f>
        <v>0</v>
      </c>
      <c r="B2428">
        <f>Table4[[#This Row],[Column2]]</f>
        <v>0</v>
      </c>
    </row>
    <row r="2429" spans="1:2" ht="30.75" customHeight="1">
      <c r="A2429">
        <f>Table4[[#This Row],[Column1]]</f>
        <v>0</v>
      </c>
      <c r="B2429">
        <f>Table4[[#This Row],[Column2]]</f>
        <v>0</v>
      </c>
    </row>
    <row r="2430" spans="1:2" ht="30.75" customHeight="1">
      <c r="A2430">
        <f>Table4[[#This Row],[Column1]]</f>
        <v>0</v>
      </c>
      <c r="B2430">
        <f>Table4[[#This Row],[Column2]]</f>
        <v>0</v>
      </c>
    </row>
    <row r="2431" spans="1:2" ht="30.75" customHeight="1">
      <c r="A2431">
        <f>Table4[[#This Row],[Column1]]</f>
        <v>0</v>
      </c>
      <c r="B2431">
        <f>Table4[[#This Row],[Column2]]</f>
        <v>0</v>
      </c>
    </row>
    <row r="2432" spans="1:2" ht="30.75" customHeight="1">
      <c r="A2432">
        <f>Table4[[#This Row],[Column1]]</f>
        <v>0</v>
      </c>
      <c r="B2432">
        <f>Table4[[#This Row],[Column2]]</f>
        <v>0</v>
      </c>
    </row>
    <row r="2433" spans="1:2" ht="30.75" customHeight="1">
      <c r="A2433">
        <f>Table4[[#This Row],[Column1]]</f>
        <v>0</v>
      </c>
      <c r="B2433">
        <f>Table4[[#This Row],[Column2]]</f>
        <v>0</v>
      </c>
    </row>
    <row r="2434" spans="1:2" ht="30.75" customHeight="1">
      <c r="A2434">
        <f>Table4[[#This Row],[Column1]]</f>
        <v>0</v>
      </c>
      <c r="B2434">
        <f>Table4[[#This Row],[Column2]]</f>
        <v>0</v>
      </c>
    </row>
    <row r="2435" spans="1:2" ht="30.75" customHeight="1">
      <c r="A2435">
        <f>Table4[[#This Row],[Column1]]</f>
        <v>0</v>
      </c>
      <c r="B2435">
        <f>Table4[[#This Row],[Column2]]</f>
        <v>0</v>
      </c>
    </row>
    <row r="2436" spans="1:2" ht="30.75" customHeight="1">
      <c r="A2436">
        <f>Table4[[#This Row],[Column1]]</f>
        <v>0</v>
      </c>
      <c r="B2436">
        <f>Table4[[#This Row],[Column2]]</f>
        <v>0</v>
      </c>
    </row>
    <row r="2437" spans="1:2" ht="30.75" customHeight="1">
      <c r="A2437">
        <f>Table4[[#This Row],[Column1]]</f>
        <v>0</v>
      </c>
      <c r="B2437">
        <f>Table4[[#This Row],[Column2]]</f>
        <v>0</v>
      </c>
    </row>
    <row r="2438" spans="1:2" ht="30.75" customHeight="1">
      <c r="A2438">
        <f>Table4[[#This Row],[Column1]]</f>
        <v>0</v>
      </c>
      <c r="B2438">
        <f>Table4[[#This Row],[Column2]]</f>
        <v>0</v>
      </c>
    </row>
    <row r="2439" spans="1:2" ht="30.75" customHeight="1">
      <c r="A2439">
        <f>Table4[[#This Row],[Column1]]</f>
        <v>0</v>
      </c>
      <c r="B2439">
        <f>Table4[[#This Row],[Column2]]</f>
        <v>0</v>
      </c>
    </row>
    <row r="2440" spans="1:2" ht="30.75" customHeight="1">
      <c r="A2440">
        <f>Table4[[#This Row],[Column1]]</f>
        <v>0</v>
      </c>
      <c r="B2440">
        <f>Table4[[#This Row],[Column2]]</f>
        <v>0</v>
      </c>
    </row>
    <row r="2441" spans="1:2" ht="30.75" customHeight="1">
      <c r="A2441">
        <f>Table4[[#This Row],[Column1]]</f>
        <v>0</v>
      </c>
      <c r="B2441">
        <f>Table4[[#This Row],[Column2]]</f>
        <v>0</v>
      </c>
    </row>
    <row r="2442" spans="1:2" ht="30.75" customHeight="1">
      <c r="A2442">
        <f>Table4[[#This Row],[Column1]]</f>
        <v>0</v>
      </c>
      <c r="B2442">
        <f>Table4[[#This Row],[Column2]]</f>
        <v>0</v>
      </c>
    </row>
    <row r="2443" spans="1:2" ht="30.75" customHeight="1">
      <c r="A2443">
        <f>Table4[[#This Row],[Column1]]</f>
        <v>0</v>
      </c>
      <c r="B2443">
        <f>Table4[[#This Row],[Column2]]</f>
        <v>0</v>
      </c>
    </row>
    <row r="2444" spans="1:2" ht="30.75" customHeight="1">
      <c r="A2444">
        <f>Table4[[#This Row],[Column1]]</f>
        <v>0</v>
      </c>
      <c r="B2444">
        <f>Table4[[#This Row],[Column2]]</f>
        <v>0</v>
      </c>
    </row>
    <row r="2445" spans="1:2" ht="30.75" customHeight="1">
      <c r="A2445">
        <f>Table4[[#This Row],[Column1]]</f>
        <v>0</v>
      </c>
      <c r="B2445">
        <f>Table4[[#This Row],[Column2]]</f>
        <v>0</v>
      </c>
    </row>
    <row r="2446" spans="1:2" ht="30.75" customHeight="1">
      <c r="A2446">
        <f>Table4[[#This Row],[Column1]]</f>
        <v>0</v>
      </c>
      <c r="B2446">
        <f>Table4[[#This Row],[Column2]]</f>
        <v>0</v>
      </c>
    </row>
    <row r="2447" spans="1:2" ht="30.75" customHeight="1">
      <c r="A2447">
        <f>Table4[[#This Row],[Column1]]</f>
        <v>0</v>
      </c>
      <c r="B2447">
        <f>Table4[[#This Row],[Column2]]</f>
        <v>0</v>
      </c>
    </row>
    <row r="2448" spans="1:2" ht="30.75" customHeight="1">
      <c r="A2448">
        <f>Table4[[#This Row],[Column1]]</f>
        <v>0</v>
      </c>
      <c r="B2448">
        <f>Table4[[#This Row],[Column2]]</f>
        <v>0</v>
      </c>
    </row>
    <row r="2449" spans="1:2" ht="30.75" customHeight="1">
      <c r="A2449">
        <f>Table4[[#This Row],[Column1]]</f>
        <v>0</v>
      </c>
      <c r="B2449">
        <f>Table4[[#This Row],[Column2]]</f>
        <v>0</v>
      </c>
    </row>
    <row r="2450" spans="1:2" ht="30.75" customHeight="1">
      <c r="A2450">
        <f>Table4[[#This Row],[Column1]]</f>
        <v>0</v>
      </c>
      <c r="B2450">
        <f>Table4[[#This Row],[Column2]]</f>
        <v>0</v>
      </c>
    </row>
    <row r="2451" spans="1:2" ht="30.75" customHeight="1">
      <c r="A2451">
        <f>Table4[[#This Row],[Column1]]</f>
        <v>0</v>
      </c>
      <c r="B2451">
        <f>Table4[[#This Row],[Column2]]</f>
        <v>0</v>
      </c>
    </row>
    <row r="2452" spans="1:2" ht="30.75" customHeight="1">
      <c r="A2452">
        <f>Table4[[#This Row],[Column1]]</f>
        <v>0</v>
      </c>
      <c r="B2452">
        <f>Table4[[#This Row],[Column2]]</f>
        <v>0</v>
      </c>
    </row>
    <row r="2453" spans="1:2" ht="30.75" customHeight="1">
      <c r="A2453">
        <f>Table4[[#This Row],[Column1]]</f>
        <v>0</v>
      </c>
      <c r="B2453">
        <f>Table4[[#This Row],[Column2]]</f>
        <v>0</v>
      </c>
    </row>
    <row r="2454" spans="1:2" ht="30.75" customHeight="1">
      <c r="A2454">
        <f>Table4[[#This Row],[Column1]]</f>
        <v>0</v>
      </c>
      <c r="B2454">
        <f>Table4[[#This Row],[Column2]]</f>
        <v>0</v>
      </c>
    </row>
    <row r="2455" spans="1:2" ht="30.75" customHeight="1">
      <c r="A2455">
        <f>Table4[[#This Row],[Column1]]</f>
        <v>0</v>
      </c>
      <c r="B2455">
        <f>Table4[[#This Row],[Column2]]</f>
        <v>0</v>
      </c>
    </row>
    <row r="2456" spans="1:2" ht="30.75" customHeight="1">
      <c r="A2456">
        <f>Table4[[#This Row],[Column1]]</f>
        <v>0</v>
      </c>
      <c r="B2456">
        <f>Table4[[#This Row],[Column2]]</f>
        <v>0</v>
      </c>
    </row>
    <row r="2457" spans="1:2" ht="30.75" customHeight="1">
      <c r="A2457">
        <f>Table4[[#This Row],[Column1]]</f>
        <v>0</v>
      </c>
      <c r="B2457">
        <f>Table4[[#This Row],[Column2]]</f>
        <v>0</v>
      </c>
    </row>
    <row r="2458" spans="1:2" ht="30.75" customHeight="1">
      <c r="A2458">
        <f>Table4[[#This Row],[Column1]]</f>
        <v>0</v>
      </c>
      <c r="B2458">
        <f>Table4[[#This Row],[Column2]]</f>
        <v>0</v>
      </c>
    </row>
    <row r="2459" spans="1:2" ht="30.75" customHeight="1">
      <c r="A2459">
        <f>Table4[[#This Row],[Column1]]</f>
        <v>0</v>
      </c>
      <c r="B2459">
        <f>Table4[[#This Row],[Column2]]</f>
        <v>0</v>
      </c>
    </row>
    <row r="2460" spans="1:2" ht="30.75" customHeight="1">
      <c r="A2460">
        <f>Table4[[#This Row],[Column1]]</f>
        <v>0</v>
      </c>
      <c r="B2460">
        <f>Table4[[#This Row],[Column2]]</f>
        <v>0</v>
      </c>
    </row>
    <row r="2461" spans="1:2" ht="30.75" customHeight="1">
      <c r="A2461">
        <f>Table4[[#This Row],[Column1]]</f>
        <v>0</v>
      </c>
      <c r="B2461">
        <f>Table4[[#This Row],[Column2]]</f>
        <v>0</v>
      </c>
    </row>
    <row r="2462" spans="1:2" ht="30.75" customHeight="1">
      <c r="A2462">
        <f>Table4[[#This Row],[Column1]]</f>
        <v>0</v>
      </c>
      <c r="B2462">
        <f>Table4[[#This Row],[Column2]]</f>
        <v>0</v>
      </c>
    </row>
    <row r="2463" spans="1:2" ht="30.75" customHeight="1">
      <c r="A2463">
        <f>Table4[[#This Row],[Column1]]</f>
        <v>0</v>
      </c>
      <c r="B2463">
        <f>Table4[[#This Row],[Column2]]</f>
        <v>0</v>
      </c>
    </row>
    <row r="2464" spans="1:2" ht="30.75" customHeight="1">
      <c r="A2464">
        <f>Table4[[#This Row],[Column1]]</f>
        <v>0</v>
      </c>
      <c r="B2464">
        <f>Table4[[#This Row],[Column2]]</f>
        <v>0</v>
      </c>
    </row>
    <row r="2465" spans="1:2" ht="30.75" customHeight="1">
      <c r="A2465">
        <f>Table4[[#This Row],[Column1]]</f>
        <v>0</v>
      </c>
      <c r="B2465">
        <f>Table4[[#This Row],[Column2]]</f>
        <v>0</v>
      </c>
    </row>
    <row r="2466" spans="1:2" ht="30.75" customHeight="1">
      <c r="A2466">
        <f>Table4[[#This Row],[Column1]]</f>
        <v>0</v>
      </c>
      <c r="B2466">
        <f>Table4[[#This Row],[Column2]]</f>
        <v>0</v>
      </c>
    </row>
    <row r="2467" spans="1:2" ht="30.75" customHeight="1">
      <c r="A2467">
        <f>Table4[[#This Row],[Column1]]</f>
        <v>0</v>
      </c>
      <c r="B2467">
        <f>Table4[[#This Row],[Column2]]</f>
        <v>0</v>
      </c>
    </row>
    <row r="2468" spans="1:2" ht="30.75" customHeight="1">
      <c r="A2468">
        <f>Table4[[#This Row],[Column1]]</f>
        <v>0</v>
      </c>
      <c r="B2468">
        <f>Table4[[#This Row],[Column2]]</f>
        <v>0</v>
      </c>
    </row>
    <row r="2469" spans="1:2" ht="30.75" customHeight="1">
      <c r="A2469">
        <f>Table4[[#This Row],[Column1]]</f>
        <v>0</v>
      </c>
      <c r="B2469">
        <f>Table4[[#This Row],[Column2]]</f>
        <v>0</v>
      </c>
    </row>
    <row r="2470" spans="1:2" ht="30.75" customHeight="1">
      <c r="A2470">
        <f>Table4[[#This Row],[Column1]]</f>
        <v>0</v>
      </c>
      <c r="B2470">
        <f>Table4[[#This Row],[Column2]]</f>
        <v>0</v>
      </c>
    </row>
    <row r="2471" spans="1:2" ht="30.75" customHeight="1">
      <c r="A2471">
        <f>Table4[[#This Row],[Column1]]</f>
        <v>0</v>
      </c>
      <c r="B2471">
        <f>Table4[[#This Row],[Column2]]</f>
        <v>0</v>
      </c>
    </row>
    <row r="2472" spans="1:2" ht="30.75" customHeight="1">
      <c r="A2472">
        <f>Table4[[#This Row],[Column1]]</f>
        <v>0</v>
      </c>
      <c r="B2472">
        <f>Table4[[#This Row],[Column2]]</f>
        <v>0</v>
      </c>
    </row>
    <row r="2473" spans="1:2" ht="30.75" customHeight="1">
      <c r="A2473">
        <f>Table4[[#This Row],[Column1]]</f>
        <v>0</v>
      </c>
      <c r="B2473">
        <f>Table4[[#This Row],[Column2]]</f>
        <v>0</v>
      </c>
    </row>
    <row r="2474" spans="1:2" ht="30.75" customHeight="1">
      <c r="A2474">
        <f>Table4[[#This Row],[Column1]]</f>
        <v>0</v>
      </c>
      <c r="B2474">
        <f>Table4[[#This Row],[Column2]]</f>
        <v>0</v>
      </c>
    </row>
    <row r="2475" spans="1:2" ht="30.75" customHeight="1">
      <c r="A2475">
        <f>Table4[[#This Row],[Column1]]</f>
        <v>0</v>
      </c>
      <c r="B2475">
        <f>Table4[[#This Row],[Column2]]</f>
        <v>0</v>
      </c>
    </row>
    <row r="2476" spans="1:2" ht="30.75" customHeight="1">
      <c r="A2476">
        <f>Table4[[#This Row],[Column1]]</f>
        <v>0</v>
      </c>
      <c r="B2476">
        <f>Table4[[#This Row],[Column2]]</f>
        <v>0</v>
      </c>
    </row>
    <row r="2477" spans="1:2" ht="30.75" customHeight="1">
      <c r="A2477">
        <f>Table4[[#This Row],[Column1]]</f>
        <v>0</v>
      </c>
      <c r="B2477">
        <f>Table4[[#This Row],[Column2]]</f>
        <v>0</v>
      </c>
    </row>
    <row r="2478" spans="1:2" ht="30.75" customHeight="1">
      <c r="A2478">
        <f>Table4[[#This Row],[Column1]]</f>
        <v>0</v>
      </c>
      <c r="B2478">
        <f>Table4[[#This Row],[Column2]]</f>
        <v>0</v>
      </c>
    </row>
    <row r="2479" spans="1:2" ht="30.75" customHeight="1">
      <c r="A2479">
        <f>Table4[[#This Row],[Column1]]</f>
        <v>0</v>
      </c>
      <c r="B2479">
        <f>Table4[[#This Row],[Column2]]</f>
        <v>0</v>
      </c>
    </row>
    <row r="2480" spans="1:2" ht="30.75" customHeight="1">
      <c r="A2480">
        <f>Table4[[#This Row],[Column1]]</f>
        <v>0</v>
      </c>
      <c r="B2480">
        <f>Table4[[#This Row],[Column2]]</f>
        <v>0</v>
      </c>
    </row>
    <row r="2481" spans="1:2" ht="30.75" customHeight="1">
      <c r="A2481">
        <f>Table4[[#This Row],[Column1]]</f>
        <v>0</v>
      </c>
      <c r="B2481">
        <f>Table4[[#This Row],[Column2]]</f>
        <v>0</v>
      </c>
    </row>
    <row r="2482" spans="1:2" ht="30.75" customHeight="1">
      <c r="A2482">
        <f>Table4[[#This Row],[Column1]]</f>
        <v>0</v>
      </c>
      <c r="B2482">
        <f>Table4[[#This Row],[Column2]]</f>
        <v>0</v>
      </c>
    </row>
    <row r="2483" spans="1:2" ht="30.75" customHeight="1">
      <c r="A2483">
        <f>Table4[[#This Row],[Column1]]</f>
        <v>0</v>
      </c>
      <c r="B2483">
        <f>Table4[[#This Row],[Column2]]</f>
        <v>0</v>
      </c>
    </row>
    <row r="2484" spans="1:2" ht="30.75" customHeight="1">
      <c r="A2484">
        <f>Table4[[#This Row],[Column1]]</f>
        <v>0</v>
      </c>
      <c r="B2484">
        <f>Table4[[#This Row],[Column2]]</f>
        <v>0</v>
      </c>
    </row>
    <row r="2485" spans="1:2" ht="30.75" customHeight="1">
      <c r="A2485">
        <f>Table4[[#This Row],[Column1]]</f>
        <v>0</v>
      </c>
      <c r="B2485">
        <f>Table4[[#This Row],[Column2]]</f>
        <v>0</v>
      </c>
    </row>
    <row r="2486" spans="1:2" ht="30.75" customHeight="1">
      <c r="A2486">
        <f>Table4[[#This Row],[Column1]]</f>
        <v>0</v>
      </c>
      <c r="B2486">
        <f>Table4[[#This Row],[Column2]]</f>
        <v>0</v>
      </c>
    </row>
    <row r="2487" spans="1:2" ht="30.75" customHeight="1">
      <c r="A2487">
        <f>Table4[[#This Row],[Column1]]</f>
        <v>0</v>
      </c>
      <c r="B2487">
        <f>Table4[[#This Row],[Column2]]</f>
        <v>0</v>
      </c>
    </row>
    <row r="2488" spans="1:2" ht="30.75" customHeight="1">
      <c r="A2488">
        <f>Table4[[#This Row],[Column1]]</f>
        <v>0</v>
      </c>
      <c r="B2488">
        <f>Table4[[#This Row],[Column2]]</f>
        <v>0</v>
      </c>
    </row>
    <row r="2489" spans="1:2" ht="30.75" customHeight="1">
      <c r="A2489">
        <f>Table4[[#This Row],[Column1]]</f>
        <v>0</v>
      </c>
      <c r="B2489">
        <f>Table4[[#This Row],[Column2]]</f>
        <v>0</v>
      </c>
    </row>
    <row r="2490" spans="1:2" ht="30.75" customHeight="1">
      <c r="A2490">
        <f>Table4[[#This Row],[Column1]]</f>
        <v>0</v>
      </c>
      <c r="B2490">
        <f>Table4[[#This Row],[Column2]]</f>
        <v>0</v>
      </c>
    </row>
    <row r="2491" spans="1:2" ht="30.75" customHeight="1">
      <c r="A2491">
        <f>Table4[[#This Row],[Column1]]</f>
        <v>0</v>
      </c>
      <c r="B2491">
        <f>Table4[[#This Row],[Column2]]</f>
        <v>0</v>
      </c>
    </row>
    <row r="2492" spans="1:2" ht="30.75" customHeight="1">
      <c r="A2492">
        <f>Table4[[#This Row],[Column1]]</f>
        <v>0</v>
      </c>
      <c r="B2492">
        <f>Table4[[#This Row],[Column2]]</f>
        <v>0</v>
      </c>
    </row>
    <row r="2493" spans="1:2" ht="30.75" customHeight="1">
      <c r="A2493">
        <f>Table4[[#This Row],[Column1]]</f>
        <v>0</v>
      </c>
      <c r="B2493">
        <f>Table4[[#This Row],[Column2]]</f>
        <v>0</v>
      </c>
    </row>
    <row r="2494" spans="1:2" ht="30.75" customHeight="1">
      <c r="A2494">
        <f>Table4[[#This Row],[Column1]]</f>
        <v>0</v>
      </c>
      <c r="B2494">
        <f>Table4[[#This Row],[Column2]]</f>
        <v>0</v>
      </c>
    </row>
    <row r="2495" spans="1:2" ht="30.75" customHeight="1">
      <c r="A2495">
        <f>Table4[[#This Row],[Column1]]</f>
        <v>0</v>
      </c>
      <c r="B2495">
        <f>Table4[[#This Row],[Column2]]</f>
        <v>0</v>
      </c>
    </row>
    <row r="2496" spans="1:2" ht="30.75" customHeight="1">
      <c r="A2496">
        <f>Table4[[#This Row],[Column1]]</f>
        <v>0</v>
      </c>
      <c r="B2496">
        <f>Table4[[#This Row],[Column2]]</f>
        <v>0</v>
      </c>
    </row>
    <row r="2497" spans="1:2" ht="30.75" customHeight="1">
      <c r="A2497">
        <f>Table4[[#This Row],[Column1]]</f>
        <v>0</v>
      </c>
      <c r="B2497">
        <f>Table4[[#This Row],[Column2]]</f>
        <v>0</v>
      </c>
    </row>
    <row r="2498" spans="1:2" ht="30.75" customHeight="1">
      <c r="A2498">
        <f>Table4[[#This Row],[Column1]]</f>
        <v>0</v>
      </c>
      <c r="B2498">
        <f>Table4[[#This Row],[Column2]]</f>
        <v>0</v>
      </c>
    </row>
    <row r="2499" spans="1:2" ht="30.75" customHeight="1">
      <c r="A2499">
        <f>Table4[[#This Row],[Column1]]</f>
        <v>0</v>
      </c>
      <c r="B2499">
        <f>Table4[[#This Row],[Column2]]</f>
        <v>0</v>
      </c>
    </row>
    <row r="2500" spans="1:2" ht="30.75" customHeight="1">
      <c r="A2500">
        <f>Table4[[#This Row],[Column1]]</f>
        <v>0</v>
      </c>
      <c r="B2500">
        <f>Table4[[#This Row],[Column2]]</f>
        <v>0</v>
      </c>
    </row>
    <row r="2501" spans="1:2" ht="30.75" customHeight="1">
      <c r="A2501">
        <f>Table4[[#This Row],[Column1]]</f>
        <v>0</v>
      </c>
      <c r="B2501">
        <f>Table4[[#This Row],[Column2]]</f>
        <v>0</v>
      </c>
    </row>
    <row r="2502" spans="1:2" ht="30.75" customHeight="1">
      <c r="A2502">
        <f>Table4[[#This Row],[Column1]]</f>
        <v>0</v>
      </c>
      <c r="B2502">
        <f>Table4[[#This Row],[Column2]]</f>
        <v>0</v>
      </c>
    </row>
    <row r="2503" spans="1:2" ht="30.75" customHeight="1">
      <c r="A2503">
        <f>Table4[[#This Row],[Column1]]</f>
        <v>0</v>
      </c>
      <c r="B2503">
        <f>Table4[[#This Row],[Column2]]</f>
        <v>0</v>
      </c>
    </row>
    <row r="2504" spans="1:2" ht="30.75" customHeight="1">
      <c r="A2504">
        <f>Table4[[#This Row],[Column1]]</f>
        <v>0</v>
      </c>
      <c r="B2504">
        <f>Table4[[#This Row],[Column2]]</f>
        <v>0</v>
      </c>
    </row>
    <row r="2505" spans="1:2" ht="30.75" customHeight="1">
      <c r="A2505">
        <f>Table4[[#This Row],[Column1]]</f>
        <v>0</v>
      </c>
      <c r="B2505">
        <f>Table4[[#This Row],[Column2]]</f>
        <v>0</v>
      </c>
    </row>
    <row r="2506" spans="1:2" ht="30.75" customHeight="1">
      <c r="A2506">
        <f>Table4[[#This Row],[Column1]]</f>
        <v>0</v>
      </c>
      <c r="B2506">
        <f>Table4[[#This Row],[Column2]]</f>
        <v>0</v>
      </c>
    </row>
    <row r="2507" spans="1:2" ht="30.75" customHeight="1">
      <c r="A2507">
        <f>Table4[[#This Row],[Column1]]</f>
        <v>0</v>
      </c>
      <c r="B2507">
        <f>Table4[[#This Row],[Column2]]</f>
        <v>0</v>
      </c>
    </row>
    <row r="2508" spans="1:2" ht="30.75" customHeight="1">
      <c r="A2508">
        <f>Table4[[#This Row],[Column1]]</f>
        <v>0</v>
      </c>
      <c r="B2508">
        <f>Table4[[#This Row],[Column2]]</f>
        <v>0</v>
      </c>
    </row>
    <row r="2509" spans="1:2" ht="30.75" customHeight="1">
      <c r="A2509">
        <f>Table4[[#This Row],[Column1]]</f>
        <v>0</v>
      </c>
      <c r="B2509">
        <f>Table4[[#This Row],[Column2]]</f>
        <v>0</v>
      </c>
    </row>
    <row r="2510" spans="1:2" ht="30.75" customHeight="1">
      <c r="A2510">
        <f>Table4[[#This Row],[Column1]]</f>
        <v>0</v>
      </c>
      <c r="B2510">
        <f>Table4[[#This Row],[Column2]]</f>
        <v>0</v>
      </c>
    </row>
    <row r="2511" spans="1:2" ht="30.75" customHeight="1">
      <c r="A2511">
        <f>Table4[[#This Row],[Column1]]</f>
        <v>0</v>
      </c>
      <c r="B2511">
        <f>Table4[[#This Row],[Column2]]</f>
        <v>0</v>
      </c>
    </row>
    <row r="2512" spans="1:2" ht="30.75" customHeight="1">
      <c r="A2512">
        <f>Table4[[#This Row],[Column1]]</f>
        <v>0</v>
      </c>
      <c r="B2512">
        <f>Table4[[#This Row],[Column2]]</f>
        <v>0</v>
      </c>
    </row>
    <row r="2513" spans="1:2" ht="30.75" customHeight="1">
      <c r="A2513">
        <f>Table4[[#This Row],[Column1]]</f>
        <v>0</v>
      </c>
      <c r="B2513">
        <f>Table4[[#This Row],[Column2]]</f>
        <v>0</v>
      </c>
    </row>
    <row r="2514" spans="1:2" ht="30.75" customHeight="1">
      <c r="A2514">
        <f>Table4[[#This Row],[Column1]]</f>
        <v>0</v>
      </c>
      <c r="B2514">
        <f>Table4[[#This Row],[Column2]]</f>
        <v>0</v>
      </c>
    </row>
    <row r="2515" spans="1:2" ht="30.75" customHeight="1">
      <c r="A2515">
        <f>Table4[[#This Row],[Column1]]</f>
        <v>0</v>
      </c>
      <c r="B2515">
        <f>Table4[[#This Row],[Column2]]</f>
        <v>0</v>
      </c>
    </row>
    <row r="2516" spans="1:2" ht="30.75" customHeight="1">
      <c r="A2516">
        <f>Table4[[#This Row],[Column1]]</f>
        <v>0</v>
      </c>
      <c r="B2516">
        <f>Table4[[#This Row],[Column2]]</f>
        <v>0</v>
      </c>
    </row>
    <row r="2517" spans="1:2" ht="30.75" customHeight="1">
      <c r="A2517">
        <f>Table4[[#This Row],[Column1]]</f>
        <v>0</v>
      </c>
      <c r="B2517">
        <f>Table4[[#This Row],[Column2]]</f>
        <v>0</v>
      </c>
    </row>
    <row r="2518" spans="1:2" ht="30.75" customHeight="1">
      <c r="A2518">
        <f>Table4[[#This Row],[Column1]]</f>
        <v>0</v>
      </c>
      <c r="B2518">
        <f>Table4[[#This Row],[Column2]]</f>
        <v>0</v>
      </c>
    </row>
    <row r="2519" spans="1:2" ht="30.75" customHeight="1">
      <c r="A2519">
        <f>Table4[[#This Row],[Column1]]</f>
        <v>0</v>
      </c>
      <c r="B2519">
        <f>Table4[[#This Row],[Column2]]</f>
        <v>0</v>
      </c>
    </row>
    <row r="2520" spans="1:2" ht="30.75" customHeight="1">
      <c r="A2520">
        <f>Table4[[#This Row],[Column1]]</f>
        <v>0</v>
      </c>
      <c r="B2520">
        <f>Table4[[#This Row],[Column2]]</f>
        <v>0</v>
      </c>
    </row>
    <row r="2521" spans="1:2" ht="30.75" customHeight="1">
      <c r="A2521">
        <f>Table4[[#This Row],[Column1]]</f>
        <v>0</v>
      </c>
      <c r="B2521">
        <f>Table4[[#This Row],[Column2]]</f>
        <v>0</v>
      </c>
    </row>
    <row r="2522" spans="1:2" ht="30.75" customHeight="1">
      <c r="A2522">
        <f>Table4[[#This Row],[Column1]]</f>
        <v>0</v>
      </c>
      <c r="B2522">
        <f>Table4[[#This Row],[Column2]]</f>
        <v>0</v>
      </c>
    </row>
    <row r="2523" spans="1:2" ht="30.75" customHeight="1">
      <c r="A2523">
        <f>Table4[[#This Row],[Column1]]</f>
        <v>0</v>
      </c>
      <c r="B2523">
        <f>Table4[[#This Row],[Column2]]</f>
        <v>0</v>
      </c>
    </row>
    <row r="2524" spans="1:2" ht="30.75" customHeight="1">
      <c r="A2524">
        <f>Table4[[#This Row],[Column1]]</f>
        <v>0</v>
      </c>
      <c r="B2524">
        <f>Table4[[#This Row],[Column2]]</f>
        <v>0</v>
      </c>
    </row>
    <row r="2525" spans="1:2" ht="30.75" customHeight="1">
      <c r="A2525">
        <f>Table4[[#This Row],[Column1]]</f>
        <v>0</v>
      </c>
      <c r="B2525">
        <f>Table4[[#This Row],[Column2]]</f>
        <v>0</v>
      </c>
    </row>
    <row r="2526" spans="1:2" ht="30.75" customHeight="1">
      <c r="A2526">
        <f>Table4[[#This Row],[Column1]]</f>
        <v>0</v>
      </c>
      <c r="B2526">
        <f>Table4[[#This Row],[Column2]]</f>
        <v>0</v>
      </c>
    </row>
    <row r="2527" spans="1:2" ht="30.75" customHeight="1">
      <c r="A2527">
        <f>Table4[[#This Row],[Column1]]</f>
        <v>0</v>
      </c>
      <c r="B2527">
        <f>Table4[[#This Row],[Column2]]</f>
        <v>0</v>
      </c>
    </row>
    <row r="2528" spans="1:2" ht="30.75" customHeight="1">
      <c r="A2528">
        <f>Table4[[#This Row],[Column1]]</f>
        <v>0</v>
      </c>
      <c r="B2528">
        <f>Table4[[#This Row],[Column2]]</f>
        <v>0</v>
      </c>
    </row>
    <row r="2529" spans="1:2" ht="30.75" customHeight="1">
      <c r="A2529">
        <f>Table4[[#This Row],[Column1]]</f>
        <v>0</v>
      </c>
      <c r="B2529">
        <f>Table4[[#This Row],[Column2]]</f>
        <v>0</v>
      </c>
    </row>
    <row r="2530" spans="1:2" ht="30.75" customHeight="1">
      <c r="A2530">
        <f>Table4[[#This Row],[Column1]]</f>
        <v>0</v>
      </c>
      <c r="B2530">
        <f>Table4[[#This Row],[Column2]]</f>
        <v>0</v>
      </c>
    </row>
    <row r="2531" spans="1:2" ht="30.75" customHeight="1">
      <c r="A2531">
        <f>Table4[[#This Row],[Column1]]</f>
        <v>0</v>
      </c>
      <c r="B2531">
        <f>Table4[[#This Row],[Column2]]</f>
        <v>0</v>
      </c>
    </row>
    <row r="2532" spans="1:2" ht="30.75" customHeight="1">
      <c r="A2532">
        <f>Table4[[#This Row],[Column1]]</f>
        <v>0</v>
      </c>
      <c r="B2532">
        <f>Table4[[#This Row],[Column2]]</f>
        <v>0</v>
      </c>
    </row>
    <row r="2533" spans="1:2" ht="30.75" customHeight="1">
      <c r="A2533">
        <f>Table4[[#This Row],[Column1]]</f>
        <v>0</v>
      </c>
      <c r="B2533">
        <f>Table4[[#This Row],[Column2]]</f>
        <v>0</v>
      </c>
    </row>
    <row r="2534" spans="1:2" ht="30.75" customHeight="1">
      <c r="A2534">
        <f>Table4[[#This Row],[Column1]]</f>
        <v>0</v>
      </c>
      <c r="B2534">
        <f>Table4[[#This Row],[Column2]]</f>
        <v>0</v>
      </c>
    </row>
    <row r="2535" spans="1:2" ht="30.75" customHeight="1">
      <c r="A2535">
        <f>Table4[[#This Row],[Column1]]</f>
        <v>0</v>
      </c>
      <c r="B2535">
        <f>Table4[[#This Row],[Column2]]</f>
        <v>0</v>
      </c>
    </row>
    <row r="2536" spans="1:2" ht="30.75" customHeight="1">
      <c r="A2536">
        <f>Table4[[#This Row],[Column1]]</f>
        <v>0</v>
      </c>
      <c r="B2536">
        <f>Table4[[#This Row],[Column2]]</f>
        <v>0</v>
      </c>
    </row>
    <row r="2537" spans="1:2" ht="30.75" customHeight="1">
      <c r="A2537">
        <f>Table4[[#This Row],[Column1]]</f>
        <v>0</v>
      </c>
      <c r="B2537">
        <f>Table4[[#This Row],[Column2]]</f>
        <v>0</v>
      </c>
    </row>
    <row r="2538" spans="1:2" ht="30.75" customHeight="1">
      <c r="A2538">
        <f>Table4[[#This Row],[Column1]]</f>
        <v>0</v>
      </c>
      <c r="B2538">
        <f>Table4[[#This Row],[Column2]]</f>
        <v>0</v>
      </c>
    </row>
    <row r="2539" spans="1:2" ht="30.75" customHeight="1">
      <c r="A2539">
        <f>Table4[[#This Row],[Column1]]</f>
        <v>0</v>
      </c>
      <c r="B2539">
        <f>Table4[[#This Row],[Column2]]</f>
        <v>0</v>
      </c>
    </row>
    <row r="2540" spans="1:2" ht="30.75" customHeight="1">
      <c r="A2540">
        <f>Table4[[#This Row],[Column1]]</f>
        <v>0</v>
      </c>
      <c r="B2540">
        <f>Table4[[#This Row],[Column2]]</f>
        <v>0</v>
      </c>
    </row>
    <row r="2541" spans="1:2" ht="30.75" customHeight="1">
      <c r="A2541">
        <f>Table4[[#This Row],[Column1]]</f>
        <v>0</v>
      </c>
      <c r="B2541">
        <f>Table4[[#This Row],[Column2]]</f>
        <v>0</v>
      </c>
    </row>
    <row r="2542" spans="1:2" ht="30.75" customHeight="1">
      <c r="A2542">
        <f>Table4[[#This Row],[Column1]]</f>
        <v>0</v>
      </c>
      <c r="B2542">
        <f>Table4[[#This Row],[Column2]]</f>
        <v>0</v>
      </c>
    </row>
    <row r="2543" spans="1:2" ht="30.75" customHeight="1">
      <c r="A2543">
        <f>Table4[[#This Row],[Column1]]</f>
        <v>0</v>
      </c>
      <c r="B2543">
        <f>Table4[[#This Row],[Column2]]</f>
        <v>0</v>
      </c>
    </row>
    <row r="2544" spans="1:2" ht="30.75" customHeight="1">
      <c r="A2544">
        <f>Table4[[#This Row],[Column1]]</f>
        <v>0</v>
      </c>
      <c r="B2544">
        <f>Table4[[#This Row],[Column2]]</f>
        <v>0</v>
      </c>
    </row>
    <row r="2545" spans="1:2" ht="30.75" customHeight="1">
      <c r="A2545">
        <f>Table4[[#This Row],[Column1]]</f>
        <v>0</v>
      </c>
      <c r="B2545">
        <f>Table4[[#This Row],[Column2]]</f>
        <v>0</v>
      </c>
    </row>
    <row r="2546" spans="1:2" ht="30.75" customHeight="1">
      <c r="A2546">
        <f>Table4[[#This Row],[Column1]]</f>
        <v>0</v>
      </c>
      <c r="B2546">
        <f>Table4[[#This Row],[Column2]]</f>
        <v>0</v>
      </c>
    </row>
    <row r="2547" spans="1:2" ht="30.75" customHeight="1">
      <c r="A2547">
        <f>Table4[[#This Row],[Column1]]</f>
        <v>0</v>
      </c>
      <c r="B2547">
        <f>Table4[[#This Row],[Column2]]</f>
        <v>0</v>
      </c>
    </row>
    <row r="2548" spans="1:2" ht="30.75" customHeight="1">
      <c r="A2548">
        <f>Table4[[#This Row],[Column1]]</f>
        <v>0</v>
      </c>
      <c r="B2548">
        <f>Table4[[#This Row],[Column2]]</f>
        <v>0</v>
      </c>
    </row>
    <row r="2549" spans="1:2" ht="30.75" customHeight="1">
      <c r="A2549">
        <f>Table4[[#This Row],[Column1]]</f>
        <v>0</v>
      </c>
      <c r="B2549">
        <f>Table4[[#This Row],[Column2]]</f>
        <v>0</v>
      </c>
    </row>
    <row r="2550" spans="1:2" ht="30.75" customHeight="1">
      <c r="A2550">
        <f>Table4[[#This Row],[Column1]]</f>
        <v>0</v>
      </c>
      <c r="B2550">
        <f>Table4[[#This Row],[Column2]]</f>
        <v>0</v>
      </c>
    </row>
    <row r="2551" spans="1:2" ht="30.75" customHeight="1">
      <c r="A2551">
        <f>Table4[[#This Row],[Column1]]</f>
        <v>0</v>
      </c>
      <c r="B2551">
        <f>Table4[[#This Row],[Column2]]</f>
        <v>0</v>
      </c>
    </row>
    <row r="2552" spans="1:2" ht="30.75" customHeight="1">
      <c r="A2552">
        <f>Table4[[#This Row],[Column1]]</f>
        <v>0</v>
      </c>
      <c r="B2552">
        <f>Table4[[#This Row],[Column2]]</f>
        <v>0</v>
      </c>
    </row>
    <row r="2553" spans="1:2" ht="30.75" customHeight="1">
      <c r="A2553">
        <f>Table4[[#This Row],[Column1]]</f>
        <v>0</v>
      </c>
      <c r="B2553">
        <f>Table4[[#This Row],[Column2]]</f>
        <v>0</v>
      </c>
    </row>
    <row r="2554" spans="1:2" ht="30.75" customHeight="1">
      <c r="A2554">
        <f>Table4[[#This Row],[Column1]]</f>
        <v>0</v>
      </c>
      <c r="B2554">
        <f>Table4[[#This Row],[Column2]]</f>
        <v>0</v>
      </c>
    </row>
    <row r="2555" spans="1:2" ht="30.75" customHeight="1">
      <c r="A2555">
        <f>Table4[[#This Row],[Column1]]</f>
        <v>0</v>
      </c>
      <c r="B2555">
        <f>Table4[[#This Row],[Column2]]</f>
        <v>0</v>
      </c>
    </row>
    <row r="2556" spans="1:2" ht="30.75" customHeight="1">
      <c r="A2556">
        <f>Table4[[#This Row],[Column1]]</f>
        <v>0</v>
      </c>
      <c r="B2556">
        <f>Table4[[#This Row],[Column2]]</f>
        <v>0</v>
      </c>
    </row>
    <row r="2557" spans="1:2" ht="30.75" customHeight="1">
      <c r="A2557">
        <f>Table4[[#This Row],[Column1]]</f>
        <v>0</v>
      </c>
      <c r="B2557">
        <f>Table4[[#This Row],[Column2]]</f>
        <v>0</v>
      </c>
    </row>
    <row r="2558" spans="1:2" ht="30.75" customHeight="1">
      <c r="A2558">
        <f>Table4[[#This Row],[Column1]]</f>
        <v>0</v>
      </c>
      <c r="B2558">
        <f>Table4[[#This Row],[Column2]]</f>
        <v>0</v>
      </c>
    </row>
    <row r="2559" spans="1:2" ht="30.75" customHeight="1">
      <c r="A2559">
        <f>Table4[[#This Row],[Column1]]</f>
        <v>0</v>
      </c>
      <c r="B2559">
        <f>Table4[[#This Row],[Column2]]</f>
        <v>0</v>
      </c>
    </row>
    <row r="2560" spans="1:2" ht="30.75" customHeight="1">
      <c r="A2560">
        <f>Table4[[#This Row],[Column1]]</f>
        <v>0</v>
      </c>
      <c r="B2560">
        <f>Table4[[#This Row],[Column2]]</f>
        <v>0</v>
      </c>
    </row>
    <row r="2561" spans="1:2" ht="30.75" customHeight="1">
      <c r="A2561">
        <f>Table4[[#This Row],[Column1]]</f>
        <v>0</v>
      </c>
      <c r="B2561">
        <f>Table4[[#This Row],[Column2]]</f>
        <v>0</v>
      </c>
    </row>
    <row r="2562" spans="1:2" ht="30.75" customHeight="1">
      <c r="A2562">
        <f>Table4[[#This Row],[Column1]]</f>
        <v>0</v>
      </c>
      <c r="B2562">
        <f>Table4[[#This Row],[Column2]]</f>
        <v>0</v>
      </c>
    </row>
    <row r="2563" spans="1:2" ht="30.75" customHeight="1">
      <c r="A2563">
        <f>Table4[[#This Row],[Column1]]</f>
        <v>0</v>
      </c>
      <c r="B2563">
        <f>Table4[[#This Row],[Column2]]</f>
        <v>0</v>
      </c>
    </row>
    <row r="2564" spans="1:2" ht="30.75" customHeight="1">
      <c r="A2564">
        <f>Table4[[#This Row],[Column1]]</f>
        <v>0</v>
      </c>
      <c r="B2564">
        <f>Table4[[#This Row],[Column2]]</f>
        <v>0</v>
      </c>
    </row>
    <row r="2565" spans="1:2" ht="30.75" customHeight="1">
      <c r="A2565">
        <f>Table4[[#This Row],[Column1]]</f>
        <v>0</v>
      </c>
      <c r="B2565">
        <f>Table4[[#This Row],[Column2]]</f>
        <v>0</v>
      </c>
    </row>
    <row r="2566" spans="1:2" ht="30.75" customHeight="1">
      <c r="A2566">
        <f>Table4[[#This Row],[Column1]]</f>
        <v>0</v>
      </c>
      <c r="B2566">
        <f>Table4[[#This Row],[Column2]]</f>
        <v>0</v>
      </c>
    </row>
    <row r="2567" spans="1:2" ht="30.75" customHeight="1">
      <c r="A2567">
        <f>Table4[[#This Row],[Column1]]</f>
        <v>0</v>
      </c>
      <c r="B2567">
        <f>Table4[[#This Row],[Column2]]</f>
        <v>0</v>
      </c>
    </row>
    <row r="2568" spans="1:2" ht="30.75" customHeight="1">
      <c r="A2568">
        <f>Table4[[#This Row],[Column1]]</f>
        <v>0</v>
      </c>
      <c r="B2568">
        <f>Table4[[#This Row],[Column2]]</f>
        <v>0</v>
      </c>
    </row>
    <row r="2569" spans="1:2" ht="30.75" customHeight="1">
      <c r="A2569">
        <f>Table4[[#This Row],[Column1]]</f>
        <v>0</v>
      </c>
      <c r="B2569">
        <f>Table4[[#This Row],[Column2]]</f>
        <v>0</v>
      </c>
    </row>
    <row r="2570" spans="1:2" ht="30.75" customHeight="1">
      <c r="A2570">
        <f>Table4[[#This Row],[Column1]]</f>
        <v>0</v>
      </c>
      <c r="B2570">
        <f>Table4[[#This Row],[Column2]]</f>
        <v>0</v>
      </c>
    </row>
    <row r="2571" spans="1:2" ht="30.75" customHeight="1">
      <c r="A2571">
        <f>Table4[[#This Row],[Column1]]</f>
        <v>0</v>
      </c>
      <c r="B2571">
        <f>Table4[[#This Row],[Column2]]</f>
        <v>0</v>
      </c>
    </row>
    <row r="2572" spans="1:2" ht="30.75" customHeight="1">
      <c r="A2572">
        <f>Table4[[#This Row],[Column1]]</f>
        <v>0</v>
      </c>
      <c r="B2572">
        <f>Table4[[#This Row],[Column2]]</f>
        <v>0</v>
      </c>
    </row>
    <row r="2573" spans="1:2" ht="30.75" customHeight="1">
      <c r="A2573">
        <f>Table4[[#This Row],[Column1]]</f>
        <v>0</v>
      </c>
      <c r="B2573">
        <f>Table4[[#This Row],[Column2]]</f>
        <v>0</v>
      </c>
    </row>
    <row r="2574" spans="1:2" ht="30.75" customHeight="1">
      <c r="A2574">
        <f>Table4[[#This Row],[Column1]]</f>
        <v>0</v>
      </c>
      <c r="B2574">
        <f>Table4[[#This Row],[Column2]]</f>
        <v>0</v>
      </c>
    </row>
    <row r="2575" spans="1:2" ht="30.75" customHeight="1">
      <c r="A2575">
        <f>Table4[[#This Row],[Column1]]</f>
        <v>0</v>
      </c>
      <c r="B2575">
        <f>Table4[[#This Row],[Column2]]</f>
        <v>0</v>
      </c>
    </row>
    <row r="2576" spans="1:2" ht="30.75" customHeight="1">
      <c r="A2576">
        <f>Table4[[#This Row],[Column1]]</f>
        <v>0</v>
      </c>
      <c r="B2576">
        <f>Table4[[#This Row],[Column2]]</f>
        <v>0</v>
      </c>
    </row>
    <row r="2577" spans="1:2" ht="30.75" customHeight="1">
      <c r="A2577">
        <f>Table4[[#This Row],[Column1]]</f>
        <v>0</v>
      </c>
      <c r="B2577">
        <f>Table4[[#This Row],[Column2]]</f>
        <v>0</v>
      </c>
    </row>
    <row r="2578" spans="1:2" ht="30.75" customHeight="1">
      <c r="A2578">
        <f>Table4[[#This Row],[Column1]]</f>
        <v>0</v>
      </c>
      <c r="B2578">
        <f>Table4[[#This Row],[Column2]]</f>
        <v>0</v>
      </c>
    </row>
    <row r="2579" spans="1:2" ht="30.75" customHeight="1">
      <c r="A2579">
        <f>Table4[[#This Row],[Column1]]</f>
        <v>0</v>
      </c>
      <c r="B2579">
        <f>Table4[[#This Row],[Column2]]</f>
        <v>0</v>
      </c>
    </row>
    <row r="2580" spans="1:2" ht="30.75" customHeight="1">
      <c r="A2580">
        <f>Table4[[#This Row],[Column1]]</f>
        <v>0</v>
      </c>
      <c r="B2580">
        <f>Table4[[#This Row],[Column2]]</f>
        <v>0</v>
      </c>
    </row>
    <row r="2581" spans="1:2" ht="30.75" customHeight="1">
      <c r="A2581">
        <f>Table4[[#This Row],[Column1]]</f>
        <v>0</v>
      </c>
      <c r="B2581">
        <f>Table4[[#This Row],[Column2]]</f>
        <v>0</v>
      </c>
    </row>
    <row r="2582" spans="1:2" ht="30.75" customHeight="1">
      <c r="A2582">
        <f>Table4[[#This Row],[Column1]]</f>
        <v>0</v>
      </c>
      <c r="B2582">
        <f>Table4[[#This Row],[Column2]]</f>
        <v>0</v>
      </c>
    </row>
    <row r="2583" spans="1:2" ht="30.75" customHeight="1">
      <c r="A2583">
        <f>Table4[[#This Row],[Column1]]</f>
        <v>0</v>
      </c>
      <c r="B2583">
        <f>Table4[[#This Row],[Column2]]</f>
        <v>0</v>
      </c>
    </row>
    <row r="2584" spans="1:2" ht="30.75" customHeight="1">
      <c r="A2584">
        <f>Table4[[#This Row],[Column1]]</f>
        <v>0</v>
      </c>
      <c r="B2584">
        <f>Table4[[#This Row],[Column2]]</f>
        <v>0</v>
      </c>
    </row>
    <row r="2585" spans="1:2" ht="30.75" customHeight="1">
      <c r="A2585">
        <f>Table4[[#This Row],[Column1]]</f>
        <v>0</v>
      </c>
      <c r="B2585">
        <f>Table4[[#This Row],[Column2]]</f>
        <v>0</v>
      </c>
    </row>
    <row r="2586" spans="1:2" ht="30.75" customHeight="1">
      <c r="A2586">
        <f>Table4[[#This Row],[Column1]]</f>
        <v>0</v>
      </c>
      <c r="B2586">
        <f>Table4[[#This Row],[Column2]]</f>
        <v>0</v>
      </c>
    </row>
    <row r="2587" spans="1:2" ht="30.75" customHeight="1">
      <c r="A2587">
        <f>Table4[[#This Row],[Column1]]</f>
        <v>0</v>
      </c>
      <c r="B2587">
        <f>Table4[[#This Row],[Column2]]</f>
        <v>0</v>
      </c>
    </row>
    <row r="2588" spans="1:2" ht="30.75" customHeight="1">
      <c r="A2588">
        <f>Table4[[#This Row],[Column1]]</f>
        <v>0</v>
      </c>
      <c r="B2588">
        <f>Table4[[#This Row],[Column2]]</f>
        <v>0</v>
      </c>
    </row>
    <row r="2589" spans="1:2" ht="30.75" customHeight="1">
      <c r="A2589">
        <f>Table4[[#This Row],[Column1]]</f>
        <v>0</v>
      </c>
      <c r="B2589">
        <f>Table4[[#This Row],[Column2]]</f>
        <v>0</v>
      </c>
    </row>
    <row r="2590" spans="1:2" ht="30.75" customHeight="1">
      <c r="A2590">
        <f>Table4[[#This Row],[Column1]]</f>
        <v>0</v>
      </c>
      <c r="B2590">
        <f>Table4[[#This Row],[Column2]]</f>
        <v>0</v>
      </c>
    </row>
    <row r="2591" spans="1:2" ht="30.75" customHeight="1">
      <c r="A2591">
        <f>Table4[[#This Row],[Column1]]</f>
        <v>0</v>
      </c>
      <c r="B2591">
        <f>Table4[[#This Row],[Column2]]</f>
        <v>0</v>
      </c>
    </row>
    <row r="2592" spans="1:2" ht="30.75" customHeight="1">
      <c r="A2592">
        <f>Table4[[#This Row],[Column1]]</f>
        <v>0</v>
      </c>
      <c r="B2592">
        <f>Table4[[#This Row],[Column2]]</f>
        <v>0</v>
      </c>
    </row>
    <row r="2593" spans="1:2" ht="30.75" customHeight="1">
      <c r="A2593">
        <f>Table4[[#This Row],[Column1]]</f>
        <v>0</v>
      </c>
      <c r="B2593">
        <f>Table4[[#This Row],[Column2]]</f>
        <v>0</v>
      </c>
    </row>
    <row r="2594" spans="1:2" ht="30.75" customHeight="1">
      <c r="A2594">
        <f>Table4[[#This Row],[Column1]]</f>
        <v>0</v>
      </c>
      <c r="B2594">
        <f>Table4[[#This Row],[Column2]]</f>
        <v>0</v>
      </c>
    </row>
    <row r="2595" spans="1:2" ht="30.75" customHeight="1">
      <c r="A2595">
        <f>Table4[[#This Row],[Column1]]</f>
        <v>0</v>
      </c>
      <c r="B2595">
        <f>Table4[[#This Row],[Column2]]</f>
        <v>0</v>
      </c>
    </row>
    <row r="2596" spans="1:2" ht="30.75" customHeight="1">
      <c r="A2596">
        <f>Table4[[#This Row],[Column1]]</f>
        <v>0</v>
      </c>
      <c r="B2596">
        <f>Table4[[#This Row],[Column2]]</f>
        <v>0</v>
      </c>
    </row>
    <row r="2597" spans="1:2" ht="30.75" customHeight="1">
      <c r="A2597">
        <f>Table4[[#This Row],[Column1]]</f>
        <v>0</v>
      </c>
      <c r="B2597">
        <f>Table4[[#This Row],[Column2]]</f>
        <v>0</v>
      </c>
    </row>
    <row r="2598" spans="1:2" ht="30.75" customHeight="1">
      <c r="A2598">
        <f>Table4[[#This Row],[Column1]]</f>
        <v>0</v>
      </c>
      <c r="B2598">
        <f>Table4[[#This Row],[Column2]]</f>
        <v>0</v>
      </c>
    </row>
    <row r="2599" spans="1:2" ht="30.75" customHeight="1">
      <c r="A2599">
        <f>Table4[[#This Row],[Column1]]</f>
        <v>0</v>
      </c>
      <c r="B2599">
        <f>Table4[[#This Row],[Column2]]</f>
        <v>0</v>
      </c>
    </row>
    <row r="2600" spans="1:2" ht="30.75" customHeight="1">
      <c r="A2600">
        <f>Table4[[#This Row],[Column1]]</f>
        <v>0</v>
      </c>
      <c r="B2600">
        <f>Table4[[#This Row],[Column2]]</f>
        <v>0</v>
      </c>
    </row>
    <row r="2601" spans="1:2" ht="30.75" customHeight="1">
      <c r="A2601">
        <f>Table4[[#This Row],[Column1]]</f>
        <v>0</v>
      </c>
      <c r="B2601">
        <f>Table4[[#This Row],[Column2]]</f>
        <v>0</v>
      </c>
    </row>
    <row r="2602" spans="1:2" ht="30.75" customHeight="1">
      <c r="A2602">
        <f>Table4[[#This Row],[Column1]]</f>
        <v>0</v>
      </c>
      <c r="B2602">
        <f>Table4[[#This Row],[Column2]]</f>
        <v>0</v>
      </c>
    </row>
    <row r="2603" spans="1:2" ht="30.75" customHeight="1">
      <c r="A2603">
        <f>Table4[[#This Row],[Column1]]</f>
        <v>0</v>
      </c>
      <c r="B2603">
        <f>Table4[[#This Row],[Column2]]</f>
        <v>0</v>
      </c>
    </row>
    <row r="2604" spans="1:2" ht="30.75" customHeight="1">
      <c r="A2604">
        <f>Table4[[#This Row],[Column1]]</f>
        <v>0</v>
      </c>
      <c r="B2604">
        <f>Table4[[#This Row],[Column2]]</f>
        <v>0</v>
      </c>
    </row>
    <row r="2605" spans="1:2" ht="30.75" customHeight="1">
      <c r="A2605">
        <f>Table4[[#This Row],[Column1]]</f>
        <v>0</v>
      </c>
      <c r="B2605">
        <f>Table4[[#This Row],[Column2]]</f>
        <v>0</v>
      </c>
    </row>
    <row r="2606" spans="1:2" ht="30.75" customHeight="1">
      <c r="A2606">
        <f>Table4[[#This Row],[Column1]]</f>
        <v>0</v>
      </c>
      <c r="B2606">
        <f>Table4[[#This Row],[Column2]]</f>
        <v>0</v>
      </c>
    </row>
    <row r="2607" spans="1:2" ht="30.75" customHeight="1">
      <c r="A2607">
        <f>Table4[[#This Row],[Column1]]</f>
        <v>0</v>
      </c>
      <c r="B2607">
        <f>Table4[[#This Row],[Column2]]</f>
        <v>0</v>
      </c>
    </row>
    <row r="2608" spans="1:2" ht="30.75" customHeight="1">
      <c r="A2608">
        <f>Table4[[#This Row],[Column1]]</f>
        <v>0</v>
      </c>
      <c r="B2608">
        <f>Table4[[#This Row],[Column2]]</f>
        <v>0</v>
      </c>
    </row>
    <row r="2609" spans="1:2" ht="30.75" customHeight="1">
      <c r="A2609">
        <f>Table4[[#This Row],[Column1]]</f>
        <v>0</v>
      </c>
      <c r="B2609">
        <f>Table4[[#This Row],[Column2]]</f>
        <v>0</v>
      </c>
    </row>
    <row r="2610" spans="1:2" ht="30.75" customHeight="1">
      <c r="A2610">
        <f>Table4[[#This Row],[Column1]]</f>
        <v>0</v>
      </c>
      <c r="B2610">
        <f>Table4[[#This Row],[Column2]]</f>
        <v>0</v>
      </c>
    </row>
    <row r="2611" spans="1:2" ht="30.75" customHeight="1">
      <c r="A2611">
        <f>Table4[[#This Row],[Column1]]</f>
        <v>0</v>
      </c>
      <c r="B2611">
        <f>Table4[[#This Row],[Column2]]</f>
        <v>0</v>
      </c>
    </row>
    <row r="2612" spans="1:2" ht="30.75" customHeight="1">
      <c r="A2612">
        <f>Table4[[#This Row],[Column1]]</f>
        <v>0</v>
      </c>
      <c r="B2612">
        <f>Table4[[#This Row],[Column2]]</f>
        <v>0</v>
      </c>
    </row>
    <row r="2613" spans="1:2" ht="30.75" customHeight="1">
      <c r="A2613">
        <f>Table4[[#This Row],[Column1]]</f>
        <v>0</v>
      </c>
      <c r="B2613">
        <f>Table4[[#This Row],[Column2]]</f>
        <v>0</v>
      </c>
    </row>
    <row r="2614" spans="1:2" ht="30.75" customHeight="1">
      <c r="A2614">
        <f>Table4[[#This Row],[Column1]]</f>
        <v>0</v>
      </c>
      <c r="B2614">
        <f>Table4[[#This Row],[Column2]]</f>
        <v>0</v>
      </c>
    </row>
    <row r="2615" spans="1:2" ht="30.75" customHeight="1">
      <c r="A2615">
        <f>Table4[[#This Row],[Column1]]</f>
        <v>0</v>
      </c>
      <c r="B2615">
        <f>Table4[[#This Row],[Column2]]</f>
        <v>0</v>
      </c>
    </row>
    <row r="2616" spans="1:2" ht="30.75" customHeight="1">
      <c r="A2616">
        <f>Table4[[#This Row],[Column1]]</f>
        <v>0</v>
      </c>
      <c r="B2616">
        <f>Table4[[#This Row],[Column2]]</f>
        <v>0</v>
      </c>
    </row>
    <row r="2617" spans="1:2" ht="30.75" customHeight="1">
      <c r="A2617">
        <f>Table4[[#This Row],[Column1]]</f>
        <v>0</v>
      </c>
      <c r="B2617">
        <f>Table4[[#This Row],[Column2]]</f>
        <v>0</v>
      </c>
    </row>
    <row r="2618" spans="1:2" ht="30.75" customHeight="1">
      <c r="A2618">
        <f>Table4[[#This Row],[Column1]]</f>
        <v>0</v>
      </c>
      <c r="B2618">
        <f>Table4[[#This Row],[Column2]]</f>
        <v>0</v>
      </c>
    </row>
    <row r="2619" spans="1:2" ht="30.75" customHeight="1">
      <c r="A2619">
        <f>Table4[[#This Row],[Column1]]</f>
        <v>0</v>
      </c>
      <c r="B2619">
        <f>Table4[[#This Row],[Column2]]</f>
        <v>0</v>
      </c>
    </row>
    <row r="2620" spans="1:2" ht="30.75" customHeight="1">
      <c r="A2620">
        <f>Table4[[#This Row],[Column1]]</f>
        <v>0</v>
      </c>
      <c r="B2620">
        <f>Table4[[#This Row],[Column2]]</f>
        <v>0</v>
      </c>
    </row>
    <row r="2621" spans="1:2" ht="30.75" customHeight="1">
      <c r="A2621">
        <f>Table4[[#This Row],[Column1]]</f>
        <v>0</v>
      </c>
      <c r="B2621">
        <f>Table4[[#This Row],[Column2]]</f>
        <v>0</v>
      </c>
    </row>
    <row r="2622" spans="1:2" ht="30.75" customHeight="1">
      <c r="A2622">
        <f>Table4[[#This Row],[Column1]]</f>
        <v>0</v>
      </c>
      <c r="B2622">
        <f>Table4[[#This Row],[Column2]]</f>
        <v>0</v>
      </c>
    </row>
    <row r="2623" spans="1:2" ht="30.75" customHeight="1">
      <c r="A2623">
        <f>Table4[[#This Row],[Column1]]</f>
        <v>0</v>
      </c>
      <c r="B2623">
        <f>Table4[[#This Row],[Column2]]</f>
        <v>0</v>
      </c>
    </row>
    <row r="2624" spans="1:2" ht="30.75" customHeight="1">
      <c r="A2624">
        <f>Table4[[#This Row],[Column1]]</f>
        <v>0</v>
      </c>
      <c r="B2624">
        <f>Table4[[#This Row],[Column2]]</f>
        <v>0</v>
      </c>
    </row>
    <row r="2625" spans="1:2" ht="30.75" customHeight="1">
      <c r="A2625">
        <f>Table4[[#This Row],[Column1]]</f>
        <v>0</v>
      </c>
      <c r="B2625">
        <f>Table4[[#This Row],[Column2]]</f>
        <v>0</v>
      </c>
    </row>
    <row r="2626" spans="1:2" ht="30.75" customHeight="1">
      <c r="A2626">
        <f>Table4[[#This Row],[Column1]]</f>
        <v>0</v>
      </c>
      <c r="B2626">
        <f>Table4[[#This Row],[Column2]]</f>
        <v>0</v>
      </c>
    </row>
    <row r="2627" spans="1:2" ht="30.75" customHeight="1">
      <c r="A2627">
        <f>Table4[[#This Row],[Column1]]</f>
        <v>0</v>
      </c>
      <c r="B2627">
        <f>Table4[[#This Row],[Column2]]</f>
        <v>0</v>
      </c>
    </row>
    <row r="2628" spans="1:2" ht="30.75" customHeight="1">
      <c r="A2628">
        <f>Table4[[#This Row],[Column1]]</f>
        <v>0</v>
      </c>
      <c r="B2628">
        <f>Table4[[#This Row],[Column2]]</f>
        <v>0</v>
      </c>
    </row>
    <row r="2629" spans="1:2" ht="30.75" customHeight="1">
      <c r="A2629">
        <f>Table4[[#This Row],[Column1]]</f>
        <v>0</v>
      </c>
      <c r="B2629">
        <f>Table4[[#This Row],[Column2]]</f>
        <v>0</v>
      </c>
    </row>
    <row r="2630" spans="1:2" ht="30.75" customHeight="1">
      <c r="A2630">
        <f>Table4[[#This Row],[Column1]]</f>
        <v>0</v>
      </c>
      <c r="B2630">
        <f>Table4[[#This Row],[Column2]]</f>
        <v>0</v>
      </c>
    </row>
    <row r="2631" spans="1:2" ht="30.75" customHeight="1">
      <c r="A2631">
        <f>Table4[[#This Row],[Column1]]</f>
        <v>0</v>
      </c>
      <c r="B2631">
        <f>Table4[[#This Row],[Column2]]</f>
        <v>0</v>
      </c>
    </row>
    <row r="2632" spans="1:2" ht="30.75" customHeight="1">
      <c r="A2632">
        <f>Table4[[#This Row],[Column1]]</f>
        <v>0</v>
      </c>
      <c r="B2632">
        <f>Table4[[#This Row],[Column2]]</f>
        <v>0</v>
      </c>
    </row>
    <row r="2633" spans="1:2" ht="30.75" customHeight="1">
      <c r="A2633">
        <f>Table4[[#This Row],[Column1]]</f>
        <v>0</v>
      </c>
      <c r="B2633">
        <f>Table4[[#This Row],[Column2]]</f>
        <v>0</v>
      </c>
    </row>
    <row r="2634" spans="1:2" ht="30.75" customHeight="1">
      <c r="A2634">
        <f>Table4[[#This Row],[Column1]]</f>
        <v>0</v>
      </c>
      <c r="B2634">
        <f>Table4[[#This Row],[Column2]]</f>
        <v>0</v>
      </c>
    </row>
    <row r="2635" spans="1:2" ht="30.75" customHeight="1">
      <c r="A2635">
        <f>Table4[[#This Row],[Column1]]</f>
        <v>0</v>
      </c>
      <c r="B2635">
        <f>Table4[[#This Row],[Column2]]</f>
        <v>0</v>
      </c>
    </row>
    <row r="2636" spans="1:2" ht="30.75" customHeight="1">
      <c r="A2636">
        <f>Table4[[#This Row],[Column1]]</f>
        <v>0</v>
      </c>
      <c r="B2636">
        <f>Table4[[#This Row],[Column2]]</f>
        <v>0</v>
      </c>
    </row>
    <row r="2637" spans="1:2" ht="30.75" customHeight="1">
      <c r="A2637">
        <f>Table4[[#This Row],[Column1]]</f>
        <v>0</v>
      </c>
      <c r="B2637">
        <f>Table4[[#This Row],[Column2]]</f>
        <v>0</v>
      </c>
    </row>
    <row r="2638" spans="1:2" ht="30.75" customHeight="1">
      <c r="A2638">
        <f>Table4[[#This Row],[Column1]]</f>
        <v>0</v>
      </c>
      <c r="B2638">
        <f>Table4[[#This Row],[Column2]]</f>
        <v>0</v>
      </c>
    </row>
    <row r="2639" spans="1:2" ht="30.75" customHeight="1">
      <c r="A2639">
        <f>Table4[[#This Row],[Column1]]</f>
        <v>0</v>
      </c>
      <c r="B2639">
        <f>Table4[[#This Row],[Column2]]</f>
        <v>0</v>
      </c>
    </row>
    <row r="2640" spans="1:2" ht="30.75" customHeight="1">
      <c r="A2640">
        <f>Table4[[#This Row],[Column1]]</f>
        <v>0</v>
      </c>
      <c r="B2640">
        <f>Table4[[#This Row],[Column2]]</f>
        <v>0</v>
      </c>
    </row>
    <row r="2641" spans="1:2" ht="30.75" customHeight="1">
      <c r="A2641">
        <f>Table4[[#This Row],[Column1]]</f>
        <v>0</v>
      </c>
      <c r="B2641">
        <f>Table4[[#This Row],[Column2]]</f>
        <v>0</v>
      </c>
    </row>
    <row r="2642" spans="1:2" ht="30.75" customHeight="1">
      <c r="A2642">
        <f>Table4[[#This Row],[Column1]]</f>
        <v>0</v>
      </c>
      <c r="B2642">
        <f>Table4[[#This Row],[Column2]]</f>
        <v>0</v>
      </c>
    </row>
    <row r="2643" spans="1:2" ht="30.75" customHeight="1">
      <c r="A2643">
        <f>Table4[[#This Row],[Column1]]</f>
        <v>0</v>
      </c>
      <c r="B2643">
        <f>Table4[[#This Row],[Column2]]</f>
        <v>0</v>
      </c>
    </row>
    <row r="2644" spans="1:2" ht="30.75" customHeight="1">
      <c r="A2644">
        <f>Table4[[#This Row],[Column1]]</f>
        <v>0</v>
      </c>
      <c r="B2644">
        <f>Table4[[#This Row],[Column2]]</f>
        <v>0</v>
      </c>
    </row>
    <row r="2645" spans="1:2" ht="30.75" customHeight="1">
      <c r="A2645">
        <f>Table4[[#This Row],[Column1]]</f>
        <v>0</v>
      </c>
      <c r="B2645">
        <f>Table4[[#This Row],[Column2]]</f>
        <v>0</v>
      </c>
    </row>
    <row r="2646" spans="1:2" ht="30.75" customHeight="1">
      <c r="A2646">
        <f>Table4[[#This Row],[Column1]]</f>
        <v>0</v>
      </c>
      <c r="B2646">
        <f>Table4[[#This Row],[Column2]]</f>
        <v>0</v>
      </c>
    </row>
    <row r="2647" spans="1:2" ht="30.75" customHeight="1">
      <c r="A2647">
        <f>Table4[[#This Row],[Column1]]</f>
        <v>0</v>
      </c>
      <c r="B2647">
        <f>Table4[[#This Row],[Column2]]</f>
        <v>0</v>
      </c>
    </row>
    <row r="2648" spans="1:2" ht="30.75" customHeight="1">
      <c r="A2648">
        <f>Table4[[#This Row],[Column1]]</f>
        <v>0</v>
      </c>
      <c r="B2648">
        <f>Table4[[#This Row],[Column2]]</f>
        <v>0</v>
      </c>
    </row>
    <row r="2649" spans="1:2" ht="30.75" customHeight="1">
      <c r="A2649">
        <f>Table4[[#This Row],[Column1]]</f>
        <v>0</v>
      </c>
      <c r="B2649">
        <f>Table4[[#This Row],[Column2]]</f>
        <v>0</v>
      </c>
    </row>
    <row r="2650" spans="1:2" ht="30.75" customHeight="1">
      <c r="A2650">
        <f>Table4[[#This Row],[Column1]]</f>
        <v>0</v>
      </c>
      <c r="B2650">
        <f>Table4[[#This Row],[Column2]]</f>
        <v>0</v>
      </c>
    </row>
    <row r="2651" spans="1:2" ht="30.75" customHeight="1">
      <c r="A2651">
        <f>Table4[[#This Row],[Column1]]</f>
        <v>0</v>
      </c>
      <c r="B2651">
        <f>Table4[[#This Row],[Column2]]</f>
        <v>0</v>
      </c>
    </row>
    <row r="2652" spans="1:2" ht="30.75" customHeight="1">
      <c r="A2652">
        <f>Table4[[#This Row],[Column1]]</f>
        <v>0</v>
      </c>
      <c r="B2652">
        <f>Table4[[#This Row],[Column2]]</f>
        <v>0</v>
      </c>
    </row>
    <row r="2653" spans="1:2" ht="30.75" customHeight="1">
      <c r="A2653">
        <f>Table4[[#This Row],[Column1]]</f>
        <v>0</v>
      </c>
      <c r="B2653">
        <f>Table4[[#This Row],[Column2]]</f>
        <v>0</v>
      </c>
    </row>
    <row r="2654" spans="1:2" ht="30.75" customHeight="1">
      <c r="A2654">
        <f>Table4[[#This Row],[Column1]]</f>
        <v>0</v>
      </c>
      <c r="B2654">
        <f>Table4[[#This Row],[Column2]]</f>
        <v>0</v>
      </c>
    </row>
    <row r="2655" spans="1:2" ht="30.75" customHeight="1">
      <c r="A2655">
        <f>Table4[[#This Row],[Column1]]</f>
        <v>0</v>
      </c>
      <c r="B2655">
        <f>Table4[[#This Row],[Column2]]</f>
        <v>0</v>
      </c>
    </row>
    <row r="2656" spans="1:2" ht="30.75" customHeight="1">
      <c r="A2656">
        <f>Table4[[#This Row],[Column1]]</f>
        <v>0</v>
      </c>
      <c r="B2656">
        <f>Table4[[#This Row],[Column2]]</f>
        <v>0</v>
      </c>
    </row>
    <row r="2657" spans="1:2" ht="30.75" customHeight="1">
      <c r="A2657">
        <f>Table4[[#This Row],[Column1]]</f>
        <v>0</v>
      </c>
      <c r="B2657">
        <f>Table4[[#This Row],[Column2]]</f>
        <v>0</v>
      </c>
    </row>
    <row r="2658" spans="1:2" ht="30.75" customHeight="1">
      <c r="A2658">
        <f>Table4[[#This Row],[Column1]]</f>
        <v>0</v>
      </c>
      <c r="B2658">
        <f>Table4[[#This Row],[Column2]]</f>
        <v>0</v>
      </c>
    </row>
    <row r="2659" spans="1:2" ht="30.75" customHeight="1">
      <c r="A2659">
        <f>Table4[[#This Row],[Column1]]</f>
        <v>0</v>
      </c>
      <c r="B2659">
        <f>Table4[[#This Row],[Column2]]</f>
        <v>0</v>
      </c>
    </row>
    <row r="2660" spans="1:2" ht="30.75" customHeight="1">
      <c r="A2660">
        <f>Table4[[#This Row],[Column1]]</f>
        <v>0</v>
      </c>
      <c r="B2660">
        <f>Table4[[#This Row],[Column2]]</f>
        <v>0</v>
      </c>
    </row>
    <row r="2661" spans="1:2" ht="30.75" customHeight="1">
      <c r="A2661">
        <f>Table4[[#This Row],[Column1]]</f>
        <v>0</v>
      </c>
      <c r="B2661">
        <f>Table4[[#This Row],[Column2]]</f>
        <v>0</v>
      </c>
    </row>
    <row r="2662" spans="1:2" ht="30.75" customHeight="1">
      <c r="A2662">
        <f>Table4[[#This Row],[Column1]]</f>
        <v>0</v>
      </c>
      <c r="B2662">
        <f>Table4[[#This Row],[Column2]]</f>
        <v>0</v>
      </c>
    </row>
    <row r="2663" spans="1:2" ht="30.75" customHeight="1">
      <c r="A2663">
        <f>Table4[[#This Row],[Column1]]</f>
        <v>0</v>
      </c>
      <c r="B2663">
        <f>Table4[[#This Row],[Column2]]</f>
        <v>0</v>
      </c>
    </row>
    <row r="2664" spans="1:2" ht="30.75" customHeight="1">
      <c r="A2664">
        <f>Table4[[#This Row],[Column1]]</f>
        <v>0</v>
      </c>
      <c r="B2664">
        <f>Table4[[#This Row],[Column2]]</f>
        <v>0</v>
      </c>
    </row>
    <row r="2665" spans="1:2" ht="30.75" customHeight="1">
      <c r="A2665">
        <f>Table4[[#This Row],[Column1]]</f>
        <v>0</v>
      </c>
      <c r="B2665">
        <f>Table4[[#This Row],[Column2]]</f>
        <v>0</v>
      </c>
    </row>
    <row r="2666" spans="1:2" ht="30.75" customHeight="1">
      <c r="A2666">
        <f>Table4[[#This Row],[Column1]]</f>
        <v>0</v>
      </c>
      <c r="B2666">
        <f>Table4[[#This Row],[Column2]]</f>
        <v>0</v>
      </c>
    </row>
    <row r="2667" spans="1:2" ht="30.75" customHeight="1">
      <c r="A2667">
        <f>Table4[[#This Row],[Column1]]</f>
        <v>0</v>
      </c>
      <c r="B2667">
        <f>Table4[[#This Row],[Column2]]</f>
        <v>0</v>
      </c>
    </row>
    <row r="2668" spans="1:2" ht="30.75" customHeight="1">
      <c r="A2668">
        <f>Table4[[#This Row],[Column1]]</f>
        <v>0</v>
      </c>
      <c r="B2668">
        <f>Table4[[#This Row],[Column2]]</f>
        <v>0</v>
      </c>
    </row>
    <row r="2669" spans="1:2" ht="30.75" customHeight="1">
      <c r="A2669">
        <f>Table4[[#This Row],[Column1]]</f>
        <v>0</v>
      </c>
      <c r="B2669">
        <f>Table4[[#This Row],[Column2]]</f>
        <v>0</v>
      </c>
    </row>
    <row r="2670" spans="1:2" ht="30.75" customHeight="1">
      <c r="A2670">
        <f>Table4[[#This Row],[Column1]]</f>
        <v>0</v>
      </c>
      <c r="B2670">
        <f>Table4[[#This Row],[Column2]]</f>
        <v>0</v>
      </c>
    </row>
    <row r="2671" spans="1:2" ht="30.75" customHeight="1">
      <c r="A2671">
        <f>Table4[[#This Row],[Column1]]</f>
        <v>0</v>
      </c>
      <c r="B2671">
        <f>Table4[[#This Row],[Column2]]</f>
        <v>0</v>
      </c>
    </row>
    <row r="2672" spans="1:2" ht="30.75" customHeight="1">
      <c r="A2672">
        <f>Table4[[#This Row],[Column1]]</f>
        <v>0</v>
      </c>
      <c r="B2672">
        <f>Table4[[#This Row],[Column2]]</f>
        <v>0</v>
      </c>
    </row>
    <row r="2673" spans="1:2" ht="30.75" customHeight="1">
      <c r="A2673">
        <f>Table4[[#This Row],[Column1]]</f>
        <v>0</v>
      </c>
      <c r="B2673">
        <f>Table4[[#This Row],[Column2]]</f>
        <v>0</v>
      </c>
    </row>
    <row r="2674" spans="1:2" ht="30.75" customHeight="1">
      <c r="A2674">
        <f>Table4[[#This Row],[Column1]]</f>
        <v>0</v>
      </c>
      <c r="B2674">
        <f>Table4[[#This Row],[Column2]]</f>
        <v>0</v>
      </c>
    </row>
    <row r="2675" spans="1:2" ht="30.75" customHeight="1">
      <c r="A2675">
        <f>Table4[[#This Row],[Column1]]</f>
        <v>0</v>
      </c>
      <c r="B2675">
        <f>Table4[[#This Row],[Column2]]</f>
        <v>0</v>
      </c>
    </row>
    <row r="2676" spans="1:2" ht="30.75" customHeight="1">
      <c r="A2676">
        <f>Table4[[#This Row],[Column1]]</f>
        <v>0</v>
      </c>
      <c r="B2676">
        <f>Table4[[#This Row],[Column2]]</f>
        <v>0</v>
      </c>
    </row>
    <row r="2677" spans="1:2" ht="30.75" customHeight="1">
      <c r="A2677">
        <f>Table4[[#This Row],[Column1]]</f>
        <v>0</v>
      </c>
      <c r="B2677">
        <f>Table4[[#This Row],[Column2]]</f>
        <v>0</v>
      </c>
    </row>
    <row r="2678" spans="1:2" ht="30.75" customHeight="1">
      <c r="A2678">
        <f>Table4[[#This Row],[Column1]]</f>
        <v>0</v>
      </c>
      <c r="B2678">
        <f>Table4[[#This Row],[Column2]]</f>
        <v>0</v>
      </c>
    </row>
    <row r="2679" spans="1:2" ht="30.75" customHeight="1">
      <c r="A2679">
        <f>Table4[[#This Row],[Column1]]</f>
        <v>0</v>
      </c>
      <c r="B2679">
        <f>Table4[[#This Row],[Column2]]</f>
        <v>0</v>
      </c>
    </row>
    <row r="2680" spans="1:2" ht="30.75" customHeight="1">
      <c r="A2680">
        <f>Table4[[#This Row],[Column1]]</f>
        <v>0</v>
      </c>
      <c r="B2680">
        <f>Table4[[#This Row],[Column2]]</f>
        <v>0</v>
      </c>
    </row>
    <row r="2681" spans="1:2" ht="30.75" customHeight="1">
      <c r="A2681">
        <f>Table4[[#This Row],[Column1]]</f>
        <v>0</v>
      </c>
      <c r="B2681">
        <f>Table4[[#This Row],[Column2]]</f>
        <v>0</v>
      </c>
    </row>
    <row r="2682" spans="1:2" ht="30.75" customHeight="1">
      <c r="A2682">
        <f>Table4[[#This Row],[Column1]]</f>
        <v>0</v>
      </c>
      <c r="B2682">
        <f>Table4[[#This Row],[Column2]]</f>
        <v>0</v>
      </c>
    </row>
    <row r="2683" spans="1:2" ht="30.75" customHeight="1">
      <c r="A2683">
        <f>Table4[[#This Row],[Column1]]</f>
        <v>0</v>
      </c>
      <c r="B2683">
        <f>Table4[[#This Row],[Column2]]</f>
        <v>0</v>
      </c>
    </row>
    <row r="2684" spans="1:2" ht="30.75" customHeight="1">
      <c r="A2684">
        <f>Table4[[#This Row],[Column1]]</f>
        <v>0</v>
      </c>
      <c r="B2684">
        <f>Table4[[#This Row],[Column2]]</f>
        <v>0</v>
      </c>
    </row>
    <row r="2685" spans="1:2" ht="30.75" customHeight="1">
      <c r="A2685">
        <f>Table4[[#This Row],[Column1]]</f>
        <v>0</v>
      </c>
      <c r="B2685">
        <f>Table4[[#This Row],[Column2]]</f>
        <v>0</v>
      </c>
    </row>
    <row r="2686" spans="1:2" ht="30.75" customHeight="1">
      <c r="A2686">
        <f>Table4[[#This Row],[Column1]]</f>
        <v>0</v>
      </c>
      <c r="B2686">
        <f>Table4[[#This Row],[Column2]]</f>
        <v>0</v>
      </c>
    </row>
    <row r="2687" spans="1:2" ht="30.75" customHeight="1">
      <c r="A2687">
        <f>Table4[[#This Row],[Column1]]</f>
        <v>0</v>
      </c>
      <c r="B2687">
        <f>Table4[[#This Row],[Column2]]</f>
        <v>0</v>
      </c>
    </row>
    <row r="2688" spans="1:2" ht="30.75" customHeight="1">
      <c r="A2688">
        <f>Table4[[#This Row],[Column1]]</f>
        <v>0</v>
      </c>
      <c r="B2688">
        <f>Table4[[#This Row],[Column2]]</f>
        <v>0</v>
      </c>
    </row>
    <row r="2689" spans="1:2" ht="30.75" customHeight="1">
      <c r="A2689">
        <f>Table4[[#This Row],[Column1]]</f>
        <v>0</v>
      </c>
      <c r="B2689">
        <f>Table4[[#This Row],[Column2]]</f>
        <v>0</v>
      </c>
    </row>
    <row r="2690" spans="1:2" ht="30.75" customHeight="1">
      <c r="A2690">
        <f>Table4[[#This Row],[Column1]]</f>
        <v>0</v>
      </c>
      <c r="B2690">
        <f>Table4[[#This Row],[Column2]]</f>
        <v>0</v>
      </c>
    </row>
    <row r="2691" spans="1:2" ht="30.75" customHeight="1">
      <c r="A2691">
        <f>Table4[[#This Row],[Column1]]</f>
        <v>0</v>
      </c>
      <c r="B2691">
        <f>Table4[[#This Row],[Column2]]</f>
        <v>0</v>
      </c>
    </row>
    <row r="2692" spans="1:2" ht="30.75" customHeight="1">
      <c r="A2692">
        <f>Table4[[#This Row],[Column1]]</f>
        <v>0</v>
      </c>
      <c r="B2692">
        <f>Table4[[#This Row],[Column2]]</f>
        <v>0</v>
      </c>
    </row>
    <row r="2693" spans="1:2" ht="30.75" customHeight="1">
      <c r="A2693">
        <f>Table4[[#This Row],[Column1]]</f>
        <v>0</v>
      </c>
      <c r="B2693">
        <f>Table4[[#This Row],[Column2]]</f>
        <v>0</v>
      </c>
    </row>
    <row r="2694" spans="1:2" ht="30.75" customHeight="1">
      <c r="A2694">
        <f>Table4[[#This Row],[Column1]]</f>
        <v>0</v>
      </c>
      <c r="B2694">
        <f>Table4[[#This Row],[Column2]]</f>
        <v>0</v>
      </c>
    </row>
    <row r="2695" spans="1:2" ht="30.75" customHeight="1">
      <c r="A2695">
        <f>Table4[[#This Row],[Column1]]</f>
        <v>0</v>
      </c>
      <c r="B2695">
        <f>Table4[[#This Row],[Column2]]</f>
        <v>0</v>
      </c>
    </row>
    <row r="2696" spans="1:2" ht="30.75" customHeight="1">
      <c r="A2696">
        <f>Table4[[#This Row],[Column1]]</f>
        <v>0</v>
      </c>
      <c r="B2696">
        <f>Table4[[#This Row],[Column2]]</f>
        <v>0</v>
      </c>
    </row>
    <row r="2697" spans="1:2" ht="30.75" customHeight="1">
      <c r="A2697">
        <f>Table4[[#This Row],[Column1]]</f>
        <v>0</v>
      </c>
      <c r="B2697">
        <f>Table4[[#This Row],[Column2]]</f>
        <v>0</v>
      </c>
    </row>
    <row r="2698" spans="1:2" ht="30.75" customHeight="1">
      <c r="A2698">
        <f>Table4[[#This Row],[Column1]]</f>
        <v>0</v>
      </c>
      <c r="B2698">
        <f>Table4[[#This Row],[Column2]]</f>
        <v>0</v>
      </c>
    </row>
    <row r="2699" spans="1:2" ht="30.75" customHeight="1">
      <c r="A2699">
        <f>Table4[[#This Row],[Column1]]</f>
        <v>0</v>
      </c>
      <c r="B2699">
        <f>Table4[[#This Row],[Column2]]</f>
        <v>0</v>
      </c>
    </row>
    <row r="2700" spans="1:2" ht="30.75" customHeight="1">
      <c r="A2700">
        <f>Table4[[#This Row],[Column1]]</f>
        <v>0</v>
      </c>
      <c r="B2700">
        <f>Table4[[#This Row],[Column2]]</f>
        <v>0</v>
      </c>
    </row>
    <row r="2701" spans="1:2" ht="30.75" customHeight="1">
      <c r="A2701">
        <f>Table4[[#This Row],[Column1]]</f>
        <v>0</v>
      </c>
      <c r="B2701">
        <f>Table4[[#This Row],[Column2]]</f>
        <v>0</v>
      </c>
    </row>
    <row r="2702" spans="1:2" ht="30.75" customHeight="1">
      <c r="A2702">
        <f>Table4[[#This Row],[Column1]]</f>
        <v>0</v>
      </c>
      <c r="B2702">
        <f>Table4[[#This Row],[Column2]]</f>
        <v>0</v>
      </c>
    </row>
    <row r="2703" spans="1:2" ht="30.75" customHeight="1">
      <c r="A2703">
        <f>Table4[[#This Row],[Column1]]</f>
        <v>0</v>
      </c>
      <c r="B2703">
        <f>Table4[[#This Row],[Column2]]</f>
        <v>0</v>
      </c>
    </row>
    <row r="2704" spans="1:2" ht="30.75" customHeight="1">
      <c r="A2704">
        <f>Table4[[#This Row],[Column1]]</f>
        <v>0</v>
      </c>
      <c r="B2704">
        <f>Table4[[#This Row],[Column2]]</f>
        <v>0</v>
      </c>
    </row>
    <row r="2705" spans="1:2" ht="30.75" customHeight="1">
      <c r="A2705">
        <f>Table4[[#This Row],[Column1]]</f>
        <v>0</v>
      </c>
      <c r="B2705">
        <f>Table4[[#This Row],[Column2]]</f>
        <v>0</v>
      </c>
    </row>
    <row r="2706" spans="1:2" ht="30.75" customHeight="1">
      <c r="A2706">
        <f>Table4[[#This Row],[Column1]]</f>
        <v>0</v>
      </c>
      <c r="B2706">
        <f>Table4[[#This Row],[Column2]]</f>
        <v>0</v>
      </c>
    </row>
    <row r="2707" spans="1:2" ht="30.75" customHeight="1">
      <c r="A2707">
        <f>Table4[[#This Row],[Column1]]</f>
        <v>0</v>
      </c>
      <c r="B2707">
        <f>Table4[[#This Row],[Column2]]</f>
        <v>0</v>
      </c>
    </row>
    <row r="2708" spans="1:2" ht="30.75" customHeight="1">
      <c r="A2708">
        <f>Table4[[#This Row],[Column1]]</f>
        <v>0</v>
      </c>
      <c r="B2708">
        <f>Table4[[#This Row],[Column2]]</f>
        <v>0</v>
      </c>
    </row>
    <row r="2709" spans="1:2" ht="30.75" customHeight="1">
      <c r="A2709">
        <f>Table4[[#This Row],[Column1]]</f>
        <v>0</v>
      </c>
      <c r="B2709">
        <f>Table4[[#This Row],[Column2]]</f>
        <v>0</v>
      </c>
    </row>
    <row r="2710" spans="1:2" ht="30.75" customHeight="1">
      <c r="A2710">
        <f>Table4[[#This Row],[Column1]]</f>
        <v>0</v>
      </c>
      <c r="B2710">
        <f>Table4[[#This Row],[Column2]]</f>
        <v>0</v>
      </c>
    </row>
    <row r="2711" spans="1:2" ht="30.75" customHeight="1">
      <c r="A2711">
        <f>Table4[[#This Row],[Column1]]</f>
        <v>0</v>
      </c>
      <c r="B2711">
        <f>Table4[[#This Row],[Column2]]</f>
        <v>0</v>
      </c>
    </row>
    <row r="2712" spans="1:2" ht="30.75" customHeight="1">
      <c r="A2712">
        <f>Table4[[#This Row],[Column1]]</f>
        <v>0</v>
      </c>
      <c r="B2712">
        <f>Table4[[#This Row],[Column2]]</f>
        <v>0</v>
      </c>
    </row>
    <row r="2713" spans="1:2" ht="30.75" customHeight="1">
      <c r="A2713">
        <f>Table4[[#This Row],[Column1]]</f>
        <v>0</v>
      </c>
      <c r="B2713">
        <f>Table4[[#This Row],[Column2]]</f>
        <v>0</v>
      </c>
    </row>
    <row r="2714" spans="1:2" ht="30.75" customHeight="1">
      <c r="A2714">
        <f>Table4[[#This Row],[Column1]]</f>
        <v>0</v>
      </c>
      <c r="B2714">
        <f>Table4[[#This Row],[Column2]]</f>
        <v>0</v>
      </c>
    </row>
    <row r="2715" spans="1:2" ht="30.75" customHeight="1">
      <c r="A2715">
        <f>Table4[[#This Row],[Column1]]</f>
        <v>0</v>
      </c>
      <c r="B2715">
        <f>Table4[[#This Row],[Column2]]</f>
        <v>0</v>
      </c>
    </row>
    <row r="2716" spans="1:2" ht="30.75" customHeight="1">
      <c r="A2716">
        <f>Table4[[#This Row],[Column1]]</f>
        <v>0</v>
      </c>
      <c r="B2716">
        <f>Table4[[#This Row],[Column2]]</f>
        <v>0</v>
      </c>
    </row>
    <row r="2717" spans="1:2" ht="30.75" customHeight="1">
      <c r="A2717">
        <f>Table4[[#This Row],[Column1]]</f>
        <v>0</v>
      </c>
      <c r="B2717">
        <f>Table4[[#This Row],[Column2]]</f>
        <v>0</v>
      </c>
    </row>
    <row r="2718" spans="1:2" ht="30.75" customHeight="1">
      <c r="A2718">
        <f>Table4[[#This Row],[Column1]]</f>
        <v>0</v>
      </c>
      <c r="B2718">
        <f>Table4[[#This Row],[Column2]]</f>
        <v>0</v>
      </c>
    </row>
    <row r="2719" spans="1:2" ht="30.75" customHeight="1">
      <c r="A2719">
        <f>Table4[[#This Row],[Column1]]</f>
        <v>0</v>
      </c>
      <c r="B2719">
        <f>Table4[[#This Row],[Column2]]</f>
        <v>0</v>
      </c>
    </row>
    <row r="2720" spans="1:2" ht="30.75" customHeight="1">
      <c r="A2720">
        <f>Table4[[#This Row],[Column1]]</f>
        <v>0</v>
      </c>
      <c r="B2720">
        <f>Table4[[#This Row],[Column2]]</f>
        <v>0</v>
      </c>
    </row>
    <row r="2721" spans="1:2" ht="30.75" customHeight="1">
      <c r="A2721">
        <f>Table4[[#This Row],[Column1]]</f>
        <v>0</v>
      </c>
      <c r="B2721">
        <f>Table4[[#This Row],[Column2]]</f>
        <v>0</v>
      </c>
    </row>
    <row r="2722" spans="1:2" ht="30.75" customHeight="1">
      <c r="A2722">
        <f>Table4[[#This Row],[Column1]]</f>
        <v>0</v>
      </c>
      <c r="B2722">
        <f>Table4[[#This Row],[Column2]]</f>
        <v>0</v>
      </c>
    </row>
    <row r="2723" spans="1:2" ht="30.75" customHeight="1">
      <c r="A2723">
        <f>Table4[[#This Row],[Column1]]</f>
        <v>0</v>
      </c>
      <c r="B2723">
        <f>Table4[[#This Row],[Column2]]</f>
        <v>0</v>
      </c>
    </row>
    <row r="2724" spans="1:2" ht="30.75" customHeight="1">
      <c r="A2724">
        <f>Table4[[#This Row],[Column1]]</f>
        <v>0</v>
      </c>
      <c r="B2724">
        <f>Table4[[#This Row],[Column2]]</f>
        <v>0</v>
      </c>
    </row>
    <row r="2725" spans="1:2" ht="30.75" customHeight="1">
      <c r="A2725">
        <f>Table4[[#This Row],[Column1]]</f>
        <v>0</v>
      </c>
      <c r="B2725">
        <f>Table4[[#This Row],[Column2]]</f>
        <v>0</v>
      </c>
    </row>
    <row r="2726" spans="1:2" ht="30.75" customHeight="1">
      <c r="A2726">
        <f>Table4[[#This Row],[Column1]]</f>
        <v>0</v>
      </c>
      <c r="B2726">
        <f>Table4[[#This Row],[Column2]]</f>
        <v>0</v>
      </c>
    </row>
    <row r="2727" spans="1:2" ht="30.75" customHeight="1">
      <c r="A2727">
        <f>Table4[[#This Row],[Column1]]</f>
        <v>0</v>
      </c>
      <c r="B2727">
        <f>Table4[[#This Row],[Column2]]</f>
        <v>0</v>
      </c>
    </row>
    <row r="2728" spans="1:2" ht="30.75" customHeight="1">
      <c r="A2728">
        <f>Table4[[#This Row],[Column1]]</f>
        <v>0</v>
      </c>
      <c r="B2728">
        <f>Table4[[#This Row],[Column2]]</f>
        <v>0</v>
      </c>
    </row>
    <row r="2729" spans="1:2" ht="30.75" customHeight="1">
      <c r="A2729">
        <f>Table4[[#This Row],[Column1]]</f>
        <v>0</v>
      </c>
      <c r="B2729">
        <f>Table4[[#This Row],[Column2]]</f>
        <v>0</v>
      </c>
    </row>
    <row r="2730" spans="1:2" ht="30.75" customHeight="1">
      <c r="A2730">
        <f>Table4[[#This Row],[Column1]]</f>
        <v>0</v>
      </c>
      <c r="B2730">
        <f>Table4[[#This Row],[Column2]]</f>
        <v>0</v>
      </c>
    </row>
    <row r="2731" spans="1:2" ht="30.75" customHeight="1">
      <c r="A2731">
        <f>Table4[[#This Row],[Column1]]</f>
        <v>0</v>
      </c>
      <c r="B2731">
        <f>Table4[[#This Row],[Column2]]</f>
        <v>0</v>
      </c>
    </row>
    <row r="2732" spans="1:2" ht="30.75" customHeight="1">
      <c r="A2732">
        <f>Table4[[#This Row],[Column1]]</f>
        <v>0</v>
      </c>
      <c r="B2732">
        <f>Table4[[#This Row],[Column2]]</f>
        <v>0</v>
      </c>
    </row>
    <row r="2733" spans="1:2" ht="30.75" customHeight="1">
      <c r="A2733">
        <f>Table4[[#This Row],[Column1]]</f>
        <v>0</v>
      </c>
      <c r="B2733">
        <f>Table4[[#This Row],[Column2]]</f>
        <v>0</v>
      </c>
    </row>
    <row r="2734" spans="1:2" ht="30.75" customHeight="1">
      <c r="A2734">
        <f>Table4[[#This Row],[Column1]]</f>
        <v>0</v>
      </c>
      <c r="B2734">
        <f>Table4[[#This Row],[Column2]]</f>
        <v>0</v>
      </c>
    </row>
    <row r="2735" spans="1:2" ht="30.75" customHeight="1">
      <c r="A2735">
        <f>Table4[[#This Row],[Column1]]</f>
        <v>0</v>
      </c>
      <c r="B2735">
        <f>Table4[[#This Row],[Column2]]</f>
        <v>0</v>
      </c>
    </row>
    <row r="2736" spans="1:2" ht="30.75" customHeight="1">
      <c r="A2736">
        <f>Table4[[#This Row],[Column1]]</f>
        <v>0</v>
      </c>
      <c r="B2736">
        <f>Table4[[#This Row],[Column2]]</f>
        <v>0</v>
      </c>
    </row>
    <row r="2737" spans="1:2" ht="30.75" customHeight="1">
      <c r="A2737">
        <f>Table4[[#This Row],[Column1]]</f>
        <v>0</v>
      </c>
      <c r="B2737">
        <f>Table4[[#This Row],[Column2]]</f>
        <v>0</v>
      </c>
    </row>
    <row r="2738" spans="1:2" ht="30.75" customHeight="1">
      <c r="A2738">
        <f>Table4[[#This Row],[Column1]]</f>
        <v>0</v>
      </c>
      <c r="B2738">
        <f>Table4[[#This Row],[Column2]]</f>
        <v>0</v>
      </c>
    </row>
    <row r="2739" spans="1:2" ht="30.75" customHeight="1">
      <c r="A2739">
        <f>Table4[[#This Row],[Column1]]</f>
        <v>0</v>
      </c>
      <c r="B2739">
        <f>Table4[[#This Row],[Column2]]</f>
        <v>0</v>
      </c>
    </row>
    <row r="2740" spans="1:2" ht="30.75" customHeight="1">
      <c r="A2740">
        <f>Table4[[#This Row],[Column1]]</f>
        <v>0</v>
      </c>
      <c r="B2740">
        <f>Table4[[#This Row],[Column2]]</f>
        <v>0</v>
      </c>
    </row>
    <row r="2741" spans="1:2" ht="30.75" customHeight="1">
      <c r="A2741">
        <f>Table4[[#This Row],[Column1]]</f>
        <v>0</v>
      </c>
      <c r="B2741">
        <f>Table4[[#This Row],[Column2]]</f>
        <v>0</v>
      </c>
    </row>
    <row r="2742" spans="1:2" ht="30.75" customHeight="1">
      <c r="A2742">
        <f>Table4[[#This Row],[Column1]]</f>
        <v>0</v>
      </c>
      <c r="B2742">
        <f>Table4[[#This Row],[Column2]]</f>
        <v>0</v>
      </c>
    </row>
    <row r="2743" spans="1:2" ht="30.75" customHeight="1">
      <c r="A2743">
        <f>Table4[[#This Row],[Column1]]</f>
        <v>0</v>
      </c>
      <c r="B2743">
        <f>Table4[[#This Row],[Column2]]</f>
        <v>0</v>
      </c>
    </row>
    <row r="2744" spans="1:2" ht="30.75" customHeight="1">
      <c r="A2744">
        <f>Table4[[#This Row],[Column1]]</f>
        <v>0</v>
      </c>
      <c r="B2744">
        <f>Table4[[#This Row],[Column2]]</f>
        <v>0</v>
      </c>
    </row>
    <row r="2745" spans="1:2" ht="30.75" customHeight="1">
      <c r="A2745">
        <f>Table4[[#This Row],[Column1]]</f>
        <v>0</v>
      </c>
      <c r="B2745">
        <f>Table4[[#This Row],[Column2]]</f>
        <v>0</v>
      </c>
    </row>
    <row r="2746" spans="1:2" ht="30.75" customHeight="1">
      <c r="A2746">
        <f>Table4[[#This Row],[Column1]]</f>
        <v>0</v>
      </c>
      <c r="B2746">
        <f>Table4[[#This Row],[Column2]]</f>
        <v>0</v>
      </c>
    </row>
    <row r="2747" spans="1:2" ht="30.75" customHeight="1">
      <c r="A2747">
        <f>Table4[[#This Row],[Column1]]</f>
        <v>0</v>
      </c>
      <c r="B2747">
        <f>Table4[[#This Row],[Column2]]</f>
        <v>0</v>
      </c>
    </row>
    <row r="2748" spans="1:2" ht="30.75" customHeight="1">
      <c r="A2748">
        <f>Table4[[#This Row],[Column1]]</f>
        <v>0</v>
      </c>
      <c r="B2748">
        <f>Table4[[#This Row],[Column2]]</f>
        <v>0</v>
      </c>
    </row>
    <row r="2749" spans="1:2" ht="30.75" customHeight="1">
      <c r="A2749">
        <f>Table4[[#This Row],[Column1]]</f>
        <v>0</v>
      </c>
      <c r="B2749">
        <f>Table4[[#This Row],[Column2]]</f>
        <v>0</v>
      </c>
    </row>
    <row r="2750" spans="1:2" ht="30.75" customHeight="1">
      <c r="A2750">
        <f>Table4[[#This Row],[Column1]]</f>
        <v>0</v>
      </c>
      <c r="B2750">
        <f>Table4[[#This Row],[Column2]]</f>
        <v>0</v>
      </c>
    </row>
    <row r="2751" spans="1:2" ht="30.75" customHeight="1">
      <c r="A2751">
        <f>Table4[[#This Row],[Column1]]</f>
        <v>0</v>
      </c>
      <c r="B2751">
        <f>Table4[[#This Row],[Column2]]</f>
        <v>0</v>
      </c>
    </row>
    <row r="2752" spans="1:2" ht="30.75" customHeight="1">
      <c r="A2752">
        <f>Table4[[#This Row],[Column1]]</f>
        <v>0</v>
      </c>
      <c r="B2752">
        <f>Table4[[#This Row],[Column2]]</f>
        <v>0</v>
      </c>
    </row>
    <row r="2753" spans="1:2" ht="30.75" customHeight="1">
      <c r="A2753">
        <f>Table4[[#This Row],[Column1]]</f>
        <v>0</v>
      </c>
      <c r="B2753">
        <f>Table4[[#This Row],[Column2]]</f>
        <v>0</v>
      </c>
    </row>
    <row r="2754" spans="1:2" ht="30.75" customHeight="1">
      <c r="A2754">
        <f>Table4[[#This Row],[Column1]]</f>
        <v>0</v>
      </c>
      <c r="B2754">
        <f>Table4[[#This Row],[Column2]]</f>
        <v>0</v>
      </c>
    </row>
    <row r="2755" spans="1:2" ht="30.75" customHeight="1">
      <c r="A2755">
        <f>Table4[[#This Row],[Column1]]</f>
        <v>0</v>
      </c>
      <c r="B2755">
        <f>Table4[[#This Row],[Column2]]</f>
        <v>0</v>
      </c>
    </row>
    <row r="2756" spans="1:2" ht="30.75" customHeight="1">
      <c r="A2756">
        <f>Table4[[#This Row],[Column1]]</f>
        <v>0</v>
      </c>
      <c r="B2756">
        <f>Table4[[#This Row],[Column2]]</f>
        <v>0</v>
      </c>
    </row>
    <row r="2757" spans="1:2" ht="30.75" customHeight="1">
      <c r="A2757">
        <f>Table4[[#This Row],[Column1]]</f>
        <v>0</v>
      </c>
      <c r="B2757">
        <f>Table4[[#This Row],[Column2]]</f>
        <v>0</v>
      </c>
    </row>
    <row r="2758" spans="1:2" ht="30.75" customHeight="1">
      <c r="A2758">
        <f>Table4[[#This Row],[Column1]]</f>
        <v>0</v>
      </c>
      <c r="B2758">
        <f>Table4[[#This Row],[Column2]]</f>
        <v>0</v>
      </c>
    </row>
    <row r="2759" spans="1:2" ht="30.75" customHeight="1">
      <c r="A2759">
        <f>Table4[[#This Row],[Column1]]</f>
        <v>0</v>
      </c>
      <c r="B2759">
        <f>Table4[[#This Row],[Column2]]</f>
        <v>0</v>
      </c>
    </row>
    <row r="2760" spans="1:2" ht="30.75" customHeight="1">
      <c r="A2760">
        <f>Table4[[#This Row],[Column1]]</f>
        <v>0</v>
      </c>
      <c r="B2760">
        <f>Table4[[#This Row],[Column2]]</f>
        <v>0</v>
      </c>
    </row>
    <row r="2761" spans="1:2" ht="30.75" customHeight="1">
      <c r="A2761">
        <f>Table4[[#This Row],[Column1]]</f>
        <v>0</v>
      </c>
      <c r="B2761">
        <f>Table4[[#This Row],[Column2]]</f>
        <v>0</v>
      </c>
    </row>
    <row r="2762" spans="1:2" ht="30.75" customHeight="1">
      <c r="A2762">
        <f>Table4[[#This Row],[Column1]]</f>
        <v>0</v>
      </c>
      <c r="B2762">
        <f>Table4[[#This Row],[Column2]]</f>
        <v>0</v>
      </c>
    </row>
    <row r="2763" spans="1:2" ht="30.75" customHeight="1">
      <c r="A2763">
        <f>Table4[[#This Row],[Column1]]</f>
        <v>0</v>
      </c>
      <c r="B2763">
        <f>Table4[[#This Row],[Column2]]</f>
        <v>0</v>
      </c>
    </row>
    <row r="2764" spans="1:2" ht="30.75" customHeight="1">
      <c r="A2764">
        <f>Table4[[#This Row],[Column1]]</f>
        <v>0</v>
      </c>
      <c r="B2764">
        <f>Table4[[#This Row],[Column2]]</f>
        <v>0</v>
      </c>
    </row>
    <row r="2765" spans="1:2" ht="30.75" customHeight="1">
      <c r="A2765">
        <f>Table4[[#This Row],[Column1]]</f>
        <v>0</v>
      </c>
      <c r="B2765">
        <f>Table4[[#This Row],[Column2]]</f>
        <v>0</v>
      </c>
    </row>
    <row r="2766" spans="1:2" ht="30.75" customHeight="1">
      <c r="A2766">
        <f>Table4[[#This Row],[Column1]]</f>
        <v>0</v>
      </c>
      <c r="B2766">
        <f>Table4[[#This Row],[Column2]]</f>
        <v>0</v>
      </c>
    </row>
    <row r="2767" spans="1:2" ht="30.75" customHeight="1">
      <c r="A2767">
        <f>Table4[[#This Row],[Column1]]</f>
        <v>0</v>
      </c>
      <c r="B2767">
        <f>Table4[[#This Row],[Column2]]</f>
        <v>0</v>
      </c>
    </row>
    <row r="2768" spans="1:2" ht="30.75" customHeight="1">
      <c r="A2768">
        <f>Table4[[#This Row],[Column1]]</f>
        <v>0</v>
      </c>
      <c r="B2768">
        <f>Table4[[#This Row],[Column2]]</f>
        <v>0</v>
      </c>
    </row>
    <row r="2769" spans="1:2" ht="30.75" customHeight="1">
      <c r="A2769">
        <f>Table4[[#This Row],[Column1]]</f>
        <v>0</v>
      </c>
      <c r="B2769">
        <f>Table4[[#This Row],[Column2]]</f>
        <v>0</v>
      </c>
    </row>
    <row r="2770" spans="1:2" ht="30.75" customHeight="1">
      <c r="A2770">
        <f>Table4[[#This Row],[Column1]]</f>
        <v>0</v>
      </c>
      <c r="B2770">
        <f>Table4[[#This Row],[Column2]]</f>
        <v>0</v>
      </c>
    </row>
    <row r="2771" spans="1:2" ht="30.75" customHeight="1">
      <c r="A2771">
        <f>Table4[[#This Row],[Column1]]</f>
        <v>0</v>
      </c>
      <c r="B2771">
        <f>Table4[[#This Row],[Column2]]</f>
        <v>0</v>
      </c>
    </row>
    <row r="2772" spans="1:2" ht="30.75" customHeight="1">
      <c r="A2772">
        <f>Table4[[#This Row],[Column1]]</f>
        <v>0</v>
      </c>
      <c r="B2772">
        <f>Table4[[#This Row],[Column2]]</f>
        <v>0</v>
      </c>
    </row>
    <row r="2773" spans="1:2" ht="30.75" customHeight="1">
      <c r="A2773">
        <f>Table4[[#This Row],[Column1]]</f>
        <v>0</v>
      </c>
      <c r="B2773">
        <f>Table4[[#This Row],[Column2]]</f>
        <v>0</v>
      </c>
    </row>
    <row r="2774" spans="1:2" ht="30.75" customHeight="1">
      <c r="A2774">
        <f>Table4[[#This Row],[Column1]]</f>
        <v>0</v>
      </c>
      <c r="B2774">
        <f>Table4[[#This Row],[Column2]]</f>
        <v>0</v>
      </c>
    </row>
    <row r="2775" spans="1:2" ht="30.75" customHeight="1">
      <c r="A2775">
        <f>Table4[[#This Row],[Column1]]</f>
        <v>0</v>
      </c>
      <c r="B2775">
        <f>Table4[[#This Row],[Column2]]</f>
        <v>0</v>
      </c>
    </row>
    <row r="2776" spans="1:2" ht="30.75" customHeight="1">
      <c r="A2776">
        <f>Table4[[#This Row],[Column1]]</f>
        <v>0</v>
      </c>
      <c r="B2776">
        <f>Table4[[#This Row],[Column2]]</f>
        <v>0</v>
      </c>
    </row>
    <row r="2777" spans="1:2" ht="30.75" customHeight="1">
      <c r="A2777">
        <f>Table4[[#This Row],[Column1]]</f>
        <v>0</v>
      </c>
      <c r="B2777">
        <f>Table4[[#This Row],[Column2]]</f>
        <v>0</v>
      </c>
    </row>
    <row r="2778" spans="1:2" ht="30.75" customHeight="1">
      <c r="A2778">
        <f>Table4[[#This Row],[Column1]]</f>
        <v>0</v>
      </c>
      <c r="B2778">
        <f>Table4[[#This Row],[Column2]]</f>
        <v>0</v>
      </c>
    </row>
    <row r="2779" spans="1:2" ht="30.75" customHeight="1">
      <c r="A2779">
        <f>Table4[[#This Row],[Column1]]</f>
        <v>0</v>
      </c>
      <c r="B2779">
        <f>Table4[[#This Row],[Column2]]</f>
        <v>0</v>
      </c>
    </row>
    <row r="2780" spans="1:2" ht="30.75" customHeight="1">
      <c r="A2780">
        <f>Table4[[#This Row],[Column1]]</f>
        <v>0</v>
      </c>
      <c r="B2780">
        <f>Table4[[#This Row],[Column2]]</f>
        <v>0</v>
      </c>
    </row>
    <row r="2781" spans="1:2" ht="30.75" customHeight="1">
      <c r="A2781">
        <f>Table4[[#This Row],[Column1]]</f>
        <v>0</v>
      </c>
      <c r="B2781">
        <f>Table4[[#This Row],[Column2]]</f>
        <v>0</v>
      </c>
    </row>
    <row r="2782" spans="1:2" ht="30.75" customHeight="1">
      <c r="A2782">
        <f>Table4[[#This Row],[Column1]]</f>
        <v>0</v>
      </c>
      <c r="B2782">
        <f>Table4[[#This Row],[Column2]]</f>
        <v>0</v>
      </c>
    </row>
    <row r="2783" spans="1:2" ht="30.75" customHeight="1">
      <c r="A2783">
        <f>Table4[[#This Row],[Column1]]</f>
        <v>0</v>
      </c>
      <c r="B2783">
        <f>Table4[[#This Row],[Column2]]</f>
        <v>0</v>
      </c>
    </row>
    <row r="2784" spans="1:2" ht="30.75" customHeight="1">
      <c r="A2784">
        <f>Table4[[#This Row],[Column1]]</f>
        <v>0</v>
      </c>
      <c r="B2784">
        <f>Table4[[#This Row],[Column2]]</f>
        <v>0</v>
      </c>
    </row>
    <row r="2785" spans="1:2" ht="30.75" customHeight="1">
      <c r="A2785">
        <f>Table4[[#This Row],[Column1]]</f>
        <v>0</v>
      </c>
      <c r="B2785">
        <f>Table4[[#This Row],[Column2]]</f>
        <v>0</v>
      </c>
    </row>
    <row r="2786" spans="1:2" ht="30.75" customHeight="1">
      <c r="A2786">
        <f>Table4[[#This Row],[Column1]]</f>
        <v>0</v>
      </c>
      <c r="B2786">
        <f>Table4[[#This Row],[Column2]]</f>
        <v>0</v>
      </c>
    </row>
    <row r="2787" spans="1:2" ht="30.75" customHeight="1">
      <c r="A2787">
        <f>Table4[[#This Row],[Column1]]</f>
        <v>0</v>
      </c>
      <c r="B2787">
        <f>Table4[[#This Row],[Column2]]</f>
        <v>0</v>
      </c>
    </row>
    <row r="2788" spans="1:2" ht="30.75" customHeight="1">
      <c r="A2788">
        <f>Table4[[#This Row],[Column1]]</f>
        <v>0</v>
      </c>
      <c r="B2788">
        <f>Table4[[#This Row],[Column2]]</f>
        <v>0</v>
      </c>
    </row>
    <row r="2789" spans="1:2" ht="30.75" customHeight="1">
      <c r="A2789">
        <f>Table4[[#This Row],[Column1]]</f>
        <v>0</v>
      </c>
      <c r="B2789">
        <f>Table4[[#This Row],[Column2]]</f>
        <v>0</v>
      </c>
    </row>
    <row r="2790" spans="1:2" ht="30.75" customHeight="1">
      <c r="A2790">
        <f>Table4[[#This Row],[Column1]]</f>
        <v>0</v>
      </c>
      <c r="B2790">
        <f>Table4[[#This Row],[Column2]]</f>
        <v>0</v>
      </c>
    </row>
    <row r="2791" spans="1:2" ht="30.75" customHeight="1">
      <c r="A2791">
        <f>Table4[[#This Row],[Column1]]</f>
        <v>0</v>
      </c>
      <c r="B2791">
        <f>Table4[[#This Row],[Column2]]</f>
        <v>0</v>
      </c>
    </row>
    <row r="2792" spans="1:2" ht="30.75" customHeight="1">
      <c r="A2792">
        <f>Table4[[#This Row],[Column1]]</f>
        <v>0</v>
      </c>
      <c r="B2792">
        <f>Table4[[#This Row],[Column2]]</f>
        <v>0</v>
      </c>
    </row>
    <row r="2793" spans="1:2" ht="30.75" customHeight="1">
      <c r="A2793">
        <f>Table4[[#This Row],[Column1]]</f>
        <v>0</v>
      </c>
      <c r="B2793">
        <f>Table4[[#This Row],[Column2]]</f>
        <v>0</v>
      </c>
    </row>
    <row r="2794" spans="1:2" ht="30.75" customHeight="1">
      <c r="A2794">
        <f>Table4[[#This Row],[Column1]]</f>
        <v>0</v>
      </c>
      <c r="B2794">
        <f>Table4[[#This Row],[Column2]]</f>
        <v>0</v>
      </c>
    </row>
    <row r="2795" spans="1:2" ht="30.75" customHeight="1">
      <c r="A2795">
        <f>Table4[[#This Row],[Column1]]</f>
        <v>0</v>
      </c>
      <c r="B2795">
        <f>Table4[[#This Row],[Column2]]</f>
        <v>0</v>
      </c>
    </row>
    <row r="2796" spans="1:2" ht="30.75" customHeight="1">
      <c r="A2796">
        <f>Table4[[#This Row],[Column1]]</f>
        <v>0</v>
      </c>
      <c r="B2796">
        <f>Table4[[#This Row],[Column2]]</f>
        <v>0</v>
      </c>
    </row>
    <row r="2797" spans="1:2" ht="30.75" customHeight="1">
      <c r="A2797">
        <f>Table4[[#This Row],[Column1]]</f>
        <v>0</v>
      </c>
      <c r="B2797">
        <f>Table4[[#This Row],[Column2]]</f>
        <v>0</v>
      </c>
    </row>
    <row r="2798" spans="1:2" ht="30.75" customHeight="1">
      <c r="A2798">
        <f>Table4[[#This Row],[Column1]]</f>
        <v>0</v>
      </c>
      <c r="B2798">
        <f>Table4[[#This Row],[Column2]]</f>
        <v>0</v>
      </c>
    </row>
    <row r="2799" spans="1:2" ht="30.75" customHeight="1">
      <c r="A2799">
        <f>Table4[[#This Row],[Column1]]</f>
        <v>0</v>
      </c>
      <c r="B2799">
        <f>Table4[[#This Row],[Column2]]</f>
        <v>0</v>
      </c>
    </row>
    <row r="2800" spans="1:2" ht="30.75" customHeight="1">
      <c r="A2800">
        <f>Table4[[#This Row],[Column1]]</f>
        <v>0</v>
      </c>
      <c r="B2800">
        <f>Table4[[#This Row],[Column2]]</f>
        <v>0</v>
      </c>
    </row>
    <row r="2801" spans="1:2" ht="30.75" customHeight="1">
      <c r="A2801">
        <f>Table4[[#This Row],[Column1]]</f>
        <v>0</v>
      </c>
      <c r="B2801">
        <f>Table4[[#This Row],[Column2]]</f>
        <v>0</v>
      </c>
    </row>
    <row r="2802" spans="1:2" ht="30.75" customHeight="1">
      <c r="A2802">
        <f>Table4[[#This Row],[Column1]]</f>
        <v>0</v>
      </c>
      <c r="B2802">
        <f>Table4[[#This Row],[Column2]]</f>
        <v>0</v>
      </c>
    </row>
    <row r="2803" spans="1:2" ht="30.75" customHeight="1">
      <c r="A2803">
        <f>Table4[[#This Row],[Column1]]</f>
        <v>0</v>
      </c>
      <c r="B2803">
        <f>Table4[[#This Row],[Column2]]</f>
        <v>0</v>
      </c>
    </row>
    <row r="2804" spans="1:2" ht="30.75" customHeight="1">
      <c r="A2804">
        <f>Table4[[#This Row],[Column1]]</f>
        <v>0</v>
      </c>
      <c r="B2804">
        <f>Table4[[#This Row],[Column2]]</f>
        <v>0</v>
      </c>
    </row>
    <row r="2805" spans="1:2" ht="30.75" customHeight="1">
      <c r="A2805">
        <f>Table4[[#This Row],[Column1]]</f>
        <v>0</v>
      </c>
      <c r="B2805">
        <f>Table4[[#This Row],[Column2]]</f>
        <v>0</v>
      </c>
    </row>
    <row r="2806" spans="1:2" ht="30.75" customHeight="1">
      <c r="A2806">
        <f>Table4[[#This Row],[Column1]]</f>
        <v>0</v>
      </c>
      <c r="B2806">
        <f>Table4[[#This Row],[Column2]]</f>
        <v>0</v>
      </c>
    </row>
    <row r="2807" spans="1:2" ht="30.75" customHeight="1">
      <c r="A2807">
        <f>Table4[[#This Row],[Column1]]</f>
        <v>0</v>
      </c>
      <c r="B2807">
        <f>Table4[[#This Row],[Column2]]</f>
        <v>0</v>
      </c>
    </row>
    <row r="2808" spans="1:2" ht="30.75" customHeight="1">
      <c r="A2808">
        <f>Table4[[#This Row],[Column1]]</f>
        <v>0</v>
      </c>
      <c r="B2808">
        <f>Table4[[#This Row],[Column2]]</f>
        <v>0</v>
      </c>
    </row>
    <row r="2809" spans="1:2" ht="30.75" customHeight="1">
      <c r="A2809">
        <f>Table4[[#This Row],[Column1]]</f>
        <v>0</v>
      </c>
      <c r="B2809">
        <f>Table4[[#This Row],[Column2]]</f>
        <v>0</v>
      </c>
    </row>
    <row r="2810" spans="1:2" ht="30.75" customHeight="1">
      <c r="A2810">
        <f>Table4[[#This Row],[Column1]]</f>
        <v>0</v>
      </c>
      <c r="B2810">
        <f>Table4[[#This Row],[Column2]]</f>
        <v>0</v>
      </c>
    </row>
    <row r="2811" spans="1:2" ht="30.75" customHeight="1">
      <c r="A2811">
        <f>Table4[[#This Row],[Column1]]</f>
        <v>0</v>
      </c>
      <c r="B2811">
        <f>Table4[[#This Row],[Column2]]</f>
        <v>0</v>
      </c>
    </row>
    <row r="2812" spans="1:2" ht="30.75" customHeight="1">
      <c r="A2812">
        <f>Table4[[#This Row],[Column1]]</f>
        <v>0</v>
      </c>
      <c r="B2812">
        <f>Table4[[#This Row],[Column2]]</f>
        <v>0</v>
      </c>
    </row>
    <row r="2813" spans="1:2" ht="30.75" customHeight="1">
      <c r="A2813">
        <f>Table4[[#This Row],[Column1]]</f>
        <v>0</v>
      </c>
      <c r="B2813">
        <f>Table4[[#This Row],[Column2]]</f>
        <v>0</v>
      </c>
    </row>
    <row r="2814" spans="1:2" ht="30.75" customHeight="1">
      <c r="A2814">
        <f>Table4[[#This Row],[Column1]]</f>
        <v>0</v>
      </c>
      <c r="B2814">
        <f>Table4[[#This Row],[Column2]]</f>
        <v>0</v>
      </c>
    </row>
    <row r="2815" spans="1:2" ht="30.75" customHeight="1">
      <c r="A2815">
        <f>Table4[[#This Row],[Column1]]</f>
        <v>0</v>
      </c>
      <c r="B2815">
        <f>Table4[[#This Row],[Column2]]</f>
        <v>0</v>
      </c>
    </row>
    <row r="2816" spans="1:2" ht="30.75" customHeight="1">
      <c r="A2816">
        <f>Table4[[#This Row],[Column1]]</f>
        <v>0</v>
      </c>
      <c r="B2816">
        <f>Table4[[#This Row],[Column2]]</f>
        <v>0</v>
      </c>
    </row>
    <row r="2817" spans="1:2" ht="30.75" customHeight="1">
      <c r="A2817">
        <f>Table4[[#This Row],[Column1]]</f>
        <v>0</v>
      </c>
      <c r="B2817">
        <f>Table4[[#This Row],[Column2]]</f>
        <v>0</v>
      </c>
    </row>
    <row r="2818" spans="1:2" ht="30.75" customHeight="1">
      <c r="A2818">
        <f>Table4[[#This Row],[Column1]]</f>
        <v>0</v>
      </c>
      <c r="B2818">
        <f>Table4[[#This Row],[Column2]]</f>
        <v>0</v>
      </c>
    </row>
    <row r="2819" spans="1:2" ht="30.75" customHeight="1">
      <c r="A2819">
        <f>Table4[[#This Row],[Column1]]</f>
        <v>0</v>
      </c>
      <c r="B2819">
        <f>Table4[[#This Row],[Column2]]</f>
        <v>0</v>
      </c>
    </row>
    <row r="2820" spans="1:2" ht="30.75" customHeight="1">
      <c r="A2820">
        <f>Table4[[#This Row],[Column1]]</f>
        <v>0</v>
      </c>
      <c r="B2820">
        <f>Table4[[#This Row],[Column2]]</f>
        <v>0</v>
      </c>
    </row>
    <row r="2821" spans="1:2" ht="30.75" customHeight="1">
      <c r="A2821">
        <f>Table4[[#This Row],[Column1]]</f>
        <v>0</v>
      </c>
      <c r="B2821">
        <f>Table4[[#This Row],[Column2]]</f>
        <v>0</v>
      </c>
    </row>
    <row r="2822" spans="1:2" ht="30.75" customHeight="1">
      <c r="A2822">
        <f>Table4[[#This Row],[Column1]]</f>
        <v>0</v>
      </c>
      <c r="B2822">
        <f>Table4[[#This Row],[Column2]]</f>
        <v>0</v>
      </c>
    </row>
    <row r="2823" spans="1:2" ht="30.75" customHeight="1">
      <c r="A2823">
        <f>Table4[[#This Row],[Column1]]</f>
        <v>0</v>
      </c>
      <c r="B2823">
        <f>Table4[[#This Row],[Column2]]</f>
        <v>0</v>
      </c>
    </row>
    <row r="2824" spans="1:2" ht="30.75" customHeight="1">
      <c r="A2824">
        <f>Table4[[#This Row],[Column1]]</f>
        <v>0</v>
      </c>
      <c r="B2824">
        <f>Table4[[#This Row],[Column2]]</f>
        <v>0</v>
      </c>
    </row>
    <row r="2825" spans="1:2" ht="30.75" customHeight="1">
      <c r="A2825">
        <f>Table4[[#This Row],[Column1]]</f>
        <v>0</v>
      </c>
      <c r="B2825">
        <f>Table4[[#This Row],[Column2]]</f>
        <v>0</v>
      </c>
    </row>
    <row r="2826" spans="1:2" ht="30.75" customHeight="1">
      <c r="A2826">
        <f>Table4[[#This Row],[Column1]]</f>
        <v>0</v>
      </c>
      <c r="B2826">
        <f>Table4[[#This Row],[Column2]]</f>
        <v>0</v>
      </c>
    </row>
    <row r="2827" spans="1:2" ht="30.75" customHeight="1">
      <c r="A2827">
        <f>Table4[[#This Row],[Column1]]</f>
        <v>0</v>
      </c>
      <c r="B2827">
        <f>Table4[[#This Row],[Column2]]</f>
        <v>0</v>
      </c>
    </row>
    <row r="2828" spans="1:2" ht="30.75" customHeight="1">
      <c r="A2828">
        <f>Table4[[#This Row],[Column1]]</f>
        <v>0</v>
      </c>
      <c r="B2828">
        <f>Table4[[#This Row],[Column2]]</f>
        <v>0</v>
      </c>
    </row>
    <row r="2829" spans="1:2" ht="30.75" customHeight="1">
      <c r="A2829">
        <f>Table4[[#This Row],[Column1]]</f>
        <v>0</v>
      </c>
      <c r="B2829">
        <f>Table4[[#This Row],[Column2]]</f>
        <v>0</v>
      </c>
    </row>
    <row r="2830" spans="1:2" ht="30.75" customHeight="1">
      <c r="A2830">
        <f>Table4[[#This Row],[Column1]]</f>
        <v>0</v>
      </c>
      <c r="B2830">
        <f>Table4[[#This Row],[Column2]]</f>
        <v>0</v>
      </c>
    </row>
    <row r="2831" spans="1:2" ht="30.75" customHeight="1">
      <c r="A2831">
        <f>Table4[[#This Row],[Column1]]</f>
        <v>0</v>
      </c>
      <c r="B2831">
        <f>Table4[[#This Row],[Column2]]</f>
        <v>0</v>
      </c>
    </row>
    <row r="2832" spans="1:2" ht="30.75" customHeight="1">
      <c r="A2832">
        <f>Table4[[#This Row],[Column1]]</f>
        <v>0</v>
      </c>
      <c r="B2832">
        <f>Table4[[#This Row],[Column2]]</f>
        <v>0</v>
      </c>
    </row>
    <row r="2833" spans="1:2" ht="30.75" customHeight="1">
      <c r="A2833">
        <f>Table4[[#This Row],[Column1]]</f>
        <v>0</v>
      </c>
      <c r="B2833">
        <f>Table4[[#This Row],[Column2]]</f>
        <v>0</v>
      </c>
    </row>
    <row r="2834" spans="1:2" ht="30.75" customHeight="1">
      <c r="A2834">
        <f>Table4[[#This Row],[Column1]]</f>
        <v>0</v>
      </c>
      <c r="B2834">
        <f>Table4[[#This Row],[Column2]]</f>
        <v>0</v>
      </c>
    </row>
    <row r="2835" spans="1:2" ht="30.75" customHeight="1">
      <c r="A2835">
        <f>Table4[[#This Row],[Column1]]</f>
        <v>0</v>
      </c>
      <c r="B2835">
        <f>Table4[[#This Row],[Column2]]</f>
        <v>0</v>
      </c>
    </row>
    <row r="2836" spans="1:2" ht="30.75" customHeight="1">
      <c r="A2836">
        <f>Table4[[#This Row],[Column1]]</f>
        <v>0</v>
      </c>
      <c r="B2836">
        <f>Table4[[#This Row],[Column2]]</f>
        <v>0</v>
      </c>
    </row>
    <row r="2837" spans="1:2" ht="30.75" customHeight="1">
      <c r="A2837">
        <f>Table4[[#This Row],[Column1]]</f>
        <v>0</v>
      </c>
      <c r="B2837">
        <f>Table4[[#This Row],[Column2]]</f>
        <v>0</v>
      </c>
    </row>
    <row r="2838" spans="1:2" ht="30.75" customHeight="1">
      <c r="A2838">
        <f>Table4[[#This Row],[Column1]]</f>
        <v>0</v>
      </c>
      <c r="B2838">
        <f>Table4[[#This Row],[Column2]]</f>
        <v>0</v>
      </c>
    </row>
    <row r="2839" spans="1:2" ht="30.75" customHeight="1">
      <c r="A2839">
        <f>Table4[[#This Row],[Column1]]</f>
        <v>0</v>
      </c>
      <c r="B2839">
        <f>Table4[[#This Row],[Column2]]</f>
        <v>0</v>
      </c>
    </row>
    <row r="2840" spans="1:2" ht="30.75" customHeight="1">
      <c r="A2840">
        <f>Table4[[#This Row],[Column1]]</f>
        <v>0</v>
      </c>
      <c r="B2840">
        <f>Table4[[#This Row],[Column2]]</f>
        <v>0</v>
      </c>
    </row>
    <row r="2841" spans="1:2" ht="30.75" customHeight="1">
      <c r="A2841">
        <f>Table4[[#This Row],[Column1]]</f>
        <v>0</v>
      </c>
      <c r="B2841">
        <f>Table4[[#This Row],[Column2]]</f>
        <v>0</v>
      </c>
    </row>
    <row r="2842" spans="1:2" ht="30.75" customHeight="1">
      <c r="A2842">
        <f>Table4[[#This Row],[Column1]]</f>
        <v>0</v>
      </c>
      <c r="B2842">
        <f>Table4[[#This Row],[Column2]]</f>
        <v>0</v>
      </c>
    </row>
    <row r="2843" spans="1:2" ht="30.75" customHeight="1">
      <c r="A2843">
        <f>Table4[[#This Row],[Column1]]</f>
        <v>0</v>
      </c>
      <c r="B2843">
        <f>Table4[[#This Row],[Column2]]</f>
        <v>0</v>
      </c>
    </row>
    <row r="2844" spans="1:2" ht="30.75" customHeight="1">
      <c r="A2844">
        <f>Table4[[#This Row],[Column1]]</f>
        <v>0</v>
      </c>
      <c r="B2844">
        <f>Table4[[#This Row],[Column2]]</f>
        <v>0</v>
      </c>
    </row>
    <row r="2845" spans="1:2" ht="30.75" customHeight="1">
      <c r="A2845">
        <f>Table4[[#This Row],[Column1]]</f>
        <v>0</v>
      </c>
      <c r="B2845">
        <f>Table4[[#This Row],[Column2]]</f>
        <v>0</v>
      </c>
    </row>
    <row r="2846" spans="1:2" ht="30.75" customHeight="1">
      <c r="A2846">
        <f>Table4[[#This Row],[Column1]]</f>
        <v>0</v>
      </c>
      <c r="B2846">
        <f>Table4[[#This Row],[Column2]]</f>
        <v>0</v>
      </c>
    </row>
    <row r="2847" spans="1:2" ht="30.75" customHeight="1">
      <c r="A2847">
        <f>Table4[[#This Row],[Column1]]</f>
        <v>0</v>
      </c>
      <c r="B2847">
        <f>Table4[[#This Row],[Column2]]</f>
        <v>0</v>
      </c>
    </row>
    <row r="2848" spans="1:2" ht="30.75" customHeight="1">
      <c r="A2848">
        <f>Table4[[#This Row],[Column1]]</f>
        <v>0</v>
      </c>
      <c r="B2848">
        <f>Table4[[#This Row],[Column2]]</f>
        <v>0</v>
      </c>
    </row>
    <row r="2849" spans="1:2" ht="30.75" customHeight="1">
      <c r="A2849">
        <f>Table4[[#This Row],[Column1]]</f>
        <v>0</v>
      </c>
      <c r="B2849">
        <f>Table4[[#This Row],[Column2]]</f>
        <v>0</v>
      </c>
    </row>
    <row r="2850" spans="1:2" ht="30.75" customHeight="1">
      <c r="A2850">
        <f>Table4[[#This Row],[Column1]]</f>
        <v>0</v>
      </c>
      <c r="B2850">
        <f>Table4[[#This Row],[Column2]]</f>
        <v>0</v>
      </c>
    </row>
    <row r="2851" spans="1:2" ht="30.75" customHeight="1">
      <c r="A2851">
        <f>Table4[[#This Row],[Column1]]</f>
        <v>0</v>
      </c>
      <c r="B2851">
        <f>Table4[[#This Row],[Column2]]</f>
        <v>0</v>
      </c>
    </row>
    <row r="2852" spans="1:2" ht="30.75" customHeight="1">
      <c r="A2852">
        <f>Table4[[#This Row],[Column1]]</f>
        <v>0</v>
      </c>
      <c r="B2852">
        <f>Table4[[#This Row],[Column2]]</f>
        <v>0</v>
      </c>
    </row>
    <row r="2853" spans="1:2" ht="30.75" customHeight="1">
      <c r="A2853">
        <f>Table4[[#This Row],[Column1]]</f>
        <v>0</v>
      </c>
      <c r="B2853">
        <f>Table4[[#This Row],[Column2]]</f>
        <v>0</v>
      </c>
    </row>
    <row r="2854" spans="1:2" ht="30.75" customHeight="1">
      <c r="A2854">
        <f>Table4[[#This Row],[Column1]]</f>
        <v>0</v>
      </c>
      <c r="B2854">
        <f>Table4[[#This Row],[Column2]]</f>
        <v>0</v>
      </c>
    </row>
    <row r="2855" spans="1:2" ht="30.75" customHeight="1">
      <c r="A2855">
        <f>Table4[[#This Row],[Column1]]</f>
        <v>0</v>
      </c>
      <c r="B2855">
        <f>Table4[[#This Row],[Column2]]</f>
        <v>0</v>
      </c>
    </row>
    <row r="2856" spans="1:2" ht="30.75" customHeight="1">
      <c r="A2856">
        <f>Table4[[#This Row],[Column1]]</f>
        <v>0</v>
      </c>
      <c r="B2856">
        <f>Table4[[#This Row],[Column2]]</f>
        <v>0</v>
      </c>
    </row>
    <row r="2857" spans="1:2" ht="30.75" customHeight="1">
      <c r="A2857">
        <f>Table4[[#This Row],[Column1]]</f>
        <v>0</v>
      </c>
      <c r="B2857">
        <f>Table4[[#This Row],[Column2]]</f>
        <v>0</v>
      </c>
    </row>
    <row r="2858" spans="1:2" ht="30.75" customHeight="1">
      <c r="A2858">
        <f>Table4[[#This Row],[Column1]]</f>
        <v>0</v>
      </c>
      <c r="B2858">
        <f>Table4[[#This Row],[Column2]]</f>
        <v>0</v>
      </c>
    </row>
    <row r="2859" spans="1:2" ht="30.75" customHeight="1">
      <c r="A2859">
        <f>Table4[[#This Row],[Column1]]</f>
        <v>0</v>
      </c>
      <c r="B2859">
        <f>Table4[[#This Row],[Column2]]</f>
        <v>0</v>
      </c>
    </row>
    <row r="2860" spans="1:2" ht="30.75" customHeight="1">
      <c r="A2860">
        <f>Table4[[#This Row],[Column1]]</f>
        <v>0</v>
      </c>
      <c r="B2860">
        <f>Table4[[#This Row],[Column2]]</f>
        <v>0</v>
      </c>
    </row>
    <row r="2861" spans="1:2" ht="30.75" customHeight="1">
      <c r="A2861">
        <f>Table4[[#This Row],[Column1]]</f>
        <v>0</v>
      </c>
      <c r="B2861">
        <f>Table4[[#This Row],[Column2]]</f>
        <v>0</v>
      </c>
    </row>
    <row r="2862" spans="1:2" ht="30.75" customHeight="1">
      <c r="A2862">
        <f>Table4[[#This Row],[Column1]]</f>
        <v>0</v>
      </c>
      <c r="B2862">
        <f>Table4[[#This Row],[Column2]]</f>
        <v>0</v>
      </c>
    </row>
    <row r="2863" spans="1:2" ht="30.75" customHeight="1">
      <c r="A2863">
        <f>Table4[[#This Row],[Column1]]</f>
        <v>0</v>
      </c>
      <c r="B2863">
        <f>Table4[[#This Row],[Column2]]</f>
        <v>0</v>
      </c>
    </row>
    <row r="2864" spans="1:2" ht="30.75" customHeight="1">
      <c r="A2864">
        <f>Table4[[#This Row],[Column1]]</f>
        <v>0</v>
      </c>
      <c r="B2864">
        <f>Table4[[#This Row],[Column2]]</f>
        <v>0</v>
      </c>
    </row>
    <row r="2865" spans="1:2" ht="30.75" customHeight="1">
      <c r="A2865">
        <f>Table4[[#This Row],[Column1]]</f>
        <v>0</v>
      </c>
      <c r="B2865">
        <f>Table4[[#This Row],[Column2]]</f>
        <v>0</v>
      </c>
    </row>
    <row r="2866" spans="1:2" ht="30.75" customHeight="1">
      <c r="A2866">
        <f>Table4[[#This Row],[Column1]]</f>
        <v>0</v>
      </c>
      <c r="B2866">
        <f>Table4[[#This Row],[Column2]]</f>
        <v>0</v>
      </c>
    </row>
    <row r="2867" spans="1:2" ht="30.75" customHeight="1">
      <c r="A2867">
        <f>Table4[[#This Row],[Column1]]</f>
        <v>0</v>
      </c>
      <c r="B2867">
        <f>Table4[[#This Row],[Column2]]</f>
        <v>0</v>
      </c>
    </row>
    <row r="2868" spans="1:2" ht="30.75" customHeight="1">
      <c r="A2868">
        <f>Table4[[#This Row],[Column1]]</f>
        <v>0</v>
      </c>
      <c r="B2868">
        <f>Table4[[#This Row],[Column2]]</f>
        <v>0</v>
      </c>
    </row>
    <row r="2869" spans="1:2" ht="30.75" customHeight="1">
      <c r="A2869">
        <f>Table4[[#This Row],[Column1]]</f>
        <v>0</v>
      </c>
      <c r="B2869">
        <f>Table4[[#This Row],[Column2]]</f>
        <v>0</v>
      </c>
    </row>
    <row r="2870" spans="1:2" ht="30.75" customHeight="1">
      <c r="A2870">
        <f>Table4[[#This Row],[Column1]]</f>
        <v>0</v>
      </c>
      <c r="B2870">
        <f>Table4[[#This Row],[Column2]]</f>
        <v>0</v>
      </c>
    </row>
    <row r="2871" spans="1:2" ht="30.75" customHeight="1">
      <c r="A2871">
        <f>Table4[[#This Row],[Column1]]</f>
        <v>0</v>
      </c>
      <c r="B2871">
        <f>Table4[[#This Row],[Column2]]</f>
        <v>0</v>
      </c>
    </row>
    <row r="2872" spans="1:2" ht="30.75" customHeight="1">
      <c r="A2872">
        <f>Table4[[#This Row],[Column1]]</f>
        <v>0</v>
      </c>
      <c r="B2872">
        <f>Table4[[#This Row],[Column2]]</f>
        <v>0</v>
      </c>
    </row>
    <row r="2873" spans="1:2" ht="30.75" customHeight="1">
      <c r="A2873">
        <f>Table4[[#This Row],[Column1]]</f>
        <v>0</v>
      </c>
      <c r="B2873">
        <f>Table4[[#This Row],[Column2]]</f>
        <v>0</v>
      </c>
    </row>
    <row r="2874" spans="1:2" ht="30.75" customHeight="1">
      <c r="A2874">
        <f>Table4[[#This Row],[Column1]]</f>
        <v>0</v>
      </c>
      <c r="B2874">
        <f>Table4[[#This Row],[Column2]]</f>
        <v>0</v>
      </c>
    </row>
    <row r="2875" spans="1:2" ht="30.75" customHeight="1">
      <c r="A2875">
        <f>Table4[[#This Row],[Column1]]</f>
        <v>0</v>
      </c>
      <c r="B2875">
        <f>Table4[[#This Row],[Column2]]</f>
        <v>0</v>
      </c>
    </row>
    <row r="2876" spans="1:2" ht="30.75" customHeight="1">
      <c r="A2876">
        <f>Table4[[#This Row],[Column1]]</f>
        <v>0</v>
      </c>
      <c r="B2876">
        <f>Table4[[#This Row],[Column2]]</f>
        <v>0</v>
      </c>
    </row>
    <row r="2877" spans="1:2" ht="30.75" customHeight="1">
      <c r="A2877">
        <f>Table4[[#This Row],[Column1]]</f>
        <v>0</v>
      </c>
      <c r="B2877">
        <f>Table4[[#This Row],[Column2]]</f>
        <v>0</v>
      </c>
    </row>
    <row r="2878" spans="1:2" ht="30.75" customHeight="1">
      <c r="A2878">
        <f>Table4[[#This Row],[Column1]]</f>
        <v>0</v>
      </c>
      <c r="B2878">
        <f>Table4[[#This Row],[Column2]]</f>
        <v>0</v>
      </c>
    </row>
    <row r="2879" spans="1:2" ht="30.75" customHeight="1">
      <c r="A2879">
        <f>Table4[[#This Row],[Column1]]</f>
        <v>0</v>
      </c>
      <c r="B2879">
        <f>Table4[[#This Row],[Column2]]</f>
        <v>0</v>
      </c>
    </row>
    <row r="2880" spans="1:2" ht="30.75" customHeight="1">
      <c r="A2880">
        <f>Table4[[#This Row],[Column1]]</f>
        <v>0</v>
      </c>
      <c r="B2880">
        <f>Table4[[#This Row],[Column2]]</f>
        <v>0</v>
      </c>
    </row>
    <row r="2881" spans="1:2" ht="30.75" customHeight="1">
      <c r="A2881">
        <f>Table4[[#This Row],[Column1]]</f>
        <v>0</v>
      </c>
      <c r="B2881">
        <f>Table4[[#This Row],[Column2]]</f>
        <v>0</v>
      </c>
    </row>
    <row r="2882" spans="1:2" ht="30.75" customHeight="1">
      <c r="A2882">
        <f>Table4[[#This Row],[Column1]]</f>
        <v>0</v>
      </c>
      <c r="B2882">
        <f>Table4[[#This Row],[Column2]]</f>
        <v>0</v>
      </c>
    </row>
    <row r="2883" spans="1:2" ht="30.75" customHeight="1">
      <c r="A2883">
        <f>Table4[[#This Row],[Column1]]</f>
        <v>0</v>
      </c>
      <c r="B2883">
        <f>Table4[[#This Row],[Column2]]</f>
        <v>0</v>
      </c>
    </row>
    <row r="2884" spans="1:2" ht="30.75" customHeight="1">
      <c r="A2884">
        <f>Table4[[#This Row],[Column1]]</f>
        <v>0</v>
      </c>
      <c r="B2884">
        <f>Table4[[#This Row],[Column2]]</f>
        <v>0</v>
      </c>
    </row>
    <row r="2885" spans="1:2" ht="30.75" customHeight="1">
      <c r="A2885">
        <f>Table4[[#This Row],[Column1]]</f>
        <v>0</v>
      </c>
      <c r="B2885">
        <f>Table4[[#This Row],[Column2]]</f>
        <v>0</v>
      </c>
    </row>
    <row r="2886" spans="1:2" ht="30.75" customHeight="1">
      <c r="A2886">
        <f>Table4[[#This Row],[Column1]]</f>
        <v>0</v>
      </c>
      <c r="B2886">
        <f>Table4[[#This Row],[Column2]]</f>
        <v>0</v>
      </c>
    </row>
    <row r="2887" spans="1:2" ht="30.75" customHeight="1">
      <c r="A2887">
        <f>Table4[[#This Row],[Column1]]</f>
        <v>0</v>
      </c>
      <c r="B2887">
        <f>Table4[[#This Row],[Column2]]</f>
        <v>0</v>
      </c>
    </row>
    <row r="2888" spans="1:2" ht="30.75" customHeight="1">
      <c r="A2888">
        <f>Table4[[#This Row],[Column1]]</f>
        <v>0</v>
      </c>
      <c r="B2888">
        <f>Table4[[#This Row],[Column2]]</f>
        <v>0</v>
      </c>
    </row>
    <row r="2889" spans="1:2" ht="30.75" customHeight="1">
      <c r="A2889">
        <f>Table4[[#This Row],[Column1]]</f>
        <v>0</v>
      </c>
      <c r="B2889">
        <f>Table4[[#This Row],[Column2]]</f>
        <v>0</v>
      </c>
    </row>
    <row r="2890" spans="1:2" ht="30.75" customHeight="1">
      <c r="A2890">
        <f>Table4[[#This Row],[Column1]]</f>
        <v>0</v>
      </c>
      <c r="B2890">
        <f>Table4[[#This Row],[Column2]]</f>
        <v>0</v>
      </c>
    </row>
    <row r="2891" spans="1:2" ht="30.75" customHeight="1">
      <c r="A2891">
        <f>Table4[[#This Row],[Column1]]</f>
        <v>0</v>
      </c>
      <c r="B2891">
        <f>Table4[[#This Row],[Column2]]</f>
        <v>0</v>
      </c>
    </row>
    <row r="2892" spans="1:2" ht="30.75" customHeight="1">
      <c r="A2892">
        <f>Table4[[#This Row],[Column1]]</f>
        <v>0</v>
      </c>
      <c r="B2892">
        <f>Table4[[#This Row],[Column2]]</f>
        <v>0</v>
      </c>
    </row>
    <row r="2893" spans="1:2" ht="30.75" customHeight="1">
      <c r="A2893">
        <f>Table4[[#This Row],[Column1]]</f>
        <v>0</v>
      </c>
      <c r="B2893">
        <f>Table4[[#This Row],[Column2]]</f>
        <v>0</v>
      </c>
    </row>
    <row r="2894" spans="1:2" ht="30.75" customHeight="1">
      <c r="A2894">
        <f>Table4[[#This Row],[Column1]]</f>
        <v>0</v>
      </c>
      <c r="B2894">
        <f>Table4[[#This Row],[Column2]]</f>
        <v>0</v>
      </c>
    </row>
    <row r="2895" spans="1:2" ht="30.75" customHeight="1">
      <c r="A2895">
        <f>Table4[[#This Row],[Column1]]</f>
        <v>0</v>
      </c>
      <c r="B2895">
        <f>Table4[[#This Row],[Column2]]</f>
        <v>0</v>
      </c>
    </row>
    <row r="2896" spans="1:2" ht="30.75" customHeight="1">
      <c r="A2896">
        <f>Table4[[#This Row],[Column1]]</f>
        <v>0</v>
      </c>
      <c r="B2896">
        <f>Table4[[#This Row],[Column2]]</f>
        <v>0</v>
      </c>
    </row>
    <row r="2897" spans="1:2" ht="30.75" customHeight="1">
      <c r="A2897">
        <f>Table4[[#This Row],[Column1]]</f>
        <v>0</v>
      </c>
      <c r="B2897">
        <f>Table4[[#This Row],[Column2]]</f>
        <v>0</v>
      </c>
    </row>
    <row r="2898" spans="1:2" ht="30.75" customHeight="1">
      <c r="A2898">
        <f>Table4[[#This Row],[Column1]]</f>
        <v>0</v>
      </c>
      <c r="B2898">
        <f>Table4[[#This Row],[Column2]]</f>
        <v>0</v>
      </c>
    </row>
    <row r="2899" spans="1:2" ht="30.75" customHeight="1">
      <c r="A2899">
        <f>Table4[[#This Row],[Column1]]</f>
        <v>0</v>
      </c>
      <c r="B2899">
        <f>Table4[[#This Row],[Column2]]</f>
        <v>0</v>
      </c>
    </row>
    <row r="2900" spans="1:2" ht="30.75" customHeight="1">
      <c r="A2900">
        <f>Table4[[#This Row],[Column1]]</f>
        <v>0</v>
      </c>
      <c r="B2900">
        <f>Table4[[#This Row],[Column2]]</f>
        <v>0</v>
      </c>
    </row>
    <row r="2901" spans="1:2" ht="30.75" customHeight="1">
      <c r="A2901">
        <f>Table4[[#This Row],[Column1]]</f>
        <v>0</v>
      </c>
      <c r="B2901">
        <f>Table4[[#This Row],[Column2]]</f>
        <v>0</v>
      </c>
    </row>
    <row r="2902" spans="1:2" ht="30.75" customHeight="1">
      <c r="A2902">
        <f>Table4[[#This Row],[Column1]]</f>
        <v>0</v>
      </c>
      <c r="B2902">
        <f>Table4[[#This Row],[Column2]]</f>
        <v>0</v>
      </c>
    </row>
    <row r="2903" spans="1:2" ht="30.75" customHeight="1">
      <c r="A2903">
        <f>Table4[[#This Row],[Column1]]</f>
        <v>0</v>
      </c>
      <c r="B2903">
        <f>Table4[[#This Row],[Column2]]</f>
        <v>0</v>
      </c>
    </row>
    <row r="2904" spans="1:2" ht="30.75" customHeight="1">
      <c r="A2904">
        <f>Table4[[#This Row],[Column1]]</f>
        <v>0</v>
      </c>
      <c r="B2904">
        <f>Table4[[#This Row],[Column2]]</f>
        <v>0</v>
      </c>
    </row>
    <row r="2905" spans="1:2" ht="30.75" customHeight="1">
      <c r="A2905">
        <f>Table4[[#This Row],[Column1]]</f>
        <v>0</v>
      </c>
      <c r="B2905">
        <f>Table4[[#This Row],[Column2]]</f>
        <v>0</v>
      </c>
    </row>
    <row r="2906" spans="1:2" ht="30.75" customHeight="1">
      <c r="A2906">
        <f>Table4[[#This Row],[Column1]]</f>
        <v>0</v>
      </c>
      <c r="B2906">
        <f>Table4[[#This Row],[Column2]]</f>
        <v>0</v>
      </c>
    </row>
    <row r="2907" spans="1:2" ht="30.75" customHeight="1">
      <c r="A2907">
        <f>Table4[[#This Row],[Column1]]</f>
        <v>0</v>
      </c>
      <c r="B2907">
        <f>Table4[[#This Row],[Column2]]</f>
        <v>0</v>
      </c>
    </row>
    <row r="2908" spans="1:2" ht="30.75" customHeight="1">
      <c r="A2908">
        <f>Table4[[#This Row],[Column1]]</f>
        <v>0</v>
      </c>
      <c r="B2908">
        <f>Table4[[#This Row],[Column2]]</f>
        <v>0</v>
      </c>
    </row>
    <row r="2909" spans="1:2" ht="30.75" customHeight="1">
      <c r="A2909">
        <f>Table4[[#This Row],[Column1]]</f>
        <v>0</v>
      </c>
      <c r="B2909">
        <f>Table4[[#This Row],[Column2]]</f>
        <v>0</v>
      </c>
    </row>
    <row r="2910" spans="1:2" ht="30.75" customHeight="1">
      <c r="A2910">
        <f>Table4[[#This Row],[Column1]]</f>
        <v>0</v>
      </c>
      <c r="B2910">
        <f>Table4[[#This Row],[Column2]]</f>
        <v>0</v>
      </c>
    </row>
    <row r="2911" spans="1:2" ht="30.75" customHeight="1">
      <c r="A2911">
        <f>Table4[[#This Row],[Column1]]</f>
        <v>0</v>
      </c>
      <c r="B2911">
        <f>Table4[[#This Row],[Column2]]</f>
        <v>0</v>
      </c>
    </row>
    <row r="2912" spans="1:2" ht="30.75" customHeight="1">
      <c r="A2912">
        <f>Table4[[#This Row],[Column1]]</f>
        <v>0</v>
      </c>
      <c r="B2912">
        <f>Table4[[#This Row],[Column2]]</f>
        <v>0</v>
      </c>
    </row>
    <row r="2913" spans="1:2" ht="30.75" customHeight="1">
      <c r="A2913">
        <f>Table4[[#This Row],[Column1]]</f>
        <v>0</v>
      </c>
      <c r="B2913">
        <f>Table4[[#This Row],[Column2]]</f>
        <v>0</v>
      </c>
    </row>
    <row r="2914" spans="1:2" ht="30.75" customHeight="1">
      <c r="A2914">
        <f>Table4[[#This Row],[Column1]]</f>
        <v>0</v>
      </c>
      <c r="B2914">
        <f>Table4[[#This Row],[Column2]]</f>
        <v>0</v>
      </c>
    </row>
    <row r="2915" spans="1:2" ht="30.75" customHeight="1">
      <c r="A2915">
        <f>Table4[[#This Row],[Column1]]</f>
        <v>0</v>
      </c>
      <c r="B2915">
        <f>Table4[[#This Row],[Column2]]</f>
        <v>0</v>
      </c>
    </row>
    <row r="2916" spans="1:2" ht="30.75" customHeight="1">
      <c r="A2916">
        <f>Table4[[#This Row],[Column1]]</f>
        <v>0</v>
      </c>
      <c r="B2916">
        <f>Table4[[#This Row],[Column2]]</f>
        <v>0</v>
      </c>
    </row>
    <row r="2917" spans="1:2" ht="30.75" customHeight="1">
      <c r="A2917">
        <f>Table4[[#This Row],[Column1]]</f>
        <v>0</v>
      </c>
      <c r="B2917">
        <f>Table4[[#This Row],[Column2]]</f>
        <v>0</v>
      </c>
    </row>
    <row r="2918" spans="1:2" ht="30.75" customHeight="1">
      <c r="A2918">
        <f>Table4[[#This Row],[Column1]]</f>
        <v>0</v>
      </c>
      <c r="B2918">
        <f>Table4[[#This Row],[Column2]]</f>
        <v>0</v>
      </c>
    </row>
    <row r="2919" spans="1:2" ht="30.75" customHeight="1">
      <c r="A2919">
        <f>Table4[[#This Row],[Column1]]</f>
        <v>0</v>
      </c>
      <c r="B2919">
        <f>Table4[[#This Row],[Column2]]</f>
        <v>0</v>
      </c>
    </row>
    <row r="2920" spans="1:2" ht="30.75" customHeight="1">
      <c r="A2920">
        <f>Table4[[#This Row],[Column1]]</f>
        <v>0</v>
      </c>
      <c r="B2920">
        <f>Table4[[#This Row],[Column2]]</f>
        <v>0</v>
      </c>
    </row>
    <row r="2921" spans="1:2" ht="30.75" customHeight="1">
      <c r="A2921">
        <f>Table4[[#This Row],[Column1]]</f>
        <v>0</v>
      </c>
      <c r="B2921">
        <f>Table4[[#This Row],[Column2]]</f>
        <v>0</v>
      </c>
    </row>
    <row r="2922" spans="1:2" ht="30.75" customHeight="1">
      <c r="A2922">
        <f>Table4[[#This Row],[Column1]]</f>
        <v>0</v>
      </c>
      <c r="B2922">
        <f>Table4[[#This Row],[Column2]]</f>
        <v>0</v>
      </c>
    </row>
    <row r="2923" spans="1:2" ht="30.75" customHeight="1">
      <c r="A2923">
        <f>Table4[[#This Row],[Column1]]</f>
        <v>0</v>
      </c>
      <c r="B2923">
        <f>Table4[[#This Row],[Column2]]</f>
        <v>0</v>
      </c>
    </row>
    <row r="2924" spans="1:2" ht="30.75" customHeight="1">
      <c r="A2924">
        <f>Table4[[#This Row],[Column1]]</f>
        <v>0</v>
      </c>
      <c r="B2924">
        <f>Table4[[#This Row],[Column2]]</f>
        <v>0</v>
      </c>
    </row>
    <row r="2925" spans="1:2" ht="30.75" customHeight="1">
      <c r="A2925">
        <f>Table4[[#This Row],[Column1]]</f>
        <v>0</v>
      </c>
      <c r="B2925">
        <f>Table4[[#This Row],[Column2]]</f>
        <v>0</v>
      </c>
    </row>
    <row r="2926" spans="1:2" ht="30.75" customHeight="1">
      <c r="A2926">
        <f>Table4[[#This Row],[Column1]]</f>
        <v>0</v>
      </c>
      <c r="B2926">
        <f>Table4[[#This Row],[Column2]]</f>
        <v>0</v>
      </c>
    </row>
    <row r="2927" spans="1:2" ht="30.75" customHeight="1">
      <c r="A2927">
        <f>Table4[[#This Row],[Column1]]</f>
        <v>0</v>
      </c>
      <c r="B2927">
        <f>Table4[[#This Row],[Column2]]</f>
        <v>0</v>
      </c>
    </row>
    <row r="2928" spans="1:2" ht="30.75" customHeight="1">
      <c r="A2928">
        <f>Table4[[#This Row],[Column1]]</f>
        <v>0</v>
      </c>
      <c r="B2928">
        <f>Table4[[#This Row],[Column2]]</f>
        <v>0</v>
      </c>
    </row>
    <row r="2929" spans="1:2" ht="30.75" customHeight="1">
      <c r="A2929">
        <f>Table4[[#This Row],[Column1]]</f>
        <v>0</v>
      </c>
      <c r="B2929">
        <f>Table4[[#This Row],[Column2]]</f>
        <v>0</v>
      </c>
    </row>
    <row r="2930" spans="1:2" ht="30.75" customHeight="1">
      <c r="A2930">
        <f>Table4[[#This Row],[Column1]]</f>
        <v>0</v>
      </c>
      <c r="B2930">
        <f>Table4[[#This Row],[Column2]]</f>
        <v>0</v>
      </c>
    </row>
    <row r="2931" spans="1:2" ht="30.75" customHeight="1">
      <c r="A2931">
        <f>Table4[[#This Row],[Column1]]</f>
        <v>0</v>
      </c>
      <c r="B2931">
        <f>Table4[[#This Row],[Column2]]</f>
        <v>0</v>
      </c>
    </row>
    <row r="2932" spans="1:2" ht="30.75" customHeight="1">
      <c r="A2932">
        <f>Table4[[#This Row],[Column1]]</f>
        <v>0</v>
      </c>
      <c r="B2932">
        <f>Table4[[#This Row],[Column2]]</f>
        <v>0</v>
      </c>
    </row>
    <row r="2933" spans="1:2" ht="30.75" customHeight="1">
      <c r="A2933">
        <f>Table4[[#This Row],[Column1]]</f>
        <v>0</v>
      </c>
      <c r="B2933">
        <f>Table4[[#This Row],[Column2]]</f>
        <v>0</v>
      </c>
    </row>
    <row r="2934" spans="1:2" ht="30.75" customHeight="1">
      <c r="A2934">
        <f>Table4[[#This Row],[Column1]]</f>
        <v>0</v>
      </c>
      <c r="B2934">
        <f>Table4[[#This Row],[Column2]]</f>
        <v>0</v>
      </c>
    </row>
    <row r="2935" spans="1:2" ht="30.75" customHeight="1">
      <c r="A2935">
        <f>Table4[[#This Row],[Column1]]</f>
        <v>0</v>
      </c>
      <c r="B2935">
        <f>Table4[[#This Row],[Column2]]</f>
        <v>0</v>
      </c>
    </row>
    <row r="2936" spans="1:2" ht="30.75" customHeight="1">
      <c r="A2936">
        <f>Table4[[#This Row],[Column1]]</f>
        <v>0</v>
      </c>
      <c r="B2936">
        <f>Table4[[#This Row],[Column2]]</f>
        <v>0</v>
      </c>
    </row>
    <row r="2937" spans="1:2" ht="30.75" customHeight="1">
      <c r="A2937">
        <f>Table4[[#This Row],[Column1]]</f>
        <v>0</v>
      </c>
      <c r="B2937">
        <f>Table4[[#This Row],[Column2]]</f>
        <v>0</v>
      </c>
    </row>
    <row r="2938" spans="1:2" ht="30.75" customHeight="1">
      <c r="A2938">
        <f>Table4[[#This Row],[Column1]]</f>
        <v>0</v>
      </c>
      <c r="B2938">
        <f>Table4[[#This Row],[Column2]]</f>
        <v>0</v>
      </c>
    </row>
    <row r="2939" spans="1:2" ht="30.75" customHeight="1">
      <c r="A2939">
        <f>Table4[[#This Row],[Column1]]</f>
        <v>0</v>
      </c>
      <c r="B2939">
        <f>Table4[[#This Row],[Column2]]</f>
        <v>0</v>
      </c>
    </row>
    <row r="2940" spans="1:2" ht="30.75" customHeight="1">
      <c r="A2940">
        <f>Table4[[#This Row],[Column1]]</f>
        <v>0</v>
      </c>
      <c r="B2940">
        <f>Table4[[#This Row],[Column2]]</f>
        <v>0</v>
      </c>
    </row>
    <row r="2941" spans="1:2" ht="30.75" customHeight="1">
      <c r="A2941">
        <f>Table4[[#This Row],[Column1]]</f>
        <v>0</v>
      </c>
      <c r="B2941">
        <f>Table4[[#This Row],[Column2]]</f>
        <v>0</v>
      </c>
    </row>
    <row r="2942" spans="1:2" ht="30.75" customHeight="1">
      <c r="A2942">
        <f>Table4[[#This Row],[Column1]]</f>
        <v>0</v>
      </c>
      <c r="B2942">
        <f>Table4[[#This Row],[Column2]]</f>
        <v>0</v>
      </c>
    </row>
    <row r="2943" spans="1:2" ht="30.75" customHeight="1">
      <c r="A2943">
        <f>Table4[[#This Row],[Column1]]</f>
        <v>0</v>
      </c>
      <c r="B2943">
        <f>Table4[[#This Row],[Column2]]</f>
        <v>0</v>
      </c>
    </row>
    <row r="2944" spans="1:2" ht="30.75" customHeight="1">
      <c r="A2944">
        <f>Table4[[#This Row],[Column1]]</f>
        <v>0</v>
      </c>
      <c r="B2944">
        <f>Table4[[#This Row],[Column2]]</f>
        <v>0</v>
      </c>
    </row>
    <row r="2945" spans="1:2" ht="30.75" customHeight="1">
      <c r="A2945">
        <f>Table4[[#This Row],[Column1]]</f>
        <v>0</v>
      </c>
      <c r="B2945">
        <f>Table4[[#This Row],[Column2]]</f>
        <v>0</v>
      </c>
    </row>
    <row r="2946" spans="1:2" ht="30.75" customHeight="1">
      <c r="A2946">
        <f>Table4[[#This Row],[Column1]]</f>
        <v>0</v>
      </c>
      <c r="B2946">
        <f>Table4[[#This Row],[Column2]]</f>
        <v>0</v>
      </c>
    </row>
    <row r="2947" spans="1:2" ht="30.75" customHeight="1">
      <c r="A2947">
        <f>Table4[[#This Row],[Column1]]</f>
        <v>0</v>
      </c>
      <c r="B2947">
        <f>Table4[[#This Row],[Column2]]</f>
        <v>0</v>
      </c>
    </row>
    <row r="2948" spans="1:2" ht="30.75" customHeight="1">
      <c r="A2948">
        <f>Table4[[#This Row],[Column1]]</f>
        <v>0</v>
      </c>
      <c r="B2948">
        <f>Table4[[#This Row],[Column2]]</f>
        <v>0</v>
      </c>
    </row>
    <row r="2949" spans="1:2" ht="30.75" customHeight="1">
      <c r="A2949">
        <f>Table4[[#This Row],[Column1]]</f>
        <v>0</v>
      </c>
      <c r="B2949">
        <f>Table4[[#This Row],[Column2]]</f>
        <v>0</v>
      </c>
    </row>
    <row r="2950" spans="1:2" ht="30.75" customHeight="1">
      <c r="A2950">
        <f>Table4[[#This Row],[Column1]]</f>
        <v>0</v>
      </c>
      <c r="B2950">
        <f>Table4[[#This Row],[Column2]]</f>
        <v>0</v>
      </c>
    </row>
    <row r="2951" spans="1:2" ht="30.75" customHeight="1">
      <c r="A2951">
        <f>Table4[[#This Row],[Column1]]</f>
        <v>0</v>
      </c>
      <c r="B2951">
        <f>Table4[[#This Row],[Column2]]</f>
        <v>0</v>
      </c>
    </row>
    <row r="2952" spans="1:2" ht="30.75" customHeight="1">
      <c r="A2952">
        <f>Table4[[#This Row],[Column1]]</f>
        <v>0</v>
      </c>
      <c r="B2952">
        <f>Table4[[#This Row],[Column2]]</f>
        <v>0</v>
      </c>
    </row>
    <row r="2953" spans="1:2" ht="30.75" customHeight="1">
      <c r="A2953">
        <f>Table4[[#This Row],[Column1]]</f>
        <v>0</v>
      </c>
      <c r="B2953">
        <f>Table4[[#This Row],[Column2]]</f>
        <v>0</v>
      </c>
    </row>
    <row r="2954" spans="1:2" ht="30.75" customHeight="1">
      <c r="A2954">
        <f>Table4[[#This Row],[Column1]]</f>
        <v>0</v>
      </c>
      <c r="B2954">
        <f>Table4[[#This Row],[Column2]]</f>
        <v>0</v>
      </c>
    </row>
    <row r="2955" spans="1:2" ht="30.75" customHeight="1">
      <c r="A2955">
        <f>Table4[[#This Row],[Column1]]</f>
        <v>0</v>
      </c>
      <c r="B2955">
        <f>Table4[[#This Row],[Column2]]</f>
        <v>0</v>
      </c>
    </row>
    <row r="2956" spans="1:2" ht="30.75" customHeight="1">
      <c r="A2956">
        <f>Table4[[#This Row],[Column1]]</f>
        <v>0</v>
      </c>
      <c r="B2956">
        <f>Table4[[#This Row],[Column2]]</f>
        <v>0</v>
      </c>
    </row>
    <row r="2957" spans="1:2" ht="30.75" customHeight="1">
      <c r="A2957">
        <f>Table4[[#This Row],[Column1]]</f>
        <v>0</v>
      </c>
      <c r="B2957">
        <f>Table4[[#This Row],[Column2]]</f>
        <v>0</v>
      </c>
    </row>
    <row r="2958" spans="1:2" ht="30.75" customHeight="1">
      <c r="A2958">
        <f>Table4[[#This Row],[Column1]]</f>
        <v>0</v>
      </c>
      <c r="B2958">
        <f>Table4[[#This Row],[Column2]]</f>
        <v>0</v>
      </c>
    </row>
    <row r="2959" spans="1:2" ht="30.75" customHeight="1">
      <c r="A2959">
        <f>Table4[[#This Row],[Column1]]</f>
        <v>0</v>
      </c>
      <c r="B2959">
        <f>Table4[[#This Row],[Column2]]</f>
        <v>0</v>
      </c>
    </row>
    <row r="2960" spans="1:2" ht="30.75" customHeight="1">
      <c r="A2960">
        <f>Table4[[#This Row],[Column1]]</f>
        <v>0</v>
      </c>
      <c r="B2960">
        <f>Table4[[#This Row],[Column2]]</f>
        <v>0</v>
      </c>
    </row>
    <row r="2961" spans="1:2" ht="30.75" customHeight="1">
      <c r="A2961">
        <f>Table4[[#This Row],[Column1]]</f>
        <v>0</v>
      </c>
      <c r="B2961">
        <f>Table4[[#This Row],[Column2]]</f>
        <v>0</v>
      </c>
    </row>
    <row r="2962" spans="1:2" ht="30.75" customHeight="1">
      <c r="A2962">
        <f>Table4[[#This Row],[Column1]]</f>
        <v>0</v>
      </c>
      <c r="B2962">
        <f>Table4[[#This Row],[Column2]]</f>
        <v>0</v>
      </c>
    </row>
    <row r="2963" spans="1:2" ht="30.75" customHeight="1">
      <c r="A2963">
        <f>Table4[[#This Row],[Column1]]</f>
        <v>0</v>
      </c>
      <c r="B2963">
        <f>Table4[[#This Row],[Column2]]</f>
        <v>0</v>
      </c>
    </row>
    <row r="2964" spans="1:2" ht="30.75" customHeight="1">
      <c r="A2964">
        <f>Table4[[#This Row],[Column1]]</f>
        <v>0</v>
      </c>
      <c r="B2964">
        <f>Table4[[#This Row],[Column2]]</f>
        <v>0</v>
      </c>
    </row>
    <row r="2965" spans="1:2" ht="30.75" customHeight="1">
      <c r="A2965">
        <f>Table4[[#This Row],[Column1]]</f>
        <v>0</v>
      </c>
      <c r="B2965">
        <f>Table4[[#This Row],[Column2]]</f>
        <v>0</v>
      </c>
    </row>
    <row r="2966" spans="1:2" ht="30.75" customHeight="1">
      <c r="A2966">
        <f>Table4[[#This Row],[Column1]]</f>
        <v>0</v>
      </c>
      <c r="B2966">
        <f>Table4[[#This Row],[Column2]]</f>
        <v>0</v>
      </c>
    </row>
    <row r="2967" spans="1:2" ht="30.75" customHeight="1">
      <c r="A2967">
        <f>Table4[[#This Row],[Column1]]</f>
        <v>0</v>
      </c>
      <c r="B2967">
        <f>Table4[[#This Row],[Column2]]</f>
        <v>0</v>
      </c>
    </row>
    <row r="2968" spans="1:2" ht="30.75" customHeight="1">
      <c r="A2968">
        <f>Table4[[#This Row],[Column1]]</f>
        <v>0</v>
      </c>
      <c r="B2968">
        <f>Table4[[#This Row],[Column2]]</f>
        <v>0</v>
      </c>
    </row>
    <row r="2969" spans="1:2" ht="30.75" customHeight="1">
      <c r="A2969">
        <f>Table4[[#This Row],[Column1]]</f>
        <v>0</v>
      </c>
      <c r="B2969">
        <f>Table4[[#This Row],[Column2]]</f>
        <v>0</v>
      </c>
    </row>
    <row r="2970" spans="1:2" ht="30.75" customHeight="1">
      <c r="A2970">
        <f>Table4[[#This Row],[Column1]]</f>
        <v>0</v>
      </c>
      <c r="B2970">
        <f>Table4[[#This Row],[Column2]]</f>
        <v>0</v>
      </c>
    </row>
    <row r="2971" spans="1:2" ht="30.75" customHeight="1">
      <c r="A2971">
        <f>Table4[[#This Row],[Column1]]</f>
        <v>0</v>
      </c>
      <c r="B2971">
        <f>Table4[[#This Row],[Column2]]</f>
        <v>0</v>
      </c>
    </row>
    <row r="2972" spans="1:2" ht="30.75" customHeight="1">
      <c r="A2972">
        <f>Table4[[#This Row],[Column1]]</f>
        <v>0</v>
      </c>
      <c r="B2972">
        <f>Table4[[#This Row],[Column2]]</f>
        <v>0</v>
      </c>
    </row>
    <row r="2973" spans="1:2" ht="30.75" customHeight="1">
      <c r="A2973">
        <f>Table4[[#This Row],[Column1]]</f>
        <v>0</v>
      </c>
      <c r="B2973">
        <f>Table4[[#This Row],[Column2]]</f>
        <v>0</v>
      </c>
    </row>
    <row r="2974" spans="1:2" ht="30.75" customHeight="1">
      <c r="A2974">
        <f>Table4[[#This Row],[Column1]]</f>
        <v>0</v>
      </c>
      <c r="B2974">
        <f>Table4[[#This Row],[Column2]]</f>
        <v>0</v>
      </c>
    </row>
    <row r="2975" spans="1:2" ht="30.75" customHeight="1">
      <c r="A2975">
        <f>Table4[[#This Row],[Column1]]</f>
        <v>0</v>
      </c>
      <c r="B2975">
        <f>Table4[[#This Row],[Column2]]</f>
        <v>0</v>
      </c>
    </row>
    <row r="2976" spans="1:2" ht="30.75" customHeight="1">
      <c r="A2976">
        <f>Table4[[#This Row],[Column1]]</f>
        <v>0</v>
      </c>
      <c r="B2976">
        <f>Table4[[#This Row],[Column2]]</f>
        <v>0</v>
      </c>
    </row>
    <row r="2977" spans="1:2" ht="30.75" customHeight="1">
      <c r="A2977">
        <f>Table4[[#This Row],[Column1]]</f>
        <v>0</v>
      </c>
      <c r="B2977">
        <f>Table4[[#This Row],[Column2]]</f>
        <v>0</v>
      </c>
    </row>
    <row r="2978" spans="1:2" ht="30.75" customHeight="1">
      <c r="A2978">
        <f>Table4[[#This Row],[Column1]]</f>
        <v>0</v>
      </c>
      <c r="B2978">
        <f>Table4[[#This Row],[Column2]]</f>
        <v>0</v>
      </c>
    </row>
    <row r="2979" spans="1:2" ht="30.75" customHeight="1">
      <c r="A2979">
        <f>Table4[[#This Row],[Column1]]</f>
        <v>0</v>
      </c>
      <c r="B2979">
        <f>Table4[[#This Row],[Column2]]</f>
        <v>0</v>
      </c>
    </row>
    <row r="2980" spans="1:2" ht="30.75" customHeight="1">
      <c r="A2980">
        <f>Table4[[#This Row],[Column1]]</f>
        <v>0</v>
      </c>
      <c r="B2980">
        <f>Table4[[#This Row],[Column2]]</f>
        <v>0</v>
      </c>
    </row>
    <row r="2981" spans="1:2" ht="30.75" customHeight="1">
      <c r="A2981">
        <f>Table4[[#This Row],[Column1]]</f>
        <v>0</v>
      </c>
      <c r="B2981">
        <f>Table4[[#This Row],[Column2]]</f>
        <v>0</v>
      </c>
    </row>
    <row r="2982" spans="1:2" ht="30.75" customHeight="1">
      <c r="A2982">
        <f>Table4[[#This Row],[Column1]]</f>
        <v>0</v>
      </c>
      <c r="B2982">
        <f>Table4[[#This Row],[Column2]]</f>
        <v>0</v>
      </c>
    </row>
    <row r="2983" spans="1:2" ht="30.75" customHeight="1">
      <c r="A2983">
        <f>Table4[[#This Row],[Column1]]</f>
        <v>0</v>
      </c>
      <c r="B2983">
        <f>Table4[[#This Row],[Column2]]</f>
        <v>0</v>
      </c>
    </row>
    <row r="2984" spans="1:2" ht="30.75" customHeight="1">
      <c r="A2984">
        <f>Table4[[#This Row],[Column1]]</f>
        <v>0</v>
      </c>
      <c r="B2984">
        <f>Table4[[#This Row],[Column2]]</f>
        <v>0</v>
      </c>
    </row>
    <row r="2985" spans="1:2" ht="30.75" customHeight="1">
      <c r="A2985">
        <f>Table4[[#This Row],[Column1]]</f>
        <v>0</v>
      </c>
      <c r="B2985">
        <f>Table4[[#This Row],[Column2]]</f>
        <v>0</v>
      </c>
    </row>
    <row r="2986" spans="1:2" ht="30.75" customHeight="1">
      <c r="A2986">
        <f>Table4[[#This Row],[Column1]]</f>
        <v>0</v>
      </c>
      <c r="B2986">
        <f>Table4[[#This Row],[Column2]]</f>
        <v>0</v>
      </c>
    </row>
    <row r="2987" spans="1:2" ht="30.75" customHeight="1">
      <c r="A2987">
        <f>Table4[[#This Row],[Column1]]</f>
        <v>0</v>
      </c>
      <c r="B2987">
        <f>Table4[[#This Row],[Column2]]</f>
        <v>0</v>
      </c>
    </row>
    <row r="2988" spans="1:2" ht="30.75" customHeight="1">
      <c r="A2988">
        <f>Table4[[#This Row],[Column1]]</f>
        <v>0</v>
      </c>
      <c r="B2988">
        <f>Table4[[#This Row],[Column2]]</f>
        <v>0</v>
      </c>
    </row>
    <row r="2989" spans="1:2" ht="30.75" customHeight="1">
      <c r="A2989">
        <f>Table4[[#This Row],[Column1]]</f>
        <v>0</v>
      </c>
      <c r="B2989">
        <f>Table4[[#This Row],[Column2]]</f>
        <v>0</v>
      </c>
    </row>
    <row r="2990" spans="1:2" ht="30.75" customHeight="1">
      <c r="A2990">
        <f>Table4[[#This Row],[Column1]]</f>
        <v>0</v>
      </c>
      <c r="B2990">
        <f>Table4[[#This Row],[Column2]]</f>
        <v>0</v>
      </c>
    </row>
    <row r="2991" spans="1:2" ht="30.75" customHeight="1">
      <c r="A2991">
        <f>Table4[[#This Row],[Column1]]</f>
        <v>0</v>
      </c>
      <c r="B2991">
        <f>Table4[[#This Row],[Column2]]</f>
        <v>0</v>
      </c>
    </row>
    <row r="2992" spans="1:2" ht="30.75" customHeight="1">
      <c r="A2992">
        <f>Table4[[#This Row],[Column1]]</f>
        <v>0</v>
      </c>
      <c r="B2992">
        <f>Table4[[#This Row],[Column2]]</f>
        <v>0</v>
      </c>
    </row>
    <row r="2993" spans="1:2" ht="30.75" customHeight="1">
      <c r="A2993">
        <f>Table4[[#This Row],[Column1]]</f>
        <v>0</v>
      </c>
      <c r="B2993">
        <f>Table4[[#This Row],[Column2]]</f>
        <v>0</v>
      </c>
    </row>
    <row r="2994" spans="1:2" ht="30.75" customHeight="1">
      <c r="A2994">
        <f>Table4[[#This Row],[Column1]]</f>
        <v>0</v>
      </c>
      <c r="B2994">
        <f>Table4[[#This Row],[Column2]]</f>
        <v>0</v>
      </c>
    </row>
    <row r="2995" spans="1:2" ht="30.75" customHeight="1">
      <c r="A2995">
        <f>Table4[[#This Row],[Column1]]</f>
        <v>0</v>
      </c>
      <c r="B2995">
        <f>Table4[[#This Row],[Column2]]</f>
        <v>0</v>
      </c>
    </row>
    <row r="2996" spans="1:2" ht="30.75" customHeight="1">
      <c r="A2996">
        <f>Table4[[#This Row],[Column1]]</f>
        <v>0</v>
      </c>
      <c r="B2996">
        <f>Table4[[#This Row],[Column2]]</f>
        <v>0</v>
      </c>
    </row>
    <row r="2997" spans="1:2" ht="30.75" customHeight="1">
      <c r="A2997">
        <f>Table4[[#This Row],[Column1]]</f>
        <v>0</v>
      </c>
      <c r="B2997">
        <f>Table4[[#This Row],[Column2]]</f>
        <v>0</v>
      </c>
    </row>
    <row r="2998" spans="1:2" ht="30.75" customHeight="1">
      <c r="A2998">
        <f>Table4[[#This Row],[Column1]]</f>
        <v>0</v>
      </c>
      <c r="B2998">
        <f>Table4[[#This Row],[Column2]]</f>
        <v>0</v>
      </c>
    </row>
    <row r="2999" spans="1:2" ht="30.75" customHeight="1">
      <c r="A2999">
        <f>Table4[[#This Row],[Column1]]</f>
        <v>0</v>
      </c>
      <c r="B2999">
        <f>Table4[[#This Row],[Column2]]</f>
        <v>0</v>
      </c>
    </row>
    <row r="3000" spans="1:2" ht="30.75" customHeight="1">
      <c r="A3000">
        <f>Table4[[#This Row],[Column1]]</f>
        <v>0</v>
      </c>
      <c r="B3000">
        <f>Table4[[#This Row],[Column2]]</f>
        <v>0</v>
      </c>
    </row>
    <row r="3001" spans="1:2" ht="30.75" customHeight="1">
      <c r="A3001">
        <f>Table4[[#This Row],[Column1]]</f>
        <v>0</v>
      </c>
      <c r="B3001">
        <f>Table4[[#This Row],[Column2]]</f>
        <v>0</v>
      </c>
    </row>
    <row r="3002" spans="1:2" ht="30.75" customHeight="1">
      <c r="A3002">
        <f>Table4[[#This Row],[Column1]]</f>
        <v>0</v>
      </c>
      <c r="B3002">
        <f>Table4[[#This Row],[Column2]]</f>
        <v>0</v>
      </c>
    </row>
  </sheetData>
  <conditionalFormatting sqref="A220:B3002">
    <cfRule type="cellIs" dxfId="121" priority="14" operator="equal">
      <formula>0</formula>
    </cfRule>
  </conditionalFormatting>
  <conditionalFormatting sqref="A220:V3002 C2:V10 C12:V20 C11:L11 N11:V11 C21:L22 N21:V22 C171:V219 C170:E170 C23:V169">
    <cfRule type="containsBlanks" dxfId="120" priority="13">
      <formula>LEN(TRIM(A2))=0</formula>
    </cfRule>
  </conditionalFormatting>
  <conditionalFormatting sqref="A2:B219">
    <cfRule type="cellIs" dxfId="119" priority="10" operator="equal">
      <formula>0</formula>
    </cfRule>
  </conditionalFormatting>
  <conditionalFormatting sqref="A2:B219">
    <cfRule type="containsBlanks" dxfId="118" priority="9">
      <formula>LEN(TRIM(A2))=0</formula>
    </cfRule>
  </conditionalFormatting>
  <conditionalFormatting sqref="M11">
    <cfRule type="containsBlanks" dxfId="117" priority="8">
      <formula>LEN(TRIM(M11))=0</formula>
    </cfRule>
  </conditionalFormatting>
  <conditionalFormatting sqref="M21">
    <cfRule type="containsBlanks" dxfId="116" priority="7">
      <formula>LEN(TRIM(M21))=0</formula>
    </cfRule>
  </conditionalFormatting>
  <conditionalFormatting sqref="AB33">
    <cfRule type="containsBlanks" dxfId="115" priority="6">
      <formula>LEN(TRIM(AB33))=0</formula>
    </cfRule>
  </conditionalFormatting>
  <conditionalFormatting sqref="M22">
    <cfRule type="containsBlanks" dxfId="114" priority="5">
      <formula>LEN(TRIM(M22))=0</formula>
    </cfRule>
  </conditionalFormatting>
  <conditionalFormatting sqref="AB14">
    <cfRule type="containsBlanks" dxfId="113" priority="4">
      <formula>LEN(TRIM(AB14))=0</formula>
    </cfRule>
  </conditionalFormatting>
  <conditionalFormatting sqref="W68">
    <cfRule type="containsBlanks" dxfId="112" priority="3">
      <formula>LEN(TRIM(W68))=0</formula>
    </cfRule>
  </conditionalFormatting>
  <conditionalFormatting sqref="W128">
    <cfRule type="containsBlanks" dxfId="111" priority="2">
      <formula>LEN(TRIM(W128))=0</formula>
    </cfRule>
  </conditionalFormatting>
  <conditionalFormatting sqref="W129">
    <cfRule type="containsBlanks" dxfId="110" priority="1">
      <formula>LEN(TRIM(W129))=0</formula>
    </cfRule>
  </conditionalFormatting>
  <dataValidations count="1">
    <dataValidation type="list" allowBlank="1" showInputMessage="1" showErrorMessage="1" sqref="D181:D3002">
      <formula1>$B$145:$B$146</formula1>
    </dataValidation>
  </dataValidations>
  <pageMargins left="0.7" right="0.7" top="0.75" bottom="0.75" header="0.3" footer="0.3"/>
  <pageSetup paperSize="9" orientation="portrait" r:id="rId1"/>
  <tableParts count="2">
    <tablePart r:id="rId2"/>
    <tablePart r:id="rId3"/>
  </tableParts>
  <extLst>
    <ext xmlns:x14="http://schemas.microsoft.com/office/spreadsheetml/2009/9/main" uri="{CCE6A557-97BC-4b89-ADB6-D9C93CAAB3DF}">
      <x14:dataValidations xmlns:xm="http://schemas.microsoft.com/office/excel/2006/main" count="12">
        <x14:dataValidation type="list" allowBlank="1" showInputMessage="1" showErrorMessage="1">
          <x14:formula1>
            <xm:f>'Answers+SOP'!$B$206:$B$213</xm:f>
          </x14:formula1>
          <xm:sqref>F2:F169 F171:F3002</xm:sqref>
        </x14:dataValidation>
        <x14:dataValidation type="list" allowBlank="1" showInputMessage="1" showErrorMessage="1">
          <x14:formula1>
            <xm:f>'Answers+SOP'!$B$230:$B$233</xm:f>
          </x14:formula1>
          <xm:sqref>I2:I169 I171:I3002</xm:sqref>
        </x14:dataValidation>
        <x14:dataValidation type="list" allowBlank="1" showInputMessage="1" showErrorMessage="1">
          <x14:formula1>
            <xm:f>'Answers+SOP'!$B$237:$B$239</xm:f>
          </x14:formula1>
          <xm:sqref>J2:J169 J171:J3002</xm:sqref>
        </x14:dataValidation>
        <x14:dataValidation type="list" allowBlank="1" showInputMessage="1" showErrorMessage="1">
          <x14:formula1>
            <xm:f>'Answers+SOP'!$B$261:$B$262</xm:f>
          </x14:formula1>
          <xm:sqref>O2:O169 O171:O3002</xm:sqref>
        </x14:dataValidation>
        <x14:dataValidation type="list" allowBlank="1" showInputMessage="1" showErrorMessage="1">
          <x14:formula1>
            <xm:f>'Answers+SOP'!$B$188:$B$189</xm:f>
          </x14:formula1>
          <xm:sqref>C2:C3002</xm:sqref>
        </x14:dataValidation>
        <x14:dataValidation type="list" allowBlank="1" showInputMessage="1" showErrorMessage="1">
          <x14:formula1>
            <xm:f>'Answers+SOP'!$B$192:$B$196</xm:f>
          </x14:formula1>
          <xm:sqref>D2:D180</xm:sqref>
        </x14:dataValidation>
        <x14:dataValidation type="list" allowBlank="1" showInputMessage="1" showErrorMessage="1">
          <x14:formula1>
            <xm:f>'Answers+SOP'!$B$224:$B$226</xm:f>
          </x14:formula1>
          <xm:sqref>H2:H169 H171:H3002</xm:sqref>
        </x14:dataValidation>
        <x14:dataValidation type="list" allowBlank="1" showInputMessage="1" showErrorMessage="1">
          <x14:formula1>
            <xm:f>'Answers+SOP'!$B$266:$B$270</xm:f>
          </x14:formula1>
          <xm:sqref>Q2:Q169 Q171:Q3002</xm:sqref>
        </x14:dataValidation>
        <x14:dataValidation type="list" allowBlank="1" showInputMessage="1" showErrorMessage="1">
          <x14:formula1>
            <xm:f>'Answers+SOP'!$B$274:$B$276</xm:f>
          </x14:formula1>
          <xm:sqref>R2:R169 R171:R3002</xm:sqref>
        </x14:dataValidation>
        <x14:dataValidation type="list" allowBlank="1" showInputMessage="1" showErrorMessage="1">
          <x14:formula1>
            <xm:f>'Answers+SOP'!$B$280:$B$282</xm:f>
          </x14:formula1>
          <xm:sqref>S2:S169 S171:S3002</xm:sqref>
        </x14:dataValidation>
        <x14:dataValidation type="list" allowBlank="1" showInputMessage="1" showErrorMessage="1">
          <x14:formula1>
            <xm:f>'Answers+SOP'!$B$286:$B$288</xm:f>
          </x14:formula1>
          <xm:sqref>T2:T167 T169 T171:T3002</xm:sqref>
        </x14:dataValidation>
        <x14:dataValidation type="list" allowBlank="1" showInputMessage="1" showErrorMessage="1">
          <x14:formula1>
            <xm:f>'Answers+SOP'!$B$292:$B$293</xm:f>
          </x14:formula1>
          <xm:sqref>U2:U169 U171:U3002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BL185"/>
  <sheetViews>
    <sheetView showZeros="0" zoomScale="80" zoomScaleNormal="80" workbookViewId="0">
      <pane xSplit="2" topLeftCell="C1" activePane="topRight" state="frozen"/>
      <selection activeCell="AA20" sqref="AA20"/>
      <selection pane="topRight" activeCell="H1" sqref="H1:H1048576"/>
    </sheetView>
  </sheetViews>
  <sheetFormatPr defaultRowHeight="18" customHeight="1"/>
  <cols>
    <col min="1" max="2" width="10.85546875" style="3" customWidth="1"/>
    <col min="3" max="3" width="14.42578125" style="3" customWidth="1"/>
    <col min="4" max="4" width="26.140625" style="3" customWidth="1"/>
    <col min="5" max="5" width="15.28515625" style="3" customWidth="1"/>
    <col min="6" max="6" width="28" style="61" customWidth="1"/>
    <col min="7" max="7" width="11.7109375" style="61" bestFit="1" customWidth="1"/>
    <col min="8" max="8" width="16.28515625" style="106" customWidth="1"/>
    <col min="9" max="9" width="18.7109375" style="61" customWidth="1"/>
    <col min="10" max="10" width="27.7109375" style="61" customWidth="1"/>
    <col min="11" max="11" width="22.5703125" style="61" customWidth="1"/>
    <col min="12" max="12" width="16.7109375" style="16" customWidth="1"/>
    <col min="13" max="13" width="18" style="3" customWidth="1"/>
    <col min="14" max="14" width="21.85546875" style="3" customWidth="1"/>
    <col min="15" max="15" width="11.85546875" style="3" customWidth="1"/>
    <col min="16" max="16" width="17.140625" style="3" customWidth="1"/>
    <col min="17" max="21" width="11.85546875" style="3" customWidth="1"/>
    <col min="22" max="22" width="46.42578125" style="3" bestFit="1" customWidth="1"/>
    <col min="23" max="41" width="11.85546875" style="3" customWidth="1"/>
    <col min="42" max="42" width="20.140625" style="3" customWidth="1"/>
    <col min="43" max="43" width="11.85546875" style="3" customWidth="1"/>
    <col min="44" max="44" width="13.7109375" style="3" customWidth="1"/>
    <col min="45" max="45" width="9.140625" style="3"/>
    <col min="46" max="46" width="14" style="3" customWidth="1"/>
    <col min="47" max="47" width="16.7109375" style="3" customWidth="1"/>
    <col min="48" max="59" width="9.140625" style="3"/>
    <col min="60" max="60" width="11.5703125" style="61" bestFit="1" customWidth="1"/>
    <col min="61" max="61" width="9.140625" style="3"/>
    <col min="62" max="62" width="17.28515625" style="3" customWidth="1"/>
    <col min="66" max="66" width="11.5703125" bestFit="1" customWidth="1"/>
  </cols>
  <sheetData>
    <row r="1" spans="1:64" ht="18" customHeight="1">
      <c r="A1" s="7" t="s">
        <v>665</v>
      </c>
      <c r="B1" s="7" t="s">
        <v>725</v>
      </c>
      <c r="C1" s="7" t="s">
        <v>724</v>
      </c>
      <c r="D1" s="4" t="s">
        <v>670</v>
      </c>
      <c r="E1" s="5" t="s">
        <v>683</v>
      </c>
      <c r="F1" s="20" t="s">
        <v>685</v>
      </c>
      <c r="G1" s="20" t="s">
        <v>687</v>
      </c>
      <c r="H1" s="14" t="s">
        <v>689</v>
      </c>
      <c r="I1" s="5" t="s">
        <v>690</v>
      </c>
      <c r="J1" s="20" t="s">
        <v>692</v>
      </c>
      <c r="K1" s="12" t="s">
        <v>694</v>
      </c>
      <c r="L1" s="5" t="s">
        <v>698</v>
      </c>
      <c r="M1" s="6" t="s">
        <v>700</v>
      </c>
      <c r="N1" s="6" t="s">
        <v>701</v>
      </c>
      <c r="O1" s="6" t="s">
        <v>702</v>
      </c>
      <c r="P1" s="6" t="s">
        <v>705</v>
      </c>
      <c r="Q1" s="6" t="s">
        <v>707</v>
      </c>
      <c r="R1" s="6" t="s">
        <v>708</v>
      </c>
      <c r="S1" s="6" t="s">
        <v>709</v>
      </c>
      <c r="T1" s="6" t="s">
        <v>712</v>
      </c>
      <c r="U1" s="6" t="s">
        <v>714</v>
      </c>
      <c r="V1" s="6" t="s">
        <v>716</v>
      </c>
      <c r="W1" s="6" t="s">
        <v>718</v>
      </c>
      <c r="X1" s="6" t="s">
        <v>719</v>
      </c>
      <c r="Y1" s="6" t="s">
        <v>720</v>
      </c>
      <c r="Z1" s="6" t="s">
        <v>722</v>
      </c>
      <c r="AA1" s="6" t="s">
        <v>784</v>
      </c>
      <c r="AB1" s="6" t="s">
        <v>785</v>
      </c>
      <c r="AC1" s="17" t="s">
        <v>727</v>
      </c>
      <c r="AD1" s="8" t="s">
        <v>729</v>
      </c>
      <c r="AE1" s="8" t="s">
        <v>731</v>
      </c>
      <c r="AF1" s="8" t="s">
        <v>733</v>
      </c>
      <c r="AG1" s="8" t="s">
        <v>734</v>
      </c>
      <c r="AH1" s="8" t="s">
        <v>737</v>
      </c>
      <c r="AI1" s="18" t="s">
        <v>736</v>
      </c>
      <c r="AJ1" s="18" t="s">
        <v>739</v>
      </c>
      <c r="AK1" s="18" t="s">
        <v>740</v>
      </c>
      <c r="AL1" s="8" t="s">
        <v>742</v>
      </c>
      <c r="AM1" s="8" t="s">
        <v>741</v>
      </c>
      <c r="AN1" s="31" t="s">
        <v>744</v>
      </c>
      <c r="AO1" s="31" t="s">
        <v>826</v>
      </c>
      <c r="AP1" s="31" t="s">
        <v>746</v>
      </c>
      <c r="AQ1" s="31" t="s">
        <v>747</v>
      </c>
      <c r="AR1" s="31" t="s">
        <v>748</v>
      </c>
      <c r="AS1" s="31" t="s">
        <v>749</v>
      </c>
      <c r="AT1" s="31" t="s">
        <v>751</v>
      </c>
      <c r="AU1" s="31" t="s">
        <v>827</v>
      </c>
      <c r="AV1" s="31" t="s">
        <v>752</v>
      </c>
      <c r="AW1" s="31" t="s">
        <v>753</v>
      </c>
      <c r="AX1" s="31" t="s">
        <v>754</v>
      </c>
      <c r="AY1" s="31" t="s">
        <v>756</v>
      </c>
      <c r="AZ1" s="31" t="s">
        <v>757</v>
      </c>
      <c r="BA1" s="31" t="s">
        <v>828</v>
      </c>
      <c r="BB1" s="31" t="s">
        <v>759</v>
      </c>
      <c r="BC1" s="31" t="s">
        <v>760</v>
      </c>
      <c r="BD1" s="31" t="s">
        <v>761</v>
      </c>
      <c r="BE1" s="31" t="s">
        <v>762</v>
      </c>
      <c r="BF1" s="31" t="s">
        <v>763</v>
      </c>
      <c r="BG1" s="31" t="s">
        <v>829</v>
      </c>
      <c r="BH1" s="104" t="s">
        <v>766</v>
      </c>
      <c r="BI1" s="31" t="s">
        <v>767</v>
      </c>
      <c r="BJ1" s="31" t="s">
        <v>769</v>
      </c>
      <c r="BK1" s="31" t="s">
        <v>771</v>
      </c>
      <c r="BL1" s="31" t="s">
        <v>772</v>
      </c>
    </row>
    <row r="2" spans="1:64" ht="18" customHeight="1">
      <c r="A2" s="73">
        <f>Table5[[#This Row],[comment]]</f>
        <v>0</v>
      </c>
      <c r="B2" s="73" t="str">
        <f>Table9[[#This Row],[surgeon]]</f>
        <v>Clare Mason</v>
      </c>
      <c r="C2" s="73" t="str">
        <f>Table9[[#This Row],[surgery]]</f>
        <v>Right hemicolectomy (with anastamosis)</v>
      </c>
      <c r="D2" s="74" t="str">
        <f>Table5[[#This Row],[pqip_consent]]</f>
        <v>Yes</v>
      </c>
      <c r="E2" s="73" t="str">
        <f>Table6[[#This Row],[area_surgery]]</f>
        <v>Lower GI</v>
      </c>
      <c r="F2" s="75">
        <f>Table6[[#This Row],[admission_date]]</f>
        <v>43297</v>
      </c>
      <c r="G2" s="75">
        <f>Table6[[#This Row],[admission_date]]</f>
        <v>43297</v>
      </c>
      <c r="H2" s="105"/>
      <c r="I2" s="73" t="str">
        <f>Table6[[#This Row],[discharge_loc]]</f>
        <v>H6</v>
      </c>
      <c r="J2" s="75">
        <f>Table6[[#This Row],[discharge_date]]</f>
        <v>43299</v>
      </c>
      <c r="K2" s="76">
        <f>Table6[[#This Row],[hospital_stay]]</f>
        <v>2</v>
      </c>
      <c r="L2" s="76" t="str">
        <f>Table6[[#This Row],[readmit_30]]</f>
        <v>No</v>
      </c>
      <c r="M2" s="77" t="str">
        <f>Table9[[#This Row],[troponin]]</f>
        <v>Not Measured</v>
      </c>
      <c r="N2" s="78">
        <f>Table9[[#This Row],[hb]]</f>
        <v>13.3</v>
      </c>
      <c r="O2" s="78">
        <f>Table9[[#This Row],[creatinine]]</f>
        <v>72</v>
      </c>
      <c r="P2" s="78" t="str">
        <f>Table9[[#This Row],[albumin]]</f>
        <v>Not Measured</v>
      </c>
      <c r="Q2" s="73" t="str">
        <f>Table9[[#This Row],[chest_physio]]</f>
        <v>No</v>
      </c>
      <c r="R2" s="73" t="str">
        <f>Table9[[#This Row],[surgery_school]]</f>
        <v>No - Wasn’t offered it</v>
      </c>
      <c r="S2" s="75">
        <f>Table9[[#This Row],[date_school]]</f>
        <v>0</v>
      </c>
      <c r="T2" s="73" t="str">
        <f>Table9[[#This Row],[app_down]]</f>
        <v>No - No electronic device</v>
      </c>
      <c r="U2" s="73" t="str">
        <f>Table9[[#This Row],[website]]</f>
        <v>No</v>
      </c>
      <c r="V2" s="73" t="str">
        <f>Table9[[#This Row],[base_activity]]</f>
        <v>No extra activity - Independent in ADLs</v>
      </c>
      <c r="W2" s="73" t="str">
        <f>Table9[[#This Row],[current_activity]]</f>
        <v>No extra activity - Independent in ADLs</v>
      </c>
      <c r="X2" s="73" t="str">
        <f>Table9[[#This Row],[activity_type]]</f>
        <v>None</v>
      </c>
      <c r="Y2" s="73" t="str">
        <f>Table9[[#This Row],[anaemia_treat]]</f>
        <v>Blood transfusion</v>
      </c>
      <c r="Z2" s="78" t="str">
        <f>Table9[[#This Row],[anaesthesia]]</f>
        <v>General with TIVA</v>
      </c>
      <c r="AA2" s="78">
        <f>Table9[[#This Row],[smoke_hist]]</f>
        <v>0</v>
      </c>
      <c r="AB2" s="78">
        <f>Table9[[#This Row],[smoke_cess]]</f>
        <v>0</v>
      </c>
      <c r="AC2" s="78" t="str">
        <f>Table9[[#This Row],[tidal_vol]]</f>
        <v>Not recorded</v>
      </c>
      <c r="AD2" s="77" t="str">
        <f>Table11[[#This Row],[inc_spiro]]</f>
        <v>Not used</v>
      </c>
      <c r="AE2" s="73" t="str">
        <f>Table11[[#This Row],[t_brushes]]</f>
        <v>Twice</v>
      </c>
      <c r="AF2" s="78" t="str">
        <f>Table11[[#This Row],[m_washes]]</f>
        <v>None</v>
      </c>
      <c r="AG2" s="78" t="str">
        <f>Table11[[#This Row],[iv_disc]]</f>
        <v>No</v>
      </c>
      <c r="AH2" s="78">
        <f>Table11[[#This Row],[tolerate_15l]]</f>
        <v>0</v>
      </c>
      <c r="AI2" s="78" t="str">
        <f>Table11[[#This Row],[drinking]]</f>
        <v>Yes</v>
      </c>
      <c r="AJ2" s="78" t="str">
        <f>Table11[[#This Row],[oral_diet]]</f>
        <v>Yes</v>
      </c>
      <c r="AK2" s="78" t="str">
        <f>Table11[[#This Row],[mobilised]]</f>
        <v>Yes</v>
      </c>
      <c r="AL2" s="79" t="str">
        <f>Table11[[#This Row],[resp_supp]]</f>
        <v>None</v>
      </c>
      <c r="AM2" s="78">
        <f>Table11[[#This Row],[elev_head]]</f>
        <v>0</v>
      </c>
      <c r="AN2" s="78" t="str">
        <f>Table13[[#This Row],[in_hospital]]</f>
        <v>No</v>
      </c>
      <c r="AO2" s="78">
        <f>Table13[[#This Row],[location_7]]</f>
        <v>0</v>
      </c>
      <c r="AP2" s="78">
        <f>Table13[[#This Row],[infec_24]]</f>
        <v>0</v>
      </c>
      <c r="AQ2" s="73">
        <f>Table13[[#This Row],[infec_7]]</f>
        <v>0</v>
      </c>
      <c r="AR2" s="73">
        <f>Table13[[#This Row],[gastro]]</f>
        <v>0</v>
      </c>
      <c r="AS2" s="73">
        <f>Table13[[#This Row],[pulm_supp_24]]</f>
        <v>0</v>
      </c>
      <c r="AT2" s="73">
        <f>Table13[[#This Row],[pulm_supp_7]]</f>
        <v>0</v>
      </c>
      <c r="AU2" s="73">
        <f>Table13[[#This Row],[pulm_pharm]]</f>
        <v>0</v>
      </c>
      <c r="AV2" s="73">
        <f>Table13[[#This Row],[cardio_24]]</f>
        <v>0</v>
      </c>
      <c r="AW2" s="73">
        <f>Table13[[#This Row],[troponin_7]]</f>
        <v>0</v>
      </c>
      <c r="AX2" s="73">
        <f>Table13[[#This Row],[creatinine_base]]</f>
        <v>0</v>
      </c>
      <c r="AY2" s="73">
        <f>Table13[[#This Row],[creatinine_high]]</f>
        <v>0</v>
      </c>
      <c r="AZ2" s="73">
        <f>Table13[[#This Row],[rrt]]</f>
        <v>0</v>
      </c>
      <c r="BA2" s="73">
        <f>Table13[[#This Row],[renal_24]]</f>
        <v>0</v>
      </c>
      <c r="BB2" s="73">
        <f>Table13[[#This Row],[neuro]]</f>
        <v>0</v>
      </c>
      <c r="BC2" s="73">
        <f>Table13[[#This Row],[wound]]</f>
        <v>0</v>
      </c>
      <c r="BD2" s="73">
        <f>Table13[[#This Row],[haemato]]</f>
        <v>0</v>
      </c>
      <c r="BE2" s="73">
        <f>Table13[[#This Row],[pain]]</f>
        <v>0</v>
      </c>
      <c r="BF2" s="73">
        <f>Table13[[#This Row],[mobility]]</f>
        <v>0</v>
      </c>
      <c r="BG2" s="79">
        <f>Table13[[#This Row],[why_inpatient_7]]</f>
        <v>0</v>
      </c>
      <c r="BH2" s="9">
        <f>Table13[[#This Row],[date_15]]</f>
        <v>0</v>
      </c>
      <c r="BI2">
        <f>Table13[[#This Row],[inpatient_15]]</f>
        <v>0</v>
      </c>
      <c r="BJ2">
        <f>Table13[[#This Row],[comment_15]]</f>
        <v>0</v>
      </c>
      <c r="BK2" t="str">
        <f>Table13[[#This Row],[discharge_dest]]</f>
        <v>Own Home</v>
      </c>
      <c r="BL2" t="str">
        <f>Table13[[#This Row],[complication]]</f>
        <v>None</v>
      </c>
    </row>
    <row r="3" spans="1:64" ht="18" customHeight="1">
      <c r="A3" s="73">
        <f>Table5[[#This Row],[comment]]</f>
        <v>0</v>
      </c>
      <c r="B3" s="73" t="str">
        <f>Table9[[#This Row],[surgeon]]</f>
        <v>Chaparala</v>
      </c>
      <c r="C3" s="73" t="str">
        <f>Table9[[#This Row],[surgery]]</f>
        <v>Transabdominal anti-reflux operations</v>
      </c>
      <c r="D3" s="74" t="str">
        <f>Table5[[#This Row],[pqip_consent]]</f>
        <v>Yes</v>
      </c>
      <c r="E3" s="73" t="str">
        <f>Table6[[#This Row],[area_surgery]]</f>
        <v>Lower GI</v>
      </c>
      <c r="F3" s="75">
        <f>Table6[[#This Row],[admission_date]]</f>
        <v>43297</v>
      </c>
      <c r="G3" s="75">
        <f>Table6[[#This Row],[admission_date]]</f>
        <v>43297</v>
      </c>
      <c r="H3" s="105"/>
      <c r="I3" s="73" t="str">
        <f>Table6[[#This Row],[discharge_loc]]</f>
        <v>H4</v>
      </c>
      <c r="J3" s="75">
        <f>Table6[[#This Row],[discharge_date]]</f>
        <v>43298</v>
      </c>
      <c r="K3" s="76">
        <f>Table6[[#This Row],[hospital_stay]]</f>
        <v>1</v>
      </c>
      <c r="L3" s="76" t="str">
        <f>Table6[[#This Row],[readmit_30]]</f>
        <v>No</v>
      </c>
      <c r="M3" s="77" t="str">
        <f>Table9[[#This Row],[troponin]]</f>
        <v>Not Measured</v>
      </c>
      <c r="N3" s="78">
        <f>Table9[[#This Row],[hb]]</f>
        <v>13</v>
      </c>
      <c r="O3" s="78">
        <f>Table9[[#This Row],[creatinine]]</f>
        <v>67</v>
      </c>
      <c r="P3" s="78">
        <f>Table9[[#This Row],[albumin]]</f>
        <v>40</v>
      </c>
      <c r="Q3" s="73" t="str">
        <f>Table9[[#This Row],[chest_physio]]</f>
        <v>No</v>
      </c>
      <c r="R3" s="73" t="str">
        <f>Table9[[#This Row],[surgery_school]]</f>
        <v>No - Wasn’t offered it</v>
      </c>
      <c r="S3" s="75">
        <f>Table9[[#This Row],[date_school]]</f>
        <v>0</v>
      </c>
      <c r="T3" s="73" t="str">
        <f>Table9[[#This Row],[app_down]]</f>
        <v>No - Have electronic device</v>
      </c>
      <c r="U3" s="73" t="str">
        <f>Table9[[#This Row],[website]]</f>
        <v>No</v>
      </c>
      <c r="V3" s="73" t="str">
        <f>Table9[[#This Row],[base_activity]]</f>
        <v>No extra activity - Independent in ADLs</v>
      </c>
      <c r="W3" s="73" t="str">
        <f>Table9[[#This Row],[current_activity]]</f>
        <v>No extra activity - Independent in ADLs</v>
      </c>
      <c r="X3" s="73" t="str">
        <f>Table9[[#This Row],[activity_type]]</f>
        <v>None</v>
      </c>
      <c r="Y3" s="73" t="str">
        <f>Table9[[#This Row],[anaemia_treat]]</f>
        <v>None</v>
      </c>
      <c r="Z3" s="78" t="str">
        <f>Table9[[#This Row],[anaesthesia]]</f>
        <v>General with TIVA</v>
      </c>
      <c r="AA3" s="78">
        <f>Table9[[#This Row],[smoke_hist]]</f>
        <v>0</v>
      </c>
      <c r="AB3" s="78">
        <f>Table9[[#This Row],[smoke_cess]]</f>
        <v>0</v>
      </c>
      <c r="AC3" s="78" t="str">
        <f>Table9[[#This Row],[tidal_vol]]</f>
        <v>Not recorded</v>
      </c>
      <c r="AD3" s="77" t="str">
        <f>Table11[[#This Row],[inc_spiro]]</f>
        <v>Once</v>
      </c>
      <c r="AE3" s="73" t="str">
        <f>Table11[[#This Row],[t_brushes]]</f>
        <v>Twice</v>
      </c>
      <c r="AF3" s="78" t="str">
        <f>Table11[[#This Row],[m_washes]]</f>
        <v>Twice</v>
      </c>
      <c r="AG3" s="78" t="str">
        <f>Table11[[#This Row],[iv_disc]]</f>
        <v>No</v>
      </c>
      <c r="AH3" s="78" t="str">
        <f>Table11[[#This Row],[tolerate_15l]]</f>
        <v>Yes</v>
      </c>
      <c r="AI3" s="78" t="str">
        <f>Table11[[#This Row],[drinking]]</f>
        <v>Yes</v>
      </c>
      <c r="AJ3" s="78" t="str">
        <f>Table11[[#This Row],[oral_diet]]</f>
        <v>Yes</v>
      </c>
      <c r="AK3" s="78" t="str">
        <f>Table11[[#This Row],[mobilised]]</f>
        <v>Yes</v>
      </c>
      <c r="AL3" s="79" t="str">
        <f>Table11[[#This Row],[resp_supp]]</f>
        <v>High flow Nasal</v>
      </c>
      <c r="AM3" s="78">
        <f>Table11[[#This Row],[elev_head]]</f>
        <v>0</v>
      </c>
      <c r="AN3" s="78" t="str">
        <f>Table13[[#This Row],[in_hospital]]</f>
        <v>No</v>
      </c>
      <c r="AO3" s="78">
        <f>Table13[[#This Row],[location_7]]</f>
        <v>0</v>
      </c>
      <c r="AP3" s="78">
        <f>Table13[[#This Row],[infec_24]]</f>
        <v>0</v>
      </c>
      <c r="AQ3" s="73">
        <f>Table13[[#This Row],[infec_7]]</f>
        <v>0</v>
      </c>
      <c r="AR3" s="73">
        <f>Table13[[#This Row],[gastro]]</f>
        <v>0</v>
      </c>
      <c r="AS3" s="73">
        <f>Table13[[#This Row],[pulm_supp_24]]</f>
        <v>0</v>
      </c>
      <c r="AT3" s="73">
        <f>Table13[[#This Row],[pulm_supp_7]]</f>
        <v>0</v>
      </c>
      <c r="AU3" s="73">
        <f>Table13[[#This Row],[pulm_pharm]]</f>
        <v>0</v>
      </c>
      <c r="AV3" s="73">
        <f>Table13[[#This Row],[cardio_24]]</f>
        <v>0</v>
      </c>
      <c r="AW3" s="73">
        <f>Table13[[#This Row],[troponin_7]]</f>
        <v>0</v>
      </c>
      <c r="AX3" s="73">
        <f>Table13[[#This Row],[creatinine_base]]</f>
        <v>0</v>
      </c>
      <c r="AY3" s="73">
        <f>Table13[[#This Row],[creatinine_high]]</f>
        <v>0</v>
      </c>
      <c r="AZ3" s="73">
        <f>Table13[[#This Row],[rrt]]</f>
        <v>0</v>
      </c>
      <c r="BA3" s="73">
        <f>Table13[[#This Row],[renal_24]]</f>
        <v>0</v>
      </c>
      <c r="BB3" s="73">
        <f>Table13[[#This Row],[neuro]]</f>
        <v>0</v>
      </c>
      <c r="BC3" s="73">
        <f>Table13[[#This Row],[wound]]</f>
        <v>0</v>
      </c>
      <c r="BD3" s="73">
        <f>Table13[[#This Row],[haemato]]</f>
        <v>0</v>
      </c>
      <c r="BE3" s="73">
        <f>Table13[[#This Row],[pain]]</f>
        <v>0</v>
      </c>
      <c r="BF3" s="73">
        <f>Table13[[#This Row],[mobility]]</f>
        <v>0</v>
      </c>
      <c r="BG3" s="79">
        <f>Table13[[#This Row],[why_inpatient_7]]</f>
        <v>0</v>
      </c>
      <c r="BH3" s="9">
        <f>Table13[[#This Row],[date_15]]</f>
        <v>0</v>
      </c>
      <c r="BI3">
        <f>Table13[[#This Row],[inpatient_15]]</f>
        <v>0</v>
      </c>
      <c r="BJ3">
        <f>Table13[[#This Row],[comment_15]]</f>
        <v>0</v>
      </c>
      <c r="BK3" t="str">
        <f>Table13[[#This Row],[discharge_dest]]</f>
        <v>Own Home</v>
      </c>
      <c r="BL3" t="str">
        <f>Table13[[#This Row],[complication]]</f>
        <v>I</v>
      </c>
    </row>
    <row r="4" spans="1:64" ht="18" customHeight="1">
      <c r="A4" s="73">
        <f>Table5[[#This Row],[comment]]</f>
        <v>0</v>
      </c>
      <c r="B4" s="73" t="str">
        <f>Table9[[#This Row],[surgeon]]</f>
        <v>Maurice Lau</v>
      </c>
      <c r="C4" s="73" t="str">
        <f>Table9[[#This Row],[surgery]]</f>
        <v>Anterior pelvic clearance</v>
      </c>
      <c r="D4" s="74" t="str">
        <f>Table5[[#This Row],[pqip_consent]]</f>
        <v>Yes</v>
      </c>
      <c r="E4" s="73" t="str">
        <f>Table6[[#This Row],[area_surgery]]</f>
        <v>Other</v>
      </c>
      <c r="F4" s="75">
        <f>Table6[[#This Row],[admission_date]]</f>
        <v>43298</v>
      </c>
      <c r="G4" s="75">
        <f>Table6[[#This Row],[admission_date]]</f>
        <v>43298</v>
      </c>
      <c r="H4" s="105"/>
      <c r="I4" s="73" t="str">
        <f>Table6[[#This Row],[discharge_loc]]</f>
        <v>H4</v>
      </c>
      <c r="J4" s="75">
        <f>Table6[[#This Row],[discharge_date]]</f>
        <v>43313</v>
      </c>
      <c r="K4" s="76">
        <f>Table6[[#This Row],[hospital_stay]]</f>
        <v>15</v>
      </c>
      <c r="L4" s="76" t="str">
        <f>Table6[[#This Row],[readmit_30]]</f>
        <v>Yes</v>
      </c>
      <c r="M4" s="77" t="str">
        <f>Table9[[#This Row],[troponin]]</f>
        <v>Not Measured</v>
      </c>
      <c r="N4" s="78">
        <f>Table9[[#This Row],[hb]]</f>
        <v>14.1</v>
      </c>
      <c r="O4" s="78">
        <f>Table9[[#This Row],[creatinine]]</f>
        <v>78</v>
      </c>
      <c r="P4" s="78">
        <f>Table9[[#This Row],[albumin]]</f>
        <v>43</v>
      </c>
      <c r="Q4" s="73" t="str">
        <f>Table9[[#This Row],[chest_physio]]</f>
        <v>Nurse</v>
      </c>
      <c r="R4" s="73" t="str">
        <f>Table9[[#This Row],[surgery_school]]</f>
        <v>No - Wasn’t offered it</v>
      </c>
      <c r="S4" s="75">
        <f>Table9[[#This Row],[date_school]]</f>
        <v>0</v>
      </c>
      <c r="T4" s="73" t="str">
        <f>Table9[[#This Row],[app_down]]</f>
        <v>No - Have electronic device</v>
      </c>
      <c r="U4" s="73" t="str">
        <f>Table9[[#This Row],[website]]</f>
        <v>No</v>
      </c>
      <c r="V4" s="73" t="str">
        <f>Table9[[#This Row],[base_activity]]</f>
        <v>No extra activity - Independent in ADLs</v>
      </c>
      <c r="W4" s="73" t="str">
        <f>Table9[[#This Row],[current_activity]]</f>
        <v>No extra activity - Independent in ADLs</v>
      </c>
      <c r="X4" s="73" t="str">
        <f>Table9[[#This Row],[activity_type]]</f>
        <v>None</v>
      </c>
      <c r="Y4" s="73" t="str">
        <f>Table9[[#This Row],[anaemia_treat]]</f>
        <v xml:space="preserve">Oral Iron </v>
      </c>
      <c r="Z4" s="78" t="str">
        <f>Table9[[#This Row],[anaesthesia]]</f>
        <v>General with TIVA</v>
      </c>
      <c r="AA4" s="78">
        <f>Table9[[#This Row],[smoke_hist]]</f>
        <v>0</v>
      </c>
      <c r="AB4" s="78">
        <f>Table9[[#This Row],[smoke_cess]]</f>
        <v>0</v>
      </c>
      <c r="AC4" s="78" t="str">
        <f>Table9[[#This Row],[tidal_vol]]</f>
        <v>Not recorded</v>
      </c>
      <c r="AD4" s="77" t="str">
        <f>Table11[[#This Row],[inc_spiro]]</f>
        <v>Not used</v>
      </c>
      <c r="AE4" s="73" t="str">
        <f>Table11[[#This Row],[t_brushes]]</f>
        <v>None</v>
      </c>
      <c r="AF4" s="78" t="str">
        <f>Table11[[#This Row],[m_washes]]</f>
        <v>None</v>
      </c>
      <c r="AG4" s="78" t="str">
        <f>Table11[[#This Row],[iv_disc]]</f>
        <v>No</v>
      </c>
      <c r="AH4" s="78">
        <f>Table11[[#This Row],[tolerate_15l]]</f>
        <v>0</v>
      </c>
      <c r="AI4" s="78" t="str">
        <f>Table11[[#This Row],[drinking]]</f>
        <v>Yes</v>
      </c>
      <c r="AJ4" s="78" t="str">
        <f>Table11[[#This Row],[oral_diet]]</f>
        <v>Yes</v>
      </c>
      <c r="AK4" s="78" t="str">
        <f>Table11[[#This Row],[mobilised]]</f>
        <v>Yes</v>
      </c>
      <c r="AL4" s="79" t="str">
        <f>Table11[[#This Row],[resp_supp]]</f>
        <v>High flow Nasal</v>
      </c>
      <c r="AM4" s="78">
        <f>Table11[[#This Row],[elev_head]]</f>
        <v>0</v>
      </c>
      <c r="AN4" s="78" t="str">
        <f>Table13[[#This Row],[in_hospital]]</f>
        <v>Yes</v>
      </c>
      <c r="AO4" s="78" t="str">
        <f>Table13[[#This Row],[location_7]]</f>
        <v>Level 1</v>
      </c>
      <c r="AP4" s="78" t="str">
        <f>Table13[[#This Row],[infec_24]]</f>
        <v>Patient had temperature &gt;38˚C</v>
      </c>
      <c r="AQ4" s="73" t="str">
        <f>Table13[[#This Row],[infec_7]]</f>
        <v>None</v>
      </c>
      <c r="AR4" s="73" t="str">
        <f>Table13[[#This Row],[gastro]]</f>
        <v>Experienced nausea, vomiting or distension</v>
      </c>
      <c r="AS4" s="73" t="str">
        <f>Table13[[#This Row],[pulm_supp_24]]</f>
        <v>None of the above</v>
      </c>
      <c r="AT4" s="73" t="str">
        <f>Table13[[#This Row],[pulm_supp_7]]</f>
        <v>Mild</v>
      </c>
      <c r="AU4" s="73" t="str">
        <f>Table13[[#This Row],[pulm_pharm]]</f>
        <v>Bronchodilators nebulised, Diuretics intravenous</v>
      </c>
      <c r="AV4" s="73" t="str">
        <f>Table13[[#This Row],[cardio_24]]</f>
        <v>None of the above</v>
      </c>
      <c r="AW4" s="73">
        <f>Table13[[#This Row],[troponin_7]]</f>
        <v>0</v>
      </c>
      <c r="AX4" s="73">
        <f>Table13[[#This Row],[creatinine_base]]</f>
        <v>79</v>
      </c>
      <c r="AY4" s="73">
        <f>Table13[[#This Row],[creatinine_high]]</f>
        <v>71</v>
      </c>
      <c r="AZ4" s="73" t="str">
        <f>Table13[[#This Row],[rrt]]</f>
        <v xml:space="preserve">No </v>
      </c>
      <c r="BA4" s="73" t="str">
        <f>Table13[[#This Row],[renal_24]]</f>
        <v>None of the above</v>
      </c>
      <c r="BB4" s="73" t="str">
        <f>Table13[[#This Row],[neuro]]</f>
        <v>None of the above</v>
      </c>
      <c r="BC4" s="73" t="str">
        <f>Table13[[#This Row],[wound]]</f>
        <v>None of the above</v>
      </c>
      <c r="BD4" s="73" t="str">
        <f>Table13[[#This Row],[haemato]]</f>
        <v>None of the above</v>
      </c>
      <c r="BE4" s="73" t="str">
        <f>Table13[[#This Row],[pain]]</f>
        <v>None of the above</v>
      </c>
      <c r="BF4" s="73" t="str">
        <f>Table13[[#This Row],[mobility]]</f>
        <v>Yes</v>
      </c>
      <c r="BG4" s="79" t="str">
        <f>Table13[[#This Row],[why_inpatient_7]]</f>
        <v>Medical/nursing care</v>
      </c>
      <c r="BH4" s="9">
        <f>Table13[[#This Row],[date_15]]</f>
        <v>0</v>
      </c>
      <c r="BI4" t="str">
        <f>Table13[[#This Row],[inpatient_15]]</f>
        <v>No</v>
      </c>
      <c r="BJ4">
        <f>Table13[[#This Row],[comment_15]]</f>
        <v>0</v>
      </c>
      <c r="BK4" t="str">
        <f>Table13[[#This Row],[discharge_dest]]</f>
        <v>Own Home</v>
      </c>
      <c r="BL4" t="str">
        <f>Table13[[#This Row],[complication]]</f>
        <v>I, II, IIIB</v>
      </c>
    </row>
    <row r="5" spans="1:64" ht="18" customHeight="1">
      <c r="A5" s="73">
        <f>Table5[[#This Row],[comment]]</f>
        <v>0</v>
      </c>
      <c r="B5" s="73">
        <f>Table9[[#This Row],[surgeon]]</f>
        <v>0</v>
      </c>
      <c r="C5" s="73">
        <f>Table9[[#This Row],[surgery]]</f>
        <v>0</v>
      </c>
      <c r="D5" s="74">
        <f>Table5[[#This Row],[pqip_consent]]</f>
        <v>0</v>
      </c>
      <c r="E5" s="73">
        <f>Table6[[#This Row],[area_surgery]]</f>
        <v>0</v>
      </c>
      <c r="F5" s="75">
        <f>Table6[[#This Row],[admission_date]]</f>
        <v>0</v>
      </c>
      <c r="G5" s="75">
        <f>Table6[[#This Row],[admission_date]]</f>
        <v>0</v>
      </c>
      <c r="H5" s="105"/>
      <c r="I5" s="73">
        <f>Table6[[#This Row],[discharge_loc]]</f>
        <v>0</v>
      </c>
      <c r="J5" s="75">
        <f>Table6[[#This Row],[discharge_date]]</f>
        <v>0</v>
      </c>
      <c r="K5" s="76">
        <f>Table6[[#This Row],[hospital_stay]]</f>
        <v>0</v>
      </c>
      <c r="L5" s="76">
        <f>Table6[[#This Row],[readmit_30]]</f>
        <v>0</v>
      </c>
      <c r="M5" s="77">
        <f>Table9[[#This Row],[troponin]]</f>
        <v>0</v>
      </c>
      <c r="N5" s="78">
        <f>Table9[[#This Row],[hb]]</f>
        <v>0</v>
      </c>
      <c r="O5" s="78">
        <f>Table9[[#This Row],[creatinine]]</f>
        <v>0</v>
      </c>
      <c r="P5" s="78">
        <f>Table9[[#This Row],[albumin]]</f>
        <v>0</v>
      </c>
      <c r="Q5" s="73">
        <f>Table9[[#This Row],[chest_physio]]</f>
        <v>0</v>
      </c>
      <c r="R5" s="73">
        <f>Table9[[#This Row],[surgery_school]]</f>
        <v>0</v>
      </c>
      <c r="S5" s="75">
        <f>Table9[[#This Row],[date_school]]</f>
        <v>0</v>
      </c>
      <c r="T5" s="73">
        <f>Table9[[#This Row],[app_down]]</f>
        <v>0</v>
      </c>
      <c r="U5" s="73">
        <f>Table9[[#This Row],[website]]</f>
        <v>0</v>
      </c>
      <c r="V5" s="73">
        <f>Table9[[#This Row],[base_activity]]</f>
        <v>0</v>
      </c>
      <c r="W5" s="73">
        <f>Table9[[#This Row],[current_activity]]</f>
        <v>0</v>
      </c>
      <c r="X5" s="73">
        <f>Table9[[#This Row],[activity_type]]</f>
        <v>0</v>
      </c>
      <c r="Y5" s="73">
        <f>Table9[[#This Row],[anaemia_treat]]</f>
        <v>0</v>
      </c>
      <c r="Z5" s="78">
        <f>Table9[[#This Row],[anaesthesia]]</f>
        <v>0</v>
      </c>
      <c r="AA5" s="78">
        <f>Table9[[#This Row],[smoke_hist]]</f>
        <v>0</v>
      </c>
      <c r="AB5" s="78">
        <f>Table9[[#This Row],[smoke_cess]]</f>
        <v>0</v>
      </c>
      <c r="AC5" s="78">
        <f>Table9[[#This Row],[tidal_vol]]</f>
        <v>0</v>
      </c>
      <c r="AD5" s="77">
        <f>Table11[[#This Row],[inc_spiro]]</f>
        <v>0</v>
      </c>
      <c r="AE5" s="73">
        <f>Table11[[#This Row],[t_brushes]]</f>
        <v>0</v>
      </c>
      <c r="AF5" s="78">
        <f>Table11[[#This Row],[m_washes]]</f>
        <v>0</v>
      </c>
      <c r="AG5" s="78">
        <f>Table11[[#This Row],[iv_disc]]</f>
        <v>0</v>
      </c>
      <c r="AH5" s="78">
        <f>Table11[[#This Row],[tolerate_15l]]</f>
        <v>0</v>
      </c>
      <c r="AI5" s="78">
        <f>Table11[[#This Row],[drinking]]</f>
        <v>0</v>
      </c>
      <c r="AJ5" s="78">
        <f>Table11[[#This Row],[oral_diet]]</f>
        <v>0</v>
      </c>
      <c r="AK5" s="78">
        <f>Table11[[#This Row],[mobilised]]</f>
        <v>0</v>
      </c>
      <c r="AL5" s="79">
        <f>Table11[[#This Row],[resp_supp]]</f>
        <v>0</v>
      </c>
      <c r="AM5" s="78">
        <f>Table11[[#This Row],[elev_head]]</f>
        <v>0</v>
      </c>
      <c r="AN5" s="78">
        <f>Table13[[#This Row],[in_hospital]]</f>
        <v>0</v>
      </c>
      <c r="AO5" s="78">
        <f>Table13[[#This Row],[location_7]]</f>
        <v>0</v>
      </c>
      <c r="AP5" s="78">
        <f>Table13[[#This Row],[infec_24]]</f>
        <v>0</v>
      </c>
      <c r="AQ5" s="73">
        <f>Table13[[#This Row],[infec_7]]</f>
        <v>0</v>
      </c>
      <c r="AR5" s="73">
        <f>Table13[[#This Row],[gastro]]</f>
        <v>0</v>
      </c>
      <c r="AS5" s="73">
        <f>Table13[[#This Row],[pulm_supp_24]]</f>
        <v>0</v>
      </c>
      <c r="AT5" s="73">
        <f>Table13[[#This Row],[pulm_supp_7]]</f>
        <v>0</v>
      </c>
      <c r="AU5" s="73">
        <f>Table13[[#This Row],[pulm_pharm]]</f>
        <v>0</v>
      </c>
      <c r="AV5" s="73">
        <f>Table13[[#This Row],[cardio_24]]</f>
        <v>0</v>
      </c>
      <c r="AW5" s="73">
        <f>Table13[[#This Row],[troponin_7]]</f>
        <v>0</v>
      </c>
      <c r="AX5" s="73">
        <f>Table13[[#This Row],[creatinine_base]]</f>
        <v>0</v>
      </c>
      <c r="AY5" s="73">
        <f>Table13[[#This Row],[creatinine_high]]</f>
        <v>0</v>
      </c>
      <c r="AZ5" s="73">
        <f>Table13[[#This Row],[rrt]]</f>
        <v>0</v>
      </c>
      <c r="BA5" s="73">
        <f>Table13[[#This Row],[renal_24]]</f>
        <v>0</v>
      </c>
      <c r="BB5" s="73">
        <f>Table13[[#This Row],[neuro]]</f>
        <v>0</v>
      </c>
      <c r="BC5" s="73">
        <f>Table13[[#This Row],[wound]]</f>
        <v>0</v>
      </c>
      <c r="BD5" s="73">
        <f>Table13[[#This Row],[haemato]]</f>
        <v>0</v>
      </c>
      <c r="BE5" s="73">
        <f>Table13[[#This Row],[pain]]</f>
        <v>0</v>
      </c>
      <c r="BF5" s="73">
        <f>Table13[[#This Row],[mobility]]</f>
        <v>0</v>
      </c>
      <c r="BG5" s="79">
        <f>Table13[[#This Row],[why_inpatient_7]]</f>
        <v>0</v>
      </c>
      <c r="BH5" s="9">
        <f>Table13[[#This Row],[date_15]]</f>
        <v>0</v>
      </c>
      <c r="BI5">
        <f>Table13[[#This Row],[inpatient_15]]</f>
        <v>0</v>
      </c>
      <c r="BJ5">
        <f>Table13[[#This Row],[comment_15]]</f>
        <v>0</v>
      </c>
      <c r="BK5">
        <f>Table13[[#This Row],[discharge_dest]]</f>
        <v>0</v>
      </c>
      <c r="BL5">
        <f>Table13[[#This Row],[complication]]</f>
        <v>0</v>
      </c>
    </row>
    <row r="6" spans="1:64" ht="18" customHeight="1">
      <c r="A6" s="73">
        <f>Table5[[#This Row],[comment]]</f>
        <v>0</v>
      </c>
      <c r="B6" s="73" t="str">
        <f>Table9[[#This Row],[surgeon]]</f>
        <v>Jonathan Epstein</v>
      </c>
      <c r="C6" s="73" t="str">
        <f>Table9[[#This Row],[surgery]]</f>
        <v>Laparoscopic Left Hemicolectomy</v>
      </c>
      <c r="D6" s="74" t="str">
        <f>Table5[[#This Row],[pqip_consent]]</f>
        <v>Yes</v>
      </c>
      <c r="E6" s="73" t="str">
        <f>Table6[[#This Row],[area_surgery]]</f>
        <v>Lower GI</v>
      </c>
      <c r="F6" s="75">
        <f>Table6[[#This Row],[admission_date]]</f>
        <v>43297</v>
      </c>
      <c r="G6" s="75">
        <f>Table6[[#This Row],[admission_date]]</f>
        <v>43297</v>
      </c>
      <c r="H6" s="105"/>
      <c r="I6" s="73" t="str">
        <f>Table6[[#This Row],[discharge_loc]]</f>
        <v>H6</v>
      </c>
      <c r="J6" s="75">
        <f>Table6[[#This Row],[discharge_date]]</f>
        <v>43309</v>
      </c>
      <c r="K6" s="76">
        <f>Table6[[#This Row],[hospital_stay]]</f>
        <v>12</v>
      </c>
      <c r="L6" s="76" t="str">
        <f>Table6[[#This Row],[readmit_30]]</f>
        <v>No</v>
      </c>
      <c r="M6" s="77" t="str">
        <f>Table9[[#This Row],[troponin]]</f>
        <v>Not Measured</v>
      </c>
      <c r="N6" s="78">
        <f>Table9[[#This Row],[hb]]</f>
        <v>13</v>
      </c>
      <c r="O6" s="78">
        <f>Table9[[#This Row],[creatinine]]</f>
        <v>61</v>
      </c>
      <c r="P6" s="78">
        <f>Table9[[#This Row],[albumin]]</f>
        <v>44</v>
      </c>
      <c r="Q6" s="73" t="str">
        <f>Table9[[#This Row],[chest_physio]]</f>
        <v>Nurse</v>
      </c>
      <c r="R6" s="73" t="str">
        <f>Table9[[#This Row],[surgery_school]]</f>
        <v>No - Wasn’t offered it</v>
      </c>
      <c r="S6" s="75">
        <f>Table9[[#This Row],[date_school]]</f>
        <v>0</v>
      </c>
      <c r="T6" s="73" t="str">
        <f>Table9[[#This Row],[app_down]]</f>
        <v>No - No electronic device</v>
      </c>
      <c r="U6" s="73" t="str">
        <f>Table9[[#This Row],[website]]</f>
        <v>No</v>
      </c>
      <c r="V6" s="73" t="str">
        <f>Table9[[#This Row],[base_activity]]</f>
        <v>No extra activity - Independent in ADLs</v>
      </c>
      <c r="W6" s="73" t="str">
        <f>Table9[[#This Row],[current_activity]]</f>
        <v>No extra activity - Independent in ADLs</v>
      </c>
      <c r="X6" s="73" t="str">
        <f>Table9[[#This Row],[activity_type]]</f>
        <v>None</v>
      </c>
      <c r="Y6" s="73" t="str">
        <f>Table9[[#This Row],[anaemia_treat]]</f>
        <v>Not applicable</v>
      </c>
      <c r="Z6" s="78" t="str">
        <f>Table9[[#This Row],[anaesthesia]]</f>
        <v>General with TIVA</v>
      </c>
      <c r="AA6" s="78">
        <f>Table9[[#This Row],[smoke_hist]]</f>
        <v>0</v>
      </c>
      <c r="AB6" s="78">
        <f>Table9[[#This Row],[smoke_cess]]</f>
        <v>0</v>
      </c>
      <c r="AC6" s="78" t="str">
        <f>Table9[[#This Row],[tidal_vol]]</f>
        <v>Not recorded</v>
      </c>
      <c r="AD6" s="77" t="str">
        <f>Table11[[#This Row],[inc_spiro]]</f>
        <v>&gt;Two</v>
      </c>
      <c r="AE6" s="73" t="str">
        <f>Table11[[#This Row],[t_brushes]]</f>
        <v>Once</v>
      </c>
      <c r="AF6" s="78" t="str">
        <f>Table11[[#This Row],[m_washes]]</f>
        <v>None</v>
      </c>
      <c r="AG6" s="78" t="str">
        <f>Table11[[#This Row],[iv_disc]]</f>
        <v>No</v>
      </c>
      <c r="AH6" s="78">
        <f>Table11[[#This Row],[tolerate_15l]]</f>
        <v>0</v>
      </c>
      <c r="AI6" s="78" t="str">
        <f>Table11[[#This Row],[drinking]]</f>
        <v>Yes</v>
      </c>
      <c r="AJ6" s="78" t="str">
        <f>Table11[[#This Row],[oral_diet]]</f>
        <v>No</v>
      </c>
      <c r="AK6" s="78" t="str">
        <f>Table11[[#This Row],[mobilised]]</f>
        <v>Yes</v>
      </c>
      <c r="AL6" s="79" t="str">
        <f>Table11[[#This Row],[resp_supp]]</f>
        <v>High flow Nasal</v>
      </c>
      <c r="AM6" s="78">
        <f>Table11[[#This Row],[elev_head]]</f>
        <v>0</v>
      </c>
      <c r="AN6" s="78" t="str">
        <f>Table13[[#This Row],[in_hospital]]</f>
        <v>Yes</v>
      </c>
      <c r="AO6" s="78" t="str">
        <f>Table13[[#This Row],[location_7]]</f>
        <v>Ward</v>
      </c>
      <c r="AP6" s="78" t="str">
        <f>Table13[[#This Row],[infec_24]]</f>
        <v>Patient currently on IV antibiotics</v>
      </c>
      <c r="AQ6" s="73" t="str">
        <f>Table13[[#This Row],[infec_7]]</f>
        <v>Abdominal leak</v>
      </c>
      <c r="AR6" s="73" t="str">
        <f>Table13[[#This Row],[gastro]]</f>
        <v>Unable to tolerate enteral diet, Experienced nausea, vomiting or distension</v>
      </c>
      <c r="AS6" s="73" t="str">
        <f>Table13[[#This Row],[pulm_supp_24]]</f>
        <v>New requirement for oxygen</v>
      </c>
      <c r="AT6" s="73" t="str">
        <f>Table13[[#This Row],[pulm_supp_7]]</f>
        <v>None</v>
      </c>
      <c r="AU6" s="73" t="str">
        <f>Table13[[#This Row],[pulm_pharm]]</f>
        <v>None</v>
      </c>
      <c r="AV6" s="73" t="str">
        <f>Table13[[#This Row],[cardio_24]]</f>
        <v>None of the above</v>
      </c>
      <c r="AW6" s="73">
        <f>Table13[[#This Row],[troponin_7]]</f>
        <v>0</v>
      </c>
      <c r="AX6" s="73">
        <f>Table13[[#This Row],[creatinine_base]]</f>
        <v>59</v>
      </c>
      <c r="AY6" s="73">
        <f>Table13[[#This Row],[creatinine_high]]</f>
        <v>53</v>
      </c>
      <c r="AZ6" s="73" t="str">
        <f>Table13[[#This Row],[rrt]]</f>
        <v xml:space="preserve">No </v>
      </c>
      <c r="BA6" s="73" t="str">
        <f>Table13[[#This Row],[renal_24]]</f>
        <v>None of the above</v>
      </c>
      <c r="BB6" s="73" t="str">
        <f>Table13[[#This Row],[neuro]]</f>
        <v>None of the above</v>
      </c>
      <c r="BC6" s="73" t="str">
        <f>Table13[[#This Row],[wound]]</f>
        <v>None of the above</v>
      </c>
      <c r="BD6" s="73" t="str">
        <f>Table13[[#This Row],[haemato]]</f>
        <v>None of the above</v>
      </c>
      <c r="BE6" s="73" t="str">
        <f>Table13[[#This Row],[pain]]</f>
        <v>Parenteral opioids, Regional anaesthesia</v>
      </c>
      <c r="BF6" s="73" t="str">
        <f>Table13[[#This Row],[mobility]]</f>
        <v>No</v>
      </c>
      <c r="BG6" s="79" t="str">
        <f>Table13[[#This Row],[why_inpatient_7]]</f>
        <v>Medical/nursing care</v>
      </c>
      <c r="BH6" s="9">
        <f>Table13[[#This Row],[date_15]]</f>
        <v>0</v>
      </c>
      <c r="BI6">
        <f>Table13[[#This Row],[inpatient_15]]</f>
        <v>0</v>
      </c>
      <c r="BJ6">
        <f>Table13[[#This Row],[comment_15]]</f>
        <v>0</v>
      </c>
      <c r="BK6" t="str">
        <f>Table13[[#This Row],[discharge_dest]]</f>
        <v>Own Home</v>
      </c>
      <c r="BL6" t="str">
        <f>Table13[[#This Row],[complication]]</f>
        <v>I, II, IIIB</v>
      </c>
    </row>
    <row r="7" spans="1:64" ht="18" customHeight="1">
      <c r="A7" s="73">
        <f>Table5[[#This Row],[comment]]</f>
        <v>0</v>
      </c>
      <c r="B7" s="73" t="str">
        <f>Table9[[#This Row],[surgeon]]</f>
        <v>Euan Green</v>
      </c>
      <c r="C7" s="73" t="str">
        <f>Table9[[#This Row],[surgery]]</f>
        <v>Laparoscopic Right Radical Nephrectomy</v>
      </c>
      <c r="D7" s="74" t="str">
        <f>Table5[[#This Row],[pqip_consent]]</f>
        <v>Yes</v>
      </c>
      <c r="E7" s="73" t="str">
        <f>Table6[[#This Row],[area_surgery]]</f>
        <v>Nephrology</v>
      </c>
      <c r="F7" s="75">
        <f>Table6[[#This Row],[admission_date]]</f>
        <v>43299</v>
      </c>
      <c r="G7" s="75">
        <f>Table6[[#This Row],[admission_date]]</f>
        <v>43299</v>
      </c>
      <c r="H7" s="105"/>
      <c r="I7" s="73" t="str">
        <f>Table6[[#This Row],[discharge_loc]]</f>
        <v>H6</v>
      </c>
      <c r="J7" s="75">
        <f>Table6[[#This Row],[discharge_date]]</f>
        <v>43300</v>
      </c>
      <c r="K7" s="76">
        <f>Table6[[#This Row],[hospital_stay]]</f>
        <v>1</v>
      </c>
      <c r="L7" s="76" t="str">
        <f>Table6[[#This Row],[readmit_30]]</f>
        <v>No</v>
      </c>
      <c r="M7" s="77" t="str">
        <f>Table9[[#This Row],[troponin]]</f>
        <v>Not Measured</v>
      </c>
      <c r="N7" s="78">
        <f>Table9[[#This Row],[hb]]</f>
        <v>13.5</v>
      </c>
      <c r="O7" s="78">
        <f>Table9[[#This Row],[creatinine]]</f>
        <v>96</v>
      </c>
      <c r="P7" s="78" t="str">
        <f>Table9[[#This Row],[albumin]]</f>
        <v>Not Measured</v>
      </c>
      <c r="Q7" s="73" t="str">
        <f>Table9[[#This Row],[chest_physio]]</f>
        <v>No</v>
      </c>
      <c r="R7" s="73" t="str">
        <f>Table9[[#This Row],[surgery_school]]</f>
        <v>No - Wasn’t offered it</v>
      </c>
      <c r="S7" s="75">
        <f>Table9[[#This Row],[date_school]]</f>
        <v>0</v>
      </c>
      <c r="T7" s="73" t="str">
        <f>Table9[[#This Row],[app_down]]</f>
        <v>No - No electronic device</v>
      </c>
      <c r="U7" s="73" t="str">
        <f>Table9[[#This Row],[website]]</f>
        <v>No</v>
      </c>
      <c r="V7" s="73" t="str">
        <f>Table9[[#This Row],[base_activity]]</f>
        <v>No extra activity - Independent in ADLs</v>
      </c>
      <c r="W7" s="73" t="str">
        <f>Table9[[#This Row],[current_activity]]</f>
        <v>No extra activity - Independent in ADLs</v>
      </c>
      <c r="X7" s="73" t="str">
        <f>Table9[[#This Row],[activity_type]]</f>
        <v>None</v>
      </c>
      <c r="Y7" s="73" t="str">
        <f>Table9[[#This Row],[anaemia_treat]]</f>
        <v>Not applicable</v>
      </c>
      <c r="Z7" s="78" t="str">
        <f>Table9[[#This Row],[anaesthesia]]</f>
        <v>General with Inhalational</v>
      </c>
      <c r="AA7" s="78">
        <f>Table9[[#This Row],[smoke_hist]]</f>
        <v>0</v>
      </c>
      <c r="AB7" s="78">
        <f>Table9[[#This Row],[smoke_cess]]</f>
        <v>0</v>
      </c>
      <c r="AC7" s="78" t="str">
        <f>Table9[[#This Row],[tidal_vol]]</f>
        <v>Not recorded</v>
      </c>
      <c r="AD7" s="77" t="str">
        <f>Table11[[#This Row],[inc_spiro]]</f>
        <v>&gt;Two</v>
      </c>
      <c r="AE7" s="73" t="str">
        <f>Table11[[#This Row],[t_brushes]]</f>
        <v>Twice</v>
      </c>
      <c r="AF7" s="78" t="str">
        <f>Table11[[#This Row],[m_washes]]</f>
        <v>Twice</v>
      </c>
      <c r="AG7" s="78" t="str">
        <f>Table11[[#This Row],[iv_disc]]</f>
        <v>No</v>
      </c>
      <c r="AH7" s="78">
        <f>Table11[[#This Row],[tolerate_15l]]</f>
        <v>0</v>
      </c>
      <c r="AI7" s="78" t="str">
        <f>Table11[[#This Row],[drinking]]</f>
        <v>Yes</v>
      </c>
      <c r="AJ7" s="78" t="str">
        <f>Table11[[#This Row],[oral_diet]]</f>
        <v>Yes</v>
      </c>
      <c r="AK7" s="78" t="str">
        <f>Table11[[#This Row],[mobilised]]</f>
        <v>Yes</v>
      </c>
      <c r="AL7" s="79" t="str">
        <f>Table11[[#This Row],[resp_supp]]</f>
        <v>None</v>
      </c>
      <c r="AM7" s="78">
        <f>Table11[[#This Row],[elev_head]]</f>
        <v>0</v>
      </c>
      <c r="AN7" s="78" t="str">
        <f>Table13[[#This Row],[in_hospital]]</f>
        <v>No</v>
      </c>
      <c r="AO7" s="78">
        <f>Table13[[#This Row],[location_7]]</f>
        <v>0</v>
      </c>
      <c r="AP7" s="78">
        <f>Table13[[#This Row],[infec_24]]</f>
        <v>0</v>
      </c>
      <c r="AQ7" s="73">
        <f>Table13[[#This Row],[infec_7]]</f>
        <v>0</v>
      </c>
      <c r="AR7" s="73">
        <f>Table13[[#This Row],[gastro]]</f>
        <v>0</v>
      </c>
      <c r="AS7" s="73">
        <f>Table13[[#This Row],[pulm_supp_24]]</f>
        <v>0</v>
      </c>
      <c r="AT7" s="73">
        <f>Table13[[#This Row],[pulm_supp_7]]</f>
        <v>0</v>
      </c>
      <c r="AU7" s="73">
        <f>Table13[[#This Row],[pulm_pharm]]</f>
        <v>0</v>
      </c>
      <c r="AV7" s="73">
        <f>Table13[[#This Row],[cardio_24]]</f>
        <v>0</v>
      </c>
      <c r="AW7" s="73">
        <f>Table13[[#This Row],[troponin_7]]</f>
        <v>0</v>
      </c>
      <c r="AX7" s="73">
        <f>Table13[[#This Row],[creatinine_base]]</f>
        <v>0</v>
      </c>
      <c r="AY7" s="73">
        <f>Table13[[#This Row],[creatinine_high]]</f>
        <v>0</v>
      </c>
      <c r="AZ7" s="73">
        <f>Table13[[#This Row],[rrt]]</f>
        <v>0</v>
      </c>
      <c r="BA7" s="73">
        <f>Table13[[#This Row],[renal_24]]</f>
        <v>0</v>
      </c>
      <c r="BB7" s="73">
        <f>Table13[[#This Row],[neuro]]</f>
        <v>0</v>
      </c>
      <c r="BC7" s="73">
        <f>Table13[[#This Row],[wound]]</f>
        <v>0</v>
      </c>
      <c r="BD7" s="73">
        <f>Table13[[#This Row],[haemato]]</f>
        <v>0</v>
      </c>
      <c r="BE7" s="73">
        <f>Table13[[#This Row],[pain]]</f>
        <v>0</v>
      </c>
      <c r="BF7" s="73">
        <f>Table13[[#This Row],[mobility]]</f>
        <v>0</v>
      </c>
      <c r="BG7" s="79">
        <f>Table13[[#This Row],[why_inpatient_7]]</f>
        <v>0</v>
      </c>
      <c r="BH7" s="9">
        <f>Table13[[#This Row],[date_15]]</f>
        <v>0</v>
      </c>
      <c r="BI7">
        <f>Table13[[#This Row],[inpatient_15]]</f>
        <v>0</v>
      </c>
      <c r="BJ7">
        <f>Table13[[#This Row],[comment_15]]</f>
        <v>0</v>
      </c>
      <c r="BK7" t="str">
        <f>Table13[[#This Row],[discharge_dest]]</f>
        <v>Own Home</v>
      </c>
      <c r="BL7" t="str">
        <f>Table13[[#This Row],[complication]]</f>
        <v>None</v>
      </c>
    </row>
    <row r="8" spans="1:64" ht="18" customHeight="1">
      <c r="A8" s="73">
        <f>Table5[[#This Row],[comment]]</f>
        <v>0</v>
      </c>
      <c r="B8" s="73" t="str">
        <f>Table9[[#This Row],[surgeon]]</f>
        <v>Helen Doran</v>
      </c>
      <c r="C8" s="73" t="str">
        <f>Table9[[#This Row],[surgery]]</f>
        <v>Right adrenalectomy</v>
      </c>
      <c r="D8" s="74" t="str">
        <f>Table5[[#This Row],[pqip_consent]]</f>
        <v>Yes</v>
      </c>
      <c r="E8" s="73" t="str">
        <f>Table6[[#This Row],[area_surgery]]</f>
        <v>Nephrology</v>
      </c>
      <c r="F8" s="75">
        <f>Table6[[#This Row],[admission_date]]</f>
        <v>43299</v>
      </c>
      <c r="G8" s="75">
        <f>Table6[[#This Row],[admission_date]]</f>
        <v>43299</v>
      </c>
      <c r="H8" s="105"/>
      <c r="I8" s="73" t="str">
        <f>Table6[[#This Row],[discharge_loc]]</f>
        <v>H6</v>
      </c>
      <c r="J8" s="75">
        <f>Table6[[#This Row],[discharge_date]]</f>
        <v>43302</v>
      </c>
      <c r="K8" s="76">
        <f>Table6[[#This Row],[hospital_stay]]</f>
        <v>3</v>
      </c>
      <c r="L8" s="76" t="str">
        <f>Table6[[#This Row],[readmit_30]]</f>
        <v>No</v>
      </c>
      <c r="M8" s="77" t="str">
        <f>Table9[[#This Row],[troponin]]</f>
        <v>Not Measured</v>
      </c>
      <c r="N8" s="78">
        <f>Table9[[#This Row],[hb]]</f>
        <v>14.7</v>
      </c>
      <c r="O8" s="78">
        <f>Table9[[#This Row],[creatinine]]</f>
        <v>86</v>
      </c>
      <c r="P8" s="78">
        <f>Table9[[#This Row],[albumin]]</f>
        <v>41</v>
      </c>
      <c r="Q8" s="73" t="str">
        <f>Table9[[#This Row],[chest_physio]]</f>
        <v>No</v>
      </c>
      <c r="R8" s="73" t="str">
        <f>Table9[[#This Row],[surgery_school]]</f>
        <v>No - Wasn’t offered it</v>
      </c>
      <c r="S8" s="75">
        <f>Table9[[#This Row],[date_school]]</f>
        <v>0</v>
      </c>
      <c r="T8" s="73" t="str">
        <f>Table9[[#This Row],[app_down]]</f>
        <v>No - No electronic device</v>
      </c>
      <c r="U8" s="73" t="str">
        <f>Table9[[#This Row],[website]]</f>
        <v>No</v>
      </c>
      <c r="V8" s="73" t="str">
        <f>Table9[[#This Row],[base_activity]]</f>
        <v>No extra activity - Independent in ADLs</v>
      </c>
      <c r="W8" s="73" t="str">
        <f>Table9[[#This Row],[current_activity]]</f>
        <v>No extra activity - Independent in ADLs</v>
      </c>
      <c r="X8" s="73" t="str">
        <f>Table9[[#This Row],[activity_type]]</f>
        <v>None</v>
      </c>
      <c r="Y8" s="73" t="str">
        <f>Table9[[#This Row],[anaemia_treat]]</f>
        <v>Not applicable</v>
      </c>
      <c r="Z8" s="78" t="str">
        <f>Table9[[#This Row],[anaesthesia]]</f>
        <v>General with TIVA, General with Inhalational</v>
      </c>
      <c r="AA8" s="78">
        <f>Table9[[#This Row],[smoke_hist]]</f>
        <v>0</v>
      </c>
      <c r="AB8" s="78">
        <f>Table9[[#This Row],[smoke_cess]]</f>
        <v>0</v>
      </c>
      <c r="AC8" s="78" t="str">
        <f>Table9[[#This Row],[tidal_vol]]</f>
        <v>Not recorded</v>
      </c>
      <c r="AD8" s="77" t="str">
        <f>Table11[[#This Row],[inc_spiro]]</f>
        <v>&gt;Two</v>
      </c>
      <c r="AE8" s="73" t="str">
        <f>Table11[[#This Row],[t_brushes]]</f>
        <v>Twice</v>
      </c>
      <c r="AF8" s="78" t="str">
        <f>Table11[[#This Row],[m_washes]]</f>
        <v>Twice</v>
      </c>
      <c r="AG8" s="78" t="str">
        <f>Table11[[#This Row],[iv_disc]]</f>
        <v>No</v>
      </c>
      <c r="AH8" s="78">
        <f>Table11[[#This Row],[tolerate_15l]]</f>
        <v>0</v>
      </c>
      <c r="AI8" s="78" t="str">
        <f>Table11[[#This Row],[drinking]]</f>
        <v>Yes</v>
      </c>
      <c r="AJ8" s="78" t="str">
        <f>Table11[[#This Row],[oral_diet]]</f>
        <v>Yes</v>
      </c>
      <c r="AK8" s="78" t="str">
        <f>Table11[[#This Row],[mobilised]]</f>
        <v>Yes</v>
      </c>
      <c r="AL8" s="79" t="str">
        <f>Table11[[#This Row],[resp_supp]]</f>
        <v>None</v>
      </c>
      <c r="AM8" s="78">
        <f>Table11[[#This Row],[elev_head]]</f>
        <v>0</v>
      </c>
      <c r="AN8" s="78" t="str">
        <f>Table13[[#This Row],[in_hospital]]</f>
        <v>No</v>
      </c>
      <c r="AO8" s="78">
        <f>Table13[[#This Row],[location_7]]</f>
        <v>0</v>
      </c>
      <c r="AP8" s="78">
        <f>Table13[[#This Row],[infec_24]]</f>
        <v>0</v>
      </c>
      <c r="AQ8" s="73">
        <f>Table13[[#This Row],[infec_7]]</f>
        <v>0</v>
      </c>
      <c r="AR8" s="73">
        <f>Table13[[#This Row],[gastro]]</f>
        <v>0</v>
      </c>
      <c r="AS8" s="73">
        <f>Table13[[#This Row],[pulm_supp_24]]</f>
        <v>0</v>
      </c>
      <c r="AT8" s="73">
        <f>Table13[[#This Row],[pulm_supp_7]]</f>
        <v>0</v>
      </c>
      <c r="AU8" s="73">
        <f>Table13[[#This Row],[pulm_pharm]]</f>
        <v>0</v>
      </c>
      <c r="AV8" s="73">
        <f>Table13[[#This Row],[cardio_24]]</f>
        <v>0</v>
      </c>
      <c r="AW8" s="73">
        <f>Table13[[#This Row],[troponin_7]]</f>
        <v>0</v>
      </c>
      <c r="AX8" s="73">
        <f>Table13[[#This Row],[creatinine_base]]</f>
        <v>0</v>
      </c>
      <c r="AY8" s="73">
        <f>Table13[[#This Row],[creatinine_high]]</f>
        <v>0</v>
      </c>
      <c r="AZ8" s="73">
        <f>Table13[[#This Row],[rrt]]</f>
        <v>0</v>
      </c>
      <c r="BA8" s="73">
        <f>Table13[[#This Row],[renal_24]]</f>
        <v>0</v>
      </c>
      <c r="BB8" s="73">
        <f>Table13[[#This Row],[neuro]]</f>
        <v>0</v>
      </c>
      <c r="BC8" s="73">
        <f>Table13[[#This Row],[wound]]</f>
        <v>0</v>
      </c>
      <c r="BD8" s="73">
        <f>Table13[[#This Row],[haemato]]</f>
        <v>0</v>
      </c>
      <c r="BE8" s="73">
        <f>Table13[[#This Row],[pain]]</f>
        <v>0</v>
      </c>
      <c r="BF8" s="73">
        <f>Table13[[#This Row],[mobility]]</f>
        <v>0</v>
      </c>
      <c r="BG8" s="79">
        <f>Table13[[#This Row],[why_inpatient_7]]</f>
        <v>0</v>
      </c>
      <c r="BH8" s="9">
        <f>Table13[[#This Row],[date_15]]</f>
        <v>0</v>
      </c>
      <c r="BI8">
        <f>Table13[[#This Row],[inpatient_15]]</f>
        <v>0</v>
      </c>
      <c r="BJ8">
        <f>Table13[[#This Row],[comment_15]]</f>
        <v>0</v>
      </c>
      <c r="BK8" t="str">
        <f>Table13[[#This Row],[discharge_dest]]</f>
        <v>Own Home</v>
      </c>
      <c r="BL8" t="str">
        <f>Table13[[#This Row],[complication]]</f>
        <v>I, II</v>
      </c>
    </row>
    <row r="9" spans="1:64" ht="18" customHeight="1">
      <c r="A9" s="73">
        <f>Table5[[#This Row],[comment]]</f>
        <v>0</v>
      </c>
      <c r="B9" s="73" t="str">
        <f>Table9[[#This Row],[surgeon]]</f>
        <v>Satish Maddineni</v>
      </c>
      <c r="C9" s="73" t="str">
        <f>Table9[[#This Row],[surgery]]</f>
        <v>Nephroureterectomy</v>
      </c>
      <c r="D9" s="74" t="str">
        <f>Table5[[#This Row],[pqip_consent]]</f>
        <v>Yes</v>
      </c>
      <c r="E9" s="73" t="str">
        <f>Table6[[#This Row],[area_surgery]]</f>
        <v>Nephrology</v>
      </c>
      <c r="F9" s="75">
        <f>Table6[[#This Row],[admission_date]]</f>
        <v>43300</v>
      </c>
      <c r="G9" s="75">
        <f>Table6[[#This Row],[admission_date]]</f>
        <v>43300</v>
      </c>
      <c r="H9" s="105"/>
      <c r="I9" s="73" t="str">
        <f>Table6[[#This Row],[discharge_loc]]</f>
        <v>H6</v>
      </c>
      <c r="J9" s="75">
        <f>Table6[[#This Row],[discharge_date]]</f>
        <v>43306</v>
      </c>
      <c r="K9" s="76">
        <f>Table6[[#This Row],[hospital_stay]]</f>
        <v>6</v>
      </c>
      <c r="L9" s="76" t="str">
        <f>Table6[[#This Row],[readmit_30]]</f>
        <v>Yes</v>
      </c>
      <c r="M9" s="77" t="str">
        <f>Table9[[#This Row],[troponin]]</f>
        <v>Not Measured</v>
      </c>
      <c r="N9" s="78">
        <f>Table9[[#This Row],[hb]]</f>
        <v>12.2</v>
      </c>
      <c r="O9" s="78">
        <f>Table9[[#This Row],[creatinine]]</f>
        <v>133</v>
      </c>
      <c r="P9" s="78" t="str">
        <f>Table9[[#This Row],[albumin]]</f>
        <v>Not Measured</v>
      </c>
      <c r="Q9" s="73" t="str">
        <f>Table9[[#This Row],[chest_physio]]</f>
        <v>Nurse</v>
      </c>
      <c r="R9" s="73" t="str">
        <f>Table9[[#This Row],[surgery_school]]</f>
        <v>No - Wasn’t offered it</v>
      </c>
      <c r="S9" s="75">
        <f>Table9[[#This Row],[date_school]]</f>
        <v>0</v>
      </c>
      <c r="T9" s="73" t="str">
        <f>Table9[[#This Row],[app_down]]</f>
        <v>No - Have electronic device</v>
      </c>
      <c r="U9" s="73" t="str">
        <f>Table9[[#This Row],[website]]</f>
        <v>No</v>
      </c>
      <c r="V9" s="73" t="str">
        <f>Table9[[#This Row],[base_activity]]</f>
        <v>No extra activity - Independent in ADLs</v>
      </c>
      <c r="W9" s="73" t="str">
        <f>Table9[[#This Row],[current_activity]]</f>
        <v>No extra activity - Independent in ADLs</v>
      </c>
      <c r="X9" s="73" t="str">
        <f>Table9[[#This Row],[activity_type]]</f>
        <v>None</v>
      </c>
      <c r="Y9" s="73" t="str">
        <f>Table9[[#This Row],[anaemia_treat]]</f>
        <v>Not applicable</v>
      </c>
      <c r="Z9" s="78" t="str">
        <f>Table9[[#This Row],[anaesthesia]]</f>
        <v>General with TIVA</v>
      </c>
      <c r="AA9" s="78">
        <f>Table9[[#This Row],[smoke_hist]]</f>
        <v>0</v>
      </c>
      <c r="AB9" s="78">
        <f>Table9[[#This Row],[smoke_cess]]</f>
        <v>0</v>
      </c>
      <c r="AC9" s="78" t="str">
        <f>Table9[[#This Row],[tidal_vol]]</f>
        <v>Not recorded</v>
      </c>
      <c r="AD9" s="77" t="str">
        <f>Table11[[#This Row],[inc_spiro]]</f>
        <v>&gt;Two</v>
      </c>
      <c r="AE9" s="73" t="str">
        <f>Table11[[#This Row],[t_brushes]]</f>
        <v>Twice</v>
      </c>
      <c r="AF9" s="78" t="str">
        <f>Table11[[#This Row],[m_washes]]</f>
        <v>Twice</v>
      </c>
      <c r="AG9" s="78" t="str">
        <f>Table11[[#This Row],[iv_disc]]</f>
        <v>No</v>
      </c>
      <c r="AH9" s="78">
        <f>Table11[[#This Row],[tolerate_15l]]</f>
        <v>0</v>
      </c>
      <c r="AI9" s="78" t="str">
        <f>Table11[[#This Row],[drinking]]</f>
        <v>Yes</v>
      </c>
      <c r="AJ9" s="78" t="str">
        <f>Table11[[#This Row],[oral_diet]]</f>
        <v>No</v>
      </c>
      <c r="AK9" s="78" t="str">
        <f>Table11[[#This Row],[mobilised]]</f>
        <v>Yes</v>
      </c>
      <c r="AL9" s="79" t="str">
        <f>Table11[[#This Row],[resp_supp]]</f>
        <v>None</v>
      </c>
      <c r="AM9" s="78">
        <f>Table11[[#This Row],[elev_head]]</f>
        <v>0</v>
      </c>
      <c r="AN9" s="78" t="str">
        <f>Table13[[#This Row],[in_hospital]]</f>
        <v>No</v>
      </c>
      <c r="AO9" s="78">
        <f>Table13[[#This Row],[location_7]]</f>
        <v>0</v>
      </c>
      <c r="AP9" s="78">
        <f>Table13[[#This Row],[infec_24]]</f>
        <v>0</v>
      </c>
      <c r="AQ9" s="73">
        <f>Table13[[#This Row],[infec_7]]</f>
        <v>0</v>
      </c>
      <c r="AR9" s="73">
        <f>Table13[[#This Row],[gastro]]</f>
        <v>0</v>
      </c>
      <c r="AS9" s="73">
        <f>Table13[[#This Row],[pulm_supp_24]]</f>
        <v>0</v>
      </c>
      <c r="AT9" s="73">
        <f>Table13[[#This Row],[pulm_supp_7]]</f>
        <v>0</v>
      </c>
      <c r="AU9" s="73">
        <f>Table13[[#This Row],[pulm_pharm]]</f>
        <v>0</v>
      </c>
      <c r="AV9" s="73">
        <f>Table13[[#This Row],[cardio_24]]</f>
        <v>0</v>
      </c>
      <c r="AW9" s="73">
        <f>Table13[[#This Row],[troponin_7]]</f>
        <v>0</v>
      </c>
      <c r="AX9" s="73">
        <f>Table13[[#This Row],[creatinine_base]]</f>
        <v>0</v>
      </c>
      <c r="AY9" s="73">
        <f>Table13[[#This Row],[creatinine_high]]</f>
        <v>0</v>
      </c>
      <c r="AZ9" s="73">
        <f>Table13[[#This Row],[rrt]]</f>
        <v>0</v>
      </c>
      <c r="BA9" s="73">
        <f>Table13[[#This Row],[renal_24]]</f>
        <v>0</v>
      </c>
      <c r="BB9" s="73">
        <f>Table13[[#This Row],[neuro]]</f>
        <v>0</v>
      </c>
      <c r="BC9" s="73">
        <f>Table13[[#This Row],[wound]]</f>
        <v>0</v>
      </c>
      <c r="BD9" s="73">
        <f>Table13[[#This Row],[haemato]]</f>
        <v>0</v>
      </c>
      <c r="BE9" s="73">
        <f>Table13[[#This Row],[pain]]</f>
        <v>0</v>
      </c>
      <c r="BF9" s="73">
        <f>Table13[[#This Row],[mobility]]</f>
        <v>0</v>
      </c>
      <c r="BG9" s="79">
        <f>Table13[[#This Row],[why_inpatient_7]]</f>
        <v>0</v>
      </c>
      <c r="BH9" s="9">
        <f>Table13[[#This Row],[date_15]]</f>
        <v>0</v>
      </c>
      <c r="BI9">
        <f>Table13[[#This Row],[inpatient_15]]</f>
        <v>0</v>
      </c>
      <c r="BJ9">
        <f>Table13[[#This Row],[comment_15]]</f>
        <v>0</v>
      </c>
      <c r="BK9" t="str">
        <f>Table13[[#This Row],[discharge_dest]]</f>
        <v>Own Home</v>
      </c>
      <c r="BL9" t="str">
        <f>Table13[[#This Row],[complication]]</f>
        <v>I</v>
      </c>
    </row>
    <row r="10" spans="1:64" ht="18" customHeight="1">
      <c r="A10" s="73">
        <f>Table5[[#This Row],[comment]]</f>
        <v>0</v>
      </c>
      <c r="B10" s="73" t="str">
        <f>Table9[[#This Row],[surgeon]]</f>
        <v>Euan Green</v>
      </c>
      <c r="C10" s="73" t="str">
        <f>Table9[[#This Row],[surgery]]</f>
        <v>Laparoscopic left nephrectomy +/- open</v>
      </c>
      <c r="D10" s="74" t="str">
        <f>Table5[[#This Row],[pqip_consent]]</f>
        <v>Yes</v>
      </c>
      <c r="E10" s="73" t="str">
        <f>Table6[[#This Row],[area_surgery]]</f>
        <v>Nephrology</v>
      </c>
      <c r="F10" s="75">
        <f>Table6[[#This Row],[admission_date]]</f>
        <v>43300</v>
      </c>
      <c r="G10" s="75">
        <f>Table6[[#This Row],[admission_date]]</f>
        <v>43300</v>
      </c>
      <c r="H10" s="105"/>
      <c r="I10" s="73" t="str">
        <f>Table6[[#This Row],[discharge_loc]]</f>
        <v>H6</v>
      </c>
      <c r="J10" s="75">
        <f>Table6[[#This Row],[discharge_date]]</f>
        <v>43303</v>
      </c>
      <c r="K10" s="76">
        <f>Table6[[#This Row],[hospital_stay]]</f>
        <v>3</v>
      </c>
      <c r="L10" s="76" t="str">
        <f>Table6[[#This Row],[readmit_30]]</f>
        <v>Yes</v>
      </c>
      <c r="M10" s="77" t="str">
        <f>Table9[[#This Row],[troponin]]</f>
        <v>Not Measured</v>
      </c>
      <c r="N10" s="78">
        <f>Table9[[#This Row],[hb]]</f>
        <v>11.7</v>
      </c>
      <c r="O10" s="78">
        <f>Table9[[#This Row],[creatinine]]</f>
        <v>66</v>
      </c>
      <c r="P10" s="78">
        <f>Table9[[#This Row],[albumin]]</f>
        <v>40</v>
      </c>
      <c r="Q10" s="73" t="str">
        <f>Table9[[#This Row],[chest_physio]]</f>
        <v>Nurse</v>
      </c>
      <c r="R10" s="73" t="str">
        <f>Table9[[#This Row],[surgery_school]]</f>
        <v>No - Wasn’t offered it</v>
      </c>
      <c r="S10" s="75">
        <f>Table9[[#This Row],[date_school]]</f>
        <v>0</v>
      </c>
      <c r="T10" s="73" t="str">
        <f>Table9[[#This Row],[app_down]]</f>
        <v>No - Have electronic device</v>
      </c>
      <c r="U10" s="73" t="str">
        <f>Table9[[#This Row],[website]]</f>
        <v>No</v>
      </c>
      <c r="V10" s="73" t="str">
        <f>Table9[[#This Row],[base_activity]]</f>
        <v>No extra activity - Independent in ADLs</v>
      </c>
      <c r="W10" s="73" t="str">
        <f>Table9[[#This Row],[current_activity]]</f>
        <v>No extra activity - Needs help with ADLs</v>
      </c>
      <c r="X10" s="73" t="str">
        <f>Table9[[#This Row],[activity_type]]</f>
        <v>None</v>
      </c>
      <c r="Y10" s="73" t="str">
        <f>Table9[[#This Row],[anaemia_treat]]</f>
        <v>Not applicable</v>
      </c>
      <c r="Z10" s="78" t="str">
        <f>Table9[[#This Row],[anaesthesia]]</f>
        <v>General with TIVA</v>
      </c>
      <c r="AA10" s="78">
        <f>Table9[[#This Row],[smoke_hist]]</f>
        <v>0</v>
      </c>
      <c r="AB10" s="78">
        <f>Table9[[#This Row],[smoke_cess]]</f>
        <v>0</v>
      </c>
      <c r="AC10" s="78" t="str">
        <f>Table9[[#This Row],[tidal_vol]]</f>
        <v>Not recorded</v>
      </c>
      <c r="AD10" s="77" t="str">
        <f>Table11[[#This Row],[inc_spiro]]</f>
        <v>&gt;Two</v>
      </c>
      <c r="AE10" s="73" t="str">
        <f>Table11[[#This Row],[t_brushes]]</f>
        <v>Twice</v>
      </c>
      <c r="AF10" s="78" t="str">
        <f>Table11[[#This Row],[m_washes]]</f>
        <v>Twice</v>
      </c>
      <c r="AG10" s="78" t="str">
        <f>Table11[[#This Row],[iv_disc]]</f>
        <v>Yes</v>
      </c>
      <c r="AH10" s="78">
        <f>Table11[[#This Row],[tolerate_15l]]</f>
        <v>0</v>
      </c>
      <c r="AI10" s="78" t="str">
        <f>Table11[[#This Row],[drinking]]</f>
        <v>Yes</v>
      </c>
      <c r="AJ10" s="78" t="str">
        <f>Table11[[#This Row],[oral_diet]]</f>
        <v>Yes</v>
      </c>
      <c r="AK10" s="78" t="str">
        <f>Table11[[#This Row],[mobilised]]</f>
        <v>Yes</v>
      </c>
      <c r="AL10" s="79" t="str">
        <f>Table11[[#This Row],[resp_supp]]</f>
        <v>None</v>
      </c>
      <c r="AM10" s="78">
        <f>Table11[[#This Row],[elev_head]]</f>
        <v>0</v>
      </c>
      <c r="AN10" s="78" t="str">
        <f>Table13[[#This Row],[in_hospital]]</f>
        <v>No</v>
      </c>
      <c r="AO10" s="78">
        <f>Table13[[#This Row],[location_7]]</f>
        <v>0</v>
      </c>
      <c r="AP10" s="78">
        <f>Table13[[#This Row],[infec_24]]</f>
        <v>0</v>
      </c>
      <c r="AQ10" s="73">
        <f>Table13[[#This Row],[infec_7]]</f>
        <v>0</v>
      </c>
      <c r="AR10" s="73">
        <f>Table13[[#This Row],[gastro]]</f>
        <v>0</v>
      </c>
      <c r="AS10" s="73">
        <f>Table13[[#This Row],[pulm_supp_24]]</f>
        <v>0</v>
      </c>
      <c r="AT10" s="73">
        <f>Table13[[#This Row],[pulm_supp_7]]</f>
        <v>0</v>
      </c>
      <c r="AU10" s="73">
        <f>Table13[[#This Row],[pulm_pharm]]</f>
        <v>0</v>
      </c>
      <c r="AV10" s="73">
        <f>Table13[[#This Row],[cardio_24]]</f>
        <v>0</v>
      </c>
      <c r="AW10" s="73">
        <f>Table13[[#This Row],[troponin_7]]</f>
        <v>0</v>
      </c>
      <c r="AX10" s="73">
        <f>Table13[[#This Row],[creatinine_base]]</f>
        <v>0</v>
      </c>
      <c r="AY10" s="73">
        <f>Table13[[#This Row],[creatinine_high]]</f>
        <v>0</v>
      </c>
      <c r="AZ10" s="73">
        <f>Table13[[#This Row],[rrt]]</f>
        <v>0</v>
      </c>
      <c r="BA10" s="73">
        <f>Table13[[#This Row],[renal_24]]</f>
        <v>0</v>
      </c>
      <c r="BB10" s="73">
        <f>Table13[[#This Row],[neuro]]</f>
        <v>0</v>
      </c>
      <c r="BC10" s="73">
        <f>Table13[[#This Row],[wound]]</f>
        <v>0</v>
      </c>
      <c r="BD10" s="73">
        <f>Table13[[#This Row],[haemato]]</f>
        <v>0</v>
      </c>
      <c r="BE10" s="73">
        <f>Table13[[#This Row],[pain]]</f>
        <v>0</v>
      </c>
      <c r="BF10" s="73">
        <f>Table13[[#This Row],[mobility]]</f>
        <v>0</v>
      </c>
      <c r="BG10" s="79">
        <f>Table13[[#This Row],[why_inpatient_7]]</f>
        <v>0</v>
      </c>
      <c r="BH10" s="9">
        <f>Table13[[#This Row],[date_15]]</f>
        <v>0</v>
      </c>
      <c r="BI10">
        <f>Table13[[#This Row],[inpatient_15]]</f>
        <v>0</v>
      </c>
      <c r="BJ10">
        <f>Table13[[#This Row],[comment_15]]</f>
        <v>0</v>
      </c>
      <c r="BK10" t="str">
        <f>Table13[[#This Row],[discharge_dest]]</f>
        <v>Own Home</v>
      </c>
      <c r="BL10" t="str">
        <f>Table13[[#This Row],[complication]]</f>
        <v>I, II</v>
      </c>
    </row>
    <row r="11" spans="1:64" ht="18" customHeight="1">
      <c r="A11" s="73">
        <f>Table5[[#This Row],[comment]]</f>
        <v>0</v>
      </c>
      <c r="B11" s="73" t="str">
        <f>Table9[[#This Row],[surgeon]]</f>
        <v>James Wolfe</v>
      </c>
      <c r="C11" s="73" t="str">
        <f>Table9[[#This Row],[surgery]]</f>
        <v>Complex restoration of intestinal continuity</v>
      </c>
      <c r="D11" s="74" t="str">
        <f>Table5[[#This Row],[pqip_consent]]</f>
        <v>Yes</v>
      </c>
      <c r="E11" s="73" t="str">
        <f>Table6[[#This Row],[area_surgery]]</f>
        <v>Lower GI</v>
      </c>
      <c r="F11" s="75">
        <f>Table6[[#This Row],[admission_date]]</f>
        <v>43299</v>
      </c>
      <c r="G11" s="75">
        <f>Table6[[#This Row],[admission_date]]</f>
        <v>43299</v>
      </c>
      <c r="H11" s="105"/>
      <c r="I11" s="73" t="str">
        <f>Table6[[#This Row],[discharge_loc]]</f>
        <v>H6</v>
      </c>
      <c r="J11" s="75">
        <f>Table6[[#This Row],[discharge_date]]</f>
        <v>43308</v>
      </c>
      <c r="K11" s="76">
        <f>Table6[[#This Row],[hospital_stay]]</f>
        <v>7</v>
      </c>
      <c r="L11" s="76" t="str">
        <f>Table6[[#This Row],[readmit_30]]</f>
        <v>No</v>
      </c>
      <c r="M11" s="77" t="str">
        <f>Table9[[#This Row],[troponin]]</f>
        <v>Not Measured</v>
      </c>
      <c r="N11" s="78">
        <f>Table9[[#This Row],[hb]]</f>
        <v>11.4</v>
      </c>
      <c r="O11" s="78">
        <f>Table9[[#This Row],[creatinine]]</f>
        <v>105</v>
      </c>
      <c r="P11" s="78">
        <f>Table9[[#This Row],[albumin]]</f>
        <v>40</v>
      </c>
      <c r="Q11" s="73" t="str">
        <f>Table9[[#This Row],[chest_physio]]</f>
        <v>Nurse</v>
      </c>
      <c r="R11" s="73" t="str">
        <f>Table9[[#This Row],[surgery_school]]</f>
        <v>No - Wasn’t offered it</v>
      </c>
      <c r="S11" s="75">
        <f>Table9[[#This Row],[date_school]]</f>
        <v>0</v>
      </c>
      <c r="T11" s="73" t="str">
        <f>Table9[[#This Row],[app_down]]</f>
        <v>No - Have electronic device</v>
      </c>
      <c r="U11" s="73" t="str">
        <f>Table9[[#This Row],[website]]</f>
        <v>No</v>
      </c>
      <c r="V11" s="73" t="str">
        <f>Table9[[#This Row],[base_activity]]</f>
        <v>No extra activity - Independent in ADLs</v>
      </c>
      <c r="W11" s="73" t="str">
        <f>Table9[[#This Row],[current_activity]]</f>
        <v>No extra activity - Independent in ADLs</v>
      </c>
      <c r="X11" s="73" t="str">
        <f>Table9[[#This Row],[activity_type]]</f>
        <v>None</v>
      </c>
      <c r="Y11" s="73" t="str">
        <f>Table9[[#This Row],[anaemia_treat]]</f>
        <v>Blood transfusion</v>
      </c>
      <c r="Z11" s="78" t="str">
        <f>Table9[[#This Row],[anaesthesia]]</f>
        <v>General with TIVA</v>
      </c>
      <c r="AA11" s="78">
        <f>Table9[[#This Row],[smoke_hist]]</f>
        <v>0</v>
      </c>
      <c r="AB11" s="78">
        <f>Table9[[#This Row],[smoke_cess]]</f>
        <v>0</v>
      </c>
      <c r="AC11" s="78" t="str">
        <f>Table9[[#This Row],[tidal_vol]]</f>
        <v>Not recorded</v>
      </c>
      <c r="AD11" s="77" t="str">
        <f>Table11[[#This Row],[inc_spiro]]</f>
        <v>&gt;Two</v>
      </c>
      <c r="AE11" s="73" t="str">
        <f>Table11[[#This Row],[t_brushes]]</f>
        <v>Twice</v>
      </c>
      <c r="AF11" s="78" t="str">
        <f>Table11[[#This Row],[m_washes]]</f>
        <v>Twice</v>
      </c>
      <c r="AG11" s="78" t="str">
        <f>Table11[[#This Row],[iv_disc]]</f>
        <v>No</v>
      </c>
      <c r="AH11" s="78">
        <f>Table11[[#This Row],[tolerate_15l]]</f>
        <v>0</v>
      </c>
      <c r="AI11" s="78" t="str">
        <f>Table11[[#This Row],[drinking]]</f>
        <v>Yes</v>
      </c>
      <c r="AJ11" s="78" t="str">
        <f>Table11[[#This Row],[oral_diet]]</f>
        <v>No</v>
      </c>
      <c r="AK11" s="78" t="str">
        <f>Table11[[#This Row],[mobilised]]</f>
        <v>Yes</v>
      </c>
      <c r="AL11" s="79" t="str">
        <f>Table11[[#This Row],[resp_supp]]</f>
        <v>None</v>
      </c>
      <c r="AM11" s="78">
        <f>Table11[[#This Row],[elev_head]]</f>
        <v>0</v>
      </c>
      <c r="AN11" s="78" t="str">
        <f>Table13[[#This Row],[in_hospital]]</f>
        <v>Yes</v>
      </c>
      <c r="AO11" s="78" t="str">
        <f>Table13[[#This Row],[location_7]]</f>
        <v>Ward</v>
      </c>
      <c r="AP11" s="78" t="str">
        <f>Table13[[#This Row],[infec_24]]</f>
        <v>None of the above</v>
      </c>
      <c r="AQ11" s="73" t="str">
        <f>Table13[[#This Row],[infec_7]]</f>
        <v>None</v>
      </c>
      <c r="AR11" s="73" t="str">
        <f>Table13[[#This Row],[gastro]]</f>
        <v>None of the above</v>
      </c>
      <c r="AS11" s="73" t="str">
        <f>Table13[[#This Row],[pulm_supp_24]]</f>
        <v>None of the above</v>
      </c>
      <c r="AT11" s="73" t="str">
        <f>Table13[[#This Row],[pulm_supp_7]]</f>
        <v>None</v>
      </c>
      <c r="AU11" s="73" t="str">
        <f>Table13[[#This Row],[pulm_pharm]]</f>
        <v>None</v>
      </c>
      <c r="AV11" s="73" t="str">
        <f>Table13[[#This Row],[cardio_24]]</f>
        <v>None of the above</v>
      </c>
      <c r="AW11" s="73">
        <f>Table13[[#This Row],[troponin_7]]</f>
        <v>0</v>
      </c>
      <c r="AX11" s="73">
        <f>Table13[[#This Row],[creatinine_base]]</f>
        <v>105</v>
      </c>
      <c r="AY11" s="73">
        <f>Table13[[#This Row],[creatinine_high]]</f>
        <v>101</v>
      </c>
      <c r="AZ11" s="73" t="str">
        <f>Table13[[#This Row],[rrt]]</f>
        <v xml:space="preserve">No </v>
      </c>
      <c r="BA11" s="73" t="str">
        <f>Table13[[#This Row],[renal_24]]</f>
        <v>None of the above</v>
      </c>
      <c r="BB11" s="73" t="str">
        <f>Table13[[#This Row],[neuro]]</f>
        <v>None of the above</v>
      </c>
      <c r="BC11" s="73" t="str">
        <f>Table13[[#This Row],[wound]]</f>
        <v>None of the above</v>
      </c>
      <c r="BD11" s="73" t="str">
        <f>Table13[[#This Row],[haemato]]</f>
        <v>None of the above</v>
      </c>
      <c r="BE11" s="73" t="str">
        <f>Table13[[#This Row],[pain]]</f>
        <v>None of the above</v>
      </c>
      <c r="BF11" s="73" t="str">
        <f>Table13[[#This Row],[mobility]]</f>
        <v>Yes</v>
      </c>
      <c r="BG11" s="79" t="str">
        <f>Table13[[#This Row],[why_inpatient_7]]</f>
        <v>Organisational failure</v>
      </c>
      <c r="BH11" s="9">
        <f>Table13[[#This Row],[date_15]]</f>
        <v>0</v>
      </c>
      <c r="BI11">
        <f>Table13[[#This Row],[inpatient_15]]</f>
        <v>0</v>
      </c>
      <c r="BJ11">
        <f>Table13[[#This Row],[comment_15]]</f>
        <v>0</v>
      </c>
      <c r="BK11" t="str">
        <f>Table13[[#This Row],[discharge_dest]]</f>
        <v>Own Home</v>
      </c>
      <c r="BL11" t="str">
        <f>Table13[[#This Row],[complication]]</f>
        <v>I, II</v>
      </c>
    </row>
    <row r="12" spans="1:64" ht="18" customHeight="1">
      <c r="A12" s="73">
        <f>Table5[[#This Row],[comment]]</f>
        <v>0</v>
      </c>
      <c r="B12" s="73" t="str">
        <f>Table9[[#This Row],[surgeon]]</f>
        <v>David Ross</v>
      </c>
      <c r="C12" s="73" t="str">
        <f>Table9[[#This Row],[surgery]]</f>
        <v>Percutaneous Nephrolithotomy</v>
      </c>
      <c r="D12" s="74" t="str">
        <f>Table5[[#This Row],[pqip_consent]]</f>
        <v>Yes</v>
      </c>
      <c r="E12" s="73" t="str">
        <f>Table6[[#This Row],[area_surgery]]</f>
        <v>Nephrology</v>
      </c>
      <c r="F12" s="75">
        <f>Table6[[#This Row],[admission_date]]</f>
        <v>43304</v>
      </c>
      <c r="G12" s="75">
        <f>Table6[[#This Row],[admission_date]]</f>
        <v>43304</v>
      </c>
      <c r="H12" s="105"/>
      <c r="I12" s="73" t="str">
        <f>Table6[[#This Row],[discharge_loc]]</f>
        <v>Ward</v>
      </c>
      <c r="J12" s="75">
        <f>Table6[[#This Row],[discharge_date]]</f>
        <v>43308</v>
      </c>
      <c r="K12" s="76">
        <f>Table6[[#This Row],[hospital_stay]]</f>
        <v>3</v>
      </c>
      <c r="L12" s="76" t="str">
        <f>Table6[[#This Row],[readmit_30]]</f>
        <v>No</v>
      </c>
      <c r="M12" s="77" t="str">
        <f>Table9[[#This Row],[troponin]]</f>
        <v>Not Measured</v>
      </c>
      <c r="N12" s="78">
        <f>Table9[[#This Row],[hb]]</f>
        <v>15.7</v>
      </c>
      <c r="O12" s="78">
        <f>Table9[[#This Row],[creatinine]]</f>
        <v>109</v>
      </c>
      <c r="P12" s="78">
        <f>Table9[[#This Row],[albumin]]</f>
        <v>40</v>
      </c>
      <c r="Q12" s="73" t="str">
        <f>Table9[[#This Row],[chest_physio]]</f>
        <v>No</v>
      </c>
      <c r="R12" s="73" t="str">
        <f>Table9[[#This Row],[surgery_school]]</f>
        <v>No - Wasn’t offered it</v>
      </c>
      <c r="S12" s="75">
        <f>Table9[[#This Row],[date_school]]</f>
        <v>0</v>
      </c>
      <c r="T12" s="73" t="str">
        <f>Table9[[#This Row],[app_down]]</f>
        <v>No - Have electronic device</v>
      </c>
      <c r="U12" s="73" t="str">
        <f>Table9[[#This Row],[website]]</f>
        <v>No</v>
      </c>
      <c r="V12" s="73" t="str">
        <f>Table9[[#This Row],[base_activity]]</f>
        <v>&gt;30mins of moderate activity</v>
      </c>
      <c r="W12" s="73" t="str">
        <f>Table9[[#This Row],[current_activity]]</f>
        <v>&gt;30mins of moderate activity</v>
      </c>
      <c r="X12" s="73" t="str">
        <f>Table9[[#This Row],[activity_type]]</f>
        <v xml:space="preserve">Walking regularly </v>
      </c>
      <c r="Y12" s="73" t="str">
        <f>Table9[[#This Row],[anaemia_treat]]</f>
        <v>None</v>
      </c>
      <c r="Z12" s="78" t="str">
        <f>Table9[[#This Row],[anaesthesia]]</f>
        <v>General with TIVA</v>
      </c>
      <c r="AA12" s="78">
        <f>Table9[[#This Row],[smoke_hist]]</f>
        <v>0</v>
      </c>
      <c r="AB12" s="78">
        <f>Table9[[#This Row],[smoke_cess]]</f>
        <v>0</v>
      </c>
      <c r="AC12" s="78" t="str">
        <f>Table9[[#This Row],[tidal_vol]]</f>
        <v>Not recorded</v>
      </c>
      <c r="AD12" s="77" t="str">
        <f>Table11[[#This Row],[inc_spiro]]</f>
        <v>&gt;Two</v>
      </c>
      <c r="AE12" s="73" t="str">
        <f>Table11[[#This Row],[t_brushes]]</f>
        <v>Once</v>
      </c>
      <c r="AF12" s="78" t="str">
        <f>Table11[[#This Row],[m_washes]]</f>
        <v>None</v>
      </c>
      <c r="AG12" s="78" t="str">
        <f>Table11[[#This Row],[iv_disc]]</f>
        <v>Yes</v>
      </c>
      <c r="AH12" s="78">
        <f>Table11[[#This Row],[tolerate_15l]]</f>
        <v>0</v>
      </c>
      <c r="AI12" s="78" t="str">
        <f>Table11[[#This Row],[drinking]]</f>
        <v>Yes</v>
      </c>
      <c r="AJ12" s="78" t="str">
        <f>Table11[[#This Row],[oral_diet]]</f>
        <v>Yes</v>
      </c>
      <c r="AK12" s="78" t="str">
        <f>Table11[[#This Row],[mobilised]]</f>
        <v>Yes</v>
      </c>
      <c r="AL12" s="79" t="str">
        <f>Table11[[#This Row],[resp_supp]]</f>
        <v>None</v>
      </c>
      <c r="AM12" s="78">
        <f>Table11[[#This Row],[elev_head]]</f>
        <v>0</v>
      </c>
      <c r="AN12" s="78" t="str">
        <f>Table13[[#This Row],[in_hospital]]</f>
        <v>Yes</v>
      </c>
      <c r="AO12" s="78">
        <f>Table13[[#This Row],[location_7]]</f>
        <v>0</v>
      </c>
      <c r="AP12" s="78">
        <f>Table13[[#This Row],[infec_24]]</f>
        <v>0</v>
      </c>
      <c r="AQ12" s="73">
        <f>Table13[[#This Row],[infec_7]]</f>
        <v>0</v>
      </c>
      <c r="AR12" s="73">
        <f>Table13[[#This Row],[gastro]]</f>
        <v>0</v>
      </c>
      <c r="AS12" s="73">
        <f>Table13[[#This Row],[pulm_supp_24]]</f>
        <v>0</v>
      </c>
      <c r="AT12" s="73">
        <f>Table13[[#This Row],[pulm_supp_7]]</f>
        <v>0</v>
      </c>
      <c r="AU12" s="73">
        <f>Table13[[#This Row],[pulm_pharm]]</f>
        <v>0</v>
      </c>
      <c r="AV12" s="73">
        <f>Table13[[#This Row],[cardio_24]]</f>
        <v>0</v>
      </c>
      <c r="AW12" s="73">
        <f>Table13[[#This Row],[troponin_7]]</f>
        <v>0</v>
      </c>
      <c r="AX12" s="73">
        <f>Table13[[#This Row],[creatinine_base]]</f>
        <v>0</v>
      </c>
      <c r="AY12" s="73">
        <f>Table13[[#This Row],[creatinine_high]]</f>
        <v>0</v>
      </c>
      <c r="AZ12" s="73">
        <f>Table13[[#This Row],[rrt]]</f>
        <v>0</v>
      </c>
      <c r="BA12" s="73">
        <f>Table13[[#This Row],[renal_24]]</f>
        <v>0</v>
      </c>
      <c r="BB12" s="73">
        <f>Table13[[#This Row],[neuro]]</f>
        <v>0</v>
      </c>
      <c r="BC12" s="73">
        <f>Table13[[#This Row],[wound]]</f>
        <v>0</v>
      </c>
      <c r="BD12" s="73">
        <f>Table13[[#This Row],[haemato]]</f>
        <v>0</v>
      </c>
      <c r="BE12" s="73">
        <f>Table13[[#This Row],[pain]]</f>
        <v>0</v>
      </c>
      <c r="BF12" s="73">
        <f>Table13[[#This Row],[mobility]]</f>
        <v>0</v>
      </c>
      <c r="BG12" s="79">
        <f>Table13[[#This Row],[why_inpatient_7]]</f>
        <v>0</v>
      </c>
      <c r="BH12" s="9">
        <f>Table13[[#This Row],[date_15]]</f>
        <v>0</v>
      </c>
      <c r="BI12">
        <f>Table13[[#This Row],[inpatient_15]]</f>
        <v>0</v>
      </c>
      <c r="BJ12">
        <f>Table13[[#This Row],[comment_15]]</f>
        <v>0</v>
      </c>
      <c r="BK12" t="str">
        <f>Table13[[#This Row],[discharge_dest]]</f>
        <v>Own Home</v>
      </c>
      <c r="BL12" t="str">
        <f>Table13[[#This Row],[complication]]</f>
        <v>I</v>
      </c>
    </row>
    <row r="13" spans="1:64" ht="18" customHeight="1">
      <c r="A13" s="73">
        <f>Table5[[#This Row],[comment]]</f>
        <v>0</v>
      </c>
      <c r="B13" s="73" t="str">
        <f>Table9[[#This Row],[surgeon]]</f>
        <v>Mahmoud Elmalky</v>
      </c>
      <c r="C13" s="73" t="str">
        <f>Table9[[#This Row],[surgery]]</f>
        <v>L3-4 /4-5 bilateral decompression</v>
      </c>
      <c r="D13" s="74" t="str">
        <f>Table5[[#This Row],[pqip_consent]]</f>
        <v>No</v>
      </c>
      <c r="E13" s="73" t="str">
        <f>Table6[[#This Row],[area_surgery]]</f>
        <v>Other</v>
      </c>
      <c r="F13" s="75">
        <f>Table6[[#This Row],[admission_date]]</f>
        <v>43306</v>
      </c>
      <c r="G13" s="75">
        <f>Table6[[#This Row],[admission_date]]</f>
        <v>43306</v>
      </c>
      <c r="H13" s="105"/>
      <c r="I13" s="73" t="str">
        <f>Table6[[#This Row],[discharge_loc]]</f>
        <v>H7</v>
      </c>
      <c r="J13" s="75">
        <f>Table6[[#This Row],[discharge_date]]</f>
        <v>43308</v>
      </c>
      <c r="K13" s="76">
        <f>Table6[[#This Row],[hospital_stay]]</f>
        <v>2</v>
      </c>
      <c r="L13" s="76" t="str">
        <f>Table6[[#This Row],[readmit_30]]</f>
        <v>No</v>
      </c>
      <c r="M13" s="77" t="str">
        <f>Table9[[#This Row],[troponin]]</f>
        <v>Not Measured</v>
      </c>
      <c r="N13" s="78">
        <f>Table9[[#This Row],[hb]]</f>
        <v>13</v>
      </c>
      <c r="O13" s="78">
        <f>Table9[[#This Row],[creatinine]]</f>
        <v>98</v>
      </c>
      <c r="P13" s="78" t="str">
        <f>Table9[[#This Row],[albumin]]</f>
        <v>Not Measured</v>
      </c>
      <c r="Q13" s="73" t="str">
        <f>Table9[[#This Row],[chest_physio]]</f>
        <v>No</v>
      </c>
      <c r="R13" s="73" t="str">
        <f>Table9[[#This Row],[surgery_school]]</f>
        <v>No - Wasn’t offered it</v>
      </c>
      <c r="S13" s="75">
        <f>Table9[[#This Row],[date_school]]</f>
        <v>0</v>
      </c>
      <c r="T13" s="73" t="str">
        <f>Table9[[#This Row],[app_down]]</f>
        <v>No - Have electronic device</v>
      </c>
      <c r="U13" s="73" t="str">
        <f>Table9[[#This Row],[website]]</f>
        <v>No</v>
      </c>
      <c r="V13" s="73" t="str">
        <f>Table9[[#This Row],[base_activity]]</f>
        <v>No extra activity - Independent in ADLs</v>
      </c>
      <c r="W13" s="73" t="str">
        <f>Table9[[#This Row],[current_activity]]</f>
        <v>No extra activity - Independent in ADLs</v>
      </c>
      <c r="X13" s="73" t="str">
        <f>Table9[[#This Row],[activity_type]]</f>
        <v>None</v>
      </c>
      <c r="Y13" s="73" t="str">
        <f>Table9[[#This Row],[anaemia_treat]]</f>
        <v>None</v>
      </c>
      <c r="Z13" s="78" t="str">
        <f>Table9[[#This Row],[anaesthesia]]</f>
        <v>General with Inhalational</v>
      </c>
      <c r="AA13" s="78">
        <f>Table9[[#This Row],[smoke_hist]]</f>
        <v>0</v>
      </c>
      <c r="AB13" s="78">
        <f>Table9[[#This Row],[smoke_cess]]</f>
        <v>0</v>
      </c>
      <c r="AC13" s="78" t="str">
        <f>Table9[[#This Row],[tidal_vol]]</f>
        <v>Not recorded</v>
      </c>
      <c r="AD13" s="77" t="str">
        <f>Table11[[#This Row],[inc_spiro]]</f>
        <v>&gt;Two</v>
      </c>
      <c r="AE13" s="73" t="str">
        <f>Table11[[#This Row],[t_brushes]]</f>
        <v>Once</v>
      </c>
      <c r="AF13" s="78" t="str">
        <f>Table11[[#This Row],[m_washes]]</f>
        <v>Once</v>
      </c>
      <c r="AG13" s="78" t="str">
        <f>Table11[[#This Row],[iv_disc]]</f>
        <v>No</v>
      </c>
      <c r="AH13" s="78">
        <f>Table11[[#This Row],[tolerate_15l]]</f>
        <v>0</v>
      </c>
      <c r="AI13" s="78" t="str">
        <f>Table11[[#This Row],[drinking]]</f>
        <v>Yes</v>
      </c>
      <c r="AJ13" s="78" t="str">
        <f>Table11[[#This Row],[oral_diet]]</f>
        <v>Yes</v>
      </c>
      <c r="AK13" s="78" t="str">
        <f>Table11[[#This Row],[mobilised]]</f>
        <v>Yes</v>
      </c>
      <c r="AL13" s="79" t="str">
        <f>Table11[[#This Row],[resp_supp]]</f>
        <v>None</v>
      </c>
      <c r="AM13" s="78">
        <f>Table11[[#This Row],[elev_head]]</f>
        <v>0</v>
      </c>
      <c r="AN13" s="78" t="str">
        <f>Table13[[#This Row],[in_hospital]]</f>
        <v>No</v>
      </c>
      <c r="AO13" s="78">
        <f>Table13[[#This Row],[location_7]]</f>
        <v>0</v>
      </c>
      <c r="AP13" s="78">
        <f>Table13[[#This Row],[infec_24]]</f>
        <v>0</v>
      </c>
      <c r="AQ13" s="73">
        <f>Table13[[#This Row],[infec_7]]</f>
        <v>0</v>
      </c>
      <c r="AR13" s="73">
        <f>Table13[[#This Row],[gastro]]</f>
        <v>0</v>
      </c>
      <c r="AS13" s="73">
        <f>Table13[[#This Row],[pulm_supp_24]]</f>
        <v>0</v>
      </c>
      <c r="AT13" s="73">
        <f>Table13[[#This Row],[pulm_supp_7]]</f>
        <v>0</v>
      </c>
      <c r="AU13" s="73">
        <f>Table13[[#This Row],[pulm_pharm]]</f>
        <v>0</v>
      </c>
      <c r="AV13" s="73">
        <f>Table13[[#This Row],[cardio_24]]</f>
        <v>0</v>
      </c>
      <c r="AW13" s="73">
        <f>Table13[[#This Row],[troponin_7]]</f>
        <v>0</v>
      </c>
      <c r="AX13" s="73">
        <f>Table13[[#This Row],[creatinine_base]]</f>
        <v>0</v>
      </c>
      <c r="AY13" s="73">
        <f>Table13[[#This Row],[creatinine_high]]</f>
        <v>0</v>
      </c>
      <c r="AZ13" s="73">
        <f>Table13[[#This Row],[rrt]]</f>
        <v>0</v>
      </c>
      <c r="BA13" s="73">
        <f>Table13[[#This Row],[renal_24]]</f>
        <v>0</v>
      </c>
      <c r="BB13" s="73">
        <f>Table13[[#This Row],[neuro]]</f>
        <v>0</v>
      </c>
      <c r="BC13" s="73">
        <f>Table13[[#This Row],[wound]]</f>
        <v>0</v>
      </c>
      <c r="BD13" s="73">
        <f>Table13[[#This Row],[haemato]]</f>
        <v>0</v>
      </c>
      <c r="BE13" s="73">
        <f>Table13[[#This Row],[pain]]</f>
        <v>0</v>
      </c>
      <c r="BF13" s="73">
        <f>Table13[[#This Row],[mobility]]</f>
        <v>0</v>
      </c>
      <c r="BG13" s="79">
        <f>Table13[[#This Row],[why_inpatient_7]]</f>
        <v>0</v>
      </c>
      <c r="BH13" s="9">
        <f>Table13[[#This Row],[date_15]]</f>
        <v>0</v>
      </c>
      <c r="BI13">
        <f>Table13[[#This Row],[inpatient_15]]</f>
        <v>0</v>
      </c>
      <c r="BJ13">
        <f>Table13[[#This Row],[comment_15]]</f>
        <v>0</v>
      </c>
      <c r="BK13" t="str">
        <f>Table13[[#This Row],[discharge_dest]]</f>
        <v>Own Home</v>
      </c>
      <c r="BL13" t="str">
        <f>Table13[[#This Row],[complication]]</f>
        <v>None</v>
      </c>
    </row>
    <row r="14" spans="1:64" ht="18" customHeight="1">
      <c r="A14" s="73">
        <f>Table5[[#This Row],[comment]]</f>
        <v>0</v>
      </c>
      <c r="B14" s="73" t="str">
        <f>Table9[[#This Row],[surgeon]]</f>
        <v>Rachel Melhado/ J. Sultan</v>
      </c>
      <c r="C14" s="73" t="str">
        <f>Table9[[#This Row],[surgery]]</f>
        <v xml:space="preserve">Oesophagectomy (total)/Oesophagogastrectomy </v>
      </c>
      <c r="D14" s="74" t="str">
        <f>Table5[[#This Row],[pqip_consent]]</f>
        <v>Yes</v>
      </c>
      <c r="E14" s="73" t="str">
        <f>Table6[[#This Row],[area_surgery]]</f>
        <v>Upper GI</v>
      </c>
      <c r="F14" s="75">
        <f>Table6[[#This Row],[admission_date]]</f>
        <v>43306</v>
      </c>
      <c r="G14" s="75">
        <f>Table6[[#This Row],[admission_date]]</f>
        <v>43306</v>
      </c>
      <c r="H14" s="105"/>
      <c r="I14" s="73" t="str">
        <f>Table6[[#This Row],[discharge_loc]]</f>
        <v>CCU</v>
      </c>
      <c r="J14" s="75">
        <f>Table6[[#This Row],[discharge_date]]</f>
        <v>43325</v>
      </c>
      <c r="K14" s="76">
        <f>Table6[[#This Row],[hospital_stay]]</f>
        <v>19</v>
      </c>
      <c r="L14" s="76" t="str">
        <f>Table6[[#This Row],[readmit_30]]</f>
        <v>No</v>
      </c>
      <c r="M14" s="77" t="str">
        <f>Table9[[#This Row],[troponin]]</f>
        <v>Not Measured</v>
      </c>
      <c r="N14" s="78">
        <f>Table9[[#This Row],[hb]]</f>
        <v>13.8</v>
      </c>
      <c r="O14" s="78">
        <f>Table9[[#This Row],[creatinine]]</f>
        <v>52</v>
      </c>
      <c r="P14" s="78" t="str">
        <f>Table9[[#This Row],[albumin]]</f>
        <v>Not Measured</v>
      </c>
      <c r="Q14" s="73" t="str">
        <f>Table9[[#This Row],[chest_physio]]</f>
        <v>Nurse</v>
      </c>
      <c r="R14" s="73" t="str">
        <f>Table9[[#This Row],[surgery_school]]</f>
        <v>No - Wasn’t offered it</v>
      </c>
      <c r="S14" s="75">
        <f>Table9[[#This Row],[date_school]]</f>
        <v>0</v>
      </c>
      <c r="T14" s="73" t="str">
        <f>Table9[[#This Row],[app_down]]</f>
        <v>No - No electronic device</v>
      </c>
      <c r="U14" s="73" t="str">
        <f>Table9[[#This Row],[website]]</f>
        <v>No</v>
      </c>
      <c r="V14" s="73" t="str">
        <f>Table9[[#This Row],[base_activity]]</f>
        <v>No extra activity - Independent in ADLs</v>
      </c>
      <c r="W14" s="73" t="str">
        <f>Table9[[#This Row],[current_activity]]</f>
        <v>No extra activity - Independent in ADLs, 10mins of moderate activity</v>
      </c>
      <c r="X14" s="73" t="str">
        <f>Table9[[#This Row],[activity_type]]</f>
        <v xml:space="preserve">Walking regularly </v>
      </c>
      <c r="Y14" s="73" t="str">
        <f>Table9[[#This Row],[anaemia_treat]]</f>
        <v>None</v>
      </c>
      <c r="Z14" s="78" t="str">
        <f>Table9[[#This Row],[anaesthesia]]</f>
        <v>General with TIVA</v>
      </c>
      <c r="AA14" s="78">
        <f>Table9[[#This Row],[smoke_hist]]</f>
        <v>0</v>
      </c>
      <c r="AB14" s="78">
        <f>Table9[[#This Row],[smoke_cess]]</f>
        <v>0</v>
      </c>
      <c r="AC14" s="78" t="str">
        <f>Table9[[#This Row],[tidal_vol]]</f>
        <v>Not recorded</v>
      </c>
      <c r="AD14" s="77" t="str">
        <f>Table11[[#This Row],[inc_spiro]]</f>
        <v>&gt;Two</v>
      </c>
      <c r="AE14" s="73" t="str">
        <f>Table11[[#This Row],[t_brushes]]</f>
        <v>None</v>
      </c>
      <c r="AF14" s="78" t="str">
        <f>Table11[[#This Row],[m_washes]]</f>
        <v>None</v>
      </c>
      <c r="AG14" s="78" t="str">
        <f>Table11[[#This Row],[iv_disc]]</f>
        <v>No</v>
      </c>
      <c r="AH14" s="78" t="str">
        <f>Table11[[#This Row],[tolerate_15l]]</f>
        <v>Not applicable</v>
      </c>
      <c r="AI14" s="78" t="str">
        <f>Table11[[#This Row],[drinking]]</f>
        <v>No</v>
      </c>
      <c r="AJ14" s="78" t="str">
        <f>Table11[[#This Row],[oral_diet]]</f>
        <v>No</v>
      </c>
      <c r="AK14" s="78" t="str">
        <f>Table11[[#This Row],[mobilised]]</f>
        <v>No</v>
      </c>
      <c r="AL14" s="79" t="str">
        <f>Table11[[#This Row],[resp_supp]]</f>
        <v xml:space="preserve">Invasive ventilation  </v>
      </c>
      <c r="AM14" s="78">
        <f>Table11[[#This Row],[elev_head]]</f>
        <v>0</v>
      </c>
      <c r="AN14" s="78" t="str">
        <f>Table13[[#This Row],[in_hospital]]</f>
        <v>Yes</v>
      </c>
      <c r="AO14" s="78" t="str">
        <f>Table13[[#This Row],[location_7]]</f>
        <v>Level 1</v>
      </c>
      <c r="AP14" s="78" t="str">
        <f>Table13[[#This Row],[infec_24]]</f>
        <v>None of the above</v>
      </c>
      <c r="AQ14" s="73" t="str">
        <f>Table13[[#This Row],[infec_7]]</f>
        <v>None</v>
      </c>
      <c r="AR14" s="73" t="str">
        <f>Table13[[#This Row],[gastro]]</f>
        <v>Unable to tolerate enteral diet</v>
      </c>
      <c r="AS14" s="73" t="str">
        <f>Table13[[#This Row],[pulm_supp_24]]</f>
        <v>None of the above</v>
      </c>
      <c r="AT14" s="73" t="str">
        <f>Table13[[#This Row],[pulm_supp_7]]</f>
        <v>None</v>
      </c>
      <c r="AU14" s="73" t="str">
        <f>Table13[[#This Row],[pulm_pharm]]</f>
        <v>None</v>
      </c>
      <c r="AV14" s="73" t="str">
        <f>Table13[[#This Row],[cardio_24]]</f>
        <v>None of the above</v>
      </c>
      <c r="AW14" s="73">
        <f>Table13[[#This Row],[troponin_7]]</f>
        <v>6</v>
      </c>
      <c r="AX14" s="73">
        <f>Table13[[#This Row],[creatinine_base]]</f>
        <v>58</v>
      </c>
      <c r="AY14" s="73">
        <f>Table13[[#This Row],[creatinine_high]]</f>
        <v>134</v>
      </c>
      <c r="AZ14" s="73" t="str">
        <f>Table13[[#This Row],[rrt]]</f>
        <v xml:space="preserve">No </v>
      </c>
      <c r="BA14" s="73" t="str">
        <f>Table13[[#This Row],[renal_24]]</f>
        <v>None of the above</v>
      </c>
      <c r="BB14" s="73" t="str">
        <f>Table13[[#This Row],[neuro]]</f>
        <v>None of the above</v>
      </c>
      <c r="BC14" s="73" t="str">
        <f>Table13[[#This Row],[wound]]</f>
        <v>None of the above</v>
      </c>
      <c r="BD14" s="73" t="str">
        <f>Table13[[#This Row],[haemato]]</f>
        <v>None of the above</v>
      </c>
      <c r="BE14" s="73" t="str">
        <f>Table13[[#This Row],[pain]]</f>
        <v>None of the above</v>
      </c>
      <c r="BF14" s="73" t="str">
        <f>Table13[[#This Row],[mobility]]</f>
        <v>No</v>
      </c>
      <c r="BG14" s="79" t="str">
        <f>Table13[[#This Row],[why_inpatient_7]]</f>
        <v>Medical/nursing care</v>
      </c>
      <c r="BH14" s="9">
        <f>Table13[[#This Row],[date_15]]</f>
        <v>43321</v>
      </c>
      <c r="BI14" t="str">
        <f>Table13[[#This Row],[inpatient_15]]</f>
        <v>Yes</v>
      </c>
      <c r="BJ14" t="str">
        <f>Table13[[#This Row],[comment_15]]</f>
        <v>Diarrhoea, SOB when mobilised, HAP</v>
      </c>
      <c r="BK14" t="str">
        <f>Table13[[#This Row],[discharge_dest]]</f>
        <v>Own Home</v>
      </c>
      <c r="BL14" t="str">
        <f>Table13[[#This Row],[complication]]</f>
        <v>I, II</v>
      </c>
    </row>
    <row r="15" spans="1:64" ht="18" customHeight="1">
      <c r="A15" s="73">
        <f>Table5[[#This Row],[comment]]</f>
        <v>0</v>
      </c>
      <c r="B15" s="73" t="str">
        <f>Table9[[#This Row],[surgeon]]</f>
        <v>Saeed Mohammad</v>
      </c>
      <c r="C15" s="73" t="str">
        <f>Table9[[#This Row],[surgery]]</f>
        <v>1st stage correction of scoliosis</v>
      </c>
      <c r="D15" s="74" t="str">
        <f>Table5[[#This Row],[pqip_consent]]</f>
        <v>No</v>
      </c>
      <c r="E15" s="73" t="str">
        <f>Table6[[#This Row],[area_surgery]]</f>
        <v>Other</v>
      </c>
      <c r="F15" s="75">
        <f>Table6[[#This Row],[admission_date]]</f>
        <v>43307</v>
      </c>
      <c r="G15" s="75">
        <f>Table6[[#This Row],[admission_date]]</f>
        <v>43307</v>
      </c>
      <c r="H15" s="105"/>
      <c r="I15" s="73" t="str">
        <f>Table6[[#This Row],[discharge_loc]]</f>
        <v>NHDU (Level 2)</v>
      </c>
      <c r="J15" s="75">
        <f>Table6[[#This Row],[discharge_date]]</f>
        <v>43318</v>
      </c>
      <c r="K15" s="76">
        <f>Table6[[#This Row],[hospital_stay]]</f>
        <v>11</v>
      </c>
      <c r="L15" s="76" t="str">
        <f>Table6[[#This Row],[readmit_30]]</f>
        <v>No</v>
      </c>
      <c r="M15" s="77" t="str">
        <f>Table9[[#This Row],[troponin]]</f>
        <v>Not Measured</v>
      </c>
      <c r="N15" s="78">
        <f>Table9[[#This Row],[hb]]</f>
        <v>13.2</v>
      </c>
      <c r="O15" s="78">
        <f>Table9[[#This Row],[creatinine]]</f>
        <v>64</v>
      </c>
      <c r="P15" s="78" t="str">
        <f>Table9[[#This Row],[albumin]]</f>
        <v>Not Measured</v>
      </c>
      <c r="Q15" s="73" t="str">
        <f>Table9[[#This Row],[chest_physio]]</f>
        <v>No</v>
      </c>
      <c r="R15" s="73" t="str">
        <f>Table9[[#This Row],[surgery_school]]</f>
        <v>No - Wasn’t offered it</v>
      </c>
      <c r="S15" s="75">
        <f>Table9[[#This Row],[date_school]]</f>
        <v>0</v>
      </c>
      <c r="T15" s="73" t="str">
        <f>Table9[[#This Row],[app_down]]</f>
        <v>No - Have electronic device</v>
      </c>
      <c r="U15" s="73" t="str">
        <f>Table9[[#This Row],[website]]</f>
        <v>No</v>
      </c>
      <c r="V15" s="73" t="str">
        <f>Table9[[#This Row],[base_activity]]</f>
        <v>No extra activity - Independent in ADLs</v>
      </c>
      <c r="W15" s="73" t="str">
        <f>Table9[[#This Row],[current_activity]]</f>
        <v>No extra activity - Independent in ADLs</v>
      </c>
      <c r="X15" s="73" t="str">
        <f>Table9[[#This Row],[activity_type]]</f>
        <v>None</v>
      </c>
      <c r="Y15" s="73" t="str">
        <f>Table9[[#This Row],[anaemia_treat]]</f>
        <v>None</v>
      </c>
      <c r="Z15" s="78" t="str">
        <f>Table9[[#This Row],[anaesthesia]]</f>
        <v>General with TIVA</v>
      </c>
      <c r="AA15" s="78">
        <f>Table9[[#This Row],[smoke_hist]]</f>
        <v>0</v>
      </c>
      <c r="AB15" s="78">
        <f>Table9[[#This Row],[smoke_cess]]</f>
        <v>0</v>
      </c>
      <c r="AC15" s="78" t="str">
        <f>Table9[[#This Row],[tidal_vol]]</f>
        <v>Not recorded</v>
      </c>
      <c r="AD15" s="77" t="str">
        <f>Table11[[#This Row],[inc_spiro]]</f>
        <v>&gt;Two</v>
      </c>
      <c r="AE15" s="73" t="str">
        <f>Table11[[#This Row],[t_brushes]]</f>
        <v>Twice</v>
      </c>
      <c r="AF15" s="78" t="str">
        <f>Table11[[#This Row],[m_washes]]</f>
        <v>Twice</v>
      </c>
      <c r="AG15" s="78" t="str">
        <f>Table11[[#This Row],[iv_disc]]</f>
        <v>No</v>
      </c>
      <c r="AH15" s="78" t="str">
        <f>Table11[[#This Row],[tolerate_15l]]</f>
        <v>Not applicable</v>
      </c>
      <c r="AI15" s="78" t="str">
        <f>Table11[[#This Row],[drinking]]</f>
        <v>No</v>
      </c>
      <c r="AJ15" s="78" t="str">
        <f>Table11[[#This Row],[oral_diet]]</f>
        <v>No</v>
      </c>
      <c r="AK15" s="78" t="str">
        <f>Table11[[#This Row],[mobilised]]</f>
        <v>No</v>
      </c>
      <c r="AL15" s="79" t="str">
        <f>Table11[[#This Row],[resp_supp]]</f>
        <v>None</v>
      </c>
      <c r="AM15" s="78">
        <f>Table11[[#This Row],[elev_head]]</f>
        <v>0</v>
      </c>
      <c r="AN15" s="78" t="str">
        <f>Table13[[#This Row],[in_hospital]]</f>
        <v>Yes</v>
      </c>
      <c r="AO15" s="78" t="str">
        <f>Table13[[#This Row],[location_7]]</f>
        <v>Level 1</v>
      </c>
      <c r="AP15" s="78" t="str">
        <f>Table13[[#This Row],[infec_24]]</f>
        <v>None of the above</v>
      </c>
      <c r="AQ15" s="73" t="str">
        <f>Table13[[#This Row],[infec_7]]</f>
        <v>None</v>
      </c>
      <c r="AR15" s="73" t="str">
        <f>Table13[[#This Row],[gastro]]</f>
        <v>None of the above</v>
      </c>
      <c r="AS15" s="73" t="str">
        <f>Table13[[#This Row],[pulm_supp_24]]</f>
        <v>None of the above</v>
      </c>
      <c r="AT15" s="73" t="str">
        <f>Table13[[#This Row],[pulm_supp_7]]</f>
        <v>None</v>
      </c>
      <c r="AU15" s="73" t="str">
        <f>Table13[[#This Row],[pulm_pharm]]</f>
        <v>None</v>
      </c>
      <c r="AV15" s="73" t="str">
        <f>Table13[[#This Row],[cardio_24]]</f>
        <v>None of the above</v>
      </c>
      <c r="AW15" s="73">
        <f>Table13[[#This Row],[troponin_7]]</f>
        <v>0</v>
      </c>
      <c r="AX15" s="73">
        <f>Table13[[#This Row],[creatinine_base]]</f>
        <v>40</v>
      </c>
      <c r="AY15" s="73">
        <f>Table13[[#This Row],[creatinine_high]]</f>
        <v>53</v>
      </c>
      <c r="AZ15" s="73" t="str">
        <f>Table13[[#This Row],[rrt]]</f>
        <v xml:space="preserve">No </v>
      </c>
      <c r="BA15" s="73" t="str">
        <f>Table13[[#This Row],[renal_24]]</f>
        <v>Urethral catheter in-situ (not present pre-operatively)</v>
      </c>
      <c r="BB15" s="73" t="str">
        <f>Table13[[#This Row],[neuro]]</f>
        <v>None of the above</v>
      </c>
      <c r="BC15" s="73" t="str">
        <f>Table13[[#This Row],[wound]]</f>
        <v>None of the above</v>
      </c>
      <c r="BD15" s="73" t="str">
        <f>Table13[[#This Row],[haemato]]</f>
        <v>None of the above</v>
      </c>
      <c r="BE15" s="73" t="str">
        <f>Table13[[#This Row],[pain]]</f>
        <v>None of the above</v>
      </c>
      <c r="BF15" s="73" t="str">
        <f>Table13[[#This Row],[mobility]]</f>
        <v>No</v>
      </c>
      <c r="BG15" s="79" t="str">
        <f>Table13[[#This Row],[why_inpatient_7]]</f>
        <v>Mobility Issue</v>
      </c>
      <c r="BH15" s="9">
        <f>Table13[[#This Row],[date_15]]</f>
        <v>0</v>
      </c>
      <c r="BI15">
        <f>Table13[[#This Row],[inpatient_15]]</f>
        <v>0</v>
      </c>
      <c r="BJ15">
        <f>Table13[[#This Row],[comment_15]]</f>
        <v>0</v>
      </c>
      <c r="BK15" t="str">
        <f>Table13[[#This Row],[discharge_dest]]</f>
        <v>Own Home</v>
      </c>
      <c r="BL15" t="str">
        <f>Table13[[#This Row],[complication]]</f>
        <v>I</v>
      </c>
    </row>
    <row r="16" spans="1:64" ht="18" customHeight="1">
      <c r="A16" s="73" t="str">
        <f>Table5[[#This Row],[comment]]</f>
        <v>Re-admitted for infected seroma of abdo. Wall</v>
      </c>
      <c r="B16" s="73" t="str">
        <f>Table9[[#This Row],[surgeon]]</f>
        <v>Dominic Slade</v>
      </c>
      <c r="C16" s="73" t="str">
        <f>Table9[[#This Row],[surgery]]</f>
        <v>Abdominal wall reconstruction</v>
      </c>
      <c r="D16" s="74" t="str">
        <f>Table5[[#This Row],[pqip_consent]]</f>
        <v>Yes</v>
      </c>
      <c r="E16" s="73" t="str">
        <f>Table6[[#This Row],[area_surgery]]</f>
        <v>Other Abdominal</v>
      </c>
      <c r="F16" s="75">
        <f>Table6[[#This Row],[admission_date]]</f>
        <v>43307</v>
      </c>
      <c r="G16" s="75">
        <f>Table6[[#This Row],[admission_date]]</f>
        <v>43307</v>
      </c>
      <c r="H16" s="105"/>
      <c r="I16" s="73" t="str">
        <f>Table6[[#This Row],[discharge_loc]]</f>
        <v>Critical Care (Level 2)</v>
      </c>
      <c r="J16" s="75">
        <f>Table6[[#This Row],[discharge_date]]</f>
        <v>43312</v>
      </c>
      <c r="K16" s="76">
        <f>Table6[[#This Row],[hospital_stay]]</f>
        <v>5</v>
      </c>
      <c r="L16" s="76" t="str">
        <f>Table6[[#This Row],[readmit_30]]</f>
        <v>Yes</v>
      </c>
      <c r="M16" s="77" t="str">
        <f>Table9[[#This Row],[troponin]]</f>
        <v>Not Measured</v>
      </c>
      <c r="N16" s="78">
        <f>Table9[[#This Row],[hb]]</f>
        <v>13.7</v>
      </c>
      <c r="O16" s="78">
        <f>Table9[[#This Row],[creatinine]]</f>
        <v>70</v>
      </c>
      <c r="P16" s="78" t="str">
        <f>Table9[[#This Row],[albumin]]</f>
        <v>Not Measured</v>
      </c>
      <c r="Q16" s="73" t="str">
        <f>Table9[[#This Row],[chest_physio]]</f>
        <v>Nurse</v>
      </c>
      <c r="R16" s="73" t="str">
        <f>Table9[[#This Row],[surgery_school]]</f>
        <v>No - Wasn’t offered it</v>
      </c>
      <c r="S16" s="75">
        <f>Table9[[#This Row],[date_school]]</f>
        <v>0</v>
      </c>
      <c r="T16" s="73" t="str">
        <f>Table9[[#This Row],[app_down]]</f>
        <v>No - Have electronic device</v>
      </c>
      <c r="U16" s="73" t="str">
        <f>Table9[[#This Row],[website]]</f>
        <v>No</v>
      </c>
      <c r="V16" s="73" t="str">
        <f>Table9[[#This Row],[base_activity]]</f>
        <v>No extra activity - Independent in ADLs</v>
      </c>
      <c r="W16" s="73" t="str">
        <f>Table9[[#This Row],[current_activity]]</f>
        <v>No extra activity - Independent in ADLs</v>
      </c>
      <c r="X16" s="73" t="str">
        <f>Table9[[#This Row],[activity_type]]</f>
        <v>None</v>
      </c>
      <c r="Y16" s="73" t="str">
        <f>Table9[[#This Row],[anaemia_treat]]</f>
        <v>None</v>
      </c>
      <c r="Z16" s="78" t="str">
        <f>Table9[[#This Row],[anaesthesia]]</f>
        <v>General with Inhalational</v>
      </c>
      <c r="AA16" s="78">
        <f>Table9[[#This Row],[smoke_hist]]</f>
        <v>0</v>
      </c>
      <c r="AB16" s="78">
        <f>Table9[[#This Row],[smoke_cess]]</f>
        <v>0</v>
      </c>
      <c r="AC16" s="78" t="str">
        <f>Table9[[#This Row],[tidal_vol]]</f>
        <v>Not recorded</v>
      </c>
      <c r="AD16" s="77" t="str">
        <f>Table11[[#This Row],[inc_spiro]]</f>
        <v>Not used</v>
      </c>
      <c r="AE16" s="73" t="str">
        <f>Table11[[#This Row],[t_brushes]]</f>
        <v>Once</v>
      </c>
      <c r="AF16" s="78" t="str">
        <f>Table11[[#This Row],[m_washes]]</f>
        <v>Once</v>
      </c>
      <c r="AG16" s="78" t="str">
        <f>Table11[[#This Row],[iv_disc]]</f>
        <v>No</v>
      </c>
      <c r="AH16" s="78">
        <f>Table11[[#This Row],[tolerate_15l]]</f>
        <v>0</v>
      </c>
      <c r="AI16" s="78" t="str">
        <f>Table11[[#This Row],[drinking]]</f>
        <v>Yes</v>
      </c>
      <c r="AJ16" s="78" t="str">
        <f>Table11[[#This Row],[oral_diet]]</f>
        <v>Yes</v>
      </c>
      <c r="AK16" s="78" t="str">
        <f>Table11[[#This Row],[mobilised]]</f>
        <v>No</v>
      </c>
      <c r="AL16" s="79" t="str">
        <f>Table11[[#This Row],[resp_supp]]</f>
        <v>None</v>
      </c>
      <c r="AM16" s="78">
        <f>Table11[[#This Row],[elev_head]]</f>
        <v>0</v>
      </c>
      <c r="AN16" s="78" t="str">
        <f>Table13[[#This Row],[in_hospital]]</f>
        <v>No</v>
      </c>
      <c r="AO16" s="78">
        <f>Table13[[#This Row],[location_7]]</f>
        <v>0</v>
      </c>
      <c r="AP16" s="78">
        <f>Table13[[#This Row],[infec_24]]</f>
        <v>0</v>
      </c>
      <c r="AQ16" s="73">
        <f>Table13[[#This Row],[infec_7]]</f>
        <v>0</v>
      </c>
      <c r="AR16" s="73">
        <f>Table13[[#This Row],[gastro]]</f>
        <v>0</v>
      </c>
      <c r="AS16" s="73">
        <f>Table13[[#This Row],[pulm_supp_24]]</f>
        <v>0</v>
      </c>
      <c r="AT16" s="73">
        <f>Table13[[#This Row],[pulm_supp_7]]</f>
        <v>0</v>
      </c>
      <c r="AU16" s="73">
        <f>Table13[[#This Row],[pulm_pharm]]</f>
        <v>0</v>
      </c>
      <c r="AV16" s="73">
        <f>Table13[[#This Row],[cardio_24]]</f>
        <v>0</v>
      </c>
      <c r="AW16" s="73">
        <f>Table13[[#This Row],[troponin_7]]</f>
        <v>0</v>
      </c>
      <c r="AX16" s="73">
        <f>Table13[[#This Row],[creatinine_base]]</f>
        <v>0</v>
      </c>
      <c r="AY16" s="73">
        <f>Table13[[#This Row],[creatinine_high]]</f>
        <v>0</v>
      </c>
      <c r="AZ16" s="73">
        <f>Table13[[#This Row],[rrt]]</f>
        <v>0</v>
      </c>
      <c r="BA16" s="73">
        <f>Table13[[#This Row],[renal_24]]</f>
        <v>0</v>
      </c>
      <c r="BB16" s="73">
        <f>Table13[[#This Row],[neuro]]</f>
        <v>0</v>
      </c>
      <c r="BC16" s="73">
        <f>Table13[[#This Row],[wound]]</f>
        <v>0</v>
      </c>
      <c r="BD16" s="73">
        <f>Table13[[#This Row],[haemato]]</f>
        <v>0</v>
      </c>
      <c r="BE16" s="73">
        <f>Table13[[#This Row],[pain]]</f>
        <v>0</v>
      </c>
      <c r="BF16" s="73">
        <f>Table13[[#This Row],[mobility]]</f>
        <v>0</v>
      </c>
      <c r="BG16" s="79">
        <f>Table13[[#This Row],[why_inpatient_7]]</f>
        <v>0</v>
      </c>
      <c r="BH16" s="9">
        <f>Table13[[#This Row],[date_15]]</f>
        <v>0</v>
      </c>
      <c r="BI16">
        <f>Table13[[#This Row],[inpatient_15]]</f>
        <v>0</v>
      </c>
      <c r="BJ16">
        <f>Table13[[#This Row],[comment_15]]</f>
        <v>0</v>
      </c>
      <c r="BK16" t="str">
        <f>Table13[[#This Row],[discharge_dest]]</f>
        <v>Own Home</v>
      </c>
      <c r="BL16" t="str">
        <f>Table13[[#This Row],[complication]]</f>
        <v>I</v>
      </c>
    </row>
    <row r="17" spans="1:64" ht="18" customHeight="1">
      <c r="A17" s="73" t="str">
        <f>Table5[[#This Row],[comment]]</f>
        <v>Re-admitted on day 34</v>
      </c>
      <c r="B17" s="73" t="str">
        <f>Table9[[#This Row],[surgeon]]</f>
        <v>Shrijit Panikkar</v>
      </c>
      <c r="C17" s="73" t="str">
        <f>Table9[[#This Row],[surgery]]</f>
        <v>L2/3 Left sided + over the top decompression +/- bilateral fenestration</v>
      </c>
      <c r="D17" s="74" t="str">
        <f>Table5[[#This Row],[pqip_consent]]</f>
        <v>No</v>
      </c>
      <c r="E17" s="73" t="str">
        <f>Table6[[#This Row],[area_surgery]]</f>
        <v>Other</v>
      </c>
      <c r="F17" s="75">
        <f>Table6[[#This Row],[admission_date]]</f>
        <v>43308</v>
      </c>
      <c r="G17" s="75">
        <f>Table6[[#This Row],[admission_date]]</f>
        <v>43308</v>
      </c>
      <c r="H17" s="105"/>
      <c r="I17" s="73" t="str">
        <f>Table6[[#This Row],[discharge_loc]]</f>
        <v>Ward</v>
      </c>
      <c r="J17" s="75">
        <f>Table6[[#This Row],[discharge_date]]</f>
        <v>43309</v>
      </c>
      <c r="K17" s="76">
        <f>Table6[[#This Row],[hospital_stay]]</f>
        <v>1</v>
      </c>
      <c r="L17" s="76" t="str">
        <f>Table6[[#This Row],[readmit_30]]</f>
        <v>No</v>
      </c>
      <c r="M17" s="77" t="str">
        <f>Table9[[#This Row],[troponin]]</f>
        <v>Not Measured</v>
      </c>
      <c r="N17" s="78">
        <f>Table9[[#This Row],[hb]]</f>
        <v>11.8</v>
      </c>
      <c r="O17" s="78">
        <f>Table9[[#This Row],[creatinine]]</f>
        <v>58</v>
      </c>
      <c r="P17" s="78">
        <f>Table9[[#This Row],[albumin]]</f>
        <v>43</v>
      </c>
      <c r="Q17" s="73" t="str">
        <f>Table9[[#This Row],[chest_physio]]</f>
        <v>No</v>
      </c>
      <c r="R17" s="73" t="str">
        <f>Table9[[#This Row],[surgery_school]]</f>
        <v>No - Wasn’t offered it</v>
      </c>
      <c r="S17" s="75">
        <f>Table9[[#This Row],[date_school]]</f>
        <v>0</v>
      </c>
      <c r="T17" s="73" t="str">
        <f>Table9[[#This Row],[app_down]]</f>
        <v>No - Have electronic device</v>
      </c>
      <c r="U17" s="73" t="str">
        <f>Table9[[#This Row],[website]]</f>
        <v>No</v>
      </c>
      <c r="V17" s="73" t="str">
        <f>Table9[[#This Row],[base_activity]]</f>
        <v>No extra activity - Needs help with ADLs</v>
      </c>
      <c r="W17" s="73" t="str">
        <f>Table9[[#This Row],[current_activity]]</f>
        <v>No extra activity - Needs help with ADLs</v>
      </c>
      <c r="X17" s="73" t="str">
        <f>Table9[[#This Row],[activity_type]]</f>
        <v>None</v>
      </c>
      <c r="Y17" s="73" t="str">
        <f>Table9[[#This Row],[anaemia_treat]]</f>
        <v>Blood transfusion</v>
      </c>
      <c r="Z17" s="78" t="str">
        <f>Table9[[#This Row],[anaesthesia]]</f>
        <v>General with Inhalational</v>
      </c>
      <c r="AA17" s="78">
        <f>Table9[[#This Row],[smoke_hist]]</f>
        <v>0</v>
      </c>
      <c r="AB17" s="78">
        <f>Table9[[#This Row],[smoke_cess]]</f>
        <v>0</v>
      </c>
      <c r="AC17" s="78" t="str">
        <f>Table9[[#This Row],[tidal_vol]]</f>
        <v>Not recorded</v>
      </c>
      <c r="AD17" s="77" t="str">
        <f>Table11[[#This Row],[inc_spiro]]</f>
        <v>&gt;Two</v>
      </c>
      <c r="AE17" s="73" t="str">
        <f>Table11[[#This Row],[t_brushes]]</f>
        <v>Twice</v>
      </c>
      <c r="AF17" s="78" t="str">
        <f>Table11[[#This Row],[m_washes]]</f>
        <v>Twice</v>
      </c>
      <c r="AG17" s="78" t="str">
        <f>Table11[[#This Row],[iv_disc]]</f>
        <v>Yes</v>
      </c>
      <c r="AH17" s="78">
        <f>Table11[[#This Row],[tolerate_15l]]</f>
        <v>0</v>
      </c>
      <c r="AI17" s="78" t="str">
        <f>Table11[[#This Row],[drinking]]</f>
        <v>Yes</v>
      </c>
      <c r="AJ17" s="78" t="str">
        <f>Table11[[#This Row],[oral_diet]]</f>
        <v>Yes</v>
      </c>
      <c r="AK17" s="78" t="str">
        <f>Table11[[#This Row],[mobilised]]</f>
        <v>Yes</v>
      </c>
      <c r="AL17" s="79" t="str">
        <f>Table11[[#This Row],[resp_supp]]</f>
        <v>None</v>
      </c>
      <c r="AM17" s="78">
        <f>Table11[[#This Row],[elev_head]]</f>
        <v>0</v>
      </c>
      <c r="AN17" s="78" t="str">
        <f>Table13[[#This Row],[in_hospital]]</f>
        <v>No</v>
      </c>
      <c r="AO17" s="78">
        <f>Table13[[#This Row],[location_7]]</f>
        <v>0</v>
      </c>
      <c r="AP17" s="78">
        <f>Table13[[#This Row],[infec_24]]</f>
        <v>0</v>
      </c>
      <c r="AQ17" s="73">
        <f>Table13[[#This Row],[infec_7]]</f>
        <v>0</v>
      </c>
      <c r="AR17" s="73">
        <f>Table13[[#This Row],[gastro]]</f>
        <v>0</v>
      </c>
      <c r="AS17" s="73">
        <f>Table13[[#This Row],[pulm_supp_24]]</f>
        <v>0</v>
      </c>
      <c r="AT17" s="73">
        <f>Table13[[#This Row],[pulm_supp_7]]</f>
        <v>0</v>
      </c>
      <c r="AU17" s="73">
        <f>Table13[[#This Row],[pulm_pharm]]</f>
        <v>0</v>
      </c>
      <c r="AV17" s="73">
        <f>Table13[[#This Row],[cardio_24]]</f>
        <v>0</v>
      </c>
      <c r="AW17" s="73">
        <f>Table13[[#This Row],[troponin_7]]</f>
        <v>0</v>
      </c>
      <c r="AX17" s="73">
        <f>Table13[[#This Row],[creatinine_base]]</f>
        <v>0</v>
      </c>
      <c r="AY17" s="73">
        <f>Table13[[#This Row],[creatinine_high]]</f>
        <v>0</v>
      </c>
      <c r="AZ17" s="73">
        <f>Table13[[#This Row],[rrt]]</f>
        <v>0</v>
      </c>
      <c r="BA17" s="73">
        <f>Table13[[#This Row],[renal_24]]</f>
        <v>0</v>
      </c>
      <c r="BB17" s="73">
        <f>Table13[[#This Row],[neuro]]</f>
        <v>0</v>
      </c>
      <c r="BC17" s="73">
        <f>Table13[[#This Row],[wound]]</f>
        <v>0</v>
      </c>
      <c r="BD17" s="73">
        <f>Table13[[#This Row],[haemato]]</f>
        <v>0</v>
      </c>
      <c r="BE17" s="73">
        <f>Table13[[#This Row],[pain]]</f>
        <v>0</v>
      </c>
      <c r="BF17" s="73">
        <f>Table13[[#This Row],[mobility]]</f>
        <v>0</v>
      </c>
      <c r="BG17" s="79">
        <f>Table13[[#This Row],[why_inpatient_7]]</f>
        <v>0</v>
      </c>
      <c r="BH17" s="9">
        <f>Table13[[#This Row],[date_15]]</f>
        <v>0</v>
      </c>
      <c r="BI17">
        <f>Table13[[#This Row],[inpatient_15]]</f>
        <v>0</v>
      </c>
      <c r="BJ17">
        <f>Table13[[#This Row],[comment_15]]</f>
        <v>0</v>
      </c>
      <c r="BK17" t="str">
        <f>Table13[[#This Row],[discharge_dest]]</f>
        <v>Own Home</v>
      </c>
      <c r="BL17" t="str">
        <f>Table13[[#This Row],[complication]]</f>
        <v>None</v>
      </c>
    </row>
    <row r="18" spans="1:64" ht="18" customHeight="1">
      <c r="A18" s="73">
        <f>Table5[[#This Row],[comment]]</f>
        <v>0</v>
      </c>
      <c r="B18" s="73" t="str">
        <f>Table9[[#This Row],[surgeon]]</f>
        <v>David Watson</v>
      </c>
      <c r="C18" s="73" t="str">
        <f>Table9[[#This Row],[surgery]]</f>
        <v>Anterior resection of rectum</v>
      </c>
      <c r="D18" s="74" t="str">
        <f>Table5[[#This Row],[pqip_consent]]</f>
        <v>Yes</v>
      </c>
      <c r="E18" s="73" t="str">
        <f>Table6[[#This Row],[area_surgery]]</f>
        <v>Lower GI</v>
      </c>
      <c r="F18" s="75">
        <f>Table6[[#This Row],[admission_date]]</f>
        <v>43314</v>
      </c>
      <c r="G18" s="75">
        <f>Table6[[#This Row],[admission_date]]</f>
        <v>43314</v>
      </c>
      <c r="H18" s="105"/>
      <c r="I18" s="73" t="str">
        <f>Table6[[#This Row],[discharge_loc]]</f>
        <v>H6</v>
      </c>
      <c r="J18" s="75">
        <f>Table6[[#This Row],[discharge_date]]</f>
        <v>43324</v>
      </c>
      <c r="K18" s="76">
        <f>Table6[[#This Row],[hospital_stay]]</f>
        <v>10</v>
      </c>
      <c r="L18" s="76" t="str">
        <f>Table6[[#This Row],[readmit_30]]</f>
        <v>No</v>
      </c>
      <c r="M18" s="77" t="str">
        <f>Table9[[#This Row],[troponin]]</f>
        <v>Not Measured</v>
      </c>
      <c r="N18" s="78">
        <f>Table9[[#This Row],[hb]]</f>
        <v>14.5</v>
      </c>
      <c r="O18" s="78">
        <f>Table9[[#This Row],[creatinine]]</f>
        <v>106</v>
      </c>
      <c r="P18" s="78">
        <f>Table9[[#This Row],[albumin]]</f>
        <v>44</v>
      </c>
      <c r="Q18" s="73" t="str">
        <f>Table9[[#This Row],[chest_physio]]</f>
        <v>Nurse</v>
      </c>
      <c r="R18" s="73" t="str">
        <f>Table9[[#This Row],[surgery_school]]</f>
        <v>No - Wasn’t offered it</v>
      </c>
      <c r="S18" s="75">
        <f>Table9[[#This Row],[date_school]]</f>
        <v>0</v>
      </c>
      <c r="T18" s="73" t="str">
        <f>Table9[[#This Row],[app_down]]</f>
        <v>No - Have electronic device</v>
      </c>
      <c r="U18" s="73" t="str">
        <f>Table9[[#This Row],[website]]</f>
        <v>No</v>
      </c>
      <c r="V18" s="73" t="str">
        <f>Table9[[#This Row],[base_activity]]</f>
        <v>30mins of moderate activity</v>
      </c>
      <c r="W18" s="73" t="str">
        <f>Table9[[#This Row],[current_activity]]</f>
        <v>30mins of moderate activity</v>
      </c>
      <c r="X18" s="73" t="str">
        <f>Table9[[#This Row],[activity_type]]</f>
        <v xml:space="preserve">Walking regularly </v>
      </c>
      <c r="Y18" s="73" t="str">
        <f>Table9[[#This Row],[anaemia_treat]]</f>
        <v xml:space="preserve">Oral Iron </v>
      </c>
      <c r="Z18" s="78" t="str">
        <f>Table9[[#This Row],[anaesthesia]]</f>
        <v>General with TIVA</v>
      </c>
      <c r="AA18" s="78">
        <f>Table9[[#This Row],[smoke_hist]]</f>
        <v>0</v>
      </c>
      <c r="AB18" s="78">
        <f>Table9[[#This Row],[smoke_cess]]</f>
        <v>0</v>
      </c>
      <c r="AC18" s="78" t="str">
        <f>Table9[[#This Row],[tidal_vol]]</f>
        <v>Not recorded</v>
      </c>
      <c r="AD18" s="77" t="str">
        <f>Table11[[#This Row],[inc_spiro]]</f>
        <v>&gt;Two</v>
      </c>
      <c r="AE18" s="73" t="str">
        <f>Table11[[#This Row],[t_brushes]]</f>
        <v>Once</v>
      </c>
      <c r="AF18" s="78" t="str">
        <f>Table11[[#This Row],[m_washes]]</f>
        <v>None</v>
      </c>
      <c r="AG18" s="78" t="str">
        <f>Table11[[#This Row],[iv_disc]]</f>
        <v>No</v>
      </c>
      <c r="AH18" s="78">
        <f>Table11[[#This Row],[tolerate_15l]]</f>
        <v>0</v>
      </c>
      <c r="AI18" s="78" t="str">
        <f>Table11[[#This Row],[drinking]]</f>
        <v>Yes</v>
      </c>
      <c r="AJ18" s="78" t="str">
        <f>Table11[[#This Row],[oral_diet]]</f>
        <v>No</v>
      </c>
      <c r="AK18" s="78" t="str">
        <f>Table11[[#This Row],[mobilised]]</f>
        <v>Yes</v>
      </c>
      <c r="AL18" s="79" t="str">
        <f>Table11[[#This Row],[resp_supp]]</f>
        <v>None</v>
      </c>
      <c r="AM18" s="78">
        <f>Table11[[#This Row],[elev_head]]</f>
        <v>0</v>
      </c>
      <c r="AN18" s="78" t="str">
        <f>Table13[[#This Row],[in_hospital]]</f>
        <v>Yes</v>
      </c>
      <c r="AO18" s="78" t="str">
        <f>Table13[[#This Row],[location_7]]</f>
        <v>Ward</v>
      </c>
      <c r="AP18" s="78" t="str">
        <f>Table13[[#This Row],[infec_24]]</f>
        <v>Patient currently on IV antibiotics</v>
      </c>
      <c r="AQ18" s="73" t="str">
        <f>Table13[[#This Row],[infec_7]]</f>
        <v>Abdominal leak</v>
      </c>
      <c r="AR18" s="73" t="str">
        <f>Table13[[#This Row],[gastro]]</f>
        <v>None of the above</v>
      </c>
      <c r="AS18" s="73" t="str">
        <f>Table13[[#This Row],[pulm_supp_24]]</f>
        <v>None of the above</v>
      </c>
      <c r="AT18" s="73" t="str">
        <f>Table13[[#This Row],[pulm_supp_7]]</f>
        <v>None</v>
      </c>
      <c r="AU18" s="73" t="str">
        <f>Table13[[#This Row],[pulm_pharm]]</f>
        <v>None</v>
      </c>
      <c r="AV18" s="73" t="str">
        <f>Table13[[#This Row],[cardio_24]]</f>
        <v>None of the above</v>
      </c>
      <c r="AW18" s="73">
        <f>Table13[[#This Row],[troponin_7]]</f>
        <v>0</v>
      </c>
      <c r="AX18" s="73">
        <f>Table13[[#This Row],[creatinine_base]]</f>
        <v>106</v>
      </c>
      <c r="AY18" s="73">
        <f>Table13[[#This Row],[creatinine_high]]</f>
        <v>88</v>
      </c>
      <c r="AZ18" s="73" t="str">
        <f>Table13[[#This Row],[rrt]]</f>
        <v xml:space="preserve">No </v>
      </c>
      <c r="BA18" s="73" t="str">
        <f>Table13[[#This Row],[renal_24]]</f>
        <v>None of the above</v>
      </c>
      <c r="BB18" s="73" t="str">
        <f>Table13[[#This Row],[neuro]]</f>
        <v>None of the above</v>
      </c>
      <c r="BC18" s="73" t="str">
        <f>Table13[[#This Row],[wound]]</f>
        <v>None of the above</v>
      </c>
      <c r="BD18" s="73" t="str">
        <f>Table13[[#This Row],[haemato]]</f>
        <v>None of the above</v>
      </c>
      <c r="BE18" s="73" t="str">
        <f>Table13[[#This Row],[pain]]</f>
        <v>None of the above</v>
      </c>
      <c r="BF18" s="73" t="str">
        <f>Table13[[#This Row],[mobility]]</f>
        <v>Yes</v>
      </c>
      <c r="BG18" s="79" t="str">
        <f>Table13[[#This Row],[why_inpatient_7]]</f>
        <v>Medical/nursing care</v>
      </c>
      <c r="BH18" s="9">
        <f>Table13[[#This Row],[date_15]]</f>
        <v>0</v>
      </c>
      <c r="BI18">
        <f>Table13[[#This Row],[inpatient_15]]</f>
        <v>0</v>
      </c>
      <c r="BJ18">
        <f>Table13[[#This Row],[comment_15]]</f>
        <v>0</v>
      </c>
      <c r="BK18" t="str">
        <f>Table13[[#This Row],[discharge_dest]]</f>
        <v>Own Home</v>
      </c>
      <c r="BL18" t="str">
        <f>Table13[[#This Row],[complication]]</f>
        <v>I, II</v>
      </c>
    </row>
    <row r="19" spans="1:64" ht="18" customHeight="1">
      <c r="A19" s="73">
        <f>Table5[[#This Row],[comment]]</f>
        <v>0</v>
      </c>
      <c r="B19" s="73" t="str">
        <f>Table9[[#This Row],[surgeon]]</f>
        <v>Euan Green</v>
      </c>
      <c r="C19" s="73" t="str">
        <f>Table9[[#This Row],[surgery]]</f>
        <v>Left radical laparoscopic nephrectomy</v>
      </c>
      <c r="D19" s="74" t="str">
        <f>Table5[[#This Row],[pqip_consent]]</f>
        <v>Yes</v>
      </c>
      <c r="E19" s="73" t="str">
        <f>Table6[[#This Row],[area_surgery]]</f>
        <v>Nephrology</v>
      </c>
      <c r="F19" s="75">
        <f>Table6[[#This Row],[admission_date]]</f>
        <v>43311</v>
      </c>
      <c r="G19" s="75">
        <f>Table6[[#This Row],[admission_date]]</f>
        <v>43311</v>
      </c>
      <c r="H19" s="105"/>
      <c r="I19" s="73" t="str">
        <f>Table6[[#This Row],[discharge_loc]]</f>
        <v>H6</v>
      </c>
      <c r="J19" s="75">
        <f>Table6[[#This Row],[discharge_date]]</f>
        <v>43313</v>
      </c>
      <c r="K19" s="76">
        <f>Table6[[#This Row],[hospital_stay]]</f>
        <v>2</v>
      </c>
      <c r="L19" s="76" t="str">
        <f>Table6[[#This Row],[readmit_30]]</f>
        <v>No</v>
      </c>
      <c r="M19" s="77" t="str">
        <f>Table9[[#This Row],[troponin]]</f>
        <v>Not Measured</v>
      </c>
      <c r="N19" s="78">
        <f>Table9[[#This Row],[hb]]</f>
        <v>14.4</v>
      </c>
      <c r="O19" s="78">
        <f>Table9[[#This Row],[creatinine]]</f>
        <v>75</v>
      </c>
      <c r="P19" s="78">
        <f>Table9[[#This Row],[albumin]]</f>
        <v>45</v>
      </c>
      <c r="Q19" s="73" t="str">
        <f>Table9[[#This Row],[chest_physio]]</f>
        <v>Nurse</v>
      </c>
      <c r="R19" s="73" t="str">
        <f>Table9[[#This Row],[surgery_school]]</f>
        <v>No - Wasn’t offered it</v>
      </c>
      <c r="S19" s="75">
        <f>Table9[[#This Row],[date_school]]</f>
        <v>0</v>
      </c>
      <c r="T19" s="73" t="str">
        <f>Table9[[#This Row],[app_down]]</f>
        <v>No - No electronic device</v>
      </c>
      <c r="U19" s="73" t="str">
        <f>Table9[[#This Row],[website]]</f>
        <v>No</v>
      </c>
      <c r="V19" s="73" t="str">
        <f>Table9[[#This Row],[base_activity]]</f>
        <v>No extra activity - Independent in ADLs</v>
      </c>
      <c r="W19" s="73" t="str">
        <f>Table9[[#This Row],[current_activity]]</f>
        <v>No extra activity - Independent in ADLs</v>
      </c>
      <c r="X19" s="73" t="str">
        <f>Table9[[#This Row],[activity_type]]</f>
        <v>None</v>
      </c>
      <c r="Y19" s="73" t="str">
        <f>Table9[[#This Row],[anaemia_treat]]</f>
        <v>None</v>
      </c>
      <c r="Z19" s="78" t="str">
        <f>Table9[[#This Row],[anaesthesia]]</f>
        <v>General with Inhalational</v>
      </c>
      <c r="AA19" s="78">
        <f>Table9[[#This Row],[smoke_hist]]</f>
        <v>0</v>
      </c>
      <c r="AB19" s="78">
        <f>Table9[[#This Row],[smoke_cess]]</f>
        <v>0</v>
      </c>
      <c r="AC19" s="78" t="str">
        <f>Table9[[#This Row],[tidal_vol]]</f>
        <v>Not recorded</v>
      </c>
      <c r="AD19" s="77" t="str">
        <f>Table11[[#This Row],[inc_spiro]]</f>
        <v>Not used</v>
      </c>
      <c r="AE19" s="73" t="str">
        <f>Table11[[#This Row],[t_brushes]]</f>
        <v>Once</v>
      </c>
      <c r="AF19" s="78" t="str">
        <f>Table11[[#This Row],[m_washes]]</f>
        <v>Once</v>
      </c>
      <c r="AG19" s="78" t="str">
        <f>Table11[[#This Row],[iv_disc]]</f>
        <v>Yes</v>
      </c>
      <c r="AH19" s="78">
        <f>Table11[[#This Row],[tolerate_15l]]</f>
        <v>0</v>
      </c>
      <c r="AI19" s="78" t="str">
        <f>Table11[[#This Row],[drinking]]</f>
        <v>Yes</v>
      </c>
      <c r="AJ19" s="78" t="str">
        <f>Table11[[#This Row],[oral_diet]]</f>
        <v>Yes</v>
      </c>
      <c r="AK19" s="78" t="str">
        <f>Table11[[#This Row],[mobilised]]</f>
        <v>Yes</v>
      </c>
      <c r="AL19" s="79" t="str">
        <f>Table11[[#This Row],[resp_supp]]</f>
        <v>None</v>
      </c>
      <c r="AM19" s="78">
        <f>Table11[[#This Row],[elev_head]]</f>
        <v>0</v>
      </c>
      <c r="AN19" s="78" t="str">
        <f>Table13[[#This Row],[in_hospital]]</f>
        <v>No</v>
      </c>
      <c r="AO19" s="78">
        <f>Table13[[#This Row],[location_7]]</f>
        <v>0</v>
      </c>
      <c r="AP19" s="78">
        <f>Table13[[#This Row],[infec_24]]</f>
        <v>0</v>
      </c>
      <c r="AQ19" s="73">
        <f>Table13[[#This Row],[infec_7]]</f>
        <v>0</v>
      </c>
      <c r="AR19" s="73">
        <f>Table13[[#This Row],[gastro]]</f>
        <v>0</v>
      </c>
      <c r="AS19" s="73">
        <f>Table13[[#This Row],[pulm_supp_24]]</f>
        <v>0</v>
      </c>
      <c r="AT19" s="73">
        <f>Table13[[#This Row],[pulm_supp_7]]</f>
        <v>0</v>
      </c>
      <c r="AU19" s="73">
        <f>Table13[[#This Row],[pulm_pharm]]</f>
        <v>0</v>
      </c>
      <c r="AV19" s="73">
        <f>Table13[[#This Row],[cardio_24]]</f>
        <v>0</v>
      </c>
      <c r="AW19" s="73">
        <f>Table13[[#This Row],[troponin_7]]</f>
        <v>0</v>
      </c>
      <c r="AX19" s="73">
        <f>Table13[[#This Row],[creatinine_base]]</f>
        <v>0</v>
      </c>
      <c r="AY19" s="73">
        <f>Table13[[#This Row],[creatinine_high]]</f>
        <v>0</v>
      </c>
      <c r="AZ19" s="73">
        <f>Table13[[#This Row],[rrt]]</f>
        <v>0</v>
      </c>
      <c r="BA19" s="73">
        <f>Table13[[#This Row],[renal_24]]</f>
        <v>0</v>
      </c>
      <c r="BB19" s="73">
        <f>Table13[[#This Row],[neuro]]</f>
        <v>0</v>
      </c>
      <c r="BC19" s="73">
        <f>Table13[[#This Row],[wound]]</f>
        <v>0</v>
      </c>
      <c r="BD19" s="73">
        <f>Table13[[#This Row],[haemato]]</f>
        <v>0</v>
      </c>
      <c r="BE19" s="73">
        <f>Table13[[#This Row],[pain]]</f>
        <v>0</v>
      </c>
      <c r="BF19" s="73">
        <f>Table13[[#This Row],[mobility]]</f>
        <v>0</v>
      </c>
      <c r="BG19" s="79">
        <f>Table13[[#This Row],[why_inpatient_7]]</f>
        <v>0</v>
      </c>
      <c r="BH19" s="9">
        <f>Table13[[#This Row],[date_15]]</f>
        <v>0</v>
      </c>
      <c r="BI19">
        <f>Table13[[#This Row],[inpatient_15]]</f>
        <v>0</v>
      </c>
      <c r="BJ19">
        <f>Table13[[#This Row],[comment_15]]</f>
        <v>0</v>
      </c>
      <c r="BK19" t="str">
        <f>Table13[[#This Row],[discharge_dest]]</f>
        <v>Own Home</v>
      </c>
      <c r="BL19" t="str">
        <f>Table13[[#This Row],[complication]]</f>
        <v>I</v>
      </c>
    </row>
    <row r="20" spans="1:64" ht="18" customHeight="1">
      <c r="A20" s="73">
        <f>Table5[[#This Row],[comment]]</f>
        <v>0</v>
      </c>
      <c r="B20" s="73" t="str">
        <f>Table9[[#This Row],[surgeon]]</f>
        <v>Mattias Soop</v>
      </c>
      <c r="C20" s="73" t="str">
        <f>Table9[[#This Row],[surgery]]</f>
        <v>Cystoscopy, stents Laparotomy, adhesiolysis, small bowel resection, formation of ileostomy, abdominal wall reconstruction</v>
      </c>
      <c r="D20" s="74" t="str">
        <f>Table5[[#This Row],[pqip_consent]]</f>
        <v>Yes</v>
      </c>
      <c r="E20" s="73" t="str">
        <f>Table6[[#This Row],[area_surgery]]</f>
        <v>Lower GI</v>
      </c>
      <c r="F20" s="75">
        <f>Table6[[#This Row],[admission_date]]</f>
        <v>43311</v>
      </c>
      <c r="G20" s="75">
        <f>Table6[[#This Row],[admission_date]]</f>
        <v>43311</v>
      </c>
      <c r="H20" s="105"/>
      <c r="I20" s="73" t="str">
        <f>Table6[[#This Row],[discharge_loc]]</f>
        <v>H6</v>
      </c>
      <c r="J20" s="75">
        <f>Table6[[#This Row],[discharge_date]]</f>
        <v>43325</v>
      </c>
      <c r="K20" s="76">
        <f>Table6[[#This Row],[hospital_stay]]</f>
        <v>14</v>
      </c>
      <c r="L20" s="76" t="str">
        <f>Table6[[#This Row],[readmit_30]]</f>
        <v>No</v>
      </c>
      <c r="M20" s="77" t="str">
        <f>Table9[[#This Row],[troponin]]</f>
        <v>Not Measured</v>
      </c>
      <c r="N20" s="78">
        <f>Table9[[#This Row],[hb]]</f>
        <v>13.5</v>
      </c>
      <c r="O20" s="78">
        <f>Table9[[#This Row],[creatinine]]</f>
        <v>91</v>
      </c>
      <c r="P20" s="78">
        <f>Table9[[#This Row],[albumin]]</f>
        <v>38</v>
      </c>
      <c r="Q20" s="73" t="str">
        <f>Table9[[#This Row],[chest_physio]]</f>
        <v>Nurse</v>
      </c>
      <c r="R20" s="73" t="str">
        <f>Table9[[#This Row],[surgery_school]]</f>
        <v>No - Wasn’t offered it</v>
      </c>
      <c r="S20" s="75">
        <f>Table9[[#This Row],[date_school]]</f>
        <v>0</v>
      </c>
      <c r="T20" s="73" t="str">
        <f>Table9[[#This Row],[app_down]]</f>
        <v>No - Have electronic device</v>
      </c>
      <c r="U20" s="73" t="str">
        <f>Table9[[#This Row],[website]]</f>
        <v>No</v>
      </c>
      <c r="V20" s="73" t="str">
        <f>Table9[[#This Row],[base_activity]]</f>
        <v>&gt;30mins of moderate activity</v>
      </c>
      <c r="W20" s="73" t="str">
        <f>Table9[[#This Row],[current_activity]]</f>
        <v>&gt;30mins of moderate activity</v>
      </c>
      <c r="X20" s="73" t="str">
        <f>Table9[[#This Row],[activity_type]]</f>
        <v>Other</v>
      </c>
      <c r="Y20" s="73" t="str">
        <f>Table9[[#This Row],[anaemia_treat]]</f>
        <v>Intravenous Iron</v>
      </c>
      <c r="Z20" s="78" t="str">
        <f>Table9[[#This Row],[anaesthesia]]</f>
        <v>General with Inhalational</v>
      </c>
      <c r="AA20" s="78">
        <f>Table9[[#This Row],[smoke_hist]]</f>
        <v>0</v>
      </c>
      <c r="AB20" s="78">
        <f>Table9[[#This Row],[smoke_cess]]</f>
        <v>0</v>
      </c>
      <c r="AC20" s="78" t="str">
        <f>Table9[[#This Row],[tidal_vol]]</f>
        <v>Not recorded</v>
      </c>
      <c r="AD20" s="77" t="str">
        <f>Table11[[#This Row],[inc_spiro]]</f>
        <v>Not used</v>
      </c>
      <c r="AE20" s="73" t="str">
        <f>Table11[[#This Row],[t_brushes]]</f>
        <v>Once</v>
      </c>
      <c r="AF20" s="78" t="str">
        <f>Table11[[#This Row],[m_washes]]</f>
        <v>Once</v>
      </c>
      <c r="AG20" s="78" t="str">
        <f>Table11[[#This Row],[iv_disc]]</f>
        <v>No</v>
      </c>
      <c r="AH20" s="78" t="str">
        <f>Table11[[#This Row],[tolerate_15l]]</f>
        <v>Not applicable</v>
      </c>
      <c r="AI20" s="78" t="str">
        <f>Table11[[#This Row],[drinking]]</f>
        <v>No</v>
      </c>
      <c r="AJ20" s="78" t="str">
        <f>Table11[[#This Row],[oral_diet]]</f>
        <v>No</v>
      </c>
      <c r="AK20" s="78" t="str">
        <f>Table11[[#This Row],[mobilised]]</f>
        <v>Yes</v>
      </c>
      <c r="AL20" s="79" t="str">
        <f>Table11[[#This Row],[resp_supp]]</f>
        <v>None</v>
      </c>
      <c r="AM20" s="78">
        <f>Table11[[#This Row],[elev_head]]</f>
        <v>0</v>
      </c>
      <c r="AN20" s="78" t="str">
        <f>Table13[[#This Row],[in_hospital]]</f>
        <v>Yes</v>
      </c>
      <c r="AO20" s="78" t="str">
        <f>Table13[[#This Row],[location_7]]</f>
        <v>Ward</v>
      </c>
      <c r="AP20" s="78" t="str">
        <f>Table13[[#This Row],[infec_24]]</f>
        <v>None of the above</v>
      </c>
      <c r="AQ20" s="73" t="str">
        <f>Table13[[#This Row],[infec_7]]</f>
        <v>None</v>
      </c>
      <c r="AR20" s="73" t="str">
        <f>Table13[[#This Row],[gastro]]</f>
        <v>Unable to tolerate enteral diet, Experienced nausea, vomiting or distension</v>
      </c>
      <c r="AS20" s="73" t="str">
        <f>Table13[[#This Row],[pulm_supp_24]]</f>
        <v>None of the above</v>
      </c>
      <c r="AT20" s="73" t="str">
        <f>Table13[[#This Row],[pulm_supp_7]]</f>
        <v>None</v>
      </c>
      <c r="AU20" s="73" t="str">
        <f>Table13[[#This Row],[pulm_pharm]]</f>
        <v>None</v>
      </c>
      <c r="AV20" s="73" t="str">
        <f>Table13[[#This Row],[cardio_24]]</f>
        <v>None of the above</v>
      </c>
      <c r="AW20" s="73">
        <f>Table13[[#This Row],[troponin_7]]</f>
        <v>0</v>
      </c>
      <c r="AX20" s="73">
        <f>Table13[[#This Row],[creatinine_base]]</f>
        <v>91</v>
      </c>
      <c r="AY20" s="73">
        <f>Table13[[#This Row],[creatinine_high]]</f>
        <v>103</v>
      </c>
      <c r="AZ20" s="73" t="str">
        <f>Table13[[#This Row],[rrt]]</f>
        <v xml:space="preserve">No </v>
      </c>
      <c r="BA20" s="73" t="str">
        <f>Table13[[#This Row],[renal_24]]</f>
        <v>Urethral catheter in-situ (not present pre-operatively)</v>
      </c>
      <c r="BB20" s="73" t="str">
        <f>Table13[[#This Row],[neuro]]</f>
        <v>None of the above</v>
      </c>
      <c r="BC20" s="73" t="str">
        <f>Table13[[#This Row],[wound]]</f>
        <v>None of the above</v>
      </c>
      <c r="BD20" s="73" t="str">
        <f>Table13[[#This Row],[haemato]]</f>
        <v>None of the above</v>
      </c>
      <c r="BE20" s="73" t="str">
        <f>Table13[[#This Row],[pain]]</f>
        <v>None of the above</v>
      </c>
      <c r="BF20" s="73" t="str">
        <f>Table13[[#This Row],[mobility]]</f>
        <v>No</v>
      </c>
      <c r="BG20" s="79" t="str">
        <f>Table13[[#This Row],[why_inpatient_7]]</f>
        <v>Medical/nursing care</v>
      </c>
      <c r="BH20" s="9">
        <f>Table13[[#This Row],[date_15]]</f>
        <v>43326</v>
      </c>
      <c r="BI20" t="str">
        <f>Table13[[#This Row],[inpatient_15]]</f>
        <v>No</v>
      </c>
      <c r="BJ20">
        <f>Table13[[#This Row],[comment_15]]</f>
        <v>0</v>
      </c>
      <c r="BK20" t="str">
        <f>Table13[[#This Row],[discharge_dest]]</f>
        <v>Own Home</v>
      </c>
      <c r="BL20" t="str">
        <f>Table13[[#This Row],[complication]]</f>
        <v>II</v>
      </c>
    </row>
    <row r="21" spans="1:64" ht="18" customHeight="1">
      <c r="A21" s="73">
        <f>Table5[[#This Row],[comment]]</f>
        <v>0</v>
      </c>
      <c r="B21" s="73" t="str">
        <f>Table9[[#This Row],[surgeon]]</f>
        <v>Jonathan Epstein</v>
      </c>
      <c r="C21" s="73" t="str">
        <f>Table9[[#This Row],[surgery]]</f>
        <v>Abdominoperineal (AP) resection with end colostomy</v>
      </c>
      <c r="D21" s="74" t="str">
        <f>Table5[[#This Row],[pqip_consent]]</f>
        <v>Yes</v>
      </c>
      <c r="E21" s="73" t="str">
        <f>Table6[[#This Row],[area_surgery]]</f>
        <v>Lower GI</v>
      </c>
      <c r="F21" s="75">
        <f>Table6[[#This Row],[admission_date]]</f>
        <v>43312</v>
      </c>
      <c r="G21" s="75">
        <f>Table6[[#This Row],[admission_date]]</f>
        <v>43312</v>
      </c>
      <c r="H21" s="105"/>
      <c r="I21" s="73" t="str">
        <f>Table6[[#This Row],[discharge_loc]]</f>
        <v>H6</v>
      </c>
      <c r="J21" s="75">
        <f>Table6[[#This Row],[discharge_date]]</f>
        <v>43332</v>
      </c>
      <c r="K21" s="76">
        <f>Table6[[#This Row],[hospital_stay]]</f>
        <v>20</v>
      </c>
      <c r="L21" s="76" t="str">
        <f>Table6[[#This Row],[readmit_30]]</f>
        <v>No</v>
      </c>
      <c r="M21" s="77" t="str">
        <f>Table9[[#This Row],[troponin]]</f>
        <v>Not Measured</v>
      </c>
      <c r="N21" s="78">
        <f>Table9[[#This Row],[hb]]</f>
        <v>12.1</v>
      </c>
      <c r="O21" s="78">
        <f>Table9[[#This Row],[creatinine]]</f>
        <v>62</v>
      </c>
      <c r="P21" s="78">
        <f>Table9[[#This Row],[albumin]]</f>
        <v>43</v>
      </c>
      <c r="Q21" s="73" t="str">
        <f>Table9[[#This Row],[chest_physio]]</f>
        <v>Nurse</v>
      </c>
      <c r="R21" s="73" t="str">
        <f>Table9[[#This Row],[surgery_school]]</f>
        <v>No - Wasn’t offered it</v>
      </c>
      <c r="S21" s="75">
        <f>Table9[[#This Row],[date_school]]</f>
        <v>0</v>
      </c>
      <c r="T21" s="73" t="str">
        <f>Table9[[#This Row],[app_down]]</f>
        <v>No - No electronic device</v>
      </c>
      <c r="U21" s="73" t="str">
        <f>Table9[[#This Row],[website]]</f>
        <v>No</v>
      </c>
      <c r="V21" s="73" t="str">
        <f>Table9[[#This Row],[base_activity]]</f>
        <v>No extra activity - Independent in ADLs</v>
      </c>
      <c r="W21" s="73" t="str">
        <f>Table9[[#This Row],[current_activity]]</f>
        <v>No extra activity - Independent in ADLs</v>
      </c>
      <c r="X21" s="73" t="str">
        <f>Table9[[#This Row],[activity_type]]</f>
        <v>None</v>
      </c>
      <c r="Y21" s="73" t="str">
        <f>Table9[[#This Row],[anaemia_treat]]</f>
        <v>None</v>
      </c>
      <c r="Z21" s="78" t="str">
        <f>Table9[[#This Row],[anaesthesia]]</f>
        <v>General with Inhalational</v>
      </c>
      <c r="AA21" s="78">
        <f>Table9[[#This Row],[smoke_hist]]</f>
        <v>0</v>
      </c>
      <c r="AB21" s="78">
        <f>Table9[[#This Row],[smoke_cess]]</f>
        <v>0</v>
      </c>
      <c r="AC21" s="78" t="str">
        <f>Table9[[#This Row],[tidal_vol]]</f>
        <v>Not recorded</v>
      </c>
      <c r="AD21" s="77" t="str">
        <f>Table11[[#This Row],[inc_spiro]]</f>
        <v>Once</v>
      </c>
      <c r="AE21" s="73" t="str">
        <f>Table11[[#This Row],[t_brushes]]</f>
        <v>Once</v>
      </c>
      <c r="AF21" s="78" t="str">
        <f>Table11[[#This Row],[m_washes]]</f>
        <v>Once</v>
      </c>
      <c r="AG21" s="78" t="str">
        <f>Table11[[#This Row],[iv_disc]]</f>
        <v>No</v>
      </c>
      <c r="AH21" s="78" t="str">
        <f>Table11[[#This Row],[tolerate_15l]]</f>
        <v>No</v>
      </c>
      <c r="AI21" s="78" t="str">
        <f>Table11[[#This Row],[drinking]]</f>
        <v>Yes</v>
      </c>
      <c r="AJ21" s="78" t="str">
        <f>Table11[[#This Row],[oral_diet]]</f>
        <v>Yes</v>
      </c>
      <c r="AK21" s="78" t="str">
        <f>Table11[[#This Row],[mobilised]]</f>
        <v>No</v>
      </c>
      <c r="AL21" s="79" t="str">
        <f>Table11[[#This Row],[resp_supp]]</f>
        <v>None</v>
      </c>
      <c r="AM21" s="78">
        <f>Table11[[#This Row],[elev_head]]</f>
        <v>0</v>
      </c>
      <c r="AN21" s="78" t="str">
        <f>Table13[[#This Row],[in_hospital]]</f>
        <v>Yes</v>
      </c>
      <c r="AO21" s="78" t="str">
        <f>Table13[[#This Row],[location_7]]</f>
        <v>Ward</v>
      </c>
      <c r="AP21" s="78" t="str">
        <f>Table13[[#This Row],[infec_24]]</f>
        <v>Patient currently on IV antibiotics</v>
      </c>
      <c r="AQ21" s="73" t="str">
        <f>Table13[[#This Row],[infec_7]]</f>
        <v>Abdominal leak</v>
      </c>
      <c r="AR21" s="73" t="str">
        <f>Table13[[#This Row],[gastro]]</f>
        <v>Unable to tolerate enteral diet</v>
      </c>
      <c r="AS21" s="73" t="str">
        <f>Table13[[#This Row],[pulm_supp_24]]</f>
        <v>New requirement for oxygen</v>
      </c>
      <c r="AT21" s="73" t="str">
        <f>Table13[[#This Row],[pulm_supp_7]]</f>
        <v>None</v>
      </c>
      <c r="AU21" s="73" t="str">
        <f>Table13[[#This Row],[pulm_pharm]]</f>
        <v>None</v>
      </c>
      <c r="AV21" s="73" t="str">
        <f>Table13[[#This Row],[cardio_24]]</f>
        <v>None of the above</v>
      </c>
      <c r="AW21" s="73">
        <f>Table13[[#This Row],[troponin_7]]</f>
        <v>0</v>
      </c>
      <c r="AX21" s="73">
        <f>Table13[[#This Row],[creatinine_base]]</f>
        <v>62</v>
      </c>
      <c r="AY21" s="73">
        <f>Table13[[#This Row],[creatinine_high]]</f>
        <v>75</v>
      </c>
      <c r="AZ21" s="73" t="str">
        <f>Table13[[#This Row],[rrt]]</f>
        <v xml:space="preserve">No </v>
      </c>
      <c r="BA21" s="73" t="str">
        <f>Table13[[#This Row],[renal_24]]</f>
        <v>None of the above</v>
      </c>
      <c r="BB21" s="73" t="str">
        <f>Table13[[#This Row],[neuro]]</f>
        <v>None of the above</v>
      </c>
      <c r="BC21" s="73" t="str">
        <f>Table13[[#This Row],[wound]]</f>
        <v>None of the above</v>
      </c>
      <c r="BD21" s="73" t="str">
        <f>Table13[[#This Row],[haemato]]</f>
        <v>None of the above</v>
      </c>
      <c r="BE21" s="73" t="str">
        <f>Table13[[#This Row],[pain]]</f>
        <v>None of the above</v>
      </c>
      <c r="BF21" s="73" t="str">
        <f>Table13[[#This Row],[mobility]]</f>
        <v>No</v>
      </c>
      <c r="BG21" s="79" t="str">
        <f>Table13[[#This Row],[why_inpatient_7]]</f>
        <v>Medical/nursing care</v>
      </c>
      <c r="BH21" s="9">
        <f>Table13[[#This Row],[date_15]]</f>
        <v>43327</v>
      </c>
      <c r="BI21" t="str">
        <f>Table13[[#This Row],[inpatient_15]]</f>
        <v>Yes</v>
      </c>
      <c r="BJ21" t="str">
        <f>Table13[[#This Row],[comment_15]]</f>
        <v>Mobility issue</v>
      </c>
      <c r="BK21" t="str">
        <f>Table13[[#This Row],[discharge_dest]]</f>
        <v>Own Home</v>
      </c>
      <c r="BL21" t="str">
        <f>Table13[[#This Row],[complication]]</f>
        <v>I, II</v>
      </c>
    </row>
    <row r="22" spans="1:64" ht="18" customHeight="1">
      <c r="A22" s="73">
        <f>Table5[[#This Row],[comment]]</f>
        <v>0</v>
      </c>
      <c r="B22" s="73" t="str">
        <f>Table9[[#This Row],[surgeon]]</f>
        <v>Javed Sultan</v>
      </c>
      <c r="C22" s="73" t="str">
        <f>Table9[[#This Row],[surgery]]</f>
        <v>Open gastrectomy</v>
      </c>
      <c r="D22" s="74" t="str">
        <f>Table5[[#This Row],[pqip_consent]]</f>
        <v>Yes</v>
      </c>
      <c r="E22" s="73" t="str">
        <f>Table6[[#This Row],[area_surgery]]</f>
        <v>Lower GI</v>
      </c>
      <c r="F22" s="75">
        <f>Table6[[#This Row],[admission_date]]</f>
        <v>43313</v>
      </c>
      <c r="G22" s="75">
        <f>Table6[[#This Row],[admission_date]]</f>
        <v>43313</v>
      </c>
      <c r="H22" s="105"/>
      <c r="I22" s="73" t="str">
        <f>Table6[[#This Row],[discharge_loc]]</f>
        <v>CCU</v>
      </c>
      <c r="J22" s="75">
        <f>Table6[[#This Row],[discharge_date]]</f>
        <v>43336</v>
      </c>
      <c r="K22" s="76">
        <f>Table6[[#This Row],[hospital_stay]]</f>
        <v>23</v>
      </c>
      <c r="L22" s="76" t="str">
        <f>Table6[[#This Row],[readmit_30]]</f>
        <v>No</v>
      </c>
      <c r="M22" s="77" t="str">
        <f>Table9[[#This Row],[troponin]]</f>
        <v>Not Measured</v>
      </c>
      <c r="N22" s="78">
        <f>Table9[[#This Row],[hb]]</f>
        <v>13.7</v>
      </c>
      <c r="O22" s="78">
        <f>Table9[[#This Row],[creatinine]]</f>
        <v>67</v>
      </c>
      <c r="P22" s="78">
        <f>Table9[[#This Row],[albumin]]</f>
        <v>41</v>
      </c>
      <c r="Q22" s="73" t="str">
        <f>Table9[[#This Row],[chest_physio]]</f>
        <v>No</v>
      </c>
      <c r="R22" s="73" t="str">
        <f>Table9[[#This Row],[surgery_school]]</f>
        <v>No - Wasn’t offered it</v>
      </c>
      <c r="S22" s="75">
        <f>Table9[[#This Row],[date_school]]</f>
        <v>0</v>
      </c>
      <c r="T22" s="73" t="str">
        <f>Table9[[#This Row],[app_down]]</f>
        <v>No - No electronic device</v>
      </c>
      <c r="U22" s="73" t="str">
        <f>Table9[[#This Row],[website]]</f>
        <v>No</v>
      </c>
      <c r="V22" s="73" t="str">
        <f>Table9[[#This Row],[base_activity]]</f>
        <v>No extra activity - Independent in ADLs</v>
      </c>
      <c r="W22" s="73" t="str">
        <f>Table9[[#This Row],[current_activity]]</f>
        <v>No extra activity - Independent in ADLs</v>
      </c>
      <c r="X22" s="73" t="str">
        <f>Table9[[#This Row],[activity_type]]</f>
        <v>None</v>
      </c>
      <c r="Y22" s="73" t="str">
        <f>Table9[[#This Row],[anaemia_treat]]</f>
        <v>Not applicable</v>
      </c>
      <c r="Z22" s="78" t="str">
        <f>Table9[[#This Row],[anaesthesia]]</f>
        <v>General with Inhalational</v>
      </c>
      <c r="AA22" s="78">
        <f>Table9[[#This Row],[smoke_hist]]</f>
        <v>0</v>
      </c>
      <c r="AB22" s="78">
        <f>Table9[[#This Row],[smoke_cess]]</f>
        <v>0</v>
      </c>
      <c r="AC22" s="78" t="str">
        <f>Table9[[#This Row],[tidal_vol]]</f>
        <v>Not recorded</v>
      </c>
      <c r="AD22" s="77" t="str">
        <f>Table11[[#This Row],[inc_spiro]]</f>
        <v>Once</v>
      </c>
      <c r="AE22" s="73" t="str">
        <f>Table11[[#This Row],[t_brushes]]</f>
        <v>Twice</v>
      </c>
      <c r="AF22" s="78" t="str">
        <f>Table11[[#This Row],[m_washes]]</f>
        <v>Twice</v>
      </c>
      <c r="AG22" s="78" t="str">
        <f>Table11[[#This Row],[iv_disc]]</f>
        <v>No</v>
      </c>
      <c r="AH22" s="78" t="str">
        <f>Table11[[#This Row],[tolerate_15l]]</f>
        <v>Not applicable</v>
      </c>
      <c r="AI22" s="78" t="str">
        <f>Table11[[#This Row],[drinking]]</f>
        <v>No</v>
      </c>
      <c r="AJ22" s="78" t="str">
        <f>Table11[[#This Row],[oral_diet]]</f>
        <v>No</v>
      </c>
      <c r="AK22" s="78" t="str">
        <f>Table11[[#This Row],[mobilised]]</f>
        <v>Yes</v>
      </c>
      <c r="AL22" s="79" t="str">
        <f>Table11[[#This Row],[resp_supp]]</f>
        <v>None</v>
      </c>
      <c r="AM22" s="78">
        <f>Table11[[#This Row],[elev_head]]</f>
        <v>0</v>
      </c>
      <c r="AN22" s="78" t="str">
        <f>Table13[[#This Row],[in_hospital]]</f>
        <v>Yes</v>
      </c>
      <c r="AO22" s="78" t="str">
        <f>Table13[[#This Row],[location_7]]</f>
        <v>Level 2</v>
      </c>
      <c r="AP22" s="78" t="str">
        <f>Table13[[#This Row],[infec_24]]</f>
        <v>None of the above</v>
      </c>
      <c r="AQ22" s="73" t="str">
        <f>Table13[[#This Row],[infec_7]]</f>
        <v>None</v>
      </c>
      <c r="AR22" s="73" t="str">
        <f>Table13[[#This Row],[gastro]]</f>
        <v>Unable to tolerate enteral diet</v>
      </c>
      <c r="AS22" s="73" t="str">
        <f>Table13[[#This Row],[pulm_supp_24]]</f>
        <v>None of the above</v>
      </c>
      <c r="AT22" s="73" t="str">
        <f>Table13[[#This Row],[pulm_supp_7]]</f>
        <v>None</v>
      </c>
      <c r="AU22" s="73" t="str">
        <f>Table13[[#This Row],[pulm_pharm]]</f>
        <v>None</v>
      </c>
      <c r="AV22" s="73" t="str">
        <f>Table13[[#This Row],[cardio_24]]</f>
        <v>None of the above</v>
      </c>
      <c r="AW22" s="73">
        <f>Table13[[#This Row],[troponin_7]]</f>
        <v>0</v>
      </c>
      <c r="AX22" s="73">
        <f>Table13[[#This Row],[creatinine_base]]</f>
        <v>67</v>
      </c>
      <c r="AY22" s="73">
        <f>Table13[[#This Row],[creatinine_high]]</f>
        <v>53</v>
      </c>
      <c r="AZ22" s="73" t="str">
        <f>Table13[[#This Row],[rrt]]</f>
        <v xml:space="preserve">No </v>
      </c>
      <c r="BA22" s="73" t="str">
        <f>Table13[[#This Row],[renal_24]]</f>
        <v>None of the above</v>
      </c>
      <c r="BB22" s="73" t="str">
        <f>Table13[[#This Row],[neuro]]</f>
        <v>Delirium or confusion</v>
      </c>
      <c r="BC22" s="73" t="str">
        <f>Table13[[#This Row],[wound]]</f>
        <v>None of the above</v>
      </c>
      <c r="BD22" s="73" t="str">
        <f>Table13[[#This Row],[haemato]]</f>
        <v>None of the above</v>
      </c>
      <c r="BE22" s="73" t="str">
        <f>Table13[[#This Row],[pain]]</f>
        <v>None of the above</v>
      </c>
      <c r="BF22" s="73" t="str">
        <f>Table13[[#This Row],[mobility]]</f>
        <v>Yes</v>
      </c>
      <c r="BG22" s="79" t="str">
        <f>Table13[[#This Row],[why_inpatient_7]]</f>
        <v>Medical/nursing care</v>
      </c>
      <c r="BH22" s="9">
        <f>Table13[[#This Row],[date_15]]</f>
        <v>43328</v>
      </c>
      <c r="BI22" t="str">
        <f>Table13[[#This Row],[inpatient_15]]</f>
        <v>Yes</v>
      </c>
      <c r="BJ22" t="str">
        <f>Table13[[#This Row],[comment_15]]</f>
        <v>Recurrent confusion and delirium, struggling to open bowels, "Family have expressed fear towards him and stated they do not want him home to psychiatrist"</v>
      </c>
      <c r="BK22" t="str">
        <f>Table13[[#This Row],[discharge_dest]]</f>
        <v>Own Home</v>
      </c>
      <c r="BL22" t="str">
        <f>Table13[[#This Row],[complication]]</f>
        <v>I, II</v>
      </c>
    </row>
    <row r="23" spans="1:64" ht="18" customHeight="1">
      <c r="A23" s="73">
        <f>Table5[[#This Row],[comment]]</f>
        <v>0</v>
      </c>
      <c r="B23" s="73" t="str">
        <f>Table9[[#This Row],[surgeon]]</f>
        <v>Rachel Brindle</v>
      </c>
      <c r="C23" s="73" t="str">
        <f>Table9[[#This Row],[surgery]]</f>
        <v>Open right adrenalectomy</v>
      </c>
      <c r="D23" s="74" t="str">
        <f>Table5[[#This Row],[pqip_consent]]</f>
        <v>Yes</v>
      </c>
      <c r="E23" s="73" t="str">
        <f>Table6[[#This Row],[area_surgery]]</f>
        <v>Endocrinology</v>
      </c>
      <c r="F23" s="75">
        <f>Table6[[#This Row],[admission_date]]</f>
        <v>43313</v>
      </c>
      <c r="G23" s="75">
        <f>Table6[[#This Row],[admission_date]]</f>
        <v>43313</v>
      </c>
      <c r="H23" s="105"/>
      <c r="I23" s="73" t="str">
        <f>Table6[[#This Row],[discharge_loc]]</f>
        <v>CCU</v>
      </c>
      <c r="J23" s="75">
        <f>Table6[[#This Row],[discharge_date]]</f>
        <v>43320</v>
      </c>
      <c r="K23" s="76">
        <f>Table6[[#This Row],[hospital_stay]]</f>
        <v>7</v>
      </c>
      <c r="L23" s="76" t="str">
        <f>Table6[[#This Row],[readmit_30]]</f>
        <v>No</v>
      </c>
      <c r="M23" s="77" t="str">
        <f>Table9[[#This Row],[troponin]]</f>
        <v>Not Measured</v>
      </c>
      <c r="N23" s="78">
        <f>Table9[[#This Row],[hb]]</f>
        <v>13.4</v>
      </c>
      <c r="O23" s="78">
        <f>Table9[[#This Row],[creatinine]]</f>
        <v>83</v>
      </c>
      <c r="P23" s="78">
        <f>Table9[[#This Row],[albumin]]</f>
        <v>44</v>
      </c>
      <c r="Q23" s="73" t="str">
        <f>Table9[[#This Row],[chest_physio]]</f>
        <v>No</v>
      </c>
      <c r="R23" s="73" t="str">
        <f>Table9[[#This Row],[surgery_school]]</f>
        <v>No - Wasn’t offered it</v>
      </c>
      <c r="S23" s="75">
        <f>Table9[[#This Row],[date_school]]</f>
        <v>0</v>
      </c>
      <c r="T23" s="73" t="str">
        <f>Table9[[#This Row],[app_down]]</f>
        <v>No - Have electronic device</v>
      </c>
      <c r="U23" s="73" t="str">
        <f>Table9[[#This Row],[website]]</f>
        <v>No</v>
      </c>
      <c r="V23" s="73" t="str">
        <f>Table9[[#This Row],[base_activity]]</f>
        <v>No extra activity - Independent in ADLs</v>
      </c>
      <c r="W23" s="73" t="str">
        <f>Table9[[#This Row],[current_activity]]</f>
        <v>No extra activity - Independent in ADLs</v>
      </c>
      <c r="X23" s="73" t="str">
        <f>Table9[[#This Row],[activity_type]]</f>
        <v>None</v>
      </c>
      <c r="Y23" s="73" t="str">
        <f>Table9[[#This Row],[anaemia_treat]]</f>
        <v>Not applicable</v>
      </c>
      <c r="Z23" s="78" t="str">
        <f>Table9[[#This Row],[anaesthesia]]</f>
        <v>General with TIVA</v>
      </c>
      <c r="AA23" s="78">
        <f>Table9[[#This Row],[smoke_hist]]</f>
        <v>0</v>
      </c>
      <c r="AB23" s="78">
        <f>Table9[[#This Row],[smoke_cess]]</f>
        <v>0</v>
      </c>
      <c r="AC23" s="78" t="str">
        <f>Table9[[#This Row],[tidal_vol]]</f>
        <v>Not recorded</v>
      </c>
      <c r="AD23" s="77" t="str">
        <f>Table11[[#This Row],[inc_spiro]]</f>
        <v>&gt;Two</v>
      </c>
      <c r="AE23" s="73" t="str">
        <f>Table11[[#This Row],[t_brushes]]</f>
        <v>Twice</v>
      </c>
      <c r="AF23" s="78" t="str">
        <f>Table11[[#This Row],[m_washes]]</f>
        <v>Twice</v>
      </c>
      <c r="AG23" s="78" t="str">
        <f>Table11[[#This Row],[iv_disc]]</f>
        <v>No</v>
      </c>
      <c r="AH23" s="78">
        <f>Table11[[#This Row],[tolerate_15l]]</f>
        <v>0</v>
      </c>
      <c r="AI23" s="78" t="str">
        <f>Table11[[#This Row],[drinking]]</f>
        <v>Yes</v>
      </c>
      <c r="AJ23" s="78" t="str">
        <f>Table11[[#This Row],[oral_diet]]</f>
        <v>No</v>
      </c>
      <c r="AK23" s="78" t="str">
        <f>Table11[[#This Row],[mobilised]]</f>
        <v>Yes</v>
      </c>
      <c r="AL23" s="79" t="str">
        <f>Table11[[#This Row],[resp_supp]]</f>
        <v>None</v>
      </c>
      <c r="AM23" s="78">
        <f>Table11[[#This Row],[elev_head]]</f>
        <v>0</v>
      </c>
      <c r="AN23" s="78" t="str">
        <f>Table13[[#This Row],[in_hospital]]</f>
        <v>No</v>
      </c>
      <c r="AO23" s="78">
        <f>Table13[[#This Row],[location_7]]</f>
        <v>0</v>
      </c>
      <c r="AP23" s="78">
        <f>Table13[[#This Row],[infec_24]]</f>
        <v>0</v>
      </c>
      <c r="AQ23" s="73">
        <f>Table13[[#This Row],[infec_7]]</f>
        <v>0</v>
      </c>
      <c r="AR23" s="73">
        <f>Table13[[#This Row],[gastro]]</f>
        <v>0</v>
      </c>
      <c r="AS23" s="73">
        <f>Table13[[#This Row],[pulm_supp_24]]</f>
        <v>0</v>
      </c>
      <c r="AT23" s="73">
        <f>Table13[[#This Row],[pulm_supp_7]]</f>
        <v>0</v>
      </c>
      <c r="AU23" s="73">
        <f>Table13[[#This Row],[pulm_pharm]]</f>
        <v>0</v>
      </c>
      <c r="AV23" s="73">
        <f>Table13[[#This Row],[cardio_24]]</f>
        <v>0</v>
      </c>
      <c r="AW23" s="73">
        <f>Table13[[#This Row],[troponin_7]]</f>
        <v>0</v>
      </c>
      <c r="AX23" s="73">
        <f>Table13[[#This Row],[creatinine_base]]</f>
        <v>0</v>
      </c>
      <c r="AY23" s="73">
        <f>Table13[[#This Row],[creatinine_high]]</f>
        <v>0</v>
      </c>
      <c r="AZ23" s="73">
        <f>Table13[[#This Row],[rrt]]</f>
        <v>0</v>
      </c>
      <c r="BA23" s="73">
        <f>Table13[[#This Row],[renal_24]]</f>
        <v>0</v>
      </c>
      <c r="BB23" s="73">
        <f>Table13[[#This Row],[neuro]]</f>
        <v>0</v>
      </c>
      <c r="BC23" s="73">
        <f>Table13[[#This Row],[wound]]</f>
        <v>0</v>
      </c>
      <c r="BD23" s="73">
        <f>Table13[[#This Row],[haemato]]</f>
        <v>0</v>
      </c>
      <c r="BE23" s="73">
        <f>Table13[[#This Row],[pain]]</f>
        <v>0</v>
      </c>
      <c r="BF23" s="73">
        <f>Table13[[#This Row],[mobility]]</f>
        <v>0</v>
      </c>
      <c r="BG23" s="79">
        <f>Table13[[#This Row],[why_inpatient_7]]</f>
        <v>0</v>
      </c>
      <c r="BH23" s="9">
        <f>Table13[[#This Row],[date_15]]</f>
        <v>0</v>
      </c>
      <c r="BI23">
        <f>Table13[[#This Row],[inpatient_15]]</f>
        <v>0</v>
      </c>
      <c r="BJ23">
        <f>Table13[[#This Row],[comment_15]]</f>
        <v>0</v>
      </c>
      <c r="BK23" t="str">
        <f>Table13[[#This Row],[discharge_dest]]</f>
        <v>Own Home</v>
      </c>
      <c r="BL23" t="str">
        <f>Table13[[#This Row],[complication]]</f>
        <v>II</v>
      </c>
    </row>
    <row r="24" spans="1:64" ht="18" customHeight="1">
      <c r="A24" s="73">
        <f>Table5[[#This Row],[comment]]</f>
        <v>0</v>
      </c>
      <c r="B24" s="73" t="str">
        <f>Table9[[#This Row],[surgeon]]</f>
        <v>Satish Maddineni </v>
      </c>
      <c r="C24" s="73" t="str">
        <f>Table9[[#This Row],[surgery]]</f>
        <v>Open right radical nephrectomy with lymphadenectomy</v>
      </c>
      <c r="D24" s="74" t="str">
        <f>Table5[[#This Row],[pqip_consent]]</f>
        <v>Yes</v>
      </c>
      <c r="E24" s="73" t="str">
        <f>Table6[[#This Row],[area_surgery]]</f>
        <v>Nephrology</v>
      </c>
      <c r="F24" s="75">
        <f>Table6[[#This Row],[admission_date]]</f>
        <v>43314</v>
      </c>
      <c r="G24" s="75">
        <f>Table6[[#This Row],[admission_date]]</f>
        <v>43314</v>
      </c>
      <c r="H24" s="105"/>
      <c r="I24" s="73" t="str">
        <f>Table6[[#This Row],[discharge_loc]]</f>
        <v>H7</v>
      </c>
      <c r="J24" s="75">
        <f>Table6[[#This Row],[discharge_date]]</f>
        <v>43318</v>
      </c>
      <c r="K24" s="76">
        <f>Table6[[#This Row],[hospital_stay]]</f>
        <v>4</v>
      </c>
      <c r="L24" s="76" t="str">
        <f>Table6[[#This Row],[readmit_30]]</f>
        <v>No</v>
      </c>
      <c r="M24" s="77" t="str">
        <f>Table9[[#This Row],[troponin]]</f>
        <v>Not Measured</v>
      </c>
      <c r="N24" s="78">
        <f>Table9[[#This Row],[hb]]</f>
        <v>9.9</v>
      </c>
      <c r="O24" s="78">
        <f>Table9[[#This Row],[creatinine]]</f>
        <v>104</v>
      </c>
      <c r="P24" s="78">
        <f>Table9[[#This Row],[albumin]]</f>
        <v>45</v>
      </c>
      <c r="Q24" s="73" t="str">
        <f>Table9[[#This Row],[chest_physio]]</f>
        <v>No</v>
      </c>
      <c r="R24" s="73" t="str">
        <f>Table9[[#This Row],[surgery_school]]</f>
        <v>No - Wasn’t offered it</v>
      </c>
      <c r="S24" s="75">
        <f>Table9[[#This Row],[date_school]]</f>
        <v>0</v>
      </c>
      <c r="T24" s="73" t="str">
        <f>Table9[[#This Row],[app_down]]</f>
        <v>No - No electronic device</v>
      </c>
      <c r="U24" s="73" t="str">
        <f>Table9[[#This Row],[website]]</f>
        <v>No</v>
      </c>
      <c r="V24" s="73" t="str">
        <f>Table9[[#This Row],[base_activity]]</f>
        <v>No extra activity - Independent in ADLs</v>
      </c>
      <c r="W24" s="73" t="str">
        <f>Table9[[#This Row],[current_activity]]</f>
        <v>No extra activity - Independent in ADLs</v>
      </c>
      <c r="X24" s="73" t="str">
        <f>Table9[[#This Row],[activity_type]]</f>
        <v>None</v>
      </c>
      <c r="Y24" s="73" t="str">
        <f>Table9[[#This Row],[anaemia_treat]]</f>
        <v>Intravenous Iron</v>
      </c>
      <c r="Z24" s="78" t="str">
        <f>Table9[[#This Row],[anaesthesia]]</f>
        <v>General with Inhalational</v>
      </c>
      <c r="AA24" s="78">
        <f>Table9[[#This Row],[smoke_hist]]</f>
        <v>0</v>
      </c>
      <c r="AB24" s="78">
        <f>Table9[[#This Row],[smoke_cess]]</f>
        <v>0</v>
      </c>
      <c r="AC24" s="78" t="str">
        <f>Table9[[#This Row],[tidal_vol]]</f>
        <v>Not recorded</v>
      </c>
      <c r="AD24" s="77" t="str">
        <f>Table11[[#This Row],[inc_spiro]]</f>
        <v>&gt;Two</v>
      </c>
      <c r="AE24" s="73" t="str">
        <f>Table11[[#This Row],[t_brushes]]</f>
        <v>Twice</v>
      </c>
      <c r="AF24" s="78" t="str">
        <f>Table11[[#This Row],[m_washes]]</f>
        <v>Twice</v>
      </c>
      <c r="AG24" s="78" t="str">
        <f>Table11[[#This Row],[iv_disc]]</f>
        <v>No</v>
      </c>
      <c r="AH24" s="78">
        <f>Table11[[#This Row],[tolerate_15l]]</f>
        <v>0</v>
      </c>
      <c r="AI24" s="78" t="str">
        <f>Table11[[#This Row],[drinking]]</f>
        <v>Yes</v>
      </c>
      <c r="AJ24" s="78" t="str">
        <f>Table11[[#This Row],[oral_diet]]</f>
        <v>Yes</v>
      </c>
      <c r="AK24" s="78" t="str">
        <f>Table11[[#This Row],[mobilised]]</f>
        <v>Yes</v>
      </c>
      <c r="AL24" s="79" t="str">
        <f>Table11[[#This Row],[resp_supp]]</f>
        <v>None</v>
      </c>
      <c r="AM24" s="78">
        <f>Table11[[#This Row],[elev_head]]</f>
        <v>0</v>
      </c>
      <c r="AN24" s="78" t="str">
        <f>Table13[[#This Row],[in_hospital]]</f>
        <v>No</v>
      </c>
      <c r="AO24" s="78">
        <f>Table13[[#This Row],[location_7]]</f>
        <v>0</v>
      </c>
      <c r="AP24" s="78">
        <f>Table13[[#This Row],[infec_24]]</f>
        <v>0</v>
      </c>
      <c r="AQ24" s="73">
        <f>Table13[[#This Row],[infec_7]]</f>
        <v>0</v>
      </c>
      <c r="AR24" s="73">
        <f>Table13[[#This Row],[gastro]]</f>
        <v>0</v>
      </c>
      <c r="AS24" s="73">
        <f>Table13[[#This Row],[pulm_supp_24]]</f>
        <v>0</v>
      </c>
      <c r="AT24" s="73">
        <f>Table13[[#This Row],[pulm_supp_7]]</f>
        <v>0</v>
      </c>
      <c r="AU24" s="73">
        <f>Table13[[#This Row],[pulm_pharm]]</f>
        <v>0</v>
      </c>
      <c r="AV24" s="73">
        <f>Table13[[#This Row],[cardio_24]]</f>
        <v>0</v>
      </c>
      <c r="AW24" s="73">
        <f>Table13[[#This Row],[troponin_7]]</f>
        <v>0</v>
      </c>
      <c r="AX24" s="73">
        <f>Table13[[#This Row],[creatinine_base]]</f>
        <v>0</v>
      </c>
      <c r="AY24" s="73">
        <f>Table13[[#This Row],[creatinine_high]]</f>
        <v>0</v>
      </c>
      <c r="AZ24" s="73">
        <f>Table13[[#This Row],[rrt]]</f>
        <v>0</v>
      </c>
      <c r="BA24" s="73">
        <f>Table13[[#This Row],[renal_24]]</f>
        <v>0</v>
      </c>
      <c r="BB24" s="73">
        <f>Table13[[#This Row],[neuro]]</f>
        <v>0</v>
      </c>
      <c r="BC24" s="73">
        <f>Table13[[#This Row],[wound]]</f>
        <v>0</v>
      </c>
      <c r="BD24" s="73">
        <f>Table13[[#This Row],[haemato]]</f>
        <v>0</v>
      </c>
      <c r="BE24" s="73">
        <f>Table13[[#This Row],[pain]]</f>
        <v>0</v>
      </c>
      <c r="BF24" s="73">
        <f>Table13[[#This Row],[mobility]]</f>
        <v>0</v>
      </c>
      <c r="BG24" s="79">
        <f>Table13[[#This Row],[why_inpatient_7]]</f>
        <v>0</v>
      </c>
      <c r="BH24" s="9">
        <f>Table13[[#This Row],[date_15]]</f>
        <v>0</v>
      </c>
      <c r="BI24">
        <f>Table13[[#This Row],[inpatient_15]]</f>
        <v>0</v>
      </c>
      <c r="BJ24">
        <f>Table13[[#This Row],[comment_15]]</f>
        <v>0</v>
      </c>
      <c r="BK24" t="str">
        <f>Table13[[#This Row],[discharge_dest]]</f>
        <v>Own Home</v>
      </c>
      <c r="BL24" t="str">
        <f>Table13[[#This Row],[complication]]</f>
        <v>I</v>
      </c>
    </row>
    <row r="25" spans="1:64" ht="18" customHeight="1">
      <c r="A25" s="73">
        <f>Table5[[#This Row],[comment]]</f>
        <v>0</v>
      </c>
      <c r="B25" s="73" t="str">
        <f>Table9[[#This Row],[surgeon]]</f>
        <v>Robert Brown</v>
      </c>
      <c r="C25" s="73" t="str">
        <f>Table9[[#This Row],[surgery]]</f>
        <v xml:space="preserve">Oesophagectomy (total)/Oesophagogastrectomy </v>
      </c>
      <c r="D25" s="74" t="str">
        <f>Table5[[#This Row],[pqip_consent]]</f>
        <v>Yes</v>
      </c>
      <c r="E25" s="73" t="str">
        <f>Table6[[#This Row],[area_surgery]]</f>
        <v>Upper GI</v>
      </c>
      <c r="F25" s="75">
        <f>Table6[[#This Row],[admission_date]]</f>
        <v>43314</v>
      </c>
      <c r="G25" s="75">
        <f>Table6[[#This Row],[admission_date]]</f>
        <v>43314</v>
      </c>
      <c r="H25" s="105"/>
      <c r="I25" s="73" t="str">
        <f>Table6[[#This Row],[discharge_loc]]</f>
        <v>CCU (Level 3)</v>
      </c>
      <c r="J25" s="75">
        <f>Table6[[#This Row],[discharge_date]]</f>
        <v>43329</v>
      </c>
      <c r="K25" s="76">
        <f>Table6[[#This Row],[hospital_stay]]</f>
        <v>15</v>
      </c>
      <c r="L25" s="76" t="str">
        <f>Table6[[#This Row],[readmit_30]]</f>
        <v>No</v>
      </c>
      <c r="M25" s="77" t="str">
        <f>Table9[[#This Row],[troponin]]</f>
        <v>Not Measured</v>
      </c>
      <c r="N25" s="78">
        <f>Table9[[#This Row],[hb]]</f>
        <v>12.8</v>
      </c>
      <c r="O25" s="78">
        <f>Table9[[#This Row],[creatinine]]</f>
        <v>66</v>
      </c>
      <c r="P25" s="78">
        <f>Table9[[#This Row],[albumin]]</f>
        <v>40</v>
      </c>
      <c r="Q25" s="73" t="str">
        <f>Table9[[#This Row],[chest_physio]]</f>
        <v>Nurse</v>
      </c>
      <c r="R25" s="73" t="str">
        <f>Table9[[#This Row],[surgery_school]]</f>
        <v>No - Wasn’t offered it</v>
      </c>
      <c r="S25" s="75">
        <f>Table9[[#This Row],[date_school]]</f>
        <v>0</v>
      </c>
      <c r="T25" s="73" t="str">
        <f>Table9[[#This Row],[app_down]]</f>
        <v>No - Have electronic device</v>
      </c>
      <c r="U25" s="73" t="str">
        <f>Table9[[#This Row],[website]]</f>
        <v>No</v>
      </c>
      <c r="V25" s="73" t="str">
        <f>Table9[[#This Row],[base_activity]]</f>
        <v>No extra activity - Independent in ADLs</v>
      </c>
      <c r="W25" s="73" t="str">
        <f>Table9[[#This Row],[current_activity]]</f>
        <v>No extra activity - Independent in ADLs</v>
      </c>
      <c r="X25" s="73" t="str">
        <f>Table9[[#This Row],[activity_type]]</f>
        <v>None</v>
      </c>
      <c r="Y25" s="73" t="str">
        <f>Table9[[#This Row],[anaemia_treat]]</f>
        <v>Not applicable</v>
      </c>
      <c r="Z25" s="78" t="str">
        <f>Table9[[#This Row],[anaesthesia]]</f>
        <v>General with TIVA</v>
      </c>
      <c r="AA25" s="78">
        <f>Table9[[#This Row],[smoke_hist]]</f>
        <v>0</v>
      </c>
      <c r="AB25" s="78">
        <f>Table9[[#This Row],[smoke_cess]]</f>
        <v>0</v>
      </c>
      <c r="AC25" s="78" t="str">
        <f>Table9[[#This Row],[tidal_vol]]</f>
        <v>Not recorded</v>
      </c>
      <c r="AD25" s="77" t="str">
        <f>Table11[[#This Row],[inc_spiro]]</f>
        <v>&gt;Two</v>
      </c>
      <c r="AE25" s="73" t="str">
        <f>Table11[[#This Row],[t_brushes]]</f>
        <v>Twice</v>
      </c>
      <c r="AF25" s="78" t="str">
        <f>Table11[[#This Row],[m_washes]]</f>
        <v>Twice</v>
      </c>
      <c r="AG25" s="78" t="str">
        <f>Table11[[#This Row],[iv_disc]]</f>
        <v>No</v>
      </c>
      <c r="AH25" s="78" t="str">
        <f>Table11[[#This Row],[tolerate_15l]]</f>
        <v>Not applicable</v>
      </c>
      <c r="AI25" s="78" t="str">
        <f>Table11[[#This Row],[drinking]]</f>
        <v>No</v>
      </c>
      <c r="AJ25" s="78" t="str">
        <f>Table11[[#This Row],[oral_diet]]</f>
        <v>No</v>
      </c>
      <c r="AK25" s="78" t="str">
        <f>Table11[[#This Row],[mobilised]]</f>
        <v>No</v>
      </c>
      <c r="AL25" s="79" t="str">
        <f>Table11[[#This Row],[resp_supp]]</f>
        <v>High flow Facial Mask Oxygen</v>
      </c>
      <c r="AM25" s="78">
        <f>Table11[[#This Row],[elev_head]]</f>
        <v>0</v>
      </c>
      <c r="AN25" s="78" t="str">
        <f>Table13[[#This Row],[in_hospital]]</f>
        <v>Yes</v>
      </c>
      <c r="AO25" s="78" t="str">
        <f>Table13[[#This Row],[location_7]]</f>
        <v>Level 2</v>
      </c>
      <c r="AP25" s="78" t="str">
        <f>Table13[[#This Row],[infec_24]]</f>
        <v>Patient currently on IV antibiotics</v>
      </c>
      <c r="AQ25" s="73" t="str">
        <f>Table13[[#This Row],[infec_7]]</f>
        <v>Chest</v>
      </c>
      <c r="AR25" s="73" t="str">
        <f>Table13[[#This Row],[gastro]]</f>
        <v>None of the above</v>
      </c>
      <c r="AS25" s="73" t="str">
        <f>Table13[[#This Row],[pulm_supp_24]]</f>
        <v>None of the above</v>
      </c>
      <c r="AT25" s="73" t="str">
        <f>Table13[[#This Row],[pulm_supp_7]]</f>
        <v>Moderate</v>
      </c>
      <c r="AU25" s="73" t="str">
        <f>Table13[[#This Row],[pulm_pharm]]</f>
        <v>None</v>
      </c>
      <c r="AV25" s="73" t="str">
        <f>Table13[[#This Row],[cardio_24]]</f>
        <v>None of the above</v>
      </c>
      <c r="AW25" s="73">
        <f>Table13[[#This Row],[troponin_7]]</f>
        <v>0</v>
      </c>
      <c r="AX25" s="73">
        <f>Table13[[#This Row],[creatinine_base]]</f>
        <v>104</v>
      </c>
      <c r="AY25" s="73">
        <f>Table13[[#This Row],[creatinine_high]]</f>
        <v>71</v>
      </c>
      <c r="AZ25" s="73" t="str">
        <f>Table13[[#This Row],[rrt]]</f>
        <v xml:space="preserve">No </v>
      </c>
      <c r="BA25" s="73" t="str">
        <f>Table13[[#This Row],[renal_24]]</f>
        <v>Urethral catheter in-situ (not present pre-operatively), Oliguria (&lt;500ml/24hr)</v>
      </c>
      <c r="BB25" s="73" t="str">
        <f>Table13[[#This Row],[neuro]]</f>
        <v>None of the above</v>
      </c>
      <c r="BC25" s="73" t="str">
        <f>Table13[[#This Row],[wound]]</f>
        <v>None of the above</v>
      </c>
      <c r="BD25" s="73" t="str">
        <f>Table13[[#This Row],[haemato]]</f>
        <v>None of the above</v>
      </c>
      <c r="BE25" s="73" t="str">
        <f>Table13[[#This Row],[pain]]</f>
        <v>Parenteral opioids</v>
      </c>
      <c r="BF25" s="73" t="str">
        <f>Table13[[#This Row],[mobility]]</f>
        <v>No</v>
      </c>
      <c r="BG25" s="79" t="str">
        <f>Table13[[#This Row],[why_inpatient_7]]</f>
        <v>Mobility Issue, Medical/nursing care</v>
      </c>
      <c r="BH25" s="9">
        <f>Table13[[#This Row],[date_15]]</f>
        <v>43329</v>
      </c>
      <c r="BI25" t="str">
        <f>Table13[[#This Row],[inpatient_15]]</f>
        <v>Yes</v>
      </c>
      <c r="BJ25" t="str">
        <f>Table13[[#This Row],[comment_15]]</f>
        <v>CT revealed pleural effusions (no leak), mobility issues, slight SOB, desaturating while mobilising on room air</v>
      </c>
      <c r="BK25" t="str">
        <f>Table13[[#This Row],[discharge_dest]]</f>
        <v>Own Home</v>
      </c>
      <c r="BL25" t="str">
        <f>Table13[[#This Row],[complication]]</f>
        <v>I, II</v>
      </c>
    </row>
    <row r="26" spans="1:64" ht="18" customHeight="1">
      <c r="A26" s="73">
        <f>Table5[[#This Row],[comment]]</f>
        <v>0</v>
      </c>
      <c r="B26" s="73" t="str">
        <f>Table9[[#This Row],[surgeon]]</f>
        <v>Jonathan Epstein</v>
      </c>
      <c r="C26" s="73" t="str">
        <f>Table9[[#This Row],[surgery]]</f>
        <v>Anterior resection</v>
      </c>
      <c r="D26" s="74" t="str">
        <f>Table5[[#This Row],[pqip_consent]]</f>
        <v>Yes</v>
      </c>
      <c r="E26" s="73" t="str">
        <f>Table6[[#This Row],[area_surgery]]</f>
        <v>Lower GI</v>
      </c>
      <c r="F26" s="75">
        <f>Table6[[#This Row],[admission_date]]</f>
        <v>43326</v>
      </c>
      <c r="G26" s="75">
        <f>Table6[[#This Row],[admission_date]]</f>
        <v>43326</v>
      </c>
      <c r="H26" s="105">
        <f>Admission!F26</f>
        <v>0.39583333333333331</v>
      </c>
      <c r="I26" s="73" t="str">
        <f>Table6[[#This Row],[discharge_loc]]</f>
        <v>CCU (Level 3)</v>
      </c>
      <c r="J26" s="75">
        <f>Table6[[#This Row],[discharge_date]]</f>
        <v>43334</v>
      </c>
      <c r="K26" s="76">
        <f>Table6[[#This Row],[hospital_stay]]</f>
        <v>8</v>
      </c>
      <c r="L26" s="76" t="str">
        <f>Table6[[#This Row],[readmit_30]]</f>
        <v>No</v>
      </c>
      <c r="M26" s="77" t="str">
        <f>Table9[[#This Row],[troponin]]</f>
        <v>Not Measured</v>
      </c>
      <c r="N26" s="78">
        <f>Table9[[#This Row],[hb]]</f>
        <v>15.3</v>
      </c>
      <c r="O26" s="78">
        <f>Table9[[#This Row],[creatinine]]</f>
        <v>76</v>
      </c>
      <c r="P26" s="78">
        <f>Table9[[#This Row],[albumin]]</f>
        <v>43</v>
      </c>
      <c r="Q26" s="73" t="str">
        <f>Table9[[#This Row],[chest_physio]]</f>
        <v>Nurse</v>
      </c>
      <c r="R26" s="73" t="str">
        <f>Table9[[#This Row],[surgery_school]]</f>
        <v>No - Wasn’t offered it</v>
      </c>
      <c r="S26" s="75">
        <f>Table9[[#This Row],[date_school]]</f>
        <v>0</v>
      </c>
      <c r="T26" s="73" t="str">
        <f>Table9[[#This Row],[app_down]]</f>
        <v>No - Have electronic device</v>
      </c>
      <c r="U26" s="73" t="str">
        <f>Table9[[#This Row],[website]]</f>
        <v>No</v>
      </c>
      <c r="V26" s="73" t="str">
        <f>Table9[[#This Row],[base_activity]]</f>
        <v>No extra activity - Independent in ADLs</v>
      </c>
      <c r="W26" s="73" t="str">
        <f>Table9[[#This Row],[current_activity]]</f>
        <v>No extra activity - Independent in ADLs</v>
      </c>
      <c r="X26" s="73" t="str">
        <f>Table9[[#This Row],[activity_type]]</f>
        <v>None</v>
      </c>
      <c r="Y26" s="73" t="str">
        <f>Table9[[#This Row],[anaemia_treat]]</f>
        <v>Not applicable</v>
      </c>
      <c r="Z26" s="78" t="str">
        <f>Table9[[#This Row],[anaesthesia]]</f>
        <v>General with TIVA</v>
      </c>
      <c r="AA26" s="78">
        <f>Table9[[#This Row],[smoke_hist]]</f>
        <v>0</v>
      </c>
      <c r="AB26" s="78">
        <f>Table9[[#This Row],[smoke_cess]]</f>
        <v>0</v>
      </c>
      <c r="AC26" s="78" t="str">
        <f>Table9[[#This Row],[tidal_vol]]</f>
        <v>Not recorded</v>
      </c>
      <c r="AD26" s="77" t="str">
        <f>Table11[[#This Row],[inc_spiro]]</f>
        <v>&gt;Two</v>
      </c>
      <c r="AE26" s="73" t="str">
        <f>Table11[[#This Row],[t_brushes]]</f>
        <v>Twice</v>
      </c>
      <c r="AF26" s="78" t="str">
        <f>Table11[[#This Row],[m_washes]]</f>
        <v>Twice</v>
      </c>
      <c r="AG26" s="78" t="str">
        <f>Table11[[#This Row],[iv_disc]]</f>
        <v>No</v>
      </c>
      <c r="AH26" s="78" t="str">
        <f>Table11[[#This Row],[tolerate_15l]]</f>
        <v>No</v>
      </c>
      <c r="AI26" s="78" t="str">
        <f>Table11[[#This Row],[drinking]]</f>
        <v>Yes</v>
      </c>
      <c r="AJ26" s="78" t="str">
        <f>Table11[[#This Row],[oral_diet]]</f>
        <v>No</v>
      </c>
      <c r="AK26" s="78" t="str">
        <f>Table11[[#This Row],[mobilised]]</f>
        <v>No</v>
      </c>
      <c r="AL26" s="79" t="str">
        <f>Table11[[#This Row],[resp_supp]]</f>
        <v>None</v>
      </c>
      <c r="AM26" s="78">
        <f>Table11[[#This Row],[elev_head]]</f>
        <v>0</v>
      </c>
      <c r="AN26" s="78" t="str">
        <f>Table13[[#This Row],[in_hospital]]</f>
        <v>Yes</v>
      </c>
      <c r="AO26" s="78" t="str">
        <f>Table13[[#This Row],[location_7]]</f>
        <v>Ward</v>
      </c>
      <c r="AP26" s="78" t="str">
        <f>Table13[[#This Row],[infec_24]]</f>
        <v>None of the above</v>
      </c>
      <c r="AQ26" s="73" t="str">
        <f>Table13[[#This Row],[infec_7]]</f>
        <v>None</v>
      </c>
      <c r="AR26" s="73" t="str">
        <f>Table13[[#This Row],[gastro]]</f>
        <v>Experienced nausea, vomiting or distension</v>
      </c>
      <c r="AS26" s="73" t="str">
        <f>Table13[[#This Row],[pulm_supp_24]]</f>
        <v>None of the above</v>
      </c>
      <c r="AT26" s="73" t="str">
        <f>Table13[[#This Row],[pulm_supp_7]]</f>
        <v>None</v>
      </c>
      <c r="AU26" s="73" t="str">
        <f>Table13[[#This Row],[pulm_pharm]]</f>
        <v>None</v>
      </c>
      <c r="AV26" s="73" t="str">
        <f>Table13[[#This Row],[cardio_24]]</f>
        <v>None of the above</v>
      </c>
      <c r="AW26" s="73">
        <f>Table13[[#This Row],[troponin_7]]</f>
        <v>0</v>
      </c>
      <c r="AX26" s="73">
        <f>Table13[[#This Row],[creatinine_base]]</f>
        <v>66</v>
      </c>
      <c r="AY26" s="73">
        <f>Table13[[#This Row],[creatinine_high]]</f>
        <v>76</v>
      </c>
      <c r="AZ26" s="73" t="str">
        <f>Table13[[#This Row],[rrt]]</f>
        <v xml:space="preserve">No </v>
      </c>
      <c r="BA26" s="73" t="str">
        <f>Table13[[#This Row],[renal_24]]</f>
        <v>None of the above</v>
      </c>
      <c r="BB26" s="73" t="str">
        <f>Table13[[#This Row],[neuro]]</f>
        <v>None of the above</v>
      </c>
      <c r="BC26" s="73" t="str">
        <f>Table13[[#This Row],[wound]]</f>
        <v>None of the above</v>
      </c>
      <c r="BD26" s="73" t="str">
        <f>Table13[[#This Row],[haemato]]</f>
        <v>None of the above</v>
      </c>
      <c r="BE26" s="73" t="str">
        <f>Table13[[#This Row],[pain]]</f>
        <v>None of the above</v>
      </c>
      <c r="BF26" s="73" t="str">
        <f>Table13[[#This Row],[mobility]]</f>
        <v>Yes</v>
      </c>
      <c r="BG26" s="79" t="str">
        <f>Table13[[#This Row],[why_inpatient_7]]</f>
        <v>Medical/nursing care</v>
      </c>
      <c r="BH26" s="9">
        <f>Table13[[#This Row],[date_15]]</f>
        <v>43341</v>
      </c>
      <c r="BI26" t="str">
        <f>Table13[[#This Row],[inpatient_15]]</f>
        <v>No</v>
      </c>
      <c r="BJ26">
        <f>Table13[[#This Row],[comment_15]]</f>
        <v>0</v>
      </c>
      <c r="BK26" t="str">
        <f>Table13[[#This Row],[discharge_dest]]</f>
        <v>Own Home</v>
      </c>
      <c r="BL26" t="str">
        <f>Table13[[#This Row],[complication]]</f>
        <v>II</v>
      </c>
    </row>
    <row r="27" spans="1:64" ht="18" customHeight="1">
      <c r="A27" s="73">
        <f>Table5[[#This Row],[comment]]</f>
        <v>0</v>
      </c>
      <c r="B27" s="73" t="str">
        <f>Table9[[#This Row],[surgeon]]</f>
        <v>Silviu Sabou</v>
      </c>
      <c r="C27" s="73" t="str">
        <f>Table9[[#This Row],[surgery]]</f>
        <v>Posterior Lumbar Interbody Fusion</v>
      </c>
      <c r="D27" s="74" t="str">
        <f>Table5[[#This Row],[pqip_consent]]</f>
        <v>No</v>
      </c>
      <c r="E27" s="73" t="str">
        <f>Table6[[#This Row],[area_surgery]]</f>
        <v>Other</v>
      </c>
      <c r="F27" s="75">
        <f>Table6[[#This Row],[admission_date]]</f>
        <v>43312</v>
      </c>
      <c r="G27" s="75">
        <f>Table6[[#This Row],[admission_date]]</f>
        <v>43312</v>
      </c>
      <c r="H27" s="105"/>
      <c r="I27" s="73" t="str">
        <f>Table6[[#This Row],[discharge_loc]]</f>
        <v>NHDU (Level 2)</v>
      </c>
      <c r="J27" s="75">
        <f>Table6[[#This Row],[discharge_date]]</f>
        <v>43318</v>
      </c>
      <c r="K27" s="76">
        <f>Table6[[#This Row],[hospital_stay]]</f>
        <v>6</v>
      </c>
      <c r="L27" s="76" t="str">
        <f>Table6[[#This Row],[readmit_30]]</f>
        <v>No</v>
      </c>
      <c r="M27" s="77" t="str">
        <f>Table9[[#This Row],[troponin]]</f>
        <v>Not Measured</v>
      </c>
      <c r="N27" s="78">
        <f>Table9[[#This Row],[hb]]</f>
        <v>14.7</v>
      </c>
      <c r="O27" s="78">
        <f>Table9[[#This Row],[creatinine]]</f>
        <v>127</v>
      </c>
      <c r="P27" s="78">
        <f>Table9[[#This Row],[albumin]]</f>
        <v>44</v>
      </c>
      <c r="Q27" s="73" t="str">
        <f>Table9[[#This Row],[chest_physio]]</f>
        <v>Nurse</v>
      </c>
      <c r="R27" s="73" t="str">
        <f>Table9[[#This Row],[surgery_school]]</f>
        <v>No - Wasn’t offered it</v>
      </c>
      <c r="S27" s="75">
        <f>Table9[[#This Row],[date_school]]</f>
        <v>0</v>
      </c>
      <c r="T27" s="73" t="str">
        <f>Table9[[#This Row],[app_down]]</f>
        <v>No - Have electronic device</v>
      </c>
      <c r="U27" s="73" t="str">
        <f>Table9[[#This Row],[website]]</f>
        <v>No</v>
      </c>
      <c r="V27" s="73" t="str">
        <f>Table9[[#This Row],[base_activity]]</f>
        <v>No extra activity - Independent in ADLs</v>
      </c>
      <c r="W27" s="73" t="str">
        <f>Table9[[#This Row],[current_activity]]</f>
        <v>No extra activity - Independent in ADLs</v>
      </c>
      <c r="X27" s="73" t="str">
        <f>Table9[[#This Row],[activity_type]]</f>
        <v>None</v>
      </c>
      <c r="Y27" s="73" t="str">
        <f>Table9[[#This Row],[anaemia_treat]]</f>
        <v>Not applicable</v>
      </c>
      <c r="Z27" s="78" t="str">
        <f>Table9[[#This Row],[anaesthesia]]</f>
        <v>General with Inhalational</v>
      </c>
      <c r="AA27" s="78">
        <f>Table9[[#This Row],[smoke_hist]]</f>
        <v>0</v>
      </c>
      <c r="AB27" s="78">
        <f>Table9[[#This Row],[smoke_cess]]</f>
        <v>0</v>
      </c>
      <c r="AC27" s="78" t="str">
        <f>Table9[[#This Row],[tidal_vol]]</f>
        <v>Not recorded</v>
      </c>
      <c r="AD27" s="77" t="str">
        <f>Table11[[#This Row],[inc_spiro]]</f>
        <v>&gt;Two</v>
      </c>
      <c r="AE27" s="73" t="str">
        <f>Table11[[#This Row],[t_brushes]]</f>
        <v>Twice</v>
      </c>
      <c r="AF27" s="78" t="str">
        <f>Table11[[#This Row],[m_washes]]</f>
        <v>Twice</v>
      </c>
      <c r="AG27" s="78" t="str">
        <f>Table11[[#This Row],[iv_disc]]</f>
        <v>Yes</v>
      </c>
      <c r="AH27" s="78">
        <f>Table11[[#This Row],[tolerate_15l]]</f>
        <v>0</v>
      </c>
      <c r="AI27" s="78" t="str">
        <f>Table11[[#This Row],[drinking]]</f>
        <v>Yes</v>
      </c>
      <c r="AJ27" s="78" t="str">
        <f>Table11[[#This Row],[oral_diet]]</f>
        <v>Yes</v>
      </c>
      <c r="AK27" s="78" t="str">
        <f>Table11[[#This Row],[mobilised]]</f>
        <v>Yes</v>
      </c>
      <c r="AL27" s="79" t="str">
        <f>Table11[[#This Row],[resp_supp]]</f>
        <v>None</v>
      </c>
      <c r="AM27" s="78">
        <f>Table11[[#This Row],[elev_head]]</f>
        <v>0</v>
      </c>
      <c r="AN27" s="78" t="str">
        <f>Table13[[#This Row],[in_hospital]]</f>
        <v>No</v>
      </c>
      <c r="AO27" s="78">
        <f>Table13[[#This Row],[location_7]]</f>
        <v>0</v>
      </c>
      <c r="AP27" s="78">
        <f>Table13[[#This Row],[infec_24]]</f>
        <v>0</v>
      </c>
      <c r="AQ27" s="73">
        <f>Table13[[#This Row],[infec_7]]</f>
        <v>0</v>
      </c>
      <c r="AR27" s="73">
        <f>Table13[[#This Row],[gastro]]</f>
        <v>0</v>
      </c>
      <c r="AS27" s="73">
        <f>Table13[[#This Row],[pulm_supp_24]]</f>
        <v>0</v>
      </c>
      <c r="AT27" s="73">
        <f>Table13[[#This Row],[pulm_supp_7]]</f>
        <v>0</v>
      </c>
      <c r="AU27" s="73">
        <f>Table13[[#This Row],[pulm_pharm]]</f>
        <v>0</v>
      </c>
      <c r="AV27" s="73">
        <f>Table13[[#This Row],[cardio_24]]</f>
        <v>0</v>
      </c>
      <c r="AW27" s="73">
        <f>Table13[[#This Row],[troponin_7]]</f>
        <v>0</v>
      </c>
      <c r="AX27" s="73">
        <f>Table13[[#This Row],[creatinine_base]]</f>
        <v>0</v>
      </c>
      <c r="AY27" s="73">
        <f>Table13[[#This Row],[creatinine_high]]</f>
        <v>0</v>
      </c>
      <c r="AZ27" s="73">
        <f>Table13[[#This Row],[rrt]]</f>
        <v>0</v>
      </c>
      <c r="BA27" s="73">
        <f>Table13[[#This Row],[renal_24]]</f>
        <v>0</v>
      </c>
      <c r="BB27" s="73">
        <f>Table13[[#This Row],[neuro]]</f>
        <v>0</v>
      </c>
      <c r="BC27" s="73">
        <f>Table13[[#This Row],[wound]]</f>
        <v>0</v>
      </c>
      <c r="BD27" s="73">
        <f>Table13[[#This Row],[haemato]]</f>
        <v>0</v>
      </c>
      <c r="BE27" s="73">
        <f>Table13[[#This Row],[pain]]</f>
        <v>0</v>
      </c>
      <c r="BF27" s="73">
        <f>Table13[[#This Row],[mobility]]</f>
        <v>0</v>
      </c>
      <c r="BG27" s="79">
        <f>Table13[[#This Row],[why_inpatient_7]]</f>
        <v>0</v>
      </c>
      <c r="BH27" s="9">
        <f>Table13[[#This Row],[date_15]]</f>
        <v>0</v>
      </c>
      <c r="BI27">
        <f>Table13[[#This Row],[inpatient_15]]</f>
        <v>0</v>
      </c>
      <c r="BJ27">
        <f>Table13[[#This Row],[comment_15]]</f>
        <v>0</v>
      </c>
      <c r="BK27" t="str">
        <f>Table13[[#This Row],[discharge_dest]]</f>
        <v>Own Home</v>
      </c>
      <c r="BL27" t="str">
        <f>Table13[[#This Row],[complication]]</f>
        <v>II</v>
      </c>
    </row>
    <row r="28" spans="1:64" ht="18" customHeight="1">
      <c r="A28" s="73">
        <f>Table5[[#This Row],[comment]]</f>
        <v>0</v>
      </c>
      <c r="B28" s="73" t="str">
        <f>Table9[[#This Row],[surgeon]]</f>
        <v>Saeed Mohammad</v>
      </c>
      <c r="C28" s="73" t="str">
        <f>Table9[[#This Row],[surgery]]</f>
        <v>Interbody fusion and decompression</v>
      </c>
      <c r="D28" s="74" t="str">
        <f>Table5[[#This Row],[pqip_consent]]</f>
        <v>No</v>
      </c>
      <c r="E28" s="73" t="str">
        <f>Table6[[#This Row],[area_surgery]]</f>
        <v>Other</v>
      </c>
      <c r="F28" s="75">
        <f>Table6[[#This Row],[admission_date]]</f>
        <v>43313</v>
      </c>
      <c r="G28" s="75">
        <f>Table6[[#This Row],[admission_date]]</f>
        <v>43313</v>
      </c>
      <c r="H28" s="105"/>
      <c r="I28" s="73" t="str">
        <f>Table6[[#This Row],[discharge_loc]]</f>
        <v>NHDU</v>
      </c>
      <c r="J28" s="75">
        <f>Table6[[#This Row],[discharge_date]]</f>
        <v>43315</v>
      </c>
      <c r="K28" s="76">
        <f>Table6[[#This Row],[hospital_stay]]</f>
        <v>2</v>
      </c>
      <c r="L28" s="76" t="str">
        <f>Table6[[#This Row],[readmit_30]]</f>
        <v>No</v>
      </c>
      <c r="M28" s="77" t="str">
        <f>Table9[[#This Row],[troponin]]</f>
        <v>Not Measured</v>
      </c>
      <c r="N28" s="78">
        <f>Table9[[#This Row],[hb]]</f>
        <v>13.8</v>
      </c>
      <c r="O28" s="78">
        <f>Table9[[#This Row],[creatinine]]</f>
        <v>74</v>
      </c>
      <c r="P28" s="78" t="str">
        <f>Table9[[#This Row],[albumin]]</f>
        <v>Not Measured</v>
      </c>
      <c r="Q28" s="73" t="str">
        <f>Table9[[#This Row],[chest_physio]]</f>
        <v>No</v>
      </c>
      <c r="R28" s="73" t="str">
        <f>Table9[[#This Row],[surgery_school]]</f>
        <v>No - Wasn’t offered it</v>
      </c>
      <c r="S28" s="75">
        <f>Table9[[#This Row],[date_school]]</f>
        <v>0</v>
      </c>
      <c r="T28" s="73" t="str">
        <f>Table9[[#This Row],[app_down]]</f>
        <v>No - Have electronic device</v>
      </c>
      <c r="U28" s="73" t="str">
        <f>Table9[[#This Row],[website]]</f>
        <v>No</v>
      </c>
      <c r="V28" s="73" t="str">
        <f>Table9[[#This Row],[base_activity]]</f>
        <v>No extra activity - Needs help with ADLs</v>
      </c>
      <c r="W28" s="73" t="str">
        <f>Table9[[#This Row],[current_activity]]</f>
        <v>No extra activity - Needs help with ADLs</v>
      </c>
      <c r="X28" s="73" t="str">
        <f>Table9[[#This Row],[activity_type]]</f>
        <v>None</v>
      </c>
      <c r="Y28" s="73" t="str">
        <f>Table9[[#This Row],[anaemia_treat]]</f>
        <v>Not applicable</v>
      </c>
      <c r="Z28" s="78" t="str">
        <f>Table9[[#This Row],[anaesthesia]]</f>
        <v>General with Inhalational</v>
      </c>
      <c r="AA28" s="78">
        <f>Table9[[#This Row],[smoke_hist]]</f>
        <v>0</v>
      </c>
      <c r="AB28" s="78">
        <f>Table9[[#This Row],[smoke_cess]]</f>
        <v>0</v>
      </c>
      <c r="AC28" s="78" t="str">
        <f>Table9[[#This Row],[tidal_vol]]</f>
        <v>Not recorded</v>
      </c>
      <c r="AD28" s="77" t="str">
        <f>Table11[[#This Row],[inc_spiro]]</f>
        <v>&gt;Two</v>
      </c>
      <c r="AE28" s="73" t="str">
        <f>Table11[[#This Row],[t_brushes]]</f>
        <v>Twice</v>
      </c>
      <c r="AF28" s="78" t="str">
        <f>Table11[[#This Row],[m_washes]]</f>
        <v>Twice</v>
      </c>
      <c r="AG28" s="78" t="str">
        <f>Table11[[#This Row],[iv_disc]]</f>
        <v>No</v>
      </c>
      <c r="AH28" s="78">
        <f>Table11[[#This Row],[tolerate_15l]]</f>
        <v>0</v>
      </c>
      <c r="AI28" s="78" t="str">
        <f>Table11[[#This Row],[drinking]]</f>
        <v>Yes</v>
      </c>
      <c r="AJ28" s="78" t="str">
        <f>Table11[[#This Row],[oral_diet]]</f>
        <v>Yes</v>
      </c>
      <c r="AK28" s="78" t="str">
        <f>Table11[[#This Row],[mobilised]]</f>
        <v>Yes</v>
      </c>
      <c r="AL28" s="79" t="str">
        <f>Table11[[#This Row],[resp_supp]]</f>
        <v>None</v>
      </c>
      <c r="AM28" s="78">
        <f>Table11[[#This Row],[elev_head]]</f>
        <v>0</v>
      </c>
      <c r="AN28" s="78" t="str">
        <f>Table13[[#This Row],[in_hospital]]</f>
        <v>No</v>
      </c>
      <c r="AO28" s="78">
        <f>Table13[[#This Row],[location_7]]</f>
        <v>0</v>
      </c>
      <c r="AP28" s="78">
        <f>Table13[[#This Row],[infec_24]]</f>
        <v>0</v>
      </c>
      <c r="AQ28" s="73">
        <f>Table13[[#This Row],[infec_7]]</f>
        <v>0</v>
      </c>
      <c r="AR28" s="73">
        <f>Table13[[#This Row],[gastro]]</f>
        <v>0</v>
      </c>
      <c r="AS28" s="73">
        <f>Table13[[#This Row],[pulm_supp_24]]</f>
        <v>0</v>
      </c>
      <c r="AT28" s="73">
        <f>Table13[[#This Row],[pulm_supp_7]]</f>
        <v>0</v>
      </c>
      <c r="AU28" s="73">
        <f>Table13[[#This Row],[pulm_pharm]]</f>
        <v>0</v>
      </c>
      <c r="AV28" s="73">
        <f>Table13[[#This Row],[cardio_24]]</f>
        <v>0</v>
      </c>
      <c r="AW28" s="73">
        <f>Table13[[#This Row],[troponin_7]]</f>
        <v>0</v>
      </c>
      <c r="AX28" s="73">
        <f>Table13[[#This Row],[creatinine_base]]</f>
        <v>0</v>
      </c>
      <c r="AY28" s="73">
        <f>Table13[[#This Row],[creatinine_high]]</f>
        <v>0</v>
      </c>
      <c r="AZ28" s="73">
        <f>Table13[[#This Row],[rrt]]</f>
        <v>0</v>
      </c>
      <c r="BA28" s="73">
        <f>Table13[[#This Row],[renal_24]]</f>
        <v>0</v>
      </c>
      <c r="BB28" s="73">
        <f>Table13[[#This Row],[neuro]]</f>
        <v>0</v>
      </c>
      <c r="BC28" s="73">
        <f>Table13[[#This Row],[wound]]</f>
        <v>0</v>
      </c>
      <c r="BD28" s="73">
        <f>Table13[[#This Row],[haemato]]</f>
        <v>0</v>
      </c>
      <c r="BE28" s="73">
        <f>Table13[[#This Row],[pain]]</f>
        <v>0</v>
      </c>
      <c r="BF28" s="73">
        <f>Table13[[#This Row],[mobility]]</f>
        <v>0</v>
      </c>
      <c r="BG28" s="79">
        <f>Table13[[#This Row],[why_inpatient_7]]</f>
        <v>0</v>
      </c>
      <c r="BH28" s="9">
        <f>Table13[[#This Row],[date_15]]</f>
        <v>0</v>
      </c>
      <c r="BI28">
        <f>Table13[[#This Row],[inpatient_15]]</f>
        <v>0</v>
      </c>
      <c r="BJ28">
        <f>Table13[[#This Row],[comment_15]]</f>
        <v>0</v>
      </c>
      <c r="BK28" t="str">
        <f>Table13[[#This Row],[discharge_dest]]</f>
        <v>Own Home</v>
      </c>
      <c r="BL28" t="str">
        <f>Table13[[#This Row],[complication]]</f>
        <v>I</v>
      </c>
    </row>
    <row r="29" spans="1:64" ht="18" customHeight="1">
      <c r="A29" s="73">
        <f>Table5[[#This Row],[comment]]</f>
        <v>0</v>
      </c>
      <c r="B29" s="73" t="str">
        <f>Table9[[#This Row],[surgeon]]</f>
        <v>Rajat Verma</v>
      </c>
      <c r="C29" s="73" t="str">
        <f>Table9[[#This Row],[surgery]]</f>
        <v>Posterior Lumbar Interbody Fusion</v>
      </c>
      <c r="D29" s="74" t="str">
        <f>Table5[[#This Row],[pqip_consent]]</f>
        <v>No</v>
      </c>
      <c r="E29" s="73" t="str">
        <f>Table6[[#This Row],[area_surgery]]</f>
        <v>Other</v>
      </c>
      <c r="F29" s="75">
        <f>Table6[[#This Row],[admission_date]]</f>
        <v>43315</v>
      </c>
      <c r="G29" s="75">
        <f>Table6[[#This Row],[admission_date]]</f>
        <v>43315</v>
      </c>
      <c r="H29" s="105"/>
      <c r="I29" s="73" t="str">
        <f>Table6[[#This Row],[discharge_loc]]</f>
        <v>H5</v>
      </c>
      <c r="J29" s="75">
        <f>Table6[[#This Row],[discharge_date]]</f>
        <v>43320</v>
      </c>
      <c r="K29" s="76">
        <f>Table6[[#This Row],[hospital_stay]]</f>
        <v>5</v>
      </c>
      <c r="L29" s="76" t="str">
        <f>Table6[[#This Row],[readmit_30]]</f>
        <v>No</v>
      </c>
      <c r="M29" s="77" t="str">
        <f>Table9[[#This Row],[troponin]]</f>
        <v>Not Measured</v>
      </c>
      <c r="N29" s="78">
        <f>Table9[[#This Row],[hb]]</f>
        <v>11.3</v>
      </c>
      <c r="O29" s="78">
        <f>Table9[[#This Row],[creatinine]]</f>
        <v>110</v>
      </c>
      <c r="P29" s="78">
        <f>Table9[[#This Row],[albumin]]</f>
        <v>44</v>
      </c>
      <c r="Q29" s="73" t="str">
        <f>Table9[[#This Row],[chest_physio]]</f>
        <v>Nurse</v>
      </c>
      <c r="R29" s="73" t="str">
        <f>Table9[[#This Row],[surgery_school]]</f>
        <v>No - Wasn’t offered it</v>
      </c>
      <c r="S29" s="75">
        <f>Table9[[#This Row],[date_school]]</f>
        <v>0</v>
      </c>
      <c r="T29" s="73" t="str">
        <f>Table9[[#This Row],[app_down]]</f>
        <v>No - Have electronic device</v>
      </c>
      <c r="U29" s="73" t="str">
        <f>Table9[[#This Row],[website]]</f>
        <v>No</v>
      </c>
      <c r="V29" s="73" t="str">
        <f>Table9[[#This Row],[base_activity]]</f>
        <v>No extra activity - Independent in ADLs</v>
      </c>
      <c r="W29" s="73" t="str">
        <f>Table9[[#This Row],[current_activity]]</f>
        <v>No extra activity - Independent in ADLs</v>
      </c>
      <c r="X29" s="73" t="str">
        <f>Table9[[#This Row],[activity_type]]</f>
        <v>None</v>
      </c>
      <c r="Y29" s="73" t="str">
        <f>Table9[[#This Row],[anaemia_treat]]</f>
        <v>None</v>
      </c>
      <c r="Z29" s="78" t="str">
        <f>Table9[[#This Row],[anaesthesia]]</f>
        <v>General with Inhalational</v>
      </c>
      <c r="AA29" s="78">
        <f>Table9[[#This Row],[smoke_hist]]</f>
        <v>0</v>
      </c>
      <c r="AB29" s="78">
        <f>Table9[[#This Row],[smoke_cess]]</f>
        <v>0</v>
      </c>
      <c r="AC29" s="78" t="str">
        <f>Table9[[#This Row],[tidal_vol]]</f>
        <v>Not recorded</v>
      </c>
      <c r="AD29" s="77" t="str">
        <f>Table11[[#This Row],[inc_spiro]]</f>
        <v>&gt;Two</v>
      </c>
      <c r="AE29" s="73" t="str">
        <f>Table11[[#This Row],[t_brushes]]</f>
        <v>Twice</v>
      </c>
      <c r="AF29" s="78" t="str">
        <f>Table11[[#This Row],[m_washes]]</f>
        <v>Twice</v>
      </c>
      <c r="AG29" s="78" t="str">
        <f>Table11[[#This Row],[iv_disc]]</f>
        <v>No</v>
      </c>
      <c r="AH29" s="78">
        <f>Table11[[#This Row],[tolerate_15l]]</f>
        <v>0</v>
      </c>
      <c r="AI29" s="78" t="str">
        <f>Table11[[#This Row],[drinking]]</f>
        <v>Yes</v>
      </c>
      <c r="AJ29" s="78" t="str">
        <f>Table11[[#This Row],[oral_diet]]</f>
        <v>Yes</v>
      </c>
      <c r="AK29" s="78" t="str">
        <f>Table11[[#This Row],[mobilised]]</f>
        <v>Yes</v>
      </c>
      <c r="AL29" s="79" t="str">
        <f>Table11[[#This Row],[resp_supp]]</f>
        <v>None</v>
      </c>
      <c r="AM29" s="78">
        <f>Table11[[#This Row],[elev_head]]</f>
        <v>0</v>
      </c>
      <c r="AN29" s="78" t="str">
        <f>Table13[[#This Row],[in_hospital]]</f>
        <v>No</v>
      </c>
      <c r="AO29" s="78">
        <f>Table13[[#This Row],[location_7]]</f>
        <v>0</v>
      </c>
      <c r="AP29" s="78">
        <f>Table13[[#This Row],[infec_24]]</f>
        <v>0</v>
      </c>
      <c r="AQ29" s="73">
        <f>Table13[[#This Row],[infec_7]]</f>
        <v>0</v>
      </c>
      <c r="AR29" s="73">
        <f>Table13[[#This Row],[gastro]]</f>
        <v>0</v>
      </c>
      <c r="AS29" s="73">
        <f>Table13[[#This Row],[pulm_supp_24]]</f>
        <v>0</v>
      </c>
      <c r="AT29" s="73">
        <f>Table13[[#This Row],[pulm_supp_7]]</f>
        <v>0</v>
      </c>
      <c r="AU29" s="73">
        <f>Table13[[#This Row],[pulm_pharm]]</f>
        <v>0</v>
      </c>
      <c r="AV29" s="73">
        <f>Table13[[#This Row],[cardio_24]]</f>
        <v>0</v>
      </c>
      <c r="AW29" s="73">
        <f>Table13[[#This Row],[troponin_7]]</f>
        <v>0</v>
      </c>
      <c r="AX29" s="73">
        <f>Table13[[#This Row],[creatinine_base]]</f>
        <v>0</v>
      </c>
      <c r="AY29" s="73">
        <f>Table13[[#This Row],[creatinine_high]]</f>
        <v>0</v>
      </c>
      <c r="AZ29" s="73">
        <f>Table13[[#This Row],[rrt]]</f>
        <v>0</v>
      </c>
      <c r="BA29" s="73">
        <f>Table13[[#This Row],[renal_24]]</f>
        <v>0</v>
      </c>
      <c r="BB29" s="73">
        <f>Table13[[#This Row],[neuro]]</f>
        <v>0</v>
      </c>
      <c r="BC29" s="73">
        <f>Table13[[#This Row],[wound]]</f>
        <v>0</v>
      </c>
      <c r="BD29" s="73">
        <f>Table13[[#This Row],[haemato]]</f>
        <v>0</v>
      </c>
      <c r="BE29" s="73">
        <f>Table13[[#This Row],[pain]]</f>
        <v>0</v>
      </c>
      <c r="BF29" s="73">
        <f>Table13[[#This Row],[mobility]]</f>
        <v>0</v>
      </c>
      <c r="BG29" s="79">
        <f>Table13[[#This Row],[why_inpatient_7]]</f>
        <v>0</v>
      </c>
      <c r="BH29" s="9">
        <f>Table13[[#This Row],[date_15]]</f>
        <v>0</v>
      </c>
      <c r="BI29">
        <f>Table13[[#This Row],[inpatient_15]]</f>
        <v>0</v>
      </c>
      <c r="BJ29">
        <f>Table13[[#This Row],[comment_15]]</f>
        <v>0</v>
      </c>
      <c r="BK29" t="str">
        <f>Table13[[#This Row],[discharge_dest]]</f>
        <v>Own Home</v>
      </c>
      <c r="BL29" t="str">
        <f>Table13[[#This Row],[complication]]</f>
        <v>None</v>
      </c>
    </row>
    <row r="30" spans="1:64" ht="18" customHeight="1">
      <c r="A30" s="73">
        <f>Table5[[#This Row],[comment]]</f>
        <v>0</v>
      </c>
      <c r="B30" s="73" t="str">
        <f>Table9[[#This Row],[surgeon]]</f>
        <v>Neil Oxborrow</v>
      </c>
      <c r="C30" s="73" t="str">
        <f>Table9[[#This Row],[surgery]]</f>
        <v>Removal of metalwork and revision of distal fixation</v>
      </c>
      <c r="D30" s="74" t="str">
        <f>Table5[[#This Row],[pqip_consent]]</f>
        <v>No</v>
      </c>
      <c r="E30" s="73" t="str">
        <f>Table6[[#This Row],[area_surgery]]</f>
        <v>Other</v>
      </c>
      <c r="F30" s="75">
        <f>Table6[[#This Row],[admission_date]]</f>
        <v>43319</v>
      </c>
      <c r="G30" s="75">
        <f>Table6[[#This Row],[admission_date]]</f>
        <v>43319</v>
      </c>
      <c r="H30" s="105"/>
      <c r="I30" s="73" t="str">
        <f>Table6[[#This Row],[discharge_loc]]</f>
        <v>H7</v>
      </c>
      <c r="J30" s="75">
        <f>Table6[[#This Row],[discharge_date]]</f>
        <v>43322</v>
      </c>
      <c r="K30" s="76">
        <f>Table6[[#This Row],[hospital_stay]]</f>
        <v>3</v>
      </c>
      <c r="L30" s="76" t="str">
        <f>Table6[[#This Row],[readmit_30]]</f>
        <v>No</v>
      </c>
      <c r="M30" s="77" t="str">
        <f>Table9[[#This Row],[troponin]]</f>
        <v>Not Measured</v>
      </c>
      <c r="N30" s="78">
        <f>Table9[[#This Row],[hb]]</f>
        <v>12.8</v>
      </c>
      <c r="O30" s="78">
        <f>Table9[[#This Row],[creatinine]]</f>
        <v>64</v>
      </c>
      <c r="P30" s="78">
        <f>Table9[[#This Row],[albumin]]</f>
        <v>46</v>
      </c>
      <c r="Q30" s="73" t="str">
        <f>Table9[[#This Row],[chest_physio]]</f>
        <v>Nurse</v>
      </c>
      <c r="R30" s="73" t="str">
        <f>Table9[[#This Row],[surgery_school]]</f>
        <v>No - Wasn’t offered it</v>
      </c>
      <c r="S30" s="75">
        <f>Table9[[#This Row],[date_school]]</f>
        <v>0</v>
      </c>
      <c r="T30" s="73" t="str">
        <f>Table9[[#This Row],[app_down]]</f>
        <v>No - Have electronic device</v>
      </c>
      <c r="U30" s="73" t="str">
        <f>Table9[[#This Row],[website]]</f>
        <v>No</v>
      </c>
      <c r="V30" s="73" t="str">
        <f>Table9[[#This Row],[base_activity]]</f>
        <v>No extra activity - Independent in ADLs</v>
      </c>
      <c r="W30" s="73" t="str">
        <f>Table9[[#This Row],[current_activity]]</f>
        <v>No extra activity - Independent in ADLs</v>
      </c>
      <c r="X30" s="73" t="str">
        <f>Table9[[#This Row],[activity_type]]</f>
        <v>None</v>
      </c>
      <c r="Y30" s="73" t="str">
        <f>Table9[[#This Row],[anaemia_treat]]</f>
        <v>Not applicable</v>
      </c>
      <c r="Z30" s="78" t="str">
        <f>Table9[[#This Row],[anaesthesia]]</f>
        <v>General with TIVA</v>
      </c>
      <c r="AA30" s="78">
        <f>Table9[[#This Row],[smoke_hist]]</f>
        <v>0</v>
      </c>
      <c r="AB30" s="78">
        <f>Table9[[#This Row],[smoke_cess]]</f>
        <v>0</v>
      </c>
      <c r="AC30" s="78" t="str">
        <f>Table9[[#This Row],[tidal_vol]]</f>
        <v>Not recorded</v>
      </c>
      <c r="AD30" s="77" t="str">
        <f>Table11[[#This Row],[inc_spiro]]</f>
        <v>&gt;Two</v>
      </c>
      <c r="AE30" s="73" t="str">
        <f>Table11[[#This Row],[t_brushes]]</f>
        <v>Once</v>
      </c>
      <c r="AF30" s="78" t="str">
        <f>Table11[[#This Row],[m_washes]]</f>
        <v>Once</v>
      </c>
      <c r="AG30" s="78" t="str">
        <f>Table11[[#This Row],[iv_disc]]</f>
        <v>No</v>
      </c>
      <c r="AH30" s="78">
        <f>Table11[[#This Row],[tolerate_15l]]</f>
        <v>0</v>
      </c>
      <c r="AI30" s="78" t="str">
        <f>Table11[[#This Row],[drinking]]</f>
        <v>Yes</v>
      </c>
      <c r="AJ30" s="78" t="str">
        <f>Table11[[#This Row],[oral_diet]]</f>
        <v>Yes</v>
      </c>
      <c r="AK30" s="78" t="str">
        <f>Table11[[#This Row],[mobilised]]</f>
        <v>Yes</v>
      </c>
      <c r="AL30" s="79" t="str">
        <f>Table11[[#This Row],[resp_supp]]</f>
        <v>None</v>
      </c>
      <c r="AM30" s="78">
        <f>Table11[[#This Row],[elev_head]]</f>
        <v>0</v>
      </c>
      <c r="AN30" s="78" t="str">
        <f>Table13[[#This Row],[in_hospital]]</f>
        <v>No</v>
      </c>
      <c r="AO30" s="78">
        <f>Table13[[#This Row],[location_7]]</f>
        <v>0</v>
      </c>
      <c r="AP30" s="78">
        <f>Table13[[#This Row],[infec_24]]</f>
        <v>0</v>
      </c>
      <c r="AQ30" s="73">
        <f>Table13[[#This Row],[infec_7]]</f>
        <v>0</v>
      </c>
      <c r="AR30" s="73">
        <f>Table13[[#This Row],[gastro]]</f>
        <v>0</v>
      </c>
      <c r="AS30" s="73">
        <f>Table13[[#This Row],[pulm_supp_24]]</f>
        <v>0</v>
      </c>
      <c r="AT30" s="73">
        <f>Table13[[#This Row],[pulm_supp_7]]</f>
        <v>0</v>
      </c>
      <c r="AU30" s="73">
        <f>Table13[[#This Row],[pulm_pharm]]</f>
        <v>0</v>
      </c>
      <c r="AV30" s="73">
        <f>Table13[[#This Row],[cardio_24]]</f>
        <v>0</v>
      </c>
      <c r="AW30" s="73">
        <f>Table13[[#This Row],[troponin_7]]</f>
        <v>0</v>
      </c>
      <c r="AX30" s="73">
        <f>Table13[[#This Row],[creatinine_base]]</f>
        <v>0</v>
      </c>
      <c r="AY30" s="73">
        <f>Table13[[#This Row],[creatinine_high]]</f>
        <v>0</v>
      </c>
      <c r="AZ30" s="73">
        <f>Table13[[#This Row],[rrt]]</f>
        <v>0</v>
      </c>
      <c r="BA30" s="73">
        <f>Table13[[#This Row],[renal_24]]</f>
        <v>0</v>
      </c>
      <c r="BB30" s="73">
        <f>Table13[[#This Row],[neuro]]</f>
        <v>0</v>
      </c>
      <c r="BC30" s="73">
        <f>Table13[[#This Row],[wound]]</f>
        <v>0</v>
      </c>
      <c r="BD30" s="73">
        <f>Table13[[#This Row],[haemato]]</f>
        <v>0</v>
      </c>
      <c r="BE30" s="73">
        <f>Table13[[#This Row],[pain]]</f>
        <v>0</v>
      </c>
      <c r="BF30" s="73">
        <f>Table13[[#This Row],[mobility]]</f>
        <v>0</v>
      </c>
      <c r="BG30" s="79">
        <f>Table13[[#This Row],[why_inpatient_7]]</f>
        <v>0</v>
      </c>
      <c r="BH30" s="9">
        <f>Table13[[#This Row],[date_15]]</f>
        <v>0</v>
      </c>
      <c r="BI30">
        <f>Table13[[#This Row],[inpatient_15]]</f>
        <v>0</v>
      </c>
      <c r="BJ30">
        <f>Table13[[#This Row],[comment_15]]</f>
        <v>0</v>
      </c>
      <c r="BK30" t="str">
        <f>Table13[[#This Row],[discharge_dest]]</f>
        <v>Own Home</v>
      </c>
      <c r="BL30" t="str">
        <f>Table13[[#This Row],[complication]]</f>
        <v>I</v>
      </c>
    </row>
    <row r="31" spans="1:64" ht="18" customHeight="1">
      <c r="A31" s="73" t="str">
        <f>Table5[[#This Row],[comment]]</f>
        <v>cancelled</v>
      </c>
      <c r="B31" s="73" t="str">
        <f>Table9[[#This Row],[surgeon]]</f>
        <v>Dmitri Van Popta</v>
      </c>
      <c r="C31" s="73" t="str">
        <f>Table9[[#This Row],[surgery]]</f>
        <v>Posterior Lumbar Interbody Fusion</v>
      </c>
      <c r="D31" s="74" t="str">
        <f>Table5[[#This Row],[pqip_consent]]</f>
        <v>No</v>
      </c>
      <c r="E31" s="73" t="str">
        <f>Table6[[#This Row],[area_surgery]]</f>
        <v>Other</v>
      </c>
      <c r="F31" s="75">
        <f>Table6[[#This Row],[admission_date]]</f>
        <v>43322</v>
      </c>
      <c r="G31" s="75">
        <f>Table6[[#This Row],[admission_date]]</f>
        <v>43322</v>
      </c>
      <c r="H31" s="105"/>
      <c r="I31" s="73" t="str">
        <f>Table6[[#This Row],[discharge_loc]]</f>
        <v>NHDU (Level 2)</v>
      </c>
      <c r="J31" s="75">
        <f>Table6[[#This Row],[discharge_date]]</f>
        <v>0</v>
      </c>
      <c r="K31" s="76">
        <f>Table6[[#This Row],[hospital_stay]]</f>
        <v>-43322</v>
      </c>
      <c r="L31" s="76">
        <f>Table6[[#This Row],[readmit_30]]</f>
        <v>0</v>
      </c>
      <c r="M31" s="77" t="str">
        <f>Table9[[#This Row],[troponin]]</f>
        <v>Not Measured</v>
      </c>
      <c r="N31" s="78">
        <f>Table9[[#This Row],[hb]]</f>
        <v>13.1</v>
      </c>
      <c r="O31" s="78">
        <f>Table9[[#This Row],[creatinine]]</f>
        <v>45</v>
      </c>
      <c r="P31" s="78">
        <f>Table9[[#This Row],[albumin]]</f>
        <v>47</v>
      </c>
      <c r="Q31" s="73" t="str">
        <f>Table9[[#This Row],[chest_physio]]</f>
        <v>No</v>
      </c>
      <c r="R31" s="73" t="str">
        <f>Table9[[#This Row],[surgery_school]]</f>
        <v>No - Wasn’t offered it</v>
      </c>
      <c r="S31" s="75">
        <f>Table9[[#This Row],[date_school]]</f>
        <v>0</v>
      </c>
      <c r="T31" s="73">
        <f>Table9[[#This Row],[app_down]]</f>
        <v>0</v>
      </c>
      <c r="U31" s="73">
        <f>Table9[[#This Row],[website]]</f>
        <v>0</v>
      </c>
      <c r="V31" s="73">
        <f>Table9[[#This Row],[base_activity]]</f>
        <v>0</v>
      </c>
      <c r="W31" s="73">
        <f>Table9[[#This Row],[current_activity]]</f>
        <v>0</v>
      </c>
      <c r="X31" s="73">
        <f>Table9[[#This Row],[activity_type]]</f>
        <v>0</v>
      </c>
      <c r="Y31" s="73" t="str">
        <f>Table9[[#This Row],[anaemia_treat]]</f>
        <v xml:space="preserve">Oral Iron </v>
      </c>
      <c r="Z31" s="78">
        <f>Table9[[#This Row],[anaesthesia]]</f>
        <v>0</v>
      </c>
      <c r="AA31" s="78">
        <f>Table9[[#This Row],[smoke_hist]]</f>
        <v>0</v>
      </c>
      <c r="AB31" s="78">
        <f>Table9[[#This Row],[smoke_cess]]</f>
        <v>0</v>
      </c>
      <c r="AC31" s="78" t="str">
        <f>Table9[[#This Row],[tidal_vol]]</f>
        <v>Not recorded</v>
      </c>
      <c r="AD31" s="77">
        <f>Table11[[#This Row],[inc_spiro]]</f>
        <v>0</v>
      </c>
      <c r="AE31" s="73">
        <f>Table11[[#This Row],[t_brushes]]</f>
        <v>0</v>
      </c>
      <c r="AF31" s="78">
        <f>Table11[[#This Row],[m_washes]]</f>
        <v>0</v>
      </c>
      <c r="AG31" s="78">
        <f>Table11[[#This Row],[iv_disc]]</f>
        <v>0</v>
      </c>
      <c r="AH31" s="78">
        <f>Table11[[#This Row],[tolerate_15l]]</f>
        <v>0</v>
      </c>
      <c r="AI31" s="78">
        <f>Table11[[#This Row],[drinking]]</f>
        <v>0</v>
      </c>
      <c r="AJ31" s="78">
        <f>Table11[[#This Row],[oral_diet]]</f>
        <v>0</v>
      </c>
      <c r="AK31" s="78">
        <f>Table11[[#This Row],[mobilised]]</f>
        <v>0</v>
      </c>
      <c r="AL31" s="79">
        <f>Table11[[#This Row],[resp_supp]]</f>
        <v>0</v>
      </c>
      <c r="AM31" s="78">
        <f>Table11[[#This Row],[elev_head]]</f>
        <v>0</v>
      </c>
      <c r="AN31" s="78">
        <f>Table13[[#This Row],[in_hospital]]</f>
        <v>0</v>
      </c>
      <c r="AO31" s="78">
        <f>Table13[[#This Row],[location_7]]</f>
        <v>0</v>
      </c>
      <c r="AP31" s="78">
        <f>Table13[[#This Row],[infec_24]]</f>
        <v>0</v>
      </c>
      <c r="AQ31" s="73">
        <f>Table13[[#This Row],[infec_7]]</f>
        <v>0</v>
      </c>
      <c r="AR31" s="73">
        <f>Table13[[#This Row],[gastro]]</f>
        <v>0</v>
      </c>
      <c r="AS31" s="73">
        <f>Table13[[#This Row],[pulm_supp_24]]</f>
        <v>0</v>
      </c>
      <c r="AT31" s="73">
        <f>Table13[[#This Row],[pulm_supp_7]]</f>
        <v>0</v>
      </c>
      <c r="AU31" s="73">
        <f>Table13[[#This Row],[pulm_pharm]]</f>
        <v>0</v>
      </c>
      <c r="AV31" s="73">
        <f>Table13[[#This Row],[cardio_24]]</f>
        <v>0</v>
      </c>
      <c r="AW31" s="73">
        <f>Table13[[#This Row],[troponin_7]]</f>
        <v>0</v>
      </c>
      <c r="AX31" s="73">
        <f>Table13[[#This Row],[creatinine_base]]</f>
        <v>0</v>
      </c>
      <c r="AY31" s="73">
        <f>Table13[[#This Row],[creatinine_high]]</f>
        <v>0</v>
      </c>
      <c r="AZ31" s="73">
        <f>Table13[[#This Row],[rrt]]</f>
        <v>0</v>
      </c>
      <c r="BA31" s="73">
        <f>Table13[[#This Row],[renal_24]]</f>
        <v>0</v>
      </c>
      <c r="BB31" s="73">
        <f>Table13[[#This Row],[neuro]]</f>
        <v>0</v>
      </c>
      <c r="BC31" s="73">
        <f>Table13[[#This Row],[wound]]</f>
        <v>0</v>
      </c>
      <c r="BD31" s="73">
        <f>Table13[[#This Row],[haemato]]</f>
        <v>0</v>
      </c>
      <c r="BE31" s="73">
        <f>Table13[[#This Row],[pain]]</f>
        <v>0</v>
      </c>
      <c r="BF31" s="73">
        <f>Table13[[#This Row],[mobility]]</f>
        <v>0</v>
      </c>
      <c r="BG31" s="79">
        <f>Table13[[#This Row],[why_inpatient_7]]</f>
        <v>0</v>
      </c>
      <c r="BH31" s="9">
        <f>Table13[[#This Row],[date_15]]</f>
        <v>0</v>
      </c>
      <c r="BI31">
        <f>Table13[[#This Row],[inpatient_15]]</f>
        <v>0</v>
      </c>
      <c r="BJ31">
        <f>Table13[[#This Row],[comment_15]]</f>
        <v>0</v>
      </c>
      <c r="BK31">
        <f>Table13[[#This Row],[discharge_dest]]</f>
        <v>0</v>
      </c>
      <c r="BL31">
        <f>Table13[[#This Row],[complication]]</f>
        <v>0</v>
      </c>
    </row>
    <row r="32" spans="1:64" ht="18" customHeight="1">
      <c r="A32" s="73">
        <f>Table5[[#This Row],[comment]]</f>
        <v>0</v>
      </c>
      <c r="B32" s="73" t="str">
        <f>Table9[[#This Row],[surgeon]]</f>
        <v>Mattias Soop</v>
      </c>
      <c r="C32" s="73" t="str">
        <f>Table9[[#This Row],[surgery]]</f>
        <v>Ileocaecal resection</v>
      </c>
      <c r="D32" s="74" t="str">
        <f>Table5[[#This Row],[pqip_consent]]</f>
        <v>Yes</v>
      </c>
      <c r="E32" s="73" t="str">
        <f>Table6[[#This Row],[area_surgery]]</f>
        <v>Lower GI</v>
      </c>
      <c r="F32" s="75">
        <f>Table6[[#This Row],[admission_date]]</f>
        <v>43318</v>
      </c>
      <c r="G32" s="75">
        <f>Table6[[#This Row],[admission_date]]</f>
        <v>43318</v>
      </c>
      <c r="H32" s="105"/>
      <c r="I32" s="73" t="str">
        <f>Table6[[#This Row],[discharge_loc]]</f>
        <v>H6</v>
      </c>
      <c r="J32" s="75">
        <f>Table6[[#This Row],[discharge_date]]</f>
        <v>43321</v>
      </c>
      <c r="K32" s="76">
        <f>Table6[[#This Row],[hospital_stay]]</f>
        <v>3</v>
      </c>
      <c r="L32" s="76" t="str">
        <f>Table6[[#This Row],[readmit_30]]</f>
        <v>No</v>
      </c>
      <c r="M32" s="77" t="str">
        <f>Table9[[#This Row],[troponin]]</f>
        <v>Not Measured</v>
      </c>
      <c r="N32" s="78">
        <f>Table9[[#This Row],[hb]]</f>
        <v>12</v>
      </c>
      <c r="O32" s="78">
        <f>Table9[[#This Row],[creatinine]]</f>
        <v>70</v>
      </c>
      <c r="P32" s="78">
        <f>Table9[[#This Row],[albumin]]</f>
        <v>45</v>
      </c>
      <c r="Q32" s="73" t="str">
        <f>Table9[[#This Row],[chest_physio]]</f>
        <v>Nurse</v>
      </c>
      <c r="R32" s="73" t="str">
        <f>Table9[[#This Row],[surgery_school]]</f>
        <v>No - Wasn’t offered it</v>
      </c>
      <c r="S32" s="75">
        <f>Table9[[#This Row],[date_school]]</f>
        <v>0</v>
      </c>
      <c r="T32" s="73" t="str">
        <f>Table9[[#This Row],[app_down]]</f>
        <v>No - Have electronic device</v>
      </c>
      <c r="U32" s="73" t="str">
        <f>Table9[[#This Row],[website]]</f>
        <v>No</v>
      </c>
      <c r="V32" s="73" t="str">
        <f>Table9[[#This Row],[base_activity]]</f>
        <v>No extra activity - Independent in ADLs</v>
      </c>
      <c r="W32" s="73" t="str">
        <f>Table9[[#This Row],[current_activity]]</f>
        <v>No extra activity - Independent in ADLs</v>
      </c>
      <c r="X32" s="73" t="str">
        <f>Table9[[#This Row],[activity_type]]</f>
        <v>None</v>
      </c>
      <c r="Y32" s="73" t="str">
        <f>Table9[[#This Row],[anaemia_treat]]</f>
        <v>Intravenous Iron</v>
      </c>
      <c r="Z32" s="78" t="str">
        <f>Table9[[#This Row],[anaesthesia]]</f>
        <v>General with Inhalational</v>
      </c>
      <c r="AA32" s="78">
        <f>Table9[[#This Row],[smoke_hist]]</f>
        <v>0</v>
      </c>
      <c r="AB32" s="78">
        <f>Table9[[#This Row],[smoke_cess]]</f>
        <v>0</v>
      </c>
      <c r="AC32" s="78" t="str">
        <f>Table9[[#This Row],[tidal_vol]]</f>
        <v>Not recorded</v>
      </c>
      <c r="AD32" s="77" t="str">
        <f>Table11[[#This Row],[inc_spiro]]</f>
        <v>&gt;Two</v>
      </c>
      <c r="AE32" s="73" t="str">
        <f>Table11[[#This Row],[t_brushes]]</f>
        <v>Twice</v>
      </c>
      <c r="AF32" s="78" t="str">
        <f>Table11[[#This Row],[m_washes]]</f>
        <v>Twice</v>
      </c>
      <c r="AG32" s="78" t="str">
        <f>Table11[[#This Row],[iv_disc]]</f>
        <v>No</v>
      </c>
      <c r="AH32" s="78">
        <f>Table11[[#This Row],[tolerate_15l]]</f>
        <v>0</v>
      </c>
      <c r="AI32" s="78" t="str">
        <f>Table11[[#This Row],[drinking]]</f>
        <v>Yes</v>
      </c>
      <c r="AJ32" s="78" t="str">
        <f>Table11[[#This Row],[oral_diet]]</f>
        <v>Yes</v>
      </c>
      <c r="AK32" s="78" t="str">
        <f>Table11[[#This Row],[mobilised]]</f>
        <v>Yes</v>
      </c>
      <c r="AL32" s="79" t="str">
        <f>Table11[[#This Row],[resp_supp]]</f>
        <v>None</v>
      </c>
      <c r="AM32" s="78">
        <f>Table11[[#This Row],[elev_head]]</f>
        <v>0</v>
      </c>
      <c r="AN32" s="78" t="str">
        <f>Table13[[#This Row],[in_hospital]]</f>
        <v>No</v>
      </c>
      <c r="AO32" s="78">
        <f>Table13[[#This Row],[location_7]]</f>
        <v>0</v>
      </c>
      <c r="AP32" s="78">
        <f>Table13[[#This Row],[infec_24]]</f>
        <v>0</v>
      </c>
      <c r="AQ32" s="73">
        <f>Table13[[#This Row],[infec_7]]</f>
        <v>0</v>
      </c>
      <c r="AR32" s="73">
        <f>Table13[[#This Row],[gastro]]</f>
        <v>0</v>
      </c>
      <c r="AS32" s="73">
        <f>Table13[[#This Row],[pulm_supp_24]]</f>
        <v>0</v>
      </c>
      <c r="AT32" s="73">
        <f>Table13[[#This Row],[pulm_supp_7]]</f>
        <v>0</v>
      </c>
      <c r="AU32" s="73">
        <f>Table13[[#This Row],[pulm_pharm]]</f>
        <v>0</v>
      </c>
      <c r="AV32" s="73">
        <f>Table13[[#This Row],[cardio_24]]</f>
        <v>0</v>
      </c>
      <c r="AW32" s="73">
        <f>Table13[[#This Row],[troponin_7]]</f>
        <v>0</v>
      </c>
      <c r="AX32" s="73">
        <f>Table13[[#This Row],[creatinine_base]]</f>
        <v>0</v>
      </c>
      <c r="AY32" s="73">
        <f>Table13[[#This Row],[creatinine_high]]</f>
        <v>0</v>
      </c>
      <c r="AZ32" s="73">
        <f>Table13[[#This Row],[rrt]]</f>
        <v>0</v>
      </c>
      <c r="BA32" s="73">
        <f>Table13[[#This Row],[renal_24]]</f>
        <v>0</v>
      </c>
      <c r="BB32" s="73">
        <f>Table13[[#This Row],[neuro]]</f>
        <v>0</v>
      </c>
      <c r="BC32" s="73">
        <f>Table13[[#This Row],[wound]]</f>
        <v>0</v>
      </c>
      <c r="BD32" s="73">
        <f>Table13[[#This Row],[haemato]]</f>
        <v>0</v>
      </c>
      <c r="BE32" s="73">
        <f>Table13[[#This Row],[pain]]</f>
        <v>0</v>
      </c>
      <c r="BF32" s="73">
        <f>Table13[[#This Row],[mobility]]</f>
        <v>0</v>
      </c>
      <c r="BG32" s="79">
        <f>Table13[[#This Row],[why_inpatient_7]]</f>
        <v>0</v>
      </c>
      <c r="BH32" s="9">
        <f>Table13[[#This Row],[date_15]]</f>
        <v>0</v>
      </c>
      <c r="BI32">
        <f>Table13[[#This Row],[inpatient_15]]</f>
        <v>0</v>
      </c>
      <c r="BJ32">
        <f>Table13[[#This Row],[comment_15]]</f>
        <v>0</v>
      </c>
      <c r="BK32" t="str">
        <f>Table13[[#This Row],[discharge_dest]]</f>
        <v>Own Home</v>
      </c>
      <c r="BL32" t="str">
        <f>Table13[[#This Row],[complication]]</f>
        <v>I</v>
      </c>
    </row>
    <row r="33" spans="1:64" ht="18" customHeight="1">
      <c r="A33" s="73" t="str">
        <f>Table5[[#This Row],[comment]]</f>
        <v>Re-admitted for difficult swallowing</v>
      </c>
      <c r="B33" s="73" t="str">
        <f>Table9[[#This Row],[surgeon]]</f>
        <v>Ramakrishna Chaparala</v>
      </c>
      <c r="C33" s="73" t="str">
        <f>Table9[[#This Row],[surgery]]</f>
        <v xml:space="preserve">Anti-reflux surgery </v>
      </c>
      <c r="D33" s="74" t="str">
        <f>Table5[[#This Row],[pqip_consent]]</f>
        <v>Yes</v>
      </c>
      <c r="E33" s="73" t="str">
        <f>Table6[[#This Row],[area_surgery]]</f>
        <v>Lower GI</v>
      </c>
      <c r="F33" s="75">
        <f>Table6[[#This Row],[admission_date]]</f>
        <v>43318</v>
      </c>
      <c r="G33" s="75">
        <f>Table6[[#This Row],[admission_date]]</f>
        <v>43318</v>
      </c>
      <c r="H33" s="105"/>
      <c r="I33" s="73" t="str">
        <f>Table6[[#This Row],[discharge_loc]]</f>
        <v>H4</v>
      </c>
      <c r="J33" s="75">
        <f>Table6[[#This Row],[discharge_date]]</f>
        <v>43319</v>
      </c>
      <c r="K33" s="76">
        <f>Table6[[#This Row],[hospital_stay]]</f>
        <v>1</v>
      </c>
      <c r="L33" s="76" t="str">
        <f>Table6[[#This Row],[readmit_30]]</f>
        <v>Yes</v>
      </c>
      <c r="M33" s="77" t="str">
        <f>Table9[[#This Row],[troponin]]</f>
        <v>Not Measured</v>
      </c>
      <c r="N33" s="78">
        <f>Table9[[#This Row],[hb]]</f>
        <v>14.7</v>
      </c>
      <c r="O33" s="78">
        <f>Table9[[#This Row],[creatinine]]</f>
        <v>91</v>
      </c>
      <c r="P33" s="78">
        <f>Table9[[#This Row],[albumin]]</f>
        <v>44</v>
      </c>
      <c r="Q33" s="73" t="str">
        <f>Table9[[#This Row],[chest_physio]]</f>
        <v>No</v>
      </c>
      <c r="R33" s="73" t="str">
        <f>Table9[[#This Row],[surgery_school]]</f>
        <v>No - Wasn’t offered it</v>
      </c>
      <c r="S33" s="75">
        <f>Table9[[#This Row],[date_school]]</f>
        <v>0</v>
      </c>
      <c r="T33" s="73" t="str">
        <f>Table9[[#This Row],[app_down]]</f>
        <v>No - Have electronic device</v>
      </c>
      <c r="U33" s="73" t="str">
        <f>Table9[[#This Row],[website]]</f>
        <v>No</v>
      </c>
      <c r="V33" s="73" t="str">
        <f>Table9[[#This Row],[base_activity]]</f>
        <v>No extra activity - Independent in ADLs</v>
      </c>
      <c r="W33" s="73" t="str">
        <f>Table9[[#This Row],[current_activity]]</f>
        <v>No extra activity - Independent in ADLs</v>
      </c>
      <c r="X33" s="73" t="str">
        <f>Table9[[#This Row],[activity_type]]</f>
        <v>None</v>
      </c>
      <c r="Y33" s="73" t="str">
        <f>Table9[[#This Row],[anaemia_treat]]</f>
        <v>Not applicable</v>
      </c>
      <c r="Z33" s="78" t="str">
        <f>Table9[[#This Row],[anaesthesia]]</f>
        <v>General with Inhalational</v>
      </c>
      <c r="AA33" s="78">
        <f>Table9[[#This Row],[smoke_hist]]</f>
        <v>0</v>
      </c>
      <c r="AB33" s="78">
        <f>Table9[[#This Row],[smoke_cess]]</f>
        <v>0</v>
      </c>
      <c r="AC33" s="78" t="str">
        <f>Table9[[#This Row],[tidal_vol]]</f>
        <v>Not recorded</v>
      </c>
      <c r="AD33" s="77" t="str">
        <f>Table11[[#This Row],[inc_spiro]]</f>
        <v>&gt;Two</v>
      </c>
      <c r="AE33" s="73" t="str">
        <f>Table11[[#This Row],[t_brushes]]</f>
        <v>Twice</v>
      </c>
      <c r="AF33" s="78" t="str">
        <f>Table11[[#This Row],[m_washes]]</f>
        <v>Twice</v>
      </c>
      <c r="AG33" s="78" t="str">
        <f>Table11[[#This Row],[iv_disc]]</f>
        <v>Yes</v>
      </c>
      <c r="AH33" s="78">
        <f>Table11[[#This Row],[tolerate_15l]]</f>
        <v>0</v>
      </c>
      <c r="AI33" s="78" t="str">
        <f>Table11[[#This Row],[drinking]]</f>
        <v>Yes</v>
      </c>
      <c r="AJ33" s="78" t="str">
        <f>Table11[[#This Row],[oral_diet]]</f>
        <v>Yes</v>
      </c>
      <c r="AK33" s="78" t="str">
        <f>Table11[[#This Row],[mobilised]]</f>
        <v>Yes</v>
      </c>
      <c r="AL33" s="79" t="str">
        <f>Table11[[#This Row],[resp_supp]]</f>
        <v>None</v>
      </c>
      <c r="AM33" s="78">
        <f>Table11[[#This Row],[elev_head]]</f>
        <v>0</v>
      </c>
      <c r="AN33" s="78">
        <f>Table13[[#This Row],[in_hospital]]</f>
        <v>0</v>
      </c>
      <c r="AO33" s="78">
        <f>Table13[[#This Row],[location_7]]</f>
        <v>0</v>
      </c>
      <c r="AP33" s="78">
        <f>Table13[[#This Row],[infec_24]]</f>
        <v>0</v>
      </c>
      <c r="AQ33" s="73">
        <f>Table13[[#This Row],[infec_7]]</f>
        <v>0</v>
      </c>
      <c r="AR33" s="73">
        <f>Table13[[#This Row],[gastro]]</f>
        <v>0</v>
      </c>
      <c r="AS33" s="73">
        <f>Table13[[#This Row],[pulm_supp_24]]</f>
        <v>0</v>
      </c>
      <c r="AT33" s="73">
        <f>Table13[[#This Row],[pulm_supp_7]]</f>
        <v>0</v>
      </c>
      <c r="AU33" s="73">
        <f>Table13[[#This Row],[pulm_pharm]]</f>
        <v>0</v>
      </c>
      <c r="AV33" s="73">
        <f>Table13[[#This Row],[cardio_24]]</f>
        <v>0</v>
      </c>
      <c r="AW33" s="73">
        <f>Table13[[#This Row],[troponin_7]]</f>
        <v>0</v>
      </c>
      <c r="AX33" s="73">
        <f>Table13[[#This Row],[creatinine_base]]</f>
        <v>0</v>
      </c>
      <c r="AY33" s="73">
        <f>Table13[[#This Row],[creatinine_high]]</f>
        <v>0</v>
      </c>
      <c r="AZ33" s="73">
        <f>Table13[[#This Row],[rrt]]</f>
        <v>0</v>
      </c>
      <c r="BA33" s="73">
        <f>Table13[[#This Row],[renal_24]]</f>
        <v>0</v>
      </c>
      <c r="BB33" s="73">
        <f>Table13[[#This Row],[neuro]]</f>
        <v>0</v>
      </c>
      <c r="BC33" s="73">
        <f>Table13[[#This Row],[wound]]</f>
        <v>0</v>
      </c>
      <c r="BD33" s="73">
        <f>Table13[[#This Row],[haemato]]</f>
        <v>0</v>
      </c>
      <c r="BE33" s="73">
        <f>Table13[[#This Row],[pain]]</f>
        <v>0</v>
      </c>
      <c r="BF33" s="73">
        <f>Table13[[#This Row],[mobility]]</f>
        <v>0</v>
      </c>
      <c r="BG33" s="79">
        <f>Table13[[#This Row],[why_inpatient_7]]</f>
        <v>0</v>
      </c>
      <c r="BH33" s="9">
        <f>Table13[[#This Row],[date_15]]</f>
        <v>0</v>
      </c>
      <c r="BI33">
        <f>Table13[[#This Row],[inpatient_15]]</f>
        <v>0</v>
      </c>
      <c r="BJ33">
        <f>Table13[[#This Row],[comment_15]]</f>
        <v>0</v>
      </c>
      <c r="BK33" t="str">
        <f>Table13[[#This Row],[discharge_dest]]</f>
        <v>Own Home</v>
      </c>
      <c r="BL33" t="str">
        <f>Table13[[#This Row],[complication]]</f>
        <v>I</v>
      </c>
    </row>
    <row r="34" spans="1:64" ht="18" customHeight="1">
      <c r="A34" s="73">
        <f>Table5[[#This Row],[comment]]</f>
        <v>0</v>
      </c>
      <c r="B34" s="73" t="str">
        <f>Table9[[#This Row],[surgeon]]</f>
        <v>Irfan Siddique</v>
      </c>
      <c r="C34" s="73" t="str">
        <f>Table9[[#This Row],[surgery]]</f>
        <v xml:space="preserve">Posterior Spinal instrumentation Fusion </v>
      </c>
      <c r="D34" s="74" t="str">
        <f>Table5[[#This Row],[pqip_consent]]</f>
        <v>No</v>
      </c>
      <c r="E34" s="73" t="str">
        <f>Table6[[#This Row],[area_surgery]]</f>
        <v>Other</v>
      </c>
      <c r="F34" s="75">
        <f>Table6[[#This Row],[admission_date]]</f>
        <v>43318</v>
      </c>
      <c r="G34" s="75">
        <f>Table6[[#This Row],[admission_date]]</f>
        <v>43318</v>
      </c>
      <c r="H34" s="105"/>
      <c r="I34" s="73" t="str">
        <f>Table6[[#This Row],[discharge_loc]]</f>
        <v>NHDU (Level 2)</v>
      </c>
      <c r="J34" s="75">
        <f>Table6[[#This Row],[discharge_date]]</f>
        <v>43321</v>
      </c>
      <c r="K34" s="76">
        <f>Table6[[#This Row],[hospital_stay]]</f>
        <v>3</v>
      </c>
      <c r="L34" s="76" t="str">
        <f>Table6[[#This Row],[readmit_30]]</f>
        <v>No</v>
      </c>
      <c r="M34" s="77" t="str">
        <f>Table9[[#This Row],[troponin]]</f>
        <v>Not Measured</v>
      </c>
      <c r="N34" s="78">
        <f>Table9[[#This Row],[hb]]</f>
        <v>15</v>
      </c>
      <c r="O34" s="78">
        <f>Table9[[#This Row],[creatinine]]</f>
        <v>78</v>
      </c>
      <c r="P34" s="78" t="str">
        <f>Table9[[#This Row],[albumin]]</f>
        <v>Not Measured</v>
      </c>
      <c r="Q34" s="73" t="str">
        <f>Table9[[#This Row],[chest_physio]]</f>
        <v>Nurse</v>
      </c>
      <c r="R34" s="73" t="str">
        <f>Table9[[#This Row],[surgery_school]]</f>
        <v>No - Wasn’t offered it</v>
      </c>
      <c r="S34" s="75">
        <f>Table9[[#This Row],[date_school]]</f>
        <v>0</v>
      </c>
      <c r="T34" s="73" t="str">
        <f>Table9[[#This Row],[app_down]]</f>
        <v>No - Have electronic device</v>
      </c>
      <c r="U34" s="73" t="str">
        <f>Table9[[#This Row],[website]]</f>
        <v>No</v>
      </c>
      <c r="V34" s="73" t="str">
        <f>Table9[[#This Row],[base_activity]]</f>
        <v>No extra activity - Independent in ADLs</v>
      </c>
      <c r="W34" s="73" t="str">
        <f>Table9[[#This Row],[current_activity]]</f>
        <v>&gt;30mins of moderate activity</v>
      </c>
      <c r="X34" s="73" t="str">
        <f>Table9[[#This Row],[activity_type]]</f>
        <v>Other</v>
      </c>
      <c r="Y34" s="73" t="str">
        <f>Table9[[#This Row],[anaemia_treat]]</f>
        <v>Not applicable</v>
      </c>
      <c r="Z34" s="78" t="str">
        <f>Table9[[#This Row],[anaesthesia]]</f>
        <v>General with TIVA</v>
      </c>
      <c r="AA34" s="78">
        <f>Table9[[#This Row],[smoke_hist]]</f>
        <v>0</v>
      </c>
      <c r="AB34" s="78">
        <f>Table9[[#This Row],[smoke_cess]]</f>
        <v>0</v>
      </c>
      <c r="AC34" s="78" t="str">
        <f>Table9[[#This Row],[tidal_vol]]</f>
        <v>Not recorded</v>
      </c>
      <c r="AD34" s="77" t="str">
        <f>Table11[[#This Row],[inc_spiro]]</f>
        <v>&gt;Two</v>
      </c>
      <c r="AE34" s="73" t="str">
        <f>Table11[[#This Row],[t_brushes]]</f>
        <v>Once</v>
      </c>
      <c r="AF34" s="78" t="str">
        <f>Table11[[#This Row],[m_washes]]</f>
        <v>Once</v>
      </c>
      <c r="AG34" s="78" t="str">
        <f>Table11[[#This Row],[iv_disc]]</f>
        <v>No</v>
      </c>
      <c r="AH34" s="78">
        <f>Table11[[#This Row],[tolerate_15l]]</f>
        <v>0</v>
      </c>
      <c r="AI34" s="78" t="str">
        <f>Table11[[#This Row],[drinking]]</f>
        <v>Yes</v>
      </c>
      <c r="AJ34" s="78" t="str">
        <f>Table11[[#This Row],[oral_diet]]</f>
        <v>Yes</v>
      </c>
      <c r="AK34" s="78" t="str">
        <f>Table11[[#This Row],[mobilised]]</f>
        <v>No</v>
      </c>
      <c r="AL34" s="79" t="str">
        <f>Table11[[#This Row],[resp_supp]]</f>
        <v>None</v>
      </c>
      <c r="AM34" s="78">
        <f>Table11[[#This Row],[elev_head]]</f>
        <v>0</v>
      </c>
      <c r="AN34" s="78" t="str">
        <f>Table13[[#This Row],[in_hospital]]</f>
        <v>No</v>
      </c>
      <c r="AO34" s="78">
        <f>Table13[[#This Row],[location_7]]</f>
        <v>0</v>
      </c>
      <c r="AP34" s="78">
        <f>Table13[[#This Row],[infec_24]]</f>
        <v>0</v>
      </c>
      <c r="AQ34" s="73">
        <f>Table13[[#This Row],[infec_7]]</f>
        <v>0</v>
      </c>
      <c r="AR34" s="73">
        <f>Table13[[#This Row],[gastro]]</f>
        <v>0</v>
      </c>
      <c r="AS34" s="73">
        <f>Table13[[#This Row],[pulm_supp_24]]</f>
        <v>0</v>
      </c>
      <c r="AT34" s="73">
        <f>Table13[[#This Row],[pulm_supp_7]]</f>
        <v>0</v>
      </c>
      <c r="AU34" s="73">
        <f>Table13[[#This Row],[pulm_pharm]]</f>
        <v>0</v>
      </c>
      <c r="AV34" s="73">
        <f>Table13[[#This Row],[cardio_24]]</f>
        <v>0</v>
      </c>
      <c r="AW34" s="73">
        <f>Table13[[#This Row],[troponin_7]]</f>
        <v>0</v>
      </c>
      <c r="AX34" s="73">
        <f>Table13[[#This Row],[creatinine_base]]</f>
        <v>0</v>
      </c>
      <c r="AY34" s="73">
        <f>Table13[[#This Row],[creatinine_high]]</f>
        <v>0</v>
      </c>
      <c r="AZ34" s="73">
        <f>Table13[[#This Row],[rrt]]</f>
        <v>0</v>
      </c>
      <c r="BA34" s="73">
        <f>Table13[[#This Row],[renal_24]]</f>
        <v>0</v>
      </c>
      <c r="BB34" s="73">
        <f>Table13[[#This Row],[neuro]]</f>
        <v>0</v>
      </c>
      <c r="BC34" s="73">
        <f>Table13[[#This Row],[wound]]</f>
        <v>0</v>
      </c>
      <c r="BD34" s="73">
        <f>Table13[[#This Row],[haemato]]</f>
        <v>0</v>
      </c>
      <c r="BE34" s="73">
        <f>Table13[[#This Row],[pain]]</f>
        <v>0</v>
      </c>
      <c r="BF34" s="73">
        <f>Table13[[#This Row],[mobility]]</f>
        <v>0</v>
      </c>
      <c r="BG34" s="79">
        <f>Table13[[#This Row],[why_inpatient_7]]</f>
        <v>0</v>
      </c>
      <c r="BH34" s="9">
        <f>Table13[[#This Row],[date_15]]</f>
        <v>0</v>
      </c>
      <c r="BI34">
        <f>Table13[[#This Row],[inpatient_15]]</f>
        <v>0</v>
      </c>
      <c r="BJ34">
        <f>Table13[[#This Row],[comment_15]]</f>
        <v>0</v>
      </c>
      <c r="BK34" t="str">
        <f>Table13[[#This Row],[discharge_dest]]</f>
        <v>Own Home</v>
      </c>
      <c r="BL34" t="str">
        <f>Table13[[#This Row],[complication]]</f>
        <v>None</v>
      </c>
    </row>
    <row r="35" spans="1:64" ht="18" customHeight="1">
      <c r="A35" s="73">
        <f>Table5[[#This Row],[comment]]</f>
        <v>0</v>
      </c>
      <c r="B35" s="73" t="str">
        <f>Table9[[#This Row],[surgeon]]</f>
        <v>N P Lees</v>
      </c>
      <c r="C35" s="73" t="str">
        <f>Table9[[#This Row],[surgery]]</f>
        <v>Reversal of Hartmann's procedure</v>
      </c>
      <c r="D35" s="74" t="str">
        <f>Table5[[#This Row],[pqip_consent]]</f>
        <v>Yes</v>
      </c>
      <c r="E35" s="73" t="str">
        <f>Table6[[#This Row],[area_surgery]]</f>
        <v>Upper GI</v>
      </c>
      <c r="F35" s="75">
        <f>Table6[[#This Row],[admission_date]]</f>
        <v>43319</v>
      </c>
      <c r="G35" s="75">
        <f>Table6[[#This Row],[admission_date]]</f>
        <v>43319</v>
      </c>
      <c r="H35" s="105"/>
      <c r="I35" s="73" t="str">
        <f>Table6[[#This Row],[discharge_loc]]</f>
        <v>H6</v>
      </c>
      <c r="J35" s="75">
        <f>Table6[[#This Row],[discharge_date]]</f>
        <v>43329</v>
      </c>
      <c r="K35" s="76">
        <f>Table6[[#This Row],[hospital_stay]]</f>
        <v>10</v>
      </c>
      <c r="L35" s="76" t="str">
        <f>Table6[[#This Row],[readmit_30]]</f>
        <v>No</v>
      </c>
      <c r="M35" s="77" t="str">
        <f>Table9[[#This Row],[troponin]]</f>
        <v>Not Measured</v>
      </c>
      <c r="N35" s="78">
        <f>Table9[[#This Row],[hb]]</f>
        <v>15.6</v>
      </c>
      <c r="O35" s="78">
        <f>Table9[[#This Row],[creatinine]]</f>
        <v>84</v>
      </c>
      <c r="P35" s="78" t="str">
        <f>Table9[[#This Row],[albumin]]</f>
        <v>Not Measured</v>
      </c>
      <c r="Q35" s="73" t="str">
        <f>Table9[[#This Row],[chest_physio]]</f>
        <v>Nurse</v>
      </c>
      <c r="R35" s="73" t="str">
        <f>Table9[[#This Row],[surgery_school]]</f>
        <v>No - Wasn’t offered it</v>
      </c>
      <c r="S35" s="75">
        <f>Table9[[#This Row],[date_school]]</f>
        <v>0</v>
      </c>
      <c r="T35" s="73" t="str">
        <f>Table9[[#This Row],[app_down]]</f>
        <v>No - Have electronic device</v>
      </c>
      <c r="U35" s="73" t="str">
        <f>Table9[[#This Row],[website]]</f>
        <v>No</v>
      </c>
      <c r="V35" s="73" t="str">
        <f>Table9[[#This Row],[base_activity]]</f>
        <v>30mins of moderate activity</v>
      </c>
      <c r="W35" s="73" t="str">
        <f>Table9[[#This Row],[current_activity]]</f>
        <v>30mins of moderate activity</v>
      </c>
      <c r="X35" s="73" t="str">
        <f>Table9[[#This Row],[activity_type]]</f>
        <v xml:space="preserve">Walking regularly </v>
      </c>
      <c r="Y35" s="73" t="str">
        <f>Table9[[#This Row],[anaemia_treat]]</f>
        <v>Not applicable</v>
      </c>
      <c r="Z35" s="78" t="str">
        <f>Table9[[#This Row],[anaesthesia]]</f>
        <v>General with TIVA</v>
      </c>
      <c r="AA35" s="78">
        <f>Table9[[#This Row],[smoke_hist]]</f>
        <v>0</v>
      </c>
      <c r="AB35" s="78">
        <f>Table9[[#This Row],[smoke_cess]]</f>
        <v>0</v>
      </c>
      <c r="AC35" s="78" t="str">
        <f>Table9[[#This Row],[tidal_vol]]</f>
        <v>Not recorded</v>
      </c>
      <c r="AD35" s="77" t="str">
        <f>Table11[[#This Row],[inc_spiro]]</f>
        <v>Not used</v>
      </c>
      <c r="AE35" s="73" t="str">
        <f>Table11[[#This Row],[t_brushes]]</f>
        <v>None</v>
      </c>
      <c r="AF35" s="78" t="str">
        <f>Table11[[#This Row],[m_washes]]</f>
        <v>None</v>
      </c>
      <c r="AG35" s="78" t="str">
        <f>Table11[[#This Row],[iv_disc]]</f>
        <v>No</v>
      </c>
      <c r="AH35" s="78">
        <f>Table11[[#This Row],[tolerate_15l]]</f>
        <v>0</v>
      </c>
      <c r="AI35" s="78" t="str">
        <f>Table11[[#This Row],[drinking]]</f>
        <v>Yes</v>
      </c>
      <c r="AJ35" s="78" t="str">
        <f>Table11[[#This Row],[oral_diet]]</f>
        <v>No</v>
      </c>
      <c r="AK35" s="78" t="str">
        <f>Table11[[#This Row],[mobilised]]</f>
        <v>Yes</v>
      </c>
      <c r="AL35" s="79" t="str">
        <f>Table11[[#This Row],[resp_supp]]</f>
        <v>None</v>
      </c>
      <c r="AM35" s="78">
        <f>Table11[[#This Row],[elev_head]]</f>
        <v>0</v>
      </c>
      <c r="AN35" s="78" t="str">
        <f>Table13[[#This Row],[in_hospital]]</f>
        <v>Yes</v>
      </c>
      <c r="AO35" s="78" t="str">
        <f>Table13[[#This Row],[location_7]]</f>
        <v>Ward</v>
      </c>
      <c r="AP35" s="78" t="str">
        <f>Table13[[#This Row],[infec_24]]</f>
        <v>Patient currently on IV antibiotics</v>
      </c>
      <c r="AQ35" s="73" t="str">
        <f>Table13[[#This Row],[infec_7]]</f>
        <v>None</v>
      </c>
      <c r="AR35" s="73" t="str">
        <f>Table13[[#This Row],[gastro]]</f>
        <v>Unable to tolerate enteral diet</v>
      </c>
      <c r="AS35" s="73" t="str">
        <f>Table13[[#This Row],[pulm_supp_24]]</f>
        <v>None of the above</v>
      </c>
      <c r="AT35" s="73" t="str">
        <f>Table13[[#This Row],[pulm_supp_7]]</f>
        <v>None</v>
      </c>
      <c r="AU35" s="73" t="str">
        <f>Table13[[#This Row],[pulm_pharm]]</f>
        <v>None</v>
      </c>
      <c r="AV35" s="73" t="str">
        <f>Table13[[#This Row],[cardio_24]]</f>
        <v>None of the above</v>
      </c>
      <c r="AW35" s="73">
        <f>Table13[[#This Row],[troponin_7]]</f>
        <v>0</v>
      </c>
      <c r="AX35" s="73">
        <f>Table13[[#This Row],[creatinine_base]]</f>
        <v>84</v>
      </c>
      <c r="AY35" s="73">
        <f>Table13[[#This Row],[creatinine_high]]</f>
        <v>79</v>
      </c>
      <c r="AZ35" s="73" t="str">
        <f>Table13[[#This Row],[rrt]]</f>
        <v xml:space="preserve">No </v>
      </c>
      <c r="BA35" s="73" t="str">
        <f>Table13[[#This Row],[renal_24]]</f>
        <v>None of the above</v>
      </c>
      <c r="BB35" s="73" t="str">
        <f>Table13[[#This Row],[neuro]]</f>
        <v>None of the above</v>
      </c>
      <c r="BC35" s="73" t="str">
        <f>Table13[[#This Row],[wound]]</f>
        <v>None of the above</v>
      </c>
      <c r="BD35" s="73" t="str">
        <f>Table13[[#This Row],[haemato]]</f>
        <v>None of the above</v>
      </c>
      <c r="BE35" s="73" t="str">
        <f>Table13[[#This Row],[pain]]</f>
        <v>None of the above</v>
      </c>
      <c r="BF35" s="73" t="str">
        <f>Table13[[#This Row],[mobility]]</f>
        <v>Yes</v>
      </c>
      <c r="BG35" s="79" t="str">
        <f>Table13[[#This Row],[why_inpatient_7]]</f>
        <v>Medical/nursing care</v>
      </c>
      <c r="BH35" s="9">
        <f>Table13[[#This Row],[date_15]]</f>
        <v>43334</v>
      </c>
      <c r="BI35" t="str">
        <f>Table13[[#This Row],[inpatient_15]]</f>
        <v>No</v>
      </c>
      <c r="BJ35">
        <f>Table13[[#This Row],[comment_15]]</f>
        <v>0</v>
      </c>
      <c r="BK35" t="str">
        <f>Table13[[#This Row],[discharge_dest]]</f>
        <v>Own Home</v>
      </c>
      <c r="BL35" t="str">
        <f>Table13[[#This Row],[complication]]</f>
        <v>I, II</v>
      </c>
    </row>
    <row r="36" spans="1:64" ht="18" customHeight="1">
      <c r="A36" s="73">
        <f>Table5[[#This Row],[comment]]</f>
        <v>0</v>
      </c>
      <c r="B36" s="73" t="str">
        <f>Table9[[#This Row],[surgeon]]</f>
        <v>Satish Maddineni</v>
      </c>
      <c r="C36" s="73" t="str">
        <f>Table9[[#This Row],[surgery]]</f>
        <v>Laparotomy and left ureter ileal interposition</v>
      </c>
      <c r="D36" s="74" t="str">
        <f>Table5[[#This Row],[pqip_consent]]</f>
        <v>Yes</v>
      </c>
      <c r="E36" s="73" t="str">
        <f>Table6[[#This Row],[area_surgery]]</f>
        <v>Urology</v>
      </c>
      <c r="F36" s="75">
        <f>Table6[[#This Row],[admission_date]]</f>
        <v>43319</v>
      </c>
      <c r="G36" s="75">
        <f>Table6[[#This Row],[admission_date]]</f>
        <v>43319</v>
      </c>
      <c r="H36" s="105"/>
      <c r="I36" s="73" t="str">
        <f>Table6[[#This Row],[discharge_loc]]</f>
        <v>H6</v>
      </c>
      <c r="J36" s="75">
        <f>Table6[[#This Row],[discharge_date]]</f>
        <v>43324</v>
      </c>
      <c r="K36" s="76">
        <f>Table6[[#This Row],[hospital_stay]]</f>
        <v>5</v>
      </c>
      <c r="L36" s="76" t="str">
        <f>Table6[[#This Row],[readmit_30]]</f>
        <v>No</v>
      </c>
      <c r="M36" s="77" t="str">
        <f>Table9[[#This Row],[troponin]]</f>
        <v>Not Measured</v>
      </c>
      <c r="N36" s="78">
        <f>Table9[[#This Row],[hb]]</f>
        <v>11.1</v>
      </c>
      <c r="O36" s="78">
        <f>Table9[[#This Row],[creatinine]]</f>
        <v>109</v>
      </c>
      <c r="P36" s="78" t="str">
        <f>Table9[[#This Row],[albumin]]</f>
        <v>Not Measured</v>
      </c>
      <c r="Q36" s="73" t="str">
        <f>Table9[[#This Row],[chest_physio]]</f>
        <v>No</v>
      </c>
      <c r="R36" s="73" t="str">
        <f>Table9[[#This Row],[surgery_school]]</f>
        <v>No - Wasn’t offered it</v>
      </c>
      <c r="S36" s="75">
        <f>Table9[[#This Row],[date_school]]</f>
        <v>0</v>
      </c>
      <c r="T36" s="73" t="str">
        <f>Table9[[#This Row],[app_down]]</f>
        <v>No - Have electronic device</v>
      </c>
      <c r="U36" s="73" t="str">
        <f>Table9[[#This Row],[website]]</f>
        <v>No</v>
      </c>
      <c r="V36" s="73" t="str">
        <f>Table9[[#This Row],[base_activity]]</f>
        <v>No extra activity - Independent in ADLs</v>
      </c>
      <c r="W36" s="73" t="str">
        <f>Table9[[#This Row],[current_activity]]</f>
        <v>No extra activity - Independent in ADLs</v>
      </c>
      <c r="X36" s="73" t="str">
        <f>Table9[[#This Row],[activity_type]]</f>
        <v>None</v>
      </c>
      <c r="Y36" s="73" t="str">
        <f>Table9[[#This Row],[anaemia_treat]]</f>
        <v>Not applicable</v>
      </c>
      <c r="Z36" s="78" t="str">
        <f>Table9[[#This Row],[anaesthesia]]</f>
        <v>General with Inhalational</v>
      </c>
      <c r="AA36" s="78">
        <f>Table9[[#This Row],[smoke_hist]]</f>
        <v>0</v>
      </c>
      <c r="AB36" s="78">
        <f>Table9[[#This Row],[smoke_cess]]</f>
        <v>0</v>
      </c>
      <c r="AC36" s="78" t="str">
        <f>Table9[[#This Row],[tidal_vol]]</f>
        <v>Not recorded</v>
      </c>
      <c r="AD36" s="77" t="str">
        <f>Table11[[#This Row],[inc_spiro]]</f>
        <v>Not used</v>
      </c>
      <c r="AE36" s="73" t="str">
        <f>Table11[[#This Row],[t_brushes]]</f>
        <v>Once</v>
      </c>
      <c r="AF36" s="78" t="str">
        <f>Table11[[#This Row],[m_washes]]</f>
        <v>None</v>
      </c>
      <c r="AG36" s="78" t="str">
        <f>Table11[[#This Row],[iv_disc]]</f>
        <v>No</v>
      </c>
      <c r="AH36" s="78">
        <f>Table11[[#This Row],[tolerate_15l]]</f>
        <v>0</v>
      </c>
      <c r="AI36" s="78" t="str">
        <f>Table11[[#This Row],[drinking]]</f>
        <v>Yes</v>
      </c>
      <c r="AJ36" s="78" t="str">
        <f>Table11[[#This Row],[oral_diet]]</f>
        <v>No</v>
      </c>
      <c r="AK36" s="78" t="str">
        <f>Table11[[#This Row],[mobilised]]</f>
        <v>Yes</v>
      </c>
      <c r="AL36" s="79" t="str">
        <f>Table11[[#This Row],[resp_supp]]</f>
        <v>None</v>
      </c>
      <c r="AM36" s="78">
        <f>Table11[[#This Row],[elev_head]]</f>
        <v>0</v>
      </c>
      <c r="AN36" s="78" t="str">
        <f>Table13[[#This Row],[in_hospital]]</f>
        <v>No</v>
      </c>
      <c r="AO36" s="78">
        <f>Table13[[#This Row],[location_7]]</f>
        <v>0</v>
      </c>
      <c r="AP36" s="78">
        <f>Table13[[#This Row],[infec_24]]</f>
        <v>0</v>
      </c>
      <c r="AQ36" s="73">
        <f>Table13[[#This Row],[infec_7]]</f>
        <v>0</v>
      </c>
      <c r="AR36" s="73">
        <f>Table13[[#This Row],[gastro]]</f>
        <v>0</v>
      </c>
      <c r="AS36" s="73">
        <f>Table13[[#This Row],[pulm_supp_24]]</f>
        <v>0</v>
      </c>
      <c r="AT36" s="73">
        <f>Table13[[#This Row],[pulm_supp_7]]</f>
        <v>0</v>
      </c>
      <c r="AU36" s="73">
        <f>Table13[[#This Row],[pulm_pharm]]</f>
        <v>0</v>
      </c>
      <c r="AV36" s="73">
        <f>Table13[[#This Row],[cardio_24]]</f>
        <v>0</v>
      </c>
      <c r="AW36" s="73">
        <f>Table13[[#This Row],[troponin_7]]</f>
        <v>0</v>
      </c>
      <c r="AX36" s="73">
        <f>Table13[[#This Row],[creatinine_base]]</f>
        <v>0</v>
      </c>
      <c r="AY36" s="73">
        <f>Table13[[#This Row],[creatinine_high]]</f>
        <v>0</v>
      </c>
      <c r="AZ36" s="73">
        <f>Table13[[#This Row],[rrt]]</f>
        <v>0</v>
      </c>
      <c r="BA36" s="73">
        <f>Table13[[#This Row],[renal_24]]</f>
        <v>0</v>
      </c>
      <c r="BB36" s="73">
        <f>Table13[[#This Row],[neuro]]</f>
        <v>0</v>
      </c>
      <c r="BC36" s="73">
        <f>Table13[[#This Row],[wound]]</f>
        <v>0</v>
      </c>
      <c r="BD36" s="73">
        <f>Table13[[#This Row],[haemato]]</f>
        <v>0</v>
      </c>
      <c r="BE36" s="73">
        <f>Table13[[#This Row],[pain]]</f>
        <v>0</v>
      </c>
      <c r="BF36" s="73">
        <f>Table13[[#This Row],[mobility]]</f>
        <v>0</v>
      </c>
      <c r="BG36" s="79">
        <f>Table13[[#This Row],[why_inpatient_7]]</f>
        <v>0</v>
      </c>
      <c r="BH36" s="9">
        <f>Table13[[#This Row],[date_15]]</f>
        <v>0</v>
      </c>
      <c r="BI36">
        <f>Table13[[#This Row],[inpatient_15]]</f>
        <v>0</v>
      </c>
      <c r="BJ36">
        <f>Table13[[#This Row],[comment_15]]</f>
        <v>0</v>
      </c>
      <c r="BK36" t="str">
        <f>Table13[[#This Row],[discharge_dest]]</f>
        <v>Own Home</v>
      </c>
      <c r="BL36" t="str">
        <f>Table13[[#This Row],[complication]]</f>
        <v>I, II</v>
      </c>
    </row>
    <row r="37" spans="1:64" ht="18" customHeight="1">
      <c r="A37" s="73">
        <f>Table5[[#This Row],[comment]]</f>
        <v>0</v>
      </c>
      <c r="B37" s="73" t="str">
        <f>Table9[[#This Row],[surgeon]]</f>
        <v>Javed Sultan</v>
      </c>
      <c r="C37" s="73" t="str">
        <f>Table9[[#This Row],[surgery]]</f>
        <v>Subtotal gastrectomy</v>
      </c>
      <c r="D37" s="74" t="str">
        <f>Table5[[#This Row],[pqip_consent]]</f>
        <v>Yes</v>
      </c>
      <c r="E37" s="73" t="str">
        <f>Table6[[#This Row],[area_surgery]]</f>
        <v>Upper GI</v>
      </c>
      <c r="F37" s="75">
        <f>Table6[[#This Row],[admission_date]]</f>
        <v>43320</v>
      </c>
      <c r="G37" s="75">
        <f>Table6[[#This Row],[admission_date]]</f>
        <v>43320</v>
      </c>
      <c r="H37" s="105"/>
      <c r="I37" s="73" t="str">
        <f>Table6[[#This Row],[discharge_loc]]</f>
        <v>H6</v>
      </c>
      <c r="J37" s="75">
        <f>Table6[[#This Row],[discharge_date]]</f>
        <v>43330</v>
      </c>
      <c r="K37" s="76">
        <f>Table6[[#This Row],[hospital_stay]]</f>
        <v>10</v>
      </c>
      <c r="L37" s="76" t="str">
        <f>Table6[[#This Row],[readmit_30]]</f>
        <v>No</v>
      </c>
      <c r="M37" s="77" t="str">
        <f>Table9[[#This Row],[troponin]]</f>
        <v>Not Measured</v>
      </c>
      <c r="N37" s="78">
        <f>Table9[[#This Row],[hb]]</f>
        <v>10</v>
      </c>
      <c r="O37" s="78">
        <f>Table9[[#This Row],[creatinine]]</f>
        <v>58</v>
      </c>
      <c r="P37" s="78">
        <f>Table9[[#This Row],[albumin]]</f>
        <v>37</v>
      </c>
      <c r="Q37" s="73" t="str">
        <f>Table9[[#This Row],[chest_physio]]</f>
        <v>Nurse</v>
      </c>
      <c r="R37" s="73" t="str">
        <f>Table9[[#This Row],[surgery_school]]</f>
        <v>No - Wasn’t offered it</v>
      </c>
      <c r="S37" s="75">
        <f>Table9[[#This Row],[date_school]]</f>
        <v>0</v>
      </c>
      <c r="T37" s="73" t="str">
        <f>Table9[[#This Row],[app_down]]</f>
        <v>No - No electronic device</v>
      </c>
      <c r="U37" s="73" t="str">
        <f>Table9[[#This Row],[website]]</f>
        <v>No</v>
      </c>
      <c r="V37" s="73" t="str">
        <f>Table9[[#This Row],[base_activity]]</f>
        <v>No extra activity - Independent in ADLs</v>
      </c>
      <c r="W37" s="73" t="str">
        <f>Table9[[#This Row],[current_activity]]</f>
        <v>No extra activity - Independent in ADLs</v>
      </c>
      <c r="X37" s="73" t="str">
        <f>Table9[[#This Row],[activity_type]]</f>
        <v>None</v>
      </c>
      <c r="Y37" s="73" t="str">
        <f>Table9[[#This Row],[anaemia_treat]]</f>
        <v>Intravenous Iron</v>
      </c>
      <c r="Z37" s="78" t="str">
        <f>Table9[[#This Row],[anaesthesia]]</f>
        <v>General with Inhalational</v>
      </c>
      <c r="AA37" s="78">
        <f>Table9[[#This Row],[smoke_hist]]</f>
        <v>0</v>
      </c>
      <c r="AB37" s="78">
        <f>Table9[[#This Row],[smoke_cess]]</f>
        <v>0</v>
      </c>
      <c r="AC37" s="78" t="str">
        <f>Table9[[#This Row],[tidal_vol]]</f>
        <v>Not recorded</v>
      </c>
      <c r="AD37" s="77" t="str">
        <f>Table11[[#This Row],[inc_spiro]]</f>
        <v>&gt;Two</v>
      </c>
      <c r="AE37" s="73" t="str">
        <f>Table11[[#This Row],[t_brushes]]</f>
        <v>Twice</v>
      </c>
      <c r="AF37" s="78" t="str">
        <f>Table11[[#This Row],[m_washes]]</f>
        <v>Twice</v>
      </c>
      <c r="AG37" s="78" t="str">
        <f>Table11[[#This Row],[iv_disc]]</f>
        <v>No</v>
      </c>
      <c r="AH37" s="78">
        <f>Table11[[#This Row],[tolerate_15l]]</f>
        <v>0</v>
      </c>
      <c r="AI37" s="78" t="str">
        <f>Table11[[#This Row],[drinking]]</f>
        <v>No</v>
      </c>
      <c r="AJ37" s="78" t="str">
        <f>Table11[[#This Row],[oral_diet]]</f>
        <v>No</v>
      </c>
      <c r="AK37" s="78" t="str">
        <f>Table11[[#This Row],[mobilised]]</f>
        <v>Yes</v>
      </c>
      <c r="AL37" s="79" t="str">
        <f>Table11[[#This Row],[resp_supp]]</f>
        <v>None</v>
      </c>
      <c r="AM37" s="78">
        <f>Table11[[#This Row],[elev_head]]</f>
        <v>0</v>
      </c>
      <c r="AN37" s="78" t="str">
        <f>Table13[[#This Row],[in_hospital]]</f>
        <v>Yes</v>
      </c>
      <c r="AO37" s="78" t="str">
        <f>Table13[[#This Row],[location_7]]</f>
        <v>Ward</v>
      </c>
      <c r="AP37" s="78" t="str">
        <f>Table13[[#This Row],[infec_24]]</f>
        <v>Patient currently on IV antibiotics</v>
      </c>
      <c r="AQ37" s="73" t="str">
        <f>Table13[[#This Row],[infec_7]]</f>
        <v>Surgical site infection</v>
      </c>
      <c r="AR37" s="73" t="str">
        <f>Table13[[#This Row],[gastro]]</f>
        <v>None of the above</v>
      </c>
      <c r="AS37" s="73" t="str">
        <f>Table13[[#This Row],[pulm_supp_24]]</f>
        <v>None of the above</v>
      </c>
      <c r="AT37" s="73" t="str">
        <f>Table13[[#This Row],[pulm_supp_7]]</f>
        <v>None</v>
      </c>
      <c r="AU37" s="73" t="str">
        <f>Table13[[#This Row],[pulm_pharm]]</f>
        <v>None</v>
      </c>
      <c r="AV37" s="73" t="str">
        <f>Table13[[#This Row],[cardio_24]]</f>
        <v>None of the above</v>
      </c>
      <c r="AW37" s="73">
        <f>Table13[[#This Row],[troponin_7]]</f>
        <v>0</v>
      </c>
      <c r="AX37" s="73">
        <f>Table13[[#This Row],[creatinine_base]]</f>
        <v>58</v>
      </c>
      <c r="AY37" s="73">
        <f>Table13[[#This Row],[creatinine_high]]</f>
        <v>55</v>
      </c>
      <c r="AZ37" s="73" t="str">
        <f>Table13[[#This Row],[rrt]]</f>
        <v>Yes</v>
      </c>
      <c r="BA37" s="73" t="str">
        <f>Table13[[#This Row],[renal_24]]</f>
        <v>None of the above</v>
      </c>
      <c r="BB37" s="73" t="str">
        <f>Table13[[#This Row],[neuro]]</f>
        <v>None of the above</v>
      </c>
      <c r="BC37" s="73" t="str">
        <f>Table13[[#This Row],[wound]]</f>
        <v>Drainage of pus/Swab taken</v>
      </c>
      <c r="BD37" s="73" t="str">
        <f>Table13[[#This Row],[haemato]]</f>
        <v>None of the above</v>
      </c>
      <c r="BE37" s="73" t="str">
        <f>Table13[[#This Row],[pain]]</f>
        <v>None of the above</v>
      </c>
      <c r="BF37" s="73" t="str">
        <f>Table13[[#This Row],[mobility]]</f>
        <v>Yes</v>
      </c>
      <c r="BG37" s="79" t="str">
        <f>Table13[[#This Row],[why_inpatient_7]]</f>
        <v>Medical/nursing care</v>
      </c>
      <c r="BH37" s="9">
        <f>Table13[[#This Row],[date_15]]</f>
        <v>0</v>
      </c>
      <c r="BI37">
        <f>Table13[[#This Row],[inpatient_15]]</f>
        <v>0</v>
      </c>
      <c r="BJ37">
        <f>Table13[[#This Row],[comment_15]]</f>
        <v>0</v>
      </c>
      <c r="BK37" t="str">
        <f>Table13[[#This Row],[discharge_dest]]</f>
        <v>Own Home</v>
      </c>
      <c r="BL37" t="str">
        <f>Table13[[#This Row],[complication]]</f>
        <v>II</v>
      </c>
    </row>
    <row r="38" spans="1:64" ht="18" customHeight="1">
      <c r="A38" s="73">
        <f>Table5[[#This Row],[comment]]</f>
        <v>0</v>
      </c>
      <c r="B38" s="73" t="str">
        <f>Table9[[#This Row],[surgeon]]</f>
        <v>Jonathan Vickers</v>
      </c>
      <c r="C38" s="73" t="str">
        <f>Table9[[#This Row],[surgery]]</f>
        <v>Oesophagectomy</v>
      </c>
      <c r="D38" s="74" t="str">
        <f>Table5[[#This Row],[pqip_consent]]</f>
        <v>Yes</v>
      </c>
      <c r="E38" s="73" t="str">
        <f>Table6[[#This Row],[area_surgery]]</f>
        <v>Upper GI</v>
      </c>
      <c r="F38" s="75">
        <f>Table6[[#This Row],[admission_date]]</f>
        <v>43320</v>
      </c>
      <c r="G38" s="75">
        <f>Table6[[#This Row],[admission_date]]</f>
        <v>43320</v>
      </c>
      <c r="H38" s="105"/>
      <c r="I38" s="73" t="str">
        <f>Table6[[#This Row],[discharge_loc]]</f>
        <v>CCU</v>
      </c>
      <c r="J38" s="75">
        <f>Table6[[#This Row],[discharge_date]]</f>
        <v>43336</v>
      </c>
      <c r="K38" s="76">
        <f>Table6[[#This Row],[hospital_stay]]</f>
        <v>16</v>
      </c>
      <c r="L38" s="76" t="str">
        <f>Table6[[#This Row],[readmit_30]]</f>
        <v>No</v>
      </c>
      <c r="M38" s="77" t="str">
        <f>Table9[[#This Row],[troponin]]</f>
        <v>Not Measured</v>
      </c>
      <c r="N38" s="78">
        <f>Table9[[#This Row],[hb]]</f>
        <v>9.9</v>
      </c>
      <c r="O38" s="78">
        <f>Table9[[#This Row],[creatinine]]</f>
        <v>62</v>
      </c>
      <c r="P38" s="78">
        <f>Table9[[#This Row],[albumin]]</f>
        <v>40</v>
      </c>
      <c r="Q38" s="73" t="str">
        <f>Table9[[#This Row],[chest_physio]]</f>
        <v>Nurse</v>
      </c>
      <c r="R38" s="73" t="str">
        <f>Table9[[#This Row],[surgery_school]]</f>
        <v>No - Wasn’t offered it</v>
      </c>
      <c r="S38" s="75">
        <f>Table9[[#This Row],[date_school]]</f>
        <v>0</v>
      </c>
      <c r="T38" s="73" t="str">
        <f>Table9[[#This Row],[app_down]]</f>
        <v>No - Have electronic device</v>
      </c>
      <c r="U38" s="73" t="str">
        <f>Table9[[#This Row],[website]]</f>
        <v>No</v>
      </c>
      <c r="V38" s="73" t="str">
        <f>Table9[[#This Row],[base_activity]]</f>
        <v>&gt;30mins of moderate activity</v>
      </c>
      <c r="W38" s="73" t="str">
        <f>Table9[[#This Row],[current_activity]]</f>
        <v>&gt;30mins of moderate activity</v>
      </c>
      <c r="X38" s="73" t="str">
        <f>Table9[[#This Row],[activity_type]]</f>
        <v xml:space="preserve">Walking regularly </v>
      </c>
      <c r="Y38" s="73" t="str">
        <f>Table9[[#This Row],[anaemia_treat]]</f>
        <v>Intravenous Iron</v>
      </c>
      <c r="Z38" s="78" t="str">
        <f>Table9[[#This Row],[anaesthesia]]</f>
        <v>General with Inhalational</v>
      </c>
      <c r="AA38" s="78">
        <f>Table9[[#This Row],[smoke_hist]]</f>
        <v>0</v>
      </c>
      <c r="AB38" s="78">
        <f>Table9[[#This Row],[smoke_cess]]</f>
        <v>0</v>
      </c>
      <c r="AC38" s="78" t="str">
        <f>Table9[[#This Row],[tidal_vol]]</f>
        <v>Not recorded</v>
      </c>
      <c r="AD38" s="77" t="str">
        <f>Table11[[#This Row],[inc_spiro]]</f>
        <v>&gt;Two</v>
      </c>
      <c r="AE38" s="73" t="str">
        <f>Table11[[#This Row],[t_brushes]]</f>
        <v>Twice</v>
      </c>
      <c r="AF38" s="78" t="str">
        <f>Table11[[#This Row],[m_washes]]</f>
        <v>Twice</v>
      </c>
      <c r="AG38" s="78" t="str">
        <f>Table11[[#This Row],[iv_disc]]</f>
        <v>No</v>
      </c>
      <c r="AH38" s="78" t="str">
        <f>Table11[[#This Row],[tolerate_15l]]</f>
        <v>Not applicable</v>
      </c>
      <c r="AI38" s="78" t="str">
        <f>Table11[[#This Row],[drinking]]</f>
        <v>No</v>
      </c>
      <c r="AJ38" s="78" t="str">
        <f>Table11[[#This Row],[oral_diet]]</f>
        <v>No</v>
      </c>
      <c r="AK38" s="78" t="str">
        <f>Table11[[#This Row],[mobilised]]</f>
        <v>Yes</v>
      </c>
      <c r="AL38" s="79" t="str">
        <f>Table11[[#This Row],[resp_supp]]</f>
        <v>None</v>
      </c>
      <c r="AM38" s="78">
        <f>Table11[[#This Row],[elev_head]]</f>
        <v>0</v>
      </c>
      <c r="AN38" s="78" t="str">
        <f>Table13[[#This Row],[in_hospital]]</f>
        <v>Yes</v>
      </c>
      <c r="AO38" s="78" t="str">
        <f>Table13[[#This Row],[location_7]]</f>
        <v>Level 2</v>
      </c>
      <c r="AP38" s="78" t="str">
        <f>Table13[[#This Row],[infec_24]]</f>
        <v>Patient had temperature &gt;38˚C, Patient currently on IV antibiotics</v>
      </c>
      <c r="AQ38" s="73" t="str">
        <f>Table13[[#This Row],[infec_7]]</f>
        <v>Abdominal leak</v>
      </c>
      <c r="AR38" s="73" t="str">
        <f>Table13[[#This Row],[gastro]]</f>
        <v>Unable to tolerate enteral diet</v>
      </c>
      <c r="AS38" s="73" t="str">
        <f>Table13[[#This Row],[pulm_supp_24]]</f>
        <v>New requirement for oxygen</v>
      </c>
      <c r="AT38" s="73" t="str">
        <f>Table13[[#This Row],[pulm_supp_7]]</f>
        <v>None</v>
      </c>
      <c r="AU38" s="73" t="str">
        <f>Table13[[#This Row],[pulm_pharm]]</f>
        <v>Bronchodilators nebulised, Diuretics intravenous</v>
      </c>
      <c r="AV38" s="73" t="str">
        <f>Table13[[#This Row],[cardio_24]]</f>
        <v>None of the above</v>
      </c>
      <c r="AW38" s="73">
        <f>Table13[[#This Row],[troponin_7]]</f>
        <v>0</v>
      </c>
      <c r="AX38" s="73">
        <f>Table13[[#This Row],[creatinine_base]]</f>
        <v>62</v>
      </c>
      <c r="AY38" s="73">
        <f>Table13[[#This Row],[creatinine_high]]</f>
        <v>71</v>
      </c>
      <c r="AZ38" s="73" t="str">
        <f>Table13[[#This Row],[rrt]]</f>
        <v xml:space="preserve">No </v>
      </c>
      <c r="BA38" s="73" t="str">
        <f>Table13[[#This Row],[renal_24]]</f>
        <v>Urethral catheter in-situ (not present pre-operatively)</v>
      </c>
      <c r="BB38" s="73" t="str">
        <f>Table13[[#This Row],[neuro]]</f>
        <v>None of the above</v>
      </c>
      <c r="BC38" s="73" t="str">
        <f>Table13[[#This Row],[wound]]</f>
        <v>Drainage of pus/Swab taken</v>
      </c>
      <c r="BD38" s="73" t="str">
        <f>Table13[[#This Row],[haemato]]</f>
        <v>None of the above</v>
      </c>
      <c r="BE38" s="73" t="str">
        <f>Table13[[#This Row],[pain]]</f>
        <v>Parenteral opioids</v>
      </c>
      <c r="BF38" s="73" t="str">
        <f>Table13[[#This Row],[mobility]]</f>
        <v>No</v>
      </c>
      <c r="BG38" s="79" t="str">
        <f>Table13[[#This Row],[why_inpatient_7]]</f>
        <v>Medical/nursing care</v>
      </c>
      <c r="BH38" s="9">
        <f>Table13[[#This Row],[date_15]]</f>
        <v>43335</v>
      </c>
      <c r="BI38" t="str">
        <f>Table13[[#This Row],[inpatient_15]]</f>
        <v>Yes</v>
      </c>
      <c r="BJ38" t="str">
        <f>Table13[[#This Row],[comment_15]]</f>
        <v>Paroxysmal AF on 14th day, resolving diarrhoea, still soft diet, ongoing oxygen requirement, awaiting pump training, resolving HAP</v>
      </c>
      <c r="BK38" t="str">
        <f>Table13[[#This Row],[discharge_dest]]</f>
        <v>Own Home</v>
      </c>
      <c r="BL38" t="str">
        <f>Table13[[#This Row],[complication]]</f>
        <v>I, II</v>
      </c>
    </row>
    <row r="39" spans="1:64" ht="18" customHeight="1">
      <c r="A39" s="73">
        <f>Table5[[#This Row],[comment]]</f>
        <v>0</v>
      </c>
      <c r="B39" s="73" t="str">
        <f>Table9[[#This Row],[surgeon]]</f>
        <v>Rachel Melhado</v>
      </c>
      <c r="C39" s="73" t="str">
        <f>Table9[[#This Row],[surgery]]</f>
        <v>Oesophagectomy</v>
      </c>
      <c r="D39" s="74" t="str">
        <f>Table5[[#This Row],[pqip_consent]]</f>
        <v>Yes</v>
      </c>
      <c r="E39" s="73" t="str">
        <f>Table6[[#This Row],[area_surgery]]</f>
        <v>Upper GI</v>
      </c>
      <c r="F39" s="75">
        <f>Table6[[#This Row],[admission_date]]</f>
        <v>43321</v>
      </c>
      <c r="G39" s="75">
        <f>Table6[[#This Row],[admission_date]]</f>
        <v>43321</v>
      </c>
      <c r="H39" s="105"/>
      <c r="I39" s="73" t="str">
        <f>Table6[[#This Row],[discharge_loc]]</f>
        <v>CCU (Level 3)</v>
      </c>
      <c r="J39" s="75">
        <f>Table6[[#This Row],[discharge_date]]</f>
        <v>43329</v>
      </c>
      <c r="K39" s="76">
        <f>Table6[[#This Row],[hospital_stay]]</f>
        <v>8</v>
      </c>
      <c r="L39" s="76" t="str">
        <f>Table6[[#This Row],[readmit_30]]</f>
        <v>No</v>
      </c>
      <c r="M39" s="77" t="str">
        <f>Table9[[#This Row],[troponin]]</f>
        <v>Not Measured</v>
      </c>
      <c r="N39" s="78">
        <f>Table9[[#This Row],[hb]]</f>
        <v>12.2</v>
      </c>
      <c r="O39" s="78">
        <f>Table9[[#This Row],[creatinine]]</f>
        <v>64</v>
      </c>
      <c r="P39" s="78" t="str">
        <f>Table9[[#This Row],[albumin]]</f>
        <v>Not Measured</v>
      </c>
      <c r="Q39" s="73" t="str">
        <f>Table9[[#This Row],[chest_physio]]</f>
        <v>Nurse</v>
      </c>
      <c r="R39" s="73" t="str">
        <f>Table9[[#This Row],[surgery_school]]</f>
        <v>No - Wasn’t offered it</v>
      </c>
      <c r="S39" s="75">
        <f>Table9[[#This Row],[date_school]]</f>
        <v>0</v>
      </c>
      <c r="T39" s="73" t="str">
        <f>Table9[[#This Row],[app_down]]</f>
        <v>No - No electronic device</v>
      </c>
      <c r="U39" s="73" t="str">
        <f>Table9[[#This Row],[website]]</f>
        <v>No</v>
      </c>
      <c r="V39" s="73" t="str">
        <f>Table9[[#This Row],[base_activity]]</f>
        <v>No extra activity - Independent in ADLs</v>
      </c>
      <c r="W39" s="73" t="str">
        <f>Table9[[#This Row],[current_activity]]</f>
        <v>No extra activity - Independent in ADLs</v>
      </c>
      <c r="X39" s="73" t="str">
        <f>Table9[[#This Row],[activity_type]]</f>
        <v>None</v>
      </c>
      <c r="Y39" s="73" t="str">
        <f>Table9[[#This Row],[anaemia_treat]]</f>
        <v>Not applicable</v>
      </c>
      <c r="Z39" s="78" t="str">
        <f>Table9[[#This Row],[anaesthesia]]</f>
        <v>General with Inhalational</v>
      </c>
      <c r="AA39" s="78">
        <f>Table9[[#This Row],[smoke_hist]]</f>
        <v>0</v>
      </c>
      <c r="AB39" s="78">
        <f>Table9[[#This Row],[smoke_cess]]</f>
        <v>0</v>
      </c>
      <c r="AC39" s="78" t="str">
        <f>Table9[[#This Row],[tidal_vol]]</f>
        <v>Not recorded</v>
      </c>
      <c r="AD39" s="77" t="str">
        <f>Table11[[#This Row],[inc_spiro]]</f>
        <v>&gt;Two</v>
      </c>
      <c r="AE39" s="73" t="str">
        <f>Table11[[#This Row],[t_brushes]]</f>
        <v>Twice</v>
      </c>
      <c r="AF39" s="78" t="str">
        <f>Table11[[#This Row],[m_washes]]</f>
        <v>Twice</v>
      </c>
      <c r="AG39" s="78" t="str">
        <f>Table11[[#This Row],[iv_disc]]</f>
        <v>No</v>
      </c>
      <c r="AH39" s="78" t="str">
        <f>Table11[[#This Row],[tolerate_15l]]</f>
        <v>Not applicable</v>
      </c>
      <c r="AI39" s="78" t="str">
        <f>Table11[[#This Row],[drinking]]</f>
        <v>No</v>
      </c>
      <c r="AJ39" s="78" t="str">
        <f>Table11[[#This Row],[oral_diet]]</f>
        <v>No</v>
      </c>
      <c r="AK39" s="78" t="str">
        <f>Table11[[#This Row],[mobilised]]</f>
        <v>Yes</v>
      </c>
      <c r="AL39" s="79" t="str">
        <f>Table11[[#This Row],[resp_supp]]</f>
        <v>High flow Facial Mask Oxygen</v>
      </c>
      <c r="AM39" s="78">
        <f>Table11[[#This Row],[elev_head]]</f>
        <v>0</v>
      </c>
      <c r="AN39" s="78" t="str">
        <f>Table13[[#This Row],[in_hospital]]</f>
        <v>Yes</v>
      </c>
      <c r="AO39" s="78" t="str">
        <f>Table13[[#This Row],[location_7]]</f>
        <v>Ward</v>
      </c>
      <c r="AP39" s="78" t="str">
        <f>Table13[[#This Row],[infec_24]]</f>
        <v>None of the above</v>
      </c>
      <c r="AQ39" s="73" t="str">
        <f>Table13[[#This Row],[infec_7]]</f>
        <v>None</v>
      </c>
      <c r="AR39" s="73" t="str">
        <f>Table13[[#This Row],[gastro]]</f>
        <v>Unable to tolerate enteral diet</v>
      </c>
      <c r="AS39" s="73" t="str">
        <f>Table13[[#This Row],[pulm_supp_24]]</f>
        <v>None of the above</v>
      </c>
      <c r="AT39" s="73" t="str">
        <f>Table13[[#This Row],[pulm_supp_7]]</f>
        <v>None</v>
      </c>
      <c r="AU39" s="73" t="str">
        <f>Table13[[#This Row],[pulm_pharm]]</f>
        <v>None</v>
      </c>
      <c r="AV39" s="73" t="str">
        <f>Table13[[#This Row],[cardio_24]]</f>
        <v>None of the above</v>
      </c>
      <c r="AW39" s="73">
        <f>Table13[[#This Row],[troponin_7]]</f>
        <v>0</v>
      </c>
      <c r="AX39" s="73">
        <f>Table13[[#This Row],[creatinine_base]]</f>
        <v>64</v>
      </c>
      <c r="AY39" s="73">
        <f>Table13[[#This Row],[creatinine_high]]</f>
        <v>69</v>
      </c>
      <c r="AZ39" s="73" t="str">
        <f>Table13[[#This Row],[rrt]]</f>
        <v xml:space="preserve">No </v>
      </c>
      <c r="BA39" s="73" t="str">
        <f>Table13[[#This Row],[renal_24]]</f>
        <v>None of the above</v>
      </c>
      <c r="BB39" s="73" t="str">
        <f>Table13[[#This Row],[neuro]]</f>
        <v>None of the above</v>
      </c>
      <c r="BC39" s="73" t="str">
        <f>Table13[[#This Row],[wound]]</f>
        <v>None of the above</v>
      </c>
      <c r="BD39" s="73" t="str">
        <f>Table13[[#This Row],[haemato]]</f>
        <v>None of the above</v>
      </c>
      <c r="BE39" s="73" t="str">
        <f>Table13[[#This Row],[pain]]</f>
        <v>None of the above</v>
      </c>
      <c r="BF39" s="73" t="str">
        <f>Table13[[#This Row],[mobility]]</f>
        <v>No</v>
      </c>
      <c r="BG39" s="79" t="str">
        <f>Table13[[#This Row],[why_inpatient_7]]</f>
        <v>Mobility Issue, Medical/nursing care</v>
      </c>
      <c r="BH39" s="9">
        <f>Table13[[#This Row],[date_15]]</f>
        <v>0</v>
      </c>
      <c r="BI39">
        <f>Table13[[#This Row],[inpatient_15]]</f>
        <v>0</v>
      </c>
      <c r="BJ39">
        <f>Table13[[#This Row],[comment_15]]</f>
        <v>0</v>
      </c>
      <c r="BK39" t="str">
        <f>Table13[[#This Row],[discharge_dest]]</f>
        <v>Own Home</v>
      </c>
      <c r="BL39" t="str">
        <f>Table13[[#This Row],[complication]]</f>
        <v>II</v>
      </c>
    </row>
    <row r="40" spans="1:64" ht="18" customHeight="1">
      <c r="A40" s="73">
        <f>Table5[[#This Row],[comment]]</f>
        <v>0</v>
      </c>
      <c r="B40" s="73" t="str">
        <f>Table9[[#This Row],[surgeon]]</f>
        <v>Noel Clarke</v>
      </c>
      <c r="C40" s="73" t="str">
        <f>Table9[[#This Row],[surgery]]</f>
        <v>Open partial nephrectomy</v>
      </c>
      <c r="D40" s="74" t="str">
        <f>Table5[[#This Row],[pqip_consent]]</f>
        <v>No</v>
      </c>
      <c r="E40" s="73" t="str">
        <f>Table6[[#This Row],[area_surgery]]</f>
        <v>Nephrology</v>
      </c>
      <c r="F40" s="75">
        <f>Table6[[#This Row],[admission_date]]</f>
        <v>43321</v>
      </c>
      <c r="G40" s="75">
        <f>Table6[[#This Row],[admission_date]]</f>
        <v>43321</v>
      </c>
      <c r="H40" s="105">
        <f>Table6[[#This Row],[surgery_duration]]</f>
        <v>0.22916666666666666</v>
      </c>
      <c r="I40" s="73" t="str">
        <f>Table6[[#This Row],[discharge_loc]]</f>
        <v>H6</v>
      </c>
      <c r="J40" s="75">
        <f>Table6[[#This Row],[discharge_date]]</f>
        <v>43328</v>
      </c>
      <c r="K40" s="76">
        <f>Table6[[#This Row],[hospital_stay]]</f>
        <v>7</v>
      </c>
      <c r="L40" s="76" t="str">
        <f>Table6[[#This Row],[readmit_30]]</f>
        <v>No</v>
      </c>
      <c r="M40" s="77" t="str">
        <f>Table9[[#This Row],[troponin]]</f>
        <v>Not Measured</v>
      </c>
      <c r="N40" s="78">
        <f>Table9[[#This Row],[hb]]</f>
        <v>12.1</v>
      </c>
      <c r="O40" s="78">
        <f>Table9[[#This Row],[creatinine]]</f>
        <v>42</v>
      </c>
      <c r="P40" s="78" t="str">
        <f>Table9[[#This Row],[albumin]]</f>
        <v>Not Measured</v>
      </c>
      <c r="Q40" s="73" t="str">
        <f>Table9[[#This Row],[chest_physio]]</f>
        <v>Nurse</v>
      </c>
      <c r="R40" s="73" t="str">
        <f>Table9[[#This Row],[surgery_school]]</f>
        <v>No - Wasn’t offered it</v>
      </c>
      <c r="S40" s="75">
        <f>Table9[[#This Row],[date_school]]</f>
        <v>0</v>
      </c>
      <c r="T40" s="73" t="str">
        <f>Table9[[#This Row],[app_down]]</f>
        <v>No - Have electronic device</v>
      </c>
      <c r="U40" s="73" t="str">
        <f>Table9[[#This Row],[website]]</f>
        <v>No</v>
      </c>
      <c r="V40" s="73" t="str">
        <f>Table9[[#This Row],[base_activity]]</f>
        <v>No extra activity - Independent in ADLs</v>
      </c>
      <c r="W40" s="73" t="str">
        <f>Table9[[#This Row],[current_activity]]</f>
        <v>No extra activity - Independent in ADLs</v>
      </c>
      <c r="X40" s="73" t="str">
        <f>Table9[[#This Row],[activity_type]]</f>
        <v>None</v>
      </c>
      <c r="Y40" s="73" t="str">
        <f>Table9[[#This Row],[anaemia_treat]]</f>
        <v>Not applicable</v>
      </c>
      <c r="Z40" s="78" t="str">
        <f>Table9[[#This Row],[anaesthesia]]</f>
        <v>General with Inhalational</v>
      </c>
      <c r="AA40" s="78">
        <f>Table9[[#This Row],[smoke_hist]]</f>
        <v>0</v>
      </c>
      <c r="AB40" s="78">
        <f>Table9[[#This Row],[smoke_cess]]</f>
        <v>0</v>
      </c>
      <c r="AC40" s="78" t="str">
        <f>Table9[[#This Row],[tidal_vol]]</f>
        <v>Not recorded</v>
      </c>
      <c r="AD40" s="77" t="str">
        <f>Table11[[#This Row],[inc_spiro]]</f>
        <v>&gt;Two</v>
      </c>
      <c r="AE40" s="73" t="str">
        <f>Table11[[#This Row],[t_brushes]]</f>
        <v>Twice</v>
      </c>
      <c r="AF40" s="78" t="str">
        <f>Table11[[#This Row],[m_washes]]</f>
        <v>Twice</v>
      </c>
      <c r="AG40" s="78" t="str">
        <f>Table11[[#This Row],[iv_disc]]</f>
        <v>No</v>
      </c>
      <c r="AH40" s="78">
        <f>Table11[[#This Row],[tolerate_15l]]</f>
        <v>0</v>
      </c>
      <c r="AI40" s="78" t="str">
        <f>Table11[[#This Row],[drinking]]</f>
        <v>Yes</v>
      </c>
      <c r="AJ40" s="78" t="str">
        <f>Table11[[#This Row],[oral_diet]]</f>
        <v>No</v>
      </c>
      <c r="AK40" s="78" t="str">
        <f>Table11[[#This Row],[mobilised]]</f>
        <v>Yes</v>
      </c>
      <c r="AL40" s="79" t="str">
        <f>Table11[[#This Row],[resp_supp]]</f>
        <v>High flow Nasal</v>
      </c>
      <c r="AM40" s="78">
        <f>Table11[[#This Row],[elev_head]]</f>
        <v>0</v>
      </c>
      <c r="AN40" s="78" t="str">
        <f>Table13[[#This Row],[in_hospital]]</f>
        <v>No</v>
      </c>
      <c r="AO40" s="78">
        <f>Table13[[#This Row],[location_7]]</f>
        <v>0</v>
      </c>
      <c r="AP40" s="78">
        <f>Table13[[#This Row],[infec_24]]</f>
        <v>0</v>
      </c>
      <c r="AQ40" s="73">
        <f>Table13[[#This Row],[infec_7]]</f>
        <v>0</v>
      </c>
      <c r="AR40" s="73">
        <f>Table13[[#This Row],[gastro]]</f>
        <v>0</v>
      </c>
      <c r="AS40" s="73">
        <f>Table13[[#This Row],[pulm_supp_24]]</f>
        <v>0</v>
      </c>
      <c r="AT40" s="73" t="str">
        <f>Table13[[#This Row],[pulm_supp_7]]</f>
        <v>Moderate</v>
      </c>
      <c r="AU40" s="73">
        <f>Table13[[#This Row],[pulm_pharm]]</f>
        <v>0</v>
      </c>
      <c r="AV40" s="73">
        <f>Table13[[#This Row],[cardio_24]]</f>
        <v>0</v>
      </c>
      <c r="AW40" s="73">
        <f>Table13[[#This Row],[troponin_7]]</f>
        <v>0</v>
      </c>
      <c r="AX40" s="73">
        <f>Table13[[#This Row],[creatinine_base]]</f>
        <v>0</v>
      </c>
      <c r="AY40" s="73">
        <f>Table13[[#This Row],[creatinine_high]]</f>
        <v>0</v>
      </c>
      <c r="AZ40" s="73">
        <f>Table13[[#This Row],[rrt]]</f>
        <v>0</v>
      </c>
      <c r="BA40" s="73">
        <f>Table13[[#This Row],[renal_24]]</f>
        <v>0</v>
      </c>
      <c r="BB40" s="73">
        <f>Table13[[#This Row],[neuro]]</f>
        <v>0</v>
      </c>
      <c r="BC40" s="73">
        <f>Table13[[#This Row],[wound]]</f>
        <v>0</v>
      </c>
      <c r="BD40" s="73">
        <f>Table13[[#This Row],[haemato]]</f>
        <v>0</v>
      </c>
      <c r="BE40" s="73">
        <f>Table13[[#This Row],[pain]]</f>
        <v>0</v>
      </c>
      <c r="BF40" s="73">
        <f>Table13[[#This Row],[mobility]]</f>
        <v>0</v>
      </c>
      <c r="BG40" s="79">
        <f>Table13[[#This Row],[why_inpatient_7]]</f>
        <v>0</v>
      </c>
      <c r="BH40" s="9">
        <f>Table13[[#This Row],[date_15]]</f>
        <v>0</v>
      </c>
      <c r="BI40">
        <f>Table13[[#This Row],[inpatient_15]]</f>
        <v>0</v>
      </c>
      <c r="BJ40">
        <f>Table13[[#This Row],[comment_15]]</f>
        <v>0</v>
      </c>
      <c r="BK40" t="str">
        <f>Table13[[#This Row],[discharge_dest]]</f>
        <v>Own Home</v>
      </c>
      <c r="BL40" t="str">
        <f>Table13[[#This Row],[complication]]</f>
        <v>I, II</v>
      </c>
    </row>
    <row r="41" spans="1:64" ht="18" customHeight="1">
      <c r="A41" s="73">
        <f>Table5[[#This Row],[comment]]</f>
        <v>0</v>
      </c>
      <c r="B41" s="73" t="str">
        <f>Table9[[#This Row],[surgeon]]</f>
        <v>Euan Green</v>
      </c>
      <c r="C41" s="73" t="str">
        <f>Table9[[#This Row],[surgery]]</f>
        <v>Total nephrectomy (non-transplant)</v>
      </c>
      <c r="D41" s="74" t="str">
        <f>Table5[[#This Row],[pqip_consent]]</f>
        <v>Yes</v>
      </c>
      <c r="E41" s="73" t="str">
        <f>Table6[[#This Row],[area_surgery]]</f>
        <v>Nephrology</v>
      </c>
      <c r="F41" s="75">
        <f>Table6[[#This Row],[admission_date]]</f>
        <v>43326</v>
      </c>
      <c r="G41" s="75">
        <f>Table6[[#This Row],[admission_date]]</f>
        <v>43326</v>
      </c>
      <c r="H41" s="105">
        <f>Table6[[#This Row],[surgery_duration]]</f>
        <v>0.17708333333333334</v>
      </c>
      <c r="I41" s="73" t="str">
        <f>Table6[[#This Row],[discharge_loc]]</f>
        <v>H6</v>
      </c>
      <c r="J41" s="75">
        <f>Table6[[#This Row],[discharge_date]]</f>
        <v>43333</v>
      </c>
      <c r="K41" s="76">
        <f>Table6[[#This Row],[hospital_stay]]</f>
        <v>7</v>
      </c>
      <c r="L41" s="76" t="str">
        <f>Table6[[#This Row],[readmit_30]]</f>
        <v>No</v>
      </c>
      <c r="M41" s="77" t="str">
        <f>Table9[[#This Row],[troponin]]</f>
        <v>Not Measured</v>
      </c>
      <c r="N41" s="78">
        <f>Table9[[#This Row],[hb]]</f>
        <v>11.3</v>
      </c>
      <c r="O41" s="78">
        <f>Table9[[#This Row],[creatinine]]</f>
        <v>80</v>
      </c>
      <c r="P41" s="78" t="str">
        <f>Table9[[#This Row],[albumin]]</f>
        <v>Not Measured</v>
      </c>
      <c r="Q41" s="73" t="str">
        <f>Table9[[#This Row],[chest_physio]]</f>
        <v>Nurse</v>
      </c>
      <c r="R41" s="73" t="str">
        <f>Table9[[#This Row],[surgery_school]]</f>
        <v>No - Wasn’t offered it</v>
      </c>
      <c r="S41" s="75">
        <f>Table9[[#This Row],[date_school]]</f>
        <v>0</v>
      </c>
      <c r="T41" s="73" t="str">
        <f>Table9[[#This Row],[app_down]]</f>
        <v>No - No electronic device</v>
      </c>
      <c r="U41" s="73" t="str">
        <f>Table9[[#This Row],[website]]</f>
        <v>No</v>
      </c>
      <c r="V41" s="73" t="str">
        <f>Table9[[#This Row],[base_activity]]</f>
        <v>No extra activity - Independent in ADLs</v>
      </c>
      <c r="W41" s="73" t="str">
        <f>Table9[[#This Row],[current_activity]]</f>
        <v>No extra activity - Independent in ADLs</v>
      </c>
      <c r="X41" s="73" t="str">
        <f>Table9[[#This Row],[activity_type]]</f>
        <v>None</v>
      </c>
      <c r="Y41" s="73" t="str">
        <f>Table9[[#This Row],[anaemia_treat]]</f>
        <v>Not applicable</v>
      </c>
      <c r="Z41" s="78" t="str">
        <f>Table9[[#This Row],[anaesthesia]]</f>
        <v>General with Inhalational</v>
      </c>
      <c r="AA41" s="78">
        <f>Table9[[#This Row],[smoke_hist]]</f>
        <v>0</v>
      </c>
      <c r="AB41" s="78">
        <f>Table9[[#This Row],[smoke_cess]]</f>
        <v>0</v>
      </c>
      <c r="AC41" s="78" t="str">
        <f>Table9[[#This Row],[tidal_vol]]</f>
        <v>Not recorded</v>
      </c>
      <c r="AD41" s="77" t="str">
        <f>Table11[[#This Row],[inc_spiro]]</f>
        <v>&gt;Two</v>
      </c>
      <c r="AE41" s="73" t="str">
        <f>Table11[[#This Row],[t_brushes]]</f>
        <v>Twice</v>
      </c>
      <c r="AF41" s="78" t="str">
        <f>Table11[[#This Row],[m_washes]]</f>
        <v>Twice</v>
      </c>
      <c r="AG41" s="78" t="str">
        <f>Table11[[#This Row],[iv_disc]]</f>
        <v>No</v>
      </c>
      <c r="AH41" s="78" t="str">
        <f>Table11[[#This Row],[tolerate_15l]]</f>
        <v>Yes</v>
      </c>
      <c r="AI41" s="78" t="str">
        <f>Table11[[#This Row],[drinking]]</f>
        <v>Yes</v>
      </c>
      <c r="AJ41" s="78" t="str">
        <f>Table11[[#This Row],[oral_diet]]</f>
        <v>Yes</v>
      </c>
      <c r="AK41" s="78" t="str">
        <f>Table11[[#This Row],[mobilised]]</f>
        <v>Yes</v>
      </c>
      <c r="AL41" s="79" t="str">
        <f>Table11[[#This Row],[resp_supp]]</f>
        <v>None</v>
      </c>
      <c r="AM41" s="78">
        <f>Table11[[#This Row],[elev_head]]</f>
        <v>0</v>
      </c>
      <c r="AN41" s="78" t="str">
        <f>Table13[[#This Row],[in_hospital]]</f>
        <v>Yes</v>
      </c>
      <c r="AO41" s="78" t="str">
        <f>Table13[[#This Row],[location_7]]</f>
        <v>Level 2</v>
      </c>
      <c r="AP41" s="78" t="str">
        <f>Table13[[#This Row],[infec_24]]</f>
        <v>None of the above</v>
      </c>
      <c r="AQ41" s="73" t="str">
        <f>Table13[[#This Row],[infec_7]]</f>
        <v>None</v>
      </c>
      <c r="AR41" s="73" t="str">
        <f>Table13[[#This Row],[gastro]]</f>
        <v>None of the above</v>
      </c>
      <c r="AS41" s="73" t="str">
        <f>Table13[[#This Row],[pulm_supp_24]]</f>
        <v>None of the above</v>
      </c>
      <c r="AT41" s="73" t="str">
        <f>Table13[[#This Row],[pulm_supp_7]]</f>
        <v>None</v>
      </c>
      <c r="AU41" s="73" t="str">
        <f>Table13[[#This Row],[pulm_pharm]]</f>
        <v>None</v>
      </c>
      <c r="AV41" s="73" t="str">
        <f>Table13[[#This Row],[cardio_24]]</f>
        <v>None of the above</v>
      </c>
      <c r="AW41" s="73">
        <f>Table13[[#This Row],[troponin_7]]</f>
        <v>0</v>
      </c>
      <c r="AX41" s="73">
        <f>Table13[[#This Row],[creatinine_base]]</f>
        <v>80</v>
      </c>
      <c r="AY41" s="73">
        <f>Table13[[#This Row],[creatinine_high]]</f>
        <v>127</v>
      </c>
      <c r="AZ41" s="73" t="str">
        <f>Table13[[#This Row],[rrt]]</f>
        <v xml:space="preserve">No </v>
      </c>
      <c r="BA41" s="73" t="str">
        <f>Table13[[#This Row],[renal_24]]</f>
        <v>Serum creatinine level &gt;30% of pre-op level</v>
      </c>
      <c r="BB41" s="73" t="str">
        <f>Table13[[#This Row],[neuro]]</f>
        <v>None of the above</v>
      </c>
      <c r="BC41" s="73" t="str">
        <f>Table13[[#This Row],[wound]]</f>
        <v>None of the above</v>
      </c>
      <c r="BD41" s="73" t="str">
        <f>Table13[[#This Row],[haemato]]</f>
        <v>None of the above</v>
      </c>
      <c r="BE41" s="73" t="str">
        <f>Table13[[#This Row],[pain]]</f>
        <v>None of the above</v>
      </c>
      <c r="BF41" s="73" t="str">
        <f>Table13[[#This Row],[mobility]]</f>
        <v>No</v>
      </c>
      <c r="BG41" s="79" t="str">
        <f>Table13[[#This Row],[why_inpatient_7]]</f>
        <v>Medical/nursing care, Awaiting OT review</v>
      </c>
      <c r="BH41" s="9">
        <f>Table13[[#This Row],[date_15]]</f>
        <v>43341</v>
      </c>
      <c r="BI41" t="str">
        <f>Table13[[#This Row],[inpatient_15]]</f>
        <v>No</v>
      </c>
      <c r="BJ41">
        <f>Table13[[#This Row],[comment_15]]</f>
        <v>0</v>
      </c>
      <c r="BK41" t="str">
        <f>Table13[[#This Row],[discharge_dest]]</f>
        <v>Own Home</v>
      </c>
      <c r="BL41" t="str">
        <f>Table13[[#This Row],[complication]]</f>
        <v>I</v>
      </c>
    </row>
    <row r="42" spans="1:64" ht="18" customHeight="1">
      <c r="A42" s="73">
        <f>Table5[[#This Row],[comment]]</f>
        <v>0</v>
      </c>
      <c r="B42" s="73" t="str">
        <f>Table9[[#This Row],[surgeon]]</f>
        <v>Gordon Lawrence Carlson</v>
      </c>
      <c r="C42" s="73" t="str">
        <f>Table9[[#This Row],[surgery]]</f>
        <v>Abdominoperineal (AP) resection with anastamosis (+/- pouch)</v>
      </c>
      <c r="D42" s="74" t="str">
        <f>Table5[[#This Row],[pqip_consent]]</f>
        <v>Yes</v>
      </c>
      <c r="E42" s="73" t="str">
        <f>Table6[[#This Row],[area_surgery]]</f>
        <v>Lower GI</v>
      </c>
      <c r="F42" s="75">
        <f>Table6[[#This Row],[admission_date]]</f>
        <v>43325</v>
      </c>
      <c r="G42" s="75">
        <f>Table6[[#This Row],[admission_date]]</f>
        <v>43325</v>
      </c>
      <c r="H42" s="105"/>
      <c r="I42" s="73" t="str">
        <f>Table6[[#This Row],[discharge_loc]]</f>
        <v>H6</v>
      </c>
      <c r="J42" s="75">
        <f>Table6[[#This Row],[discharge_date]]</f>
        <v>43336</v>
      </c>
      <c r="K42" s="76">
        <f>Table6[[#This Row],[hospital_stay]]</f>
        <v>11</v>
      </c>
      <c r="L42" s="76" t="str">
        <f>Table6[[#This Row],[readmit_30]]</f>
        <v>No</v>
      </c>
      <c r="M42" s="77" t="str">
        <f>Table9[[#This Row],[troponin]]</f>
        <v>Not Measured</v>
      </c>
      <c r="N42" s="78">
        <f>Table9[[#This Row],[hb]]</f>
        <v>12.2</v>
      </c>
      <c r="O42" s="78">
        <f>Table9[[#This Row],[creatinine]]</f>
        <v>75</v>
      </c>
      <c r="P42" s="78">
        <f>Table9[[#This Row],[albumin]]</f>
        <v>40</v>
      </c>
      <c r="Q42" s="73" t="str">
        <f>Table9[[#This Row],[chest_physio]]</f>
        <v>Nurse</v>
      </c>
      <c r="R42" s="73" t="str">
        <f>Table9[[#This Row],[surgery_school]]</f>
        <v>No - Wasn’t offered it</v>
      </c>
      <c r="S42" s="75">
        <f>Table9[[#This Row],[date_school]]</f>
        <v>0</v>
      </c>
      <c r="T42" s="73" t="str">
        <f>Table9[[#This Row],[app_down]]</f>
        <v>No - Have electronic device</v>
      </c>
      <c r="U42" s="73" t="str">
        <f>Table9[[#This Row],[website]]</f>
        <v>No</v>
      </c>
      <c r="V42" s="73" t="str">
        <f>Table9[[#This Row],[base_activity]]</f>
        <v>No extra activity - Independent in ADLs</v>
      </c>
      <c r="W42" s="73" t="str">
        <f>Table9[[#This Row],[current_activity]]</f>
        <v>No extra activity - Independent in ADLs</v>
      </c>
      <c r="X42" s="73" t="str">
        <f>Table9[[#This Row],[activity_type]]</f>
        <v>None</v>
      </c>
      <c r="Y42" s="73" t="str">
        <f>Table9[[#This Row],[anaemia_treat]]</f>
        <v>Intravenous Iron</v>
      </c>
      <c r="Z42" s="78" t="str">
        <f>Table9[[#This Row],[anaesthesia]]</f>
        <v>General with Inhalational</v>
      </c>
      <c r="AA42" s="78">
        <f>Table9[[#This Row],[smoke_hist]]</f>
        <v>0</v>
      </c>
      <c r="AB42" s="78">
        <f>Table9[[#This Row],[smoke_cess]]</f>
        <v>0</v>
      </c>
      <c r="AC42" s="78" t="str">
        <f>Table9[[#This Row],[tidal_vol]]</f>
        <v>Not recorded</v>
      </c>
      <c r="AD42" s="77" t="str">
        <f>Table11[[#This Row],[inc_spiro]]</f>
        <v>&gt;Two</v>
      </c>
      <c r="AE42" s="73" t="str">
        <f>Table11[[#This Row],[t_brushes]]</f>
        <v>Twice</v>
      </c>
      <c r="AF42" s="78" t="str">
        <f>Table11[[#This Row],[m_washes]]</f>
        <v>None</v>
      </c>
      <c r="AG42" s="78" t="str">
        <f>Table11[[#This Row],[iv_disc]]</f>
        <v>No</v>
      </c>
      <c r="AH42" s="78">
        <f>Table11[[#This Row],[tolerate_15l]]</f>
        <v>0</v>
      </c>
      <c r="AI42" s="78" t="str">
        <f>Table11[[#This Row],[drinking]]</f>
        <v>Yes</v>
      </c>
      <c r="AJ42" s="78" t="str">
        <f>Table11[[#This Row],[oral_diet]]</f>
        <v>Yes</v>
      </c>
      <c r="AK42" s="78" t="str">
        <f>Table11[[#This Row],[mobilised]]</f>
        <v>Yes</v>
      </c>
      <c r="AL42" s="79" t="str">
        <f>Table11[[#This Row],[resp_supp]]</f>
        <v>None</v>
      </c>
      <c r="AM42" s="78">
        <f>Table11[[#This Row],[elev_head]]</f>
        <v>0</v>
      </c>
      <c r="AN42" s="78" t="str">
        <f>Table13[[#This Row],[in_hospital]]</f>
        <v>Yes</v>
      </c>
      <c r="AO42" s="78" t="str">
        <f>Table13[[#This Row],[location_7]]</f>
        <v>Level 2</v>
      </c>
      <c r="AP42" s="78" t="str">
        <f>Table13[[#This Row],[infec_24]]</f>
        <v>Patient currently on IV antibiotics</v>
      </c>
      <c r="AQ42" s="73" t="str">
        <f>Table13[[#This Row],[infec_7]]</f>
        <v>Chest</v>
      </c>
      <c r="AR42" s="73" t="str">
        <f>Table13[[#This Row],[gastro]]</f>
        <v>Unable to tolerate enteral diet</v>
      </c>
      <c r="AS42" s="73" t="str">
        <f>Table13[[#This Row],[pulm_supp_24]]</f>
        <v>New requirement for oxygen</v>
      </c>
      <c r="AT42" s="73" t="str">
        <f>Table13[[#This Row],[pulm_supp_7]]</f>
        <v>Mild</v>
      </c>
      <c r="AU42" s="73" t="str">
        <f>Table13[[#This Row],[pulm_pharm]]</f>
        <v>None</v>
      </c>
      <c r="AV42" s="73" t="str">
        <f>Table13[[#This Row],[cardio_24]]</f>
        <v>None of the above</v>
      </c>
      <c r="AW42" s="73">
        <f>Table13[[#This Row],[troponin_7]]</f>
        <v>0</v>
      </c>
      <c r="AX42" s="73">
        <f>Table13[[#This Row],[creatinine_base]]</f>
        <v>75</v>
      </c>
      <c r="AY42" s="73">
        <f>Table13[[#This Row],[creatinine_high]]</f>
        <v>86</v>
      </c>
      <c r="AZ42" s="73" t="str">
        <f>Table13[[#This Row],[rrt]]</f>
        <v xml:space="preserve">No </v>
      </c>
      <c r="BA42" s="73" t="str">
        <f>Table13[[#This Row],[renal_24]]</f>
        <v>Urethral catheter in-situ (not present pre-operatively)</v>
      </c>
      <c r="BB42" s="73" t="str">
        <f>Table13[[#This Row],[neuro]]</f>
        <v>Delirium or confusion</v>
      </c>
      <c r="BC42" s="73" t="str">
        <f>Table13[[#This Row],[wound]]</f>
        <v>None of the above</v>
      </c>
      <c r="BD42" s="73" t="str">
        <f>Table13[[#This Row],[haemato]]</f>
        <v>None of the above</v>
      </c>
      <c r="BE42" s="73" t="str">
        <f>Table13[[#This Row],[pain]]</f>
        <v>None of the above</v>
      </c>
      <c r="BF42" s="73" t="str">
        <f>Table13[[#This Row],[mobility]]</f>
        <v>No</v>
      </c>
      <c r="BG42" s="79" t="str">
        <f>Table13[[#This Row],[why_inpatient_7]]</f>
        <v>Medical/nursing care</v>
      </c>
      <c r="BH42" s="9">
        <f>Table13[[#This Row],[date_15]]</f>
        <v>0</v>
      </c>
      <c r="BI42">
        <f>Table13[[#This Row],[inpatient_15]]</f>
        <v>0</v>
      </c>
      <c r="BJ42">
        <f>Table13[[#This Row],[comment_15]]</f>
        <v>0</v>
      </c>
      <c r="BK42" t="str">
        <f>Table13[[#This Row],[discharge_dest]]</f>
        <v>Own Home</v>
      </c>
      <c r="BL42" t="str">
        <f>Table13[[#This Row],[complication]]</f>
        <v>II</v>
      </c>
    </row>
    <row r="43" spans="1:64" ht="18" customHeight="1">
      <c r="A43" s="73">
        <f>Table5[[#This Row],[comment]]</f>
        <v>0</v>
      </c>
      <c r="B43" s="73" t="str">
        <f>Table9[[#This Row],[surgeon]]</f>
        <v>Anant Tambe</v>
      </c>
      <c r="C43" s="73" t="str">
        <f>Table9[[#This Row],[surgery]]</f>
        <v>Posterior fusion +/- decompression +/- discectomy (cervical / lumbar regions)</v>
      </c>
      <c r="D43" s="74" t="str">
        <f>Table5[[#This Row],[pqip_consent]]</f>
        <v>No</v>
      </c>
      <c r="E43" s="73" t="str">
        <f>Table6[[#This Row],[area_surgery]]</f>
        <v>Other</v>
      </c>
      <c r="F43" s="75">
        <f>Table6[[#This Row],[admission_date]]</f>
        <v>43325</v>
      </c>
      <c r="G43" s="75">
        <f>Table6[[#This Row],[admission_date]]</f>
        <v>43325</v>
      </c>
      <c r="H43" s="105">
        <f>Table6[[#This Row],[surgery_duration]]</f>
        <v>0.35416666666666669</v>
      </c>
      <c r="I43" s="73" t="str">
        <f>Table6[[#This Row],[discharge_loc]]</f>
        <v>NHDU (Level 2)</v>
      </c>
      <c r="J43" s="75">
        <f>Table6[[#This Row],[discharge_date]]</f>
        <v>43329</v>
      </c>
      <c r="K43" s="76">
        <f>Table6[[#This Row],[hospital_stay]]</f>
        <v>4</v>
      </c>
      <c r="L43" s="76" t="str">
        <f>Table6[[#This Row],[readmit_30]]</f>
        <v>No</v>
      </c>
      <c r="M43" s="77" t="str">
        <f>Table9[[#This Row],[troponin]]</f>
        <v>Not Measured</v>
      </c>
      <c r="N43" s="78">
        <f>Table9[[#This Row],[hb]]</f>
        <v>14.1</v>
      </c>
      <c r="O43" s="78">
        <f>Table9[[#This Row],[creatinine]]</f>
        <v>79</v>
      </c>
      <c r="P43" s="78">
        <f>Table9[[#This Row],[albumin]]</f>
        <v>44</v>
      </c>
      <c r="Q43" s="73" t="str">
        <f>Table9[[#This Row],[chest_physio]]</f>
        <v>No</v>
      </c>
      <c r="R43" s="73" t="str">
        <f>Table9[[#This Row],[surgery_school]]</f>
        <v>No - Wasn’t offered it</v>
      </c>
      <c r="S43" s="75">
        <f>Table9[[#This Row],[date_school]]</f>
        <v>0</v>
      </c>
      <c r="T43" s="73" t="str">
        <f>Table9[[#This Row],[app_down]]</f>
        <v>No - Have electronic device</v>
      </c>
      <c r="U43" s="73" t="str">
        <f>Table9[[#This Row],[website]]</f>
        <v>No</v>
      </c>
      <c r="V43" s="73" t="str">
        <f>Table9[[#This Row],[base_activity]]</f>
        <v>&gt;30mins of moderate activity</v>
      </c>
      <c r="W43" s="73" t="str">
        <f>Table9[[#This Row],[current_activity]]</f>
        <v>&gt;30mins of moderate activity</v>
      </c>
      <c r="X43" s="73" t="str">
        <f>Table9[[#This Row],[activity_type]]</f>
        <v xml:space="preserve">Walking regularly </v>
      </c>
      <c r="Y43" s="73" t="str">
        <f>Table9[[#This Row],[anaemia_treat]]</f>
        <v>Not applicable</v>
      </c>
      <c r="Z43" s="78" t="str">
        <f>Table9[[#This Row],[anaesthesia]]</f>
        <v>General with Inhalational</v>
      </c>
      <c r="AA43" s="78">
        <f>Table9[[#This Row],[smoke_hist]]</f>
        <v>0</v>
      </c>
      <c r="AB43" s="78">
        <f>Table9[[#This Row],[smoke_cess]]</f>
        <v>0</v>
      </c>
      <c r="AC43" s="78" t="str">
        <f>Table9[[#This Row],[tidal_vol]]</f>
        <v>Not recorded</v>
      </c>
      <c r="AD43" s="77" t="str">
        <f>Table11[[#This Row],[inc_spiro]]</f>
        <v>&gt;Two</v>
      </c>
      <c r="AE43" s="73" t="str">
        <f>Table11[[#This Row],[t_brushes]]</f>
        <v>Twice</v>
      </c>
      <c r="AF43" s="78" t="str">
        <f>Table11[[#This Row],[m_washes]]</f>
        <v>Twice</v>
      </c>
      <c r="AG43" s="78" t="str">
        <f>Table11[[#This Row],[iv_disc]]</f>
        <v>No</v>
      </c>
      <c r="AH43" s="78">
        <f>Table11[[#This Row],[tolerate_15l]]</f>
        <v>0</v>
      </c>
      <c r="AI43" s="78" t="str">
        <f>Table11[[#This Row],[drinking]]</f>
        <v>Yes</v>
      </c>
      <c r="AJ43" s="78" t="str">
        <f>Table11[[#This Row],[oral_diet]]</f>
        <v>Yes</v>
      </c>
      <c r="AK43" s="78" t="str">
        <f>Table11[[#This Row],[mobilised]]</f>
        <v>Yes</v>
      </c>
      <c r="AL43" s="79" t="str">
        <f>Table11[[#This Row],[resp_supp]]</f>
        <v>None</v>
      </c>
      <c r="AM43" s="78">
        <f>Table11[[#This Row],[elev_head]]</f>
        <v>0</v>
      </c>
      <c r="AN43" s="78" t="str">
        <f>Table13[[#This Row],[in_hospital]]</f>
        <v>No</v>
      </c>
      <c r="AO43" s="78">
        <f>Table13[[#This Row],[location_7]]</f>
        <v>0</v>
      </c>
      <c r="AP43" s="78">
        <f>Table13[[#This Row],[infec_24]]</f>
        <v>0</v>
      </c>
      <c r="AQ43" s="73">
        <f>Table13[[#This Row],[infec_7]]</f>
        <v>0</v>
      </c>
      <c r="AR43" s="73">
        <f>Table13[[#This Row],[gastro]]</f>
        <v>0</v>
      </c>
      <c r="AS43" s="73">
        <f>Table13[[#This Row],[pulm_supp_24]]</f>
        <v>0</v>
      </c>
      <c r="AT43" s="73">
        <f>Table13[[#This Row],[pulm_supp_7]]</f>
        <v>0</v>
      </c>
      <c r="AU43" s="73">
        <f>Table13[[#This Row],[pulm_pharm]]</f>
        <v>0</v>
      </c>
      <c r="AV43" s="73">
        <f>Table13[[#This Row],[cardio_24]]</f>
        <v>0</v>
      </c>
      <c r="AW43" s="73">
        <f>Table13[[#This Row],[troponin_7]]</f>
        <v>0</v>
      </c>
      <c r="AX43" s="73">
        <f>Table13[[#This Row],[creatinine_base]]</f>
        <v>0</v>
      </c>
      <c r="AY43" s="73">
        <f>Table13[[#This Row],[creatinine_high]]</f>
        <v>0</v>
      </c>
      <c r="AZ43" s="73">
        <f>Table13[[#This Row],[rrt]]</f>
        <v>0</v>
      </c>
      <c r="BA43" s="73">
        <f>Table13[[#This Row],[renal_24]]</f>
        <v>0</v>
      </c>
      <c r="BB43" s="73">
        <f>Table13[[#This Row],[neuro]]</f>
        <v>0</v>
      </c>
      <c r="BC43" s="73">
        <f>Table13[[#This Row],[wound]]</f>
        <v>0</v>
      </c>
      <c r="BD43" s="73">
        <f>Table13[[#This Row],[haemato]]</f>
        <v>0</v>
      </c>
      <c r="BE43" s="73">
        <f>Table13[[#This Row],[pain]]</f>
        <v>0</v>
      </c>
      <c r="BF43" s="73">
        <f>Table13[[#This Row],[mobility]]</f>
        <v>0</v>
      </c>
      <c r="BG43" s="79">
        <f>Table13[[#This Row],[why_inpatient_7]]</f>
        <v>0</v>
      </c>
      <c r="BH43" s="9">
        <f>Table13[[#This Row],[date_15]]</f>
        <v>0</v>
      </c>
      <c r="BI43">
        <f>Table13[[#This Row],[inpatient_15]]</f>
        <v>0</v>
      </c>
      <c r="BJ43">
        <f>Table13[[#This Row],[comment_15]]</f>
        <v>0</v>
      </c>
      <c r="BK43" t="str">
        <f>Table13[[#This Row],[discharge_dest]]</f>
        <v>Own Home</v>
      </c>
      <c r="BL43" t="str">
        <f>Table13[[#This Row],[complication]]</f>
        <v>None</v>
      </c>
    </row>
    <row r="44" spans="1:64" ht="18" customHeight="1">
      <c r="A44" s="73">
        <f>Table5[[#This Row],[comment]]</f>
        <v>0</v>
      </c>
      <c r="B44" s="73" t="str">
        <f>Table9[[#This Row],[surgeon]]</f>
        <v>Silviu Sabou</v>
      </c>
      <c r="C44" s="73" t="str">
        <f>Table9[[#This Row],[surgery]]</f>
        <v>Posterior fusion +/- decompression +/- discectomy (cervical / lumbar regions)</v>
      </c>
      <c r="D44" s="74" t="str">
        <f>Table5[[#This Row],[pqip_consent]]</f>
        <v>No</v>
      </c>
      <c r="E44" s="73" t="str">
        <f>Table6[[#This Row],[area_surgery]]</f>
        <v>Other</v>
      </c>
      <c r="F44" s="75">
        <f>Table6[[#This Row],[admission_date]]</f>
        <v>43325</v>
      </c>
      <c r="G44" s="75">
        <f>Table6[[#This Row],[admission_date]]</f>
        <v>43325</v>
      </c>
      <c r="H44" s="105">
        <f>Table6[[#This Row],[surgery_duration]]</f>
        <v>0.39583333333333331</v>
      </c>
      <c r="I44" s="73" t="str">
        <f>Table6[[#This Row],[discharge_loc]]</f>
        <v>H5</v>
      </c>
      <c r="J44" s="75">
        <f>Table6[[#This Row],[discharge_date]]</f>
        <v>43332</v>
      </c>
      <c r="K44" s="76">
        <f>Table6[[#This Row],[hospital_stay]]</f>
        <v>7</v>
      </c>
      <c r="L44" s="76" t="str">
        <f>Table6[[#This Row],[readmit_30]]</f>
        <v>No</v>
      </c>
      <c r="M44" s="77" t="str">
        <f>Table9[[#This Row],[troponin]]</f>
        <v>Not Measured</v>
      </c>
      <c r="N44" s="78">
        <f>Table9[[#This Row],[hb]]</f>
        <v>14.9</v>
      </c>
      <c r="O44" s="78">
        <f>Table9[[#This Row],[creatinine]]</f>
        <v>79</v>
      </c>
      <c r="P44" s="78">
        <f>Table9[[#This Row],[albumin]]</f>
        <v>42</v>
      </c>
      <c r="Q44" s="73" t="str">
        <f>Table9[[#This Row],[chest_physio]]</f>
        <v>Nurse</v>
      </c>
      <c r="R44" s="73" t="str">
        <f>Table9[[#This Row],[surgery_school]]</f>
        <v>No - Wasn’t offered it</v>
      </c>
      <c r="S44" s="75">
        <f>Table9[[#This Row],[date_school]]</f>
        <v>0</v>
      </c>
      <c r="T44" s="73" t="str">
        <f>Table9[[#This Row],[app_down]]</f>
        <v>No - Have electronic device</v>
      </c>
      <c r="U44" s="73" t="str">
        <f>Table9[[#This Row],[website]]</f>
        <v>No</v>
      </c>
      <c r="V44" s="73" t="str">
        <f>Table9[[#This Row],[base_activity]]</f>
        <v>No extra activity - Independent in ADLs</v>
      </c>
      <c r="W44" s="73" t="str">
        <f>Table9[[#This Row],[current_activity]]</f>
        <v>No extra activity - Independent in ADLs</v>
      </c>
      <c r="X44" s="73" t="str">
        <f>Table9[[#This Row],[activity_type]]</f>
        <v>None</v>
      </c>
      <c r="Y44" s="73" t="str">
        <f>Table9[[#This Row],[anaemia_treat]]</f>
        <v>Not applicable</v>
      </c>
      <c r="Z44" s="78" t="str">
        <f>Table9[[#This Row],[anaesthesia]]</f>
        <v>General with TIVA</v>
      </c>
      <c r="AA44" s="78">
        <f>Table9[[#This Row],[smoke_hist]]</f>
        <v>0</v>
      </c>
      <c r="AB44" s="78">
        <f>Table9[[#This Row],[smoke_cess]]</f>
        <v>0</v>
      </c>
      <c r="AC44" s="78" t="str">
        <f>Table9[[#This Row],[tidal_vol]]</f>
        <v>Not recorded</v>
      </c>
      <c r="AD44" s="77" t="str">
        <f>Table11[[#This Row],[inc_spiro]]</f>
        <v>&gt;Two</v>
      </c>
      <c r="AE44" s="73" t="str">
        <f>Table11[[#This Row],[t_brushes]]</f>
        <v>Twice</v>
      </c>
      <c r="AF44" s="78" t="str">
        <f>Table11[[#This Row],[m_washes]]</f>
        <v>Twice</v>
      </c>
      <c r="AG44" s="78" t="str">
        <f>Table11[[#This Row],[iv_disc]]</f>
        <v>No</v>
      </c>
      <c r="AH44" s="78">
        <f>Table11[[#This Row],[tolerate_15l]]</f>
        <v>0</v>
      </c>
      <c r="AI44" s="78" t="str">
        <f>Table11[[#This Row],[drinking]]</f>
        <v>Yes</v>
      </c>
      <c r="AJ44" s="78" t="str">
        <f>Table11[[#This Row],[oral_diet]]</f>
        <v>Yes</v>
      </c>
      <c r="AK44" s="78" t="str">
        <f>Table11[[#This Row],[mobilised]]</f>
        <v>No</v>
      </c>
      <c r="AL44" s="79" t="str">
        <f>Table11[[#This Row],[resp_supp]]</f>
        <v>None</v>
      </c>
      <c r="AM44" s="78">
        <f>Table11[[#This Row],[elev_head]]</f>
        <v>0</v>
      </c>
      <c r="AN44" s="78" t="str">
        <f>Table13[[#This Row],[in_hospital]]</f>
        <v>Yes</v>
      </c>
      <c r="AO44" s="78" t="str">
        <f>Table13[[#This Row],[location_7]]</f>
        <v>Level 1</v>
      </c>
      <c r="AP44" s="78" t="str">
        <f>Table13[[#This Row],[infec_24]]</f>
        <v>Patient currently on IV antibiotics</v>
      </c>
      <c r="AQ44" s="73" t="str">
        <f>Table13[[#This Row],[infec_7]]</f>
        <v>None</v>
      </c>
      <c r="AR44" s="73" t="str">
        <f>Table13[[#This Row],[gastro]]</f>
        <v>None of the above</v>
      </c>
      <c r="AS44" s="73" t="str">
        <f>Table13[[#This Row],[pulm_supp_24]]</f>
        <v>None of the above</v>
      </c>
      <c r="AT44" s="73" t="str">
        <f>Table13[[#This Row],[pulm_supp_7]]</f>
        <v>None</v>
      </c>
      <c r="AU44" s="73" t="str">
        <f>Table13[[#This Row],[pulm_pharm]]</f>
        <v>None</v>
      </c>
      <c r="AV44" s="73" t="str">
        <f>Table13[[#This Row],[cardio_24]]</f>
        <v>None of the above</v>
      </c>
      <c r="AW44" s="73">
        <f>Table13[[#This Row],[troponin_7]]</f>
        <v>0</v>
      </c>
      <c r="AX44" s="73">
        <f>Table13[[#This Row],[creatinine_base]]</f>
        <v>79</v>
      </c>
      <c r="AY44" s="73">
        <f>Table13[[#This Row],[creatinine_high]]</f>
        <v>70</v>
      </c>
      <c r="AZ44" s="73" t="str">
        <f>Table13[[#This Row],[rrt]]</f>
        <v xml:space="preserve">No </v>
      </c>
      <c r="BA44" s="73" t="str">
        <f>Table13[[#This Row],[renal_24]]</f>
        <v>Urethral catheter in-situ (not present pre-operatively)</v>
      </c>
      <c r="BB44" s="73" t="str">
        <f>Table13[[#This Row],[neuro]]</f>
        <v>None of the above</v>
      </c>
      <c r="BC44" s="73" t="str">
        <f>Table13[[#This Row],[wound]]</f>
        <v>None of the above</v>
      </c>
      <c r="BD44" s="73" t="str">
        <f>Table13[[#This Row],[haemato]]</f>
        <v>None of the above</v>
      </c>
      <c r="BE44" s="73" t="str">
        <f>Table13[[#This Row],[pain]]</f>
        <v>None of the above</v>
      </c>
      <c r="BF44" s="73" t="str">
        <f>Table13[[#This Row],[mobility]]</f>
        <v>No</v>
      </c>
      <c r="BG44" s="79" t="str">
        <f>Table13[[#This Row],[why_inpatient_7]]</f>
        <v>Mobility Issue, Medical/nursing care</v>
      </c>
      <c r="BH44" s="9">
        <f>Table13[[#This Row],[date_15]]</f>
        <v>43340</v>
      </c>
      <c r="BI44" t="str">
        <f>Table13[[#This Row],[inpatient_15]]</f>
        <v>No</v>
      </c>
      <c r="BJ44">
        <f>Table13[[#This Row],[comment_15]]</f>
        <v>0</v>
      </c>
      <c r="BK44" t="str">
        <f>Table13[[#This Row],[discharge_dest]]</f>
        <v>Own Home</v>
      </c>
      <c r="BL44" t="str">
        <f>Table13[[#This Row],[complication]]</f>
        <v>I</v>
      </c>
    </row>
    <row r="45" spans="1:64" ht="18" customHeight="1">
      <c r="A45" s="73">
        <f>Table5[[#This Row],[comment]]</f>
        <v>0</v>
      </c>
      <c r="B45" s="73" t="str">
        <f>Table9[[#This Row],[surgeon]]</f>
        <v>Iain Anderson</v>
      </c>
      <c r="C45" s="73" t="str">
        <f>Table9[[#This Row],[surgery]]</f>
        <v>Intestinal failure reconstruction</v>
      </c>
      <c r="D45" s="74" t="str">
        <f>Table5[[#This Row],[pqip_consent]]</f>
        <v>Yes</v>
      </c>
      <c r="E45" s="73" t="str">
        <f>Table6[[#This Row],[area_surgery]]</f>
        <v>Lower GI</v>
      </c>
      <c r="F45" s="75">
        <f>Table6[[#This Row],[admission_date]]</f>
        <v>43326</v>
      </c>
      <c r="G45" s="75">
        <f>Table6[[#This Row],[admission_date]]</f>
        <v>43326</v>
      </c>
      <c r="H45" s="105">
        <f>Table6[[#This Row],[surgery_duration]]</f>
        <v>0.39930555555555558</v>
      </c>
      <c r="I45" s="73" t="str">
        <f>Table6[[#This Row],[discharge_loc]]</f>
        <v>H6</v>
      </c>
      <c r="J45" s="75">
        <f>Table6[[#This Row],[discharge_date]]</f>
        <v>43335</v>
      </c>
      <c r="K45" s="76">
        <f>Table6[[#This Row],[hospital_stay]]</f>
        <v>9</v>
      </c>
      <c r="L45" s="76" t="str">
        <f>Table6[[#This Row],[readmit_30]]</f>
        <v>No</v>
      </c>
      <c r="M45" s="77" t="str">
        <f>Table9[[#This Row],[troponin]]</f>
        <v>Not Measured</v>
      </c>
      <c r="N45" s="78">
        <f>Table9[[#This Row],[hb]]</f>
        <v>15.2</v>
      </c>
      <c r="O45" s="78">
        <f>Table9[[#This Row],[creatinine]]</f>
        <v>61</v>
      </c>
      <c r="P45" s="78">
        <f>Table9[[#This Row],[albumin]]</f>
        <v>40</v>
      </c>
      <c r="Q45" s="73" t="str">
        <f>Table9[[#This Row],[chest_physio]]</f>
        <v>Nurse</v>
      </c>
      <c r="R45" s="73" t="str">
        <f>Table9[[#This Row],[surgery_school]]</f>
        <v>No - Wasn’t offered it</v>
      </c>
      <c r="S45" s="75">
        <f>Table9[[#This Row],[date_school]]</f>
        <v>0</v>
      </c>
      <c r="T45" s="73" t="str">
        <f>Table9[[#This Row],[app_down]]</f>
        <v>No - Have electronic device</v>
      </c>
      <c r="U45" s="73" t="str">
        <f>Table9[[#This Row],[website]]</f>
        <v>No</v>
      </c>
      <c r="V45" s="73" t="str">
        <f>Table9[[#This Row],[base_activity]]</f>
        <v>30mins of moderate activity</v>
      </c>
      <c r="W45" s="73" t="str">
        <f>Table9[[#This Row],[current_activity]]</f>
        <v>30mins of moderate activity</v>
      </c>
      <c r="X45" s="73" t="str">
        <f>Table9[[#This Row],[activity_type]]</f>
        <v xml:space="preserve">Walking regularly </v>
      </c>
      <c r="Y45" s="73" t="str">
        <f>Table9[[#This Row],[anaemia_treat]]</f>
        <v>Not applicable</v>
      </c>
      <c r="Z45" s="78" t="str">
        <f>Table9[[#This Row],[anaesthesia]]</f>
        <v>General with TIVA</v>
      </c>
      <c r="AA45" s="78">
        <f>Table9[[#This Row],[smoke_hist]]</f>
        <v>0</v>
      </c>
      <c r="AB45" s="78">
        <f>Table9[[#This Row],[smoke_cess]]</f>
        <v>0</v>
      </c>
      <c r="AC45" s="78" t="str">
        <f>Table9[[#This Row],[tidal_vol]]</f>
        <v>Not recorded</v>
      </c>
      <c r="AD45" s="77" t="str">
        <f>Table11[[#This Row],[inc_spiro]]</f>
        <v>&gt;Two</v>
      </c>
      <c r="AE45" s="73" t="str">
        <f>Table11[[#This Row],[t_brushes]]</f>
        <v>Twice</v>
      </c>
      <c r="AF45" s="78" t="str">
        <f>Table11[[#This Row],[m_washes]]</f>
        <v>Twice</v>
      </c>
      <c r="AG45" s="78" t="str">
        <f>Table11[[#This Row],[iv_disc]]</f>
        <v>No</v>
      </c>
      <c r="AH45" s="78" t="str">
        <f>Table11[[#This Row],[tolerate_15l]]</f>
        <v>No</v>
      </c>
      <c r="AI45" s="78" t="str">
        <f>Table11[[#This Row],[drinking]]</f>
        <v>Yes</v>
      </c>
      <c r="AJ45" s="78" t="str">
        <f>Table11[[#This Row],[oral_diet]]</f>
        <v>No</v>
      </c>
      <c r="AK45" s="78" t="str">
        <f>Table11[[#This Row],[mobilised]]</f>
        <v>Yes</v>
      </c>
      <c r="AL45" s="79" t="str">
        <f>Table11[[#This Row],[resp_supp]]</f>
        <v>None</v>
      </c>
      <c r="AM45" s="78">
        <f>Table11[[#This Row],[elev_head]]</f>
        <v>0</v>
      </c>
      <c r="AN45" s="78" t="str">
        <f>Table13[[#This Row],[in_hospital]]</f>
        <v>Yes</v>
      </c>
      <c r="AO45" s="78" t="str">
        <f>Table13[[#This Row],[location_7]]</f>
        <v>Ward</v>
      </c>
      <c r="AP45" s="78" t="str">
        <f>Table13[[#This Row],[infec_24]]</f>
        <v>Patient currently on IV antibiotics</v>
      </c>
      <c r="AQ45" s="73" t="str">
        <f>Table13[[#This Row],[infec_7]]</f>
        <v>Empirical</v>
      </c>
      <c r="AR45" s="73" t="str">
        <f>Table13[[#This Row],[gastro]]</f>
        <v>None of the above</v>
      </c>
      <c r="AS45" s="73" t="str">
        <f>Table13[[#This Row],[pulm_supp_24]]</f>
        <v>None of the above</v>
      </c>
      <c r="AT45" s="73" t="str">
        <f>Table13[[#This Row],[pulm_supp_7]]</f>
        <v>None</v>
      </c>
      <c r="AU45" s="73" t="str">
        <f>Table13[[#This Row],[pulm_pharm]]</f>
        <v>None</v>
      </c>
      <c r="AV45" s="73" t="str">
        <f>Table13[[#This Row],[cardio_24]]</f>
        <v>Arrhythmias</v>
      </c>
      <c r="AW45" s="73">
        <f>Table13[[#This Row],[troponin_7]]</f>
        <v>0</v>
      </c>
      <c r="AX45" s="73">
        <f>Table13[[#This Row],[creatinine_base]]</f>
        <v>61</v>
      </c>
      <c r="AY45" s="73">
        <f>Table13[[#This Row],[creatinine_high]]</f>
        <v>65</v>
      </c>
      <c r="AZ45" s="73" t="str">
        <f>Table13[[#This Row],[rrt]]</f>
        <v xml:space="preserve">No </v>
      </c>
      <c r="BA45" s="73" t="str">
        <f>Table13[[#This Row],[renal_24]]</f>
        <v>None of the above</v>
      </c>
      <c r="BB45" s="73" t="str">
        <f>Table13[[#This Row],[neuro]]</f>
        <v>None of the above</v>
      </c>
      <c r="BC45" s="73" t="str">
        <f>Table13[[#This Row],[wound]]</f>
        <v>Drainage of pus/Swab taken</v>
      </c>
      <c r="BD45" s="73" t="str">
        <f>Table13[[#This Row],[haemato]]</f>
        <v>None of the above</v>
      </c>
      <c r="BE45" s="73" t="str">
        <f>Table13[[#This Row],[pain]]</f>
        <v>None of the above</v>
      </c>
      <c r="BF45" s="73" t="str">
        <f>Table13[[#This Row],[mobility]]</f>
        <v>Yes</v>
      </c>
      <c r="BG45" s="79" t="str">
        <f>Table13[[#This Row],[why_inpatient_7]]</f>
        <v>Medical/nursing care</v>
      </c>
      <c r="BH45" s="9">
        <f>Table13[[#This Row],[date_15]]</f>
        <v>43341</v>
      </c>
      <c r="BI45" t="str">
        <f>Table13[[#This Row],[inpatient_15]]</f>
        <v>No</v>
      </c>
      <c r="BJ45">
        <f>Table13[[#This Row],[comment_15]]</f>
        <v>0</v>
      </c>
      <c r="BK45" t="str">
        <f>Table13[[#This Row],[discharge_dest]]</f>
        <v>Own Home</v>
      </c>
      <c r="BL45" t="str">
        <f>Table13[[#This Row],[complication]]</f>
        <v>II</v>
      </c>
    </row>
    <row r="46" spans="1:64" ht="18" customHeight="1">
      <c r="A46" s="73">
        <f>Table5[[#This Row],[comment]]</f>
        <v>0</v>
      </c>
      <c r="B46" s="73" t="str">
        <f>Table9[[#This Row],[surgeon]]</f>
        <v>John Leach</v>
      </c>
      <c r="C46" s="73" t="str">
        <f>Table9[[#This Row],[surgery]]</f>
        <v>Posterior fusion +/- decompression +/- discectomy (cervical / lumbar regions)</v>
      </c>
      <c r="D46" s="74" t="str">
        <f>Table5[[#This Row],[pqip_consent]]</f>
        <v>No</v>
      </c>
      <c r="E46" s="73" t="str">
        <f>Table6[[#This Row],[area_surgery]]</f>
        <v>Other</v>
      </c>
      <c r="F46" s="75">
        <f>Table6[[#This Row],[admission_date]]</f>
        <v>43327</v>
      </c>
      <c r="G46" s="75">
        <f>Table6[[#This Row],[admission_date]]</f>
        <v>43327</v>
      </c>
      <c r="H46" s="105">
        <f>Table6[[#This Row],[surgery_duration]]</f>
        <v>0.29166666666666669</v>
      </c>
      <c r="I46" s="73" t="str">
        <f>Table6[[#This Row],[discharge_loc]]</f>
        <v>Ward</v>
      </c>
      <c r="J46" s="75">
        <f>Table6[[#This Row],[discharge_date]]</f>
        <v>43332</v>
      </c>
      <c r="K46" s="76">
        <f>Table6[[#This Row],[hospital_stay]]</f>
        <v>5</v>
      </c>
      <c r="L46" s="76" t="str">
        <f>Table6[[#This Row],[readmit_30]]</f>
        <v>No</v>
      </c>
      <c r="M46" s="77" t="str">
        <f>Table9[[#This Row],[troponin]]</f>
        <v>Not Measured</v>
      </c>
      <c r="N46" s="78">
        <f>Table9[[#This Row],[hb]]</f>
        <v>13.4</v>
      </c>
      <c r="O46" s="78">
        <f>Table9[[#This Row],[creatinine]]</f>
        <v>49</v>
      </c>
      <c r="P46" s="78" t="str">
        <f>Table9[[#This Row],[albumin]]</f>
        <v>Not Measured</v>
      </c>
      <c r="Q46" s="73" t="str">
        <f>Table9[[#This Row],[chest_physio]]</f>
        <v>No</v>
      </c>
      <c r="R46" s="73" t="str">
        <f>Table9[[#This Row],[surgery_school]]</f>
        <v>No - Wasn’t offered it</v>
      </c>
      <c r="S46" s="75">
        <f>Table9[[#This Row],[date_school]]</f>
        <v>0</v>
      </c>
      <c r="T46" s="73" t="str">
        <f>Table9[[#This Row],[app_down]]</f>
        <v>No - No electronic device</v>
      </c>
      <c r="U46" s="73" t="str">
        <f>Table9[[#This Row],[website]]</f>
        <v>No</v>
      </c>
      <c r="V46" s="73" t="str">
        <f>Table9[[#This Row],[base_activity]]</f>
        <v>No extra activity - Independent in ADLs</v>
      </c>
      <c r="W46" s="73" t="str">
        <f>Table9[[#This Row],[current_activity]]</f>
        <v>No extra activity - Independent in ADLs</v>
      </c>
      <c r="X46" s="73" t="str">
        <f>Table9[[#This Row],[activity_type]]</f>
        <v>None</v>
      </c>
      <c r="Y46" s="73" t="str">
        <f>Table9[[#This Row],[anaemia_treat]]</f>
        <v>Not applicable</v>
      </c>
      <c r="Z46" s="78" t="str">
        <f>Table9[[#This Row],[anaesthesia]]</f>
        <v>Not available</v>
      </c>
      <c r="AA46" s="78">
        <f>Table9[[#This Row],[smoke_hist]]</f>
        <v>0</v>
      </c>
      <c r="AB46" s="78">
        <f>Table9[[#This Row],[smoke_cess]]</f>
        <v>0</v>
      </c>
      <c r="AC46" s="78" t="str">
        <f>Table9[[#This Row],[tidal_vol]]</f>
        <v>Not recorded</v>
      </c>
      <c r="AD46" s="77" t="str">
        <f>Table11[[#This Row],[inc_spiro]]</f>
        <v>Not used</v>
      </c>
      <c r="AE46" s="73" t="str">
        <f>Table11[[#This Row],[t_brushes]]</f>
        <v>Twice</v>
      </c>
      <c r="AF46" s="78" t="str">
        <f>Table11[[#This Row],[m_washes]]</f>
        <v>Twice</v>
      </c>
      <c r="AG46" s="78" t="str">
        <f>Table11[[#This Row],[iv_disc]]</f>
        <v>Yes</v>
      </c>
      <c r="AH46" s="78">
        <f>Table11[[#This Row],[tolerate_15l]]</f>
        <v>0</v>
      </c>
      <c r="AI46" s="78" t="str">
        <f>Table11[[#This Row],[drinking]]</f>
        <v>Yes</v>
      </c>
      <c r="AJ46" s="78" t="str">
        <f>Table11[[#This Row],[oral_diet]]</f>
        <v>Yes</v>
      </c>
      <c r="AK46" s="78" t="str">
        <f>Table11[[#This Row],[mobilised]]</f>
        <v>No</v>
      </c>
      <c r="AL46" s="79" t="str">
        <f>Table11[[#This Row],[resp_supp]]</f>
        <v>None</v>
      </c>
      <c r="AM46" s="78">
        <f>Table11[[#This Row],[elev_head]]</f>
        <v>0</v>
      </c>
      <c r="AN46" s="78" t="str">
        <f>Table13[[#This Row],[in_hospital]]</f>
        <v>No</v>
      </c>
      <c r="AO46" s="78">
        <f>Table13[[#This Row],[location_7]]</f>
        <v>0</v>
      </c>
      <c r="AP46" s="78">
        <f>Table13[[#This Row],[infec_24]]</f>
        <v>0</v>
      </c>
      <c r="AQ46" s="73">
        <f>Table13[[#This Row],[infec_7]]</f>
        <v>0</v>
      </c>
      <c r="AR46" s="73">
        <f>Table13[[#This Row],[gastro]]</f>
        <v>0</v>
      </c>
      <c r="AS46" s="73">
        <f>Table13[[#This Row],[pulm_supp_24]]</f>
        <v>0</v>
      </c>
      <c r="AT46" s="73">
        <f>Table13[[#This Row],[pulm_supp_7]]</f>
        <v>0</v>
      </c>
      <c r="AU46" s="73">
        <f>Table13[[#This Row],[pulm_pharm]]</f>
        <v>0</v>
      </c>
      <c r="AV46" s="73">
        <f>Table13[[#This Row],[cardio_24]]</f>
        <v>0</v>
      </c>
      <c r="AW46" s="73">
        <f>Table13[[#This Row],[troponin_7]]</f>
        <v>0</v>
      </c>
      <c r="AX46" s="73">
        <f>Table13[[#This Row],[creatinine_base]]</f>
        <v>0</v>
      </c>
      <c r="AY46" s="73">
        <f>Table13[[#This Row],[creatinine_high]]</f>
        <v>0</v>
      </c>
      <c r="AZ46" s="73">
        <f>Table13[[#This Row],[rrt]]</f>
        <v>0</v>
      </c>
      <c r="BA46" s="73">
        <f>Table13[[#This Row],[renal_24]]</f>
        <v>0</v>
      </c>
      <c r="BB46" s="73">
        <f>Table13[[#This Row],[neuro]]</f>
        <v>0</v>
      </c>
      <c r="BC46" s="73">
        <f>Table13[[#This Row],[wound]]</f>
        <v>0</v>
      </c>
      <c r="BD46" s="73">
        <f>Table13[[#This Row],[haemato]]</f>
        <v>0</v>
      </c>
      <c r="BE46" s="73">
        <f>Table13[[#This Row],[pain]]</f>
        <v>0</v>
      </c>
      <c r="BF46" s="73">
        <f>Table13[[#This Row],[mobility]]</f>
        <v>0</v>
      </c>
      <c r="BG46" s="79">
        <f>Table13[[#This Row],[why_inpatient_7]]</f>
        <v>0</v>
      </c>
      <c r="BH46" s="9">
        <f>Table13[[#This Row],[date_15]]</f>
        <v>0</v>
      </c>
      <c r="BI46">
        <f>Table13[[#This Row],[inpatient_15]]</f>
        <v>0</v>
      </c>
      <c r="BJ46">
        <f>Table13[[#This Row],[comment_15]]</f>
        <v>0</v>
      </c>
      <c r="BK46" t="str">
        <f>Table13[[#This Row],[discharge_dest]]</f>
        <v>Own Home</v>
      </c>
      <c r="BL46" t="str">
        <f>Table13[[#This Row],[complication]]</f>
        <v>None</v>
      </c>
    </row>
    <row r="47" spans="1:64" ht="18" customHeight="1">
      <c r="A47" s="73">
        <f>Table5[[#This Row],[comment]]</f>
        <v>0</v>
      </c>
      <c r="B47" s="73" t="str">
        <f>Table9[[#This Row],[surgeon]]</f>
        <v>Akhtar Khurshid</v>
      </c>
      <c r="C47" s="73" t="str">
        <f>Table9[[#This Row],[surgery]]</f>
        <v xml:space="preserve">Oesophagectomy (total)/Oesophagogastrectomy </v>
      </c>
      <c r="D47" s="74" t="str">
        <f>Table5[[#This Row],[pqip_consent]]</f>
        <v>Yes</v>
      </c>
      <c r="E47" s="73" t="str">
        <f>Table6[[#This Row],[area_surgery]]</f>
        <v>Upper GI</v>
      </c>
      <c r="F47" s="75">
        <f>Table6[[#This Row],[admission_date]]</f>
        <v>43332</v>
      </c>
      <c r="G47" s="75">
        <f>Table6[[#This Row],[admission_date]]</f>
        <v>43332</v>
      </c>
      <c r="H47" s="105">
        <f>Table6[[#This Row],[surgery_duration]]</f>
        <v>0.375</v>
      </c>
      <c r="I47" s="73" t="str">
        <f>Table6[[#This Row],[discharge_loc]]</f>
        <v>CCU (Level 3)</v>
      </c>
      <c r="J47" s="75">
        <f>Table6[[#This Row],[discharge_date]]</f>
        <v>43376</v>
      </c>
      <c r="K47" s="76">
        <f>Table6[[#This Row],[hospital_stay]]</f>
        <v>44</v>
      </c>
      <c r="L47" s="76" t="str">
        <f>Table6[[#This Row],[readmit_30]]</f>
        <v>Yes</v>
      </c>
      <c r="M47" s="77" t="str">
        <f>Table9[[#This Row],[troponin]]</f>
        <v>Not Measured</v>
      </c>
      <c r="N47" s="78">
        <f>Table9[[#This Row],[hb]]</f>
        <v>14.7</v>
      </c>
      <c r="O47" s="78">
        <f>Table9[[#This Row],[creatinine]]</f>
        <v>62</v>
      </c>
      <c r="P47" s="78">
        <f>Table9[[#This Row],[albumin]]</f>
        <v>40</v>
      </c>
      <c r="Q47" s="73" t="str">
        <f>Table9[[#This Row],[chest_physio]]</f>
        <v>Nurse</v>
      </c>
      <c r="R47" s="73" t="str">
        <f>Table9[[#This Row],[surgery_school]]</f>
        <v>No - Wasn’t offered it</v>
      </c>
      <c r="S47" s="75">
        <f>Table9[[#This Row],[date_school]]</f>
        <v>0</v>
      </c>
      <c r="T47" s="73" t="str">
        <f>Table9[[#This Row],[app_down]]</f>
        <v>No - Have electronic device</v>
      </c>
      <c r="U47" s="73" t="str">
        <f>Table9[[#This Row],[website]]</f>
        <v>No</v>
      </c>
      <c r="V47" s="73" t="str">
        <f>Table9[[#This Row],[base_activity]]</f>
        <v>No extra activity - Independent in ADLs</v>
      </c>
      <c r="W47" s="73" t="str">
        <f>Table9[[#This Row],[current_activity]]</f>
        <v>No extra activity - Independent in ADLs</v>
      </c>
      <c r="X47" s="73" t="str">
        <f>Table9[[#This Row],[activity_type]]</f>
        <v>None</v>
      </c>
      <c r="Y47" s="73" t="str">
        <f>Table9[[#This Row],[anaemia_treat]]</f>
        <v>Not applicable</v>
      </c>
      <c r="Z47" s="78" t="str">
        <f>Table9[[#This Row],[anaesthesia]]</f>
        <v>General with Inhalational</v>
      </c>
      <c r="AA47" s="78">
        <f>Table9[[#This Row],[smoke_hist]]</f>
        <v>0</v>
      </c>
      <c r="AB47" s="78">
        <f>Table9[[#This Row],[smoke_cess]]</f>
        <v>0</v>
      </c>
      <c r="AC47" s="78" t="str">
        <f>Table9[[#This Row],[tidal_vol]]</f>
        <v>Not recorded</v>
      </c>
      <c r="AD47" s="77" t="str">
        <f>Table11[[#This Row],[inc_spiro]]</f>
        <v>&gt;Two</v>
      </c>
      <c r="AE47" s="73" t="str">
        <f>Table11[[#This Row],[t_brushes]]</f>
        <v>Twice</v>
      </c>
      <c r="AF47" s="78" t="str">
        <f>Table11[[#This Row],[m_washes]]</f>
        <v>None</v>
      </c>
      <c r="AG47" s="78" t="str">
        <f>Table11[[#This Row],[iv_disc]]</f>
        <v>No</v>
      </c>
      <c r="AH47" s="78" t="str">
        <f>Table11[[#This Row],[tolerate_15l]]</f>
        <v>Not applicable</v>
      </c>
      <c r="AI47" s="78" t="str">
        <f>Table11[[#This Row],[drinking]]</f>
        <v>No</v>
      </c>
      <c r="AJ47" s="78" t="str">
        <f>Table11[[#This Row],[oral_diet]]</f>
        <v>No</v>
      </c>
      <c r="AK47" s="78" t="str">
        <f>Table11[[#This Row],[mobilised]]</f>
        <v>Yes</v>
      </c>
      <c r="AL47" s="79" t="str">
        <f>Table11[[#This Row],[resp_supp]]</f>
        <v>None</v>
      </c>
      <c r="AM47" s="78">
        <f>Table11[[#This Row],[elev_head]]</f>
        <v>0</v>
      </c>
      <c r="AN47" s="78" t="str">
        <f>Table13[[#This Row],[in_hospital]]</f>
        <v>Yes</v>
      </c>
      <c r="AO47" s="78" t="str">
        <f>Table13[[#This Row],[location_7]]</f>
        <v>Level 3</v>
      </c>
      <c r="AP47" s="78" t="str">
        <f>Table13[[#This Row],[infec_24]]</f>
        <v>Patient currently on IV antibiotics</v>
      </c>
      <c r="AQ47" s="73" t="str">
        <f>Table13[[#This Row],[infec_7]]</f>
        <v>Abdominal leak</v>
      </c>
      <c r="AR47" s="73" t="str">
        <f>Table13[[#This Row],[gastro]]</f>
        <v>Unable to tolerate enteral diet</v>
      </c>
      <c r="AS47" s="73" t="str">
        <f>Table13[[#This Row],[pulm_supp_24]]</f>
        <v>New requirement for respiratory support</v>
      </c>
      <c r="AT47" s="73" t="str">
        <f>Table13[[#This Row],[pulm_supp_7]]</f>
        <v>Moderate</v>
      </c>
      <c r="AU47" s="73" t="str">
        <f>Table13[[#This Row],[pulm_pharm]]</f>
        <v>None</v>
      </c>
      <c r="AV47" s="73" t="str">
        <f>Table13[[#This Row],[cardio_24]]</f>
        <v>Hypotension, Arrhythmias</v>
      </c>
      <c r="AW47" s="73">
        <f>Table13[[#This Row],[troponin_7]]</f>
        <v>0</v>
      </c>
      <c r="AX47" s="73">
        <f>Table13[[#This Row],[creatinine_base]]</f>
        <v>63</v>
      </c>
      <c r="AY47" s="73">
        <f>Table13[[#This Row],[creatinine_high]]</f>
        <v>63</v>
      </c>
      <c r="AZ47" s="73" t="str">
        <f>Table13[[#This Row],[rrt]]</f>
        <v xml:space="preserve">No </v>
      </c>
      <c r="BA47" s="73" t="str">
        <f>Table13[[#This Row],[renal_24]]</f>
        <v>Urethral catheter in-situ (not present pre-operatively)</v>
      </c>
      <c r="BB47" s="73" t="str">
        <f>Table13[[#This Row],[neuro]]</f>
        <v>None of the above</v>
      </c>
      <c r="BC47" s="73" t="str">
        <f>Table13[[#This Row],[wound]]</f>
        <v>None of the above</v>
      </c>
      <c r="BD47" s="73" t="str">
        <f>Table13[[#This Row],[haemato]]</f>
        <v>None of the above</v>
      </c>
      <c r="BE47" s="73" t="str">
        <f>Table13[[#This Row],[pain]]</f>
        <v>Parenteral opioids</v>
      </c>
      <c r="BF47" s="73" t="str">
        <f>Table13[[#This Row],[mobility]]</f>
        <v>No</v>
      </c>
      <c r="BG47" s="79" t="str">
        <f>Table13[[#This Row],[why_inpatient_7]]</f>
        <v>Medical/nursing care</v>
      </c>
      <c r="BH47" s="9">
        <f>Table13[[#This Row],[date_15]]</f>
        <v>43347</v>
      </c>
      <c r="BI47" t="str">
        <f>Table13[[#This Row],[inpatient_15]]</f>
        <v>Yes</v>
      </c>
      <c r="BJ47" t="str">
        <f>Table13[[#This Row],[comment_15]]</f>
        <v>Admission complicated by laparotomy for bowell herniation;on day 7, readmitted to ICU due to severe sepsis (CDT); on day 13, persistent severe colitic changes and distended large bowel loops; on day 15, colitis, arm oedema, delirium, jej leaking around site, macrocytic anaemia and thrombocytosis</v>
      </c>
      <c r="BK47" t="str">
        <f>Table13[[#This Row],[discharge_dest]]</f>
        <v>Care Home</v>
      </c>
      <c r="BL47" t="str">
        <f>Table13[[#This Row],[complication]]</f>
        <v>I, II, IIIB, IVA</v>
      </c>
    </row>
    <row r="48" spans="1:64" ht="18" customHeight="1">
      <c r="A48" s="73">
        <f>Table5[[#This Row],[comment]]</f>
        <v>0</v>
      </c>
      <c r="B48" s="73" t="str">
        <f>Table9[[#This Row],[surgeon]]</f>
        <v>Kamran Hassan</v>
      </c>
      <c r="C48" s="73" t="str">
        <f>Table9[[#This Row],[surgery]]</f>
        <v>Anterior discectomy +/- decompression and fusion (cervical / lumbar regions)</v>
      </c>
      <c r="D48" s="74" t="str">
        <f>Table5[[#This Row],[pqip_consent]]</f>
        <v>No</v>
      </c>
      <c r="E48" s="73" t="str">
        <f>Table6[[#This Row],[area_surgery]]</f>
        <v>Other</v>
      </c>
      <c r="F48" s="75">
        <f>Table6[[#This Row],[admission_date]]</f>
        <v>43325</v>
      </c>
      <c r="G48" s="75">
        <f>Table6[[#This Row],[admission_date]]</f>
        <v>43325</v>
      </c>
      <c r="H48" s="105">
        <f>Table6[[#This Row],[surgery_duration]]</f>
        <v>0.19791666666666666</v>
      </c>
      <c r="I48" s="73" t="str">
        <f>Table6[[#This Row],[discharge_loc]]</f>
        <v>H7</v>
      </c>
      <c r="J48" s="75">
        <f>Table6[[#This Row],[discharge_date]]</f>
        <v>43329</v>
      </c>
      <c r="K48" s="76">
        <f>Table6[[#This Row],[hospital_stay]]</f>
        <v>2</v>
      </c>
      <c r="L48" s="76" t="str">
        <f>Table6[[#This Row],[readmit_30]]</f>
        <v>No</v>
      </c>
      <c r="M48" s="77" t="str">
        <f>Table9[[#This Row],[troponin]]</f>
        <v>Not Measured</v>
      </c>
      <c r="N48" s="78">
        <f>Table9[[#This Row],[hb]]</f>
        <v>13</v>
      </c>
      <c r="O48" s="78">
        <f>Table9[[#This Row],[creatinine]]</f>
        <v>60</v>
      </c>
      <c r="P48" s="78">
        <f>Table9[[#This Row],[albumin]]</f>
        <v>47</v>
      </c>
      <c r="Q48" s="73" t="str">
        <f>Table9[[#This Row],[chest_physio]]</f>
        <v>No</v>
      </c>
      <c r="R48" s="73" t="str">
        <f>Table9[[#This Row],[surgery_school]]</f>
        <v>No - Wasn’t offered it</v>
      </c>
      <c r="S48" s="75">
        <f>Table9[[#This Row],[date_school]]</f>
        <v>0</v>
      </c>
      <c r="T48" s="73" t="str">
        <f>Table9[[#This Row],[app_down]]</f>
        <v>No - No electronic device</v>
      </c>
      <c r="U48" s="73" t="str">
        <f>Table9[[#This Row],[website]]</f>
        <v>No</v>
      </c>
      <c r="V48" s="73" t="str">
        <f>Table9[[#This Row],[base_activity]]</f>
        <v>No extra activity - Independent in ADLs</v>
      </c>
      <c r="W48" s="73" t="str">
        <f>Table9[[#This Row],[current_activity]]</f>
        <v>No extra activity - Independent in ADLs</v>
      </c>
      <c r="X48" s="73" t="str">
        <f>Table9[[#This Row],[activity_type]]</f>
        <v>None</v>
      </c>
      <c r="Y48" s="73" t="str">
        <f>Table9[[#This Row],[anaemia_treat]]</f>
        <v>Not applicable</v>
      </c>
      <c r="Z48" s="78" t="str">
        <f>Table9[[#This Row],[anaesthesia]]</f>
        <v>General with Inhalational</v>
      </c>
      <c r="AA48" s="78">
        <f>Table9[[#This Row],[smoke_hist]]</f>
        <v>0</v>
      </c>
      <c r="AB48" s="78">
        <f>Table9[[#This Row],[smoke_cess]]</f>
        <v>0</v>
      </c>
      <c r="AC48" s="78" t="str">
        <f>Table9[[#This Row],[tidal_vol]]</f>
        <v>Not recorded</v>
      </c>
      <c r="AD48" s="77" t="str">
        <f>Table11[[#This Row],[inc_spiro]]</f>
        <v>Not used</v>
      </c>
      <c r="AE48" s="73" t="str">
        <f>Table11[[#This Row],[t_brushes]]</f>
        <v>Twice</v>
      </c>
      <c r="AF48" s="78" t="str">
        <f>Table11[[#This Row],[m_washes]]</f>
        <v>Twice</v>
      </c>
      <c r="AG48" s="78" t="str">
        <f>Table11[[#This Row],[iv_disc]]</f>
        <v>Yes</v>
      </c>
      <c r="AH48" s="78">
        <f>Table11[[#This Row],[tolerate_15l]]</f>
        <v>0</v>
      </c>
      <c r="AI48" s="78" t="str">
        <f>Table11[[#This Row],[drinking]]</f>
        <v>Yes</v>
      </c>
      <c r="AJ48" s="78" t="str">
        <f>Table11[[#This Row],[oral_diet]]</f>
        <v>Yes</v>
      </c>
      <c r="AK48" s="78" t="str">
        <f>Table11[[#This Row],[mobilised]]</f>
        <v>Yes</v>
      </c>
      <c r="AL48" s="79" t="str">
        <f>Table11[[#This Row],[resp_supp]]</f>
        <v>None</v>
      </c>
      <c r="AM48" s="78">
        <f>Table11[[#This Row],[elev_head]]</f>
        <v>0</v>
      </c>
      <c r="AN48" s="78" t="str">
        <f>Table13[[#This Row],[in_hospital]]</f>
        <v>No</v>
      </c>
      <c r="AO48" s="78">
        <f>Table13[[#This Row],[location_7]]</f>
        <v>0</v>
      </c>
      <c r="AP48" s="78">
        <f>Table13[[#This Row],[infec_24]]</f>
        <v>0</v>
      </c>
      <c r="AQ48" s="73">
        <f>Table13[[#This Row],[infec_7]]</f>
        <v>0</v>
      </c>
      <c r="AR48" s="73">
        <f>Table13[[#This Row],[gastro]]</f>
        <v>0</v>
      </c>
      <c r="AS48" s="73">
        <f>Table13[[#This Row],[pulm_supp_24]]</f>
        <v>0</v>
      </c>
      <c r="AT48" s="73">
        <f>Table13[[#This Row],[pulm_supp_7]]</f>
        <v>0</v>
      </c>
      <c r="AU48" s="73">
        <f>Table13[[#This Row],[pulm_pharm]]</f>
        <v>0</v>
      </c>
      <c r="AV48" s="73">
        <f>Table13[[#This Row],[cardio_24]]</f>
        <v>0</v>
      </c>
      <c r="AW48" s="73">
        <f>Table13[[#This Row],[troponin_7]]</f>
        <v>0</v>
      </c>
      <c r="AX48" s="73">
        <f>Table13[[#This Row],[creatinine_base]]</f>
        <v>0</v>
      </c>
      <c r="AY48" s="73">
        <f>Table13[[#This Row],[creatinine_high]]</f>
        <v>0</v>
      </c>
      <c r="AZ48" s="73">
        <f>Table13[[#This Row],[rrt]]</f>
        <v>0</v>
      </c>
      <c r="BA48" s="73">
        <f>Table13[[#This Row],[renal_24]]</f>
        <v>0</v>
      </c>
      <c r="BB48" s="73">
        <f>Table13[[#This Row],[neuro]]</f>
        <v>0</v>
      </c>
      <c r="BC48" s="73">
        <f>Table13[[#This Row],[wound]]</f>
        <v>0</v>
      </c>
      <c r="BD48" s="73">
        <f>Table13[[#This Row],[haemato]]</f>
        <v>0</v>
      </c>
      <c r="BE48" s="73">
        <f>Table13[[#This Row],[pain]]</f>
        <v>0</v>
      </c>
      <c r="BF48" s="73">
        <f>Table13[[#This Row],[mobility]]</f>
        <v>0</v>
      </c>
      <c r="BG48" s="79">
        <f>Table13[[#This Row],[why_inpatient_7]]</f>
        <v>0</v>
      </c>
      <c r="BH48" s="9">
        <f>Table13[[#This Row],[date_15]]</f>
        <v>0</v>
      </c>
      <c r="BI48">
        <f>Table13[[#This Row],[inpatient_15]]</f>
        <v>0</v>
      </c>
      <c r="BJ48">
        <f>Table13[[#This Row],[comment_15]]</f>
        <v>0</v>
      </c>
      <c r="BK48" t="str">
        <f>Table13[[#This Row],[discharge_dest]]</f>
        <v>Own Home</v>
      </c>
      <c r="BL48" t="str">
        <f>Table13[[#This Row],[complication]]</f>
        <v>I</v>
      </c>
    </row>
    <row r="49" spans="1:64" ht="18" customHeight="1">
      <c r="A49" s="73">
        <f>Table5[[#This Row],[comment]]</f>
        <v>0</v>
      </c>
      <c r="B49" s="73" t="str">
        <f>Table9[[#This Row],[surgeon]]</f>
        <v>Clare Mason</v>
      </c>
      <c r="C49" s="73" t="str">
        <f>Table9[[#This Row],[surgery]]</f>
        <v>Right hemicolectomy (with anastamosis)</v>
      </c>
      <c r="D49" s="74" t="str">
        <f>Table5[[#This Row],[pqip_consent]]</f>
        <v>Yes</v>
      </c>
      <c r="E49" s="73" t="str">
        <f>Table6[[#This Row],[area_surgery]]</f>
        <v>Lower GI</v>
      </c>
      <c r="F49" s="75">
        <f>Table6[[#This Row],[admission_date]]</f>
        <v>43328</v>
      </c>
      <c r="G49" s="75">
        <f>Table6[[#This Row],[admission_date]]</f>
        <v>43328</v>
      </c>
      <c r="H49" s="105">
        <f>Table6[[#This Row],[surgery_duration]]</f>
        <v>0.20833333333333334</v>
      </c>
      <c r="I49" s="73" t="str">
        <f>Table6[[#This Row],[discharge_loc]]</f>
        <v>H6</v>
      </c>
      <c r="J49" s="75">
        <f>Table6[[#This Row],[discharge_date]]</f>
        <v>43331</v>
      </c>
      <c r="K49" s="76">
        <f>Table6[[#This Row],[hospital_stay]]</f>
        <v>3</v>
      </c>
      <c r="L49" s="76" t="str">
        <f>Table6[[#This Row],[readmit_30]]</f>
        <v>No</v>
      </c>
      <c r="M49" s="77" t="str">
        <f>Table9[[#This Row],[troponin]]</f>
        <v>Not Measured</v>
      </c>
      <c r="N49" s="78">
        <f>Table9[[#This Row],[hb]]</f>
        <v>10</v>
      </c>
      <c r="O49" s="78">
        <f>Table9[[#This Row],[creatinine]]</f>
        <v>66</v>
      </c>
      <c r="P49" s="78">
        <f>Table9[[#This Row],[albumin]]</f>
        <v>46</v>
      </c>
      <c r="Q49" s="73" t="str">
        <f>Table9[[#This Row],[chest_physio]]</f>
        <v>Nurse</v>
      </c>
      <c r="R49" s="73" t="str">
        <f>Table9[[#This Row],[surgery_school]]</f>
        <v>No - Wasn’t offered it</v>
      </c>
      <c r="S49" s="75">
        <f>Table9[[#This Row],[date_school]]</f>
        <v>0</v>
      </c>
      <c r="T49" s="73" t="str">
        <f>Table9[[#This Row],[app_down]]</f>
        <v>No - Have electronic device</v>
      </c>
      <c r="U49" s="73" t="str">
        <f>Table9[[#This Row],[website]]</f>
        <v>No</v>
      </c>
      <c r="V49" s="73" t="str">
        <f>Table9[[#This Row],[base_activity]]</f>
        <v>No extra activity - Independent in ADLs</v>
      </c>
      <c r="W49" s="73" t="str">
        <f>Table9[[#This Row],[current_activity]]</f>
        <v>No extra activity - Independent in ADLs</v>
      </c>
      <c r="X49" s="73" t="str">
        <f>Table9[[#This Row],[activity_type]]</f>
        <v>None</v>
      </c>
      <c r="Y49" s="73" t="str">
        <f>Table9[[#This Row],[anaemia_treat]]</f>
        <v>Intravenous Iron</v>
      </c>
      <c r="Z49" s="78" t="str">
        <f>Table9[[#This Row],[anaesthesia]]</f>
        <v>General with TIVA</v>
      </c>
      <c r="AA49" s="78">
        <f>Table9[[#This Row],[smoke_hist]]</f>
        <v>0</v>
      </c>
      <c r="AB49" s="78">
        <f>Table9[[#This Row],[smoke_cess]]</f>
        <v>0</v>
      </c>
      <c r="AC49" s="78" t="str">
        <f>Table9[[#This Row],[tidal_vol]]</f>
        <v>Not recorded</v>
      </c>
      <c r="AD49" s="77" t="str">
        <f>Table11[[#This Row],[inc_spiro]]</f>
        <v>&gt;Two</v>
      </c>
      <c r="AE49" s="73" t="str">
        <f>Table11[[#This Row],[t_brushes]]</f>
        <v>Twice</v>
      </c>
      <c r="AF49" s="78" t="str">
        <f>Table11[[#This Row],[m_washes]]</f>
        <v>Twice</v>
      </c>
      <c r="AG49" s="78" t="str">
        <f>Table11[[#This Row],[iv_disc]]</f>
        <v>No</v>
      </c>
      <c r="AH49" s="78" t="str">
        <f>Table11[[#This Row],[tolerate_15l]]</f>
        <v>Yes</v>
      </c>
      <c r="AI49" s="78" t="str">
        <f>Table11[[#This Row],[drinking]]</f>
        <v>Yes</v>
      </c>
      <c r="AJ49" s="78" t="str">
        <f>Table11[[#This Row],[oral_diet]]</f>
        <v>Yes</v>
      </c>
      <c r="AK49" s="78" t="str">
        <f>Table11[[#This Row],[mobilised]]</f>
        <v>Yes</v>
      </c>
      <c r="AL49" s="79" t="str">
        <f>Table11[[#This Row],[resp_supp]]</f>
        <v>None</v>
      </c>
      <c r="AM49" s="78">
        <f>Table11[[#This Row],[elev_head]]</f>
        <v>0</v>
      </c>
      <c r="AN49" s="78" t="str">
        <f>Table13[[#This Row],[in_hospital]]</f>
        <v>No</v>
      </c>
      <c r="AO49" s="78">
        <f>Table13[[#This Row],[location_7]]</f>
        <v>0</v>
      </c>
      <c r="AP49" s="78">
        <f>Table13[[#This Row],[infec_24]]</f>
        <v>0</v>
      </c>
      <c r="AQ49" s="73">
        <f>Table13[[#This Row],[infec_7]]</f>
        <v>0</v>
      </c>
      <c r="AR49" s="73">
        <f>Table13[[#This Row],[gastro]]</f>
        <v>0</v>
      </c>
      <c r="AS49" s="73">
        <f>Table13[[#This Row],[pulm_supp_24]]</f>
        <v>0</v>
      </c>
      <c r="AT49" s="73">
        <f>Table13[[#This Row],[pulm_supp_7]]</f>
        <v>0</v>
      </c>
      <c r="AU49" s="73">
        <f>Table13[[#This Row],[pulm_pharm]]</f>
        <v>0</v>
      </c>
      <c r="AV49" s="73">
        <f>Table13[[#This Row],[cardio_24]]</f>
        <v>0</v>
      </c>
      <c r="AW49" s="73">
        <f>Table13[[#This Row],[troponin_7]]</f>
        <v>0</v>
      </c>
      <c r="AX49" s="73">
        <f>Table13[[#This Row],[creatinine_base]]</f>
        <v>0</v>
      </c>
      <c r="AY49" s="73">
        <f>Table13[[#This Row],[creatinine_high]]</f>
        <v>0</v>
      </c>
      <c r="AZ49" s="73">
        <f>Table13[[#This Row],[rrt]]</f>
        <v>0</v>
      </c>
      <c r="BA49" s="73">
        <f>Table13[[#This Row],[renal_24]]</f>
        <v>0</v>
      </c>
      <c r="BB49" s="73">
        <f>Table13[[#This Row],[neuro]]</f>
        <v>0</v>
      </c>
      <c r="BC49" s="73">
        <f>Table13[[#This Row],[wound]]</f>
        <v>0</v>
      </c>
      <c r="BD49" s="73">
        <f>Table13[[#This Row],[haemato]]</f>
        <v>0</v>
      </c>
      <c r="BE49" s="73">
        <f>Table13[[#This Row],[pain]]</f>
        <v>0</v>
      </c>
      <c r="BF49" s="73">
        <f>Table13[[#This Row],[mobility]]</f>
        <v>0</v>
      </c>
      <c r="BG49" s="79">
        <f>Table13[[#This Row],[why_inpatient_7]]</f>
        <v>0</v>
      </c>
      <c r="BH49" s="9">
        <f>Table13[[#This Row],[date_15]]</f>
        <v>0</v>
      </c>
      <c r="BI49">
        <f>Table13[[#This Row],[inpatient_15]]</f>
        <v>0</v>
      </c>
      <c r="BJ49">
        <f>Table13[[#This Row],[comment_15]]</f>
        <v>0</v>
      </c>
      <c r="BK49" t="str">
        <f>Table13[[#This Row],[discharge_dest]]</f>
        <v>Own Home</v>
      </c>
      <c r="BL49" t="str">
        <f>Table13[[#This Row],[complication]]</f>
        <v>None</v>
      </c>
    </row>
    <row r="50" spans="1:64" ht="18" customHeight="1">
      <c r="A50" s="73">
        <f>Table5[[#This Row],[comment]]</f>
        <v>0</v>
      </c>
      <c r="B50" s="73" t="str">
        <f>Table9[[#This Row],[surgeon]]</f>
        <v>Saeed Mohammad</v>
      </c>
      <c r="C50" s="73" t="str">
        <f>Table9[[#This Row],[surgery]]</f>
        <v>Correction of degenerative scoliosis including decompression</v>
      </c>
      <c r="D50" s="74" t="str">
        <f>Table5[[#This Row],[pqip_consent]]</f>
        <v>No</v>
      </c>
      <c r="E50" s="73" t="str">
        <f>Table6[[#This Row],[area_surgery]]</f>
        <v>Other</v>
      </c>
      <c r="F50" s="75">
        <f>Table6[[#This Row],[admission_date]]</f>
        <v>43328</v>
      </c>
      <c r="G50" s="75">
        <f>Table6[[#This Row],[admission_date]]</f>
        <v>43328</v>
      </c>
      <c r="H50" s="105">
        <f>Table6[[#This Row],[surgery_duration]]</f>
        <v>0.54166666666666663</v>
      </c>
      <c r="I50" s="73" t="str">
        <f>Table6[[#This Row],[discharge_loc]]</f>
        <v>NHDU</v>
      </c>
      <c r="J50" s="75">
        <f>Table6[[#This Row],[discharge_date]]</f>
        <v>43347</v>
      </c>
      <c r="K50" s="76">
        <f>Table6[[#This Row],[hospital_stay]]</f>
        <v>19</v>
      </c>
      <c r="L50" s="76" t="str">
        <f>Table6[[#This Row],[readmit_30]]</f>
        <v>No</v>
      </c>
      <c r="M50" s="77" t="str">
        <f>Table9[[#This Row],[troponin]]</f>
        <v>Not Measured</v>
      </c>
      <c r="N50" s="78">
        <f>Table9[[#This Row],[hb]]</f>
        <v>12.8</v>
      </c>
      <c r="O50" s="78">
        <f>Table9[[#This Row],[creatinine]]</f>
        <v>64</v>
      </c>
      <c r="P50" s="78">
        <f>Table9[[#This Row],[albumin]]</f>
        <v>42</v>
      </c>
      <c r="Q50" s="73" t="str">
        <f>Table9[[#This Row],[chest_physio]]</f>
        <v>Nurse</v>
      </c>
      <c r="R50" s="73" t="str">
        <f>Table9[[#This Row],[surgery_school]]</f>
        <v>No - Wasn’t offered it</v>
      </c>
      <c r="S50" s="75">
        <f>Table9[[#This Row],[date_school]]</f>
        <v>0</v>
      </c>
      <c r="T50" s="73" t="str">
        <f>Table9[[#This Row],[app_down]]</f>
        <v>No - No electronic device</v>
      </c>
      <c r="U50" s="73" t="str">
        <f>Table9[[#This Row],[website]]</f>
        <v>No</v>
      </c>
      <c r="V50" s="73" t="str">
        <f>Table9[[#This Row],[base_activity]]</f>
        <v>No extra activity - Independent in ADLs</v>
      </c>
      <c r="W50" s="73" t="str">
        <f>Table9[[#This Row],[current_activity]]</f>
        <v>No extra activity - Independent in ADLs</v>
      </c>
      <c r="X50" s="73" t="str">
        <f>Table9[[#This Row],[activity_type]]</f>
        <v>None</v>
      </c>
      <c r="Y50" s="73" t="str">
        <f>Table9[[#This Row],[anaemia_treat]]</f>
        <v>Not applicable</v>
      </c>
      <c r="Z50" s="78" t="str">
        <f>Table9[[#This Row],[anaesthesia]]</f>
        <v>General with TIVA</v>
      </c>
      <c r="AA50" s="78">
        <f>Table9[[#This Row],[smoke_hist]]</f>
        <v>0</v>
      </c>
      <c r="AB50" s="78">
        <f>Table9[[#This Row],[smoke_cess]]</f>
        <v>0</v>
      </c>
      <c r="AC50" s="78" t="str">
        <f>Table9[[#This Row],[tidal_vol]]</f>
        <v>Not recorded</v>
      </c>
      <c r="AD50" s="77" t="str">
        <f>Table11[[#This Row],[inc_spiro]]</f>
        <v>Not used</v>
      </c>
      <c r="AE50" s="73" t="str">
        <f>Table11[[#This Row],[t_brushes]]</f>
        <v>Once</v>
      </c>
      <c r="AF50" s="78" t="str">
        <f>Table11[[#This Row],[m_washes]]</f>
        <v>Once</v>
      </c>
      <c r="AG50" s="78" t="str">
        <f>Table11[[#This Row],[iv_disc]]</f>
        <v>No</v>
      </c>
      <c r="AH50" s="78">
        <f>Table11[[#This Row],[tolerate_15l]]</f>
        <v>0</v>
      </c>
      <c r="AI50" s="78" t="str">
        <f>Table11[[#This Row],[drinking]]</f>
        <v>Yes</v>
      </c>
      <c r="AJ50" s="78" t="str">
        <f>Table11[[#This Row],[oral_diet]]</f>
        <v>Yes</v>
      </c>
      <c r="AK50" s="78" t="str">
        <f>Table11[[#This Row],[mobilised]]</f>
        <v>No</v>
      </c>
      <c r="AL50" s="79" t="str">
        <f>Table11[[#This Row],[resp_supp]]</f>
        <v>None</v>
      </c>
      <c r="AM50" s="78">
        <f>Table11[[#This Row],[elev_head]]</f>
        <v>0</v>
      </c>
      <c r="AN50" s="78" t="str">
        <f>Table13[[#This Row],[in_hospital]]</f>
        <v>Yes</v>
      </c>
      <c r="AO50" s="78" t="str">
        <f>Table13[[#This Row],[location_7]]</f>
        <v>Level 2</v>
      </c>
      <c r="AP50" s="78" t="str">
        <f>Table13[[#This Row],[infec_24]]</f>
        <v>None of the above</v>
      </c>
      <c r="AQ50" s="73" t="str">
        <f>Table13[[#This Row],[infec_7]]</f>
        <v>None</v>
      </c>
      <c r="AR50" s="73" t="str">
        <f>Table13[[#This Row],[gastro]]</f>
        <v>None of the above</v>
      </c>
      <c r="AS50" s="73" t="str">
        <f>Table13[[#This Row],[pulm_supp_24]]</f>
        <v>None of the above</v>
      </c>
      <c r="AT50" s="73" t="str">
        <f>Table13[[#This Row],[pulm_supp_7]]</f>
        <v>None</v>
      </c>
      <c r="AU50" s="73" t="str">
        <f>Table13[[#This Row],[pulm_pharm]]</f>
        <v>None</v>
      </c>
      <c r="AV50" s="73" t="str">
        <f>Table13[[#This Row],[cardio_24]]</f>
        <v>None of the above</v>
      </c>
      <c r="AW50" s="73">
        <f>Table13[[#This Row],[troponin_7]]</f>
        <v>0</v>
      </c>
      <c r="AX50" s="73">
        <f>Table13[[#This Row],[creatinine_base]]</f>
        <v>64</v>
      </c>
      <c r="AY50" s="73">
        <f>Table13[[#This Row],[creatinine_high]]</f>
        <v>41</v>
      </c>
      <c r="AZ50" s="73" t="str">
        <f>Table13[[#This Row],[rrt]]</f>
        <v xml:space="preserve">No </v>
      </c>
      <c r="BA50" s="73" t="str">
        <f>Table13[[#This Row],[renal_24]]</f>
        <v>Urethral catheter in-situ (not present pre-operatively)</v>
      </c>
      <c r="BB50" s="73" t="str">
        <f>Table13[[#This Row],[neuro]]</f>
        <v>None of the above</v>
      </c>
      <c r="BC50" s="73" t="str">
        <f>Table13[[#This Row],[wound]]</f>
        <v>None of the above</v>
      </c>
      <c r="BD50" s="73" t="str">
        <f>Table13[[#This Row],[haemato]]</f>
        <v>None of the above</v>
      </c>
      <c r="BE50" s="73" t="str">
        <f>Table13[[#This Row],[pain]]</f>
        <v>Parenteral opioids</v>
      </c>
      <c r="BF50" s="73" t="str">
        <f>Table13[[#This Row],[mobility]]</f>
        <v>No</v>
      </c>
      <c r="BG50" s="79" t="str">
        <f>Table13[[#This Row],[why_inpatient_7]]</f>
        <v>Medical/nursing care</v>
      </c>
      <c r="BH50" s="9">
        <f>Table13[[#This Row],[date_15]]</f>
        <v>43343</v>
      </c>
      <c r="BI50" t="str">
        <f>Table13[[#This Row],[inpatient_15]]</f>
        <v>Yes</v>
      </c>
      <c r="BJ50" t="str">
        <f>Table13[[#This Row],[comment_15]]</f>
        <v>In level 2, episodes of severe pain (decreasing last days), slow progress in mobilization, tachyarrithmia</v>
      </c>
      <c r="BK50" t="str">
        <f>Table13[[#This Row],[discharge_dest]]</f>
        <v>Own Home</v>
      </c>
      <c r="BL50" t="str">
        <f>Table13[[#This Row],[complication]]</f>
        <v>II</v>
      </c>
    </row>
    <row r="51" spans="1:64" ht="18" customHeight="1">
      <c r="A51" s="73">
        <f>Table5[[#This Row],[comment]]</f>
        <v>0</v>
      </c>
      <c r="B51" s="73" t="str">
        <f>Table9[[#This Row],[surgeon]]</f>
        <v>Noel Clarke</v>
      </c>
      <c r="C51" s="73" t="str">
        <f>Table9[[#This Row],[surgery]]</f>
        <v>Nephrectomy (non-transplant)</v>
      </c>
      <c r="D51" s="74" t="str">
        <f>Table5[[#This Row],[pqip_consent]]</f>
        <v>No</v>
      </c>
      <c r="E51" s="73" t="str">
        <f>Table6[[#This Row],[area_surgery]]</f>
        <v>Nephrology</v>
      </c>
      <c r="F51" s="75">
        <f>Table6[[#This Row],[admission_date]]</f>
        <v>43328</v>
      </c>
      <c r="G51" s="75">
        <f>Table6[[#This Row],[admission_date]]</f>
        <v>43328</v>
      </c>
      <c r="H51" s="105">
        <f>Table6[[#This Row],[surgery_duration]]</f>
        <v>0.3125</v>
      </c>
      <c r="I51" s="73" t="str">
        <f>Table6[[#This Row],[discharge_loc]]</f>
        <v>H6</v>
      </c>
      <c r="J51" s="75">
        <f>Table6[[#This Row],[discharge_date]]</f>
        <v>43334</v>
      </c>
      <c r="K51" s="76">
        <f>Table6[[#This Row],[hospital_stay]]</f>
        <v>6</v>
      </c>
      <c r="L51" s="76" t="str">
        <f>Table6[[#This Row],[readmit_30]]</f>
        <v>No</v>
      </c>
      <c r="M51" s="77" t="str">
        <f>Table9[[#This Row],[troponin]]</f>
        <v>Not Measured</v>
      </c>
      <c r="N51" s="78">
        <f>Table9[[#This Row],[hb]]</f>
        <v>14.3</v>
      </c>
      <c r="O51" s="78">
        <f>Table9[[#This Row],[creatinine]]</f>
        <v>103</v>
      </c>
      <c r="P51" s="78" t="str">
        <f>Table9[[#This Row],[albumin]]</f>
        <v>Not Measured</v>
      </c>
      <c r="Q51" s="73" t="str">
        <f>Table9[[#This Row],[chest_physio]]</f>
        <v>No</v>
      </c>
      <c r="R51" s="73" t="str">
        <f>Table9[[#This Row],[surgery_school]]</f>
        <v>No - Wasn’t offered it</v>
      </c>
      <c r="S51" s="75">
        <f>Table9[[#This Row],[date_school]]</f>
        <v>0</v>
      </c>
      <c r="T51" s="73" t="str">
        <f>Table9[[#This Row],[app_down]]</f>
        <v>No - No electronic device</v>
      </c>
      <c r="U51" s="73" t="str">
        <f>Table9[[#This Row],[website]]</f>
        <v>No</v>
      </c>
      <c r="V51" s="73" t="str">
        <f>Table9[[#This Row],[base_activity]]</f>
        <v>&gt;30mins of moderate activity</v>
      </c>
      <c r="W51" s="73" t="str">
        <f>Table9[[#This Row],[current_activity]]</f>
        <v>&gt;30mins of moderate activity</v>
      </c>
      <c r="X51" s="73" t="str">
        <f>Table9[[#This Row],[activity_type]]</f>
        <v xml:space="preserve">Walking regularly </v>
      </c>
      <c r="Y51" s="73" t="str">
        <f>Table9[[#This Row],[anaemia_treat]]</f>
        <v>Not applicable</v>
      </c>
      <c r="Z51" s="78" t="str">
        <f>Table9[[#This Row],[anaesthesia]]</f>
        <v>General with TIVA</v>
      </c>
      <c r="AA51" s="78">
        <f>Table9[[#This Row],[smoke_hist]]</f>
        <v>0</v>
      </c>
      <c r="AB51" s="78">
        <f>Table9[[#This Row],[smoke_cess]]</f>
        <v>0</v>
      </c>
      <c r="AC51" s="78" t="str">
        <f>Table9[[#This Row],[tidal_vol]]</f>
        <v>Not recorded</v>
      </c>
      <c r="AD51" s="77" t="str">
        <f>Table11[[#This Row],[inc_spiro]]</f>
        <v>Not used</v>
      </c>
      <c r="AE51" s="73" t="str">
        <f>Table11[[#This Row],[t_brushes]]</f>
        <v>None</v>
      </c>
      <c r="AF51" s="78" t="str">
        <f>Table11[[#This Row],[m_washes]]</f>
        <v>None</v>
      </c>
      <c r="AG51" s="78" t="str">
        <f>Table11[[#This Row],[iv_disc]]</f>
        <v>Yes</v>
      </c>
      <c r="AH51" s="78">
        <f>Table11[[#This Row],[tolerate_15l]]</f>
        <v>0</v>
      </c>
      <c r="AI51" s="78" t="str">
        <f>Table11[[#This Row],[drinking]]</f>
        <v>Yes</v>
      </c>
      <c r="AJ51" s="78" t="str">
        <f>Table11[[#This Row],[oral_diet]]</f>
        <v>Yes</v>
      </c>
      <c r="AK51" s="78" t="str">
        <f>Table11[[#This Row],[mobilised]]</f>
        <v>Yes</v>
      </c>
      <c r="AL51" s="79" t="str">
        <f>Table11[[#This Row],[resp_supp]]</f>
        <v>None</v>
      </c>
      <c r="AM51" s="78">
        <f>Table11[[#This Row],[elev_head]]</f>
        <v>0</v>
      </c>
      <c r="AN51" s="78" t="str">
        <f>Table13[[#This Row],[in_hospital]]</f>
        <v>No</v>
      </c>
      <c r="AO51" s="78">
        <f>Table13[[#This Row],[location_7]]</f>
        <v>0</v>
      </c>
      <c r="AP51" s="78">
        <f>Table13[[#This Row],[infec_24]]</f>
        <v>0</v>
      </c>
      <c r="AQ51" s="73">
        <f>Table13[[#This Row],[infec_7]]</f>
        <v>0</v>
      </c>
      <c r="AR51" s="73">
        <f>Table13[[#This Row],[gastro]]</f>
        <v>0</v>
      </c>
      <c r="AS51" s="73">
        <f>Table13[[#This Row],[pulm_supp_24]]</f>
        <v>0</v>
      </c>
      <c r="AT51" s="73">
        <f>Table13[[#This Row],[pulm_supp_7]]</f>
        <v>0</v>
      </c>
      <c r="AU51" s="73">
        <f>Table13[[#This Row],[pulm_pharm]]</f>
        <v>0</v>
      </c>
      <c r="AV51" s="73">
        <f>Table13[[#This Row],[cardio_24]]</f>
        <v>0</v>
      </c>
      <c r="AW51" s="73">
        <f>Table13[[#This Row],[troponin_7]]</f>
        <v>0</v>
      </c>
      <c r="AX51" s="73">
        <f>Table13[[#This Row],[creatinine_base]]</f>
        <v>0</v>
      </c>
      <c r="AY51" s="73">
        <f>Table13[[#This Row],[creatinine_high]]</f>
        <v>0</v>
      </c>
      <c r="AZ51" s="73">
        <f>Table13[[#This Row],[rrt]]</f>
        <v>0</v>
      </c>
      <c r="BA51" s="73">
        <f>Table13[[#This Row],[renal_24]]</f>
        <v>0</v>
      </c>
      <c r="BB51" s="73">
        <f>Table13[[#This Row],[neuro]]</f>
        <v>0</v>
      </c>
      <c r="BC51" s="73">
        <f>Table13[[#This Row],[wound]]</f>
        <v>0</v>
      </c>
      <c r="BD51" s="73">
        <f>Table13[[#This Row],[haemato]]</f>
        <v>0</v>
      </c>
      <c r="BE51" s="73">
        <f>Table13[[#This Row],[pain]]</f>
        <v>0</v>
      </c>
      <c r="BF51" s="73">
        <f>Table13[[#This Row],[mobility]]</f>
        <v>0</v>
      </c>
      <c r="BG51" s="79">
        <f>Table13[[#This Row],[why_inpatient_7]]</f>
        <v>0</v>
      </c>
      <c r="BH51" s="9">
        <f>Table13[[#This Row],[date_15]]</f>
        <v>0</v>
      </c>
      <c r="BI51">
        <f>Table13[[#This Row],[inpatient_15]]</f>
        <v>0</v>
      </c>
      <c r="BJ51">
        <f>Table13[[#This Row],[comment_15]]</f>
        <v>0</v>
      </c>
      <c r="BK51" t="str">
        <f>Table13[[#This Row],[discharge_dest]]</f>
        <v>Own Home</v>
      </c>
      <c r="BL51" t="str">
        <f>Table13[[#This Row],[complication]]</f>
        <v>I, II</v>
      </c>
    </row>
    <row r="52" spans="1:64" ht="18" customHeight="1">
      <c r="A52" s="73">
        <f>Table5[[#This Row],[comment]]</f>
        <v>0</v>
      </c>
      <c r="B52" s="73" t="str">
        <f>Table9[[#This Row],[surgeon]]</f>
        <v>Matt Bailey</v>
      </c>
      <c r="C52" s="73" t="str">
        <f>Table9[[#This Row],[surgery]]</f>
        <v>Anterior discectomy +/- decompression and fusion (cervical / lumbar regions)</v>
      </c>
      <c r="D52" s="74" t="str">
        <f>Table5[[#This Row],[pqip_consent]]</f>
        <v>No</v>
      </c>
      <c r="E52" s="73" t="str">
        <f>Table6[[#This Row],[area_surgery]]</f>
        <v>Other</v>
      </c>
      <c r="F52" s="75">
        <f>Table6[[#This Row],[admission_date]]</f>
        <v>43329</v>
      </c>
      <c r="G52" s="75">
        <f>Table6[[#This Row],[admission_date]]</f>
        <v>43329</v>
      </c>
      <c r="H52" s="105">
        <f>Table6[[#This Row],[surgery_duration]]</f>
        <v>0.1875</v>
      </c>
      <c r="I52" s="73" t="str">
        <f>Table6[[#This Row],[discharge_loc]]</f>
        <v>Ward</v>
      </c>
      <c r="J52" s="75">
        <f>Table6[[#This Row],[discharge_date]]</f>
        <v>43330</v>
      </c>
      <c r="K52" s="76">
        <f>Table6[[#This Row],[hospital_stay]]</f>
        <v>1</v>
      </c>
      <c r="L52" s="76" t="str">
        <f>Table6[[#This Row],[readmit_30]]</f>
        <v>No</v>
      </c>
      <c r="M52" s="77" t="str">
        <f>Table9[[#This Row],[troponin]]</f>
        <v>Not Measured</v>
      </c>
      <c r="N52" s="78">
        <f>Table9[[#This Row],[hb]]</f>
        <v>14.4</v>
      </c>
      <c r="O52" s="78">
        <f>Table9[[#This Row],[creatinine]]</f>
        <v>83</v>
      </c>
      <c r="P52" s="78" t="str">
        <f>Table9[[#This Row],[albumin]]</f>
        <v>Not Measured</v>
      </c>
      <c r="Q52" s="73" t="str">
        <f>Table9[[#This Row],[chest_physio]]</f>
        <v>No</v>
      </c>
      <c r="R52" s="73" t="str">
        <f>Table9[[#This Row],[surgery_school]]</f>
        <v>No - Wasn’t offered it</v>
      </c>
      <c r="S52" s="75">
        <f>Table9[[#This Row],[date_school]]</f>
        <v>0</v>
      </c>
      <c r="T52" s="73" t="str">
        <f>Table9[[#This Row],[app_down]]</f>
        <v>No - Have electronic device</v>
      </c>
      <c r="U52" s="73" t="str">
        <f>Table9[[#This Row],[website]]</f>
        <v>No</v>
      </c>
      <c r="V52" s="73" t="str">
        <f>Table9[[#This Row],[base_activity]]</f>
        <v>No extra activity - Independent in ADLs</v>
      </c>
      <c r="W52" s="73" t="str">
        <f>Table9[[#This Row],[current_activity]]</f>
        <v>No extra activity - Independent in ADLs</v>
      </c>
      <c r="X52" s="73" t="str">
        <f>Table9[[#This Row],[activity_type]]</f>
        <v>None</v>
      </c>
      <c r="Y52" s="73" t="str">
        <f>Table9[[#This Row],[anaemia_treat]]</f>
        <v>Not applicable</v>
      </c>
      <c r="Z52" s="78" t="str">
        <f>Table9[[#This Row],[anaesthesia]]</f>
        <v>General with Inhalational</v>
      </c>
      <c r="AA52" s="78">
        <f>Table9[[#This Row],[smoke_hist]]</f>
        <v>0</v>
      </c>
      <c r="AB52" s="78">
        <f>Table9[[#This Row],[smoke_cess]]</f>
        <v>0</v>
      </c>
      <c r="AC52" s="78" t="str">
        <f>Table9[[#This Row],[tidal_vol]]</f>
        <v>Not recorded</v>
      </c>
      <c r="AD52" s="77" t="str">
        <f>Table11[[#This Row],[inc_spiro]]</f>
        <v>Not used</v>
      </c>
      <c r="AE52" s="73" t="str">
        <f>Table11[[#This Row],[t_brushes]]</f>
        <v>Twice</v>
      </c>
      <c r="AF52" s="78" t="str">
        <f>Table11[[#This Row],[m_washes]]</f>
        <v>Twice</v>
      </c>
      <c r="AG52" s="78" t="str">
        <f>Table11[[#This Row],[iv_disc]]</f>
        <v>Yes</v>
      </c>
      <c r="AH52" s="78">
        <f>Table11[[#This Row],[tolerate_15l]]</f>
        <v>0</v>
      </c>
      <c r="AI52" s="78" t="str">
        <f>Table11[[#This Row],[drinking]]</f>
        <v>Yes</v>
      </c>
      <c r="AJ52" s="78" t="str">
        <f>Table11[[#This Row],[oral_diet]]</f>
        <v>Yes</v>
      </c>
      <c r="AK52" s="78" t="str">
        <f>Table11[[#This Row],[mobilised]]</f>
        <v>Yes</v>
      </c>
      <c r="AL52" s="79" t="str">
        <f>Table11[[#This Row],[resp_supp]]</f>
        <v>None</v>
      </c>
      <c r="AM52" s="78">
        <f>Table11[[#This Row],[elev_head]]</f>
        <v>0</v>
      </c>
      <c r="AN52" s="78" t="str">
        <f>Table13[[#This Row],[in_hospital]]</f>
        <v>No</v>
      </c>
      <c r="AO52" s="78">
        <f>Table13[[#This Row],[location_7]]</f>
        <v>0</v>
      </c>
      <c r="AP52" s="78">
        <f>Table13[[#This Row],[infec_24]]</f>
        <v>0</v>
      </c>
      <c r="AQ52" s="73">
        <f>Table13[[#This Row],[infec_7]]</f>
        <v>0</v>
      </c>
      <c r="AR52" s="73">
        <f>Table13[[#This Row],[gastro]]</f>
        <v>0</v>
      </c>
      <c r="AS52" s="73">
        <f>Table13[[#This Row],[pulm_supp_24]]</f>
        <v>0</v>
      </c>
      <c r="AT52" s="73">
        <f>Table13[[#This Row],[pulm_supp_7]]</f>
        <v>0</v>
      </c>
      <c r="AU52" s="73">
        <f>Table13[[#This Row],[pulm_pharm]]</f>
        <v>0</v>
      </c>
      <c r="AV52" s="73">
        <f>Table13[[#This Row],[cardio_24]]</f>
        <v>0</v>
      </c>
      <c r="AW52" s="73">
        <f>Table13[[#This Row],[troponin_7]]</f>
        <v>0</v>
      </c>
      <c r="AX52" s="73">
        <f>Table13[[#This Row],[creatinine_base]]</f>
        <v>0</v>
      </c>
      <c r="AY52" s="73">
        <f>Table13[[#This Row],[creatinine_high]]</f>
        <v>0</v>
      </c>
      <c r="AZ52" s="73">
        <f>Table13[[#This Row],[rrt]]</f>
        <v>0</v>
      </c>
      <c r="BA52" s="73">
        <f>Table13[[#This Row],[renal_24]]</f>
        <v>0</v>
      </c>
      <c r="BB52" s="73">
        <f>Table13[[#This Row],[neuro]]</f>
        <v>0</v>
      </c>
      <c r="BC52" s="73">
        <f>Table13[[#This Row],[wound]]</f>
        <v>0</v>
      </c>
      <c r="BD52" s="73">
        <f>Table13[[#This Row],[haemato]]</f>
        <v>0</v>
      </c>
      <c r="BE52" s="73">
        <f>Table13[[#This Row],[pain]]</f>
        <v>0</v>
      </c>
      <c r="BF52" s="73">
        <f>Table13[[#This Row],[mobility]]</f>
        <v>0</v>
      </c>
      <c r="BG52" s="79">
        <f>Table13[[#This Row],[why_inpatient_7]]</f>
        <v>0</v>
      </c>
      <c r="BH52" s="9">
        <f>Table13[[#This Row],[date_15]]</f>
        <v>0</v>
      </c>
      <c r="BI52">
        <f>Table13[[#This Row],[inpatient_15]]</f>
        <v>0</v>
      </c>
      <c r="BJ52">
        <f>Table13[[#This Row],[comment_15]]</f>
        <v>0</v>
      </c>
      <c r="BK52" t="str">
        <f>Table13[[#This Row],[discharge_dest]]</f>
        <v>Own Home</v>
      </c>
      <c r="BL52" t="str">
        <f>Table13[[#This Row],[complication]]</f>
        <v>None</v>
      </c>
    </row>
    <row r="53" spans="1:64" ht="18" customHeight="1">
      <c r="A53" s="73" t="str">
        <f>Table5[[#This Row],[comment]]</f>
        <v>surgical pathway not available</v>
      </c>
      <c r="B53" s="73" t="str">
        <f>Table9[[#This Row],[surgeon]]</f>
        <v>Shrijit Panikkar</v>
      </c>
      <c r="C53" s="73" t="str">
        <f>Table9[[#This Row],[surgery]]</f>
        <v>Decompression for central spinal stenosis (three or more levels)</v>
      </c>
      <c r="D53" s="74" t="str">
        <f>Table5[[#This Row],[pqip_consent]]</f>
        <v>No</v>
      </c>
      <c r="E53" s="73" t="str">
        <f>Table6[[#This Row],[area_surgery]]</f>
        <v>Other</v>
      </c>
      <c r="F53" s="75">
        <f>Table6[[#This Row],[admission_date]]</f>
        <v>43329</v>
      </c>
      <c r="G53" s="75">
        <f>Table6[[#This Row],[admission_date]]</f>
        <v>43329</v>
      </c>
      <c r="H53" s="105">
        <f>Table6[[#This Row],[surgery_duration]]</f>
        <v>0</v>
      </c>
      <c r="I53" s="73" t="str">
        <f>Table6[[#This Row],[discharge_loc]]</f>
        <v>Ward</v>
      </c>
      <c r="J53" s="75">
        <f>Table6[[#This Row],[discharge_date]]</f>
        <v>43331</v>
      </c>
      <c r="K53" s="76">
        <f>Table6[[#This Row],[hospital_stay]]</f>
        <v>2</v>
      </c>
      <c r="L53" s="76" t="str">
        <f>Table6[[#This Row],[readmit_30]]</f>
        <v>No</v>
      </c>
      <c r="M53" s="77" t="str">
        <f>Table9[[#This Row],[troponin]]</f>
        <v>Not Measured</v>
      </c>
      <c r="N53" s="78">
        <f>Table9[[#This Row],[hb]]</f>
        <v>12.3</v>
      </c>
      <c r="O53" s="78">
        <f>Table9[[#This Row],[creatinine]]</f>
        <v>96</v>
      </c>
      <c r="P53" s="78">
        <f>Table9[[#This Row],[albumin]]</f>
        <v>43</v>
      </c>
      <c r="Q53" s="73" t="str">
        <f>Table9[[#This Row],[chest_physio]]</f>
        <v>No</v>
      </c>
      <c r="R53" s="73" t="str">
        <f>Table9[[#This Row],[surgery_school]]</f>
        <v>No - Wasn’t offered it</v>
      </c>
      <c r="S53" s="75">
        <f>Table9[[#This Row],[date_school]]</f>
        <v>0</v>
      </c>
      <c r="T53" s="73">
        <f>Table9[[#This Row],[app_down]]</f>
        <v>0</v>
      </c>
      <c r="U53" s="73">
        <f>Table9[[#This Row],[website]]</f>
        <v>0</v>
      </c>
      <c r="V53" s="73" t="str">
        <f>Table9[[#This Row],[base_activity]]</f>
        <v>&gt;30mins of moderate activity</v>
      </c>
      <c r="W53" s="73" t="str">
        <f>Table9[[#This Row],[current_activity]]</f>
        <v>&gt;30mins of moderate activity</v>
      </c>
      <c r="X53" s="73" t="str">
        <f>Table9[[#This Row],[activity_type]]</f>
        <v>None</v>
      </c>
      <c r="Y53" s="73" t="str">
        <f>Table9[[#This Row],[anaemia_treat]]</f>
        <v>Not applicable</v>
      </c>
      <c r="Z53" s="78" t="str">
        <f>Table9[[#This Row],[anaesthesia]]</f>
        <v>Not available</v>
      </c>
      <c r="AA53" s="78">
        <f>Table9[[#This Row],[smoke_hist]]</f>
        <v>0</v>
      </c>
      <c r="AB53" s="78">
        <f>Table9[[#This Row],[smoke_cess]]</f>
        <v>0</v>
      </c>
      <c r="AC53" s="78" t="str">
        <f>Table9[[#This Row],[tidal_vol]]</f>
        <v>Not recorded</v>
      </c>
      <c r="AD53" s="77" t="str">
        <f>Table11[[#This Row],[inc_spiro]]</f>
        <v>Not used</v>
      </c>
      <c r="AE53" s="73" t="str">
        <f>Table11[[#This Row],[t_brushes]]</f>
        <v>Twice</v>
      </c>
      <c r="AF53" s="78" t="str">
        <f>Table11[[#This Row],[m_washes]]</f>
        <v>Twice</v>
      </c>
      <c r="AG53" s="78" t="str">
        <f>Table11[[#This Row],[iv_disc]]</f>
        <v>Yes</v>
      </c>
      <c r="AH53" s="78">
        <f>Table11[[#This Row],[tolerate_15l]]</f>
        <v>0</v>
      </c>
      <c r="AI53" s="78" t="str">
        <f>Table11[[#This Row],[drinking]]</f>
        <v>Yes</v>
      </c>
      <c r="AJ53" s="78" t="str">
        <f>Table11[[#This Row],[oral_diet]]</f>
        <v>Yes</v>
      </c>
      <c r="AK53" s="78" t="str">
        <f>Table11[[#This Row],[mobilised]]</f>
        <v>Yes</v>
      </c>
      <c r="AL53" s="79" t="str">
        <f>Table11[[#This Row],[resp_supp]]</f>
        <v>None</v>
      </c>
      <c r="AM53" s="78">
        <f>Table11[[#This Row],[elev_head]]</f>
        <v>0</v>
      </c>
      <c r="AN53" s="78" t="str">
        <f>Table13[[#This Row],[in_hospital]]</f>
        <v>No</v>
      </c>
      <c r="AO53" s="78">
        <f>Table13[[#This Row],[location_7]]</f>
        <v>0</v>
      </c>
      <c r="AP53" s="78">
        <f>Table13[[#This Row],[infec_24]]</f>
        <v>0</v>
      </c>
      <c r="AQ53" s="73">
        <f>Table13[[#This Row],[infec_7]]</f>
        <v>0</v>
      </c>
      <c r="AR53" s="73">
        <f>Table13[[#This Row],[gastro]]</f>
        <v>0</v>
      </c>
      <c r="AS53" s="73">
        <f>Table13[[#This Row],[pulm_supp_24]]</f>
        <v>0</v>
      </c>
      <c r="AT53" s="73">
        <f>Table13[[#This Row],[pulm_supp_7]]</f>
        <v>0</v>
      </c>
      <c r="AU53" s="73">
        <f>Table13[[#This Row],[pulm_pharm]]</f>
        <v>0</v>
      </c>
      <c r="AV53" s="73">
        <f>Table13[[#This Row],[cardio_24]]</f>
        <v>0</v>
      </c>
      <c r="AW53" s="73">
        <f>Table13[[#This Row],[troponin_7]]</f>
        <v>0</v>
      </c>
      <c r="AX53" s="73">
        <f>Table13[[#This Row],[creatinine_base]]</f>
        <v>0</v>
      </c>
      <c r="AY53" s="73">
        <f>Table13[[#This Row],[creatinine_high]]</f>
        <v>0</v>
      </c>
      <c r="AZ53" s="73">
        <f>Table13[[#This Row],[rrt]]</f>
        <v>0</v>
      </c>
      <c r="BA53" s="73">
        <f>Table13[[#This Row],[renal_24]]</f>
        <v>0</v>
      </c>
      <c r="BB53" s="73">
        <f>Table13[[#This Row],[neuro]]</f>
        <v>0</v>
      </c>
      <c r="BC53" s="73">
        <f>Table13[[#This Row],[wound]]</f>
        <v>0</v>
      </c>
      <c r="BD53" s="73">
        <f>Table13[[#This Row],[haemato]]</f>
        <v>0</v>
      </c>
      <c r="BE53" s="73">
        <f>Table13[[#This Row],[pain]]</f>
        <v>0</v>
      </c>
      <c r="BF53" s="73">
        <f>Table13[[#This Row],[mobility]]</f>
        <v>0</v>
      </c>
      <c r="BG53" s="79">
        <f>Table13[[#This Row],[why_inpatient_7]]</f>
        <v>0</v>
      </c>
      <c r="BH53" s="9">
        <f>Table13[[#This Row],[date_15]]</f>
        <v>0</v>
      </c>
      <c r="BI53">
        <f>Table13[[#This Row],[inpatient_15]]</f>
        <v>0</v>
      </c>
      <c r="BJ53">
        <f>Table13[[#This Row],[comment_15]]</f>
        <v>0</v>
      </c>
      <c r="BK53" t="str">
        <f>Table13[[#This Row],[discharge_dest]]</f>
        <v>Own Home</v>
      </c>
      <c r="BL53" t="str">
        <f>Table13[[#This Row],[complication]]</f>
        <v>I</v>
      </c>
    </row>
    <row r="54" spans="1:64" ht="18" customHeight="1">
      <c r="A54" s="73" t="str">
        <f>Table5[[#This Row],[comment]]</f>
        <v>surgical pathway not available</v>
      </c>
      <c r="B54" s="73" t="str">
        <f>Table9[[#This Row],[surgeon]]</f>
        <v>Pietro D'Urso</v>
      </c>
      <c r="C54" s="73" t="str">
        <f>Table9[[#This Row],[surgery]]</f>
        <v>Anterior discectomy +/- decompression and fusion (cervical / lumbar regions)</v>
      </c>
      <c r="D54" s="74" t="str">
        <f>Table5[[#This Row],[pqip_consent]]</f>
        <v>No</v>
      </c>
      <c r="E54" s="73" t="str">
        <f>Table6[[#This Row],[area_surgery]]</f>
        <v>Other</v>
      </c>
      <c r="F54" s="75">
        <f>Table6[[#This Row],[admission_date]]</f>
        <v>43329</v>
      </c>
      <c r="G54" s="75">
        <f>Table6[[#This Row],[admission_date]]</f>
        <v>43329</v>
      </c>
      <c r="H54" s="105">
        <f>Table6[[#This Row],[surgery_duration]]</f>
        <v>0</v>
      </c>
      <c r="I54" s="73" t="str">
        <f>Table6[[#This Row],[discharge_loc]]</f>
        <v>Ward</v>
      </c>
      <c r="J54" s="75">
        <f>Table6[[#This Row],[discharge_date]]</f>
        <v>43330</v>
      </c>
      <c r="K54" s="76">
        <f>Table6[[#This Row],[hospital_stay]]</f>
        <v>1</v>
      </c>
      <c r="L54" s="76" t="str">
        <f>Table6[[#This Row],[readmit_30]]</f>
        <v>No</v>
      </c>
      <c r="M54" s="77" t="str">
        <f>Table9[[#This Row],[troponin]]</f>
        <v>Not Measured</v>
      </c>
      <c r="N54" s="78">
        <f>Table9[[#This Row],[hb]]</f>
        <v>14.8</v>
      </c>
      <c r="O54" s="78">
        <f>Table9[[#This Row],[creatinine]]</f>
        <v>84</v>
      </c>
      <c r="P54" s="78" t="str">
        <f>Table9[[#This Row],[albumin]]</f>
        <v>Not Measured</v>
      </c>
      <c r="Q54" s="73" t="str">
        <f>Table9[[#This Row],[chest_physio]]</f>
        <v>No</v>
      </c>
      <c r="R54" s="73" t="str">
        <f>Table9[[#This Row],[surgery_school]]</f>
        <v>No - Wasn’t offered it</v>
      </c>
      <c r="S54" s="75">
        <f>Table9[[#This Row],[date_school]]</f>
        <v>0</v>
      </c>
      <c r="T54" s="73" t="str">
        <f>Table9[[#This Row],[app_down]]</f>
        <v>No - Have electronic device</v>
      </c>
      <c r="U54" s="73" t="str">
        <f>Table9[[#This Row],[website]]</f>
        <v>No</v>
      </c>
      <c r="V54" s="73" t="str">
        <f>Table9[[#This Row],[base_activity]]</f>
        <v>No extra activity - Independent in ADLs</v>
      </c>
      <c r="W54" s="73" t="str">
        <f>Table9[[#This Row],[current_activity]]</f>
        <v>No extra activity - Independent in ADLs</v>
      </c>
      <c r="X54" s="73" t="str">
        <f>Table9[[#This Row],[activity_type]]</f>
        <v>None</v>
      </c>
      <c r="Y54" s="73" t="str">
        <f>Table9[[#This Row],[anaemia_treat]]</f>
        <v>Not applicable</v>
      </c>
      <c r="Z54" s="78" t="str">
        <f>Table9[[#This Row],[anaesthesia]]</f>
        <v>Not available</v>
      </c>
      <c r="AA54" s="78">
        <f>Table9[[#This Row],[smoke_hist]]</f>
        <v>0</v>
      </c>
      <c r="AB54" s="78">
        <f>Table9[[#This Row],[smoke_cess]]</f>
        <v>0</v>
      </c>
      <c r="AC54" s="78" t="str">
        <f>Table9[[#This Row],[tidal_vol]]</f>
        <v>Not recorded</v>
      </c>
      <c r="AD54" s="77" t="str">
        <f>Table11[[#This Row],[inc_spiro]]</f>
        <v>Not used</v>
      </c>
      <c r="AE54" s="73" t="str">
        <f>Table11[[#This Row],[t_brushes]]</f>
        <v>Twice</v>
      </c>
      <c r="AF54" s="78" t="str">
        <f>Table11[[#This Row],[m_washes]]</f>
        <v>Twice</v>
      </c>
      <c r="AG54" s="78" t="str">
        <f>Table11[[#This Row],[iv_disc]]</f>
        <v>Yes</v>
      </c>
      <c r="AH54" s="78">
        <f>Table11[[#This Row],[tolerate_15l]]</f>
        <v>0</v>
      </c>
      <c r="AI54" s="78" t="str">
        <f>Table11[[#This Row],[drinking]]</f>
        <v>Yes</v>
      </c>
      <c r="AJ54" s="78" t="str">
        <f>Table11[[#This Row],[oral_diet]]</f>
        <v>Yes</v>
      </c>
      <c r="AK54" s="78" t="str">
        <f>Table11[[#This Row],[mobilised]]</f>
        <v>Yes</v>
      </c>
      <c r="AL54" s="79" t="str">
        <f>Table11[[#This Row],[resp_supp]]</f>
        <v>None</v>
      </c>
      <c r="AM54" s="78">
        <f>Table11[[#This Row],[elev_head]]</f>
        <v>0</v>
      </c>
      <c r="AN54" s="78" t="str">
        <f>Table13[[#This Row],[in_hospital]]</f>
        <v>No</v>
      </c>
      <c r="AO54" s="78">
        <f>Table13[[#This Row],[location_7]]</f>
        <v>0</v>
      </c>
      <c r="AP54" s="78">
        <f>Table13[[#This Row],[infec_24]]</f>
        <v>0</v>
      </c>
      <c r="AQ54" s="73">
        <f>Table13[[#This Row],[infec_7]]</f>
        <v>0</v>
      </c>
      <c r="AR54" s="73">
        <f>Table13[[#This Row],[gastro]]</f>
        <v>0</v>
      </c>
      <c r="AS54" s="73">
        <f>Table13[[#This Row],[pulm_supp_24]]</f>
        <v>0</v>
      </c>
      <c r="AT54" s="73">
        <f>Table13[[#This Row],[pulm_supp_7]]</f>
        <v>0</v>
      </c>
      <c r="AU54" s="73">
        <f>Table13[[#This Row],[pulm_pharm]]</f>
        <v>0</v>
      </c>
      <c r="AV54" s="73">
        <f>Table13[[#This Row],[cardio_24]]</f>
        <v>0</v>
      </c>
      <c r="AW54" s="73">
        <f>Table13[[#This Row],[troponin_7]]</f>
        <v>0</v>
      </c>
      <c r="AX54" s="73">
        <f>Table13[[#This Row],[creatinine_base]]</f>
        <v>0</v>
      </c>
      <c r="AY54" s="73">
        <f>Table13[[#This Row],[creatinine_high]]</f>
        <v>0</v>
      </c>
      <c r="AZ54" s="73">
        <f>Table13[[#This Row],[rrt]]</f>
        <v>0</v>
      </c>
      <c r="BA54" s="73">
        <f>Table13[[#This Row],[renal_24]]</f>
        <v>0</v>
      </c>
      <c r="BB54" s="73">
        <f>Table13[[#This Row],[neuro]]</f>
        <v>0</v>
      </c>
      <c r="BC54" s="73">
        <f>Table13[[#This Row],[wound]]</f>
        <v>0</v>
      </c>
      <c r="BD54" s="73">
        <f>Table13[[#This Row],[haemato]]</f>
        <v>0</v>
      </c>
      <c r="BE54" s="73">
        <f>Table13[[#This Row],[pain]]</f>
        <v>0</v>
      </c>
      <c r="BF54" s="73">
        <f>Table13[[#This Row],[mobility]]</f>
        <v>0</v>
      </c>
      <c r="BG54" s="79">
        <f>Table13[[#This Row],[why_inpatient_7]]</f>
        <v>0</v>
      </c>
      <c r="BH54" s="9">
        <f>Table13[[#This Row],[date_15]]</f>
        <v>0</v>
      </c>
      <c r="BI54">
        <f>Table13[[#This Row],[inpatient_15]]</f>
        <v>0</v>
      </c>
      <c r="BJ54">
        <f>Table13[[#This Row],[comment_15]]</f>
        <v>0</v>
      </c>
      <c r="BK54" t="str">
        <f>Table13[[#This Row],[discharge_dest]]</f>
        <v>Own Home</v>
      </c>
      <c r="BL54" t="str">
        <f>Table13[[#This Row],[complication]]</f>
        <v>None</v>
      </c>
    </row>
    <row r="55" spans="1:64" ht="18" customHeight="1">
      <c r="A55" s="73" t="str">
        <f>Table5[[#This Row],[comment]]</f>
        <v>surgical pathway not available</v>
      </c>
      <c r="B55" s="73" t="str">
        <f>Table9[[#This Row],[surgeon]]</f>
        <v>Andrew King</v>
      </c>
      <c r="C55" s="73" t="str">
        <f>Table9[[#This Row],[surgery]]</f>
        <v>Anterior discectomy +/- decompression and fusion (cervical / lumbar regions)</v>
      </c>
      <c r="D55" s="74" t="str">
        <f>Table5[[#This Row],[pqip_consent]]</f>
        <v>No</v>
      </c>
      <c r="E55" s="73" t="str">
        <f>Table6[[#This Row],[area_surgery]]</f>
        <v>Other</v>
      </c>
      <c r="F55" s="75">
        <f>Table6[[#This Row],[admission_date]]</f>
        <v>43332</v>
      </c>
      <c r="G55" s="75">
        <f>Table6[[#This Row],[admission_date]]</f>
        <v>43332</v>
      </c>
      <c r="H55" s="105">
        <f>Table6[[#This Row],[surgery_duration]]</f>
        <v>0</v>
      </c>
      <c r="I55" s="73" t="str">
        <f>Table6[[#This Row],[discharge_loc]]</f>
        <v>Ward</v>
      </c>
      <c r="J55" s="75">
        <f>Table6[[#This Row],[discharge_date]]</f>
        <v>43333</v>
      </c>
      <c r="K55" s="76">
        <f>Table6[[#This Row],[hospital_stay]]</f>
        <v>1</v>
      </c>
      <c r="L55" s="76" t="str">
        <f>Table6[[#This Row],[readmit_30]]</f>
        <v>No</v>
      </c>
      <c r="M55" s="77" t="str">
        <f>Table9[[#This Row],[troponin]]</f>
        <v>Not Measured</v>
      </c>
      <c r="N55" s="78">
        <f>Table9[[#This Row],[hb]]</f>
        <v>15.3</v>
      </c>
      <c r="O55" s="78">
        <f>Table9[[#This Row],[creatinine]]</f>
        <v>91</v>
      </c>
      <c r="P55" s="78" t="str">
        <f>Table9[[#This Row],[albumin]]</f>
        <v>Not Measured</v>
      </c>
      <c r="Q55" s="73" t="str">
        <f>Table9[[#This Row],[chest_physio]]</f>
        <v>No</v>
      </c>
      <c r="R55" s="73" t="str">
        <f>Table9[[#This Row],[surgery_school]]</f>
        <v>No - Wasn’t offered it</v>
      </c>
      <c r="S55" s="75">
        <f>Table9[[#This Row],[date_school]]</f>
        <v>0</v>
      </c>
      <c r="T55" s="73" t="str">
        <f>Table9[[#This Row],[app_down]]</f>
        <v>No - Have electronic device</v>
      </c>
      <c r="U55" s="73" t="str">
        <f>Table9[[#This Row],[website]]</f>
        <v>No</v>
      </c>
      <c r="V55" s="73" t="str">
        <f>Table9[[#This Row],[base_activity]]</f>
        <v>No extra activity - Independent in ADLs</v>
      </c>
      <c r="W55" s="73" t="str">
        <f>Table9[[#This Row],[current_activity]]</f>
        <v>No extra activity - Independent in ADLs</v>
      </c>
      <c r="X55" s="73" t="str">
        <f>Table9[[#This Row],[activity_type]]</f>
        <v>None</v>
      </c>
      <c r="Y55" s="73" t="str">
        <f>Table9[[#This Row],[anaemia_treat]]</f>
        <v>Not applicable</v>
      </c>
      <c r="Z55" s="78" t="str">
        <f>Table9[[#This Row],[anaesthesia]]</f>
        <v>Not available</v>
      </c>
      <c r="AA55" s="78">
        <f>Table9[[#This Row],[smoke_hist]]</f>
        <v>0</v>
      </c>
      <c r="AB55" s="78">
        <f>Table9[[#This Row],[smoke_cess]]</f>
        <v>0</v>
      </c>
      <c r="AC55" s="78" t="str">
        <f>Table9[[#This Row],[tidal_vol]]</f>
        <v>Not recorded</v>
      </c>
      <c r="AD55" s="77" t="str">
        <f>Table11[[#This Row],[inc_spiro]]</f>
        <v>Not used</v>
      </c>
      <c r="AE55" s="73" t="str">
        <f>Table11[[#This Row],[t_brushes]]</f>
        <v>Once</v>
      </c>
      <c r="AF55" s="78" t="str">
        <f>Table11[[#This Row],[m_washes]]</f>
        <v>None</v>
      </c>
      <c r="AG55" s="78" t="str">
        <f>Table11[[#This Row],[iv_disc]]</f>
        <v>Yes</v>
      </c>
      <c r="AH55" s="78">
        <f>Table11[[#This Row],[tolerate_15l]]</f>
        <v>0</v>
      </c>
      <c r="AI55" s="78" t="str">
        <f>Table11[[#This Row],[drinking]]</f>
        <v>Yes</v>
      </c>
      <c r="AJ55" s="78" t="str">
        <f>Table11[[#This Row],[oral_diet]]</f>
        <v>Yes</v>
      </c>
      <c r="AK55" s="78" t="str">
        <f>Table11[[#This Row],[mobilised]]</f>
        <v>Yes</v>
      </c>
      <c r="AL55" s="79" t="str">
        <f>Table11[[#This Row],[resp_supp]]</f>
        <v>None</v>
      </c>
      <c r="AM55" s="78">
        <f>Table11[[#This Row],[elev_head]]</f>
        <v>0</v>
      </c>
      <c r="AN55" s="78" t="str">
        <f>Table13[[#This Row],[in_hospital]]</f>
        <v>No</v>
      </c>
      <c r="AO55" s="78">
        <f>Table13[[#This Row],[location_7]]</f>
        <v>0</v>
      </c>
      <c r="AP55" s="78">
        <f>Table13[[#This Row],[infec_24]]</f>
        <v>0</v>
      </c>
      <c r="AQ55" s="73">
        <f>Table13[[#This Row],[infec_7]]</f>
        <v>0</v>
      </c>
      <c r="AR55" s="73">
        <f>Table13[[#This Row],[gastro]]</f>
        <v>0</v>
      </c>
      <c r="AS55" s="73">
        <f>Table13[[#This Row],[pulm_supp_24]]</f>
        <v>0</v>
      </c>
      <c r="AT55" s="73">
        <f>Table13[[#This Row],[pulm_supp_7]]</f>
        <v>0</v>
      </c>
      <c r="AU55" s="73">
        <f>Table13[[#This Row],[pulm_pharm]]</f>
        <v>0</v>
      </c>
      <c r="AV55" s="73">
        <f>Table13[[#This Row],[cardio_24]]</f>
        <v>0</v>
      </c>
      <c r="AW55" s="73">
        <f>Table13[[#This Row],[troponin_7]]</f>
        <v>0</v>
      </c>
      <c r="AX55" s="73">
        <f>Table13[[#This Row],[creatinine_base]]</f>
        <v>0</v>
      </c>
      <c r="AY55" s="73">
        <f>Table13[[#This Row],[creatinine_high]]</f>
        <v>0</v>
      </c>
      <c r="AZ55" s="73">
        <f>Table13[[#This Row],[rrt]]</f>
        <v>0</v>
      </c>
      <c r="BA55" s="73">
        <f>Table13[[#This Row],[renal_24]]</f>
        <v>0</v>
      </c>
      <c r="BB55" s="73">
        <f>Table13[[#This Row],[neuro]]</f>
        <v>0</v>
      </c>
      <c r="BC55" s="73">
        <f>Table13[[#This Row],[wound]]</f>
        <v>0</v>
      </c>
      <c r="BD55" s="73">
        <f>Table13[[#This Row],[haemato]]</f>
        <v>0</v>
      </c>
      <c r="BE55" s="73">
        <f>Table13[[#This Row],[pain]]</f>
        <v>0</v>
      </c>
      <c r="BF55" s="73">
        <f>Table13[[#This Row],[mobility]]</f>
        <v>0</v>
      </c>
      <c r="BG55" s="79">
        <f>Table13[[#This Row],[why_inpatient_7]]</f>
        <v>0</v>
      </c>
      <c r="BH55" s="9">
        <f>Table13[[#This Row],[date_15]]</f>
        <v>0</v>
      </c>
      <c r="BI55">
        <f>Table13[[#This Row],[inpatient_15]]</f>
        <v>0</v>
      </c>
      <c r="BJ55">
        <f>Table13[[#This Row],[comment_15]]</f>
        <v>0</v>
      </c>
      <c r="BK55" t="str">
        <f>Table13[[#This Row],[discharge_dest]]</f>
        <v>Own Home</v>
      </c>
      <c r="BL55" t="str">
        <f>Table13[[#This Row],[complication]]</f>
        <v>None</v>
      </c>
    </row>
    <row r="56" spans="1:64" ht="18" customHeight="1">
      <c r="A56" s="73">
        <f>Table5[[#This Row],[comment]]</f>
        <v>0</v>
      </c>
      <c r="B56" s="73" t="str">
        <f>Table9[[#This Row],[surgeon]]</f>
        <v>Silviu Sabou</v>
      </c>
      <c r="C56" s="73" t="str">
        <f>Table9[[#This Row],[surgery]]</f>
        <v>Revision posterior fusion +/- instrumentation (lumbar region)</v>
      </c>
      <c r="D56" s="74" t="str">
        <f>Table5[[#This Row],[pqip_consent]]</f>
        <v>No</v>
      </c>
      <c r="E56" s="73" t="str">
        <f>Table6[[#This Row],[area_surgery]]</f>
        <v>Other</v>
      </c>
      <c r="F56" s="75">
        <f>Table6[[#This Row],[admission_date]]</f>
        <v>43332</v>
      </c>
      <c r="G56" s="75">
        <f>Table6[[#This Row],[admission_date]]</f>
        <v>43332</v>
      </c>
      <c r="H56" s="105">
        <f>Table6[[#This Row],[surgery_duration]]</f>
        <v>0.34375</v>
      </c>
      <c r="I56" s="73" t="str">
        <f>Table6[[#This Row],[discharge_loc]]</f>
        <v>Ward</v>
      </c>
      <c r="J56" s="75">
        <f>Table6[[#This Row],[discharge_date]]</f>
        <v>43334</v>
      </c>
      <c r="K56" s="76">
        <f>Table6[[#This Row],[hospital_stay]]</f>
        <v>2</v>
      </c>
      <c r="L56" s="76" t="str">
        <f>Table6[[#This Row],[readmit_30]]</f>
        <v>No</v>
      </c>
      <c r="M56" s="77" t="str">
        <f>Table9[[#This Row],[troponin]]</f>
        <v>Not Measured</v>
      </c>
      <c r="N56" s="78">
        <f>Table9[[#This Row],[hb]]</f>
        <v>13.9</v>
      </c>
      <c r="O56" s="78">
        <f>Table9[[#This Row],[creatinine]]</f>
        <v>86</v>
      </c>
      <c r="P56" s="78">
        <f>Table9[[#This Row],[albumin]]</f>
        <v>44</v>
      </c>
      <c r="Q56" s="73" t="str">
        <f>Table9[[#This Row],[chest_physio]]</f>
        <v>No</v>
      </c>
      <c r="R56" s="73" t="str">
        <f>Table9[[#This Row],[surgery_school]]</f>
        <v>No - Wasn’t offered it</v>
      </c>
      <c r="S56" s="75">
        <f>Table9[[#This Row],[date_school]]</f>
        <v>0</v>
      </c>
      <c r="T56" s="73" t="str">
        <f>Table9[[#This Row],[app_down]]</f>
        <v>No - Have electronic device</v>
      </c>
      <c r="U56" s="73" t="str">
        <f>Table9[[#This Row],[website]]</f>
        <v>No</v>
      </c>
      <c r="V56" s="73" t="str">
        <f>Table9[[#This Row],[base_activity]]</f>
        <v>30mins of moderate activity</v>
      </c>
      <c r="W56" s="73" t="str">
        <f>Table9[[#This Row],[current_activity]]</f>
        <v>30mins of moderate activity</v>
      </c>
      <c r="X56" s="73" t="str">
        <f>Table9[[#This Row],[activity_type]]</f>
        <v xml:space="preserve">Dancing regularly </v>
      </c>
      <c r="Y56" s="73" t="str">
        <f>Table9[[#This Row],[anaemia_treat]]</f>
        <v>Not applicable</v>
      </c>
      <c r="Z56" s="78" t="str">
        <f>Table9[[#This Row],[anaesthesia]]</f>
        <v>General with TIVA</v>
      </c>
      <c r="AA56" s="78">
        <f>Table9[[#This Row],[smoke_hist]]</f>
        <v>0</v>
      </c>
      <c r="AB56" s="78">
        <f>Table9[[#This Row],[smoke_cess]]</f>
        <v>0</v>
      </c>
      <c r="AC56" s="78" t="str">
        <f>Table9[[#This Row],[tidal_vol]]</f>
        <v>Not recorded</v>
      </c>
      <c r="AD56" s="77" t="str">
        <f>Table11[[#This Row],[inc_spiro]]</f>
        <v>Not used</v>
      </c>
      <c r="AE56" s="73" t="str">
        <f>Table11[[#This Row],[t_brushes]]</f>
        <v>Twice</v>
      </c>
      <c r="AF56" s="78" t="str">
        <f>Table11[[#This Row],[m_washes]]</f>
        <v>Twice</v>
      </c>
      <c r="AG56" s="78" t="str">
        <f>Table11[[#This Row],[iv_disc]]</f>
        <v>Yes</v>
      </c>
      <c r="AH56" s="78">
        <f>Table11[[#This Row],[tolerate_15l]]</f>
        <v>0</v>
      </c>
      <c r="AI56" s="78" t="str">
        <f>Table11[[#This Row],[drinking]]</f>
        <v>Yes</v>
      </c>
      <c r="AJ56" s="78" t="str">
        <f>Table11[[#This Row],[oral_diet]]</f>
        <v>Yes</v>
      </c>
      <c r="AK56" s="78" t="str">
        <f>Table11[[#This Row],[mobilised]]</f>
        <v>Yes</v>
      </c>
      <c r="AL56" s="79" t="str">
        <f>Table11[[#This Row],[resp_supp]]</f>
        <v>None</v>
      </c>
      <c r="AM56" s="78">
        <f>Table11[[#This Row],[elev_head]]</f>
        <v>0</v>
      </c>
      <c r="AN56" s="78" t="str">
        <f>Table13[[#This Row],[in_hospital]]</f>
        <v>No</v>
      </c>
      <c r="AO56" s="78">
        <f>Table13[[#This Row],[location_7]]</f>
        <v>0</v>
      </c>
      <c r="AP56" s="78">
        <f>Table13[[#This Row],[infec_24]]</f>
        <v>0</v>
      </c>
      <c r="AQ56" s="73">
        <f>Table13[[#This Row],[infec_7]]</f>
        <v>0</v>
      </c>
      <c r="AR56" s="73">
        <f>Table13[[#This Row],[gastro]]</f>
        <v>0</v>
      </c>
      <c r="AS56" s="73">
        <f>Table13[[#This Row],[pulm_supp_24]]</f>
        <v>0</v>
      </c>
      <c r="AT56" s="73">
        <f>Table13[[#This Row],[pulm_supp_7]]</f>
        <v>0</v>
      </c>
      <c r="AU56" s="73">
        <f>Table13[[#This Row],[pulm_pharm]]</f>
        <v>0</v>
      </c>
      <c r="AV56" s="73">
        <f>Table13[[#This Row],[cardio_24]]</f>
        <v>0</v>
      </c>
      <c r="AW56" s="73">
        <f>Table13[[#This Row],[troponin_7]]</f>
        <v>0</v>
      </c>
      <c r="AX56" s="73">
        <f>Table13[[#This Row],[creatinine_base]]</f>
        <v>0</v>
      </c>
      <c r="AY56" s="73">
        <f>Table13[[#This Row],[creatinine_high]]</f>
        <v>0</v>
      </c>
      <c r="AZ56" s="73">
        <f>Table13[[#This Row],[rrt]]</f>
        <v>0</v>
      </c>
      <c r="BA56" s="73">
        <f>Table13[[#This Row],[renal_24]]</f>
        <v>0</v>
      </c>
      <c r="BB56" s="73">
        <f>Table13[[#This Row],[neuro]]</f>
        <v>0</v>
      </c>
      <c r="BC56" s="73">
        <f>Table13[[#This Row],[wound]]</f>
        <v>0</v>
      </c>
      <c r="BD56" s="73">
        <f>Table13[[#This Row],[haemato]]</f>
        <v>0</v>
      </c>
      <c r="BE56" s="73">
        <f>Table13[[#This Row],[pain]]</f>
        <v>0</v>
      </c>
      <c r="BF56" s="73">
        <f>Table13[[#This Row],[mobility]]</f>
        <v>0</v>
      </c>
      <c r="BG56" s="79">
        <f>Table13[[#This Row],[why_inpatient_7]]</f>
        <v>0</v>
      </c>
      <c r="BH56" s="9">
        <f>Table13[[#This Row],[date_15]]</f>
        <v>0</v>
      </c>
      <c r="BI56">
        <f>Table13[[#This Row],[inpatient_15]]</f>
        <v>0</v>
      </c>
      <c r="BJ56">
        <f>Table13[[#This Row],[comment_15]]</f>
        <v>0</v>
      </c>
      <c r="BK56" t="str">
        <f>Table13[[#This Row],[discharge_dest]]</f>
        <v>Own Home</v>
      </c>
      <c r="BL56" t="str">
        <f>Table13[[#This Row],[complication]]</f>
        <v>None</v>
      </c>
    </row>
    <row r="57" spans="1:64" ht="18" customHeight="1">
      <c r="A57" s="73">
        <f>Table5[[#This Row],[comment]]</f>
        <v>0</v>
      </c>
      <c r="B57" s="73" t="str">
        <f>Table9[[#This Row],[surgeon]]</f>
        <v>Kyriakos Matalotiakis</v>
      </c>
      <c r="C57" s="73" t="str">
        <f>Table9[[#This Row],[surgery]]</f>
        <v>Anterior discectomy +/- decompression and fusion (cervical / lumbar regions)</v>
      </c>
      <c r="D57" s="74" t="str">
        <f>Table5[[#This Row],[pqip_consent]]</f>
        <v>No</v>
      </c>
      <c r="E57" s="73" t="str">
        <f>Table6[[#This Row],[area_surgery]]</f>
        <v>Other</v>
      </c>
      <c r="F57" s="75">
        <f>Table6[[#This Row],[admission_date]]</f>
        <v>43334</v>
      </c>
      <c r="G57" s="75">
        <f>Table6[[#This Row],[admission_date]]</f>
        <v>43334</v>
      </c>
      <c r="H57" s="105">
        <f>Table6[[#This Row],[surgery_duration]]</f>
        <v>0.1875</v>
      </c>
      <c r="I57" s="73" t="str">
        <f>Table6[[#This Row],[discharge_loc]]</f>
        <v>Ward</v>
      </c>
      <c r="J57" s="75">
        <f>Table6[[#This Row],[discharge_date]]</f>
        <v>43335</v>
      </c>
      <c r="K57" s="76">
        <f>Table6[[#This Row],[hospital_stay]]</f>
        <v>1</v>
      </c>
      <c r="L57" s="76" t="str">
        <f>Table6[[#This Row],[readmit_30]]</f>
        <v>No</v>
      </c>
      <c r="M57" s="77" t="str">
        <f>Table9[[#This Row],[troponin]]</f>
        <v>Not Measured</v>
      </c>
      <c r="N57" s="78">
        <f>Table9[[#This Row],[hb]]</f>
        <v>13.2</v>
      </c>
      <c r="O57" s="78">
        <f>Table9[[#This Row],[creatinine]]</f>
        <v>68</v>
      </c>
      <c r="P57" s="78" t="str">
        <f>Table9[[#This Row],[albumin]]</f>
        <v>Not Measured</v>
      </c>
      <c r="Q57" s="73" t="str">
        <f>Table9[[#This Row],[chest_physio]]</f>
        <v>No</v>
      </c>
      <c r="R57" s="73" t="str">
        <f>Table9[[#This Row],[surgery_school]]</f>
        <v>No - Wasn’t offered it</v>
      </c>
      <c r="S57" s="75">
        <f>Table9[[#This Row],[date_school]]</f>
        <v>0</v>
      </c>
      <c r="T57" s="73" t="str">
        <f>Table9[[#This Row],[app_down]]</f>
        <v>No - Have electronic device</v>
      </c>
      <c r="U57" s="73" t="str">
        <f>Table9[[#This Row],[website]]</f>
        <v>No</v>
      </c>
      <c r="V57" s="73" t="str">
        <f>Table9[[#This Row],[base_activity]]</f>
        <v>No extra activity - Independent in ADLs</v>
      </c>
      <c r="W57" s="73" t="str">
        <f>Table9[[#This Row],[current_activity]]</f>
        <v>No extra activity - Independent in ADLs</v>
      </c>
      <c r="X57" s="73" t="str">
        <f>Table9[[#This Row],[activity_type]]</f>
        <v>None</v>
      </c>
      <c r="Y57" s="73" t="str">
        <f>Table9[[#This Row],[anaemia_treat]]</f>
        <v>Not applicable</v>
      </c>
      <c r="Z57" s="78" t="str">
        <f>Table9[[#This Row],[anaesthesia]]</f>
        <v>General with Inhalational</v>
      </c>
      <c r="AA57" s="78">
        <f>Table9[[#This Row],[smoke_hist]]</f>
        <v>0</v>
      </c>
      <c r="AB57" s="78">
        <f>Table9[[#This Row],[smoke_cess]]</f>
        <v>0</v>
      </c>
      <c r="AC57" s="78" t="str">
        <f>Table9[[#This Row],[tidal_vol]]</f>
        <v>Not recorded</v>
      </c>
      <c r="AD57" s="77" t="str">
        <f>Table11[[#This Row],[inc_spiro]]</f>
        <v>Not used</v>
      </c>
      <c r="AE57" s="73" t="str">
        <f>Table11[[#This Row],[t_brushes]]</f>
        <v>Twice</v>
      </c>
      <c r="AF57" s="78" t="str">
        <f>Table11[[#This Row],[m_washes]]</f>
        <v>Twice</v>
      </c>
      <c r="AG57" s="78" t="str">
        <f>Table11[[#This Row],[iv_disc]]</f>
        <v>Yes</v>
      </c>
      <c r="AH57" s="78">
        <f>Table11[[#This Row],[tolerate_15l]]</f>
        <v>0</v>
      </c>
      <c r="AI57" s="78" t="str">
        <f>Table11[[#This Row],[drinking]]</f>
        <v>Yes</v>
      </c>
      <c r="AJ57" s="78" t="str">
        <f>Table11[[#This Row],[oral_diet]]</f>
        <v>Yes</v>
      </c>
      <c r="AK57" s="78" t="str">
        <f>Table11[[#This Row],[mobilised]]</f>
        <v>Yes</v>
      </c>
      <c r="AL57" s="79" t="str">
        <f>Table11[[#This Row],[resp_supp]]</f>
        <v>None</v>
      </c>
      <c r="AM57" s="78">
        <f>Table11[[#This Row],[elev_head]]</f>
        <v>0</v>
      </c>
      <c r="AN57" s="78" t="str">
        <f>Table13[[#This Row],[in_hospital]]</f>
        <v>No</v>
      </c>
      <c r="AO57" s="78">
        <f>Table13[[#This Row],[location_7]]</f>
        <v>0</v>
      </c>
      <c r="AP57" s="78">
        <f>Table13[[#This Row],[infec_24]]</f>
        <v>0</v>
      </c>
      <c r="AQ57" s="73">
        <f>Table13[[#This Row],[infec_7]]</f>
        <v>0</v>
      </c>
      <c r="AR57" s="73">
        <f>Table13[[#This Row],[gastro]]</f>
        <v>0</v>
      </c>
      <c r="AS57" s="73">
        <f>Table13[[#This Row],[pulm_supp_24]]</f>
        <v>0</v>
      </c>
      <c r="AT57" s="73">
        <f>Table13[[#This Row],[pulm_supp_7]]</f>
        <v>0</v>
      </c>
      <c r="AU57" s="73">
        <f>Table13[[#This Row],[pulm_pharm]]</f>
        <v>0</v>
      </c>
      <c r="AV57" s="73">
        <f>Table13[[#This Row],[cardio_24]]</f>
        <v>0</v>
      </c>
      <c r="AW57" s="73">
        <f>Table13[[#This Row],[troponin_7]]</f>
        <v>0</v>
      </c>
      <c r="AX57" s="73">
        <f>Table13[[#This Row],[creatinine_base]]</f>
        <v>0</v>
      </c>
      <c r="AY57" s="73">
        <f>Table13[[#This Row],[creatinine_high]]</f>
        <v>0</v>
      </c>
      <c r="AZ57" s="73">
        <f>Table13[[#This Row],[rrt]]</f>
        <v>0</v>
      </c>
      <c r="BA57" s="73">
        <f>Table13[[#This Row],[renal_24]]</f>
        <v>0</v>
      </c>
      <c r="BB57" s="73">
        <f>Table13[[#This Row],[neuro]]</f>
        <v>0</v>
      </c>
      <c r="BC57" s="73">
        <f>Table13[[#This Row],[wound]]</f>
        <v>0</v>
      </c>
      <c r="BD57" s="73">
        <f>Table13[[#This Row],[haemato]]</f>
        <v>0</v>
      </c>
      <c r="BE57" s="73">
        <f>Table13[[#This Row],[pain]]</f>
        <v>0</v>
      </c>
      <c r="BF57" s="73">
        <f>Table13[[#This Row],[mobility]]</f>
        <v>0</v>
      </c>
      <c r="BG57" s="79">
        <f>Table13[[#This Row],[why_inpatient_7]]</f>
        <v>0</v>
      </c>
      <c r="BH57" s="9">
        <f>Table13[[#This Row],[date_15]]</f>
        <v>0</v>
      </c>
      <c r="BI57">
        <f>Table13[[#This Row],[inpatient_15]]</f>
        <v>0</v>
      </c>
      <c r="BJ57">
        <f>Table13[[#This Row],[comment_15]]</f>
        <v>0</v>
      </c>
      <c r="BK57" t="str">
        <f>Table13[[#This Row],[discharge_dest]]</f>
        <v>Own Home</v>
      </c>
      <c r="BL57" t="str">
        <f>Table13[[#This Row],[complication]]</f>
        <v>None</v>
      </c>
    </row>
    <row r="58" spans="1:64" ht="18" customHeight="1">
      <c r="A58" s="73">
        <f>Table5[[#This Row],[comment]]</f>
        <v>0</v>
      </c>
      <c r="B58" s="73" t="str">
        <f>Table9[[#This Row],[surgeon]]</f>
        <v>Euan Green</v>
      </c>
      <c r="C58" s="73" t="str">
        <f>Table9[[#This Row],[surgery]]</f>
        <v>Total nephrectomy (non-transplant)</v>
      </c>
      <c r="D58" s="74" t="str">
        <f>Table5[[#This Row],[pqip_consent]]</f>
        <v>Yes</v>
      </c>
      <c r="E58" s="73" t="str">
        <f>Table6[[#This Row],[area_surgery]]</f>
        <v>Nephrology</v>
      </c>
      <c r="F58" s="75">
        <f>Table6[[#This Row],[admission_date]]</f>
        <v>43333</v>
      </c>
      <c r="G58" s="75">
        <f>Table6[[#This Row],[admission_date]]</f>
        <v>43333</v>
      </c>
      <c r="H58" s="105">
        <f>Table6[[#This Row],[surgery_duration]]</f>
        <v>0.38541666666666669</v>
      </c>
      <c r="I58" s="73" t="str">
        <f>Table6[[#This Row],[discharge_loc]]</f>
        <v>H6</v>
      </c>
      <c r="J58" s="75">
        <f>Table6[[#This Row],[discharge_date]]</f>
        <v>43338</v>
      </c>
      <c r="K58" s="76">
        <f>Table6[[#This Row],[hospital_stay]]</f>
        <v>5</v>
      </c>
      <c r="L58" s="76" t="str">
        <f>Table6[[#This Row],[readmit_30]]</f>
        <v>No</v>
      </c>
      <c r="M58" s="77" t="str">
        <f>Table9[[#This Row],[troponin]]</f>
        <v>Not Measured</v>
      </c>
      <c r="N58" s="78">
        <f>Table9[[#This Row],[hb]]</f>
        <v>12.4</v>
      </c>
      <c r="O58" s="78">
        <f>Table9[[#This Row],[creatinine]]</f>
        <v>66</v>
      </c>
      <c r="P58" s="78" t="str">
        <f>Table9[[#This Row],[albumin]]</f>
        <v>Not Measured</v>
      </c>
      <c r="Q58" s="73" t="str">
        <f>Table9[[#This Row],[chest_physio]]</f>
        <v>Nurse</v>
      </c>
      <c r="R58" s="73" t="str">
        <f>Table9[[#This Row],[surgery_school]]</f>
        <v>No - Wasn’t offered it</v>
      </c>
      <c r="S58" s="75">
        <f>Table9[[#This Row],[date_school]]</f>
        <v>0</v>
      </c>
      <c r="T58" s="73" t="str">
        <f>Table9[[#This Row],[app_down]]</f>
        <v>No - Have electronic device</v>
      </c>
      <c r="U58" s="73" t="str">
        <f>Table9[[#This Row],[website]]</f>
        <v>No</v>
      </c>
      <c r="V58" s="73" t="str">
        <f>Table9[[#This Row],[base_activity]]</f>
        <v>&gt;30mins of moderate activity</v>
      </c>
      <c r="W58" s="73" t="str">
        <f>Table9[[#This Row],[current_activity]]</f>
        <v>&gt;30mins of moderate activity</v>
      </c>
      <c r="X58" s="73" t="str">
        <f>Table9[[#This Row],[activity_type]]</f>
        <v xml:space="preserve">Walking regularly </v>
      </c>
      <c r="Y58" s="73" t="str">
        <f>Table9[[#This Row],[anaemia_treat]]</f>
        <v>Not applicable</v>
      </c>
      <c r="Z58" s="78" t="str">
        <f>Table9[[#This Row],[anaesthesia]]</f>
        <v>General with TIVA</v>
      </c>
      <c r="AA58" s="78">
        <f>Table9[[#This Row],[smoke_hist]]</f>
        <v>0</v>
      </c>
      <c r="AB58" s="78">
        <f>Table9[[#This Row],[smoke_cess]]</f>
        <v>0</v>
      </c>
      <c r="AC58" s="78" t="str">
        <f>Table9[[#This Row],[tidal_vol]]</f>
        <v>Not recorded</v>
      </c>
      <c r="AD58" s="77" t="str">
        <f>Table11[[#This Row],[inc_spiro]]</f>
        <v>Not used</v>
      </c>
      <c r="AE58" s="73" t="str">
        <f>Table11[[#This Row],[t_brushes]]</f>
        <v>Once</v>
      </c>
      <c r="AF58" s="78" t="str">
        <f>Table11[[#This Row],[m_washes]]</f>
        <v>None</v>
      </c>
      <c r="AG58" s="78" t="str">
        <f>Table11[[#This Row],[iv_disc]]</f>
        <v>No</v>
      </c>
      <c r="AH58" s="78">
        <f>Table11[[#This Row],[tolerate_15l]]</f>
        <v>0</v>
      </c>
      <c r="AI58" s="78" t="str">
        <f>Table11[[#This Row],[drinking]]</f>
        <v>Yes</v>
      </c>
      <c r="AJ58" s="78" t="str">
        <f>Table11[[#This Row],[oral_diet]]</f>
        <v>Yes</v>
      </c>
      <c r="AK58" s="78" t="str">
        <f>Table11[[#This Row],[mobilised]]</f>
        <v>Yes</v>
      </c>
      <c r="AL58" s="79" t="str">
        <f>Table11[[#This Row],[resp_supp]]</f>
        <v>None</v>
      </c>
      <c r="AM58" s="78">
        <f>Table11[[#This Row],[elev_head]]</f>
        <v>0</v>
      </c>
      <c r="AN58" s="78" t="str">
        <f>Table13[[#This Row],[in_hospital]]</f>
        <v>No</v>
      </c>
      <c r="AO58" s="78">
        <f>Table13[[#This Row],[location_7]]</f>
        <v>0</v>
      </c>
      <c r="AP58" s="78">
        <f>Table13[[#This Row],[infec_24]]</f>
        <v>0</v>
      </c>
      <c r="AQ58" s="73">
        <f>Table13[[#This Row],[infec_7]]</f>
        <v>0</v>
      </c>
      <c r="AR58" s="73">
        <f>Table13[[#This Row],[gastro]]</f>
        <v>0</v>
      </c>
      <c r="AS58" s="73">
        <f>Table13[[#This Row],[pulm_supp_24]]</f>
        <v>0</v>
      </c>
      <c r="AT58" s="73">
        <f>Table13[[#This Row],[pulm_supp_7]]</f>
        <v>0</v>
      </c>
      <c r="AU58" s="73">
        <f>Table13[[#This Row],[pulm_pharm]]</f>
        <v>0</v>
      </c>
      <c r="AV58" s="73">
        <f>Table13[[#This Row],[cardio_24]]</f>
        <v>0</v>
      </c>
      <c r="AW58" s="73">
        <f>Table13[[#This Row],[troponin_7]]</f>
        <v>0</v>
      </c>
      <c r="AX58" s="73">
        <f>Table13[[#This Row],[creatinine_base]]</f>
        <v>0</v>
      </c>
      <c r="AY58" s="73">
        <f>Table13[[#This Row],[creatinine_high]]</f>
        <v>0</v>
      </c>
      <c r="AZ58" s="73">
        <f>Table13[[#This Row],[rrt]]</f>
        <v>0</v>
      </c>
      <c r="BA58" s="73">
        <f>Table13[[#This Row],[renal_24]]</f>
        <v>0</v>
      </c>
      <c r="BB58" s="73">
        <f>Table13[[#This Row],[neuro]]</f>
        <v>0</v>
      </c>
      <c r="BC58" s="73">
        <f>Table13[[#This Row],[wound]]</f>
        <v>0</v>
      </c>
      <c r="BD58" s="73">
        <f>Table13[[#This Row],[haemato]]</f>
        <v>0</v>
      </c>
      <c r="BE58" s="73">
        <f>Table13[[#This Row],[pain]]</f>
        <v>0</v>
      </c>
      <c r="BF58" s="73">
        <f>Table13[[#This Row],[mobility]]</f>
        <v>0</v>
      </c>
      <c r="BG58" s="79">
        <f>Table13[[#This Row],[why_inpatient_7]]</f>
        <v>0</v>
      </c>
      <c r="BH58" s="9">
        <f>Table13[[#This Row],[date_15]]</f>
        <v>0</v>
      </c>
      <c r="BI58">
        <f>Table13[[#This Row],[inpatient_15]]</f>
        <v>0</v>
      </c>
      <c r="BJ58">
        <f>Table13[[#This Row],[comment_15]]</f>
        <v>0</v>
      </c>
      <c r="BK58" t="str">
        <f>Table13[[#This Row],[discharge_dest]]</f>
        <v>Own Home</v>
      </c>
      <c r="BL58" t="str">
        <f>Table13[[#This Row],[complication]]</f>
        <v>I, II</v>
      </c>
    </row>
    <row r="59" spans="1:64" ht="18" customHeight="1">
      <c r="A59" s="73">
        <f>Table5[[#This Row],[comment]]</f>
        <v>0</v>
      </c>
      <c r="B59" s="73" t="str">
        <f>Table9[[#This Row],[surgeon]]</f>
        <v>Dmitri Van Popta</v>
      </c>
      <c r="C59" s="73" t="str">
        <f>Table9[[#This Row],[surgery]]</f>
        <v>Posterior fusion +/- decompression +/- discectomy (cervical / lumbar regions)</v>
      </c>
      <c r="D59" s="74" t="str">
        <f>Table5[[#This Row],[pqip_consent]]</f>
        <v>No</v>
      </c>
      <c r="E59" s="73" t="str">
        <f>Table6[[#This Row],[area_surgery]]</f>
        <v>Other</v>
      </c>
      <c r="F59" s="75">
        <f>Table6[[#This Row],[admission_date]]</f>
        <v>43333</v>
      </c>
      <c r="G59" s="75">
        <f>Table6[[#This Row],[admission_date]]</f>
        <v>43333</v>
      </c>
      <c r="H59" s="105">
        <f>Table6[[#This Row],[surgery_duration]]</f>
        <v>0.41666666666666669</v>
      </c>
      <c r="I59" s="73" t="str">
        <f>Table6[[#This Row],[discharge_loc]]</f>
        <v>NHDU (Level 2)</v>
      </c>
      <c r="J59" s="75">
        <f>Table6[[#This Row],[discharge_date]]</f>
        <v>43340</v>
      </c>
      <c r="K59" s="76">
        <f>Table6[[#This Row],[hospital_stay]]</f>
        <v>7</v>
      </c>
      <c r="L59" s="76" t="str">
        <f>Table6[[#This Row],[readmit_30]]</f>
        <v>No</v>
      </c>
      <c r="M59" s="77" t="str">
        <f>Table9[[#This Row],[troponin]]</f>
        <v>Not Measured</v>
      </c>
      <c r="N59" s="78">
        <f>Table9[[#This Row],[hb]]</f>
        <v>13.4</v>
      </c>
      <c r="O59" s="78">
        <f>Table9[[#This Row],[creatinine]]</f>
        <v>77</v>
      </c>
      <c r="P59" s="78">
        <f>Table9[[#This Row],[albumin]]</f>
        <v>47</v>
      </c>
      <c r="Q59" s="73" t="str">
        <f>Table9[[#This Row],[chest_physio]]</f>
        <v>No</v>
      </c>
      <c r="R59" s="73" t="str">
        <f>Table9[[#This Row],[surgery_school]]</f>
        <v>No - Wasn’t offered it</v>
      </c>
      <c r="S59" s="75">
        <f>Table9[[#This Row],[date_school]]</f>
        <v>0</v>
      </c>
      <c r="T59" s="73" t="str">
        <f>Table9[[#This Row],[app_down]]</f>
        <v>No - Have electronic device</v>
      </c>
      <c r="U59" s="73" t="str">
        <f>Table9[[#This Row],[website]]</f>
        <v>No</v>
      </c>
      <c r="V59" s="73" t="str">
        <f>Table9[[#This Row],[base_activity]]</f>
        <v>No extra activity - Independent in ADLs</v>
      </c>
      <c r="W59" s="73" t="str">
        <f>Table9[[#This Row],[current_activity]]</f>
        <v>No extra activity - Independent in ADLs</v>
      </c>
      <c r="X59" s="73" t="str">
        <f>Table9[[#This Row],[activity_type]]</f>
        <v>None</v>
      </c>
      <c r="Y59" s="73" t="str">
        <f>Table9[[#This Row],[anaemia_treat]]</f>
        <v>None</v>
      </c>
      <c r="Z59" s="78" t="str">
        <f>Table9[[#This Row],[anaesthesia]]</f>
        <v>General with Inhalational</v>
      </c>
      <c r="AA59" s="78">
        <f>Table9[[#This Row],[smoke_hist]]</f>
        <v>0</v>
      </c>
      <c r="AB59" s="78">
        <f>Table9[[#This Row],[smoke_cess]]</f>
        <v>0</v>
      </c>
      <c r="AC59" s="78" t="str">
        <f>Table9[[#This Row],[tidal_vol]]</f>
        <v>Not recorded</v>
      </c>
      <c r="AD59" s="77" t="str">
        <f>Table11[[#This Row],[inc_spiro]]</f>
        <v>Not used</v>
      </c>
      <c r="AE59" s="73" t="str">
        <f>Table11[[#This Row],[t_brushes]]</f>
        <v>Twice</v>
      </c>
      <c r="AF59" s="78" t="str">
        <f>Table11[[#This Row],[m_washes]]</f>
        <v>Twice</v>
      </c>
      <c r="AG59" s="78" t="str">
        <f>Table11[[#This Row],[iv_disc]]</f>
        <v>Yes</v>
      </c>
      <c r="AH59" s="78">
        <f>Table11[[#This Row],[tolerate_15l]]</f>
        <v>0</v>
      </c>
      <c r="AI59" s="78" t="str">
        <f>Table11[[#This Row],[drinking]]</f>
        <v>Yes</v>
      </c>
      <c r="AJ59" s="78" t="str">
        <f>Table11[[#This Row],[oral_diet]]</f>
        <v>Yes</v>
      </c>
      <c r="AK59" s="78" t="str">
        <f>Table11[[#This Row],[mobilised]]</f>
        <v>No</v>
      </c>
      <c r="AL59" s="79" t="str">
        <f>Table11[[#This Row],[resp_supp]]</f>
        <v>None</v>
      </c>
      <c r="AM59" s="78">
        <f>Table11[[#This Row],[elev_head]]</f>
        <v>0</v>
      </c>
      <c r="AN59" s="78" t="str">
        <f>Table13[[#This Row],[in_hospital]]</f>
        <v>Yes</v>
      </c>
      <c r="AO59" s="78" t="str">
        <f>Table13[[#This Row],[location_7]]</f>
        <v>Level 1</v>
      </c>
      <c r="AP59" s="78" t="str">
        <f>Table13[[#This Row],[infec_24]]</f>
        <v>None of the above</v>
      </c>
      <c r="AQ59" s="73" t="str">
        <f>Table13[[#This Row],[infec_7]]</f>
        <v>Chest</v>
      </c>
      <c r="AR59" s="73" t="str">
        <f>Table13[[#This Row],[gastro]]</f>
        <v>None of the above</v>
      </c>
      <c r="AS59" s="73" t="str">
        <f>Table13[[#This Row],[pulm_supp_24]]</f>
        <v>None of the above</v>
      </c>
      <c r="AT59" s="73" t="str">
        <f>Table13[[#This Row],[pulm_supp_7]]</f>
        <v>None</v>
      </c>
      <c r="AU59" s="73" t="str">
        <f>Table13[[#This Row],[pulm_pharm]]</f>
        <v>None</v>
      </c>
      <c r="AV59" s="73" t="str">
        <f>Table13[[#This Row],[cardio_24]]</f>
        <v>None of the above</v>
      </c>
      <c r="AW59" s="73">
        <f>Table13[[#This Row],[troponin_7]]</f>
        <v>0</v>
      </c>
      <c r="AX59" s="73">
        <f>Table13[[#This Row],[creatinine_base]]</f>
        <v>77</v>
      </c>
      <c r="AY59" s="73">
        <f>Table13[[#This Row],[creatinine_high]]</f>
        <v>59</v>
      </c>
      <c r="AZ59" s="73" t="str">
        <f>Table13[[#This Row],[rrt]]</f>
        <v xml:space="preserve">No </v>
      </c>
      <c r="BA59" s="73" t="str">
        <f>Table13[[#This Row],[renal_24]]</f>
        <v>None of the above</v>
      </c>
      <c r="BB59" s="73" t="str">
        <f>Table13[[#This Row],[neuro]]</f>
        <v>None of the above</v>
      </c>
      <c r="BC59" s="73" t="str">
        <f>Table13[[#This Row],[wound]]</f>
        <v>None of the above</v>
      </c>
      <c r="BD59" s="73" t="str">
        <f>Table13[[#This Row],[haemato]]</f>
        <v>None of the above</v>
      </c>
      <c r="BE59" s="73" t="str">
        <f>Table13[[#This Row],[pain]]</f>
        <v>None of the above</v>
      </c>
      <c r="BF59" s="73" t="str">
        <f>Table13[[#This Row],[mobility]]</f>
        <v>Yes</v>
      </c>
      <c r="BG59" s="79" t="str">
        <f>Table13[[#This Row],[why_inpatient_7]]</f>
        <v>Medical/nursing care</v>
      </c>
      <c r="BH59" s="9">
        <f>Table13[[#This Row],[date_15]]</f>
        <v>0</v>
      </c>
      <c r="BI59">
        <f>Table13[[#This Row],[inpatient_15]]</f>
        <v>0</v>
      </c>
      <c r="BJ59">
        <f>Table13[[#This Row],[comment_15]]</f>
        <v>0</v>
      </c>
      <c r="BK59" t="str">
        <f>Table13[[#This Row],[discharge_dest]]</f>
        <v>Own Home</v>
      </c>
      <c r="BL59" t="str">
        <f>Table13[[#This Row],[complication]]</f>
        <v>I, II</v>
      </c>
    </row>
    <row r="60" spans="1:64" ht="18" customHeight="1">
      <c r="A60" s="73">
        <f>Table5[[#This Row],[comment]]</f>
        <v>0</v>
      </c>
      <c r="B60" s="73" t="str">
        <f>Table9[[#This Row],[surgeon]]</f>
        <v>Joshi George</v>
      </c>
      <c r="C60" s="73" t="str">
        <f>Table9[[#This Row],[surgery]]</f>
        <v>Anterior discectomy +/- decompression and fusion (cervical / lumbar regions)</v>
      </c>
      <c r="D60" s="74" t="str">
        <f>Table5[[#This Row],[pqip_consent]]</f>
        <v>No</v>
      </c>
      <c r="E60" s="73" t="str">
        <f>Table6[[#This Row],[area_surgery]]</f>
        <v>Other</v>
      </c>
      <c r="F60" s="75">
        <f>Table6[[#This Row],[admission_date]]</f>
        <v>43333</v>
      </c>
      <c r="G60" s="75">
        <f>Table6[[#This Row],[admission_date]]</f>
        <v>43333</v>
      </c>
      <c r="H60" s="105">
        <f>Table6[[#This Row],[surgery_duration]]</f>
        <v>0.14583333333333334</v>
      </c>
      <c r="I60" s="73" t="str">
        <f>Table6[[#This Row],[discharge_loc]]</f>
        <v>H5</v>
      </c>
      <c r="J60" s="75">
        <f>Table6[[#This Row],[discharge_date]]</f>
        <v>43335</v>
      </c>
      <c r="K60" s="76">
        <f>Table6[[#This Row],[hospital_stay]]</f>
        <v>2</v>
      </c>
      <c r="L60" s="76" t="str">
        <f>Table6[[#This Row],[readmit_30]]</f>
        <v>No</v>
      </c>
      <c r="M60" s="77" t="str">
        <f>Table9[[#This Row],[troponin]]</f>
        <v>Not Measured</v>
      </c>
      <c r="N60" s="78">
        <f>Table9[[#This Row],[hb]]</f>
        <v>15</v>
      </c>
      <c r="O60" s="78">
        <f>Table9[[#This Row],[creatinine]]</f>
        <v>66</v>
      </c>
      <c r="P60" s="78">
        <f>Table9[[#This Row],[albumin]]</f>
        <v>50</v>
      </c>
      <c r="Q60" s="73" t="str">
        <f>Table9[[#This Row],[chest_physio]]</f>
        <v>No</v>
      </c>
      <c r="R60" s="73" t="str">
        <f>Table9[[#This Row],[surgery_school]]</f>
        <v>No - Wasn’t offered it</v>
      </c>
      <c r="S60" s="75">
        <f>Table9[[#This Row],[date_school]]</f>
        <v>0</v>
      </c>
      <c r="T60" s="73" t="str">
        <f>Table9[[#This Row],[app_down]]</f>
        <v>No - Have electronic device</v>
      </c>
      <c r="U60" s="73" t="str">
        <f>Table9[[#This Row],[website]]</f>
        <v>No</v>
      </c>
      <c r="V60" s="73" t="str">
        <f>Table9[[#This Row],[base_activity]]</f>
        <v>No extra activity - Needs help with ADLs</v>
      </c>
      <c r="W60" s="73" t="str">
        <f>Table9[[#This Row],[current_activity]]</f>
        <v>No extra activity - Needs help with ADLs</v>
      </c>
      <c r="X60" s="73" t="str">
        <f>Table9[[#This Row],[activity_type]]</f>
        <v>None</v>
      </c>
      <c r="Y60" s="73" t="str">
        <f>Table9[[#This Row],[anaemia_treat]]</f>
        <v>Not applicable</v>
      </c>
      <c r="Z60" s="78" t="str">
        <f>Table9[[#This Row],[anaesthesia]]</f>
        <v>General with Inhalational</v>
      </c>
      <c r="AA60" s="78">
        <f>Table9[[#This Row],[smoke_hist]]</f>
        <v>0</v>
      </c>
      <c r="AB60" s="78">
        <f>Table9[[#This Row],[smoke_cess]]</f>
        <v>0</v>
      </c>
      <c r="AC60" s="78" t="str">
        <f>Table9[[#This Row],[tidal_vol]]</f>
        <v>Not recorded</v>
      </c>
      <c r="AD60" s="77" t="str">
        <f>Table11[[#This Row],[inc_spiro]]</f>
        <v>Not used</v>
      </c>
      <c r="AE60" s="73" t="str">
        <f>Table11[[#This Row],[t_brushes]]</f>
        <v>Once</v>
      </c>
      <c r="AF60" s="78" t="str">
        <f>Table11[[#This Row],[m_washes]]</f>
        <v>None</v>
      </c>
      <c r="AG60" s="78" t="str">
        <f>Table11[[#This Row],[iv_disc]]</f>
        <v>Yes</v>
      </c>
      <c r="AH60" s="78">
        <f>Table11[[#This Row],[tolerate_15l]]</f>
        <v>0</v>
      </c>
      <c r="AI60" s="78" t="str">
        <f>Table11[[#This Row],[drinking]]</f>
        <v>Yes</v>
      </c>
      <c r="AJ60" s="78" t="str">
        <f>Table11[[#This Row],[oral_diet]]</f>
        <v>Yes</v>
      </c>
      <c r="AK60" s="78" t="str">
        <f>Table11[[#This Row],[mobilised]]</f>
        <v>Yes</v>
      </c>
      <c r="AL60" s="79" t="str">
        <f>Table11[[#This Row],[resp_supp]]</f>
        <v>None</v>
      </c>
      <c r="AM60" s="78">
        <f>Table11[[#This Row],[elev_head]]</f>
        <v>0</v>
      </c>
      <c r="AN60" s="78" t="str">
        <f>Table13[[#This Row],[in_hospital]]</f>
        <v>No</v>
      </c>
      <c r="AO60" s="78">
        <f>Table13[[#This Row],[location_7]]</f>
        <v>0</v>
      </c>
      <c r="AP60" s="78">
        <f>Table13[[#This Row],[infec_24]]</f>
        <v>0</v>
      </c>
      <c r="AQ60" s="73">
        <f>Table13[[#This Row],[infec_7]]</f>
        <v>0</v>
      </c>
      <c r="AR60" s="73">
        <f>Table13[[#This Row],[gastro]]</f>
        <v>0</v>
      </c>
      <c r="AS60" s="73">
        <f>Table13[[#This Row],[pulm_supp_24]]</f>
        <v>0</v>
      </c>
      <c r="AT60" s="73">
        <f>Table13[[#This Row],[pulm_supp_7]]</f>
        <v>0</v>
      </c>
      <c r="AU60" s="73">
        <f>Table13[[#This Row],[pulm_pharm]]</f>
        <v>0</v>
      </c>
      <c r="AV60" s="73">
        <f>Table13[[#This Row],[cardio_24]]</f>
        <v>0</v>
      </c>
      <c r="AW60" s="73">
        <f>Table13[[#This Row],[troponin_7]]</f>
        <v>0</v>
      </c>
      <c r="AX60" s="73">
        <f>Table13[[#This Row],[creatinine_base]]</f>
        <v>0</v>
      </c>
      <c r="AY60" s="73">
        <f>Table13[[#This Row],[creatinine_high]]</f>
        <v>0</v>
      </c>
      <c r="AZ60" s="73">
        <f>Table13[[#This Row],[rrt]]</f>
        <v>0</v>
      </c>
      <c r="BA60" s="73">
        <f>Table13[[#This Row],[renal_24]]</f>
        <v>0</v>
      </c>
      <c r="BB60" s="73">
        <f>Table13[[#This Row],[neuro]]</f>
        <v>0</v>
      </c>
      <c r="BC60" s="73">
        <f>Table13[[#This Row],[wound]]</f>
        <v>0</v>
      </c>
      <c r="BD60" s="73">
        <f>Table13[[#This Row],[haemato]]</f>
        <v>0</v>
      </c>
      <c r="BE60" s="73">
        <f>Table13[[#This Row],[pain]]</f>
        <v>0</v>
      </c>
      <c r="BF60" s="73">
        <f>Table13[[#This Row],[mobility]]</f>
        <v>0</v>
      </c>
      <c r="BG60" s="79">
        <f>Table13[[#This Row],[why_inpatient_7]]</f>
        <v>0</v>
      </c>
      <c r="BH60" s="9">
        <f>Table13[[#This Row],[date_15]]</f>
        <v>0</v>
      </c>
      <c r="BI60">
        <f>Table13[[#This Row],[inpatient_15]]</f>
        <v>0</v>
      </c>
      <c r="BJ60">
        <f>Table13[[#This Row],[comment_15]]</f>
        <v>0</v>
      </c>
      <c r="BK60" t="str">
        <f>Table13[[#This Row],[discharge_dest]]</f>
        <v>Own Home</v>
      </c>
      <c r="BL60" t="str">
        <f>Table13[[#This Row],[complication]]</f>
        <v>None</v>
      </c>
    </row>
    <row r="61" spans="1:64" ht="18" customHeight="1">
      <c r="A61" s="73">
        <f>Table5[[#This Row],[comment]]</f>
        <v>0</v>
      </c>
      <c r="B61" s="73" t="str">
        <f>Table9[[#This Row],[surgeon]]</f>
        <v>David Watson</v>
      </c>
      <c r="C61" s="73" t="str">
        <f>Table9[[#This Row],[surgery]]</f>
        <v>Right hemicolectomy (with anastomosis /colostomy)</v>
      </c>
      <c r="D61" s="74" t="str">
        <f>Table5[[#This Row],[pqip_consent]]</f>
        <v>No</v>
      </c>
      <c r="E61" s="73" t="str">
        <f>Table6[[#This Row],[area_surgery]]</f>
        <v>Lower GI</v>
      </c>
      <c r="F61" s="75">
        <f>Table6[[#This Row],[admission_date]]</f>
        <v>43333</v>
      </c>
      <c r="G61" s="75">
        <f>Table6[[#This Row],[admission_date]]</f>
        <v>43333</v>
      </c>
      <c r="H61" s="105">
        <f>Table6[[#This Row],[surgery_duration]]</f>
        <v>0.1875</v>
      </c>
      <c r="I61" s="73" t="str">
        <f>Table6[[#This Row],[discharge_loc]]</f>
        <v>H6</v>
      </c>
      <c r="J61" s="75">
        <f>Table6[[#This Row],[discharge_date]]</f>
        <v>43340</v>
      </c>
      <c r="K61" s="76">
        <f>Table6[[#This Row],[hospital_stay]]</f>
        <v>7</v>
      </c>
      <c r="L61" s="76" t="str">
        <f>Table6[[#This Row],[readmit_30]]</f>
        <v>No</v>
      </c>
      <c r="M61" s="77" t="str">
        <f>Table9[[#This Row],[troponin]]</f>
        <v>Not Measured</v>
      </c>
      <c r="N61" s="78">
        <f>Table9[[#This Row],[hb]]</f>
        <v>11.6</v>
      </c>
      <c r="O61" s="78">
        <f>Table9[[#This Row],[creatinine]]</f>
        <v>48</v>
      </c>
      <c r="P61" s="78">
        <f>Table9[[#This Row],[albumin]]</f>
        <v>50</v>
      </c>
      <c r="Q61" s="73" t="str">
        <f>Table9[[#This Row],[chest_physio]]</f>
        <v>Nurse</v>
      </c>
      <c r="R61" s="73" t="str">
        <f>Table9[[#This Row],[surgery_school]]</f>
        <v>No - Wasn’t offered it</v>
      </c>
      <c r="S61" s="75">
        <f>Table9[[#This Row],[date_school]]</f>
        <v>0</v>
      </c>
      <c r="T61" s="73" t="str">
        <f>Table9[[#This Row],[app_down]]</f>
        <v>No - Have electronic device</v>
      </c>
      <c r="U61" s="73" t="str">
        <f>Table9[[#This Row],[website]]</f>
        <v>No</v>
      </c>
      <c r="V61" s="73" t="str">
        <f>Table9[[#This Row],[base_activity]]</f>
        <v>No extra activity - Independent in ADLs</v>
      </c>
      <c r="W61" s="73" t="str">
        <f>Table9[[#This Row],[current_activity]]</f>
        <v>No extra activity - Independent in ADLs</v>
      </c>
      <c r="X61" s="73" t="str">
        <f>Table9[[#This Row],[activity_type]]</f>
        <v>None</v>
      </c>
      <c r="Y61" s="73" t="str">
        <f>Table9[[#This Row],[anaemia_treat]]</f>
        <v xml:space="preserve">Oral Iron </v>
      </c>
      <c r="Z61" s="78" t="str">
        <f>Table9[[#This Row],[anaesthesia]]</f>
        <v>General with TIVA</v>
      </c>
      <c r="AA61" s="78">
        <f>Table9[[#This Row],[smoke_hist]]</f>
        <v>0</v>
      </c>
      <c r="AB61" s="78">
        <f>Table9[[#This Row],[smoke_cess]]</f>
        <v>0</v>
      </c>
      <c r="AC61" s="78" t="str">
        <f>Table9[[#This Row],[tidal_vol]]</f>
        <v>Not recorded</v>
      </c>
      <c r="AD61" s="77" t="str">
        <f>Table11[[#This Row],[inc_spiro]]</f>
        <v>&gt;Two</v>
      </c>
      <c r="AE61" s="73" t="str">
        <f>Table11[[#This Row],[t_brushes]]</f>
        <v>Twice</v>
      </c>
      <c r="AF61" s="78" t="str">
        <f>Table11[[#This Row],[m_washes]]</f>
        <v>Twice</v>
      </c>
      <c r="AG61" s="78" t="str">
        <f>Table11[[#This Row],[iv_disc]]</f>
        <v>No</v>
      </c>
      <c r="AH61" s="78">
        <f>Table11[[#This Row],[tolerate_15l]]</f>
        <v>0</v>
      </c>
      <c r="AI61" s="78" t="str">
        <f>Table11[[#This Row],[drinking]]</f>
        <v>Yes</v>
      </c>
      <c r="AJ61" s="78" t="str">
        <f>Table11[[#This Row],[oral_diet]]</f>
        <v>Yes</v>
      </c>
      <c r="AK61" s="78" t="str">
        <f>Table11[[#This Row],[mobilised]]</f>
        <v>Yes</v>
      </c>
      <c r="AL61" s="79" t="str">
        <f>Table11[[#This Row],[resp_supp]]</f>
        <v>None</v>
      </c>
      <c r="AM61" s="78">
        <f>Table11[[#This Row],[elev_head]]</f>
        <v>0</v>
      </c>
      <c r="AN61" s="78" t="str">
        <f>Table13[[#This Row],[in_hospital]]</f>
        <v>Yes</v>
      </c>
      <c r="AO61" s="78" t="str">
        <f>Table13[[#This Row],[location_7]]</f>
        <v>Ward</v>
      </c>
      <c r="AP61" s="78" t="str">
        <f>Table13[[#This Row],[infec_24]]</f>
        <v>None of the above</v>
      </c>
      <c r="AQ61" s="73" t="str">
        <f>Table13[[#This Row],[infec_7]]</f>
        <v>None</v>
      </c>
      <c r="AR61" s="73" t="str">
        <f>Table13[[#This Row],[gastro]]</f>
        <v>None of the above</v>
      </c>
      <c r="AS61" s="73" t="str">
        <f>Table13[[#This Row],[pulm_supp_24]]</f>
        <v>New requirement for oxygen</v>
      </c>
      <c r="AT61" s="73" t="str">
        <f>Table13[[#This Row],[pulm_supp_7]]</f>
        <v>None</v>
      </c>
      <c r="AU61" s="73" t="str">
        <f>Table13[[#This Row],[pulm_pharm]]</f>
        <v>None</v>
      </c>
      <c r="AV61" s="73" t="str">
        <f>Table13[[#This Row],[cardio_24]]</f>
        <v>Arrhythmias</v>
      </c>
      <c r="AW61" s="73">
        <f>Table13[[#This Row],[troponin_7]]</f>
        <v>0</v>
      </c>
      <c r="AX61" s="73">
        <f>Table13[[#This Row],[creatinine_base]]</f>
        <v>48</v>
      </c>
      <c r="AY61" s="73">
        <f>Table13[[#This Row],[creatinine_high]]</f>
        <v>61</v>
      </c>
      <c r="AZ61" s="73" t="str">
        <f>Table13[[#This Row],[rrt]]</f>
        <v xml:space="preserve">No </v>
      </c>
      <c r="BA61" s="73" t="str">
        <f>Table13[[#This Row],[renal_24]]</f>
        <v>Urethral catheter in-situ (not present pre-operatively)</v>
      </c>
      <c r="BB61" s="73" t="str">
        <f>Table13[[#This Row],[neuro]]</f>
        <v>None of the above</v>
      </c>
      <c r="BC61" s="73" t="str">
        <f>Table13[[#This Row],[wound]]</f>
        <v>None of the above</v>
      </c>
      <c r="BD61" s="73" t="str">
        <f>Table13[[#This Row],[haemato]]</f>
        <v>None of the above</v>
      </c>
      <c r="BE61" s="73" t="str">
        <f>Table13[[#This Row],[pain]]</f>
        <v>Parenteral opioids</v>
      </c>
      <c r="BF61" s="73" t="str">
        <f>Table13[[#This Row],[mobility]]</f>
        <v>Yes</v>
      </c>
      <c r="BG61" s="79" t="str">
        <f>Table13[[#This Row],[why_inpatient_7]]</f>
        <v>Medical/nursing care</v>
      </c>
      <c r="BH61" s="9">
        <f>Table13[[#This Row],[date_15]]</f>
        <v>0</v>
      </c>
      <c r="BI61">
        <f>Table13[[#This Row],[inpatient_15]]</f>
        <v>0</v>
      </c>
      <c r="BJ61">
        <f>Table13[[#This Row],[comment_15]]</f>
        <v>0</v>
      </c>
      <c r="BK61" t="str">
        <f>Table13[[#This Row],[discharge_dest]]</f>
        <v>Own Home</v>
      </c>
      <c r="BL61" t="str">
        <f>Table13[[#This Row],[complication]]</f>
        <v>I, II</v>
      </c>
    </row>
    <row r="62" spans="1:64" ht="18" customHeight="1">
      <c r="A62" s="73" t="str">
        <f>Table5[[#This Row],[comment]]</f>
        <v>cancelled</v>
      </c>
      <c r="B62" s="73" t="str">
        <f>Table9[[#This Row],[surgeon]]</f>
        <v>Noel Clarke</v>
      </c>
      <c r="C62" s="73" t="str">
        <f>Table9[[#This Row],[surgery]]</f>
        <v>Enlargement of bladder</v>
      </c>
      <c r="D62" s="74" t="str">
        <f>Table5[[#This Row],[pqip_consent]]</f>
        <v>No</v>
      </c>
      <c r="E62" s="73" t="str">
        <f>Table6[[#This Row],[area_surgery]]</f>
        <v>Urology</v>
      </c>
      <c r="F62" s="75">
        <f>Table6[[#This Row],[admission_date]]</f>
        <v>43334</v>
      </c>
      <c r="G62" s="75">
        <f>Table6[[#This Row],[admission_date]]</f>
        <v>43334</v>
      </c>
      <c r="H62" s="105">
        <f>Table6[[#This Row],[surgery_duration]]</f>
        <v>0</v>
      </c>
      <c r="I62" s="73" t="str">
        <f>Table6[[#This Row],[discharge_loc]]</f>
        <v>CCU (Level 2 and 3)</v>
      </c>
      <c r="J62" s="75">
        <f>Table6[[#This Row],[discharge_date]]</f>
        <v>0</v>
      </c>
      <c r="K62" s="76">
        <f>Table6[[#This Row],[hospital_stay]]</f>
        <v>-43334</v>
      </c>
      <c r="L62" s="76">
        <f>Table6[[#This Row],[readmit_30]]</f>
        <v>0</v>
      </c>
      <c r="M62" s="77" t="str">
        <f>Table9[[#This Row],[troponin]]</f>
        <v>Not Measured</v>
      </c>
      <c r="N62" s="78">
        <f>Table9[[#This Row],[hb]]</f>
        <v>12.3</v>
      </c>
      <c r="O62" s="78">
        <f>Table9[[#This Row],[creatinine]]</f>
        <v>446</v>
      </c>
      <c r="P62" s="78">
        <f>Table9[[#This Row],[albumin]]</f>
        <v>46</v>
      </c>
      <c r="Q62" s="73" t="str">
        <f>Table9[[#This Row],[chest_physio]]</f>
        <v>Nurse</v>
      </c>
      <c r="R62" s="73" t="str">
        <f>Table9[[#This Row],[surgery_school]]</f>
        <v>No - Wasn’t offered it</v>
      </c>
      <c r="S62" s="75">
        <f>Table9[[#This Row],[date_school]]</f>
        <v>0</v>
      </c>
      <c r="T62" s="73">
        <f>Table9[[#This Row],[app_down]]</f>
        <v>0</v>
      </c>
      <c r="U62" s="73">
        <f>Table9[[#This Row],[website]]</f>
        <v>0</v>
      </c>
      <c r="V62" s="73">
        <f>Table9[[#This Row],[base_activity]]</f>
        <v>0</v>
      </c>
      <c r="W62" s="73">
        <f>Table9[[#This Row],[current_activity]]</f>
        <v>0</v>
      </c>
      <c r="X62" s="73">
        <f>Table9[[#This Row],[activity_type]]</f>
        <v>0</v>
      </c>
      <c r="Y62" s="73">
        <f>Table9[[#This Row],[anaemia_treat]]</f>
        <v>0</v>
      </c>
      <c r="Z62" s="78">
        <f>Table9[[#This Row],[anaesthesia]]</f>
        <v>0</v>
      </c>
      <c r="AA62" s="78">
        <f>Table9[[#This Row],[smoke_hist]]</f>
        <v>0</v>
      </c>
      <c r="AB62" s="78">
        <f>Table9[[#This Row],[smoke_cess]]</f>
        <v>0</v>
      </c>
      <c r="AC62" s="78" t="str">
        <f>Table9[[#This Row],[tidal_vol]]</f>
        <v>Not recorded</v>
      </c>
      <c r="AD62" s="77">
        <f>Table11[[#This Row],[inc_spiro]]</f>
        <v>0</v>
      </c>
      <c r="AE62" s="73">
        <f>Table11[[#This Row],[t_brushes]]</f>
        <v>0</v>
      </c>
      <c r="AF62" s="78">
        <f>Table11[[#This Row],[m_washes]]</f>
        <v>0</v>
      </c>
      <c r="AG62" s="78">
        <f>Table11[[#This Row],[iv_disc]]</f>
        <v>0</v>
      </c>
      <c r="AH62" s="78">
        <f>Table11[[#This Row],[tolerate_15l]]</f>
        <v>0</v>
      </c>
      <c r="AI62" s="78">
        <f>Table11[[#This Row],[drinking]]</f>
        <v>0</v>
      </c>
      <c r="AJ62" s="78">
        <f>Table11[[#This Row],[oral_diet]]</f>
        <v>0</v>
      </c>
      <c r="AK62" s="78">
        <f>Table11[[#This Row],[mobilised]]</f>
        <v>0</v>
      </c>
      <c r="AL62" s="79">
        <f>Table11[[#This Row],[resp_supp]]</f>
        <v>0</v>
      </c>
      <c r="AM62" s="78">
        <f>Table11[[#This Row],[elev_head]]</f>
        <v>0</v>
      </c>
      <c r="AN62" s="78">
        <f>Table13[[#This Row],[in_hospital]]</f>
        <v>0</v>
      </c>
      <c r="AO62" s="78">
        <f>Table13[[#This Row],[location_7]]</f>
        <v>0</v>
      </c>
      <c r="AP62" s="78">
        <f>Table13[[#This Row],[infec_24]]</f>
        <v>0</v>
      </c>
      <c r="AQ62" s="73">
        <f>Table13[[#This Row],[infec_7]]</f>
        <v>0</v>
      </c>
      <c r="AR62" s="73">
        <f>Table13[[#This Row],[gastro]]</f>
        <v>0</v>
      </c>
      <c r="AS62" s="73">
        <f>Table13[[#This Row],[pulm_supp_24]]</f>
        <v>0</v>
      </c>
      <c r="AT62" s="73">
        <f>Table13[[#This Row],[pulm_supp_7]]</f>
        <v>0</v>
      </c>
      <c r="AU62" s="73">
        <f>Table13[[#This Row],[pulm_pharm]]</f>
        <v>0</v>
      </c>
      <c r="AV62" s="73">
        <f>Table13[[#This Row],[cardio_24]]</f>
        <v>0</v>
      </c>
      <c r="AW62" s="73">
        <f>Table13[[#This Row],[troponin_7]]</f>
        <v>0</v>
      </c>
      <c r="AX62" s="73">
        <f>Table13[[#This Row],[creatinine_base]]</f>
        <v>0</v>
      </c>
      <c r="AY62" s="73">
        <f>Table13[[#This Row],[creatinine_high]]</f>
        <v>0</v>
      </c>
      <c r="AZ62" s="73">
        <f>Table13[[#This Row],[rrt]]</f>
        <v>0</v>
      </c>
      <c r="BA62" s="73">
        <f>Table13[[#This Row],[renal_24]]</f>
        <v>0</v>
      </c>
      <c r="BB62" s="73">
        <f>Table13[[#This Row],[neuro]]</f>
        <v>0</v>
      </c>
      <c r="BC62" s="73">
        <f>Table13[[#This Row],[wound]]</f>
        <v>0</v>
      </c>
      <c r="BD62" s="73">
        <f>Table13[[#This Row],[haemato]]</f>
        <v>0</v>
      </c>
      <c r="BE62" s="73">
        <f>Table13[[#This Row],[pain]]</f>
        <v>0</v>
      </c>
      <c r="BF62" s="73">
        <f>Table13[[#This Row],[mobility]]</f>
        <v>0</v>
      </c>
      <c r="BG62" s="79">
        <f>Table13[[#This Row],[why_inpatient_7]]</f>
        <v>0</v>
      </c>
      <c r="BH62" s="9">
        <f>Table13[[#This Row],[date_15]]</f>
        <v>0</v>
      </c>
      <c r="BI62">
        <f>Table13[[#This Row],[inpatient_15]]</f>
        <v>0</v>
      </c>
      <c r="BJ62">
        <f>Table13[[#This Row],[comment_15]]</f>
        <v>0</v>
      </c>
      <c r="BK62">
        <f>Table13[[#This Row],[discharge_dest]]</f>
        <v>0</v>
      </c>
      <c r="BL62">
        <f>Table13[[#This Row],[complication]]</f>
        <v>0</v>
      </c>
    </row>
    <row r="63" spans="1:64" ht="18" customHeight="1">
      <c r="A63" s="73">
        <f>Table5[[#This Row],[comment]]</f>
        <v>0</v>
      </c>
      <c r="B63" s="73" t="str">
        <f>Table9[[#This Row],[surgeon]]</f>
        <v>Euan Green</v>
      </c>
      <c r="C63" s="73" t="str">
        <f>Table9[[#This Row],[surgery]]</f>
        <v>Nephrectomy (non-transplant)</v>
      </c>
      <c r="D63" s="74" t="str">
        <f>Table5[[#This Row],[pqip_consent]]</f>
        <v>Yes</v>
      </c>
      <c r="E63" s="73" t="str">
        <f>Table6[[#This Row],[area_surgery]]</f>
        <v>Nephrology</v>
      </c>
      <c r="F63" s="75">
        <f>Table6[[#This Row],[admission_date]]</f>
        <v>43334</v>
      </c>
      <c r="G63" s="75">
        <f>Table6[[#This Row],[admission_date]]</f>
        <v>43334</v>
      </c>
      <c r="H63" s="105">
        <f>Table6[[#This Row],[surgery_duration]]</f>
        <v>9.375E-2</v>
      </c>
      <c r="I63" s="73" t="str">
        <f>Table6[[#This Row],[discharge_loc]]</f>
        <v>H6</v>
      </c>
      <c r="J63" s="75">
        <f>Table6[[#This Row],[discharge_date]]</f>
        <v>43337</v>
      </c>
      <c r="K63" s="76">
        <f>Table6[[#This Row],[hospital_stay]]</f>
        <v>3</v>
      </c>
      <c r="L63" s="76" t="str">
        <f>Table6[[#This Row],[readmit_30]]</f>
        <v>No</v>
      </c>
      <c r="M63" s="77" t="str">
        <f>Table9[[#This Row],[troponin]]</f>
        <v>Not Measured</v>
      </c>
      <c r="N63" s="78">
        <f>Table9[[#This Row],[hb]]</f>
        <v>14.7</v>
      </c>
      <c r="O63" s="78">
        <f>Table9[[#This Row],[creatinine]]</f>
        <v>84</v>
      </c>
      <c r="P63" s="78">
        <f>Table9[[#This Row],[albumin]]</f>
        <v>42</v>
      </c>
      <c r="Q63" s="73" t="str">
        <f>Table9[[#This Row],[chest_physio]]</f>
        <v>No</v>
      </c>
      <c r="R63" s="73" t="str">
        <f>Table9[[#This Row],[surgery_school]]</f>
        <v>No - Wasn’t offered it</v>
      </c>
      <c r="S63" s="75">
        <f>Table9[[#This Row],[date_school]]</f>
        <v>0</v>
      </c>
      <c r="T63" s="73" t="str">
        <f>Table9[[#This Row],[app_down]]</f>
        <v>No - No electronic device</v>
      </c>
      <c r="U63" s="73" t="str">
        <f>Table9[[#This Row],[website]]</f>
        <v>No</v>
      </c>
      <c r="V63" s="73" t="str">
        <f>Table9[[#This Row],[base_activity]]</f>
        <v>No extra activity - Independent in ADLs</v>
      </c>
      <c r="W63" s="73" t="str">
        <f>Table9[[#This Row],[current_activity]]</f>
        <v>No extra activity - Independent in ADLs</v>
      </c>
      <c r="X63" s="73" t="str">
        <f>Table9[[#This Row],[activity_type]]</f>
        <v>None</v>
      </c>
      <c r="Y63" s="73" t="str">
        <f>Table9[[#This Row],[anaemia_treat]]</f>
        <v>Not applicable</v>
      </c>
      <c r="Z63" s="78" t="str">
        <f>Table9[[#This Row],[anaesthesia]]</f>
        <v>General with TIVA</v>
      </c>
      <c r="AA63" s="78">
        <f>Table9[[#This Row],[smoke_hist]]</f>
        <v>0</v>
      </c>
      <c r="AB63" s="78">
        <f>Table9[[#This Row],[smoke_cess]]</f>
        <v>0</v>
      </c>
      <c r="AC63" s="78" t="str">
        <f>Table9[[#This Row],[tidal_vol]]</f>
        <v>Not recorded</v>
      </c>
      <c r="AD63" s="77" t="str">
        <f>Table11[[#This Row],[inc_spiro]]</f>
        <v>Not used</v>
      </c>
      <c r="AE63" s="73" t="str">
        <f>Table11[[#This Row],[t_brushes]]</f>
        <v>Twice</v>
      </c>
      <c r="AF63" s="78" t="str">
        <f>Table11[[#This Row],[m_washes]]</f>
        <v>Twice</v>
      </c>
      <c r="AG63" s="78" t="str">
        <f>Table11[[#This Row],[iv_disc]]</f>
        <v>No</v>
      </c>
      <c r="AH63" s="78">
        <f>Table11[[#This Row],[tolerate_15l]]</f>
        <v>0</v>
      </c>
      <c r="AI63" s="78" t="str">
        <f>Table11[[#This Row],[drinking]]</f>
        <v>Yes</v>
      </c>
      <c r="AJ63" s="78" t="str">
        <f>Table11[[#This Row],[oral_diet]]</f>
        <v>Yes</v>
      </c>
      <c r="AK63" s="78" t="str">
        <f>Table11[[#This Row],[mobilised]]</f>
        <v>Yes</v>
      </c>
      <c r="AL63" s="79" t="str">
        <f>Table11[[#This Row],[resp_supp]]</f>
        <v>None</v>
      </c>
      <c r="AM63" s="78">
        <f>Table11[[#This Row],[elev_head]]</f>
        <v>0</v>
      </c>
      <c r="AN63" s="78" t="str">
        <f>Table13[[#This Row],[in_hospital]]</f>
        <v>No</v>
      </c>
      <c r="AO63" s="78">
        <f>Table13[[#This Row],[location_7]]</f>
        <v>0</v>
      </c>
      <c r="AP63" s="78">
        <f>Table13[[#This Row],[infec_24]]</f>
        <v>0</v>
      </c>
      <c r="AQ63" s="73">
        <f>Table13[[#This Row],[infec_7]]</f>
        <v>0</v>
      </c>
      <c r="AR63" s="73">
        <f>Table13[[#This Row],[gastro]]</f>
        <v>0</v>
      </c>
      <c r="AS63" s="73">
        <f>Table13[[#This Row],[pulm_supp_24]]</f>
        <v>0</v>
      </c>
      <c r="AT63" s="73">
        <f>Table13[[#This Row],[pulm_supp_7]]</f>
        <v>0</v>
      </c>
      <c r="AU63" s="73">
        <f>Table13[[#This Row],[pulm_pharm]]</f>
        <v>0</v>
      </c>
      <c r="AV63" s="73">
        <f>Table13[[#This Row],[cardio_24]]</f>
        <v>0</v>
      </c>
      <c r="AW63" s="73">
        <f>Table13[[#This Row],[troponin_7]]</f>
        <v>0</v>
      </c>
      <c r="AX63" s="73">
        <f>Table13[[#This Row],[creatinine_base]]</f>
        <v>0</v>
      </c>
      <c r="AY63" s="73">
        <f>Table13[[#This Row],[creatinine_high]]</f>
        <v>0</v>
      </c>
      <c r="AZ63" s="73">
        <f>Table13[[#This Row],[rrt]]</f>
        <v>0</v>
      </c>
      <c r="BA63" s="73">
        <f>Table13[[#This Row],[renal_24]]</f>
        <v>0</v>
      </c>
      <c r="BB63" s="73">
        <f>Table13[[#This Row],[neuro]]</f>
        <v>0</v>
      </c>
      <c r="BC63" s="73">
        <f>Table13[[#This Row],[wound]]</f>
        <v>0</v>
      </c>
      <c r="BD63" s="73">
        <f>Table13[[#This Row],[haemato]]</f>
        <v>0</v>
      </c>
      <c r="BE63" s="73">
        <f>Table13[[#This Row],[pain]]</f>
        <v>0</v>
      </c>
      <c r="BF63" s="73">
        <f>Table13[[#This Row],[mobility]]</f>
        <v>0</v>
      </c>
      <c r="BG63" s="79">
        <f>Table13[[#This Row],[why_inpatient_7]]</f>
        <v>0</v>
      </c>
      <c r="BH63" s="9">
        <f>Table13[[#This Row],[date_15]]</f>
        <v>0</v>
      </c>
      <c r="BI63">
        <f>Table13[[#This Row],[inpatient_15]]</f>
        <v>0</v>
      </c>
      <c r="BJ63">
        <f>Table13[[#This Row],[comment_15]]</f>
        <v>0</v>
      </c>
      <c r="BK63" t="str">
        <f>Table13[[#This Row],[discharge_dest]]</f>
        <v>Own Home</v>
      </c>
      <c r="BL63" t="str">
        <f>Table13[[#This Row],[complication]]</f>
        <v>None</v>
      </c>
    </row>
    <row r="64" spans="1:64" ht="18" customHeight="1">
      <c r="A64" s="73">
        <f>Table5[[#This Row],[comment]]</f>
        <v>0</v>
      </c>
      <c r="B64" s="73" t="str">
        <f>Table9[[#This Row],[surgeon]]</f>
        <v>Rachel Brindle</v>
      </c>
      <c r="C64" s="73" t="str">
        <f>Table9[[#This Row],[surgery]]</f>
        <v>Mediastinal thyroidectomy/parathyroidectomy with sternotomy</v>
      </c>
      <c r="D64" s="74" t="str">
        <f>Table5[[#This Row],[pqip_consent]]</f>
        <v>No</v>
      </c>
      <c r="E64" s="73" t="str">
        <f>Table6[[#This Row],[area_surgery]]</f>
        <v>Head and Neck</v>
      </c>
      <c r="F64" s="75">
        <f>Table6[[#This Row],[admission_date]]</f>
        <v>43334</v>
      </c>
      <c r="G64" s="75">
        <f>Table6[[#This Row],[admission_date]]</f>
        <v>43334</v>
      </c>
      <c r="H64" s="105">
        <f>Table6[[#This Row],[surgery_duration]]</f>
        <v>0.19444444444444445</v>
      </c>
      <c r="I64" s="73" t="str">
        <f>Table6[[#This Row],[discharge_loc]]</f>
        <v>H4</v>
      </c>
      <c r="J64" s="75">
        <f>Table6[[#This Row],[discharge_date]]</f>
        <v>43335</v>
      </c>
      <c r="K64" s="76">
        <f>Table6[[#This Row],[hospital_stay]]</f>
        <v>1</v>
      </c>
      <c r="L64" s="76" t="str">
        <f>Table6[[#This Row],[readmit_30]]</f>
        <v>No</v>
      </c>
      <c r="M64" s="77" t="str">
        <f>Table9[[#This Row],[troponin]]</f>
        <v>Not Measured</v>
      </c>
      <c r="N64" s="78">
        <f>Table9[[#This Row],[hb]]</f>
        <v>14.7</v>
      </c>
      <c r="O64" s="78">
        <f>Table9[[#This Row],[creatinine]]</f>
        <v>64</v>
      </c>
      <c r="P64" s="78">
        <f>Table9[[#This Row],[albumin]]</f>
        <v>42</v>
      </c>
      <c r="Q64" s="73" t="str">
        <f>Table9[[#This Row],[chest_physio]]</f>
        <v>No</v>
      </c>
      <c r="R64" s="73" t="str">
        <f>Table9[[#This Row],[surgery_school]]</f>
        <v>No - Wasn’t offered it</v>
      </c>
      <c r="S64" s="75">
        <f>Table9[[#This Row],[date_school]]</f>
        <v>0</v>
      </c>
      <c r="T64" s="73" t="str">
        <f>Table9[[#This Row],[app_down]]</f>
        <v>No - Have electronic device</v>
      </c>
      <c r="U64" s="73" t="str">
        <f>Table9[[#This Row],[website]]</f>
        <v>No</v>
      </c>
      <c r="V64" s="73" t="str">
        <f>Table9[[#This Row],[base_activity]]</f>
        <v>&gt;30mins of moderate activity</v>
      </c>
      <c r="W64" s="73" t="str">
        <f>Table9[[#This Row],[current_activity]]</f>
        <v>&gt;30mins of moderate activity</v>
      </c>
      <c r="X64" s="73" t="str">
        <f>Table9[[#This Row],[activity_type]]</f>
        <v xml:space="preserve">Gym private </v>
      </c>
      <c r="Y64" s="73" t="str">
        <f>Table9[[#This Row],[anaemia_treat]]</f>
        <v>Not applicable</v>
      </c>
      <c r="Z64" s="78" t="str">
        <f>Table9[[#This Row],[anaesthesia]]</f>
        <v>General with Inhalational</v>
      </c>
      <c r="AA64" s="78">
        <f>Table9[[#This Row],[smoke_hist]]</f>
        <v>0</v>
      </c>
      <c r="AB64" s="78">
        <f>Table9[[#This Row],[smoke_cess]]</f>
        <v>0</v>
      </c>
      <c r="AC64" s="78" t="str">
        <f>Table9[[#This Row],[tidal_vol]]</f>
        <v>Not recorded</v>
      </c>
      <c r="AD64" s="77" t="str">
        <f>Table11[[#This Row],[inc_spiro]]</f>
        <v>Not used</v>
      </c>
      <c r="AE64" s="73" t="str">
        <f>Table11[[#This Row],[t_brushes]]</f>
        <v>Twice</v>
      </c>
      <c r="AF64" s="78" t="str">
        <f>Table11[[#This Row],[m_washes]]</f>
        <v>None</v>
      </c>
      <c r="AG64" s="78" t="str">
        <f>Table11[[#This Row],[iv_disc]]</f>
        <v>Yes</v>
      </c>
      <c r="AH64" s="78">
        <f>Table11[[#This Row],[tolerate_15l]]</f>
        <v>0</v>
      </c>
      <c r="AI64" s="78" t="str">
        <f>Table11[[#This Row],[drinking]]</f>
        <v>Yes</v>
      </c>
      <c r="AJ64" s="78" t="str">
        <f>Table11[[#This Row],[oral_diet]]</f>
        <v>Yes</v>
      </c>
      <c r="AK64" s="78" t="str">
        <f>Table11[[#This Row],[mobilised]]</f>
        <v>Yes</v>
      </c>
      <c r="AL64" s="79" t="str">
        <f>Table11[[#This Row],[resp_supp]]</f>
        <v>None</v>
      </c>
      <c r="AM64" s="78">
        <f>Table11[[#This Row],[elev_head]]</f>
        <v>0</v>
      </c>
      <c r="AN64" s="78" t="str">
        <f>Table13[[#This Row],[in_hospital]]</f>
        <v>No</v>
      </c>
      <c r="AO64" s="78">
        <f>Table13[[#This Row],[location_7]]</f>
        <v>0</v>
      </c>
      <c r="AP64" s="78">
        <f>Table13[[#This Row],[infec_24]]</f>
        <v>0</v>
      </c>
      <c r="AQ64" s="73">
        <f>Table13[[#This Row],[infec_7]]</f>
        <v>0</v>
      </c>
      <c r="AR64" s="73">
        <f>Table13[[#This Row],[gastro]]</f>
        <v>0</v>
      </c>
      <c r="AS64" s="73">
        <f>Table13[[#This Row],[pulm_supp_24]]</f>
        <v>0</v>
      </c>
      <c r="AT64" s="73">
        <f>Table13[[#This Row],[pulm_supp_7]]</f>
        <v>0</v>
      </c>
      <c r="AU64" s="73">
        <f>Table13[[#This Row],[pulm_pharm]]</f>
        <v>0</v>
      </c>
      <c r="AV64" s="73">
        <f>Table13[[#This Row],[cardio_24]]</f>
        <v>0</v>
      </c>
      <c r="AW64" s="73">
        <f>Table13[[#This Row],[troponin_7]]</f>
        <v>0</v>
      </c>
      <c r="AX64" s="73">
        <f>Table13[[#This Row],[creatinine_base]]</f>
        <v>0</v>
      </c>
      <c r="AY64" s="73">
        <f>Table13[[#This Row],[creatinine_high]]</f>
        <v>0</v>
      </c>
      <c r="AZ64" s="73">
        <f>Table13[[#This Row],[rrt]]</f>
        <v>0</v>
      </c>
      <c r="BA64" s="73">
        <f>Table13[[#This Row],[renal_24]]</f>
        <v>0</v>
      </c>
      <c r="BB64" s="73">
        <f>Table13[[#This Row],[neuro]]</f>
        <v>0</v>
      </c>
      <c r="BC64" s="73">
        <f>Table13[[#This Row],[wound]]</f>
        <v>0</v>
      </c>
      <c r="BD64" s="73">
        <f>Table13[[#This Row],[haemato]]</f>
        <v>0</v>
      </c>
      <c r="BE64" s="73">
        <f>Table13[[#This Row],[pain]]</f>
        <v>0</v>
      </c>
      <c r="BF64" s="73">
        <f>Table13[[#This Row],[mobility]]</f>
        <v>0</v>
      </c>
      <c r="BG64" s="79">
        <f>Table13[[#This Row],[why_inpatient_7]]</f>
        <v>0</v>
      </c>
      <c r="BH64" s="9">
        <f>Table13[[#This Row],[date_15]]</f>
        <v>0</v>
      </c>
      <c r="BI64">
        <f>Table13[[#This Row],[inpatient_15]]</f>
        <v>0</v>
      </c>
      <c r="BJ64">
        <f>Table13[[#This Row],[comment_15]]</f>
        <v>0</v>
      </c>
      <c r="BK64" t="str">
        <f>Table13[[#This Row],[discharge_dest]]</f>
        <v>Own Home</v>
      </c>
      <c r="BL64" t="str">
        <f>Table13[[#This Row],[complication]]</f>
        <v>None</v>
      </c>
    </row>
    <row r="65" spans="1:64" ht="18" customHeight="1">
      <c r="A65" s="73">
        <f>Table5[[#This Row],[comment]]</f>
        <v>0</v>
      </c>
      <c r="B65" s="73" t="str">
        <f>Table9[[#This Row],[surgeon]]</f>
        <v>Clare Mason</v>
      </c>
      <c r="C65" s="73" t="str">
        <f>Table9[[#This Row],[surgery]]</f>
        <v>Anterior resection</v>
      </c>
      <c r="D65" s="74" t="str">
        <f>Table5[[#This Row],[pqip_consent]]</f>
        <v>Yes</v>
      </c>
      <c r="E65" s="73" t="str">
        <f>Table6[[#This Row],[area_surgery]]</f>
        <v>Lower GI</v>
      </c>
      <c r="F65" s="75">
        <f>Table6[[#This Row],[admission_date]]</f>
        <v>43333</v>
      </c>
      <c r="G65" s="75">
        <f>Table6[[#This Row],[admission_date]]</f>
        <v>43333</v>
      </c>
      <c r="H65" s="105">
        <f>Table6[[#This Row],[surgery_duration]]</f>
        <v>0.27777777777777779</v>
      </c>
      <c r="I65" s="73" t="str">
        <f>Table6[[#This Row],[discharge_loc]]</f>
        <v>H6</v>
      </c>
      <c r="J65" s="75">
        <f>Table6[[#This Row],[discharge_date]]</f>
        <v>43340</v>
      </c>
      <c r="K65" s="76">
        <f>Table6[[#This Row],[hospital_stay]]</f>
        <v>7</v>
      </c>
      <c r="L65" s="76" t="str">
        <f>Table6[[#This Row],[readmit_30]]</f>
        <v>No</v>
      </c>
      <c r="M65" s="77" t="str">
        <f>Table9[[#This Row],[troponin]]</f>
        <v>Not Measured</v>
      </c>
      <c r="N65" s="78">
        <f>Table9[[#This Row],[hb]]</f>
        <v>14.1</v>
      </c>
      <c r="O65" s="78">
        <f>Table9[[#This Row],[creatinine]]</f>
        <v>56</v>
      </c>
      <c r="P65" s="78">
        <f>Table9[[#This Row],[albumin]]</f>
        <v>44</v>
      </c>
      <c r="Q65" s="73" t="str">
        <f>Table9[[#This Row],[chest_physio]]</f>
        <v>Nurse</v>
      </c>
      <c r="R65" s="73" t="str">
        <f>Table9[[#This Row],[surgery_school]]</f>
        <v>No - Wasn’t offered it</v>
      </c>
      <c r="S65" s="75">
        <f>Table9[[#This Row],[date_school]]</f>
        <v>0</v>
      </c>
      <c r="T65" s="73" t="str">
        <f>Table9[[#This Row],[app_down]]</f>
        <v>No - No electronic device</v>
      </c>
      <c r="U65" s="73" t="str">
        <f>Table9[[#This Row],[website]]</f>
        <v>No</v>
      </c>
      <c r="V65" s="73" t="str">
        <f>Table9[[#This Row],[base_activity]]</f>
        <v>No extra activity - Independent in ADLs</v>
      </c>
      <c r="W65" s="73" t="str">
        <f>Table9[[#This Row],[current_activity]]</f>
        <v>No extra activity - Independent in ADLs</v>
      </c>
      <c r="X65" s="73" t="str">
        <f>Table9[[#This Row],[activity_type]]</f>
        <v>None</v>
      </c>
      <c r="Y65" s="73" t="str">
        <f>Table9[[#This Row],[anaemia_treat]]</f>
        <v>Not applicable</v>
      </c>
      <c r="Z65" s="78" t="str">
        <f>Table9[[#This Row],[anaesthesia]]</f>
        <v>General with Inhalational</v>
      </c>
      <c r="AA65" s="78">
        <f>Table9[[#This Row],[smoke_hist]]</f>
        <v>0</v>
      </c>
      <c r="AB65" s="78">
        <f>Table9[[#This Row],[smoke_cess]]</f>
        <v>0</v>
      </c>
      <c r="AC65" s="78" t="str">
        <f>Table9[[#This Row],[tidal_vol]]</f>
        <v>Not recorded</v>
      </c>
      <c r="AD65" s="77" t="str">
        <f>Table11[[#This Row],[inc_spiro]]</f>
        <v>Not used</v>
      </c>
      <c r="AE65" s="73" t="str">
        <f>Table11[[#This Row],[t_brushes]]</f>
        <v>Twice</v>
      </c>
      <c r="AF65" s="78" t="str">
        <f>Table11[[#This Row],[m_washes]]</f>
        <v>None</v>
      </c>
      <c r="AG65" s="78" t="str">
        <f>Table11[[#This Row],[iv_disc]]</f>
        <v>No</v>
      </c>
      <c r="AH65" s="78" t="str">
        <f>Table11[[#This Row],[tolerate_15l]]</f>
        <v>No</v>
      </c>
      <c r="AI65" s="78" t="str">
        <f>Table11[[#This Row],[drinking]]</f>
        <v>Yes</v>
      </c>
      <c r="AJ65" s="78" t="str">
        <f>Table11[[#This Row],[oral_diet]]</f>
        <v>No</v>
      </c>
      <c r="AK65" s="78" t="str">
        <f>Table11[[#This Row],[mobilised]]</f>
        <v>Yes</v>
      </c>
      <c r="AL65" s="79" t="str">
        <f>Table11[[#This Row],[resp_supp]]</f>
        <v>None</v>
      </c>
      <c r="AM65" s="78">
        <f>Table11[[#This Row],[elev_head]]</f>
        <v>0</v>
      </c>
      <c r="AN65" s="78" t="str">
        <f>Table13[[#This Row],[in_hospital]]</f>
        <v>Yes</v>
      </c>
      <c r="AO65" s="78" t="str">
        <f>Table13[[#This Row],[location_7]]</f>
        <v>Ward</v>
      </c>
      <c r="AP65" s="78" t="str">
        <f>Table13[[#This Row],[infec_24]]</f>
        <v>None of the above</v>
      </c>
      <c r="AQ65" s="73" t="str">
        <f>Table13[[#This Row],[infec_7]]</f>
        <v>None</v>
      </c>
      <c r="AR65" s="73" t="str">
        <f>Table13[[#This Row],[gastro]]</f>
        <v>None of the above</v>
      </c>
      <c r="AS65" s="73" t="str">
        <f>Table13[[#This Row],[pulm_supp_24]]</f>
        <v>New requirement for oxygen</v>
      </c>
      <c r="AT65" s="73" t="str">
        <f>Table13[[#This Row],[pulm_supp_7]]</f>
        <v>None</v>
      </c>
      <c r="AU65" s="73" t="str">
        <f>Table13[[#This Row],[pulm_pharm]]</f>
        <v>None</v>
      </c>
      <c r="AV65" s="73" t="str">
        <f>Table13[[#This Row],[cardio_24]]</f>
        <v>None of the above</v>
      </c>
      <c r="AW65" s="73">
        <f>Table13[[#This Row],[troponin_7]]</f>
        <v>0</v>
      </c>
      <c r="AX65" s="73">
        <f>Table13[[#This Row],[creatinine_base]]</f>
        <v>56</v>
      </c>
      <c r="AY65" s="73">
        <f>Table13[[#This Row],[creatinine_high]]</f>
        <v>52</v>
      </c>
      <c r="AZ65" s="73" t="str">
        <f>Table13[[#This Row],[rrt]]</f>
        <v xml:space="preserve">No </v>
      </c>
      <c r="BA65" s="73" t="str">
        <f>Table13[[#This Row],[renal_24]]</f>
        <v>None of the above</v>
      </c>
      <c r="BB65" s="73" t="str">
        <f>Table13[[#This Row],[neuro]]</f>
        <v>None of the above</v>
      </c>
      <c r="BC65" s="73" t="str">
        <f>Table13[[#This Row],[wound]]</f>
        <v>Drainage of pus/Swab taken</v>
      </c>
      <c r="BD65" s="73" t="str">
        <f>Table13[[#This Row],[haemato]]</f>
        <v>None of the above</v>
      </c>
      <c r="BE65" s="73" t="str">
        <f>Table13[[#This Row],[pain]]</f>
        <v>None of the above</v>
      </c>
      <c r="BF65" s="73" t="str">
        <f>Table13[[#This Row],[mobility]]</f>
        <v>Yes</v>
      </c>
      <c r="BG65" s="79" t="str">
        <f>Table13[[#This Row],[why_inpatient_7]]</f>
        <v>Medical/nursing care</v>
      </c>
      <c r="BH65" s="9">
        <f>Table13[[#This Row],[date_15]]</f>
        <v>0</v>
      </c>
      <c r="BI65">
        <f>Table13[[#This Row],[inpatient_15]]</f>
        <v>0</v>
      </c>
      <c r="BJ65">
        <f>Table13[[#This Row],[comment_15]]</f>
        <v>0</v>
      </c>
      <c r="BK65" t="str">
        <f>Table13[[#This Row],[discharge_dest]]</f>
        <v>Own Home</v>
      </c>
      <c r="BL65" t="str">
        <f>Table13[[#This Row],[complication]]</f>
        <v>None</v>
      </c>
    </row>
    <row r="66" spans="1:64" ht="18" customHeight="1">
      <c r="A66" s="73">
        <f>Table5[[#This Row],[comment]]</f>
        <v>0</v>
      </c>
      <c r="B66" s="73" t="str">
        <f>Table9[[#This Row],[surgeon]]</f>
        <v>Noel Clarke</v>
      </c>
      <c r="C66" s="73" t="str">
        <f>Table9[[#This Row],[surgery]]</f>
        <v>Total nephrectomy (non-transplant)</v>
      </c>
      <c r="D66" s="74" t="str">
        <f>Table5[[#This Row],[pqip_consent]]</f>
        <v>Yes</v>
      </c>
      <c r="E66" s="73" t="str">
        <f>Table6[[#This Row],[area_surgery]]</f>
        <v>Nephrology</v>
      </c>
      <c r="F66" s="75">
        <f>Table6[[#This Row],[admission_date]]</f>
        <v>43334</v>
      </c>
      <c r="G66" s="75">
        <f>Table6[[#This Row],[admission_date]]</f>
        <v>43334</v>
      </c>
      <c r="H66" s="105">
        <f>Table6[[#This Row],[surgery_duration]]</f>
        <v>0.29166666666666669</v>
      </c>
      <c r="I66" s="73" t="str">
        <f>Table6[[#This Row],[discharge_loc]]</f>
        <v>H6</v>
      </c>
      <c r="J66" s="75">
        <f>Table6[[#This Row],[discharge_date]]</f>
        <v>43347</v>
      </c>
      <c r="K66" s="76">
        <f>Table6[[#This Row],[hospital_stay]]</f>
        <v>12</v>
      </c>
      <c r="L66" s="76" t="str">
        <f>Table6[[#This Row],[readmit_30]]</f>
        <v>No</v>
      </c>
      <c r="M66" s="77" t="str">
        <f>Table9[[#This Row],[troponin]]</f>
        <v>Not Measured</v>
      </c>
      <c r="N66" s="78">
        <f>Table9[[#This Row],[hb]]</f>
        <v>9.9</v>
      </c>
      <c r="O66" s="78">
        <f>Table9[[#This Row],[creatinine]]</f>
        <v>64</v>
      </c>
      <c r="P66" s="78">
        <f>Table9[[#This Row],[albumin]]</f>
        <v>43</v>
      </c>
      <c r="Q66" s="73" t="str">
        <f>Table9[[#This Row],[chest_physio]]</f>
        <v>Nurse</v>
      </c>
      <c r="R66" s="73" t="str">
        <f>Table9[[#This Row],[surgery_school]]</f>
        <v>No - Wasn’t offered it</v>
      </c>
      <c r="S66" s="75">
        <f>Table9[[#This Row],[date_school]]</f>
        <v>0</v>
      </c>
      <c r="T66" s="73" t="str">
        <f>Table9[[#This Row],[app_down]]</f>
        <v>No - No electronic device</v>
      </c>
      <c r="U66" s="73" t="str">
        <f>Table9[[#This Row],[website]]</f>
        <v>No</v>
      </c>
      <c r="V66" s="73" t="str">
        <f>Table9[[#This Row],[base_activity]]</f>
        <v>No extra activity - Independent in ADLs</v>
      </c>
      <c r="W66" s="73" t="str">
        <f>Table9[[#This Row],[current_activity]]</f>
        <v>No extra activity - Independent in ADLs</v>
      </c>
      <c r="X66" s="73" t="str">
        <f>Table9[[#This Row],[activity_type]]</f>
        <v>None</v>
      </c>
      <c r="Y66" s="73" t="str">
        <f>Table9[[#This Row],[anaemia_treat]]</f>
        <v xml:space="preserve">Oral Iron </v>
      </c>
      <c r="Z66" s="78" t="str">
        <f>Table9[[#This Row],[anaesthesia]]</f>
        <v>General with Inhalational</v>
      </c>
      <c r="AA66" s="78">
        <f>Table9[[#This Row],[smoke_hist]]</f>
        <v>0</v>
      </c>
      <c r="AB66" s="78">
        <f>Table9[[#This Row],[smoke_cess]]</f>
        <v>0</v>
      </c>
      <c r="AC66" s="78" t="str">
        <f>Table9[[#This Row],[tidal_vol]]</f>
        <v>Not recorded</v>
      </c>
      <c r="AD66" s="77" t="str">
        <f>Table11[[#This Row],[inc_spiro]]</f>
        <v>Not used</v>
      </c>
      <c r="AE66" s="73" t="str">
        <f>Table11[[#This Row],[t_brushes]]</f>
        <v>Twice</v>
      </c>
      <c r="AF66" s="78" t="str">
        <f>Table11[[#This Row],[m_washes]]</f>
        <v>Twice</v>
      </c>
      <c r="AG66" s="78" t="str">
        <f>Table11[[#This Row],[iv_disc]]</f>
        <v>No</v>
      </c>
      <c r="AH66" s="78">
        <f>Table11[[#This Row],[tolerate_15l]]</f>
        <v>0</v>
      </c>
      <c r="AI66" s="78" t="str">
        <f>Table11[[#This Row],[drinking]]</f>
        <v>Yes</v>
      </c>
      <c r="AJ66" s="78" t="str">
        <f>Table11[[#This Row],[oral_diet]]</f>
        <v>Yes</v>
      </c>
      <c r="AK66" s="78" t="str">
        <f>Table11[[#This Row],[mobilised]]</f>
        <v>Yes</v>
      </c>
      <c r="AL66" s="79" t="str">
        <f>Table11[[#This Row],[resp_supp]]</f>
        <v>None</v>
      </c>
      <c r="AM66" s="78">
        <f>Table11[[#This Row],[elev_head]]</f>
        <v>0</v>
      </c>
      <c r="AN66" s="78" t="str">
        <f>Table13[[#This Row],[in_hospital]]</f>
        <v>Yes</v>
      </c>
      <c r="AO66" s="78" t="str">
        <f>Table13[[#This Row],[location_7]]</f>
        <v>Level 2</v>
      </c>
      <c r="AP66" s="78" t="str">
        <f>Table13[[#This Row],[infec_24]]</f>
        <v>None of the above</v>
      </c>
      <c r="AQ66" s="73" t="str">
        <f>Table13[[#This Row],[infec_7]]</f>
        <v>None</v>
      </c>
      <c r="AR66" s="73" t="str">
        <f>Table13[[#This Row],[gastro]]</f>
        <v>None of the above</v>
      </c>
      <c r="AS66" s="73" t="str">
        <f>Table13[[#This Row],[pulm_supp_24]]</f>
        <v>None of the above</v>
      </c>
      <c r="AT66" s="73" t="str">
        <f>Table13[[#This Row],[pulm_supp_7]]</f>
        <v>None</v>
      </c>
      <c r="AU66" s="73" t="str">
        <f>Table13[[#This Row],[pulm_pharm]]</f>
        <v>None</v>
      </c>
      <c r="AV66" s="73" t="str">
        <f>Table13[[#This Row],[cardio_24]]</f>
        <v>New myocardial infarction or ischaemia, Thrombotic event requiring anticoagulation, Arrhythmias</v>
      </c>
      <c r="AW66" s="73">
        <f>Table13[[#This Row],[troponin_7]]</f>
        <v>442</v>
      </c>
      <c r="AX66" s="73">
        <f>Table13[[#This Row],[creatinine_base]]</f>
        <v>64</v>
      </c>
      <c r="AY66" s="73">
        <f>Table13[[#This Row],[creatinine_high]]</f>
        <v>149</v>
      </c>
      <c r="AZ66" s="73" t="str">
        <f>Table13[[#This Row],[rrt]]</f>
        <v xml:space="preserve">No </v>
      </c>
      <c r="BA66" s="73" t="str">
        <f>Table13[[#This Row],[renal_24]]</f>
        <v>None of the above</v>
      </c>
      <c r="BB66" s="73" t="str">
        <f>Table13[[#This Row],[neuro]]</f>
        <v>None of the above</v>
      </c>
      <c r="BC66" s="73" t="str">
        <f>Table13[[#This Row],[wound]]</f>
        <v>None of the above</v>
      </c>
      <c r="BD66" s="73" t="str">
        <f>Table13[[#This Row],[haemato]]</f>
        <v>Red cell transfusion</v>
      </c>
      <c r="BE66" s="73" t="str">
        <f>Table13[[#This Row],[pain]]</f>
        <v>Parenteral opioids</v>
      </c>
      <c r="BF66" s="73" t="str">
        <f>Table13[[#This Row],[mobility]]</f>
        <v>No</v>
      </c>
      <c r="BG66" s="79" t="str">
        <f>Table13[[#This Row],[why_inpatient_7]]</f>
        <v>Medical/nursing care</v>
      </c>
      <c r="BH66" s="9">
        <f>Table13[[#This Row],[date_15]]</f>
        <v>0</v>
      </c>
      <c r="BI66">
        <f>Table13[[#This Row],[inpatient_15]]</f>
        <v>0</v>
      </c>
      <c r="BJ66">
        <f>Table13[[#This Row],[comment_15]]</f>
        <v>0</v>
      </c>
      <c r="BK66" t="str">
        <f>Table13[[#This Row],[discharge_dest]]</f>
        <v>Own Home</v>
      </c>
      <c r="BL66" t="str">
        <f>Table13[[#This Row],[complication]]</f>
        <v>II</v>
      </c>
    </row>
    <row r="67" spans="1:64" ht="18" customHeight="1">
      <c r="A67" s="73" t="str">
        <f>Table5[[#This Row],[comment]]</f>
        <v>surgical pathway not available</v>
      </c>
      <c r="B67" s="73" t="str">
        <f>Table9[[#This Row],[surgeon]]</f>
        <v>Dominic Slade</v>
      </c>
      <c r="C67" s="73" t="str">
        <f>Table9[[#This Row],[surgery]]</f>
        <v>Abdominal wall reconstruction</v>
      </c>
      <c r="D67" s="74" t="str">
        <f>Table5[[#This Row],[pqip_consent]]</f>
        <v>Yes</v>
      </c>
      <c r="E67" s="73" t="str">
        <f>Table6[[#This Row],[area_surgery]]</f>
        <v>Other Abdominal</v>
      </c>
      <c r="F67" s="75">
        <f>Table6[[#This Row],[admission_date]]</f>
        <v>43335</v>
      </c>
      <c r="G67" s="75">
        <f>Table6[[#This Row],[admission_date]]</f>
        <v>43335</v>
      </c>
      <c r="H67" s="105">
        <f>Table6[[#This Row],[surgery_duration]]</f>
        <v>0.41666666666666669</v>
      </c>
      <c r="I67" s="73" t="str">
        <f>Table6[[#This Row],[discharge_loc]]</f>
        <v>H6</v>
      </c>
      <c r="J67" s="75">
        <f>Table6[[#This Row],[discharge_date]]</f>
        <v>43342</v>
      </c>
      <c r="K67" s="76">
        <f>Table6[[#This Row],[hospital_stay]]</f>
        <v>7</v>
      </c>
      <c r="L67" s="76" t="str">
        <f>Table6[[#This Row],[readmit_30]]</f>
        <v>No</v>
      </c>
      <c r="M67" s="77" t="str">
        <f>Table9[[#This Row],[troponin]]</f>
        <v>Not Measured</v>
      </c>
      <c r="N67" s="78">
        <f>Table9[[#This Row],[hb]]</f>
        <v>11.4</v>
      </c>
      <c r="O67" s="78">
        <f>Table9[[#This Row],[creatinine]]</f>
        <v>53</v>
      </c>
      <c r="P67" s="78">
        <f>Table9[[#This Row],[albumin]]</f>
        <v>39</v>
      </c>
      <c r="Q67" s="73" t="str">
        <f>Table9[[#This Row],[chest_physio]]</f>
        <v>No</v>
      </c>
      <c r="R67" s="73" t="str">
        <f>Table9[[#This Row],[surgery_school]]</f>
        <v>No - Wasn’t offered it</v>
      </c>
      <c r="S67" s="75">
        <f>Table9[[#This Row],[date_school]]</f>
        <v>0</v>
      </c>
      <c r="T67" s="73" t="str">
        <f>Table9[[#This Row],[app_down]]</f>
        <v>No - Have electronic device</v>
      </c>
      <c r="U67" s="73" t="str">
        <f>Table9[[#This Row],[website]]</f>
        <v>No</v>
      </c>
      <c r="V67" s="73" t="str">
        <f>Table9[[#This Row],[base_activity]]</f>
        <v>No extra activity - Independent in ADLs</v>
      </c>
      <c r="W67" s="73" t="str">
        <f>Table9[[#This Row],[current_activity]]</f>
        <v>30mins of moderate activity</v>
      </c>
      <c r="X67" s="73" t="str">
        <f>Table9[[#This Row],[activity_type]]</f>
        <v xml:space="preserve">Gym private </v>
      </c>
      <c r="Y67" s="73" t="str">
        <f>Table9[[#This Row],[anaemia_treat]]</f>
        <v>Not applicable</v>
      </c>
      <c r="Z67" s="78" t="str">
        <f>Table9[[#This Row],[anaesthesia]]</f>
        <v>Not available</v>
      </c>
      <c r="AA67" s="78">
        <f>Table9[[#This Row],[smoke_hist]]</f>
        <v>0</v>
      </c>
      <c r="AB67" s="78">
        <f>Table9[[#This Row],[smoke_cess]]</f>
        <v>0</v>
      </c>
      <c r="AC67" s="78" t="str">
        <f>Table9[[#This Row],[tidal_vol]]</f>
        <v>Not recorded</v>
      </c>
      <c r="AD67" s="77" t="str">
        <f>Table11[[#This Row],[inc_spiro]]</f>
        <v>Not used</v>
      </c>
      <c r="AE67" s="73" t="str">
        <f>Table11[[#This Row],[t_brushes]]</f>
        <v>Twice</v>
      </c>
      <c r="AF67" s="78" t="str">
        <f>Table11[[#This Row],[m_washes]]</f>
        <v>Twice</v>
      </c>
      <c r="AG67" s="78" t="str">
        <f>Table11[[#This Row],[iv_disc]]</f>
        <v>No</v>
      </c>
      <c r="AH67" s="78">
        <f>Table11[[#This Row],[tolerate_15l]]</f>
        <v>0</v>
      </c>
      <c r="AI67" s="78" t="str">
        <f>Table11[[#This Row],[drinking]]</f>
        <v>Yes</v>
      </c>
      <c r="AJ67" s="78" t="str">
        <f>Table11[[#This Row],[oral_diet]]</f>
        <v>Yes</v>
      </c>
      <c r="AK67" s="78" t="str">
        <f>Table11[[#This Row],[mobilised]]</f>
        <v>Yes</v>
      </c>
      <c r="AL67" s="79" t="str">
        <f>Table11[[#This Row],[resp_supp]]</f>
        <v>None</v>
      </c>
      <c r="AM67" s="78">
        <f>Table11[[#This Row],[elev_head]]</f>
        <v>0</v>
      </c>
      <c r="AN67" s="78" t="str">
        <f>Table13[[#This Row],[in_hospital]]</f>
        <v>No</v>
      </c>
      <c r="AO67" s="78">
        <f>Table13[[#This Row],[location_7]]</f>
        <v>0</v>
      </c>
      <c r="AP67" s="78">
        <f>Table13[[#This Row],[infec_24]]</f>
        <v>0</v>
      </c>
      <c r="AQ67" s="73">
        <f>Table13[[#This Row],[infec_7]]</f>
        <v>0</v>
      </c>
      <c r="AR67" s="73">
        <f>Table13[[#This Row],[gastro]]</f>
        <v>0</v>
      </c>
      <c r="AS67" s="73">
        <f>Table13[[#This Row],[pulm_supp_24]]</f>
        <v>0</v>
      </c>
      <c r="AT67" s="73">
        <f>Table13[[#This Row],[pulm_supp_7]]</f>
        <v>0</v>
      </c>
      <c r="AU67" s="73">
        <f>Table13[[#This Row],[pulm_pharm]]</f>
        <v>0</v>
      </c>
      <c r="AV67" s="73">
        <f>Table13[[#This Row],[cardio_24]]</f>
        <v>0</v>
      </c>
      <c r="AW67" s="73">
        <f>Table13[[#This Row],[troponin_7]]</f>
        <v>0</v>
      </c>
      <c r="AX67" s="73">
        <f>Table13[[#This Row],[creatinine_base]]</f>
        <v>0</v>
      </c>
      <c r="AY67" s="73">
        <f>Table13[[#This Row],[creatinine_high]]</f>
        <v>0</v>
      </c>
      <c r="AZ67" s="73">
        <f>Table13[[#This Row],[rrt]]</f>
        <v>0</v>
      </c>
      <c r="BA67" s="73">
        <f>Table13[[#This Row],[renal_24]]</f>
        <v>0</v>
      </c>
      <c r="BB67" s="73">
        <f>Table13[[#This Row],[neuro]]</f>
        <v>0</v>
      </c>
      <c r="BC67" s="73">
        <f>Table13[[#This Row],[wound]]</f>
        <v>0</v>
      </c>
      <c r="BD67" s="73">
        <f>Table13[[#This Row],[haemato]]</f>
        <v>0</v>
      </c>
      <c r="BE67" s="73">
        <f>Table13[[#This Row],[pain]]</f>
        <v>0</v>
      </c>
      <c r="BF67" s="73">
        <f>Table13[[#This Row],[mobility]]</f>
        <v>0</v>
      </c>
      <c r="BG67" s="79">
        <f>Table13[[#This Row],[why_inpatient_7]]</f>
        <v>0</v>
      </c>
      <c r="BH67" s="9">
        <f>Table13[[#This Row],[date_15]]</f>
        <v>0</v>
      </c>
      <c r="BI67">
        <f>Table13[[#This Row],[inpatient_15]]</f>
        <v>0</v>
      </c>
      <c r="BJ67">
        <f>Table13[[#This Row],[comment_15]]</f>
        <v>0</v>
      </c>
      <c r="BK67" t="str">
        <f>Table13[[#This Row],[discharge_dest]]</f>
        <v>Own Home</v>
      </c>
      <c r="BL67" t="str">
        <f>Table13[[#This Row],[complication]]</f>
        <v>I</v>
      </c>
    </row>
    <row r="68" spans="1:64" ht="18" customHeight="1">
      <c r="A68" s="73">
        <f>Table5[[#This Row],[comment]]</f>
        <v>0</v>
      </c>
      <c r="B68" s="73" t="str">
        <f>Table9[[#This Row],[surgeon]]</f>
        <v>Clare Mason</v>
      </c>
      <c r="C68" s="73" t="str">
        <f>Table9[[#This Row],[surgery]]</f>
        <v>Right hemicolectomy (with anastomosis /colostomy)</v>
      </c>
      <c r="D68" s="74" t="str">
        <f>Table5[[#This Row],[pqip_consent]]</f>
        <v>Yes</v>
      </c>
      <c r="E68" s="73" t="str">
        <f>Table6[[#This Row],[area_surgery]]</f>
        <v>Lower GI</v>
      </c>
      <c r="F68" s="75">
        <f>Table6[[#This Row],[admission_date]]</f>
        <v>43335</v>
      </c>
      <c r="G68" s="75">
        <f>Table6[[#This Row],[admission_date]]</f>
        <v>43335</v>
      </c>
      <c r="H68" s="105">
        <f>Table6[[#This Row],[surgery_duration]]</f>
        <v>0.1875</v>
      </c>
      <c r="I68" s="73" t="str">
        <f>Table6[[#This Row],[discharge_loc]]</f>
        <v>H6</v>
      </c>
      <c r="J68" s="75">
        <f>Table6[[#This Row],[discharge_date]]</f>
        <v>43343</v>
      </c>
      <c r="K68" s="76">
        <f>Table6[[#This Row],[hospital_stay]]</f>
        <v>8</v>
      </c>
      <c r="L68" s="76" t="str">
        <f>Table6[[#This Row],[readmit_30]]</f>
        <v>No</v>
      </c>
      <c r="M68" s="77" t="str">
        <f>Table9[[#This Row],[troponin]]</f>
        <v>Not Measured</v>
      </c>
      <c r="N68" s="78">
        <f>Table9[[#This Row],[hb]]</f>
        <v>14.1</v>
      </c>
      <c r="O68" s="78">
        <f>Table9[[#This Row],[creatinine]]</f>
        <v>78</v>
      </c>
      <c r="P68" s="78">
        <f>Table9[[#This Row],[albumin]]</f>
        <v>46</v>
      </c>
      <c r="Q68" s="73" t="str">
        <f>Table9[[#This Row],[chest_physio]]</f>
        <v>Nurse</v>
      </c>
      <c r="R68" s="73" t="str">
        <f>Table9[[#This Row],[surgery_school]]</f>
        <v>No - Wasn’t offered it</v>
      </c>
      <c r="S68" s="75">
        <f>Table9[[#This Row],[date_school]]</f>
        <v>0</v>
      </c>
      <c r="T68" s="73" t="str">
        <f>Table9[[#This Row],[app_down]]</f>
        <v>No - Have electronic device</v>
      </c>
      <c r="U68" s="73" t="str">
        <f>Table9[[#This Row],[website]]</f>
        <v>No</v>
      </c>
      <c r="V68" s="73" t="str">
        <f>Table9[[#This Row],[base_activity]]</f>
        <v>&gt;30mins of moderate activity</v>
      </c>
      <c r="W68" s="73" t="str">
        <f>Table9[[#This Row],[current_activity]]</f>
        <v>&gt;30mins of moderate activity</v>
      </c>
      <c r="X68" s="73" t="str">
        <f>Table9[[#This Row],[activity_type]]</f>
        <v xml:space="preserve">Walking regularly </v>
      </c>
      <c r="Y68" s="73" t="str">
        <f>Table9[[#This Row],[anaemia_treat]]</f>
        <v>Not applicable</v>
      </c>
      <c r="Z68" s="78" t="str">
        <f>Table9[[#This Row],[anaesthesia]]</f>
        <v>General with Inhalational</v>
      </c>
      <c r="AA68" s="78">
        <f>Table9[[#This Row],[smoke_hist]]</f>
        <v>0</v>
      </c>
      <c r="AB68" s="78">
        <f>Table9[[#This Row],[smoke_cess]]</f>
        <v>0</v>
      </c>
      <c r="AC68" s="78" t="str">
        <f>Table9[[#This Row],[tidal_vol]]</f>
        <v>Not recorded</v>
      </c>
      <c r="AD68" s="77" t="str">
        <f>Table11[[#This Row],[inc_spiro]]</f>
        <v>&gt;Two</v>
      </c>
      <c r="AE68" s="73" t="str">
        <f>Table11[[#This Row],[t_brushes]]</f>
        <v>Twice</v>
      </c>
      <c r="AF68" s="78" t="str">
        <f>Table11[[#This Row],[m_washes]]</f>
        <v>Twice</v>
      </c>
      <c r="AG68" s="78" t="str">
        <f>Table11[[#This Row],[iv_disc]]</f>
        <v>Yes</v>
      </c>
      <c r="AH68" s="78">
        <f>Table11[[#This Row],[tolerate_15l]]</f>
        <v>0</v>
      </c>
      <c r="AI68" s="78" t="str">
        <f>Table11[[#This Row],[drinking]]</f>
        <v>Yes</v>
      </c>
      <c r="AJ68" s="78" t="str">
        <f>Table11[[#This Row],[oral_diet]]</f>
        <v>Yes</v>
      </c>
      <c r="AK68" s="78" t="str">
        <f>Table11[[#This Row],[mobilised]]</f>
        <v>Yes</v>
      </c>
      <c r="AL68" s="79" t="str">
        <f>Table11[[#This Row],[resp_supp]]</f>
        <v>None</v>
      </c>
      <c r="AM68" s="78">
        <f>Table11[[#This Row],[elev_head]]</f>
        <v>0</v>
      </c>
      <c r="AN68" s="78" t="str">
        <f>Table13[[#This Row],[in_hospital]]</f>
        <v>Yes</v>
      </c>
      <c r="AO68" s="78" t="str">
        <f>Table13[[#This Row],[location_7]]</f>
        <v>Ward</v>
      </c>
      <c r="AP68" s="78" t="str">
        <f>Table13[[#This Row],[infec_24]]</f>
        <v>Patient currently on IV antibiotics</v>
      </c>
      <c r="AQ68" s="73" t="str">
        <f>Table13[[#This Row],[infec_7]]</f>
        <v>Urine</v>
      </c>
      <c r="AR68" s="73" t="str">
        <f>Table13[[#This Row],[gastro]]</f>
        <v>None of the above</v>
      </c>
      <c r="AS68" s="73" t="str">
        <f>Table13[[#This Row],[pulm_supp_24]]</f>
        <v>New requirement for oxygen</v>
      </c>
      <c r="AT68" s="73" t="str">
        <f>Table13[[#This Row],[pulm_supp_7]]</f>
        <v>None</v>
      </c>
      <c r="AU68" s="73" t="str">
        <f>Table13[[#This Row],[pulm_pharm]]</f>
        <v>None</v>
      </c>
      <c r="AV68" s="73" t="str">
        <f>Table13[[#This Row],[cardio_24]]</f>
        <v>None of the above</v>
      </c>
      <c r="AW68" s="73">
        <f>Table13[[#This Row],[troponin_7]]</f>
        <v>0</v>
      </c>
      <c r="AX68" s="73">
        <f>Table13[[#This Row],[creatinine_base]]</f>
        <v>78</v>
      </c>
      <c r="AY68" s="73">
        <f>Table13[[#This Row],[creatinine_high]]</f>
        <v>81</v>
      </c>
      <c r="AZ68" s="73" t="str">
        <f>Table13[[#This Row],[rrt]]</f>
        <v xml:space="preserve">No </v>
      </c>
      <c r="BA68" s="73" t="str">
        <f>Table13[[#This Row],[renal_24]]</f>
        <v>None of the above</v>
      </c>
      <c r="BB68" s="73" t="str">
        <f>Table13[[#This Row],[neuro]]</f>
        <v>None of the above</v>
      </c>
      <c r="BC68" s="73" t="str">
        <f>Table13[[#This Row],[wound]]</f>
        <v>None of the above</v>
      </c>
      <c r="BD68" s="73" t="str">
        <f>Table13[[#This Row],[haemato]]</f>
        <v>None of the above</v>
      </c>
      <c r="BE68" s="73" t="str">
        <f>Table13[[#This Row],[pain]]</f>
        <v>None of the above</v>
      </c>
      <c r="BF68" s="73" t="str">
        <f>Table13[[#This Row],[mobility]]</f>
        <v>No</v>
      </c>
      <c r="BG68" s="79" t="str">
        <f>Table13[[#This Row],[why_inpatient_7]]</f>
        <v>Medical/nursing care</v>
      </c>
      <c r="BH68" s="9">
        <f>Table13[[#This Row],[date_15]]</f>
        <v>43350</v>
      </c>
      <c r="BI68" t="str">
        <f>Table13[[#This Row],[inpatient_15]]</f>
        <v>No</v>
      </c>
      <c r="BJ68">
        <f>Table13[[#This Row],[comment_15]]</f>
        <v>0</v>
      </c>
      <c r="BK68" t="str">
        <f>Table13[[#This Row],[discharge_dest]]</f>
        <v>Own Home</v>
      </c>
      <c r="BL68" t="str">
        <f>Table13[[#This Row],[complication]]</f>
        <v>II</v>
      </c>
    </row>
    <row r="69" spans="1:64" ht="18" customHeight="1">
      <c r="A69" s="73">
        <f>Table5[[#This Row],[comment]]</f>
        <v>0</v>
      </c>
      <c r="B69" s="73" t="str">
        <f>Table9[[#This Row],[surgeon]]</f>
        <v>Julian Evans</v>
      </c>
      <c r="C69" s="73" t="str">
        <f>Table9[[#This Row],[surgery]]</f>
        <v>Anterior discectomy +/- decompression and fusion (cervical / lumbar regions)</v>
      </c>
      <c r="D69" s="74" t="str">
        <f>Table5[[#This Row],[pqip_consent]]</f>
        <v>No</v>
      </c>
      <c r="E69" s="73" t="str">
        <f>Table6[[#This Row],[area_surgery]]</f>
        <v>Other</v>
      </c>
      <c r="F69" s="75">
        <f>Table6[[#This Row],[admission_date]]</f>
        <v>43335</v>
      </c>
      <c r="G69" s="75">
        <f>Table6[[#This Row],[admission_date]]</f>
        <v>43335</v>
      </c>
      <c r="H69" s="105">
        <f>Table6[[#This Row],[surgery_duration]]</f>
        <v>8.3333333333333329E-2</v>
      </c>
      <c r="I69" s="73" t="str">
        <f>Table6[[#This Row],[discharge_loc]]</f>
        <v>CCU (Level 2)</v>
      </c>
      <c r="J69" s="75">
        <f>Table6[[#This Row],[discharge_date]]</f>
        <v>43337</v>
      </c>
      <c r="K69" s="76">
        <f>Table6[[#This Row],[hospital_stay]]</f>
        <v>2</v>
      </c>
      <c r="L69" s="76" t="str">
        <f>Table6[[#This Row],[readmit_30]]</f>
        <v>No</v>
      </c>
      <c r="M69" s="77" t="str">
        <f>Table9[[#This Row],[troponin]]</f>
        <v>Not Measured</v>
      </c>
      <c r="N69" s="78">
        <f>Table9[[#This Row],[hb]]</f>
        <v>14.5</v>
      </c>
      <c r="O69" s="78">
        <f>Table9[[#This Row],[creatinine]]</f>
        <v>61</v>
      </c>
      <c r="P69" s="78">
        <f>Table9[[#This Row],[albumin]]</f>
        <v>43</v>
      </c>
      <c r="Q69" s="73" t="str">
        <f>Table9[[#This Row],[chest_physio]]</f>
        <v>No</v>
      </c>
      <c r="R69" s="73" t="str">
        <f>Table9[[#This Row],[surgery_school]]</f>
        <v>No - Wasn’t offered it</v>
      </c>
      <c r="S69" s="75">
        <f>Table9[[#This Row],[date_school]]</f>
        <v>0</v>
      </c>
      <c r="T69" s="73" t="str">
        <f>Table9[[#This Row],[app_down]]</f>
        <v>No - Have electronic device</v>
      </c>
      <c r="U69" s="73" t="str">
        <f>Table9[[#This Row],[website]]</f>
        <v>No</v>
      </c>
      <c r="V69" s="73" t="str">
        <f>Table9[[#This Row],[base_activity]]</f>
        <v>&gt;30mins of moderate activity</v>
      </c>
      <c r="W69" s="73" t="str">
        <f>Table9[[#This Row],[current_activity]]</f>
        <v>&gt;30mins of moderate activity</v>
      </c>
      <c r="X69" s="73" t="str">
        <f>Table9[[#This Row],[activity_type]]</f>
        <v xml:space="preserve">Walking regularly </v>
      </c>
      <c r="Y69" s="73" t="str">
        <f>Table9[[#This Row],[anaemia_treat]]</f>
        <v xml:space="preserve">Oral Iron </v>
      </c>
      <c r="Z69" s="78" t="str">
        <f>Table9[[#This Row],[anaesthesia]]</f>
        <v>General with Inhalational</v>
      </c>
      <c r="AA69" s="78">
        <f>Table9[[#This Row],[smoke_hist]]</f>
        <v>0</v>
      </c>
      <c r="AB69" s="78">
        <f>Table9[[#This Row],[smoke_cess]]</f>
        <v>0</v>
      </c>
      <c r="AC69" s="78" t="str">
        <f>Table9[[#This Row],[tidal_vol]]</f>
        <v>Not recorded</v>
      </c>
      <c r="AD69" s="77" t="str">
        <f>Table11[[#This Row],[inc_spiro]]</f>
        <v>Not used</v>
      </c>
      <c r="AE69" s="73" t="str">
        <f>Table11[[#This Row],[t_brushes]]</f>
        <v>Once</v>
      </c>
      <c r="AF69" s="78" t="str">
        <f>Table11[[#This Row],[m_washes]]</f>
        <v>Once</v>
      </c>
      <c r="AG69" s="78" t="str">
        <f>Table11[[#This Row],[iv_disc]]</f>
        <v>Yes</v>
      </c>
      <c r="AH69" s="78">
        <f>Table11[[#This Row],[tolerate_15l]]</f>
        <v>0</v>
      </c>
      <c r="AI69" s="78" t="str">
        <f>Table11[[#This Row],[drinking]]</f>
        <v>Yes</v>
      </c>
      <c r="AJ69" s="78" t="str">
        <f>Table11[[#This Row],[oral_diet]]</f>
        <v>No</v>
      </c>
      <c r="AK69" s="78" t="str">
        <f>Table11[[#This Row],[mobilised]]</f>
        <v>No</v>
      </c>
      <c r="AL69" s="79" t="str">
        <f>Table11[[#This Row],[resp_supp]]</f>
        <v>None</v>
      </c>
      <c r="AM69" s="78">
        <f>Table11[[#This Row],[elev_head]]</f>
        <v>0</v>
      </c>
      <c r="AN69" s="78" t="str">
        <f>Table13[[#This Row],[in_hospital]]</f>
        <v>No</v>
      </c>
      <c r="AO69" s="78">
        <f>Table13[[#This Row],[location_7]]</f>
        <v>0</v>
      </c>
      <c r="AP69" s="78">
        <f>Table13[[#This Row],[infec_24]]</f>
        <v>0</v>
      </c>
      <c r="AQ69" s="73">
        <f>Table13[[#This Row],[infec_7]]</f>
        <v>0</v>
      </c>
      <c r="AR69" s="73">
        <f>Table13[[#This Row],[gastro]]</f>
        <v>0</v>
      </c>
      <c r="AS69" s="73">
        <f>Table13[[#This Row],[pulm_supp_24]]</f>
        <v>0</v>
      </c>
      <c r="AT69" s="73">
        <f>Table13[[#This Row],[pulm_supp_7]]</f>
        <v>0</v>
      </c>
      <c r="AU69" s="73">
        <f>Table13[[#This Row],[pulm_pharm]]</f>
        <v>0</v>
      </c>
      <c r="AV69" s="73">
        <f>Table13[[#This Row],[cardio_24]]</f>
        <v>0</v>
      </c>
      <c r="AW69" s="73">
        <f>Table13[[#This Row],[troponin_7]]</f>
        <v>0</v>
      </c>
      <c r="AX69" s="73">
        <f>Table13[[#This Row],[creatinine_base]]</f>
        <v>0</v>
      </c>
      <c r="AY69" s="73">
        <f>Table13[[#This Row],[creatinine_high]]</f>
        <v>0</v>
      </c>
      <c r="AZ69" s="73">
        <f>Table13[[#This Row],[rrt]]</f>
        <v>0</v>
      </c>
      <c r="BA69" s="73">
        <f>Table13[[#This Row],[renal_24]]</f>
        <v>0</v>
      </c>
      <c r="BB69" s="73">
        <f>Table13[[#This Row],[neuro]]</f>
        <v>0</v>
      </c>
      <c r="BC69" s="73">
        <f>Table13[[#This Row],[wound]]</f>
        <v>0</v>
      </c>
      <c r="BD69" s="73">
        <f>Table13[[#This Row],[haemato]]</f>
        <v>0</v>
      </c>
      <c r="BE69" s="73">
        <f>Table13[[#This Row],[pain]]</f>
        <v>0</v>
      </c>
      <c r="BF69" s="73">
        <f>Table13[[#This Row],[mobility]]</f>
        <v>0</v>
      </c>
      <c r="BG69" s="79">
        <f>Table13[[#This Row],[why_inpatient_7]]</f>
        <v>0</v>
      </c>
      <c r="BH69" s="9">
        <f>Table13[[#This Row],[date_15]]</f>
        <v>0</v>
      </c>
      <c r="BI69">
        <f>Table13[[#This Row],[inpatient_15]]</f>
        <v>0</v>
      </c>
      <c r="BJ69">
        <f>Table13[[#This Row],[comment_15]]</f>
        <v>0</v>
      </c>
      <c r="BK69" t="str">
        <f>Table13[[#This Row],[discharge_dest]]</f>
        <v>Own Home</v>
      </c>
      <c r="BL69" t="str">
        <f>Table13[[#This Row],[complication]]</f>
        <v>None</v>
      </c>
    </row>
    <row r="70" spans="1:64" ht="18" customHeight="1">
      <c r="A70" s="73" t="str">
        <f>Table5[[#This Row],[comment]]</f>
        <v>cancelled</v>
      </c>
      <c r="B70" s="73" t="str">
        <f>Table9[[#This Row],[surgeon]]</f>
        <v>Silviu Sabou</v>
      </c>
      <c r="C70" s="73" t="str">
        <f>Table9[[#This Row],[surgery]]</f>
        <v>Posterior fusion +/- decompression +/- discectomy (cervical / lumbar regions)</v>
      </c>
      <c r="D70" s="74" t="str">
        <f>Table5[[#This Row],[pqip_consent]]</f>
        <v>No</v>
      </c>
      <c r="E70" s="73" t="str">
        <f>Table6[[#This Row],[area_surgery]]</f>
        <v>Other</v>
      </c>
      <c r="F70" s="75">
        <f>Table6[[#This Row],[admission_date]]</f>
        <v>43336</v>
      </c>
      <c r="G70" s="75">
        <f>Table6[[#This Row],[admission_date]]</f>
        <v>43336</v>
      </c>
      <c r="H70" s="105">
        <f>Table6[[#This Row],[surgery_duration]]</f>
        <v>0</v>
      </c>
      <c r="I70" s="73" t="str">
        <f>Table6[[#This Row],[discharge_loc]]</f>
        <v>H5</v>
      </c>
      <c r="J70" s="75">
        <f>Table6[[#This Row],[discharge_date]]</f>
        <v>43338</v>
      </c>
      <c r="K70" s="76">
        <f>Table6[[#This Row],[hospital_stay]]</f>
        <v>2</v>
      </c>
      <c r="L70" s="76">
        <f>Table6[[#This Row],[readmit_30]]</f>
        <v>0</v>
      </c>
      <c r="M70" s="77" t="str">
        <f>Table9[[#This Row],[troponin]]</f>
        <v>Not Measured</v>
      </c>
      <c r="N70" s="78">
        <f>Table9[[#This Row],[hb]]</f>
        <v>14.4</v>
      </c>
      <c r="O70" s="78">
        <f>Table9[[#This Row],[creatinine]]</f>
        <v>68</v>
      </c>
      <c r="P70" s="78">
        <f>Table9[[#This Row],[albumin]]</f>
        <v>46</v>
      </c>
      <c r="Q70" s="73" t="str">
        <f>Table9[[#This Row],[chest_physio]]</f>
        <v>Nurse</v>
      </c>
      <c r="R70" s="73" t="str">
        <f>Table9[[#This Row],[surgery_school]]</f>
        <v>No - Wasn’t offered it</v>
      </c>
      <c r="S70" s="75">
        <f>Table9[[#This Row],[date_school]]</f>
        <v>0</v>
      </c>
      <c r="T70" s="73">
        <f>Table9[[#This Row],[app_down]]</f>
        <v>0</v>
      </c>
      <c r="U70" s="73">
        <f>Table9[[#This Row],[website]]</f>
        <v>0</v>
      </c>
      <c r="V70" s="73">
        <f>Table9[[#This Row],[base_activity]]</f>
        <v>0</v>
      </c>
      <c r="W70" s="73">
        <f>Table9[[#This Row],[current_activity]]</f>
        <v>0</v>
      </c>
      <c r="X70" s="73">
        <f>Table9[[#This Row],[activity_type]]</f>
        <v>0</v>
      </c>
      <c r="Y70" s="73" t="str">
        <f>Table9[[#This Row],[anaemia_treat]]</f>
        <v>Not applicable</v>
      </c>
      <c r="Z70" s="78" t="str">
        <f>Table9[[#This Row],[anaesthesia]]</f>
        <v>Not available</v>
      </c>
      <c r="AA70" s="78">
        <f>Table9[[#This Row],[smoke_hist]]</f>
        <v>0</v>
      </c>
      <c r="AB70" s="78">
        <f>Table9[[#This Row],[smoke_cess]]</f>
        <v>0</v>
      </c>
      <c r="AC70" s="78" t="str">
        <f>Table9[[#This Row],[tidal_vol]]</f>
        <v>Not recorded</v>
      </c>
      <c r="AD70" s="77">
        <f>Table11[[#This Row],[inc_spiro]]</f>
        <v>0</v>
      </c>
      <c r="AE70" s="73">
        <f>Table11[[#This Row],[t_brushes]]</f>
        <v>0</v>
      </c>
      <c r="AF70" s="78">
        <f>Table11[[#This Row],[m_washes]]</f>
        <v>0</v>
      </c>
      <c r="AG70" s="78">
        <f>Table11[[#This Row],[iv_disc]]</f>
        <v>0</v>
      </c>
      <c r="AH70" s="78">
        <f>Table11[[#This Row],[tolerate_15l]]</f>
        <v>0</v>
      </c>
      <c r="AI70" s="78">
        <f>Table11[[#This Row],[drinking]]</f>
        <v>0</v>
      </c>
      <c r="AJ70" s="78">
        <f>Table11[[#This Row],[oral_diet]]</f>
        <v>0</v>
      </c>
      <c r="AK70" s="78">
        <f>Table11[[#This Row],[mobilised]]</f>
        <v>0</v>
      </c>
      <c r="AL70" s="79">
        <f>Table11[[#This Row],[resp_supp]]</f>
        <v>0</v>
      </c>
      <c r="AM70" s="78">
        <f>Table11[[#This Row],[elev_head]]</f>
        <v>0</v>
      </c>
      <c r="AN70" s="78" t="str">
        <f>Table13[[#This Row],[in_hospital]]</f>
        <v>No</v>
      </c>
      <c r="AO70" s="78">
        <f>Table13[[#This Row],[location_7]]</f>
        <v>0</v>
      </c>
      <c r="AP70" s="78">
        <f>Table13[[#This Row],[infec_24]]</f>
        <v>0</v>
      </c>
      <c r="AQ70" s="73">
        <f>Table13[[#This Row],[infec_7]]</f>
        <v>0</v>
      </c>
      <c r="AR70" s="73">
        <f>Table13[[#This Row],[gastro]]</f>
        <v>0</v>
      </c>
      <c r="AS70" s="73">
        <f>Table13[[#This Row],[pulm_supp_24]]</f>
        <v>0</v>
      </c>
      <c r="AT70" s="73">
        <f>Table13[[#This Row],[pulm_supp_7]]</f>
        <v>0</v>
      </c>
      <c r="AU70" s="73">
        <f>Table13[[#This Row],[pulm_pharm]]</f>
        <v>0</v>
      </c>
      <c r="AV70" s="73">
        <f>Table13[[#This Row],[cardio_24]]</f>
        <v>0</v>
      </c>
      <c r="AW70" s="73">
        <f>Table13[[#This Row],[troponin_7]]</f>
        <v>0</v>
      </c>
      <c r="AX70" s="73">
        <f>Table13[[#This Row],[creatinine_base]]</f>
        <v>0</v>
      </c>
      <c r="AY70" s="73">
        <f>Table13[[#This Row],[creatinine_high]]</f>
        <v>0</v>
      </c>
      <c r="AZ70" s="73">
        <f>Table13[[#This Row],[rrt]]</f>
        <v>0</v>
      </c>
      <c r="BA70" s="73">
        <f>Table13[[#This Row],[renal_24]]</f>
        <v>0</v>
      </c>
      <c r="BB70" s="73">
        <f>Table13[[#This Row],[neuro]]</f>
        <v>0</v>
      </c>
      <c r="BC70" s="73">
        <f>Table13[[#This Row],[wound]]</f>
        <v>0</v>
      </c>
      <c r="BD70" s="73">
        <f>Table13[[#This Row],[haemato]]</f>
        <v>0</v>
      </c>
      <c r="BE70" s="73">
        <f>Table13[[#This Row],[pain]]</f>
        <v>0</v>
      </c>
      <c r="BF70" s="73">
        <f>Table13[[#This Row],[mobility]]</f>
        <v>0</v>
      </c>
      <c r="BG70" s="79">
        <f>Table13[[#This Row],[why_inpatient_7]]</f>
        <v>0</v>
      </c>
      <c r="BH70" s="9">
        <f>Table13[[#This Row],[date_15]]</f>
        <v>0</v>
      </c>
      <c r="BI70">
        <f>Table13[[#This Row],[inpatient_15]]</f>
        <v>0</v>
      </c>
      <c r="BJ70">
        <f>Table13[[#This Row],[comment_15]]</f>
        <v>0</v>
      </c>
      <c r="BK70" t="str">
        <f>Table13[[#This Row],[discharge_dest]]</f>
        <v>Own Home</v>
      </c>
      <c r="BL70" t="str">
        <f>Table13[[#This Row],[complication]]</f>
        <v>None</v>
      </c>
    </row>
    <row r="71" spans="1:64" ht="18" customHeight="1">
      <c r="A71" s="73" t="str">
        <f>Table5[[#This Row],[comment]]</f>
        <v>surgical pathway not available</v>
      </c>
      <c r="B71" s="73" t="str">
        <f>Table9[[#This Row],[surgeon]]</f>
        <v>Anant Tambe</v>
      </c>
      <c r="C71" s="73" t="str">
        <f>Table9[[#This Row],[surgery]]</f>
        <v>Posterior correction of degenerative adult kyphosis with instrumentation</v>
      </c>
      <c r="D71" s="74" t="str">
        <f>Table5[[#This Row],[pqip_consent]]</f>
        <v>No</v>
      </c>
      <c r="E71" s="73" t="str">
        <f>Table6[[#This Row],[area_surgery]]</f>
        <v>Other</v>
      </c>
      <c r="F71" s="75">
        <f>Table6[[#This Row],[admission_date]]</f>
        <v>43336</v>
      </c>
      <c r="G71" s="75">
        <f>Table6[[#This Row],[admission_date]]</f>
        <v>43336</v>
      </c>
      <c r="H71" s="105">
        <f>Table6[[#This Row],[surgery_duration]]</f>
        <v>0</v>
      </c>
      <c r="I71" s="73" t="str">
        <f>Table6[[#This Row],[discharge_loc]]</f>
        <v>H7</v>
      </c>
      <c r="J71" s="75">
        <f>Table6[[#This Row],[discharge_date]]</f>
        <v>43342</v>
      </c>
      <c r="K71" s="76">
        <f>Table6[[#This Row],[hospital_stay]]</f>
        <v>6</v>
      </c>
      <c r="L71" s="76" t="str">
        <f>Table6[[#This Row],[readmit_30]]</f>
        <v>No</v>
      </c>
      <c r="M71" s="77" t="str">
        <f>Table9[[#This Row],[troponin]]</f>
        <v>Not Measured</v>
      </c>
      <c r="N71" s="78">
        <f>Table9[[#This Row],[hb]]</f>
        <v>12.5</v>
      </c>
      <c r="O71" s="78">
        <f>Table9[[#This Row],[creatinine]]</f>
        <v>60</v>
      </c>
      <c r="P71" s="78" t="str">
        <f>Table9[[#This Row],[albumin]]</f>
        <v>Not Measured</v>
      </c>
      <c r="Q71" s="73" t="str">
        <f>Table9[[#This Row],[chest_physio]]</f>
        <v>No</v>
      </c>
      <c r="R71" s="73" t="str">
        <f>Table9[[#This Row],[surgery_school]]</f>
        <v>No - Wasn’t offered it</v>
      </c>
      <c r="S71" s="75">
        <f>Table9[[#This Row],[date_school]]</f>
        <v>0</v>
      </c>
      <c r="T71" s="73" t="str">
        <f>Table9[[#This Row],[app_down]]</f>
        <v>No - Have electronic device</v>
      </c>
      <c r="U71" s="73" t="str">
        <f>Table9[[#This Row],[website]]</f>
        <v>No</v>
      </c>
      <c r="V71" s="73" t="str">
        <f>Table9[[#This Row],[base_activity]]</f>
        <v>No extra activity - Independent in ADLs</v>
      </c>
      <c r="W71" s="73" t="str">
        <f>Table9[[#This Row],[current_activity]]</f>
        <v>No extra activity - Independent in ADLs</v>
      </c>
      <c r="X71" s="73" t="str">
        <f>Table9[[#This Row],[activity_type]]</f>
        <v>None</v>
      </c>
      <c r="Y71" s="73" t="str">
        <f>Table9[[#This Row],[anaemia_treat]]</f>
        <v>Not applicable</v>
      </c>
      <c r="Z71" s="78" t="str">
        <f>Table9[[#This Row],[anaesthesia]]</f>
        <v>General with TIVA</v>
      </c>
      <c r="AA71" s="78">
        <f>Table9[[#This Row],[smoke_hist]]</f>
        <v>0</v>
      </c>
      <c r="AB71" s="78">
        <f>Table9[[#This Row],[smoke_cess]]</f>
        <v>0</v>
      </c>
      <c r="AC71" s="78" t="str">
        <f>Table9[[#This Row],[tidal_vol]]</f>
        <v>Not recorded</v>
      </c>
      <c r="AD71" s="77" t="str">
        <f>Table11[[#This Row],[inc_spiro]]</f>
        <v>Not used</v>
      </c>
      <c r="AE71" s="73" t="str">
        <f>Table11[[#This Row],[t_brushes]]</f>
        <v>Twice</v>
      </c>
      <c r="AF71" s="78" t="str">
        <f>Table11[[#This Row],[m_washes]]</f>
        <v>Twice</v>
      </c>
      <c r="AG71" s="78" t="str">
        <f>Table11[[#This Row],[iv_disc]]</f>
        <v>No</v>
      </c>
      <c r="AH71" s="78">
        <f>Table11[[#This Row],[tolerate_15l]]</f>
        <v>0</v>
      </c>
      <c r="AI71" s="78" t="str">
        <f>Table11[[#This Row],[drinking]]</f>
        <v>Yes</v>
      </c>
      <c r="AJ71" s="78" t="str">
        <f>Table11[[#This Row],[oral_diet]]</f>
        <v>Yes</v>
      </c>
      <c r="AK71" s="78" t="str">
        <f>Table11[[#This Row],[mobilised]]</f>
        <v>Yes</v>
      </c>
      <c r="AL71" s="79" t="str">
        <f>Table11[[#This Row],[resp_supp]]</f>
        <v>None</v>
      </c>
      <c r="AM71" s="78">
        <f>Table11[[#This Row],[elev_head]]</f>
        <v>0</v>
      </c>
      <c r="AN71" s="78" t="str">
        <f>Table13[[#This Row],[in_hospital]]</f>
        <v>No</v>
      </c>
      <c r="AO71" s="78">
        <f>Table13[[#This Row],[location_7]]</f>
        <v>0</v>
      </c>
      <c r="AP71" s="78">
        <f>Table13[[#This Row],[infec_24]]</f>
        <v>0</v>
      </c>
      <c r="AQ71" s="73">
        <f>Table13[[#This Row],[infec_7]]</f>
        <v>0</v>
      </c>
      <c r="AR71" s="73">
        <f>Table13[[#This Row],[gastro]]</f>
        <v>0</v>
      </c>
      <c r="AS71" s="73">
        <f>Table13[[#This Row],[pulm_supp_24]]</f>
        <v>0</v>
      </c>
      <c r="AT71" s="73">
        <f>Table13[[#This Row],[pulm_supp_7]]</f>
        <v>0</v>
      </c>
      <c r="AU71" s="73">
        <f>Table13[[#This Row],[pulm_pharm]]</f>
        <v>0</v>
      </c>
      <c r="AV71" s="73">
        <f>Table13[[#This Row],[cardio_24]]</f>
        <v>0</v>
      </c>
      <c r="AW71" s="73">
        <f>Table13[[#This Row],[troponin_7]]</f>
        <v>0</v>
      </c>
      <c r="AX71" s="73">
        <f>Table13[[#This Row],[creatinine_base]]</f>
        <v>0</v>
      </c>
      <c r="AY71" s="73">
        <f>Table13[[#This Row],[creatinine_high]]</f>
        <v>0</v>
      </c>
      <c r="AZ71" s="73">
        <f>Table13[[#This Row],[rrt]]</f>
        <v>0</v>
      </c>
      <c r="BA71" s="73">
        <f>Table13[[#This Row],[renal_24]]</f>
        <v>0</v>
      </c>
      <c r="BB71" s="73">
        <f>Table13[[#This Row],[neuro]]</f>
        <v>0</v>
      </c>
      <c r="BC71" s="73">
        <f>Table13[[#This Row],[wound]]</f>
        <v>0</v>
      </c>
      <c r="BD71" s="73">
        <f>Table13[[#This Row],[haemato]]</f>
        <v>0</v>
      </c>
      <c r="BE71" s="73">
        <f>Table13[[#This Row],[pain]]</f>
        <v>0</v>
      </c>
      <c r="BF71" s="73">
        <f>Table13[[#This Row],[mobility]]</f>
        <v>0</v>
      </c>
      <c r="BG71" s="79">
        <f>Table13[[#This Row],[why_inpatient_7]]</f>
        <v>0</v>
      </c>
      <c r="BH71" s="9">
        <f>Table13[[#This Row],[date_15]]</f>
        <v>0</v>
      </c>
      <c r="BI71">
        <f>Table13[[#This Row],[inpatient_15]]</f>
        <v>0</v>
      </c>
      <c r="BJ71">
        <f>Table13[[#This Row],[comment_15]]</f>
        <v>0</v>
      </c>
      <c r="BK71" t="str">
        <f>Table13[[#This Row],[discharge_dest]]</f>
        <v>Own Home</v>
      </c>
      <c r="BL71" t="str">
        <f>Table13[[#This Row],[complication]]</f>
        <v>I</v>
      </c>
    </row>
    <row r="72" spans="1:64" ht="18" customHeight="1">
      <c r="A72" s="73" t="str">
        <f>Table5[[#This Row],[comment]]</f>
        <v>cancelled</v>
      </c>
      <c r="B72" s="73" t="str">
        <f>Table9[[#This Row],[surgeon]]</f>
        <v>Kamran Hassan</v>
      </c>
      <c r="C72" s="73" t="str">
        <f>Table9[[#This Row],[surgery]]</f>
        <v>Posterior fusion +/- decompression +/- discectomy (cervical / lumbar regions)</v>
      </c>
      <c r="D72" s="74" t="str">
        <f>Table5[[#This Row],[pqip_consent]]</f>
        <v>No</v>
      </c>
      <c r="E72" s="73" t="str">
        <f>Table6[[#This Row],[area_surgery]]</f>
        <v>Other</v>
      </c>
      <c r="F72" s="75">
        <f>Table6[[#This Row],[admission_date]]</f>
        <v>43340</v>
      </c>
      <c r="G72" s="75">
        <f>Table6[[#This Row],[admission_date]]</f>
        <v>43340</v>
      </c>
      <c r="H72" s="105">
        <f>Table6[[#This Row],[surgery_duration]]</f>
        <v>0</v>
      </c>
      <c r="I72" s="73" t="str">
        <f>Table6[[#This Row],[discharge_loc]]</f>
        <v>H7</v>
      </c>
      <c r="J72" s="75">
        <f>Table6[[#This Row],[discharge_date]]</f>
        <v>0</v>
      </c>
      <c r="K72" s="76">
        <f>Table6[[#This Row],[hospital_stay]]</f>
        <v>-43340</v>
      </c>
      <c r="L72" s="76">
        <f>Table6[[#This Row],[readmit_30]]</f>
        <v>0</v>
      </c>
      <c r="M72" s="77" t="str">
        <f>Table9[[#This Row],[troponin]]</f>
        <v>Not Measured</v>
      </c>
      <c r="N72" s="78">
        <f>Table9[[#This Row],[hb]]</f>
        <v>14</v>
      </c>
      <c r="O72" s="78">
        <f>Table9[[#This Row],[creatinine]]</f>
        <v>57</v>
      </c>
      <c r="P72" s="78" t="str">
        <f>Table9[[#This Row],[albumin]]</f>
        <v>Not Measured</v>
      </c>
      <c r="Q72" s="73" t="str">
        <f>Table9[[#This Row],[chest_physio]]</f>
        <v>Nurse</v>
      </c>
      <c r="R72" s="73" t="str">
        <f>Table9[[#This Row],[surgery_school]]</f>
        <v>No - Wasn’t offered it</v>
      </c>
      <c r="S72" s="75">
        <f>Table9[[#This Row],[date_school]]</f>
        <v>0</v>
      </c>
      <c r="T72" s="73">
        <f>Table9[[#This Row],[app_down]]</f>
        <v>0</v>
      </c>
      <c r="U72" s="73">
        <f>Table9[[#This Row],[website]]</f>
        <v>0</v>
      </c>
      <c r="V72" s="73">
        <f>Table9[[#This Row],[base_activity]]</f>
        <v>0</v>
      </c>
      <c r="W72" s="73">
        <f>Table9[[#This Row],[current_activity]]</f>
        <v>0</v>
      </c>
      <c r="X72" s="73">
        <f>Table9[[#This Row],[activity_type]]</f>
        <v>0</v>
      </c>
      <c r="Y72" s="73" t="str">
        <f>Table9[[#This Row],[anaemia_treat]]</f>
        <v>Not applicable</v>
      </c>
      <c r="Z72" s="78" t="str">
        <f>Table9[[#This Row],[anaesthesia]]</f>
        <v>Not available</v>
      </c>
      <c r="AA72" s="78">
        <f>Table9[[#This Row],[smoke_hist]]</f>
        <v>0</v>
      </c>
      <c r="AB72" s="78">
        <f>Table9[[#This Row],[smoke_cess]]</f>
        <v>0</v>
      </c>
      <c r="AC72" s="78" t="str">
        <f>Table9[[#This Row],[tidal_vol]]</f>
        <v>Not recorded</v>
      </c>
      <c r="AD72" s="77">
        <f>Table11[[#This Row],[inc_spiro]]</f>
        <v>0</v>
      </c>
      <c r="AE72" s="73">
        <f>Table11[[#This Row],[t_brushes]]</f>
        <v>0</v>
      </c>
      <c r="AF72" s="78">
        <f>Table11[[#This Row],[m_washes]]</f>
        <v>0</v>
      </c>
      <c r="AG72" s="78">
        <f>Table11[[#This Row],[iv_disc]]</f>
        <v>0</v>
      </c>
      <c r="AH72" s="78">
        <f>Table11[[#This Row],[tolerate_15l]]</f>
        <v>0</v>
      </c>
      <c r="AI72" s="78">
        <f>Table11[[#This Row],[drinking]]</f>
        <v>0</v>
      </c>
      <c r="AJ72" s="78">
        <f>Table11[[#This Row],[oral_diet]]</f>
        <v>0</v>
      </c>
      <c r="AK72" s="78">
        <f>Table11[[#This Row],[mobilised]]</f>
        <v>0</v>
      </c>
      <c r="AL72" s="79">
        <f>Table11[[#This Row],[resp_supp]]</f>
        <v>0</v>
      </c>
      <c r="AM72" s="78">
        <f>Table11[[#This Row],[elev_head]]</f>
        <v>0</v>
      </c>
      <c r="AN72" s="78">
        <f>Table13[[#This Row],[in_hospital]]</f>
        <v>0</v>
      </c>
      <c r="AO72" s="78">
        <f>Table13[[#This Row],[location_7]]</f>
        <v>0</v>
      </c>
      <c r="AP72" s="78">
        <f>Table13[[#This Row],[infec_24]]</f>
        <v>0</v>
      </c>
      <c r="AQ72" s="73">
        <f>Table13[[#This Row],[infec_7]]</f>
        <v>0</v>
      </c>
      <c r="AR72" s="73">
        <f>Table13[[#This Row],[gastro]]</f>
        <v>0</v>
      </c>
      <c r="AS72" s="73">
        <f>Table13[[#This Row],[pulm_supp_24]]</f>
        <v>0</v>
      </c>
      <c r="AT72" s="73">
        <f>Table13[[#This Row],[pulm_supp_7]]</f>
        <v>0</v>
      </c>
      <c r="AU72" s="73">
        <f>Table13[[#This Row],[pulm_pharm]]</f>
        <v>0</v>
      </c>
      <c r="AV72" s="73">
        <f>Table13[[#This Row],[cardio_24]]</f>
        <v>0</v>
      </c>
      <c r="AW72" s="73">
        <f>Table13[[#This Row],[troponin_7]]</f>
        <v>0</v>
      </c>
      <c r="AX72" s="73">
        <f>Table13[[#This Row],[creatinine_base]]</f>
        <v>0</v>
      </c>
      <c r="AY72" s="73">
        <f>Table13[[#This Row],[creatinine_high]]</f>
        <v>0</v>
      </c>
      <c r="AZ72" s="73">
        <f>Table13[[#This Row],[rrt]]</f>
        <v>0</v>
      </c>
      <c r="BA72" s="73">
        <f>Table13[[#This Row],[renal_24]]</f>
        <v>0</v>
      </c>
      <c r="BB72" s="73">
        <f>Table13[[#This Row],[neuro]]</f>
        <v>0</v>
      </c>
      <c r="BC72" s="73">
        <f>Table13[[#This Row],[wound]]</f>
        <v>0</v>
      </c>
      <c r="BD72" s="73">
        <f>Table13[[#This Row],[haemato]]</f>
        <v>0</v>
      </c>
      <c r="BE72" s="73">
        <f>Table13[[#This Row],[pain]]</f>
        <v>0</v>
      </c>
      <c r="BF72" s="73">
        <f>Table13[[#This Row],[mobility]]</f>
        <v>0</v>
      </c>
      <c r="BG72" s="79">
        <f>Table13[[#This Row],[why_inpatient_7]]</f>
        <v>0</v>
      </c>
      <c r="BH72" s="9">
        <f>Table13[[#This Row],[date_15]]</f>
        <v>0</v>
      </c>
      <c r="BI72">
        <f>Table13[[#This Row],[inpatient_15]]</f>
        <v>0</v>
      </c>
      <c r="BJ72">
        <f>Table13[[#This Row],[comment_15]]</f>
        <v>0</v>
      </c>
      <c r="BK72">
        <f>Table13[[#This Row],[discharge_dest]]</f>
        <v>0</v>
      </c>
      <c r="BL72">
        <f>Table13[[#This Row],[complication]]</f>
        <v>0</v>
      </c>
    </row>
    <row r="73" spans="1:64" ht="18" customHeight="1">
      <c r="A73" s="73" t="str">
        <f>Table5[[#This Row],[comment]]</f>
        <v>language barrier</v>
      </c>
      <c r="B73" s="73" t="str">
        <f>Table9[[#This Row],[surgeon]]</f>
        <v>Euan Green</v>
      </c>
      <c r="C73" s="73" t="str">
        <f>Table9[[#This Row],[surgery]]</f>
        <v>Nephroureterectomy</v>
      </c>
      <c r="D73" s="74" t="str">
        <f>Table5[[#This Row],[pqip_consent]]</f>
        <v>No</v>
      </c>
      <c r="E73" s="73" t="str">
        <f>Table6[[#This Row],[area_surgery]]</f>
        <v>Urology</v>
      </c>
      <c r="F73" s="75">
        <f>Table6[[#This Row],[admission_date]]</f>
        <v>43340</v>
      </c>
      <c r="G73" s="75">
        <f>Table6[[#This Row],[admission_date]]</f>
        <v>43340</v>
      </c>
      <c r="H73" s="105">
        <f>Table6[[#This Row],[surgery_duration]]</f>
        <v>0.22916666666666666</v>
      </c>
      <c r="I73" s="73" t="str">
        <f>Table6[[#This Row],[discharge_loc]]</f>
        <v>H6</v>
      </c>
      <c r="J73" s="75">
        <f>Table6[[#This Row],[discharge_date]]</f>
        <v>43349</v>
      </c>
      <c r="K73" s="76">
        <f>Table6[[#This Row],[hospital_stay]]</f>
        <v>9</v>
      </c>
      <c r="L73" s="76" t="str">
        <f>Table6[[#This Row],[readmit_30]]</f>
        <v>No</v>
      </c>
      <c r="M73" s="77" t="str">
        <f>Table9[[#This Row],[troponin]]</f>
        <v>Not Measured</v>
      </c>
      <c r="N73" s="78">
        <f>Table9[[#This Row],[hb]]</f>
        <v>15.7</v>
      </c>
      <c r="O73" s="78">
        <f>Table9[[#This Row],[creatinine]]</f>
        <v>78</v>
      </c>
      <c r="P73" s="78" t="str">
        <f>Table9[[#This Row],[albumin]]</f>
        <v>Not Measured</v>
      </c>
      <c r="Q73" s="73" t="str">
        <f>Table9[[#This Row],[chest_physio]]</f>
        <v>No</v>
      </c>
      <c r="R73" s="73" t="str">
        <f>Table9[[#This Row],[surgery_school]]</f>
        <v>No - Wasn’t offered it</v>
      </c>
      <c r="S73" s="75">
        <f>Table9[[#This Row],[date_school]]</f>
        <v>0</v>
      </c>
      <c r="T73" s="73">
        <f>Table9[[#This Row],[app_down]]</f>
        <v>0</v>
      </c>
      <c r="U73" s="73">
        <f>Table9[[#This Row],[website]]</f>
        <v>0</v>
      </c>
      <c r="V73" s="73" t="str">
        <f>Table9[[#This Row],[base_activity]]</f>
        <v>30mins of moderate activity</v>
      </c>
      <c r="W73" s="73" t="str">
        <f>Table9[[#This Row],[current_activity]]</f>
        <v>30mins of moderate activity</v>
      </c>
      <c r="X73" s="73" t="str">
        <f>Table9[[#This Row],[activity_type]]</f>
        <v>Swimming regularly</v>
      </c>
      <c r="Y73" s="73" t="str">
        <f>Table9[[#This Row],[anaemia_treat]]</f>
        <v>Not applicable</v>
      </c>
      <c r="Z73" s="78" t="str">
        <f>Table9[[#This Row],[anaesthesia]]</f>
        <v>General with Inhalational</v>
      </c>
      <c r="AA73" s="78">
        <f>Table9[[#This Row],[smoke_hist]]</f>
        <v>0</v>
      </c>
      <c r="AB73" s="78">
        <f>Table9[[#This Row],[smoke_cess]]</f>
        <v>0</v>
      </c>
      <c r="AC73" s="78" t="str">
        <f>Table9[[#This Row],[tidal_vol]]</f>
        <v>Not recorded</v>
      </c>
      <c r="AD73" s="77" t="str">
        <f>Table11[[#This Row],[inc_spiro]]</f>
        <v>Not used</v>
      </c>
      <c r="AE73" s="73" t="str">
        <f>Table11[[#This Row],[t_brushes]]</f>
        <v>Twice</v>
      </c>
      <c r="AF73" s="78" t="str">
        <f>Table11[[#This Row],[m_washes]]</f>
        <v>Twice</v>
      </c>
      <c r="AG73" s="78" t="str">
        <f>Table11[[#This Row],[iv_disc]]</f>
        <v>Yes</v>
      </c>
      <c r="AH73" s="78">
        <f>Table11[[#This Row],[tolerate_15l]]</f>
        <v>0</v>
      </c>
      <c r="AI73" s="78" t="str">
        <f>Table11[[#This Row],[drinking]]</f>
        <v>Yes</v>
      </c>
      <c r="AJ73" s="78" t="str">
        <f>Table11[[#This Row],[oral_diet]]</f>
        <v>Yes</v>
      </c>
      <c r="AK73" s="78" t="str">
        <f>Table11[[#This Row],[mobilised]]</f>
        <v>Yes</v>
      </c>
      <c r="AL73" s="79" t="str">
        <f>Table11[[#This Row],[resp_supp]]</f>
        <v>CPAP</v>
      </c>
      <c r="AM73" s="78">
        <f>Table11[[#This Row],[elev_head]]</f>
        <v>0</v>
      </c>
      <c r="AN73" s="78" t="str">
        <f>Table13[[#This Row],[in_hospital]]</f>
        <v>Yes</v>
      </c>
      <c r="AO73" s="78" t="str">
        <f>Table13[[#This Row],[location_7]]</f>
        <v>Level 2</v>
      </c>
      <c r="AP73" s="78" t="str">
        <f>Table13[[#This Row],[infec_24]]</f>
        <v>None of the above</v>
      </c>
      <c r="AQ73" s="73" t="str">
        <f>Table13[[#This Row],[infec_7]]</f>
        <v>None</v>
      </c>
      <c r="AR73" s="73" t="str">
        <f>Table13[[#This Row],[gastro]]</f>
        <v>None of the above</v>
      </c>
      <c r="AS73" s="73" t="str">
        <f>Table13[[#This Row],[pulm_supp_24]]</f>
        <v>None of the above</v>
      </c>
      <c r="AT73" s="73" t="str">
        <f>Table13[[#This Row],[pulm_supp_7]]</f>
        <v>None</v>
      </c>
      <c r="AU73" s="73" t="str">
        <f>Table13[[#This Row],[pulm_pharm]]</f>
        <v>None</v>
      </c>
      <c r="AV73" s="73" t="str">
        <f>Table13[[#This Row],[cardio_24]]</f>
        <v>None of the above</v>
      </c>
      <c r="AW73" s="73">
        <f>Table13[[#This Row],[troponin_7]]</f>
        <v>0</v>
      </c>
      <c r="AX73" s="73">
        <f>Table13[[#This Row],[creatinine_base]]</f>
        <v>78</v>
      </c>
      <c r="AY73" s="73">
        <f>Table13[[#This Row],[creatinine_high]]</f>
        <v>120</v>
      </c>
      <c r="AZ73" s="73" t="str">
        <f>Table13[[#This Row],[rrt]]</f>
        <v xml:space="preserve">No </v>
      </c>
      <c r="BA73" s="73" t="str">
        <f>Table13[[#This Row],[renal_24]]</f>
        <v>Urethral catheter in-situ (not present pre-operatively), Serum creatinine level &gt;30% of pre-op level</v>
      </c>
      <c r="BB73" s="73" t="str">
        <f>Table13[[#This Row],[neuro]]</f>
        <v>None of the above</v>
      </c>
      <c r="BC73" s="73" t="str">
        <f>Table13[[#This Row],[wound]]</f>
        <v>None of the above</v>
      </c>
      <c r="BD73" s="73" t="str">
        <f>Table13[[#This Row],[haemato]]</f>
        <v>None of the above</v>
      </c>
      <c r="BE73" s="73" t="str">
        <f>Table13[[#This Row],[pain]]</f>
        <v>Parenteral opioids</v>
      </c>
      <c r="BF73" s="73" t="str">
        <f>Table13[[#This Row],[mobility]]</f>
        <v>Yes</v>
      </c>
      <c r="BG73" s="79" t="str">
        <f>Table13[[#This Row],[why_inpatient_7]]</f>
        <v>Medical/nursing care</v>
      </c>
      <c r="BH73" s="9">
        <f>Table13[[#This Row],[date_15]]</f>
        <v>43355</v>
      </c>
      <c r="BI73" t="str">
        <f>Table13[[#This Row],[inpatient_15]]</f>
        <v>No</v>
      </c>
      <c r="BJ73">
        <f>Table13[[#This Row],[comment_15]]</f>
        <v>0</v>
      </c>
      <c r="BK73" t="str">
        <f>Table13[[#This Row],[discharge_dest]]</f>
        <v>Own Home</v>
      </c>
      <c r="BL73" t="str">
        <f>Table13[[#This Row],[complication]]</f>
        <v>I</v>
      </c>
    </row>
    <row r="74" spans="1:64" ht="18" customHeight="1">
      <c r="A74" s="73">
        <f>Table5[[#This Row],[comment]]</f>
        <v>0</v>
      </c>
      <c r="B74" s="73" t="str">
        <f>Table9[[#This Row],[surgeon]]</f>
        <v>Maurice Lau</v>
      </c>
      <c r="C74" s="73" t="str">
        <f>Table9[[#This Row],[surgery]]</f>
        <v>Cystectomy</v>
      </c>
      <c r="D74" s="74" t="str">
        <f>Table5[[#This Row],[pqip_consent]]</f>
        <v>No</v>
      </c>
      <c r="E74" s="73" t="str">
        <f>Table6[[#This Row],[area_surgery]]</f>
        <v>Urology</v>
      </c>
      <c r="F74" s="75">
        <f>Table6[[#This Row],[admission_date]]</f>
        <v>43340</v>
      </c>
      <c r="G74" s="75">
        <f>Table6[[#This Row],[admission_date]]</f>
        <v>43340</v>
      </c>
      <c r="H74" s="105">
        <f>Table6[[#This Row],[surgery_duration]]</f>
        <v>0.33333333333333331</v>
      </c>
      <c r="I74" s="73" t="str">
        <f>Table6[[#This Row],[discharge_loc]]</f>
        <v>CCU</v>
      </c>
      <c r="J74" s="75">
        <f>Table6[[#This Row],[discharge_date]]</f>
        <v>43348</v>
      </c>
      <c r="K74" s="76">
        <f>Table6[[#This Row],[hospital_stay]]</f>
        <v>8</v>
      </c>
      <c r="L74" s="76" t="str">
        <f>Table6[[#This Row],[readmit_30]]</f>
        <v>No</v>
      </c>
      <c r="M74" s="77" t="str">
        <f>Table9[[#This Row],[troponin]]</f>
        <v>Not Measured</v>
      </c>
      <c r="N74" s="78">
        <f>Table9[[#This Row],[hb]]</f>
        <v>14.6</v>
      </c>
      <c r="O74" s="78">
        <f>Table9[[#This Row],[creatinine]]</f>
        <v>85</v>
      </c>
      <c r="P74" s="78">
        <f>Table9[[#This Row],[albumin]]</f>
        <v>44</v>
      </c>
      <c r="Q74" s="73" t="str">
        <f>Table9[[#This Row],[chest_physio]]</f>
        <v>Nurse</v>
      </c>
      <c r="R74" s="73" t="str">
        <f>Table9[[#This Row],[surgery_school]]</f>
        <v>No - Wasn’t offered it</v>
      </c>
      <c r="S74" s="75">
        <f>Table9[[#This Row],[date_school]]</f>
        <v>0</v>
      </c>
      <c r="T74" s="73" t="str">
        <f>Table9[[#This Row],[app_down]]</f>
        <v>No - Have electronic device</v>
      </c>
      <c r="U74" s="73" t="str">
        <f>Table9[[#This Row],[website]]</f>
        <v>No</v>
      </c>
      <c r="V74" s="73" t="str">
        <f>Table9[[#This Row],[base_activity]]</f>
        <v>30mins of moderate activity</v>
      </c>
      <c r="W74" s="73" t="str">
        <f>Table9[[#This Row],[current_activity]]</f>
        <v>30mins of moderate activity</v>
      </c>
      <c r="X74" s="73" t="str">
        <f>Table9[[#This Row],[activity_type]]</f>
        <v xml:space="preserve">Walking regularly </v>
      </c>
      <c r="Y74" s="73" t="str">
        <f>Table9[[#This Row],[anaemia_treat]]</f>
        <v>Not applicable</v>
      </c>
      <c r="Z74" s="78" t="str">
        <f>Table9[[#This Row],[anaesthesia]]</f>
        <v>General with TIVA</v>
      </c>
      <c r="AA74" s="78">
        <f>Table9[[#This Row],[smoke_hist]]</f>
        <v>0</v>
      </c>
      <c r="AB74" s="78">
        <f>Table9[[#This Row],[smoke_cess]]</f>
        <v>0</v>
      </c>
      <c r="AC74" s="78" t="str">
        <f>Table9[[#This Row],[tidal_vol]]</f>
        <v>Not recorded</v>
      </c>
      <c r="AD74" s="77" t="str">
        <f>Table11[[#This Row],[inc_spiro]]</f>
        <v>Once</v>
      </c>
      <c r="AE74" s="73" t="str">
        <f>Table11[[#This Row],[t_brushes]]</f>
        <v>Twice</v>
      </c>
      <c r="AF74" s="78" t="str">
        <f>Table11[[#This Row],[m_washes]]</f>
        <v>Twice</v>
      </c>
      <c r="AG74" s="78" t="str">
        <f>Table11[[#This Row],[iv_disc]]</f>
        <v>No</v>
      </c>
      <c r="AH74" s="78">
        <f>Table11[[#This Row],[tolerate_15l]]</f>
        <v>0</v>
      </c>
      <c r="AI74" s="78" t="str">
        <f>Table11[[#This Row],[drinking]]</f>
        <v>Yes</v>
      </c>
      <c r="AJ74" s="78" t="str">
        <f>Table11[[#This Row],[oral_diet]]</f>
        <v>Yes</v>
      </c>
      <c r="AK74" s="78" t="str">
        <f>Table11[[#This Row],[mobilised]]</f>
        <v>Yes</v>
      </c>
      <c r="AL74" s="79" t="str">
        <f>Table11[[#This Row],[resp_supp]]</f>
        <v>None</v>
      </c>
      <c r="AM74" s="78">
        <f>Table11[[#This Row],[elev_head]]</f>
        <v>0</v>
      </c>
      <c r="AN74" s="78" t="str">
        <f>Table13[[#This Row],[in_hospital]]</f>
        <v>Yes</v>
      </c>
      <c r="AO74" s="78" t="str">
        <f>Table13[[#This Row],[location_7]]</f>
        <v>Level 2</v>
      </c>
      <c r="AP74" s="78" t="str">
        <f>Table13[[#This Row],[infec_24]]</f>
        <v>None of the above</v>
      </c>
      <c r="AQ74" s="73" t="str">
        <f>Table13[[#This Row],[infec_7]]</f>
        <v>None</v>
      </c>
      <c r="AR74" s="73" t="str">
        <f>Table13[[#This Row],[gastro]]</f>
        <v>None of the above</v>
      </c>
      <c r="AS74" s="73" t="str">
        <f>Table13[[#This Row],[pulm_supp_24]]</f>
        <v>None of the above</v>
      </c>
      <c r="AT74" s="73" t="str">
        <f>Table13[[#This Row],[pulm_supp_7]]</f>
        <v>None</v>
      </c>
      <c r="AU74" s="73" t="str">
        <f>Table13[[#This Row],[pulm_pharm]]</f>
        <v>None</v>
      </c>
      <c r="AV74" s="73" t="str">
        <f>Table13[[#This Row],[cardio_24]]</f>
        <v>None of the above</v>
      </c>
      <c r="AW74" s="73">
        <f>Table13[[#This Row],[troponin_7]]</f>
        <v>0</v>
      </c>
      <c r="AX74" s="73">
        <f>Table13[[#This Row],[creatinine_base]]</f>
        <v>85</v>
      </c>
      <c r="AY74" s="73">
        <f>Table13[[#This Row],[creatinine_high]]</f>
        <v>85</v>
      </c>
      <c r="AZ74" s="73" t="str">
        <f>Table13[[#This Row],[rrt]]</f>
        <v xml:space="preserve">No </v>
      </c>
      <c r="BA74" s="73" t="str">
        <f>Table13[[#This Row],[renal_24]]</f>
        <v>None of the above</v>
      </c>
      <c r="BB74" s="73" t="str">
        <f>Table13[[#This Row],[neuro]]</f>
        <v>None of the above</v>
      </c>
      <c r="BC74" s="73" t="str">
        <f>Table13[[#This Row],[wound]]</f>
        <v>None of the above</v>
      </c>
      <c r="BD74" s="73" t="str">
        <f>Table13[[#This Row],[haemato]]</f>
        <v>None of the above</v>
      </c>
      <c r="BE74" s="73" t="str">
        <f>Table13[[#This Row],[pain]]</f>
        <v>None of the above</v>
      </c>
      <c r="BF74" s="73" t="str">
        <f>Table13[[#This Row],[mobility]]</f>
        <v>Yes</v>
      </c>
      <c r="BG74" s="79" t="str">
        <f>Table13[[#This Row],[why_inpatient_7]]</f>
        <v>Medical/nursing care</v>
      </c>
      <c r="BH74" s="9">
        <f>Table13[[#This Row],[date_15]]</f>
        <v>43355</v>
      </c>
      <c r="BI74" t="str">
        <f>Table13[[#This Row],[inpatient_15]]</f>
        <v>No</v>
      </c>
      <c r="BJ74">
        <f>Table13[[#This Row],[comment_15]]</f>
        <v>0</v>
      </c>
      <c r="BK74" t="str">
        <f>Table13[[#This Row],[discharge_dest]]</f>
        <v>Own Home</v>
      </c>
      <c r="BL74" t="str">
        <f>Table13[[#This Row],[complication]]</f>
        <v>I</v>
      </c>
    </row>
    <row r="75" spans="1:64" ht="18" customHeight="1">
      <c r="A75" s="73">
        <f>Table5[[#This Row],[comment]]</f>
        <v>0</v>
      </c>
      <c r="B75" s="73" t="str">
        <f>Table9[[#This Row],[surgeon]]</f>
        <v>Jonathan Vickers</v>
      </c>
      <c r="C75" s="73" t="str">
        <f>Table9[[#This Row],[surgery]]</f>
        <v xml:space="preserve">Oesophagectomy (total)/Oesophagogastrectomy </v>
      </c>
      <c r="D75" s="74" t="str">
        <f>Table5[[#This Row],[pqip_consent]]</f>
        <v>Yes</v>
      </c>
      <c r="E75" s="73" t="str">
        <f>Table6[[#This Row],[area_surgery]]</f>
        <v>Lower GI</v>
      </c>
      <c r="F75" s="75">
        <f>Table6[[#This Row],[admission_date]]</f>
        <v>43341</v>
      </c>
      <c r="G75" s="75">
        <f>Table6[[#This Row],[admission_date]]</f>
        <v>43341</v>
      </c>
      <c r="H75" s="105">
        <f>Table6[[#This Row],[surgery_duration]]</f>
        <v>0.4236111111111111</v>
      </c>
      <c r="I75" s="73" t="str">
        <f>Table6[[#This Row],[discharge_loc]]</f>
        <v>CCU (Level 3)</v>
      </c>
      <c r="J75" s="75">
        <f>Table6[[#This Row],[discharge_date]]</f>
        <v>43350</v>
      </c>
      <c r="K75" s="76">
        <f>Table6[[#This Row],[hospital_stay]]</f>
        <v>9</v>
      </c>
      <c r="L75" s="76" t="str">
        <f>Table6[[#This Row],[readmit_30]]</f>
        <v>Yes</v>
      </c>
      <c r="M75" s="77" t="str">
        <f>Table9[[#This Row],[troponin]]</f>
        <v>Not Measured</v>
      </c>
      <c r="N75" s="78">
        <f>Table9[[#This Row],[hb]]</f>
        <v>10.9</v>
      </c>
      <c r="O75" s="78">
        <f>Table9[[#This Row],[creatinine]]</f>
        <v>69</v>
      </c>
      <c r="P75" s="78">
        <f>Table9[[#This Row],[albumin]]</f>
        <v>42</v>
      </c>
      <c r="Q75" s="73" t="str">
        <f>Table9[[#This Row],[chest_physio]]</f>
        <v>Nurse</v>
      </c>
      <c r="R75" s="73" t="str">
        <f>Table9[[#This Row],[surgery_school]]</f>
        <v>No - Wasn’t offered it</v>
      </c>
      <c r="S75" s="75">
        <f>Table9[[#This Row],[date_school]]</f>
        <v>0</v>
      </c>
      <c r="T75" s="73" t="str">
        <f>Table9[[#This Row],[app_down]]</f>
        <v>No - No electronic device</v>
      </c>
      <c r="U75" s="73" t="str">
        <f>Table9[[#This Row],[website]]</f>
        <v>No</v>
      </c>
      <c r="V75" s="73" t="str">
        <f>Table9[[#This Row],[base_activity]]</f>
        <v>30mins of moderate activity</v>
      </c>
      <c r="W75" s="73" t="str">
        <f>Table9[[#This Row],[current_activity]]</f>
        <v>30mins of moderate activity</v>
      </c>
      <c r="X75" s="73" t="str">
        <f>Table9[[#This Row],[activity_type]]</f>
        <v xml:space="preserve">Walking regularly </v>
      </c>
      <c r="Y75" s="73" t="str">
        <f>Table9[[#This Row],[anaemia_treat]]</f>
        <v>Not applicable</v>
      </c>
      <c r="Z75" s="78" t="str">
        <f>Table9[[#This Row],[anaesthesia]]</f>
        <v>General with TIVA</v>
      </c>
      <c r="AA75" s="78">
        <f>Table9[[#This Row],[smoke_hist]]</f>
        <v>0</v>
      </c>
      <c r="AB75" s="78">
        <f>Table9[[#This Row],[smoke_cess]]</f>
        <v>0</v>
      </c>
      <c r="AC75" s="78" t="str">
        <f>Table9[[#This Row],[tidal_vol]]</f>
        <v>Not recorded</v>
      </c>
      <c r="AD75" s="77" t="str">
        <f>Table11[[#This Row],[inc_spiro]]</f>
        <v>&gt;Two</v>
      </c>
      <c r="AE75" s="73" t="str">
        <f>Table11[[#This Row],[t_brushes]]</f>
        <v>Twice</v>
      </c>
      <c r="AF75" s="78" t="str">
        <f>Table11[[#This Row],[m_washes]]</f>
        <v>Twice</v>
      </c>
      <c r="AG75" s="78" t="str">
        <f>Table11[[#This Row],[iv_disc]]</f>
        <v>No</v>
      </c>
      <c r="AH75" s="78" t="str">
        <f>Table11[[#This Row],[tolerate_15l]]</f>
        <v>Not applicable</v>
      </c>
      <c r="AI75" s="78" t="str">
        <f>Table11[[#This Row],[drinking]]</f>
        <v>No</v>
      </c>
      <c r="AJ75" s="78" t="str">
        <f>Table11[[#This Row],[oral_diet]]</f>
        <v>No</v>
      </c>
      <c r="AK75" s="78" t="str">
        <f>Table11[[#This Row],[mobilised]]</f>
        <v>Yes</v>
      </c>
      <c r="AL75" s="79" t="str">
        <f>Table11[[#This Row],[resp_supp]]</f>
        <v>High flow Nasal</v>
      </c>
      <c r="AM75" s="78">
        <f>Table11[[#This Row],[elev_head]]</f>
        <v>0</v>
      </c>
      <c r="AN75" s="78" t="str">
        <f>Table13[[#This Row],[in_hospital]]</f>
        <v>Yes</v>
      </c>
      <c r="AO75" s="78" t="str">
        <f>Table13[[#This Row],[location_7]]</f>
        <v>Level 2</v>
      </c>
      <c r="AP75" s="78" t="str">
        <f>Table13[[#This Row],[infec_24]]</f>
        <v>None of the above</v>
      </c>
      <c r="AQ75" s="73" t="str">
        <f>Table13[[#This Row],[infec_7]]</f>
        <v>None</v>
      </c>
      <c r="AR75" s="73" t="str">
        <f>Table13[[#This Row],[gastro]]</f>
        <v>Unable to tolerate enteral diet</v>
      </c>
      <c r="AS75" s="73" t="str">
        <f>Table13[[#This Row],[pulm_supp_24]]</f>
        <v>New requirement for oxygen</v>
      </c>
      <c r="AT75" s="73" t="str">
        <f>Table13[[#This Row],[pulm_supp_7]]</f>
        <v>Moderate</v>
      </c>
      <c r="AU75" s="73" t="str">
        <f>Table13[[#This Row],[pulm_pharm]]</f>
        <v>None</v>
      </c>
      <c r="AV75" s="73" t="str">
        <f>Table13[[#This Row],[cardio_24]]</f>
        <v>None of the above</v>
      </c>
      <c r="AW75" s="73">
        <f>Table13[[#This Row],[troponin_7]]</f>
        <v>0</v>
      </c>
      <c r="AX75" s="73">
        <f>Table13[[#This Row],[creatinine_base]]</f>
        <v>69</v>
      </c>
      <c r="AY75" s="73">
        <f>Table13[[#This Row],[creatinine_high]]</f>
        <v>68</v>
      </c>
      <c r="AZ75" s="73" t="str">
        <f>Table13[[#This Row],[rrt]]</f>
        <v xml:space="preserve">No </v>
      </c>
      <c r="BA75" s="73" t="str">
        <f>Table13[[#This Row],[renal_24]]</f>
        <v>Urethral catheter in-situ (not present pre-operatively)</v>
      </c>
      <c r="BB75" s="73" t="str">
        <f>Table13[[#This Row],[neuro]]</f>
        <v>None of the above</v>
      </c>
      <c r="BC75" s="73" t="str">
        <f>Table13[[#This Row],[wound]]</f>
        <v>None of the above</v>
      </c>
      <c r="BD75" s="73" t="str">
        <f>Table13[[#This Row],[haemato]]</f>
        <v>None of the above</v>
      </c>
      <c r="BE75" s="73" t="str">
        <f>Table13[[#This Row],[pain]]</f>
        <v>None of the above</v>
      </c>
      <c r="BF75" s="73" t="str">
        <f>Table13[[#This Row],[mobility]]</f>
        <v>Yes</v>
      </c>
      <c r="BG75" s="79" t="str">
        <f>Table13[[#This Row],[why_inpatient_7]]</f>
        <v>Medical/nursing care</v>
      </c>
      <c r="BH75" s="9">
        <f>Table13[[#This Row],[date_15]]</f>
        <v>43356</v>
      </c>
      <c r="BI75" t="str">
        <f>Table13[[#This Row],[inpatient_15]]</f>
        <v>No</v>
      </c>
      <c r="BJ75">
        <f>Table13[[#This Row],[comment_15]]</f>
        <v>0</v>
      </c>
      <c r="BK75" t="str">
        <f>Table13[[#This Row],[discharge_dest]]</f>
        <v>Own Home</v>
      </c>
      <c r="BL75" t="str">
        <f>Table13[[#This Row],[complication]]</f>
        <v>None</v>
      </c>
    </row>
    <row r="76" spans="1:64" ht="18" customHeight="1">
      <c r="A76" s="73">
        <f>Table5[[#This Row],[comment]]</f>
        <v>0</v>
      </c>
      <c r="B76" s="73" t="str">
        <f>Table9[[#This Row],[surgeon]]</f>
        <v>Javed Sultan</v>
      </c>
      <c r="C76" s="73" t="str">
        <f>Table9[[#This Row],[surgery]]</f>
        <v>Gastrectomy (partial / total) with excision of surrounding tissue</v>
      </c>
      <c r="D76" s="74" t="str">
        <f>Table5[[#This Row],[pqip_consent]]</f>
        <v>Yes</v>
      </c>
      <c r="E76" s="73" t="str">
        <f>Table6[[#This Row],[area_surgery]]</f>
        <v>Upper GI</v>
      </c>
      <c r="F76" s="75">
        <f>Table6[[#This Row],[admission_date]]</f>
        <v>43341</v>
      </c>
      <c r="G76" s="75">
        <f>Table6[[#This Row],[admission_date]]</f>
        <v>43341</v>
      </c>
      <c r="H76" s="105">
        <f>Table6[[#This Row],[surgery_duration]]</f>
        <v>0.30208333333333331</v>
      </c>
      <c r="I76" s="73" t="str">
        <f>Table6[[#This Row],[discharge_loc]]</f>
        <v>CCU (Level 2)</v>
      </c>
      <c r="J76" s="75">
        <f>Table6[[#This Row],[discharge_date]]</f>
        <v>43354</v>
      </c>
      <c r="K76" s="76">
        <f>Table6[[#This Row],[hospital_stay]]</f>
        <v>13</v>
      </c>
      <c r="L76" s="76" t="str">
        <f>Table6[[#This Row],[readmit_30]]</f>
        <v>No</v>
      </c>
      <c r="M76" s="77" t="str">
        <f>Table9[[#This Row],[troponin]]</f>
        <v>Not Measured</v>
      </c>
      <c r="N76" s="78">
        <f>Table9[[#This Row],[hb]]</f>
        <v>12</v>
      </c>
      <c r="O76" s="78">
        <f>Table9[[#This Row],[creatinine]]</f>
        <v>92</v>
      </c>
      <c r="P76" s="78">
        <f>Table9[[#This Row],[albumin]]</f>
        <v>39</v>
      </c>
      <c r="Q76" s="73" t="str">
        <f>Table9[[#This Row],[chest_physio]]</f>
        <v>No</v>
      </c>
      <c r="R76" s="73" t="str">
        <f>Table9[[#This Row],[surgery_school]]</f>
        <v>No - Wasn’t offered it</v>
      </c>
      <c r="S76" s="75">
        <f>Table9[[#This Row],[date_school]]</f>
        <v>0</v>
      </c>
      <c r="T76" s="73" t="str">
        <f>Table9[[#This Row],[app_down]]</f>
        <v>No - No electronic device</v>
      </c>
      <c r="U76" s="73" t="str">
        <f>Table9[[#This Row],[website]]</f>
        <v>No</v>
      </c>
      <c r="V76" s="73" t="str">
        <f>Table9[[#This Row],[base_activity]]</f>
        <v>20mins of moderate activity</v>
      </c>
      <c r="W76" s="73" t="str">
        <f>Table9[[#This Row],[current_activity]]</f>
        <v>20mins of moderate activity</v>
      </c>
      <c r="X76" s="73" t="str">
        <f>Table9[[#This Row],[activity_type]]</f>
        <v xml:space="preserve">Walking regularly </v>
      </c>
      <c r="Y76" s="73" t="str">
        <f>Table9[[#This Row],[anaemia_treat]]</f>
        <v>Not applicable</v>
      </c>
      <c r="Z76" s="78" t="str">
        <f>Table9[[#This Row],[anaesthesia]]</f>
        <v>General with Inhalational</v>
      </c>
      <c r="AA76" s="78">
        <f>Table9[[#This Row],[smoke_hist]]</f>
        <v>0</v>
      </c>
      <c r="AB76" s="78">
        <f>Table9[[#This Row],[smoke_cess]]</f>
        <v>0</v>
      </c>
      <c r="AC76" s="78" t="str">
        <f>Table9[[#This Row],[tidal_vol]]</f>
        <v>Not recorded</v>
      </c>
      <c r="AD76" s="77" t="str">
        <f>Table11[[#This Row],[inc_spiro]]</f>
        <v>Not used</v>
      </c>
      <c r="AE76" s="73" t="str">
        <f>Table11[[#This Row],[t_brushes]]</f>
        <v>Twice</v>
      </c>
      <c r="AF76" s="78" t="str">
        <f>Table11[[#This Row],[m_washes]]</f>
        <v>Twice</v>
      </c>
      <c r="AG76" s="78" t="str">
        <f>Table11[[#This Row],[iv_disc]]</f>
        <v>No</v>
      </c>
      <c r="AH76" s="78" t="str">
        <f>Table11[[#This Row],[tolerate_15l]]</f>
        <v>Not applicable</v>
      </c>
      <c r="AI76" s="78" t="str">
        <f>Table11[[#This Row],[drinking]]</f>
        <v>No</v>
      </c>
      <c r="AJ76" s="78" t="str">
        <f>Table11[[#This Row],[oral_diet]]</f>
        <v>No</v>
      </c>
      <c r="AK76" s="78" t="str">
        <f>Table11[[#This Row],[mobilised]]</f>
        <v>No</v>
      </c>
      <c r="AL76" s="79" t="str">
        <f>Table11[[#This Row],[resp_supp]]</f>
        <v>None</v>
      </c>
      <c r="AM76" s="78">
        <f>Table11[[#This Row],[elev_head]]</f>
        <v>0</v>
      </c>
      <c r="AN76" s="78" t="str">
        <f>Table13[[#This Row],[in_hospital]]</f>
        <v>Yes</v>
      </c>
      <c r="AO76" s="78" t="str">
        <f>Table13[[#This Row],[location_7]]</f>
        <v>Level 1</v>
      </c>
      <c r="AP76" s="78" t="str">
        <f>Table13[[#This Row],[infec_24]]</f>
        <v>None of the above</v>
      </c>
      <c r="AQ76" s="73" t="str">
        <f>Table13[[#This Row],[infec_7]]</f>
        <v>None</v>
      </c>
      <c r="AR76" s="73" t="str">
        <f>Table13[[#This Row],[gastro]]</f>
        <v>Unable to tolerate enteral diet</v>
      </c>
      <c r="AS76" s="73" t="str">
        <f>Table13[[#This Row],[pulm_supp_24]]</f>
        <v>None of the above</v>
      </c>
      <c r="AT76" s="73" t="str">
        <f>Table13[[#This Row],[pulm_supp_7]]</f>
        <v>None</v>
      </c>
      <c r="AU76" s="73" t="str">
        <f>Table13[[#This Row],[pulm_pharm]]</f>
        <v>None</v>
      </c>
      <c r="AV76" s="73" t="str">
        <f>Table13[[#This Row],[cardio_24]]</f>
        <v>None of the above</v>
      </c>
      <c r="AW76" s="73">
        <f>Table13[[#This Row],[troponin_7]]</f>
        <v>0</v>
      </c>
      <c r="AX76" s="73">
        <f>Table13[[#This Row],[creatinine_base]]</f>
        <v>92</v>
      </c>
      <c r="AY76" s="73">
        <f>Table13[[#This Row],[creatinine_high]]</f>
        <v>73</v>
      </c>
      <c r="AZ76" s="73" t="str">
        <f>Table13[[#This Row],[rrt]]</f>
        <v xml:space="preserve">No </v>
      </c>
      <c r="BA76" s="73" t="str">
        <f>Table13[[#This Row],[renal_24]]</f>
        <v>None of the above</v>
      </c>
      <c r="BB76" s="73" t="str">
        <f>Table13[[#This Row],[neuro]]</f>
        <v>Delirium or confusion</v>
      </c>
      <c r="BC76" s="73" t="str">
        <f>Table13[[#This Row],[wound]]</f>
        <v>None of the above</v>
      </c>
      <c r="BD76" s="73" t="str">
        <f>Table13[[#This Row],[haemato]]</f>
        <v>None of the above</v>
      </c>
      <c r="BE76" s="73" t="str">
        <f>Table13[[#This Row],[pain]]</f>
        <v>None of the above</v>
      </c>
      <c r="BF76" s="73" t="str">
        <f>Table13[[#This Row],[mobility]]</f>
        <v>No</v>
      </c>
      <c r="BG76" s="79" t="str">
        <f>Table13[[#This Row],[why_inpatient_7]]</f>
        <v>Medical/nursing care</v>
      </c>
      <c r="BH76" s="9">
        <f>Table13[[#This Row],[date_15]]</f>
        <v>43356</v>
      </c>
      <c r="BI76" t="str">
        <f>Table13[[#This Row],[inpatient_15]]</f>
        <v>No</v>
      </c>
      <c r="BJ76">
        <f>Table13[[#This Row],[comment_15]]</f>
        <v>0</v>
      </c>
      <c r="BK76" t="str">
        <f>Table13[[#This Row],[discharge_dest]]</f>
        <v>Own Home</v>
      </c>
      <c r="BL76" t="str">
        <f>Table13[[#This Row],[complication]]</f>
        <v>I</v>
      </c>
    </row>
    <row r="77" spans="1:64" ht="18" customHeight="1">
      <c r="A77" s="73">
        <f>Table5[[#This Row],[comment]]</f>
        <v>0</v>
      </c>
      <c r="B77" s="73" t="str">
        <f>Table9[[#This Row],[surgeon]]</f>
        <v>David Shackley</v>
      </c>
      <c r="C77" s="73" t="str">
        <f>Table9[[#This Row],[surgery]]</f>
        <v>Nephrectomy (non-transplant)</v>
      </c>
      <c r="D77" s="74" t="str">
        <f>Table5[[#This Row],[pqip_consent]]</f>
        <v>No</v>
      </c>
      <c r="E77" s="73" t="str">
        <f>Table6[[#This Row],[area_surgery]]</f>
        <v>Nephrology</v>
      </c>
      <c r="F77" s="75">
        <f>Table6[[#This Row],[admission_date]]</f>
        <v>43341</v>
      </c>
      <c r="G77" s="75">
        <f>Table6[[#This Row],[admission_date]]</f>
        <v>43341</v>
      </c>
      <c r="H77" s="105">
        <f>Table6[[#This Row],[surgery_duration]]</f>
        <v>0.17708333333333334</v>
      </c>
      <c r="I77" s="73" t="str">
        <f>Table6[[#This Row],[discharge_loc]]</f>
        <v>H6</v>
      </c>
      <c r="J77" s="75">
        <f>Table6[[#This Row],[discharge_date]]</f>
        <v>43344</v>
      </c>
      <c r="K77" s="76">
        <f>Table6[[#This Row],[hospital_stay]]</f>
        <v>3</v>
      </c>
      <c r="L77" s="76" t="str">
        <f>Table6[[#This Row],[readmit_30]]</f>
        <v>No</v>
      </c>
      <c r="M77" s="77" t="str">
        <f>Table9[[#This Row],[troponin]]</f>
        <v>Not Measured</v>
      </c>
      <c r="N77" s="78">
        <f>Table9[[#This Row],[hb]]</f>
        <v>16.5</v>
      </c>
      <c r="O77" s="78">
        <f>Table9[[#This Row],[creatinine]]</f>
        <v>88</v>
      </c>
      <c r="P77" s="78">
        <f>Table9[[#This Row],[albumin]]</f>
        <v>50</v>
      </c>
      <c r="Q77" s="73" t="str">
        <f>Table9[[#This Row],[chest_physio]]</f>
        <v>No</v>
      </c>
      <c r="R77" s="73" t="str">
        <f>Table9[[#This Row],[surgery_school]]</f>
        <v>No - Wasn’t offered it</v>
      </c>
      <c r="S77" s="75">
        <f>Table9[[#This Row],[date_school]]</f>
        <v>0</v>
      </c>
      <c r="T77" s="73" t="str">
        <f>Table9[[#This Row],[app_down]]</f>
        <v>No - No electronic device</v>
      </c>
      <c r="U77" s="73" t="str">
        <f>Table9[[#This Row],[website]]</f>
        <v>No</v>
      </c>
      <c r="V77" s="73" t="str">
        <f>Table9[[#This Row],[base_activity]]</f>
        <v>No extra activity - Independent in ADLs</v>
      </c>
      <c r="W77" s="73" t="str">
        <f>Table9[[#This Row],[current_activity]]</f>
        <v>No extra activity - Independent in ADLs</v>
      </c>
      <c r="X77" s="73" t="str">
        <f>Table9[[#This Row],[activity_type]]</f>
        <v>None</v>
      </c>
      <c r="Y77" s="73" t="str">
        <f>Table9[[#This Row],[anaemia_treat]]</f>
        <v>Not applicable</v>
      </c>
      <c r="Z77" s="78" t="str">
        <f>Table9[[#This Row],[anaesthesia]]</f>
        <v>General with Inhalational</v>
      </c>
      <c r="AA77" s="78">
        <f>Table9[[#This Row],[smoke_hist]]</f>
        <v>0</v>
      </c>
      <c r="AB77" s="78">
        <f>Table9[[#This Row],[smoke_cess]]</f>
        <v>0</v>
      </c>
      <c r="AC77" s="78" t="str">
        <f>Table9[[#This Row],[tidal_vol]]</f>
        <v>Not recorded</v>
      </c>
      <c r="AD77" s="77" t="str">
        <f>Table11[[#This Row],[inc_spiro]]</f>
        <v>Not used</v>
      </c>
      <c r="AE77" s="73" t="str">
        <f>Table11[[#This Row],[t_brushes]]</f>
        <v>Twice</v>
      </c>
      <c r="AF77" s="78" t="str">
        <f>Table11[[#This Row],[m_washes]]</f>
        <v>Twice</v>
      </c>
      <c r="AG77" s="78" t="str">
        <f>Table11[[#This Row],[iv_disc]]</f>
        <v>Yes</v>
      </c>
      <c r="AH77" s="78">
        <f>Table11[[#This Row],[tolerate_15l]]</f>
        <v>0</v>
      </c>
      <c r="AI77" s="78" t="str">
        <f>Table11[[#This Row],[drinking]]</f>
        <v>Yes</v>
      </c>
      <c r="AJ77" s="78" t="str">
        <f>Table11[[#This Row],[oral_diet]]</f>
        <v>Yes</v>
      </c>
      <c r="AK77" s="78" t="str">
        <f>Table11[[#This Row],[mobilised]]</f>
        <v>Yes</v>
      </c>
      <c r="AL77" s="79" t="str">
        <f>Table11[[#This Row],[resp_supp]]</f>
        <v>None</v>
      </c>
      <c r="AM77" s="78">
        <f>Table11[[#This Row],[elev_head]]</f>
        <v>0</v>
      </c>
      <c r="AN77" s="78" t="str">
        <f>Table13[[#This Row],[in_hospital]]</f>
        <v>No</v>
      </c>
      <c r="AO77" s="78">
        <f>Table13[[#This Row],[location_7]]</f>
        <v>0</v>
      </c>
      <c r="AP77" s="78">
        <f>Table13[[#This Row],[infec_24]]</f>
        <v>0</v>
      </c>
      <c r="AQ77" s="73">
        <f>Table13[[#This Row],[infec_7]]</f>
        <v>0</v>
      </c>
      <c r="AR77" s="73">
        <f>Table13[[#This Row],[gastro]]</f>
        <v>0</v>
      </c>
      <c r="AS77" s="73">
        <f>Table13[[#This Row],[pulm_supp_24]]</f>
        <v>0</v>
      </c>
      <c r="AT77" s="73">
        <f>Table13[[#This Row],[pulm_supp_7]]</f>
        <v>0</v>
      </c>
      <c r="AU77" s="73">
        <f>Table13[[#This Row],[pulm_pharm]]</f>
        <v>0</v>
      </c>
      <c r="AV77" s="73">
        <f>Table13[[#This Row],[cardio_24]]</f>
        <v>0</v>
      </c>
      <c r="AW77" s="73">
        <f>Table13[[#This Row],[troponin_7]]</f>
        <v>0</v>
      </c>
      <c r="AX77" s="73">
        <f>Table13[[#This Row],[creatinine_base]]</f>
        <v>0</v>
      </c>
      <c r="AY77" s="73">
        <f>Table13[[#This Row],[creatinine_high]]</f>
        <v>0</v>
      </c>
      <c r="AZ77" s="73">
        <f>Table13[[#This Row],[rrt]]</f>
        <v>0</v>
      </c>
      <c r="BA77" s="73">
        <f>Table13[[#This Row],[renal_24]]</f>
        <v>0</v>
      </c>
      <c r="BB77" s="73">
        <f>Table13[[#This Row],[neuro]]</f>
        <v>0</v>
      </c>
      <c r="BC77" s="73">
        <f>Table13[[#This Row],[wound]]</f>
        <v>0</v>
      </c>
      <c r="BD77" s="73">
        <f>Table13[[#This Row],[haemato]]</f>
        <v>0</v>
      </c>
      <c r="BE77" s="73">
        <f>Table13[[#This Row],[pain]]</f>
        <v>0</v>
      </c>
      <c r="BF77" s="73">
        <f>Table13[[#This Row],[mobility]]</f>
        <v>0</v>
      </c>
      <c r="BG77" s="79">
        <f>Table13[[#This Row],[why_inpatient_7]]</f>
        <v>0</v>
      </c>
      <c r="BH77" s="9">
        <f>Table13[[#This Row],[date_15]]</f>
        <v>0</v>
      </c>
      <c r="BI77">
        <f>Table13[[#This Row],[inpatient_15]]</f>
        <v>0</v>
      </c>
      <c r="BJ77">
        <f>Table13[[#This Row],[comment_15]]</f>
        <v>0</v>
      </c>
      <c r="BK77" t="str">
        <f>Table13[[#This Row],[discharge_dest]]</f>
        <v>Own Home</v>
      </c>
      <c r="BL77" t="str">
        <f>Table13[[#This Row],[complication]]</f>
        <v>None</v>
      </c>
    </row>
    <row r="78" spans="1:64" ht="18" customHeight="1">
      <c r="A78" s="73" t="str">
        <f>Table5[[#This Row],[comment]]</f>
        <v>cancelled</v>
      </c>
      <c r="B78" s="73" t="str">
        <f>Table9[[#This Row],[surgeon]]</f>
        <v>Saeed Mohammad</v>
      </c>
      <c r="C78" s="73" t="str">
        <f>Table9[[#This Row],[surgery]]</f>
        <v>Anterior correction of scoliosis with instrumentation</v>
      </c>
      <c r="D78" s="74" t="str">
        <f>Table5[[#This Row],[pqip_consent]]</f>
        <v>No</v>
      </c>
      <c r="E78" s="73" t="str">
        <f>Table6[[#This Row],[area_surgery]]</f>
        <v>Other</v>
      </c>
      <c r="F78" s="75">
        <f>Table6[[#This Row],[admission_date]]</f>
        <v>43342</v>
      </c>
      <c r="G78" s="75">
        <f>Table6[[#This Row],[admission_date]]</f>
        <v>43342</v>
      </c>
      <c r="H78" s="105">
        <f>Table6[[#This Row],[surgery_duration]]</f>
        <v>0</v>
      </c>
      <c r="I78" s="73" t="str">
        <f>Table6[[#This Row],[discharge_loc]]</f>
        <v>NHDU</v>
      </c>
      <c r="J78" s="75">
        <f>Table6[[#This Row],[discharge_date]]</f>
        <v>0</v>
      </c>
      <c r="K78" s="76">
        <f>Table6[[#This Row],[hospital_stay]]</f>
        <v>-43342</v>
      </c>
      <c r="L78" s="76">
        <f>Table6[[#This Row],[readmit_30]]</f>
        <v>0</v>
      </c>
      <c r="M78" s="77" t="str">
        <f>Table9[[#This Row],[troponin]]</f>
        <v>Not Measured</v>
      </c>
      <c r="N78" s="78">
        <f>Table9[[#This Row],[hb]]</f>
        <v>14.6</v>
      </c>
      <c r="O78" s="78">
        <f>Table9[[#This Row],[creatinine]]</f>
        <v>76</v>
      </c>
      <c r="P78" s="78" t="str">
        <f>Table9[[#This Row],[albumin]]</f>
        <v>N/D</v>
      </c>
      <c r="Q78" s="73" t="str">
        <f>Table9[[#This Row],[chest_physio]]</f>
        <v>No</v>
      </c>
      <c r="R78" s="73" t="str">
        <f>Table9[[#This Row],[surgery_school]]</f>
        <v>No - Wasn’t offered it</v>
      </c>
      <c r="S78" s="75">
        <f>Table9[[#This Row],[date_school]]</f>
        <v>0</v>
      </c>
      <c r="T78" s="73">
        <f>Table9[[#This Row],[app_down]]</f>
        <v>0</v>
      </c>
      <c r="U78" s="73">
        <f>Table9[[#This Row],[website]]</f>
        <v>0</v>
      </c>
      <c r="V78" s="73">
        <f>Table9[[#This Row],[base_activity]]</f>
        <v>0</v>
      </c>
      <c r="W78" s="73">
        <f>Table9[[#This Row],[current_activity]]</f>
        <v>0</v>
      </c>
      <c r="X78" s="73">
        <f>Table9[[#This Row],[activity_type]]</f>
        <v>0</v>
      </c>
      <c r="Y78" s="73" t="str">
        <f>Table9[[#This Row],[anaemia_treat]]</f>
        <v>Not applicable</v>
      </c>
      <c r="Z78" s="78">
        <f>Table9[[#This Row],[anaesthesia]]</f>
        <v>0</v>
      </c>
      <c r="AA78" s="78">
        <f>Table9[[#This Row],[smoke_hist]]</f>
        <v>0</v>
      </c>
      <c r="AB78" s="78">
        <f>Table9[[#This Row],[smoke_cess]]</f>
        <v>0</v>
      </c>
      <c r="AC78" s="78" t="str">
        <f>Table9[[#This Row],[tidal_vol]]</f>
        <v>Not recorded</v>
      </c>
      <c r="AD78" s="77">
        <f>Table11[[#This Row],[inc_spiro]]</f>
        <v>0</v>
      </c>
      <c r="AE78" s="73">
        <f>Table11[[#This Row],[t_brushes]]</f>
        <v>0</v>
      </c>
      <c r="AF78" s="78">
        <f>Table11[[#This Row],[m_washes]]</f>
        <v>0</v>
      </c>
      <c r="AG78" s="78">
        <f>Table11[[#This Row],[iv_disc]]</f>
        <v>0</v>
      </c>
      <c r="AH78" s="78">
        <f>Table11[[#This Row],[tolerate_15l]]</f>
        <v>0</v>
      </c>
      <c r="AI78" s="78">
        <f>Table11[[#This Row],[drinking]]</f>
        <v>0</v>
      </c>
      <c r="AJ78" s="78">
        <f>Table11[[#This Row],[oral_diet]]</f>
        <v>0</v>
      </c>
      <c r="AK78" s="78">
        <f>Table11[[#This Row],[mobilised]]</f>
        <v>0</v>
      </c>
      <c r="AL78" s="79">
        <f>Table11[[#This Row],[resp_supp]]</f>
        <v>0</v>
      </c>
      <c r="AM78" s="78">
        <f>Table11[[#This Row],[elev_head]]</f>
        <v>0</v>
      </c>
      <c r="AN78" s="78">
        <f>Table13[[#This Row],[in_hospital]]</f>
        <v>0</v>
      </c>
      <c r="AO78" s="78">
        <f>Table13[[#This Row],[location_7]]</f>
        <v>0</v>
      </c>
      <c r="AP78" s="78">
        <f>Table13[[#This Row],[infec_24]]</f>
        <v>0</v>
      </c>
      <c r="AQ78" s="73">
        <f>Table13[[#This Row],[infec_7]]</f>
        <v>0</v>
      </c>
      <c r="AR78" s="73">
        <f>Table13[[#This Row],[gastro]]</f>
        <v>0</v>
      </c>
      <c r="AS78" s="73">
        <f>Table13[[#This Row],[pulm_supp_24]]</f>
        <v>0</v>
      </c>
      <c r="AT78" s="73">
        <f>Table13[[#This Row],[pulm_supp_7]]</f>
        <v>0</v>
      </c>
      <c r="AU78" s="73">
        <f>Table13[[#This Row],[pulm_pharm]]</f>
        <v>0</v>
      </c>
      <c r="AV78" s="73">
        <f>Table13[[#This Row],[cardio_24]]</f>
        <v>0</v>
      </c>
      <c r="AW78" s="73">
        <f>Table13[[#This Row],[troponin_7]]</f>
        <v>0</v>
      </c>
      <c r="AX78" s="73">
        <f>Table13[[#This Row],[creatinine_base]]</f>
        <v>0</v>
      </c>
      <c r="AY78" s="73">
        <f>Table13[[#This Row],[creatinine_high]]</f>
        <v>0</v>
      </c>
      <c r="AZ78" s="73">
        <f>Table13[[#This Row],[rrt]]</f>
        <v>0</v>
      </c>
      <c r="BA78" s="73">
        <f>Table13[[#This Row],[renal_24]]</f>
        <v>0</v>
      </c>
      <c r="BB78" s="73">
        <f>Table13[[#This Row],[neuro]]</f>
        <v>0</v>
      </c>
      <c r="BC78" s="73">
        <f>Table13[[#This Row],[wound]]</f>
        <v>0</v>
      </c>
      <c r="BD78" s="73">
        <f>Table13[[#This Row],[haemato]]</f>
        <v>0</v>
      </c>
      <c r="BE78" s="73">
        <f>Table13[[#This Row],[pain]]</f>
        <v>0</v>
      </c>
      <c r="BF78" s="73">
        <f>Table13[[#This Row],[mobility]]</f>
        <v>0</v>
      </c>
      <c r="BG78" s="79">
        <f>Table13[[#This Row],[why_inpatient_7]]</f>
        <v>0</v>
      </c>
      <c r="BH78" s="9">
        <f>Table13[[#This Row],[date_15]]</f>
        <v>0</v>
      </c>
      <c r="BI78">
        <f>Table13[[#This Row],[inpatient_15]]</f>
        <v>0</v>
      </c>
      <c r="BJ78">
        <f>Table13[[#This Row],[comment_15]]</f>
        <v>0</v>
      </c>
      <c r="BK78">
        <f>Table13[[#This Row],[discharge_dest]]</f>
        <v>0</v>
      </c>
      <c r="BL78">
        <f>Table13[[#This Row],[complication]]</f>
        <v>0</v>
      </c>
    </row>
    <row r="79" spans="1:64" ht="18" customHeight="1">
      <c r="A79" s="73">
        <f>Table5[[#This Row],[comment]]</f>
        <v>0</v>
      </c>
      <c r="B79" s="73" t="str">
        <f>Table9[[#This Row],[surgeon]]</f>
        <v>Satish Maddineni</v>
      </c>
      <c r="C79" s="73" t="str">
        <f>Table9[[#This Row],[surgery]]</f>
        <v>Nephrectomy (non-transplant)</v>
      </c>
      <c r="D79" s="74" t="str">
        <f>Table5[[#This Row],[pqip_consent]]</f>
        <v>No</v>
      </c>
      <c r="E79" s="73" t="str">
        <f>Table6[[#This Row],[area_surgery]]</f>
        <v>Nephrology</v>
      </c>
      <c r="F79" s="75">
        <f>Table6[[#This Row],[admission_date]]</f>
        <v>43342</v>
      </c>
      <c r="G79" s="75">
        <f>Table6[[#This Row],[admission_date]]</f>
        <v>43342</v>
      </c>
      <c r="H79" s="105">
        <f>Table6[[#This Row],[surgery_duration]]</f>
        <v>0.19791666666666666</v>
      </c>
      <c r="I79" s="73" t="str">
        <f>Table6[[#This Row],[discharge_loc]]</f>
        <v>H6</v>
      </c>
      <c r="J79" s="75">
        <f>Table6[[#This Row],[discharge_date]]</f>
        <v>43348</v>
      </c>
      <c r="K79" s="76">
        <f>Table6[[#This Row],[hospital_stay]]</f>
        <v>6</v>
      </c>
      <c r="L79" s="76" t="str">
        <f>Table6[[#This Row],[readmit_30]]</f>
        <v>No</v>
      </c>
      <c r="M79" s="77" t="str">
        <f>Table9[[#This Row],[troponin]]</f>
        <v>Not Measured</v>
      </c>
      <c r="N79" s="78">
        <f>Table9[[#This Row],[hb]]</f>
        <v>12.4</v>
      </c>
      <c r="O79" s="78">
        <f>Table9[[#This Row],[creatinine]]</f>
        <v>57</v>
      </c>
      <c r="P79" s="78">
        <f>Table9[[#This Row],[albumin]]</f>
        <v>41</v>
      </c>
      <c r="Q79" s="73" t="str">
        <f>Table9[[#This Row],[chest_physio]]</f>
        <v>Nurse</v>
      </c>
      <c r="R79" s="73" t="str">
        <f>Table9[[#This Row],[surgery_school]]</f>
        <v>No - Wasn’t offered it</v>
      </c>
      <c r="S79" s="75">
        <f>Table9[[#This Row],[date_school]]</f>
        <v>0</v>
      </c>
      <c r="T79" s="73" t="str">
        <f>Table9[[#This Row],[app_down]]</f>
        <v>No - Have electronic device</v>
      </c>
      <c r="U79" s="73" t="str">
        <f>Table9[[#This Row],[website]]</f>
        <v>No</v>
      </c>
      <c r="V79" s="73" t="str">
        <f>Table9[[#This Row],[base_activity]]</f>
        <v>No extra activity - Independent in ADLs</v>
      </c>
      <c r="W79" s="73" t="str">
        <f>Table9[[#This Row],[current_activity]]</f>
        <v>No extra activity - Independent in ADLs</v>
      </c>
      <c r="X79" s="73" t="str">
        <f>Table9[[#This Row],[activity_type]]</f>
        <v>None</v>
      </c>
      <c r="Y79" s="73" t="str">
        <f>Table9[[#This Row],[anaemia_treat]]</f>
        <v>Not applicable</v>
      </c>
      <c r="Z79" s="78" t="str">
        <f>Table9[[#This Row],[anaesthesia]]</f>
        <v>General with Inhalational</v>
      </c>
      <c r="AA79" s="78">
        <f>Table9[[#This Row],[smoke_hist]]</f>
        <v>0</v>
      </c>
      <c r="AB79" s="78">
        <f>Table9[[#This Row],[smoke_cess]]</f>
        <v>0</v>
      </c>
      <c r="AC79" s="78" t="str">
        <f>Table9[[#This Row],[tidal_vol]]</f>
        <v>Not recorded</v>
      </c>
      <c r="AD79" s="77" t="str">
        <f>Table11[[#This Row],[inc_spiro]]</f>
        <v>Not used</v>
      </c>
      <c r="AE79" s="73" t="str">
        <f>Table11[[#This Row],[t_brushes]]</f>
        <v>Twice</v>
      </c>
      <c r="AF79" s="78" t="str">
        <f>Table11[[#This Row],[m_washes]]</f>
        <v>Twice</v>
      </c>
      <c r="AG79" s="78" t="str">
        <f>Table11[[#This Row],[iv_disc]]</f>
        <v>No</v>
      </c>
      <c r="AH79" s="78" t="str">
        <f>Table11[[#This Row],[tolerate_15l]]</f>
        <v>No</v>
      </c>
      <c r="AI79" s="78" t="str">
        <f>Table11[[#This Row],[drinking]]</f>
        <v>Yes</v>
      </c>
      <c r="AJ79" s="78" t="str">
        <f>Table11[[#This Row],[oral_diet]]</f>
        <v>Yes</v>
      </c>
      <c r="AK79" s="78" t="str">
        <f>Table11[[#This Row],[mobilised]]</f>
        <v>Yes</v>
      </c>
      <c r="AL79" s="79" t="str">
        <f>Table11[[#This Row],[resp_supp]]</f>
        <v>None</v>
      </c>
      <c r="AM79" s="78">
        <f>Table11[[#This Row],[elev_head]]</f>
        <v>0</v>
      </c>
      <c r="AN79" s="78" t="str">
        <f>Table13[[#This Row],[in_hospital]]</f>
        <v>No</v>
      </c>
      <c r="AO79" s="78">
        <f>Table13[[#This Row],[location_7]]</f>
        <v>0</v>
      </c>
      <c r="AP79" s="78">
        <f>Table13[[#This Row],[infec_24]]</f>
        <v>0</v>
      </c>
      <c r="AQ79" s="73">
        <f>Table13[[#This Row],[infec_7]]</f>
        <v>0</v>
      </c>
      <c r="AR79" s="73">
        <f>Table13[[#This Row],[gastro]]</f>
        <v>0</v>
      </c>
      <c r="AS79" s="73">
        <f>Table13[[#This Row],[pulm_supp_24]]</f>
        <v>0</v>
      </c>
      <c r="AT79" s="73">
        <f>Table13[[#This Row],[pulm_supp_7]]</f>
        <v>0</v>
      </c>
      <c r="AU79" s="73">
        <f>Table13[[#This Row],[pulm_pharm]]</f>
        <v>0</v>
      </c>
      <c r="AV79" s="73">
        <f>Table13[[#This Row],[cardio_24]]</f>
        <v>0</v>
      </c>
      <c r="AW79" s="73">
        <f>Table13[[#This Row],[troponin_7]]</f>
        <v>0</v>
      </c>
      <c r="AX79" s="73">
        <f>Table13[[#This Row],[creatinine_base]]</f>
        <v>0</v>
      </c>
      <c r="AY79" s="73">
        <f>Table13[[#This Row],[creatinine_high]]</f>
        <v>0</v>
      </c>
      <c r="AZ79" s="73">
        <f>Table13[[#This Row],[rrt]]</f>
        <v>0</v>
      </c>
      <c r="BA79" s="73">
        <f>Table13[[#This Row],[renal_24]]</f>
        <v>0</v>
      </c>
      <c r="BB79" s="73">
        <f>Table13[[#This Row],[neuro]]</f>
        <v>0</v>
      </c>
      <c r="BC79" s="73">
        <f>Table13[[#This Row],[wound]]</f>
        <v>0</v>
      </c>
      <c r="BD79" s="73">
        <f>Table13[[#This Row],[haemato]]</f>
        <v>0</v>
      </c>
      <c r="BE79" s="73">
        <f>Table13[[#This Row],[pain]]</f>
        <v>0</v>
      </c>
      <c r="BF79" s="73">
        <f>Table13[[#This Row],[mobility]]</f>
        <v>0</v>
      </c>
      <c r="BG79" s="79">
        <f>Table13[[#This Row],[why_inpatient_7]]</f>
        <v>0</v>
      </c>
      <c r="BH79" s="9">
        <f>Table13[[#This Row],[date_15]]</f>
        <v>0</v>
      </c>
      <c r="BI79">
        <f>Table13[[#This Row],[inpatient_15]]</f>
        <v>0</v>
      </c>
      <c r="BJ79">
        <f>Table13[[#This Row],[comment_15]]</f>
        <v>0</v>
      </c>
      <c r="BK79" t="str">
        <f>Table13[[#This Row],[discharge_dest]]</f>
        <v>Own Home</v>
      </c>
      <c r="BL79" t="str">
        <f>Table13[[#This Row],[complication]]</f>
        <v>II</v>
      </c>
    </row>
    <row r="80" spans="1:64" ht="18" customHeight="1">
      <c r="A80" s="73">
        <f>Table5[[#This Row],[comment]]</f>
        <v>0</v>
      </c>
      <c r="B80" s="73" t="str">
        <f>Table9[[#This Row],[surgeon]]</f>
        <v>Saeed Mohammad</v>
      </c>
      <c r="C80" s="73" t="str">
        <f>Table9[[#This Row],[surgery]]</f>
        <v>Correction of degenerative scoliosis including decompression</v>
      </c>
      <c r="D80" s="74" t="str">
        <f>Table5[[#This Row],[pqip_consent]]</f>
        <v>No</v>
      </c>
      <c r="E80" s="73" t="str">
        <f>Table6[[#This Row],[area_surgery]]</f>
        <v>Other</v>
      </c>
      <c r="F80" s="75">
        <f>Table6[[#This Row],[admission_date]]</f>
        <v>43342</v>
      </c>
      <c r="G80" s="75">
        <f>Table6[[#This Row],[admission_date]]</f>
        <v>43342</v>
      </c>
      <c r="H80" s="105">
        <f>Table6[[#This Row],[surgery_duration]]</f>
        <v>0.45833333333333331</v>
      </c>
      <c r="I80" s="73" t="str">
        <f>Table6[[#This Row],[discharge_loc]]</f>
        <v>NHDU</v>
      </c>
      <c r="J80" s="75">
        <f>Table6[[#This Row],[discharge_date]]</f>
        <v>43363</v>
      </c>
      <c r="K80" s="76">
        <f>Table6[[#This Row],[hospital_stay]]</f>
        <v>21</v>
      </c>
      <c r="L80" s="76" t="str">
        <f>Table6[[#This Row],[readmit_30]]</f>
        <v>No</v>
      </c>
      <c r="M80" s="77" t="str">
        <f>Table9[[#This Row],[troponin]]</f>
        <v>Not Measured</v>
      </c>
      <c r="N80" s="78">
        <f>Table9[[#This Row],[hb]]</f>
        <v>13.3</v>
      </c>
      <c r="O80" s="78">
        <f>Table9[[#This Row],[creatinine]]</f>
        <v>85</v>
      </c>
      <c r="P80" s="78">
        <f>Table9[[#This Row],[albumin]]</f>
        <v>46</v>
      </c>
      <c r="Q80" s="73" t="str">
        <f>Table9[[#This Row],[chest_physio]]</f>
        <v>No</v>
      </c>
      <c r="R80" s="73" t="str">
        <f>Table9[[#This Row],[surgery_school]]</f>
        <v>No - Wasn’t offered it</v>
      </c>
      <c r="S80" s="75">
        <f>Table9[[#This Row],[date_school]]</f>
        <v>0</v>
      </c>
      <c r="T80" s="73" t="str">
        <f>Table9[[#This Row],[app_down]]</f>
        <v>No - Have electronic device</v>
      </c>
      <c r="U80" s="73" t="str">
        <f>Table9[[#This Row],[website]]</f>
        <v>No</v>
      </c>
      <c r="V80" s="73" t="str">
        <f>Table9[[#This Row],[base_activity]]</f>
        <v>No extra activity - Needs help with ADLs</v>
      </c>
      <c r="W80" s="73" t="str">
        <f>Table9[[#This Row],[current_activity]]</f>
        <v>No extra activity - Needs help with ADLs</v>
      </c>
      <c r="X80" s="73" t="str">
        <f>Table9[[#This Row],[activity_type]]</f>
        <v>None</v>
      </c>
      <c r="Y80" s="73" t="str">
        <f>Table9[[#This Row],[anaemia_treat]]</f>
        <v>Not applicable</v>
      </c>
      <c r="Z80" s="78" t="str">
        <f>Table9[[#This Row],[anaesthesia]]</f>
        <v>General with TIVA</v>
      </c>
      <c r="AA80" s="78">
        <f>Table9[[#This Row],[smoke_hist]]</f>
        <v>0</v>
      </c>
      <c r="AB80" s="78">
        <f>Table9[[#This Row],[smoke_cess]]</f>
        <v>0</v>
      </c>
      <c r="AC80" s="78" t="str">
        <f>Table9[[#This Row],[tidal_vol]]</f>
        <v>Not recorded</v>
      </c>
      <c r="AD80" s="77" t="str">
        <f>Table11[[#This Row],[inc_spiro]]</f>
        <v>Not used</v>
      </c>
      <c r="AE80" s="73" t="str">
        <f>Table11[[#This Row],[t_brushes]]</f>
        <v>Twice</v>
      </c>
      <c r="AF80" s="78" t="str">
        <f>Table11[[#This Row],[m_washes]]</f>
        <v>None</v>
      </c>
      <c r="AG80" s="78" t="str">
        <f>Table11[[#This Row],[iv_disc]]</f>
        <v>No</v>
      </c>
      <c r="AH80" s="78">
        <f>Table11[[#This Row],[tolerate_15l]]</f>
        <v>0</v>
      </c>
      <c r="AI80" s="78" t="str">
        <f>Table11[[#This Row],[drinking]]</f>
        <v>Yes</v>
      </c>
      <c r="AJ80" s="78" t="str">
        <f>Table11[[#This Row],[oral_diet]]</f>
        <v>Yes</v>
      </c>
      <c r="AK80" s="78" t="str">
        <f>Table11[[#This Row],[mobilised]]</f>
        <v>Yes</v>
      </c>
      <c r="AL80" s="79" t="str">
        <f>Table11[[#This Row],[resp_supp]]</f>
        <v>None</v>
      </c>
      <c r="AM80" s="78">
        <f>Table11[[#This Row],[elev_head]]</f>
        <v>0</v>
      </c>
      <c r="AN80" s="78" t="str">
        <f>Table13[[#This Row],[in_hospital]]</f>
        <v>Yes</v>
      </c>
      <c r="AO80" s="78" t="str">
        <f>Table13[[#This Row],[location_7]]</f>
        <v>Level 2</v>
      </c>
      <c r="AP80" s="78" t="str">
        <f>Table13[[#This Row],[infec_24]]</f>
        <v>Patient currently on IV antibiotics</v>
      </c>
      <c r="AQ80" s="73" t="str">
        <f>Table13[[#This Row],[infec_7]]</f>
        <v>Surgical site infection</v>
      </c>
      <c r="AR80" s="73" t="str">
        <f>Table13[[#This Row],[gastro]]</f>
        <v>None of the above</v>
      </c>
      <c r="AS80" s="73" t="str">
        <f>Table13[[#This Row],[pulm_supp_24]]</f>
        <v>None of the above</v>
      </c>
      <c r="AT80" s="73" t="str">
        <f>Table13[[#This Row],[pulm_supp_7]]</f>
        <v>None</v>
      </c>
      <c r="AU80" s="73" t="str">
        <f>Table13[[#This Row],[pulm_pharm]]</f>
        <v>None</v>
      </c>
      <c r="AV80" s="73" t="str">
        <f>Table13[[#This Row],[cardio_24]]</f>
        <v>None of the above</v>
      </c>
      <c r="AW80" s="73">
        <f>Table13[[#This Row],[troponin_7]]</f>
        <v>0</v>
      </c>
      <c r="AX80" s="73">
        <f>Table13[[#This Row],[creatinine_base]]</f>
        <v>85</v>
      </c>
      <c r="AY80" s="73">
        <f>Table13[[#This Row],[creatinine_high]]</f>
        <v>69</v>
      </c>
      <c r="AZ80" s="73" t="str">
        <f>Table13[[#This Row],[rrt]]</f>
        <v xml:space="preserve">No </v>
      </c>
      <c r="BA80" s="73" t="str">
        <f>Table13[[#This Row],[renal_24]]</f>
        <v>None of the above</v>
      </c>
      <c r="BB80" s="73" t="str">
        <f>Table13[[#This Row],[neuro]]</f>
        <v>None of the above</v>
      </c>
      <c r="BC80" s="73" t="str">
        <f>Table13[[#This Row],[wound]]</f>
        <v>Drainage of pus/Swab taken</v>
      </c>
      <c r="BD80" s="73" t="str">
        <f>Table13[[#This Row],[haemato]]</f>
        <v>None of the above</v>
      </c>
      <c r="BE80" s="73" t="str">
        <f>Table13[[#This Row],[pain]]</f>
        <v>None of the above</v>
      </c>
      <c r="BF80" s="73" t="str">
        <f>Table13[[#This Row],[mobility]]</f>
        <v>Yes</v>
      </c>
      <c r="BG80" s="79" t="str">
        <f>Table13[[#This Row],[why_inpatient_7]]</f>
        <v>Medical/nursing care, Awaiting OT review</v>
      </c>
      <c r="BH80" s="9">
        <f>Table13[[#This Row],[date_15]]</f>
        <v>43357</v>
      </c>
      <c r="BI80" t="str">
        <f>Table13[[#This Row],[inpatient_15]]</f>
        <v>Yes</v>
      </c>
      <c r="BJ80" t="str">
        <f>Table13[[#This Row],[comment_15]]</f>
        <v>C/O nausea and vomiting when taking medication, pain, small leak bottom end of wound on day 12</v>
      </c>
      <c r="BK80" t="str">
        <f>Table13[[#This Row],[discharge_dest]]</f>
        <v>Own Home</v>
      </c>
      <c r="BL80" t="str">
        <f>Table13[[#This Row],[complication]]</f>
        <v>II</v>
      </c>
    </row>
    <row r="81" spans="1:64" ht="18" customHeight="1">
      <c r="A81" s="73" t="str">
        <f>Table5[[#This Row],[comment]]</f>
        <v>surgical pathway not available</v>
      </c>
      <c r="B81" s="73" t="str">
        <f>Table9[[#This Row],[surgeon]]</f>
        <v>Ramakrishna Chaparala</v>
      </c>
      <c r="C81" s="73" t="str">
        <f>Table9[[#This Row],[surgery]]</f>
        <v>Gastrectomy (partial / total) with excision of surrounding tissue</v>
      </c>
      <c r="D81" s="74" t="str">
        <f>Table5[[#This Row],[pqip_consent]]</f>
        <v>No</v>
      </c>
      <c r="E81" s="73" t="str">
        <f>Table6[[#This Row],[area_surgery]]</f>
        <v>Upper GI</v>
      </c>
      <c r="F81" s="75">
        <f>Table6[[#This Row],[admission_date]]</f>
        <v>43342</v>
      </c>
      <c r="G81" s="75">
        <f>Table6[[#This Row],[admission_date]]</f>
        <v>43342</v>
      </c>
      <c r="H81" s="105">
        <f>Table6[[#This Row],[surgery_duration]]</f>
        <v>0</v>
      </c>
      <c r="I81" s="73" t="str">
        <f>Table6[[#This Row],[discharge_loc]]</f>
        <v>CCU (Level 2)</v>
      </c>
      <c r="J81" s="75">
        <f>Table6[[#This Row],[discharge_date]]</f>
        <v>43345</v>
      </c>
      <c r="K81" s="76">
        <f>Table6[[#This Row],[hospital_stay]]</f>
        <v>3</v>
      </c>
      <c r="L81" s="76" t="str">
        <f>Table6[[#This Row],[readmit_30]]</f>
        <v>No</v>
      </c>
      <c r="M81" s="77" t="str">
        <f>Table9[[#This Row],[troponin]]</f>
        <v>Not Measured</v>
      </c>
      <c r="N81" s="78">
        <f>Table9[[#This Row],[hb]]</f>
        <v>13.1</v>
      </c>
      <c r="O81" s="78">
        <f>Table9[[#This Row],[creatinine]]</f>
        <v>114</v>
      </c>
      <c r="P81" s="78" t="str">
        <f>Table9[[#This Row],[albumin]]</f>
        <v>Not Measured</v>
      </c>
      <c r="Q81" s="73" t="str">
        <f>Table9[[#This Row],[chest_physio]]</f>
        <v>No</v>
      </c>
      <c r="R81" s="73" t="str">
        <f>Table9[[#This Row],[surgery_school]]</f>
        <v>No - Wasn’t offered it</v>
      </c>
      <c r="S81" s="75">
        <f>Table9[[#This Row],[date_school]]</f>
        <v>0</v>
      </c>
      <c r="T81" s="73" t="str">
        <f>Table9[[#This Row],[app_down]]</f>
        <v>No - Have electronic device</v>
      </c>
      <c r="U81" s="73" t="str">
        <f>Table9[[#This Row],[website]]</f>
        <v>No</v>
      </c>
      <c r="V81" s="73" t="str">
        <f>Table9[[#This Row],[base_activity]]</f>
        <v>20mins of moderate activity</v>
      </c>
      <c r="W81" s="73" t="str">
        <f>Table9[[#This Row],[current_activity]]</f>
        <v>20mins of moderate activity</v>
      </c>
      <c r="X81" s="73" t="str">
        <f>Table9[[#This Row],[activity_type]]</f>
        <v xml:space="preserve">Walking regularly </v>
      </c>
      <c r="Y81" s="73" t="str">
        <f>Table9[[#This Row],[anaemia_treat]]</f>
        <v>Not applicable</v>
      </c>
      <c r="Z81" s="78" t="str">
        <f>Table9[[#This Row],[anaesthesia]]</f>
        <v>Not available</v>
      </c>
      <c r="AA81" s="78">
        <f>Table9[[#This Row],[smoke_hist]]</f>
        <v>0</v>
      </c>
      <c r="AB81" s="78">
        <f>Table9[[#This Row],[smoke_cess]]</f>
        <v>0</v>
      </c>
      <c r="AC81" s="78" t="str">
        <f>Table9[[#This Row],[tidal_vol]]</f>
        <v>Not recorded</v>
      </c>
      <c r="AD81" s="77" t="str">
        <f>Table11[[#This Row],[inc_spiro]]</f>
        <v>Not used</v>
      </c>
      <c r="AE81" s="73" t="str">
        <f>Table11[[#This Row],[t_brushes]]</f>
        <v>Twice</v>
      </c>
      <c r="AF81" s="78" t="str">
        <f>Table11[[#This Row],[m_washes]]</f>
        <v>Twice</v>
      </c>
      <c r="AG81" s="78" t="str">
        <f>Table11[[#This Row],[iv_disc]]</f>
        <v>No</v>
      </c>
      <c r="AH81" s="78" t="str">
        <f>Table11[[#This Row],[tolerate_15l]]</f>
        <v>Not applicable</v>
      </c>
      <c r="AI81" s="78" t="str">
        <f>Table11[[#This Row],[drinking]]</f>
        <v>No</v>
      </c>
      <c r="AJ81" s="78" t="str">
        <f>Table11[[#This Row],[oral_diet]]</f>
        <v>No</v>
      </c>
      <c r="AK81" s="78" t="str">
        <f>Table11[[#This Row],[mobilised]]</f>
        <v>Yes</v>
      </c>
      <c r="AL81" s="79" t="str">
        <f>Table11[[#This Row],[resp_supp]]</f>
        <v>None</v>
      </c>
      <c r="AM81" s="78">
        <f>Table11[[#This Row],[elev_head]]</f>
        <v>0</v>
      </c>
      <c r="AN81" s="78" t="str">
        <f>Table13[[#This Row],[in_hospital]]</f>
        <v>No</v>
      </c>
      <c r="AO81" s="78">
        <f>Table13[[#This Row],[location_7]]</f>
        <v>0</v>
      </c>
      <c r="AP81" s="78">
        <f>Table13[[#This Row],[infec_24]]</f>
        <v>0</v>
      </c>
      <c r="AQ81" s="73">
        <f>Table13[[#This Row],[infec_7]]</f>
        <v>0</v>
      </c>
      <c r="AR81" s="73">
        <f>Table13[[#This Row],[gastro]]</f>
        <v>0</v>
      </c>
      <c r="AS81" s="73">
        <f>Table13[[#This Row],[pulm_supp_24]]</f>
        <v>0</v>
      </c>
      <c r="AT81" s="73">
        <f>Table13[[#This Row],[pulm_supp_7]]</f>
        <v>0</v>
      </c>
      <c r="AU81" s="73">
        <f>Table13[[#This Row],[pulm_pharm]]</f>
        <v>0</v>
      </c>
      <c r="AV81" s="73">
        <f>Table13[[#This Row],[cardio_24]]</f>
        <v>0</v>
      </c>
      <c r="AW81" s="73">
        <f>Table13[[#This Row],[troponin_7]]</f>
        <v>0</v>
      </c>
      <c r="AX81" s="73">
        <f>Table13[[#This Row],[creatinine_base]]</f>
        <v>0</v>
      </c>
      <c r="AY81" s="73">
        <f>Table13[[#This Row],[creatinine_high]]</f>
        <v>0</v>
      </c>
      <c r="AZ81" s="73">
        <f>Table13[[#This Row],[rrt]]</f>
        <v>0</v>
      </c>
      <c r="BA81" s="73">
        <f>Table13[[#This Row],[renal_24]]</f>
        <v>0</v>
      </c>
      <c r="BB81" s="73">
        <f>Table13[[#This Row],[neuro]]</f>
        <v>0</v>
      </c>
      <c r="BC81" s="73">
        <f>Table13[[#This Row],[wound]]</f>
        <v>0</v>
      </c>
      <c r="BD81" s="73">
        <f>Table13[[#This Row],[haemato]]</f>
        <v>0</v>
      </c>
      <c r="BE81" s="73">
        <f>Table13[[#This Row],[pain]]</f>
        <v>0</v>
      </c>
      <c r="BF81" s="73">
        <f>Table13[[#This Row],[mobility]]</f>
        <v>0</v>
      </c>
      <c r="BG81" s="79">
        <f>Table13[[#This Row],[why_inpatient_7]]</f>
        <v>0</v>
      </c>
      <c r="BH81" s="9">
        <f>Table13[[#This Row],[date_15]]</f>
        <v>0</v>
      </c>
      <c r="BI81">
        <f>Table13[[#This Row],[inpatient_15]]</f>
        <v>0</v>
      </c>
      <c r="BJ81">
        <f>Table13[[#This Row],[comment_15]]</f>
        <v>0</v>
      </c>
      <c r="BK81" t="str">
        <f>Table13[[#This Row],[discharge_dest]]</f>
        <v>Own Home</v>
      </c>
      <c r="BL81" t="str">
        <f>Table13[[#This Row],[complication]]</f>
        <v>II</v>
      </c>
    </row>
    <row r="82" spans="1:64" ht="18" customHeight="1">
      <c r="A82" s="73">
        <f>Table5[[#This Row],[comment]]</f>
        <v>0</v>
      </c>
      <c r="B82" s="73" t="str">
        <f>Table9[[#This Row],[surgeon]]</f>
        <v>Dominic Slade</v>
      </c>
      <c r="C82" s="73" t="str">
        <f>Table9[[#This Row],[surgery]]</f>
        <v>Complex restoration of intestinal continuity</v>
      </c>
      <c r="D82" s="74" t="str">
        <f>Table5[[#This Row],[pqip_consent]]</f>
        <v>Yes</v>
      </c>
      <c r="E82" s="73" t="str">
        <f>Table6[[#This Row],[area_surgery]]</f>
        <v>Lower GI</v>
      </c>
      <c r="F82" s="75">
        <f>Table6[[#This Row],[admission_date]]</f>
        <v>43342</v>
      </c>
      <c r="G82" s="75">
        <f>Table6[[#This Row],[admission_date]]</f>
        <v>43342</v>
      </c>
      <c r="H82" s="105">
        <f>Table6[[#This Row],[surgery_duration]]</f>
        <v>0.40277777777777773</v>
      </c>
      <c r="I82" s="73" t="str">
        <f>Table6[[#This Row],[discharge_loc]]</f>
        <v>H6</v>
      </c>
      <c r="J82" s="75">
        <f>Table6[[#This Row],[discharge_date]]</f>
        <v>43348</v>
      </c>
      <c r="K82" s="76">
        <f>Table6[[#This Row],[hospital_stay]]</f>
        <v>6</v>
      </c>
      <c r="L82" s="76" t="str">
        <f>Table6[[#This Row],[readmit_30]]</f>
        <v>No</v>
      </c>
      <c r="M82" s="77" t="str">
        <f>Table9[[#This Row],[troponin]]</f>
        <v>Not Measured</v>
      </c>
      <c r="N82" s="78">
        <f>Table9[[#This Row],[hb]]</f>
        <v>13</v>
      </c>
      <c r="O82" s="78">
        <f>Table9[[#This Row],[creatinine]]</f>
        <v>81</v>
      </c>
      <c r="P82" s="78" t="str">
        <f>Table9[[#This Row],[albumin]]</f>
        <v>Not Measured</v>
      </c>
      <c r="Q82" s="73" t="str">
        <f>Table9[[#This Row],[chest_physio]]</f>
        <v>Nurse</v>
      </c>
      <c r="R82" s="73" t="str">
        <f>Table9[[#This Row],[surgery_school]]</f>
        <v>No - Wasn’t offered it</v>
      </c>
      <c r="S82" s="75">
        <f>Table9[[#This Row],[date_school]]</f>
        <v>0</v>
      </c>
      <c r="T82" s="73" t="str">
        <f>Table9[[#This Row],[app_down]]</f>
        <v>No - No electronic device</v>
      </c>
      <c r="U82" s="73" t="str">
        <f>Table9[[#This Row],[website]]</f>
        <v>No</v>
      </c>
      <c r="V82" s="73" t="str">
        <f>Table9[[#This Row],[base_activity]]</f>
        <v>No extra activity - Independent in ADLs</v>
      </c>
      <c r="W82" s="73" t="str">
        <f>Table9[[#This Row],[current_activity]]</f>
        <v>No extra activity - Independent in ADLs</v>
      </c>
      <c r="X82" s="73" t="str">
        <f>Table9[[#This Row],[activity_type]]</f>
        <v>None</v>
      </c>
      <c r="Y82" s="73" t="str">
        <f>Table9[[#This Row],[anaemia_treat]]</f>
        <v>Not applicable</v>
      </c>
      <c r="Z82" s="78" t="str">
        <f>Table9[[#This Row],[anaesthesia]]</f>
        <v>General with TIVA</v>
      </c>
      <c r="AA82" s="78">
        <f>Table9[[#This Row],[smoke_hist]]</f>
        <v>0</v>
      </c>
      <c r="AB82" s="78">
        <f>Table9[[#This Row],[smoke_cess]]</f>
        <v>0</v>
      </c>
      <c r="AC82" s="78" t="str">
        <f>Table9[[#This Row],[tidal_vol]]</f>
        <v>Not recorded</v>
      </c>
      <c r="AD82" s="77" t="str">
        <f>Table11[[#This Row],[inc_spiro]]</f>
        <v>Not used</v>
      </c>
      <c r="AE82" s="73" t="str">
        <f>Table11[[#This Row],[t_brushes]]</f>
        <v>Twice</v>
      </c>
      <c r="AF82" s="78" t="str">
        <f>Table11[[#This Row],[m_washes]]</f>
        <v>Twice</v>
      </c>
      <c r="AG82" s="78" t="str">
        <f>Table11[[#This Row],[iv_disc]]</f>
        <v>No</v>
      </c>
      <c r="AH82" s="78" t="str">
        <f>Table11[[#This Row],[tolerate_15l]]</f>
        <v>No</v>
      </c>
      <c r="AI82" s="78" t="str">
        <f>Table11[[#This Row],[drinking]]</f>
        <v>Yes</v>
      </c>
      <c r="AJ82" s="78" t="str">
        <f>Table11[[#This Row],[oral_diet]]</f>
        <v>Yes</v>
      </c>
      <c r="AK82" s="78" t="str">
        <f>Table11[[#This Row],[mobilised]]</f>
        <v>Yes</v>
      </c>
      <c r="AL82" s="79" t="str">
        <f>Table11[[#This Row],[resp_supp]]</f>
        <v>None</v>
      </c>
      <c r="AM82" s="78">
        <f>Table11[[#This Row],[elev_head]]</f>
        <v>0</v>
      </c>
      <c r="AN82" s="78" t="str">
        <f>Table13[[#This Row],[in_hospital]]</f>
        <v>No</v>
      </c>
      <c r="AO82" s="78">
        <f>Table13[[#This Row],[location_7]]</f>
        <v>0</v>
      </c>
      <c r="AP82" s="78">
        <f>Table13[[#This Row],[infec_24]]</f>
        <v>0</v>
      </c>
      <c r="AQ82" s="73">
        <f>Table13[[#This Row],[infec_7]]</f>
        <v>0</v>
      </c>
      <c r="AR82" s="73">
        <f>Table13[[#This Row],[gastro]]</f>
        <v>0</v>
      </c>
      <c r="AS82" s="73">
        <f>Table13[[#This Row],[pulm_supp_24]]</f>
        <v>0</v>
      </c>
      <c r="AT82" s="73">
        <f>Table13[[#This Row],[pulm_supp_7]]</f>
        <v>0</v>
      </c>
      <c r="AU82" s="73">
        <f>Table13[[#This Row],[pulm_pharm]]</f>
        <v>0</v>
      </c>
      <c r="AV82" s="73">
        <f>Table13[[#This Row],[cardio_24]]</f>
        <v>0</v>
      </c>
      <c r="AW82" s="73">
        <f>Table13[[#This Row],[troponin_7]]</f>
        <v>0</v>
      </c>
      <c r="AX82" s="73">
        <f>Table13[[#This Row],[creatinine_base]]</f>
        <v>0</v>
      </c>
      <c r="AY82" s="73">
        <f>Table13[[#This Row],[creatinine_high]]</f>
        <v>0</v>
      </c>
      <c r="AZ82" s="73">
        <f>Table13[[#This Row],[rrt]]</f>
        <v>0</v>
      </c>
      <c r="BA82" s="73">
        <f>Table13[[#This Row],[renal_24]]</f>
        <v>0</v>
      </c>
      <c r="BB82" s="73">
        <f>Table13[[#This Row],[neuro]]</f>
        <v>0</v>
      </c>
      <c r="BC82" s="73">
        <f>Table13[[#This Row],[wound]]</f>
        <v>0</v>
      </c>
      <c r="BD82" s="73">
        <f>Table13[[#This Row],[haemato]]</f>
        <v>0</v>
      </c>
      <c r="BE82" s="73">
        <f>Table13[[#This Row],[pain]]</f>
        <v>0</v>
      </c>
      <c r="BF82" s="73">
        <f>Table13[[#This Row],[mobility]]</f>
        <v>0</v>
      </c>
      <c r="BG82" s="79">
        <f>Table13[[#This Row],[why_inpatient_7]]</f>
        <v>0</v>
      </c>
      <c r="BH82" s="9">
        <f>Table13[[#This Row],[date_15]]</f>
        <v>0</v>
      </c>
      <c r="BI82">
        <f>Table13[[#This Row],[inpatient_15]]</f>
        <v>0</v>
      </c>
      <c r="BJ82">
        <f>Table13[[#This Row],[comment_15]]</f>
        <v>0</v>
      </c>
      <c r="BK82" t="str">
        <f>Table13[[#This Row],[discharge_dest]]</f>
        <v>Own Home</v>
      </c>
      <c r="BL82" t="str">
        <f>Table13[[#This Row],[complication]]</f>
        <v>I</v>
      </c>
    </row>
    <row r="83" spans="1:64" ht="18" customHeight="1">
      <c r="A83" s="73">
        <f>Table5[[#This Row],[comment]]</f>
        <v>0</v>
      </c>
      <c r="B83" s="73" t="str">
        <f>Table9[[#This Row],[surgeon]]</f>
        <v>Ahmed Abou-Zeid</v>
      </c>
      <c r="C83" s="73" t="str">
        <f>Table9[[#This Row],[surgery]]</f>
        <v>Posterior fusion +/- decompression +/- discectomy (cervical / lumbar regions)</v>
      </c>
      <c r="D83" s="74" t="str">
        <f>Table5[[#This Row],[pqip_consent]]</f>
        <v>No</v>
      </c>
      <c r="E83" s="73" t="str">
        <f>Table6[[#This Row],[area_surgery]]</f>
        <v>Other</v>
      </c>
      <c r="F83" s="75">
        <f>Table6[[#This Row],[admission_date]]</f>
        <v>43343</v>
      </c>
      <c r="G83" s="75">
        <f>Table6[[#This Row],[admission_date]]</f>
        <v>43343</v>
      </c>
      <c r="H83" s="105">
        <f>Table6[[#This Row],[surgery_duration]]</f>
        <v>0.27083333333333331</v>
      </c>
      <c r="I83" s="73" t="str">
        <f>Table6[[#This Row],[discharge_loc]]</f>
        <v>Ward</v>
      </c>
      <c r="J83" s="75">
        <f>Table6[[#This Row],[discharge_date]]</f>
        <v>43357</v>
      </c>
      <c r="K83" s="76">
        <f>Table6[[#This Row],[hospital_stay]]</f>
        <v>14</v>
      </c>
      <c r="L83" s="76" t="str">
        <f>Table6[[#This Row],[readmit_30]]</f>
        <v>No</v>
      </c>
      <c r="M83" s="77" t="str">
        <f>Table9[[#This Row],[troponin]]</f>
        <v>Not Measured</v>
      </c>
      <c r="N83" s="78">
        <f>Table9[[#This Row],[hb]]</f>
        <v>14.3</v>
      </c>
      <c r="O83" s="78">
        <f>Table9[[#This Row],[creatinine]]</f>
        <v>54</v>
      </c>
      <c r="P83" s="78" t="str">
        <f>Table9[[#This Row],[albumin]]</f>
        <v>Not Measured</v>
      </c>
      <c r="Q83" s="73" t="str">
        <f>Table9[[#This Row],[chest_physio]]</f>
        <v>No</v>
      </c>
      <c r="R83" s="73" t="str">
        <f>Table9[[#This Row],[surgery_school]]</f>
        <v>No - Wasn’t offered it</v>
      </c>
      <c r="S83" s="75">
        <f>Table9[[#This Row],[date_school]]</f>
        <v>0</v>
      </c>
      <c r="T83" s="73" t="str">
        <f>Table9[[#This Row],[app_down]]</f>
        <v>No - No electronic device</v>
      </c>
      <c r="U83" s="73" t="str">
        <f>Table9[[#This Row],[website]]</f>
        <v>No</v>
      </c>
      <c r="V83" s="73" t="str">
        <f>Table9[[#This Row],[base_activity]]</f>
        <v>30mins of moderate activity</v>
      </c>
      <c r="W83" s="73" t="str">
        <f>Table9[[#This Row],[current_activity]]</f>
        <v>30mins of moderate activity</v>
      </c>
      <c r="X83" s="73" t="str">
        <f>Table9[[#This Row],[activity_type]]</f>
        <v xml:space="preserve">Walking regularly </v>
      </c>
      <c r="Y83" s="73" t="str">
        <f>Table9[[#This Row],[anaemia_treat]]</f>
        <v>Not applicable</v>
      </c>
      <c r="Z83" s="78" t="str">
        <f>Table9[[#This Row],[anaesthesia]]</f>
        <v>General with TIVA</v>
      </c>
      <c r="AA83" s="78">
        <f>Table9[[#This Row],[smoke_hist]]</f>
        <v>0</v>
      </c>
      <c r="AB83" s="78">
        <f>Table9[[#This Row],[smoke_cess]]</f>
        <v>0</v>
      </c>
      <c r="AC83" s="78" t="str">
        <f>Table9[[#This Row],[tidal_vol]]</f>
        <v>Not recorded</v>
      </c>
      <c r="AD83" s="77" t="str">
        <f>Table11[[#This Row],[inc_spiro]]</f>
        <v>Not used</v>
      </c>
      <c r="AE83" s="73" t="str">
        <f>Table11[[#This Row],[t_brushes]]</f>
        <v>Twice</v>
      </c>
      <c r="AF83" s="78" t="str">
        <f>Table11[[#This Row],[m_washes]]</f>
        <v>None</v>
      </c>
      <c r="AG83" s="78" t="str">
        <f>Table11[[#This Row],[iv_disc]]</f>
        <v>Yes</v>
      </c>
      <c r="AH83" s="78" t="str">
        <f>Table11[[#This Row],[tolerate_15l]]</f>
        <v>Yes</v>
      </c>
      <c r="AI83" s="78" t="str">
        <f>Table11[[#This Row],[drinking]]</f>
        <v>Yes</v>
      </c>
      <c r="AJ83" s="78" t="str">
        <f>Table11[[#This Row],[oral_diet]]</f>
        <v>Yes</v>
      </c>
      <c r="AK83" s="78" t="str">
        <f>Table11[[#This Row],[mobilised]]</f>
        <v>Yes</v>
      </c>
      <c r="AL83" s="79" t="str">
        <f>Table11[[#This Row],[resp_supp]]</f>
        <v>None</v>
      </c>
      <c r="AM83" s="78">
        <f>Table11[[#This Row],[elev_head]]</f>
        <v>0</v>
      </c>
      <c r="AN83" s="78" t="str">
        <f>Table13[[#This Row],[in_hospital]]</f>
        <v>Yes</v>
      </c>
      <c r="AO83" s="78" t="str">
        <f>Table13[[#This Row],[location_7]]</f>
        <v>Level 2</v>
      </c>
      <c r="AP83" s="78" t="str">
        <f>Table13[[#This Row],[infec_24]]</f>
        <v>None of the above</v>
      </c>
      <c r="AQ83" s="73" t="str">
        <f>Table13[[#This Row],[infec_7]]</f>
        <v>Urine</v>
      </c>
      <c r="AR83" s="73" t="str">
        <f>Table13[[#This Row],[gastro]]</f>
        <v>None of the above</v>
      </c>
      <c r="AS83" s="73" t="str">
        <f>Table13[[#This Row],[pulm_supp_24]]</f>
        <v>None of the above</v>
      </c>
      <c r="AT83" s="73" t="str">
        <f>Table13[[#This Row],[pulm_supp_7]]</f>
        <v>None</v>
      </c>
      <c r="AU83" s="73" t="str">
        <f>Table13[[#This Row],[pulm_pharm]]</f>
        <v>None</v>
      </c>
      <c r="AV83" s="73" t="str">
        <f>Table13[[#This Row],[cardio_24]]</f>
        <v>None of the above</v>
      </c>
      <c r="AW83" s="73">
        <f>Table13[[#This Row],[troponin_7]]</f>
        <v>0</v>
      </c>
      <c r="AX83" s="73">
        <f>Table13[[#This Row],[creatinine_base]]</f>
        <v>54</v>
      </c>
      <c r="AY83" s="73">
        <f>Table13[[#This Row],[creatinine_high]]</f>
        <v>61</v>
      </c>
      <c r="AZ83" s="73" t="str">
        <f>Table13[[#This Row],[rrt]]</f>
        <v xml:space="preserve">No </v>
      </c>
      <c r="BA83" s="73" t="str">
        <f>Table13[[#This Row],[renal_24]]</f>
        <v>Urethral catheter in-situ (not present pre-operatively)</v>
      </c>
      <c r="BB83" s="73" t="str">
        <f>Table13[[#This Row],[neuro]]</f>
        <v>None of the above</v>
      </c>
      <c r="BC83" s="73" t="str">
        <f>Table13[[#This Row],[wound]]</f>
        <v>None of the above</v>
      </c>
      <c r="BD83" s="73" t="str">
        <f>Table13[[#This Row],[haemato]]</f>
        <v>None of the above</v>
      </c>
      <c r="BE83" s="73" t="str">
        <f>Table13[[#This Row],[pain]]</f>
        <v>None of the above</v>
      </c>
      <c r="BF83" s="73" t="str">
        <f>Table13[[#This Row],[mobility]]</f>
        <v>Yes</v>
      </c>
      <c r="BG83" s="79" t="str">
        <f>Table13[[#This Row],[why_inpatient_7]]</f>
        <v>Medical/nursing care</v>
      </c>
      <c r="BH83" s="9">
        <f>Table13[[#This Row],[date_15]]</f>
        <v>43357</v>
      </c>
      <c r="BI83" t="str">
        <f>Table13[[#This Row],[inpatient_15]]</f>
        <v>Yes</v>
      </c>
      <c r="BJ83" t="str">
        <f>Table13[[#This Row],[comment_15]]</f>
        <v>Suspected UTI, TWOC but unable to empty bladder, pain when voiding urine</v>
      </c>
      <c r="BK83" t="str">
        <f>Table13[[#This Row],[discharge_dest]]</f>
        <v>Own Home</v>
      </c>
      <c r="BL83" t="str">
        <f>Table13[[#This Row],[complication]]</f>
        <v>I</v>
      </c>
    </row>
    <row r="84" spans="1:64" ht="18" customHeight="1">
      <c r="A84" s="73">
        <f>Table5[[#This Row],[comment]]</f>
        <v>0</v>
      </c>
      <c r="B84" s="73" t="str">
        <f>Table9[[#This Row],[surgeon]]</f>
        <v>Rajat Verma</v>
      </c>
      <c r="C84" s="73" t="str">
        <f>Table9[[#This Row],[surgery]]</f>
        <v>Posterior correction of scoliosis with instrumentation</v>
      </c>
      <c r="D84" s="74" t="str">
        <f>Table5[[#This Row],[pqip_consent]]</f>
        <v>No</v>
      </c>
      <c r="E84" s="73" t="str">
        <f>Table6[[#This Row],[area_surgery]]</f>
        <v>Other</v>
      </c>
      <c r="F84" s="75">
        <f>Table6[[#This Row],[admission_date]]</f>
        <v>43343</v>
      </c>
      <c r="G84" s="75">
        <f>Table6[[#This Row],[admission_date]]</f>
        <v>43343</v>
      </c>
      <c r="H84" s="105">
        <f>Table6[[#This Row],[surgery_duration]]</f>
        <v>0.29166666666666669</v>
      </c>
      <c r="I84" s="73" t="str">
        <f>Table6[[#This Row],[discharge_loc]]</f>
        <v>NHDU</v>
      </c>
      <c r="J84" s="75">
        <f>Table6[[#This Row],[discharge_date]]</f>
        <v>43349</v>
      </c>
      <c r="K84" s="76">
        <f>Table6[[#This Row],[hospital_stay]]</f>
        <v>6</v>
      </c>
      <c r="L84" s="76" t="str">
        <f>Table6[[#This Row],[readmit_30]]</f>
        <v>No</v>
      </c>
      <c r="M84" s="77" t="str">
        <f>Table9[[#This Row],[troponin]]</f>
        <v>Not Measured</v>
      </c>
      <c r="N84" s="78">
        <f>Table9[[#This Row],[hb]]</f>
        <v>13.9</v>
      </c>
      <c r="O84" s="78">
        <f>Table9[[#This Row],[creatinine]]</f>
        <v>56</v>
      </c>
      <c r="P84" s="78">
        <f>Table9[[#This Row],[albumin]]</f>
        <v>45</v>
      </c>
      <c r="Q84" s="73" t="str">
        <f>Table9[[#This Row],[chest_physio]]</f>
        <v>Nurse</v>
      </c>
      <c r="R84" s="73" t="str">
        <f>Table9[[#This Row],[surgery_school]]</f>
        <v>No - Wasn’t offered it</v>
      </c>
      <c r="S84" s="75">
        <f>Table9[[#This Row],[date_school]]</f>
        <v>0</v>
      </c>
      <c r="T84" s="73" t="str">
        <f>Table9[[#This Row],[app_down]]</f>
        <v>No - Have electronic device</v>
      </c>
      <c r="U84" s="73" t="str">
        <f>Table9[[#This Row],[website]]</f>
        <v>No</v>
      </c>
      <c r="V84" s="73" t="str">
        <f>Table9[[#This Row],[base_activity]]</f>
        <v>20mins of moderate activity</v>
      </c>
      <c r="W84" s="73" t="str">
        <f>Table9[[#This Row],[current_activity]]</f>
        <v>20mins of moderate activity</v>
      </c>
      <c r="X84" s="73" t="str">
        <f>Table9[[#This Row],[activity_type]]</f>
        <v xml:space="preserve">Gym private </v>
      </c>
      <c r="Y84" s="73" t="str">
        <f>Table9[[#This Row],[anaemia_treat]]</f>
        <v>Not applicable</v>
      </c>
      <c r="Z84" s="78" t="str">
        <f>Table9[[#This Row],[anaesthesia]]</f>
        <v>General with TIVA</v>
      </c>
      <c r="AA84" s="78">
        <f>Table9[[#This Row],[smoke_hist]]</f>
        <v>0</v>
      </c>
      <c r="AB84" s="78">
        <f>Table9[[#This Row],[smoke_cess]]</f>
        <v>0</v>
      </c>
      <c r="AC84" s="78" t="str">
        <f>Table9[[#This Row],[tidal_vol]]</f>
        <v>Not recorded</v>
      </c>
      <c r="AD84" s="77" t="str">
        <f>Table11[[#This Row],[inc_spiro]]</f>
        <v>Not used</v>
      </c>
      <c r="AE84" s="73" t="str">
        <f>Table11[[#This Row],[t_brushes]]</f>
        <v>Twice</v>
      </c>
      <c r="AF84" s="78" t="str">
        <f>Table11[[#This Row],[m_washes]]</f>
        <v>Twice</v>
      </c>
      <c r="AG84" s="78" t="str">
        <f>Table11[[#This Row],[iv_disc]]</f>
        <v>Yes</v>
      </c>
      <c r="AH84" s="78" t="str">
        <f>Table11[[#This Row],[tolerate_15l]]</f>
        <v>Yes</v>
      </c>
      <c r="AI84" s="78" t="str">
        <f>Table11[[#This Row],[drinking]]</f>
        <v>Yes</v>
      </c>
      <c r="AJ84" s="78" t="str">
        <f>Table11[[#This Row],[oral_diet]]</f>
        <v>Yes</v>
      </c>
      <c r="AK84" s="78" t="str">
        <f>Table11[[#This Row],[mobilised]]</f>
        <v>No</v>
      </c>
      <c r="AL84" s="79" t="str">
        <f>Table11[[#This Row],[resp_supp]]</f>
        <v>None</v>
      </c>
      <c r="AM84" s="78">
        <f>Table11[[#This Row],[elev_head]]</f>
        <v>0</v>
      </c>
      <c r="AN84" s="78" t="str">
        <f>Table13[[#This Row],[in_hospital]]</f>
        <v>No</v>
      </c>
      <c r="AO84" s="78">
        <f>Table13[[#This Row],[location_7]]</f>
        <v>0</v>
      </c>
      <c r="AP84" s="78">
        <f>Table13[[#This Row],[infec_24]]</f>
        <v>0</v>
      </c>
      <c r="AQ84" s="73">
        <f>Table13[[#This Row],[infec_7]]</f>
        <v>0</v>
      </c>
      <c r="AR84" s="73">
        <f>Table13[[#This Row],[gastro]]</f>
        <v>0</v>
      </c>
      <c r="AS84" s="73">
        <f>Table13[[#This Row],[pulm_supp_24]]</f>
        <v>0</v>
      </c>
      <c r="AT84" s="73">
        <f>Table13[[#This Row],[pulm_supp_7]]</f>
        <v>0</v>
      </c>
      <c r="AU84" s="73">
        <f>Table13[[#This Row],[pulm_pharm]]</f>
        <v>0</v>
      </c>
      <c r="AV84" s="73">
        <f>Table13[[#This Row],[cardio_24]]</f>
        <v>0</v>
      </c>
      <c r="AW84" s="73">
        <f>Table13[[#This Row],[troponin_7]]</f>
        <v>0</v>
      </c>
      <c r="AX84" s="73">
        <f>Table13[[#This Row],[creatinine_base]]</f>
        <v>0</v>
      </c>
      <c r="AY84" s="73">
        <f>Table13[[#This Row],[creatinine_high]]</f>
        <v>0</v>
      </c>
      <c r="AZ84" s="73">
        <f>Table13[[#This Row],[rrt]]</f>
        <v>0</v>
      </c>
      <c r="BA84" s="73">
        <f>Table13[[#This Row],[renal_24]]</f>
        <v>0</v>
      </c>
      <c r="BB84" s="73">
        <f>Table13[[#This Row],[neuro]]</f>
        <v>0</v>
      </c>
      <c r="BC84" s="73">
        <f>Table13[[#This Row],[wound]]</f>
        <v>0</v>
      </c>
      <c r="BD84" s="73">
        <f>Table13[[#This Row],[haemato]]</f>
        <v>0</v>
      </c>
      <c r="BE84" s="73">
        <f>Table13[[#This Row],[pain]]</f>
        <v>0</v>
      </c>
      <c r="BF84" s="73">
        <f>Table13[[#This Row],[mobility]]</f>
        <v>0</v>
      </c>
      <c r="BG84" s="79">
        <f>Table13[[#This Row],[why_inpatient_7]]</f>
        <v>0</v>
      </c>
      <c r="BH84" s="9">
        <f>Table13[[#This Row],[date_15]]</f>
        <v>0</v>
      </c>
      <c r="BI84">
        <f>Table13[[#This Row],[inpatient_15]]</f>
        <v>0</v>
      </c>
      <c r="BJ84">
        <f>Table13[[#This Row],[comment_15]]</f>
        <v>0</v>
      </c>
      <c r="BK84" t="str">
        <f>Table13[[#This Row],[discharge_dest]]</f>
        <v>Own Home</v>
      </c>
      <c r="BL84" t="str">
        <f>Table13[[#This Row],[complication]]</f>
        <v>I</v>
      </c>
    </row>
    <row r="85" spans="1:64" ht="18" customHeight="1">
      <c r="A85" s="73" t="str">
        <f>Table5[[#This Row],[comment]]</f>
        <v>surgical pathway not available</v>
      </c>
      <c r="B85" s="73" t="str">
        <f>Table9[[#This Row],[surgeon]]</f>
        <v>Kanna Gnanalingham</v>
      </c>
      <c r="C85" s="73" t="str">
        <f>Table9[[#This Row],[surgery]]</f>
        <v>Anterior discectomy +/- decompression and fusion (cervical / lumbar regions)</v>
      </c>
      <c r="D85" s="74" t="str">
        <f>Table5[[#This Row],[pqip_consent]]</f>
        <v>No</v>
      </c>
      <c r="E85" s="73" t="str">
        <f>Table6[[#This Row],[area_surgery]]</f>
        <v>Other</v>
      </c>
      <c r="F85" s="75">
        <f>Table6[[#This Row],[admission_date]]</f>
        <v>43346</v>
      </c>
      <c r="G85" s="75">
        <f>Table6[[#This Row],[admission_date]]</f>
        <v>43346</v>
      </c>
      <c r="H85" s="105">
        <f>Table6[[#This Row],[surgery_duration]]</f>
        <v>0</v>
      </c>
      <c r="I85" s="73" t="str">
        <f>Table6[[#This Row],[discharge_loc]]</f>
        <v>H7</v>
      </c>
      <c r="J85" s="75">
        <f>Table6[[#This Row],[discharge_date]]</f>
        <v>43347</v>
      </c>
      <c r="K85" s="76">
        <f>Table6[[#This Row],[hospital_stay]]</f>
        <v>1</v>
      </c>
      <c r="L85" s="76" t="str">
        <f>Table6[[#This Row],[readmit_30]]</f>
        <v>No</v>
      </c>
      <c r="M85" s="77" t="str">
        <f>Table9[[#This Row],[troponin]]</f>
        <v>Not Measured</v>
      </c>
      <c r="N85" s="78">
        <f>Table9[[#This Row],[hb]]</f>
        <v>14.9</v>
      </c>
      <c r="O85" s="78">
        <f>Table9[[#This Row],[creatinine]]</f>
        <v>72</v>
      </c>
      <c r="P85" s="78">
        <f>Table9[[#This Row],[albumin]]</f>
        <v>48</v>
      </c>
      <c r="Q85" s="73" t="str">
        <f>Table9[[#This Row],[chest_physio]]</f>
        <v>No</v>
      </c>
      <c r="R85" s="73" t="str">
        <f>Table9[[#This Row],[surgery_school]]</f>
        <v>No - Wasn’t offered it</v>
      </c>
      <c r="S85" s="75">
        <f>Table9[[#This Row],[date_school]]</f>
        <v>0</v>
      </c>
      <c r="T85" s="73">
        <f>Table9[[#This Row],[app_down]]</f>
        <v>0</v>
      </c>
      <c r="U85" s="73">
        <f>Table9[[#This Row],[website]]</f>
        <v>0</v>
      </c>
      <c r="V85" s="73">
        <f>Table9[[#This Row],[base_activity]]</f>
        <v>0</v>
      </c>
      <c r="W85" s="73">
        <f>Table9[[#This Row],[current_activity]]</f>
        <v>0</v>
      </c>
      <c r="X85" s="73">
        <f>Table9[[#This Row],[activity_type]]</f>
        <v>0</v>
      </c>
      <c r="Y85" s="73" t="str">
        <f>Table9[[#This Row],[anaemia_treat]]</f>
        <v>Not applicable</v>
      </c>
      <c r="Z85" s="78" t="str">
        <f>Table9[[#This Row],[anaesthesia]]</f>
        <v>Not available</v>
      </c>
      <c r="AA85" s="78">
        <f>Table9[[#This Row],[smoke_hist]]</f>
        <v>0</v>
      </c>
      <c r="AB85" s="78">
        <f>Table9[[#This Row],[smoke_cess]]</f>
        <v>0</v>
      </c>
      <c r="AC85" s="78" t="str">
        <f>Table9[[#This Row],[tidal_vol]]</f>
        <v>Not recorded</v>
      </c>
      <c r="AD85" s="77" t="str">
        <f>Table11[[#This Row],[inc_spiro]]</f>
        <v>Not used</v>
      </c>
      <c r="AE85" s="73" t="str">
        <f>Table11[[#This Row],[t_brushes]]</f>
        <v>Twice</v>
      </c>
      <c r="AF85" s="78" t="str">
        <f>Table11[[#This Row],[m_washes]]</f>
        <v>None</v>
      </c>
      <c r="AG85" s="78" t="str">
        <f>Table11[[#This Row],[iv_disc]]</f>
        <v>No</v>
      </c>
      <c r="AH85" s="78">
        <f>Table11[[#This Row],[tolerate_15l]]</f>
        <v>0</v>
      </c>
      <c r="AI85" s="78" t="str">
        <f>Table11[[#This Row],[drinking]]</f>
        <v>Yes</v>
      </c>
      <c r="AJ85" s="78" t="str">
        <f>Table11[[#This Row],[oral_diet]]</f>
        <v>Yes</v>
      </c>
      <c r="AK85" s="78" t="str">
        <f>Table11[[#This Row],[mobilised]]</f>
        <v>Yes</v>
      </c>
      <c r="AL85" s="79" t="str">
        <f>Table11[[#This Row],[resp_supp]]</f>
        <v>None</v>
      </c>
      <c r="AM85" s="78">
        <f>Table11[[#This Row],[elev_head]]</f>
        <v>0</v>
      </c>
      <c r="AN85" s="78" t="str">
        <f>Table13[[#This Row],[in_hospital]]</f>
        <v>No</v>
      </c>
      <c r="AO85" s="78">
        <f>Table13[[#This Row],[location_7]]</f>
        <v>0</v>
      </c>
      <c r="AP85" s="78">
        <f>Table13[[#This Row],[infec_24]]</f>
        <v>0</v>
      </c>
      <c r="AQ85" s="73">
        <f>Table13[[#This Row],[infec_7]]</f>
        <v>0</v>
      </c>
      <c r="AR85" s="73">
        <f>Table13[[#This Row],[gastro]]</f>
        <v>0</v>
      </c>
      <c r="AS85" s="73">
        <f>Table13[[#This Row],[pulm_supp_24]]</f>
        <v>0</v>
      </c>
      <c r="AT85" s="73">
        <f>Table13[[#This Row],[pulm_supp_7]]</f>
        <v>0</v>
      </c>
      <c r="AU85" s="73">
        <f>Table13[[#This Row],[pulm_pharm]]</f>
        <v>0</v>
      </c>
      <c r="AV85" s="73">
        <f>Table13[[#This Row],[cardio_24]]</f>
        <v>0</v>
      </c>
      <c r="AW85" s="73">
        <f>Table13[[#This Row],[troponin_7]]</f>
        <v>0</v>
      </c>
      <c r="AX85" s="73">
        <f>Table13[[#This Row],[creatinine_base]]</f>
        <v>0</v>
      </c>
      <c r="AY85" s="73">
        <f>Table13[[#This Row],[creatinine_high]]</f>
        <v>0</v>
      </c>
      <c r="AZ85" s="73">
        <f>Table13[[#This Row],[rrt]]</f>
        <v>0</v>
      </c>
      <c r="BA85" s="73">
        <f>Table13[[#This Row],[renal_24]]</f>
        <v>0</v>
      </c>
      <c r="BB85" s="73">
        <f>Table13[[#This Row],[neuro]]</f>
        <v>0</v>
      </c>
      <c r="BC85" s="73">
        <f>Table13[[#This Row],[wound]]</f>
        <v>0</v>
      </c>
      <c r="BD85" s="73">
        <f>Table13[[#This Row],[haemato]]</f>
        <v>0</v>
      </c>
      <c r="BE85" s="73">
        <f>Table13[[#This Row],[pain]]</f>
        <v>0</v>
      </c>
      <c r="BF85" s="73">
        <f>Table13[[#This Row],[mobility]]</f>
        <v>0</v>
      </c>
      <c r="BG85" s="79">
        <f>Table13[[#This Row],[why_inpatient_7]]</f>
        <v>0</v>
      </c>
      <c r="BH85" s="9">
        <f>Table13[[#This Row],[date_15]]</f>
        <v>0</v>
      </c>
      <c r="BI85">
        <f>Table13[[#This Row],[inpatient_15]]</f>
        <v>0</v>
      </c>
      <c r="BJ85">
        <f>Table13[[#This Row],[comment_15]]</f>
        <v>0</v>
      </c>
      <c r="BK85" t="str">
        <f>Table13[[#This Row],[discharge_dest]]</f>
        <v>Own Home</v>
      </c>
      <c r="BL85" t="str">
        <f>Table13[[#This Row],[complication]]</f>
        <v>I</v>
      </c>
    </row>
    <row r="86" spans="1:64" ht="18" customHeight="1">
      <c r="A86" s="73">
        <f>Table5[[#This Row],[comment]]</f>
        <v>0</v>
      </c>
      <c r="B86" s="73" t="str">
        <f>Table9[[#This Row],[surgeon]]</f>
        <v>Irfan Siddique</v>
      </c>
      <c r="C86" s="73" t="str">
        <f>Table9[[#This Row],[surgery]]</f>
        <v>Posterior correction of scoliosis with instrumentation</v>
      </c>
      <c r="D86" s="74" t="str">
        <f>Table5[[#This Row],[pqip_consent]]</f>
        <v>No</v>
      </c>
      <c r="E86" s="73" t="str">
        <f>Table6[[#This Row],[area_surgery]]</f>
        <v>Other</v>
      </c>
      <c r="F86" s="75">
        <f>Table6[[#This Row],[admission_date]]</f>
        <v>43346</v>
      </c>
      <c r="G86" s="75">
        <f>Table6[[#This Row],[admission_date]]</f>
        <v>43346</v>
      </c>
      <c r="H86" s="105">
        <f>Table6[[#This Row],[surgery_duration]]</f>
        <v>0.20833333333333334</v>
      </c>
      <c r="I86" s="73" t="str">
        <f>Table6[[#This Row],[discharge_loc]]</f>
        <v>NHDU</v>
      </c>
      <c r="J86" s="75">
        <f>Table6[[#This Row],[discharge_date]]</f>
        <v>43354</v>
      </c>
      <c r="K86" s="76">
        <f>Table6[[#This Row],[hospital_stay]]</f>
        <v>8</v>
      </c>
      <c r="L86" s="76" t="str">
        <f>Table6[[#This Row],[readmit_30]]</f>
        <v>No</v>
      </c>
      <c r="M86" s="77" t="str">
        <f>Table9[[#This Row],[troponin]]</f>
        <v>Not Measured</v>
      </c>
      <c r="N86" s="78">
        <f>Table9[[#This Row],[hb]]</f>
        <v>10.4</v>
      </c>
      <c r="O86" s="78">
        <f>Table9[[#This Row],[creatinine]]</f>
        <v>58</v>
      </c>
      <c r="P86" s="78">
        <f>Table9[[#This Row],[albumin]]</f>
        <v>38</v>
      </c>
      <c r="Q86" s="73" t="str">
        <f>Table9[[#This Row],[chest_physio]]</f>
        <v>No</v>
      </c>
      <c r="R86" s="73" t="str">
        <f>Table9[[#This Row],[surgery_school]]</f>
        <v>No - Wasn’t offered it</v>
      </c>
      <c r="S86" s="75">
        <f>Table9[[#This Row],[date_school]]</f>
        <v>0</v>
      </c>
      <c r="T86" s="73" t="str">
        <f>Table9[[#This Row],[app_down]]</f>
        <v>No - Have electronic device</v>
      </c>
      <c r="U86" s="73" t="str">
        <f>Table9[[#This Row],[website]]</f>
        <v>No</v>
      </c>
      <c r="V86" s="73" t="str">
        <f>Table9[[#This Row],[base_activity]]</f>
        <v>No extra activity - Needs help with ADLs</v>
      </c>
      <c r="W86" s="73" t="str">
        <f>Table9[[#This Row],[current_activity]]</f>
        <v>No extra activity - Needs help with ADLs</v>
      </c>
      <c r="X86" s="73" t="str">
        <f>Table9[[#This Row],[activity_type]]</f>
        <v>None</v>
      </c>
      <c r="Y86" s="73" t="str">
        <f>Table9[[#This Row],[anaemia_treat]]</f>
        <v>Intravenous Iron</v>
      </c>
      <c r="Z86" s="78" t="str">
        <f>Table9[[#This Row],[anaesthesia]]</f>
        <v>General with TIVA</v>
      </c>
      <c r="AA86" s="78">
        <f>Table9[[#This Row],[smoke_hist]]</f>
        <v>0</v>
      </c>
      <c r="AB86" s="78">
        <f>Table9[[#This Row],[smoke_cess]]</f>
        <v>0</v>
      </c>
      <c r="AC86" s="78" t="str">
        <f>Table9[[#This Row],[tidal_vol]]</f>
        <v>Not recorded</v>
      </c>
      <c r="AD86" s="77" t="str">
        <f>Table11[[#This Row],[inc_spiro]]</f>
        <v>Not used</v>
      </c>
      <c r="AE86" s="73" t="str">
        <f>Table11[[#This Row],[t_brushes]]</f>
        <v>Twice</v>
      </c>
      <c r="AF86" s="78" t="str">
        <f>Table11[[#This Row],[m_washes]]</f>
        <v>None</v>
      </c>
      <c r="AG86" s="78" t="str">
        <f>Table11[[#This Row],[iv_disc]]</f>
        <v>No</v>
      </c>
      <c r="AH86" s="78" t="str">
        <f>Table11[[#This Row],[tolerate_15l]]</f>
        <v>Yes</v>
      </c>
      <c r="AI86" s="78" t="str">
        <f>Table11[[#This Row],[drinking]]</f>
        <v>Yes</v>
      </c>
      <c r="AJ86" s="78" t="str">
        <f>Table11[[#This Row],[oral_diet]]</f>
        <v>Yes</v>
      </c>
      <c r="AK86" s="78" t="str">
        <f>Table11[[#This Row],[mobilised]]</f>
        <v>Yes</v>
      </c>
      <c r="AL86" s="79" t="str">
        <f>Table11[[#This Row],[resp_supp]]</f>
        <v>None</v>
      </c>
      <c r="AM86" s="78">
        <f>Table11[[#This Row],[elev_head]]</f>
        <v>0</v>
      </c>
      <c r="AN86" s="78" t="str">
        <f>Table13[[#This Row],[in_hospital]]</f>
        <v>Yes</v>
      </c>
      <c r="AO86" s="78" t="str">
        <f>Table13[[#This Row],[location_7]]</f>
        <v>Level 1</v>
      </c>
      <c r="AP86" s="78" t="str">
        <f>Table13[[#This Row],[infec_24]]</f>
        <v>None of the above</v>
      </c>
      <c r="AQ86" s="73" t="str">
        <f>Table13[[#This Row],[infec_7]]</f>
        <v>None</v>
      </c>
      <c r="AR86" s="73" t="str">
        <f>Table13[[#This Row],[gastro]]</f>
        <v>None of the above</v>
      </c>
      <c r="AS86" s="73" t="str">
        <f>Table13[[#This Row],[pulm_supp_24]]</f>
        <v>None of the above</v>
      </c>
      <c r="AT86" s="73" t="str">
        <f>Table13[[#This Row],[pulm_supp_7]]</f>
        <v>None</v>
      </c>
      <c r="AU86" s="73" t="str">
        <f>Table13[[#This Row],[pulm_pharm]]</f>
        <v>None</v>
      </c>
      <c r="AV86" s="73" t="str">
        <f>Table13[[#This Row],[cardio_24]]</f>
        <v>None of the above</v>
      </c>
      <c r="AW86" s="73">
        <f>Table13[[#This Row],[troponin_7]]</f>
        <v>0</v>
      </c>
      <c r="AX86" s="73">
        <f>Table13[[#This Row],[creatinine_base]]</f>
        <v>58</v>
      </c>
      <c r="AY86" s="73">
        <f>Table13[[#This Row],[creatinine_high]]</f>
        <v>64</v>
      </c>
      <c r="AZ86" s="73" t="str">
        <f>Table13[[#This Row],[rrt]]</f>
        <v xml:space="preserve">No </v>
      </c>
      <c r="BA86" s="73" t="str">
        <f>Table13[[#This Row],[renal_24]]</f>
        <v>Urethral catheter in-situ (not present pre-operatively)</v>
      </c>
      <c r="BB86" s="73" t="str">
        <f>Table13[[#This Row],[neuro]]</f>
        <v>None of the above</v>
      </c>
      <c r="BC86" s="73" t="str">
        <f>Table13[[#This Row],[wound]]</f>
        <v>None of the above</v>
      </c>
      <c r="BD86" s="73" t="str">
        <f>Table13[[#This Row],[haemato]]</f>
        <v>None of the above</v>
      </c>
      <c r="BE86" s="73" t="str">
        <f>Table13[[#This Row],[pain]]</f>
        <v>None of the above</v>
      </c>
      <c r="BF86" s="73" t="str">
        <f>Table13[[#This Row],[mobility]]</f>
        <v>No</v>
      </c>
      <c r="BG86" s="79" t="str">
        <f>Table13[[#This Row],[why_inpatient_7]]</f>
        <v>Mobility Issue, Medical/nursing care</v>
      </c>
      <c r="BH86" s="9">
        <f>Table13[[#This Row],[date_15]]</f>
        <v>43361</v>
      </c>
      <c r="BI86" t="str">
        <f>Table13[[#This Row],[inpatient_15]]</f>
        <v>No</v>
      </c>
      <c r="BJ86">
        <f>Table13[[#This Row],[comment_15]]</f>
        <v>0</v>
      </c>
      <c r="BK86" t="str">
        <f>Table13[[#This Row],[discharge_dest]]</f>
        <v>Own Home</v>
      </c>
      <c r="BL86" t="str">
        <f>Table13[[#This Row],[complication]]</f>
        <v>I</v>
      </c>
    </row>
    <row r="87" spans="1:64" ht="18" customHeight="1">
      <c r="A87" s="73">
        <f>Table5[[#This Row],[comment]]</f>
        <v>0</v>
      </c>
      <c r="B87" s="73" t="str">
        <f>Table9[[#This Row],[surgeon]]</f>
        <v>N P Lees</v>
      </c>
      <c r="C87" s="73" t="str">
        <f>Table9[[#This Row],[surgery]]</f>
        <v>Reversal of Hartmann's procedure</v>
      </c>
      <c r="D87" s="74" t="str">
        <f>Table5[[#This Row],[pqip_consent]]</f>
        <v>Yes</v>
      </c>
      <c r="E87" s="73" t="str">
        <f>Table6[[#This Row],[area_surgery]]</f>
        <v>Lower GI</v>
      </c>
      <c r="F87" s="75">
        <f>Table6[[#This Row],[admission_date]]</f>
        <v>43347</v>
      </c>
      <c r="G87" s="75">
        <f>Table6[[#This Row],[admission_date]]</f>
        <v>43347</v>
      </c>
      <c r="H87" s="105">
        <f>Table6[[#This Row],[surgery_duration]]</f>
        <v>0.29166666666666669</v>
      </c>
      <c r="I87" s="73" t="str">
        <f>Table6[[#This Row],[discharge_loc]]</f>
        <v>H6</v>
      </c>
      <c r="J87" s="75">
        <f>Table6[[#This Row],[discharge_date]]</f>
        <v>43351</v>
      </c>
      <c r="K87" s="76">
        <f>Table6[[#This Row],[hospital_stay]]</f>
        <v>4</v>
      </c>
      <c r="L87" s="76" t="str">
        <f>Table6[[#This Row],[readmit_30]]</f>
        <v>No</v>
      </c>
      <c r="M87" s="77" t="str">
        <f>Table9[[#This Row],[troponin]]</f>
        <v>Not Measured</v>
      </c>
      <c r="N87" s="78">
        <f>Table9[[#This Row],[hb]]</f>
        <v>13</v>
      </c>
      <c r="O87" s="78">
        <f>Table9[[#This Row],[creatinine]]</f>
        <v>59</v>
      </c>
      <c r="P87" s="78">
        <f>Table9[[#This Row],[albumin]]</f>
        <v>43</v>
      </c>
      <c r="Q87" s="73" t="str">
        <f>Table9[[#This Row],[chest_physio]]</f>
        <v>Nurse</v>
      </c>
      <c r="R87" s="73" t="str">
        <f>Table9[[#This Row],[surgery_school]]</f>
        <v>No - Wasn’t offered it</v>
      </c>
      <c r="S87" s="75">
        <f>Table9[[#This Row],[date_school]]</f>
        <v>0</v>
      </c>
      <c r="T87" s="73" t="str">
        <f>Table9[[#This Row],[app_down]]</f>
        <v>No - Have electronic device</v>
      </c>
      <c r="U87" s="73" t="str">
        <f>Table9[[#This Row],[website]]</f>
        <v>No</v>
      </c>
      <c r="V87" s="73" t="str">
        <f>Table9[[#This Row],[base_activity]]</f>
        <v>10mins of moderate activity</v>
      </c>
      <c r="W87" s="73" t="str">
        <f>Table9[[#This Row],[current_activity]]</f>
        <v>10mins of moderate activity</v>
      </c>
      <c r="X87" s="73" t="str">
        <f>Table9[[#This Row],[activity_type]]</f>
        <v>Swimming regularly</v>
      </c>
      <c r="Y87" s="73" t="str">
        <f>Table9[[#This Row],[anaemia_treat]]</f>
        <v>Not applicable</v>
      </c>
      <c r="Z87" s="78" t="str">
        <f>Table9[[#This Row],[anaesthesia]]</f>
        <v>General with Inhalational</v>
      </c>
      <c r="AA87" s="78">
        <f>Table9[[#This Row],[smoke_hist]]</f>
        <v>0</v>
      </c>
      <c r="AB87" s="78">
        <f>Table9[[#This Row],[smoke_cess]]</f>
        <v>0</v>
      </c>
      <c r="AC87" s="78" t="str">
        <f>Table9[[#This Row],[tidal_vol]]</f>
        <v>Not recorded</v>
      </c>
      <c r="AD87" s="77" t="str">
        <f>Table11[[#This Row],[inc_spiro]]</f>
        <v>Not used</v>
      </c>
      <c r="AE87" s="73" t="str">
        <f>Table11[[#This Row],[t_brushes]]</f>
        <v>Twice</v>
      </c>
      <c r="AF87" s="78" t="str">
        <f>Table11[[#This Row],[m_washes]]</f>
        <v>None</v>
      </c>
      <c r="AG87" s="78" t="str">
        <f>Table11[[#This Row],[iv_disc]]</f>
        <v>No</v>
      </c>
      <c r="AH87" s="78">
        <f>Table11[[#This Row],[tolerate_15l]]</f>
        <v>0</v>
      </c>
      <c r="AI87" s="78" t="str">
        <f>Table11[[#This Row],[drinking]]</f>
        <v>Yes</v>
      </c>
      <c r="AJ87" s="78" t="str">
        <f>Table11[[#This Row],[oral_diet]]</f>
        <v>No</v>
      </c>
      <c r="AK87" s="78" t="str">
        <f>Table11[[#This Row],[mobilised]]</f>
        <v>No</v>
      </c>
      <c r="AL87" s="79" t="str">
        <f>Table11[[#This Row],[resp_supp]]</f>
        <v>None</v>
      </c>
      <c r="AM87" s="78">
        <f>Table11[[#This Row],[elev_head]]</f>
        <v>0</v>
      </c>
      <c r="AN87" s="78" t="str">
        <f>Table13[[#This Row],[in_hospital]]</f>
        <v>No</v>
      </c>
      <c r="AO87" s="78">
        <f>Table13[[#This Row],[location_7]]</f>
        <v>0</v>
      </c>
      <c r="AP87" s="78">
        <f>Table13[[#This Row],[infec_24]]</f>
        <v>0</v>
      </c>
      <c r="AQ87" s="73">
        <f>Table13[[#This Row],[infec_7]]</f>
        <v>0</v>
      </c>
      <c r="AR87" s="73">
        <f>Table13[[#This Row],[gastro]]</f>
        <v>0</v>
      </c>
      <c r="AS87" s="73">
        <f>Table13[[#This Row],[pulm_supp_24]]</f>
        <v>0</v>
      </c>
      <c r="AT87" s="73">
        <f>Table13[[#This Row],[pulm_supp_7]]</f>
        <v>0</v>
      </c>
      <c r="AU87" s="73">
        <f>Table13[[#This Row],[pulm_pharm]]</f>
        <v>0</v>
      </c>
      <c r="AV87" s="73">
        <f>Table13[[#This Row],[cardio_24]]</f>
        <v>0</v>
      </c>
      <c r="AW87" s="73">
        <f>Table13[[#This Row],[troponin_7]]</f>
        <v>0</v>
      </c>
      <c r="AX87" s="73">
        <f>Table13[[#This Row],[creatinine_base]]</f>
        <v>0</v>
      </c>
      <c r="AY87" s="73">
        <f>Table13[[#This Row],[creatinine_high]]</f>
        <v>0</v>
      </c>
      <c r="AZ87" s="73">
        <f>Table13[[#This Row],[rrt]]</f>
        <v>0</v>
      </c>
      <c r="BA87" s="73">
        <f>Table13[[#This Row],[renal_24]]</f>
        <v>0</v>
      </c>
      <c r="BB87" s="73">
        <f>Table13[[#This Row],[neuro]]</f>
        <v>0</v>
      </c>
      <c r="BC87" s="73">
        <f>Table13[[#This Row],[wound]]</f>
        <v>0</v>
      </c>
      <c r="BD87" s="73">
        <f>Table13[[#This Row],[haemato]]</f>
        <v>0</v>
      </c>
      <c r="BE87" s="73">
        <f>Table13[[#This Row],[pain]]</f>
        <v>0</v>
      </c>
      <c r="BF87" s="73">
        <f>Table13[[#This Row],[mobility]]</f>
        <v>0</v>
      </c>
      <c r="BG87" s="79">
        <f>Table13[[#This Row],[why_inpatient_7]]</f>
        <v>0</v>
      </c>
      <c r="BH87" s="9">
        <f>Table13[[#This Row],[date_15]]</f>
        <v>0</v>
      </c>
      <c r="BI87">
        <f>Table13[[#This Row],[inpatient_15]]</f>
        <v>0</v>
      </c>
      <c r="BJ87">
        <f>Table13[[#This Row],[comment_15]]</f>
        <v>0</v>
      </c>
      <c r="BK87" t="str">
        <f>Table13[[#This Row],[discharge_dest]]</f>
        <v>Own Home</v>
      </c>
      <c r="BL87" t="str">
        <f>Table13[[#This Row],[complication]]</f>
        <v>None</v>
      </c>
    </row>
    <row r="88" spans="1:64" ht="18" customHeight="1">
      <c r="A88" s="73">
        <f>Table5[[#This Row],[comment]]</f>
        <v>0</v>
      </c>
      <c r="B88" s="73" t="str">
        <f>Table9[[#This Row],[surgeon]]</f>
        <v>Satish Maddineni</v>
      </c>
      <c r="C88" s="73" t="str">
        <f>Table9[[#This Row],[surgery]]</f>
        <v>Nephrectomy (non-transplant)</v>
      </c>
      <c r="D88" s="74" t="str">
        <f>Table5[[#This Row],[pqip_consent]]</f>
        <v>Yes</v>
      </c>
      <c r="E88" s="73" t="str">
        <f>Table6[[#This Row],[area_surgery]]</f>
        <v>Nephrology</v>
      </c>
      <c r="F88" s="75">
        <f>Table6[[#This Row],[admission_date]]</f>
        <v>43347</v>
      </c>
      <c r="G88" s="75">
        <f>Table6[[#This Row],[admission_date]]</f>
        <v>43347</v>
      </c>
      <c r="H88" s="105">
        <f>Table6[[#This Row],[surgery_duration]]</f>
        <v>0.20833333333333334</v>
      </c>
      <c r="I88" s="73" t="str">
        <f>Table6[[#This Row],[discharge_loc]]</f>
        <v>H6</v>
      </c>
      <c r="J88" s="75">
        <f>Table6[[#This Row],[discharge_date]]</f>
        <v>43350</v>
      </c>
      <c r="K88" s="76">
        <f>Table6[[#This Row],[hospital_stay]]</f>
        <v>3</v>
      </c>
      <c r="L88" s="76" t="str">
        <f>Table6[[#This Row],[readmit_30]]</f>
        <v>No</v>
      </c>
      <c r="M88" s="77" t="str">
        <f>Table9[[#This Row],[troponin]]</f>
        <v>Not Measured</v>
      </c>
      <c r="N88" s="78">
        <f>Table9[[#This Row],[hb]]</f>
        <v>14.2</v>
      </c>
      <c r="O88" s="78">
        <f>Table9[[#This Row],[creatinine]]</f>
        <v>86</v>
      </c>
      <c r="P88" s="78">
        <f>Table9[[#This Row],[albumin]]</f>
        <v>47</v>
      </c>
      <c r="Q88" s="73" t="str">
        <f>Table9[[#This Row],[chest_physio]]</f>
        <v>Nurse</v>
      </c>
      <c r="R88" s="73" t="str">
        <f>Table9[[#This Row],[surgery_school]]</f>
        <v>No - Wasn’t offered it</v>
      </c>
      <c r="S88" s="75">
        <f>Table9[[#This Row],[date_school]]</f>
        <v>0</v>
      </c>
      <c r="T88" s="73" t="str">
        <f>Table9[[#This Row],[app_down]]</f>
        <v>No - Have electronic device</v>
      </c>
      <c r="U88" s="73" t="str">
        <f>Table9[[#This Row],[website]]</f>
        <v>No</v>
      </c>
      <c r="V88" s="73" t="str">
        <f>Table9[[#This Row],[base_activity]]</f>
        <v>No extra activity - Independent in ADLs</v>
      </c>
      <c r="W88" s="73" t="str">
        <f>Table9[[#This Row],[current_activity]]</f>
        <v>No extra activity - Independent in ADLs</v>
      </c>
      <c r="X88" s="73" t="str">
        <f>Table9[[#This Row],[activity_type]]</f>
        <v>None</v>
      </c>
      <c r="Y88" s="73" t="str">
        <f>Table9[[#This Row],[anaemia_treat]]</f>
        <v>Not applicable</v>
      </c>
      <c r="Z88" s="78" t="str">
        <f>Table9[[#This Row],[anaesthesia]]</f>
        <v>General with TIVA</v>
      </c>
      <c r="AA88" s="78">
        <f>Table9[[#This Row],[smoke_hist]]</f>
        <v>0</v>
      </c>
      <c r="AB88" s="78">
        <f>Table9[[#This Row],[smoke_cess]]</f>
        <v>0</v>
      </c>
      <c r="AC88" s="78" t="str">
        <f>Table9[[#This Row],[tidal_vol]]</f>
        <v>Not recorded</v>
      </c>
      <c r="AD88" s="77" t="str">
        <f>Table11[[#This Row],[inc_spiro]]</f>
        <v>Not used</v>
      </c>
      <c r="AE88" s="73" t="str">
        <f>Table11[[#This Row],[t_brushes]]</f>
        <v>Twice</v>
      </c>
      <c r="AF88" s="78" t="str">
        <f>Table11[[#This Row],[m_washes]]</f>
        <v>Twice</v>
      </c>
      <c r="AG88" s="78" t="str">
        <f>Table11[[#This Row],[iv_disc]]</f>
        <v>Yes</v>
      </c>
      <c r="AH88" s="78" t="str">
        <f>Table11[[#This Row],[tolerate_15l]]</f>
        <v>Yes</v>
      </c>
      <c r="AI88" s="78" t="str">
        <f>Table11[[#This Row],[drinking]]</f>
        <v>Yes</v>
      </c>
      <c r="AJ88" s="78" t="str">
        <f>Table11[[#This Row],[oral_diet]]</f>
        <v>Yes</v>
      </c>
      <c r="AK88" s="78" t="str">
        <f>Table11[[#This Row],[mobilised]]</f>
        <v>Yes</v>
      </c>
      <c r="AL88" s="79" t="str">
        <f>Table11[[#This Row],[resp_supp]]</f>
        <v>None</v>
      </c>
      <c r="AM88" s="78">
        <f>Table11[[#This Row],[elev_head]]</f>
        <v>0</v>
      </c>
      <c r="AN88" s="78" t="str">
        <f>Table13[[#This Row],[in_hospital]]</f>
        <v>No</v>
      </c>
      <c r="AO88" s="78">
        <f>Table13[[#This Row],[location_7]]</f>
        <v>0</v>
      </c>
      <c r="AP88" s="78">
        <f>Table13[[#This Row],[infec_24]]</f>
        <v>0</v>
      </c>
      <c r="AQ88" s="73">
        <f>Table13[[#This Row],[infec_7]]</f>
        <v>0</v>
      </c>
      <c r="AR88" s="73">
        <f>Table13[[#This Row],[gastro]]</f>
        <v>0</v>
      </c>
      <c r="AS88" s="73">
        <f>Table13[[#This Row],[pulm_supp_24]]</f>
        <v>0</v>
      </c>
      <c r="AT88" s="73">
        <f>Table13[[#This Row],[pulm_supp_7]]</f>
        <v>0</v>
      </c>
      <c r="AU88" s="73">
        <f>Table13[[#This Row],[pulm_pharm]]</f>
        <v>0</v>
      </c>
      <c r="AV88" s="73">
        <f>Table13[[#This Row],[cardio_24]]</f>
        <v>0</v>
      </c>
      <c r="AW88" s="73">
        <f>Table13[[#This Row],[troponin_7]]</f>
        <v>0</v>
      </c>
      <c r="AX88" s="73">
        <f>Table13[[#This Row],[creatinine_base]]</f>
        <v>0</v>
      </c>
      <c r="AY88" s="73">
        <f>Table13[[#This Row],[creatinine_high]]</f>
        <v>0</v>
      </c>
      <c r="AZ88" s="73">
        <f>Table13[[#This Row],[rrt]]</f>
        <v>0</v>
      </c>
      <c r="BA88" s="73">
        <f>Table13[[#This Row],[renal_24]]</f>
        <v>0</v>
      </c>
      <c r="BB88" s="73">
        <f>Table13[[#This Row],[neuro]]</f>
        <v>0</v>
      </c>
      <c r="BC88" s="73">
        <f>Table13[[#This Row],[wound]]</f>
        <v>0</v>
      </c>
      <c r="BD88" s="73">
        <f>Table13[[#This Row],[haemato]]</f>
        <v>0</v>
      </c>
      <c r="BE88" s="73">
        <f>Table13[[#This Row],[pain]]</f>
        <v>0</v>
      </c>
      <c r="BF88" s="73">
        <f>Table13[[#This Row],[mobility]]</f>
        <v>0</v>
      </c>
      <c r="BG88" s="79">
        <f>Table13[[#This Row],[why_inpatient_7]]</f>
        <v>0</v>
      </c>
      <c r="BH88" s="9">
        <f>Table13[[#This Row],[date_15]]</f>
        <v>0</v>
      </c>
      <c r="BI88">
        <f>Table13[[#This Row],[inpatient_15]]</f>
        <v>0</v>
      </c>
      <c r="BJ88">
        <f>Table13[[#This Row],[comment_15]]</f>
        <v>0</v>
      </c>
      <c r="BK88" t="str">
        <f>Table13[[#This Row],[discharge_dest]]</f>
        <v>Own Home</v>
      </c>
      <c r="BL88" t="str">
        <f>Table13[[#This Row],[complication]]</f>
        <v>I</v>
      </c>
    </row>
    <row r="89" spans="1:64" ht="18" customHeight="1">
      <c r="A89" s="73">
        <f>Table5[[#This Row],[comment]]</f>
        <v>0</v>
      </c>
      <c r="B89" s="73" t="str">
        <f>Table9[[#This Row],[surgeon]]</f>
        <v>Silviu Sabou</v>
      </c>
      <c r="C89" s="73" t="str">
        <f>Table9[[#This Row],[surgery]]</f>
        <v>Anterior discectomy +/- decompression and fusion (cervical / lumbar regions)</v>
      </c>
      <c r="D89" s="74" t="str">
        <f>Table5[[#This Row],[pqip_consent]]</f>
        <v>No</v>
      </c>
      <c r="E89" s="73" t="str">
        <f>Table6[[#This Row],[area_surgery]]</f>
        <v>Other</v>
      </c>
      <c r="F89" s="75">
        <f>Table6[[#This Row],[admission_date]]</f>
        <v>43334</v>
      </c>
      <c r="G89" s="75">
        <f>Table6[[#This Row],[admission_date]]</f>
        <v>43334</v>
      </c>
      <c r="H89" s="105">
        <f>Table6[[#This Row],[surgery_duration]]</f>
        <v>0.25</v>
      </c>
      <c r="I89" s="73" t="str">
        <f>Table6[[#This Row],[discharge_loc]]</f>
        <v>NHDU</v>
      </c>
      <c r="J89" s="75">
        <f>Table6[[#This Row],[discharge_date]]</f>
        <v>43357</v>
      </c>
      <c r="K89" s="76">
        <f>Table6[[#This Row],[hospital_stay]]</f>
        <v>10</v>
      </c>
      <c r="L89" s="76" t="str">
        <f>Table6[[#This Row],[readmit_30]]</f>
        <v>No</v>
      </c>
      <c r="M89" s="77" t="str">
        <f>Table9[[#This Row],[troponin]]</f>
        <v>Not Measured</v>
      </c>
      <c r="N89" s="78">
        <f>Table9[[#This Row],[hb]]</f>
        <v>12.6</v>
      </c>
      <c r="O89" s="78">
        <f>Table9[[#This Row],[creatinine]]</f>
        <v>51</v>
      </c>
      <c r="P89" s="78">
        <f>Table9[[#This Row],[albumin]]</f>
        <v>44</v>
      </c>
      <c r="Q89" s="73" t="str">
        <f>Table9[[#This Row],[chest_physio]]</f>
        <v>No</v>
      </c>
      <c r="R89" s="73" t="str">
        <f>Table9[[#This Row],[surgery_school]]</f>
        <v>No - Wasn’t offered it</v>
      </c>
      <c r="S89" s="75">
        <f>Table9[[#This Row],[date_school]]</f>
        <v>0</v>
      </c>
      <c r="T89" s="73" t="str">
        <f>Table9[[#This Row],[app_down]]</f>
        <v>No - Have electronic device</v>
      </c>
      <c r="U89" s="73" t="str">
        <f>Table9[[#This Row],[website]]</f>
        <v>No</v>
      </c>
      <c r="V89" s="73" t="str">
        <f>Table9[[#This Row],[base_activity]]</f>
        <v>No extra activity - Needs help with ADLs</v>
      </c>
      <c r="W89" s="73" t="str">
        <f>Table9[[#This Row],[current_activity]]</f>
        <v>No extra activity - Needs help with ADLs</v>
      </c>
      <c r="X89" s="73" t="str">
        <f>Table9[[#This Row],[activity_type]]</f>
        <v>None</v>
      </c>
      <c r="Y89" s="73" t="str">
        <f>Table9[[#This Row],[anaemia_treat]]</f>
        <v>Not applicable</v>
      </c>
      <c r="Z89" s="78" t="str">
        <f>Table9[[#This Row],[anaesthesia]]</f>
        <v>General with TIVA</v>
      </c>
      <c r="AA89" s="78">
        <f>Table9[[#This Row],[smoke_hist]]</f>
        <v>0</v>
      </c>
      <c r="AB89" s="78">
        <f>Table9[[#This Row],[smoke_cess]]</f>
        <v>0</v>
      </c>
      <c r="AC89" s="78" t="str">
        <f>Table9[[#This Row],[tidal_vol]]</f>
        <v>Not recorded</v>
      </c>
      <c r="AD89" s="77" t="str">
        <f>Table11[[#This Row],[inc_spiro]]</f>
        <v>Not used</v>
      </c>
      <c r="AE89" s="73" t="str">
        <f>Table11[[#This Row],[t_brushes]]</f>
        <v>Once</v>
      </c>
      <c r="AF89" s="78" t="str">
        <f>Table11[[#This Row],[m_washes]]</f>
        <v>Once</v>
      </c>
      <c r="AG89" s="78" t="str">
        <f>Table11[[#This Row],[iv_disc]]</f>
        <v>Yes</v>
      </c>
      <c r="AH89" s="78" t="str">
        <f>Table11[[#This Row],[tolerate_15l]]</f>
        <v>Yes</v>
      </c>
      <c r="AI89" s="78" t="str">
        <f>Table11[[#This Row],[drinking]]</f>
        <v>Yes</v>
      </c>
      <c r="AJ89" s="78" t="str">
        <f>Table11[[#This Row],[oral_diet]]</f>
        <v>Yes</v>
      </c>
      <c r="AK89" s="78" t="str">
        <f>Table11[[#This Row],[mobilised]]</f>
        <v>Yes</v>
      </c>
      <c r="AL89" s="79" t="str">
        <f>Table11[[#This Row],[resp_supp]]</f>
        <v>None</v>
      </c>
      <c r="AM89" s="78">
        <f>Table11[[#This Row],[elev_head]]</f>
        <v>0</v>
      </c>
      <c r="AN89" s="78" t="str">
        <f>Table13[[#This Row],[in_hospital]]</f>
        <v>Yes</v>
      </c>
      <c r="AO89" s="78" t="str">
        <f>Table13[[#This Row],[location_7]]</f>
        <v>Level 2</v>
      </c>
      <c r="AP89" s="78" t="str">
        <f>Table13[[#This Row],[infec_24]]</f>
        <v>None of the above</v>
      </c>
      <c r="AQ89" s="73" t="str">
        <f>Table13[[#This Row],[infec_7]]</f>
        <v>None</v>
      </c>
      <c r="AR89" s="73" t="str">
        <f>Table13[[#This Row],[gastro]]</f>
        <v>None of the above</v>
      </c>
      <c r="AS89" s="73" t="str">
        <f>Table13[[#This Row],[pulm_supp_24]]</f>
        <v>None of the above</v>
      </c>
      <c r="AT89" s="73" t="str">
        <f>Table13[[#This Row],[pulm_supp_7]]</f>
        <v>None</v>
      </c>
      <c r="AU89" s="73" t="str">
        <f>Table13[[#This Row],[pulm_pharm]]</f>
        <v>None</v>
      </c>
      <c r="AV89" s="73" t="str">
        <f>Table13[[#This Row],[cardio_24]]</f>
        <v>None of the above</v>
      </c>
      <c r="AW89" s="73">
        <f>Table13[[#This Row],[troponin_7]]</f>
        <v>0</v>
      </c>
      <c r="AX89" s="73">
        <f>Table13[[#This Row],[creatinine_base]]</f>
        <v>51</v>
      </c>
      <c r="AY89" s="73">
        <f>Table13[[#This Row],[creatinine_high]]</f>
        <v>51</v>
      </c>
      <c r="AZ89" s="73" t="str">
        <f>Table13[[#This Row],[rrt]]</f>
        <v xml:space="preserve">No </v>
      </c>
      <c r="BA89" s="73" t="str">
        <f>Table13[[#This Row],[renal_24]]</f>
        <v>None of the above</v>
      </c>
      <c r="BB89" s="73" t="str">
        <f>Table13[[#This Row],[neuro]]</f>
        <v>None of the above</v>
      </c>
      <c r="BC89" s="73" t="str">
        <f>Table13[[#This Row],[wound]]</f>
        <v>None of the above</v>
      </c>
      <c r="BD89" s="73" t="str">
        <f>Table13[[#This Row],[haemato]]</f>
        <v>None of the above</v>
      </c>
      <c r="BE89" s="73" t="str">
        <f>Table13[[#This Row],[pain]]</f>
        <v>None of the above</v>
      </c>
      <c r="BF89" s="73" t="str">
        <f>Table13[[#This Row],[mobility]]</f>
        <v>Yes</v>
      </c>
      <c r="BG89" s="79" t="str">
        <f>Table13[[#This Row],[why_inpatient_7]]</f>
        <v>Awaiting package setup</v>
      </c>
      <c r="BH89" s="9">
        <f>Table13[[#This Row],[date_15]]</f>
        <v>43362</v>
      </c>
      <c r="BI89" t="str">
        <f>Table13[[#This Row],[inpatient_15]]</f>
        <v>No</v>
      </c>
      <c r="BJ89">
        <f>Table13[[#This Row],[comment_15]]</f>
        <v>0</v>
      </c>
      <c r="BK89" t="str">
        <f>Table13[[#This Row],[discharge_dest]]</f>
        <v>Own Home</v>
      </c>
      <c r="BL89" t="str">
        <f>Table13[[#This Row],[complication]]</f>
        <v>None</v>
      </c>
    </row>
    <row r="90" spans="1:64" ht="18" customHeight="1">
      <c r="A90" s="73">
        <f>Table5[[#This Row],[comment]]</f>
        <v>0</v>
      </c>
      <c r="B90" s="73" t="str">
        <f>Table9[[#This Row],[surgeon]]</f>
        <v>Javed Sultan</v>
      </c>
      <c r="C90" s="73" t="str">
        <f>Table9[[#This Row],[surgery]]</f>
        <v xml:space="preserve">Oesophagectomy (total)/Oesophagogastrectomy </v>
      </c>
      <c r="D90" s="74" t="str">
        <f>Table5[[#This Row],[pqip_consent]]</f>
        <v>Yes</v>
      </c>
      <c r="E90" s="73" t="str">
        <f>Table6[[#This Row],[area_surgery]]</f>
        <v>Upper GI</v>
      </c>
      <c r="F90" s="75">
        <f>Table6[[#This Row],[admission_date]]</f>
        <v>43348</v>
      </c>
      <c r="G90" s="75">
        <f>Table6[[#This Row],[admission_date]]</f>
        <v>43348</v>
      </c>
      <c r="H90" s="105">
        <f>Table6[[#This Row],[surgery_duration]]</f>
        <v>0.4375</v>
      </c>
      <c r="I90" s="73" t="str">
        <f>Table6[[#This Row],[discharge_loc]]</f>
        <v>CCU (Level 2/3)</v>
      </c>
      <c r="J90" s="75">
        <f>Table6[[#This Row],[discharge_date]]</f>
        <v>43376</v>
      </c>
      <c r="K90" s="76">
        <f>Table6[[#This Row],[hospital_stay]]</f>
        <v>28</v>
      </c>
      <c r="L90" s="76" t="str">
        <f>Table6[[#This Row],[readmit_30]]</f>
        <v>No</v>
      </c>
      <c r="M90" s="77" t="str">
        <f>Table9[[#This Row],[troponin]]</f>
        <v>Not Measured</v>
      </c>
      <c r="N90" s="78">
        <f>Table9[[#This Row],[hb]]</f>
        <v>9.1999999999999993</v>
      </c>
      <c r="O90" s="78">
        <f>Table9[[#This Row],[creatinine]]</f>
        <v>75</v>
      </c>
      <c r="P90" s="78">
        <f>Table9[[#This Row],[albumin]]</f>
        <v>39</v>
      </c>
      <c r="Q90" s="73" t="str">
        <f>Table9[[#This Row],[chest_physio]]</f>
        <v>Nurse</v>
      </c>
      <c r="R90" s="73" t="str">
        <f>Table9[[#This Row],[surgery_school]]</f>
        <v>No - Wasn’t offered it</v>
      </c>
      <c r="S90" s="75">
        <f>Table9[[#This Row],[date_school]]</f>
        <v>0</v>
      </c>
      <c r="T90" s="73" t="str">
        <f>Table9[[#This Row],[app_down]]</f>
        <v>No - No electronic device</v>
      </c>
      <c r="U90" s="73" t="str">
        <f>Table9[[#This Row],[website]]</f>
        <v>No</v>
      </c>
      <c r="V90" s="73" t="str">
        <f>Table9[[#This Row],[base_activity]]</f>
        <v>&gt;30mins of moderate activity</v>
      </c>
      <c r="W90" s="73" t="str">
        <f>Table9[[#This Row],[current_activity]]</f>
        <v>&gt;30mins of moderate activity</v>
      </c>
      <c r="X90" s="73" t="str">
        <f>Table9[[#This Row],[activity_type]]</f>
        <v xml:space="preserve">Walking regularly </v>
      </c>
      <c r="Y90" s="73" t="str">
        <f>Table9[[#This Row],[anaemia_treat]]</f>
        <v>Intravenous Iron</v>
      </c>
      <c r="Z90" s="78" t="str">
        <f>Table9[[#This Row],[anaesthesia]]</f>
        <v>General with Inhalational</v>
      </c>
      <c r="AA90" s="78">
        <f>Table9[[#This Row],[smoke_hist]]</f>
        <v>0</v>
      </c>
      <c r="AB90" s="78">
        <f>Table9[[#This Row],[smoke_cess]]</f>
        <v>0</v>
      </c>
      <c r="AC90" s="78" t="str">
        <f>Table9[[#This Row],[tidal_vol]]</f>
        <v>Not recorded</v>
      </c>
      <c r="AD90" s="77" t="str">
        <f>Table11[[#This Row],[inc_spiro]]</f>
        <v>&gt;Two</v>
      </c>
      <c r="AE90" s="73" t="str">
        <f>Table11[[#This Row],[t_brushes]]</f>
        <v>Once</v>
      </c>
      <c r="AF90" s="78" t="str">
        <f>Table11[[#This Row],[m_washes]]</f>
        <v>Twice</v>
      </c>
      <c r="AG90" s="78" t="str">
        <f>Table11[[#This Row],[iv_disc]]</f>
        <v>No</v>
      </c>
      <c r="AH90" s="78" t="str">
        <f>Table11[[#This Row],[tolerate_15l]]</f>
        <v>Not applicable</v>
      </c>
      <c r="AI90" s="78" t="str">
        <f>Table11[[#This Row],[drinking]]</f>
        <v>No</v>
      </c>
      <c r="AJ90" s="78" t="str">
        <f>Table11[[#This Row],[oral_diet]]</f>
        <v>No</v>
      </c>
      <c r="AK90" s="78" t="str">
        <f>Table11[[#This Row],[mobilised]]</f>
        <v>No</v>
      </c>
      <c r="AL90" s="79" t="str">
        <f>Table11[[#This Row],[resp_supp]]</f>
        <v>None</v>
      </c>
      <c r="AM90" s="78">
        <f>Table11[[#This Row],[elev_head]]</f>
        <v>0</v>
      </c>
      <c r="AN90" s="78" t="str">
        <f>Table13[[#This Row],[in_hospital]]</f>
        <v>Yes</v>
      </c>
      <c r="AO90" s="78" t="str">
        <f>Table13[[#This Row],[location_7]]</f>
        <v>Ward</v>
      </c>
      <c r="AP90" s="78" t="str">
        <f>Table13[[#This Row],[infec_24]]</f>
        <v>Patient currently on IV antibiotics</v>
      </c>
      <c r="AQ90" s="73" t="str">
        <f>Table13[[#This Row],[infec_7]]</f>
        <v>None</v>
      </c>
      <c r="AR90" s="73" t="str">
        <f>Table13[[#This Row],[gastro]]</f>
        <v>Unable to tolerate enteral diet</v>
      </c>
      <c r="AS90" s="73" t="str">
        <f>Table13[[#This Row],[pulm_supp_24]]</f>
        <v>None of the above</v>
      </c>
      <c r="AT90" s="73" t="str">
        <f>Table13[[#This Row],[pulm_supp_7]]</f>
        <v>None</v>
      </c>
      <c r="AU90" s="73" t="str">
        <f>Table13[[#This Row],[pulm_pharm]]</f>
        <v>None</v>
      </c>
      <c r="AV90" s="73" t="str">
        <f>Table13[[#This Row],[cardio_24]]</f>
        <v>None of the above</v>
      </c>
      <c r="AW90" s="73">
        <f>Table13[[#This Row],[troponin_7]]</f>
        <v>0</v>
      </c>
      <c r="AX90" s="73">
        <f>Table13[[#This Row],[creatinine_base]]</f>
        <v>75</v>
      </c>
      <c r="AY90" s="73">
        <f>Table13[[#This Row],[creatinine_high]]</f>
        <v>96</v>
      </c>
      <c r="AZ90" s="73" t="str">
        <f>Table13[[#This Row],[rrt]]</f>
        <v xml:space="preserve">No </v>
      </c>
      <c r="BA90" s="73" t="str">
        <f>Table13[[#This Row],[renal_24]]</f>
        <v>None of the above</v>
      </c>
      <c r="BB90" s="73" t="str">
        <f>Table13[[#This Row],[neuro]]</f>
        <v>None of the above</v>
      </c>
      <c r="BC90" s="73" t="str">
        <f>Table13[[#This Row],[wound]]</f>
        <v>None of the above</v>
      </c>
      <c r="BD90" s="73" t="str">
        <f>Table13[[#This Row],[haemato]]</f>
        <v>None of the above</v>
      </c>
      <c r="BE90" s="73" t="str">
        <f>Table13[[#This Row],[pain]]</f>
        <v>None of the above</v>
      </c>
      <c r="BF90" s="73" t="str">
        <f>Table13[[#This Row],[mobility]]</f>
        <v>No</v>
      </c>
      <c r="BG90" s="79" t="str">
        <f>Table13[[#This Row],[why_inpatient_7]]</f>
        <v>Medical/nursing care</v>
      </c>
      <c r="BH90" s="9">
        <f>Table13[[#This Row],[date_15]]</f>
        <v>43363</v>
      </c>
      <c r="BI90" t="str">
        <f>Table13[[#This Row],[inpatient_15]]</f>
        <v>Yes</v>
      </c>
      <c r="BJ90" t="str">
        <f>Table13[[#This Row],[comment_15]]</f>
        <v>SOB due to pleural effusion/empyema, pyloroplasty leak</v>
      </c>
      <c r="BK90" t="str">
        <f>Table13[[#This Row],[discharge_dest]]</f>
        <v>Own Home</v>
      </c>
      <c r="BL90" t="str">
        <f>Table13[[#This Row],[complication]]</f>
        <v>I, II, IIIA</v>
      </c>
    </row>
    <row r="91" spans="1:64" ht="18" customHeight="1">
      <c r="A91" s="73" t="str">
        <f>Table5[[#This Row],[comment]]</f>
        <v>surgical pathway not available</v>
      </c>
      <c r="B91" s="73" t="str">
        <f>Table9[[#This Row],[surgeon]]</f>
        <v>Helen Doran</v>
      </c>
      <c r="C91" s="73" t="str">
        <f>Table9[[#This Row],[surgery]]</f>
        <v>Adrenalectomy</v>
      </c>
      <c r="D91" s="74" t="str">
        <f>Table5[[#This Row],[pqip_consent]]</f>
        <v>Yes</v>
      </c>
      <c r="E91" s="73" t="str">
        <f>Table6[[#This Row],[area_surgery]]</f>
        <v>Other Abdominal</v>
      </c>
      <c r="F91" s="75">
        <f>Table6[[#This Row],[admission_date]]</f>
        <v>43348</v>
      </c>
      <c r="G91" s="75">
        <f>Table6[[#This Row],[admission_date]]</f>
        <v>43348</v>
      </c>
      <c r="H91" s="105">
        <f>Table6[[#This Row],[surgery_duration]]</f>
        <v>0</v>
      </c>
      <c r="I91" s="73" t="str">
        <f>Table6[[#This Row],[discharge_loc]]</f>
        <v>HDU</v>
      </c>
      <c r="J91" s="75">
        <f>Table6[[#This Row],[discharge_date]]</f>
        <v>43352</v>
      </c>
      <c r="K91" s="76">
        <f>Table6[[#This Row],[hospital_stay]]</f>
        <v>4</v>
      </c>
      <c r="L91" s="76" t="str">
        <f>Table6[[#This Row],[readmit_30]]</f>
        <v>No</v>
      </c>
      <c r="M91" s="77" t="str">
        <f>Table9[[#This Row],[troponin]]</f>
        <v>Not Measured</v>
      </c>
      <c r="N91" s="78">
        <f>Table9[[#This Row],[hb]]</f>
        <v>10.9</v>
      </c>
      <c r="O91" s="78">
        <f>Table9[[#This Row],[creatinine]]</f>
        <v>60</v>
      </c>
      <c r="P91" s="78">
        <f>Table9[[#This Row],[albumin]]</f>
        <v>41</v>
      </c>
      <c r="Q91" s="73" t="str">
        <f>Table9[[#This Row],[chest_physio]]</f>
        <v>No</v>
      </c>
      <c r="R91" s="73" t="str">
        <f>Table9[[#This Row],[surgery_school]]</f>
        <v>No - Wasn’t offered it</v>
      </c>
      <c r="S91" s="75">
        <f>Table9[[#This Row],[date_school]]</f>
        <v>0</v>
      </c>
      <c r="T91" s="73" t="str">
        <f>Table9[[#This Row],[app_down]]</f>
        <v>No - No electronic device</v>
      </c>
      <c r="U91" s="73" t="str">
        <f>Table9[[#This Row],[website]]</f>
        <v>No</v>
      </c>
      <c r="V91" s="73" t="str">
        <f>Table9[[#This Row],[base_activity]]</f>
        <v>No extra activity - Independent in ADLs</v>
      </c>
      <c r="W91" s="73" t="str">
        <f>Table9[[#This Row],[current_activity]]</f>
        <v>No extra activity - Independent in ADLs</v>
      </c>
      <c r="X91" s="73" t="str">
        <f>Table9[[#This Row],[activity_type]]</f>
        <v>None</v>
      </c>
      <c r="Y91" s="73" t="str">
        <f>Table9[[#This Row],[anaemia_treat]]</f>
        <v>Not applicable</v>
      </c>
      <c r="Z91" s="78" t="str">
        <f>Table9[[#This Row],[anaesthesia]]</f>
        <v>Not available</v>
      </c>
      <c r="AA91" s="78">
        <f>Table9[[#This Row],[smoke_hist]]</f>
        <v>0</v>
      </c>
      <c r="AB91" s="78">
        <f>Table9[[#This Row],[smoke_cess]]</f>
        <v>0</v>
      </c>
      <c r="AC91" s="78" t="str">
        <f>Table9[[#This Row],[tidal_vol]]</f>
        <v>Not recorded</v>
      </c>
      <c r="AD91" s="77" t="str">
        <f>Table11[[#This Row],[inc_spiro]]</f>
        <v>Not used</v>
      </c>
      <c r="AE91" s="73" t="str">
        <f>Table11[[#This Row],[t_brushes]]</f>
        <v>Twice</v>
      </c>
      <c r="AF91" s="78" t="str">
        <f>Table11[[#This Row],[m_washes]]</f>
        <v>Once</v>
      </c>
      <c r="AG91" s="78" t="str">
        <f>Table11[[#This Row],[iv_disc]]</f>
        <v>No</v>
      </c>
      <c r="AH91" s="78" t="str">
        <f>Table11[[#This Row],[tolerate_15l]]</f>
        <v>Yes</v>
      </c>
      <c r="AI91" s="78" t="str">
        <f>Table11[[#This Row],[drinking]]</f>
        <v>Yes</v>
      </c>
      <c r="AJ91" s="78" t="str">
        <f>Table11[[#This Row],[oral_diet]]</f>
        <v>Yes</v>
      </c>
      <c r="AK91" s="78" t="str">
        <f>Table11[[#This Row],[mobilised]]</f>
        <v>Yes</v>
      </c>
      <c r="AL91" s="79" t="str">
        <f>Table11[[#This Row],[resp_supp]]</f>
        <v>None</v>
      </c>
      <c r="AM91" s="78">
        <f>Table11[[#This Row],[elev_head]]</f>
        <v>0</v>
      </c>
      <c r="AN91" s="78" t="str">
        <f>Table13[[#This Row],[in_hospital]]</f>
        <v>No</v>
      </c>
      <c r="AO91" s="78">
        <f>Table13[[#This Row],[location_7]]</f>
        <v>0</v>
      </c>
      <c r="AP91" s="78">
        <f>Table13[[#This Row],[infec_24]]</f>
        <v>0</v>
      </c>
      <c r="AQ91" s="73">
        <f>Table13[[#This Row],[infec_7]]</f>
        <v>0</v>
      </c>
      <c r="AR91" s="73">
        <f>Table13[[#This Row],[gastro]]</f>
        <v>0</v>
      </c>
      <c r="AS91" s="73">
        <f>Table13[[#This Row],[pulm_supp_24]]</f>
        <v>0</v>
      </c>
      <c r="AT91" s="73">
        <f>Table13[[#This Row],[pulm_supp_7]]</f>
        <v>0</v>
      </c>
      <c r="AU91" s="73">
        <f>Table13[[#This Row],[pulm_pharm]]</f>
        <v>0</v>
      </c>
      <c r="AV91" s="73">
        <f>Table13[[#This Row],[cardio_24]]</f>
        <v>0</v>
      </c>
      <c r="AW91" s="73">
        <f>Table13[[#This Row],[troponin_7]]</f>
        <v>0</v>
      </c>
      <c r="AX91" s="73">
        <f>Table13[[#This Row],[creatinine_base]]</f>
        <v>0</v>
      </c>
      <c r="AY91" s="73">
        <f>Table13[[#This Row],[creatinine_high]]</f>
        <v>0</v>
      </c>
      <c r="AZ91" s="73">
        <f>Table13[[#This Row],[rrt]]</f>
        <v>0</v>
      </c>
      <c r="BA91" s="73">
        <f>Table13[[#This Row],[renal_24]]</f>
        <v>0</v>
      </c>
      <c r="BB91" s="73">
        <f>Table13[[#This Row],[neuro]]</f>
        <v>0</v>
      </c>
      <c r="BC91" s="73">
        <f>Table13[[#This Row],[wound]]</f>
        <v>0</v>
      </c>
      <c r="BD91" s="73">
        <f>Table13[[#This Row],[haemato]]</f>
        <v>0</v>
      </c>
      <c r="BE91" s="73">
        <f>Table13[[#This Row],[pain]]</f>
        <v>0</v>
      </c>
      <c r="BF91" s="73">
        <f>Table13[[#This Row],[mobility]]</f>
        <v>0</v>
      </c>
      <c r="BG91" s="79">
        <f>Table13[[#This Row],[why_inpatient_7]]</f>
        <v>0</v>
      </c>
      <c r="BH91" s="9">
        <f>Table13[[#This Row],[date_15]]</f>
        <v>0</v>
      </c>
      <c r="BI91">
        <f>Table13[[#This Row],[inpatient_15]]</f>
        <v>0</v>
      </c>
      <c r="BJ91">
        <f>Table13[[#This Row],[comment_15]]</f>
        <v>0</v>
      </c>
      <c r="BK91" t="str">
        <f>Table13[[#This Row],[discharge_dest]]</f>
        <v>Own Home</v>
      </c>
      <c r="BL91" t="str">
        <f>Table13[[#This Row],[complication]]</f>
        <v>None</v>
      </c>
    </row>
    <row r="92" spans="1:64" ht="18" customHeight="1">
      <c r="A92" s="73">
        <f>Table5[[#This Row],[comment]]</f>
        <v>0</v>
      </c>
      <c r="B92" s="73" t="str">
        <f>Table9[[#This Row],[surgeon]]</f>
        <v>Alan Li</v>
      </c>
      <c r="C92" s="73" t="str">
        <f>Table9[[#This Row],[surgery]]</f>
        <v>Gastrectomy (partial / total) with excision of surrounding tissue</v>
      </c>
      <c r="D92" s="74" t="str">
        <f>Table5[[#This Row],[pqip_consent]]</f>
        <v>No</v>
      </c>
      <c r="E92" s="73" t="str">
        <f>Table6[[#This Row],[area_surgery]]</f>
        <v>Upper GI</v>
      </c>
      <c r="F92" s="75">
        <f>Table6[[#This Row],[admission_date]]</f>
        <v>43349</v>
      </c>
      <c r="G92" s="75">
        <f>Table6[[#This Row],[admission_date]]</f>
        <v>43349</v>
      </c>
      <c r="H92" s="105">
        <f>Table6[[#This Row],[surgery_duration]]</f>
        <v>0.11458333333333333</v>
      </c>
      <c r="I92" s="73" t="str">
        <f>Table6[[#This Row],[discharge_loc]]</f>
        <v>CCU (Level 2/3)</v>
      </c>
      <c r="J92" s="75">
        <f>Table6[[#This Row],[discharge_date]]</f>
        <v>43352</v>
      </c>
      <c r="K92" s="76">
        <f>Table6[[#This Row],[hospital_stay]]</f>
        <v>3</v>
      </c>
      <c r="L92" s="76" t="str">
        <f>Table6[[#This Row],[readmit_30]]</f>
        <v>No</v>
      </c>
      <c r="M92" s="77" t="str">
        <f>Table9[[#This Row],[troponin]]</f>
        <v>Not Measured</v>
      </c>
      <c r="N92" s="78">
        <f>Table9[[#This Row],[hb]]</f>
        <v>13.1</v>
      </c>
      <c r="O92" s="78">
        <f>Table9[[#This Row],[creatinine]]</f>
        <v>93</v>
      </c>
      <c r="P92" s="78" t="str">
        <f>Table9[[#This Row],[albumin]]</f>
        <v>Not Measured</v>
      </c>
      <c r="Q92" s="73" t="str">
        <f>Table9[[#This Row],[chest_physio]]</f>
        <v>Nurse</v>
      </c>
      <c r="R92" s="73" t="str">
        <f>Table9[[#This Row],[surgery_school]]</f>
        <v>No - Wasn’t offered it</v>
      </c>
      <c r="S92" s="75">
        <f>Table9[[#This Row],[date_school]]</f>
        <v>0</v>
      </c>
      <c r="T92" s="73" t="str">
        <f>Table9[[#This Row],[app_down]]</f>
        <v>No - Have electronic device</v>
      </c>
      <c r="U92" s="73" t="str">
        <f>Table9[[#This Row],[website]]</f>
        <v>No</v>
      </c>
      <c r="V92" s="73" t="str">
        <f>Table9[[#This Row],[base_activity]]</f>
        <v>&gt;30mins of moderate activity</v>
      </c>
      <c r="W92" s="73" t="str">
        <f>Table9[[#This Row],[current_activity]]</f>
        <v>&gt;30mins of moderate activity</v>
      </c>
      <c r="X92" s="73" t="str">
        <f>Table9[[#This Row],[activity_type]]</f>
        <v xml:space="preserve">Walking regularly </v>
      </c>
      <c r="Y92" s="73" t="str">
        <f>Table9[[#This Row],[anaemia_treat]]</f>
        <v>Not applicable</v>
      </c>
      <c r="Z92" s="78" t="str">
        <f>Table9[[#This Row],[anaesthesia]]</f>
        <v>General with Inhalational</v>
      </c>
      <c r="AA92" s="78">
        <f>Table9[[#This Row],[smoke_hist]]</f>
        <v>0</v>
      </c>
      <c r="AB92" s="78">
        <f>Table9[[#This Row],[smoke_cess]]</f>
        <v>0</v>
      </c>
      <c r="AC92" s="78" t="str">
        <f>Table9[[#This Row],[tidal_vol]]</f>
        <v>Not recorded</v>
      </c>
      <c r="AD92" s="77" t="str">
        <f>Table11[[#This Row],[inc_spiro]]</f>
        <v>Not used</v>
      </c>
      <c r="AE92" s="73" t="str">
        <f>Table11[[#This Row],[t_brushes]]</f>
        <v>Twice</v>
      </c>
      <c r="AF92" s="78" t="str">
        <f>Table11[[#This Row],[m_washes]]</f>
        <v>Twice</v>
      </c>
      <c r="AG92" s="78" t="str">
        <f>Table11[[#This Row],[iv_disc]]</f>
        <v>No</v>
      </c>
      <c r="AH92" s="78" t="str">
        <f>Table11[[#This Row],[tolerate_15l]]</f>
        <v>No</v>
      </c>
      <c r="AI92" s="78" t="str">
        <f>Table11[[#This Row],[drinking]]</f>
        <v>Yes</v>
      </c>
      <c r="AJ92" s="78" t="str">
        <f>Table11[[#This Row],[oral_diet]]</f>
        <v>Yes</v>
      </c>
      <c r="AK92" s="78" t="str">
        <f>Table11[[#This Row],[mobilised]]</f>
        <v>No</v>
      </c>
      <c r="AL92" s="79" t="str">
        <f>Table11[[#This Row],[resp_supp]]</f>
        <v>None</v>
      </c>
      <c r="AM92" s="78">
        <f>Table11[[#This Row],[elev_head]]</f>
        <v>0</v>
      </c>
      <c r="AN92" s="78" t="str">
        <f>Table13[[#This Row],[in_hospital]]</f>
        <v>No</v>
      </c>
      <c r="AO92" s="78">
        <f>Table13[[#This Row],[location_7]]</f>
        <v>0</v>
      </c>
      <c r="AP92" s="78">
        <f>Table13[[#This Row],[infec_24]]</f>
        <v>0</v>
      </c>
      <c r="AQ92" s="73">
        <f>Table13[[#This Row],[infec_7]]</f>
        <v>0</v>
      </c>
      <c r="AR92" s="73">
        <f>Table13[[#This Row],[gastro]]</f>
        <v>0</v>
      </c>
      <c r="AS92" s="73">
        <f>Table13[[#This Row],[pulm_supp_24]]</f>
        <v>0</v>
      </c>
      <c r="AT92" s="73">
        <f>Table13[[#This Row],[pulm_supp_7]]</f>
        <v>0</v>
      </c>
      <c r="AU92" s="73">
        <f>Table13[[#This Row],[pulm_pharm]]</f>
        <v>0</v>
      </c>
      <c r="AV92" s="73">
        <f>Table13[[#This Row],[cardio_24]]</f>
        <v>0</v>
      </c>
      <c r="AW92" s="73">
        <f>Table13[[#This Row],[troponin_7]]</f>
        <v>0</v>
      </c>
      <c r="AX92" s="73">
        <f>Table13[[#This Row],[creatinine_base]]</f>
        <v>0</v>
      </c>
      <c r="AY92" s="73">
        <f>Table13[[#This Row],[creatinine_high]]</f>
        <v>0</v>
      </c>
      <c r="AZ92" s="73">
        <f>Table13[[#This Row],[rrt]]</f>
        <v>0</v>
      </c>
      <c r="BA92" s="73">
        <f>Table13[[#This Row],[renal_24]]</f>
        <v>0</v>
      </c>
      <c r="BB92" s="73">
        <f>Table13[[#This Row],[neuro]]</f>
        <v>0</v>
      </c>
      <c r="BC92" s="73">
        <f>Table13[[#This Row],[wound]]</f>
        <v>0</v>
      </c>
      <c r="BD92" s="73">
        <f>Table13[[#This Row],[haemato]]</f>
        <v>0</v>
      </c>
      <c r="BE92" s="73">
        <f>Table13[[#This Row],[pain]]</f>
        <v>0</v>
      </c>
      <c r="BF92" s="73">
        <f>Table13[[#This Row],[mobility]]</f>
        <v>0</v>
      </c>
      <c r="BG92" s="79">
        <f>Table13[[#This Row],[why_inpatient_7]]</f>
        <v>0</v>
      </c>
      <c r="BH92" s="9">
        <f>Table13[[#This Row],[date_15]]</f>
        <v>0</v>
      </c>
      <c r="BI92">
        <f>Table13[[#This Row],[inpatient_15]]</f>
        <v>0</v>
      </c>
      <c r="BJ92">
        <f>Table13[[#This Row],[comment_15]]</f>
        <v>0</v>
      </c>
      <c r="BK92" t="str">
        <f>Table13[[#This Row],[discharge_dest]]</f>
        <v>Own Home</v>
      </c>
      <c r="BL92" t="str">
        <f>Table13[[#This Row],[complication]]</f>
        <v>I</v>
      </c>
    </row>
    <row r="93" spans="1:64" ht="18" customHeight="1">
      <c r="A93" s="73">
        <f>Table5[[#This Row],[comment]]</f>
        <v>0</v>
      </c>
      <c r="B93" s="73" t="str">
        <f>Table9[[#This Row],[surgeon]]</f>
        <v>Noel Clarke</v>
      </c>
      <c r="C93" s="73" t="str">
        <f>Table9[[#This Row],[surgery]]</f>
        <v>Nephrectomy (non-transplant)</v>
      </c>
      <c r="D93" s="74" t="str">
        <f>Table5[[#This Row],[pqip_consent]]</f>
        <v>Yes</v>
      </c>
      <c r="E93" s="73" t="str">
        <f>Table6[[#This Row],[area_surgery]]</f>
        <v>Nephrology</v>
      </c>
      <c r="F93" s="75">
        <f>Table6[[#This Row],[admission_date]]</f>
        <v>43349</v>
      </c>
      <c r="G93" s="75">
        <f>Table6[[#This Row],[admission_date]]</f>
        <v>43349</v>
      </c>
      <c r="H93" s="105">
        <f>Table6[[#This Row],[surgery_duration]]</f>
        <v>0.22222222222222221</v>
      </c>
      <c r="I93" s="73" t="str">
        <f>Table6[[#This Row],[discharge_loc]]</f>
        <v>H6</v>
      </c>
      <c r="J93" s="75">
        <f>Table6[[#This Row],[discharge_date]]</f>
        <v>43354</v>
      </c>
      <c r="K93" s="76">
        <f>Table6[[#This Row],[hospital_stay]]</f>
        <v>5</v>
      </c>
      <c r="L93" s="76" t="str">
        <f>Table6[[#This Row],[readmit_30]]</f>
        <v>No</v>
      </c>
      <c r="M93" s="77" t="str">
        <f>Table9[[#This Row],[troponin]]</f>
        <v>Not Measured</v>
      </c>
      <c r="N93" s="78">
        <f>Table9[[#This Row],[hb]]</f>
        <v>9.9</v>
      </c>
      <c r="O93" s="78">
        <f>Table9[[#This Row],[creatinine]]</f>
        <v>87</v>
      </c>
      <c r="P93" s="78">
        <f>Table9[[#This Row],[albumin]]</f>
        <v>38</v>
      </c>
      <c r="Q93" s="73" t="str">
        <f>Table9[[#This Row],[chest_physio]]</f>
        <v>No</v>
      </c>
      <c r="R93" s="73" t="str">
        <f>Table9[[#This Row],[surgery_school]]</f>
        <v>No - Wasn’t offered it</v>
      </c>
      <c r="S93" s="75">
        <f>Table9[[#This Row],[date_school]]</f>
        <v>0</v>
      </c>
      <c r="T93" s="73" t="str">
        <f>Table9[[#This Row],[app_down]]</f>
        <v>No - Have electronic device</v>
      </c>
      <c r="U93" s="73" t="str">
        <f>Table9[[#This Row],[website]]</f>
        <v>No</v>
      </c>
      <c r="V93" s="73" t="str">
        <f>Table9[[#This Row],[base_activity]]</f>
        <v>30mins of moderate activity</v>
      </c>
      <c r="W93" s="73" t="str">
        <f>Table9[[#This Row],[current_activity]]</f>
        <v>30mins of moderate activity</v>
      </c>
      <c r="X93" s="73" t="str">
        <f>Table9[[#This Row],[activity_type]]</f>
        <v>Gardening</v>
      </c>
      <c r="Y93" s="73" t="str">
        <f>Table9[[#This Row],[anaemia_treat]]</f>
        <v xml:space="preserve">Oral Iron </v>
      </c>
      <c r="Z93" s="78" t="str">
        <f>Table9[[#This Row],[anaesthesia]]</f>
        <v>General with Inhalational</v>
      </c>
      <c r="AA93" s="78">
        <f>Table9[[#This Row],[smoke_hist]]</f>
        <v>0</v>
      </c>
      <c r="AB93" s="78">
        <f>Table9[[#This Row],[smoke_cess]]</f>
        <v>0</v>
      </c>
      <c r="AC93" s="78" t="str">
        <f>Table9[[#This Row],[tidal_vol]]</f>
        <v>Not recorded</v>
      </c>
      <c r="AD93" s="77" t="str">
        <f>Table11[[#This Row],[inc_spiro]]</f>
        <v>Not used</v>
      </c>
      <c r="AE93" s="73" t="str">
        <f>Table11[[#This Row],[t_brushes]]</f>
        <v>Once</v>
      </c>
      <c r="AF93" s="78" t="str">
        <f>Table11[[#This Row],[m_washes]]</f>
        <v>None</v>
      </c>
      <c r="AG93" s="78" t="str">
        <f>Table11[[#This Row],[iv_disc]]</f>
        <v>No</v>
      </c>
      <c r="AH93" s="78" t="str">
        <f>Table11[[#This Row],[tolerate_15l]]</f>
        <v>No</v>
      </c>
      <c r="AI93" s="78" t="str">
        <f>Table11[[#This Row],[drinking]]</f>
        <v>Yes</v>
      </c>
      <c r="AJ93" s="78" t="str">
        <f>Table11[[#This Row],[oral_diet]]</f>
        <v>Yes</v>
      </c>
      <c r="AK93" s="78" t="str">
        <f>Table11[[#This Row],[mobilised]]</f>
        <v>Yes</v>
      </c>
      <c r="AL93" s="79" t="str">
        <f>Table11[[#This Row],[resp_supp]]</f>
        <v>None</v>
      </c>
      <c r="AM93" s="78">
        <f>Table11[[#This Row],[elev_head]]</f>
        <v>0</v>
      </c>
      <c r="AN93" s="78" t="str">
        <f>Table13[[#This Row],[in_hospital]]</f>
        <v>No</v>
      </c>
      <c r="AO93" s="78">
        <f>Table13[[#This Row],[location_7]]</f>
        <v>0</v>
      </c>
      <c r="AP93" s="78">
        <f>Table13[[#This Row],[infec_24]]</f>
        <v>0</v>
      </c>
      <c r="AQ93" s="73">
        <f>Table13[[#This Row],[infec_7]]</f>
        <v>0</v>
      </c>
      <c r="AR93" s="73">
        <f>Table13[[#This Row],[gastro]]</f>
        <v>0</v>
      </c>
      <c r="AS93" s="73">
        <f>Table13[[#This Row],[pulm_supp_24]]</f>
        <v>0</v>
      </c>
      <c r="AT93" s="73">
        <f>Table13[[#This Row],[pulm_supp_7]]</f>
        <v>0</v>
      </c>
      <c r="AU93" s="73">
        <f>Table13[[#This Row],[pulm_pharm]]</f>
        <v>0</v>
      </c>
      <c r="AV93" s="73">
        <f>Table13[[#This Row],[cardio_24]]</f>
        <v>0</v>
      </c>
      <c r="AW93" s="73">
        <f>Table13[[#This Row],[troponin_7]]</f>
        <v>0</v>
      </c>
      <c r="AX93" s="73">
        <f>Table13[[#This Row],[creatinine_base]]</f>
        <v>0</v>
      </c>
      <c r="AY93" s="73">
        <f>Table13[[#This Row],[creatinine_high]]</f>
        <v>0</v>
      </c>
      <c r="AZ93" s="73">
        <f>Table13[[#This Row],[rrt]]</f>
        <v>0</v>
      </c>
      <c r="BA93" s="73">
        <f>Table13[[#This Row],[renal_24]]</f>
        <v>0</v>
      </c>
      <c r="BB93" s="73">
        <f>Table13[[#This Row],[neuro]]</f>
        <v>0</v>
      </c>
      <c r="BC93" s="73">
        <f>Table13[[#This Row],[wound]]</f>
        <v>0</v>
      </c>
      <c r="BD93" s="73">
        <f>Table13[[#This Row],[haemato]]</f>
        <v>0</v>
      </c>
      <c r="BE93" s="73">
        <f>Table13[[#This Row],[pain]]</f>
        <v>0</v>
      </c>
      <c r="BF93" s="73">
        <f>Table13[[#This Row],[mobility]]</f>
        <v>0</v>
      </c>
      <c r="BG93" s="79">
        <f>Table13[[#This Row],[why_inpatient_7]]</f>
        <v>0</v>
      </c>
      <c r="BH93" s="9">
        <f>Table13[[#This Row],[date_15]]</f>
        <v>0</v>
      </c>
      <c r="BI93">
        <f>Table13[[#This Row],[inpatient_15]]</f>
        <v>0</v>
      </c>
      <c r="BJ93">
        <f>Table13[[#This Row],[comment_15]]</f>
        <v>0</v>
      </c>
      <c r="BK93" t="str">
        <f>Table13[[#This Row],[discharge_dest]]</f>
        <v>Own Home</v>
      </c>
      <c r="BL93" t="str">
        <f>Table13[[#This Row],[complication]]</f>
        <v>None</v>
      </c>
    </row>
    <row r="94" spans="1:64" ht="18" customHeight="1">
      <c r="A94" s="73">
        <f>Table5[[#This Row],[comment]]</f>
        <v>0</v>
      </c>
      <c r="B94" s="73" t="str">
        <f>Table9[[#This Row],[surgeon]]</f>
        <v>Mattias Soop</v>
      </c>
      <c r="C94" s="73" t="str">
        <f>Table9[[#This Row],[surgery]]</f>
        <v>Laparotomy for enterocutaneous fistula</v>
      </c>
      <c r="D94" s="74" t="str">
        <f>Table5[[#This Row],[pqip_consent]]</f>
        <v>Yes</v>
      </c>
      <c r="E94" s="73" t="str">
        <f>Table6[[#This Row],[area_surgery]]</f>
        <v>Lower GI</v>
      </c>
      <c r="F94" s="75">
        <f>Table6[[#This Row],[admission_date]]</f>
        <v>43349</v>
      </c>
      <c r="G94" s="75">
        <f>Table6[[#This Row],[admission_date]]</f>
        <v>43349</v>
      </c>
      <c r="H94" s="105">
        <f>Table6[[#This Row],[surgery_duration]]</f>
        <v>0.17013888888888887</v>
      </c>
      <c r="I94" s="73" t="str">
        <f>Table6[[#This Row],[discharge_loc]]</f>
        <v>H6</v>
      </c>
      <c r="J94" s="75">
        <f>Table6[[#This Row],[discharge_date]]</f>
        <v>43352</v>
      </c>
      <c r="K94" s="76">
        <f>Table6[[#This Row],[hospital_stay]]</f>
        <v>3</v>
      </c>
      <c r="L94" s="76" t="str">
        <f>Table6[[#This Row],[readmit_30]]</f>
        <v>No</v>
      </c>
      <c r="M94" s="77" t="str">
        <f>Table9[[#This Row],[troponin]]</f>
        <v>Not Measured</v>
      </c>
      <c r="N94" s="78">
        <f>Table9[[#This Row],[hb]]</f>
        <v>13.9</v>
      </c>
      <c r="O94" s="78">
        <f>Table9[[#This Row],[creatinine]]</f>
        <v>67</v>
      </c>
      <c r="P94" s="78">
        <f>Table9[[#This Row],[albumin]]</f>
        <v>42</v>
      </c>
      <c r="Q94" s="73" t="str">
        <f>Table9[[#This Row],[chest_physio]]</f>
        <v>No</v>
      </c>
      <c r="R94" s="73" t="str">
        <f>Table9[[#This Row],[surgery_school]]</f>
        <v>No - Wasn’t offered it</v>
      </c>
      <c r="S94" s="75">
        <f>Table9[[#This Row],[date_school]]</f>
        <v>0</v>
      </c>
      <c r="T94" s="73" t="str">
        <f>Table9[[#This Row],[app_down]]</f>
        <v>No - Have electronic device</v>
      </c>
      <c r="U94" s="73" t="str">
        <f>Table9[[#This Row],[website]]</f>
        <v>No</v>
      </c>
      <c r="V94" s="73" t="str">
        <f>Table9[[#This Row],[base_activity]]</f>
        <v>No extra activity - Independent in ADLs</v>
      </c>
      <c r="W94" s="73" t="str">
        <f>Table9[[#This Row],[current_activity]]</f>
        <v>No extra activity - Independent in ADLs</v>
      </c>
      <c r="X94" s="73" t="str">
        <f>Table9[[#This Row],[activity_type]]</f>
        <v>None</v>
      </c>
      <c r="Y94" s="73" t="str">
        <f>Table9[[#This Row],[anaemia_treat]]</f>
        <v>Not applicable</v>
      </c>
      <c r="Z94" s="78" t="str">
        <f>Table9[[#This Row],[anaesthesia]]</f>
        <v>General with Inhalational</v>
      </c>
      <c r="AA94" s="78">
        <f>Table9[[#This Row],[smoke_hist]]</f>
        <v>0</v>
      </c>
      <c r="AB94" s="78">
        <f>Table9[[#This Row],[smoke_cess]]</f>
        <v>0</v>
      </c>
      <c r="AC94" s="78" t="str">
        <f>Table9[[#This Row],[tidal_vol]]</f>
        <v>Not recorded</v>
      </c>
      <c r="AD94" s="77" t="str">
        <f>Table11[[#This Row],[inc_spiro]]</f>
        <v>Not used</v>
      </c>
      <c r="AE94" s="73" t="str">
        <f>Table11[[#This Row],[t_brushes]]</f>
        <v>Twice</v>
      </c>
      <c r="AF94" s="78" t="str">
        <f>Table11[[#This Row],[m_washes]]</f>
        <v>None</v>
      </c>
      <c r="AG94" s="78" t="str">
        <f>Table11[[#This Row],[iv_disc]]</f>
        <v>No</v>
      </c>
      <c r="AH94" s="78" t="str">
        <f>Table11[[#This Row],[tolerate_15l]]</f>
        <v>No</v>
      </c>
      <c r="AI94" s="78" t="str">
        <f>Table11[[#This Row],[drinking]]</f>
        <v>Yes</v>
      </c>
      <c r="AJ94" s="78" t="str">
        <f>Table11[[#This Row],[oral_diet]]</f>
        <v>Yes</v>
      </c>
      <c r="AK94" s="78" t="str">
        <f>Table11[[#This Row],[mobilised]]</f>
        <v>Yes</v>
      </c>
      <c r="AL94" s="79" t="str">
        <f>Table11[[#This Row],[resp_supp]]</f>
        <v>None</v>
      </c>
      <c r="AM94" s="78">
        <f>Table11[[#This Row],[elev_head]]</f>
        <v>0</v>
      </c>
      <c r="AN94" s="78" t="str">
        <f>Table13[[#This Row],[in_hospital]]</f>
        <v>No</v>
      </c>
      <c r="AO94" s="78">
        <f>Table13[[#This Row],[location_7]]</f>
        <v>0</v>
      </c>
      <c r="AP94" s="78">
        <f>Table13[[#This Row],[infec_24]]</f>
        <v>0</v>
      </c>
      <c r="AQ94" s="73">
        <f>Table13[[#This Row],[infec_7]]</f>
        <v>0</v>
      </c>
      <c r="AR94" s="73">
        <f>Table13[[#This Row],[gastro]]</f>
        <v>0</v>
      </c>
      <c r="AS94" s="73">
        <f>Table13[[#This Row],[pulm_supp_24]]</f>
        <v>0</v>
      </c>
      <c r="AT94" s="73">
        <f>Table13[[#This Row],[pulm_supp_7]]</f>
        <v>0</v>
      </c>
      <c r="AU94" s="73">
        <f>Table13[[#This Row],[pulm_pharm]]</f>
        <v>0</v>
      </c>
      <c r="AV94" s="73">
        <f>Table13[[#This Row],[cardio_24]]</f>
        <v>0</v>
      </c>
      <c r="AW94" s="73">
        <f>Table13[[#This Row],[troponin_7]]</f>
        <v>0</v>
      </c>
      <c r="AX94" s="73">
        <f>Table13[[#This Row],[creatinine_base]]</f>
        <v>0</v>
      </c>
      <c r="AY94" s="73">
        <f>Table13[[#This Row],[creatinine_high]]</f>
        <v>0</v>
      </c>
      <c r="AZ94" s="73">
        <f>Table13[[#This Row],[rrt]]</f>
        <v>0</v>
      </c>
      <c r="BA94" s="73">
        <f>Table13[[#This Row],[renal_24]]</f>
        <v>0</v>
      </c>
      <c r="BB94" s="73">
        <f>Table13[[#This Row],[neuro]]</f>
        <v>0</v>
      </c>
      <c r="BC94" s="73">
        <f>Table13[[#This Row],[wound]]</f>
        <v>0</v>
      </c>
      <c r="BD94" s="73">
        <f>Table13[[#This Row],[haemato]]</f>
        <v>0</v>
      </c>
      <c r="BE94" s="73">
        <f>Table13[[#This Row],[pain]]</f>
        <v>0</v>
      </c>
      <c r="BF94" s="73">
        <f>Table13[[#This Row],[mobility]]</f>
        <v>0</v>
      </c>
      <c r="BG94" s="79">
        <f>Table13[[#This Row],[why_inpatient_7]]</f>
        <v>0</v>
      </c>
      <c r="BH94" s="9">
        <f>Table13[[#This Row],[date_15]]</f>
        <v>0</v>
      </c>
      <c r="BI94">
        <f>Table13[[#This Row],[inpatient_15]]</f>
        <v>0</v>
      </c>
      <c r="BJ94">
        <f>Table13[[#This Row],[comment_15]]</f>
        <v>0</v>
      </c>
      <c r="BK94" t="str">
        <f>Table13[[#This Row],[discharge_dest]]</f>
        <v>Own Home</v>
      </c>
      <c r="BL94" t="str">
        <f>Table13[[#This Row],[complication]]</f>
        <v>None</v>
      </c>
    </row>
    <row r="95" spans="1:64" ht="18" customHeight="1">
      <c r="A95" s="73">
        <f>Table5[[#This Row],[comment]]</f>
        <v>0</v>
      </c>
      <c r="B95" s="73" t="str">
        <f>Table9[[#This Row],[surgeon]]</f>
        <v>Saeed Mohammad/ Silviu Sabou</v>
      </c>
      <c r="C95" s="73" t="str">
        <f>Table9[[#This Row],[surgery]]</f>
        <v>Correction of degenerative scoliosis including decompression</v>
      </c>
      <c r="D95" s="74" t="str">
        <f>Table5[[#This Row],[pqip_consent]]</f>
        <v>No</v>
      </c>
      <c r="E95" s="73" t="str">
        <f>Table6[[#This Row],[area_surgery]]</f>
        <v>Other</v>
      </c>
      <c r="F95" s="75">
        <f>Table6[[#This Row],[admission_date]]</f>
        <v>43349</v>
      </c>
      <c r="G95" s="75">
        <f>Table6[[#This Row],[admission_date]]</f>
        <v>43349</v>
      </c>
      <c r="H95" s="105">
        <f>Table6[[#This Row],[surgery_duration]]</f>
        <v>0.45833333333333331</v>
      </c>
      <c r="I95" s="73" t="str">
        <f>Table6[[#This Row],[discharge_loc]]</f>
        <v>H7</v>
      </c>
      <c r="J95" s="75">
        <f>Table6[[#This Row],[discharge_date]]</f>
        <v>43355</v>
      </c>
      <c r="K95" s="76">
        <f>Table6[[#This Row],[hospital_stay]]</f>
        <v>6</v>
      </c>
      <c r="L95" s="76" t="str">
        <f>Table6[[#This Row],[readmit_30]]</f>
        <v>No</v>
      </c>
      <c r="M95" s="77" t="str">
        <f>Table9[[#This Row],[troponin]]</f>
        <v>Not Measured</v>
      </c>
      <c r="N95" s="78">
        <f>Table9[[#This Row],[hb]]</f>
        <v>14.2</v>
      </c>
      <c r="O95" s="78">
        <f>Table9[[#This Row],[creatinine]]</f>
        <v>56</v>
      </c>
      <c r="P95" s="78">
        <f>Table9[[#This Row],[albumin]]</f>
        <v>46</v>
      </c>
      <c r="Q95" s="73" t="str">
        <f>Table9[[#This Row],[chest_physio]]</f>
        <v>No</v>
      </c>
      <c r="R95" s="73" t="str">
        <f>Table9[[#This Row],[surgery_school]]</f>
        <v>No - Wasn’t offered it</v>
      </c>
      <c r="S95" s="75">
        <f>Table9[[#This Row],[date_school]]</f>
        <v>0</v>
      </c>
      <c r="T95" s="73">
        <f>Table9[[#This Row],[app_down]]</f>
        <v>0</v>
      </c>
      <c r="U95" s="73">
        <f>Table9[[#This Row],[website]]</f>
        <v>0</v>
      </c>
      <c r="V95" s="73">
        <f>Table9[[#This Row],[base_activity]]</f>
        <v>0</v>
      </c>
      <c r="W95" s="73">
        <f>Table9[[#This Row],[current_activity]]</f>
        <v>0</v>
      </c>
      <c r="X95" s="73">
        <f>Table9[[#This Row],[activity_type]]</f>
        <v>0</v>
      </c>
      <c r="Y95" s="73" t="str">
        <f>Table9[[#This Row],[anaemia_treat]]</f>
        <v>Not applicable</v>
      </c>
      <c r="Z95" s="78" t="str">
        <f>Table9[[#This Row],[anaesthesia]]</f>
        <v>General with TIVA</v>
      </c>
      <c r="AA95" s="78">
        <f>Table9[[#This Row],[smoke_hist]]</f>
        <v>0</v>
      </c>
      <c r="AB95" s="78">
        <f>Table9[[#This Row],[smoke_cess]]</f>
        <v>0</v>
      </c>
      <c r="AC95" s="78" t="str">
        <f>Table9[[#This Row],[tidal_vol]]</f>
        <v>Not recorded</v>
      </c>
      <c r="AD95" s="77" t="str">
        <f>Table11[[#This Row],[inc_spiro]]</f>
        <v>Not used</v>
      </c>
      <c r="AE95" s="73" t="str">
        <f>Table11[[#This Row],[t_brushes]]</f>
        <v>Twice</v>
      </c>
      <c r="AF95" s="78" t="str">
        <f>Table11[[#This Row],[m_washes]]</f>
        <v>None</v>
      </c>
      <c r="AG95" s="78" t="str">
        <f>Table11[[#This Row],[iv_disc]]</f>
        <v>No</v>
      </c>
      <c r="AH95" s="78" t="str">
        <f>Table11[[#This Row],[tolerate_15l]]</f>
        <v>No</v>
      </c>
      <c r="AI95" s="78" t="str">
        <f>Table11[[#This Row],[drinking]]</f>
        <v>Yes</v>
      </c>
      <c r="AJ95" s="78" t="str">
        <f>Table11[[#This Row],[oral_diet]]</f>
        <v>Yes</v>
      </c>
      <c r="AK95" s="78" t="str">
        <f>Table11[[#This Row],[mobilised]]</f>
        <v>Yes</v>
      </c>
      <c r="AL95" s="79" t="str">
        <f>Table11[[#This Row],[resp_supp]]</f>
        <v>None</v>
      </c>
      <c r="AM95" s="78">
        <f>Table11[[#This Row],[elev_head]]</f>
        <v>0</v>
      </c>
      <c r="AN95" s="78" t="str">
        <f>Table13[[#This Row],[in_hospital]]</f>
        <v>No</v>
      </c>
      <c r="AO95" s="78">
        <f>Table13[[#This Row],[location_7]]</f>
        <v>0</v>
      </c>
      <c r="AP95" s="78">
        <f>Table13[[#This Row],[infec_24]]</f>
        <v>0</v>
      </c>
      <c r="AQ95" s="73">
        <f>Table13[[#This Row],[infec_7]]</f>
        <v>0</v>
      </c>
      <c r="AR95" s="73">
        <f>Table13[[#This Row],[gastro]]</f>
        <v>0</v>
      </c>
      <c r="AS95" s="73">
        <f>Table13[[#This Row],[pulm_supp_24]]</f>
        <v>0</v>
      </c>
      <c r="AT95" s="73">
        <f>Table13[[#This Row],[pulm_supp_7]]</f>
        <v>0</v>
      </c>
      <c r="AU95" s="73">
        <f>Table13[[#This Row],[pulm_pharm]]</f>
        <v>0</v>
      </c>
      <c r="AV95" s="73">
        <f>Table13[[#This Row],[cardio_24]]</f>
        <v>0</v>
      </c>
      <c r="AW95" s="73">
        <f>Table13[[#This Row],[troponin_7]]</f>
        <v>0</v>
      </c>
      <c r="AX95" s="73">
        <f>Table13[[#This Row],[creatinine_base]]</f>
        <v>0</v>
      </c>
      <c r="AY95" s="73">
        <f>Table13[[#This Row],[creatinine_high]]</f>
        <v>0</v>
      </c>
      <c r="AZ95" s="73">
        <f>Table13[[#This Row],[rrt]]</f>
        <v>0</v>
      </c>
      <c r="BA95" s="73">
        <f>Table13[[#This Row],[renal_24]]</f>
        <v>0</v>
      </c>
      <c r="BB95" s="73">
        <f>Table13[[#This Row],[neuro]]</f>
        <v>0</v>
      </c>
      <c r="BC95" s="73">
        <f>Table13[[#This Row],[wound]]</f>
        <v>0</v>
      </c>
      <c r="BD95" s="73">
        <f>Table13[[#This Row],[haemato]]</f>
        <v>0</v>
      </c>
      <c r="BE95" s="73">
        <f>Table13[[#This Row],[pain]]</f>
        <v>0</v>
      </c>
      <c r="BF95" s="73">
        <f>Table13[[#This Row],[mobility]]</f>
        <v>0</v>
      </c>
      <c r="BG95" s="79">
        <f>Table13[[#This Row],[why_inpatient_7]]</f>
        <v>0</v>
      </c>
      <c r="BH95" s="9">
        <f>Table13[[#This Row],[date_15]]</f>
        <v>0</v>
      </c>
      <c r="BI95">
        <f>Table13[[#This Row],[inpatient_15]]</f>
        <v>0</v>
      </c>
      <c r="BJ95">
        <f>Table13[[#This Row],[comment_15]]</f>
        <v>0</v>
      </c>
      <c r="BK95" t="str">
        <f>Table13[[#This Row],[discharge_dest]]</f>
        <v>Own Home</v>
      </c>
      <c r="BL95" t="str">
        <f>Table13[[#This Row],[complication]]</f>
        <v>I</v>
      </c>
    </row>
    <row r="96" spans="1:64" ht="18" customHeight="1">
      <c r="A96" s="73">
        <f>Table5[[#This Row],[comment]]</f>
        <v>0</v>
      </c>
      <c r="B96" s="73" t="str">
        <f>Table9[[#This Row],[surgeon]]</f>
        <v>Anant Tambe</v>
      </c>
      <c r="C96" s="73" t="str">
        <f>Table9[[#This Row],[surgery]]</f>
        <v>Posterior decompression with fusion (thoracic region)</v>
      </c>
      <c r="D96" s="74" t="str">
        <f>Table5[[#This Row],[pqip_consent]]</f>
        <v>No</v>
      </c>
      <c r="E96" s="73" t="str">
        <f>Table6[[#This Row],[area_surgery]]</f>
        <v>Other</v>
      </c>
      <c r="F96" s="75">
        <f>Table6[[#This Row],[admission_date]]</f>
        <v>43326</v>
      </c>
      <c r="G96" s="75">
        <f>Table6[[#This Row],[admission_date]]</f>
        <v>43326</v>
      </c>
      <c r="H96" s="105">
        <f>Table6[[#This Row],[surgery_duration]]</f>
        <v>0.19791666666666666</v>
      </c>
      <c r="I96" s="73" t="str">
        <f>Table6[[#This Row],[discharge_loc]]</f>
        <v>NHDU</v>
      </c>
      <c r="J96" s="75">
        <f>Table6[[#This Row],[discharge_date]]</f>
        <v>43402</v>
      </c>
      <c r="K96" s="76">
        <f>Table6[[#This Row],[hospital_stay]]</f>
        <v>52</v>
      </c>
      <c r="L96" s="76">
        <f>Table6[[#This Row],[readmit_30]]</f>
        <v>0</v>
      </c>
      <c r="M96" s="77" t="str">
        <f>Table9[[#This Row],[troponin]]</f>
        <v>Not Measured</v>
      </c>
      <c r="N96" s="78">
        <f>Table9[[#This Row],[hb]]</f>
        <v>10.8</v>
      </c>
      <c r="O96" s="78">
        <f>Table9[[#This Row],[creatinine]]</f>
        <v>63</v>
      </c>
      <c r="P96" s="78">
        <f>Table9[[#This Row],[albumin]]</f>
        <v>40</v>
      </c>
      <c r="Q96" s="73" t="str">
        <f>Table9[[#This Row],[chest_physio]]</f>
        <v>No</v>
      </c>
      <c r="R96" s="73" t="str">
        <f>Table9[[#This Row],[surgery_school]]</f>
        <v>No - Wasn’t offered it</v>
      </c>
      <c r="S96" s="75">
        <f>Table9[[#This Row],[date_school]]</f>
        <v>0</v>
      </c>
      <c r="T96" s="73" t="str">
        <f>Table9[[#This Row],[app_down]]</f>
        <v>No - Have electronic device</v>
      </c>
      <c r="U96" s="73" t="str">
        <f>Table9[[#This Row],[website]]</f>
        <v>No</v>
      </c>
      <c r="V96" s="73" t="str">
        <f>Table9[[#This Row],[base_activity]]</f>
        <v>No extra activity - Independent in ADLs</v>
      </c>
      <c r="W96" s="73" t="str">
        <f>Table9[[#This Row],[current_activity]]</f>
        <v>No extra activity - Independent in ADLs</v>
      </c>
      <c r="X96" s="73" t="str">
        <f>Table9[[#This Row],[activity_type]]</f>
        <v>None</v>
      </c>
      <c r="Y96" s="73" t="str">
        <f>Table9[[#This Row],[anaemia_treat]]</f>
        <v>Not applicable</v>
      </c>
      <c r="Z96" s="78" t="str">
        <f>Table9[[#This Row],[anaesthesia]]</f>
        <v>General with TIVA</v>
      </c>
      <c r="AA96" s="78">
        <f>Table9[[#This Row],[smoke_hist]]</f>
        <v>0</v>
      </c>
      <c r="AB96" s="78">
        <f>Table9[[#This Row],[smoke_cess]]</f>
        <v>0</v>
      </c>
      <c r="AC96" s="78" t="str">
        <f>Table9[[#This Row],[tidal_vol]]</f>
        <v>Not recorded</v>
      </c>
      <c r="AD96" s="77" t="str">
        <f>Table11[[#This Row],[inc_spiro]]</f>
        <v>Not used</v>
      </c>
      <c r="AE96" s="73" t="str">
        <f>Table11[[#This Row],[t_brushes]]</f>
        <v>Twice</v>
      </c>
      <c r="AF96" s="78" t="str">
        <f>Table11[[#This Row],[m_washes]]</f>
        <v>None</v>
      </c>
      <c r="AG96" s="78" t="str">
        <f>Table11[[#This Row],[iv_disc]]</f>
        <v>Yes</v>
      </c>
      <c r="AH96" s="78" t="str">
        <f>Table11[[#This Row],[tolerate_15l]]</f>
        <v>No</v>
      </c>
      <c r="AI96" s="78" t="str">
        <f>Table11[[#This Row],[drinking]]</f>
        <v>Yes</v>
      </c>
      <c r="AJ96" s="78" t="str">
        <f>Table11[[#This Row],[oral_diet]]</f>
        <v>Yes</v>
      </c>
      <c r="AK96" s="78" t="str">
        <f>Table11[[#This Row],[mobilised]]</f>
        <v>No</v>
      </c>
      <c r="AL96" s="79" t="str">
        <f>Table11[[#This Row],[resp_supp]]</f>
        <v>None</v>
      </c>
      <c r="AM96" s="78" t="str">
        <f>Table11[[#This Row],[elev_head]]</f>
        <v>Yes</v>
      </c>
      <c r="AN96" s="78" t="str">
        <f>Table13[[#This Row],[in_hospital]]</f>
        <v>Yes</v>
      </c>
      <c r="AO96" s="78" t="str">
        <f>Table13[[#This Row],[location_7]]</f>
        <v>Level 2</v>
      </c>
      <c r="AP96" s="78" t="str">
        <f>Table13[[#This Row],[infec_24]]</f>
        <v>None of the above</v>
      </c>
      <c r="AQ96" s="73" t="str">
        <f>Table13[[#This Row],[infec_7]]</f>
        <v>None</v>
      </c>
      <c r="AR96" s="73" t="str">
        <f>Table13[[#This Row],[gastro]]</f>
        <v>None of the above</v>
      </c>
      <c r="AS96" s="73" t="str">
        <f>Table13[[#This Row],[pulm_supp_24]]</f>
        <v>None of the above</v>
      </c>
      <c r="AT96" s="73" t="str">
        <f>Table13[[#This Row],[pulm_supp_7]]</f>
        <v>None</v>
      </c>
      <c r="AU96" s="73" t="str">
        <f>Table13[[#This Row],[pulm_pharm]]</f>
        <v>None</v>
      </c>
      <c r="AV96" s="73" t="str">
        <f>Table13[[#This Row],[cardio_24]]</f>
        <v>None of the above</v>
      </c>
      <c r="AW96" s="73">
        <f>Table13[[#This Row],[troponin_7]]</f>
        <v>0</v>
      </c>
      <c r="AX96" s="73">
        <f>Table13[[#This Row],[creatinine_base]]</f>
        <v>63</v>
      </c>
      <c r="AY96" s="73">
        <f>Table13[[#This Row],[creatinine_high]]</f>
        <v>64</v>
      </c>
      <c r="AZ96" s="73" t="str">
        <f>Table13[[#This Row],[rrt]]</f>
        <v xml:space="preserve">No </v>
      </c>
      <c r="BA96" s="73" t="str">
        <f>Table13[[#This Row],[renal_24]]</f>
        <v>Urethral catheter in-situ (not present pre-operatively)</v>
      </c>
      <c r="BB96" s="73" t="str">
        <f>Table13[[#This Row],[neuro]]</f>
        <v>None of the above</v>
      </c>
      <c r="BC96" s="73" t="str">
        <f>Table13[[#This Row],[wound]]</f>
        <v>None of the above</v>
      </c>
      <c r="BD96" s="73" t="str">
        <f>Table13[[#This Row],[haemato]]</f>
        <v>None of the above</v>
      </c>
      <c r="BE96" s="73" t="str">
        <f>Table13[[#This Row],[pain]]</f>
        <v>None of the above</v>
      </c>
      <c r="BF96" s="73" t="str">
        <f>Table13[[#This Row],[mobility]]</f>
        <v>No</v>
      </c>
      <c r="BG96" s="79" t="str">
        <f>Table13[[#This Row],[why_inpatient_7]]</f>
        <v>Medical/nursing care</v>
      </c>
      <c r="BH96" s="9">
        <f>Table13[[#This Row],[date_15]]</f>
        <v>43365</v>
      </c>
      <c r="BI96" t="str">
        <f>Table13[[#This Row],[inpatient_15]]</f>
        <v>Yes</v>
      </c>
      <c r="BJ96" t="str">
        <f>Table13[[#This Row],[comment_15]]</f>
        <v>Issues with bowels, antibiotics for celulitis</v>
      </c>
      <c r="BK96" t="str">
        <f>Table13[[#This Row],[discharge_dest]]</f>
        <v>Own Home</v>
      </c>
      <c r="BL96" t="str">
        <f>Table13[[#This Row],[complication]]</f>
        <v>II</v>
      </c>
    </row>
    <row r="97" spans="1:64" ht="18" customHeight="1">
      <c r="A97" s="73">
        <f>Table5[[#This Row],[comment]]</f>
        <v>0</v>
      </c>
      <c r="B97" s="73" t="str">
        <f>Table9[[#This Row],[surgeon]]</f>
        <v>Gordon Lawrence Carlson</v>
      </c>
      <c r="C97" s="73" t="str">
        <f>Table9[[#This Row],[surgery]]</f>
        <v>Right hemicolectomy (with anastomosis /colostomy)</v>
      </c>
      <c r="D97" s="74" t="str">
        <f>Table5[[#This Row],[pqip_consent]]</f>
        <v>No</v>
      </c>
      <c r="E97" s="73" t="str">
        <f>Table6[[#This Row],[area_surgery]]</f>
        <v>Lower GI</v>
      </c>
      <c r="F97" s="75">
        <f>Table6[[#This Row],[admission_date]]</f>
        <v>43305</v>
      </c>
      <c r="G97" s="75">
        <f>Table6[[#This Row],[admission_date]]</f>
        <v>43305</v>
      </c>
      <c r="H97" s="105">
        <f>Table6[[#This Row],[surgery_duration]]</f>
        <v>0.19791666666666666</v>
      </c>
      <c r="I97" s="73" t="str">
        <f>Table6[[#This Row],[discharge_loc]]</f>
        <v>CCU (Level 2)</v>
      </c>
      <c r="J97" s="75">
        <f>Table6[[#This Row],[discharge_date]]</f>
        <v>43361</v>
      </c>
      <c r="K97" s="76">
        <f>Table6[[#This Row],[hospital_stay]]</f>
        <v>11</v>
      </c>
      <c r="L97" s="76" t="str">
        <f>Table6[[#This Row],[readmit_30]]</f>
        <v>Yes</v>
      </c>
      <c r="M97" s="77" t="str">
        <f>Table9[[#This Row],[troponin]]</f>
        <v>Not Measured</v>
      </c>
      <c r="N97" s="78">
        <f>Table9[[#This Row],[hb]]</f>
        <v>10.9</v>
      </c>
      <c r="O97" s="78">
        <f>Table9[[#This Row],[creatinine]]</f>
        <v>82</v>
      </c>
      <c r="P97" s="78">
        <f>Table9[[#This Row],[albumin]]</f>
        <v>36</v>
      </c>
      <c r="Q97" s="73" t="str">
        <f>Table9[[#This Row],[chest_physio]]</f>
        <v>Nurse</v>
      </c>
      <c r="R97" s="73" t="str">
        <f>Table9[[#This Row],[surgery_school]]</f>
        <v>No - Wasn’t offered it</v>
      </c>
      <c r="S97" s="75">
        <f>Table9[[#This Row],[date_school]]</f>
        <v>0</v>
      </c>
      <c r="T97" s="73" t="str">
        <f>Table9[[#This Row],[app_down]]</f>
        <v>No - No electronic device</v>
      </c>
      <c r="U97" s="73" t="str">
        <f>Table9[[#This Row],[website]]</f>
        <v>No</v>
      </c>
      <c r="V97" s="73" t="str">
        <f>Table9[[#This Row],[base_activity]]</f>
        <v>No extra activity - Independent in ADLs</v>
      </c>
      <c r="W97" s="73" t="str">
        <f>Table9[[#This Row],[current_activity]]</f>
        <v>No extra activity - Independent in ADLs</v>
      </c>
      <c r="X97" s="73" t="str">
        <f>Table9[[#This Row],[activity_type]]</f>
        <v>None</v>
      </c>
      <c r="Y97" s="73" t="str">
        <f>Table9[[#This Row],[anaemia_treat]]</f>
        <v>Not applicable</v>
      </c>
      <c r="Z97" s="78" t="str">
        <f>Table9[[#This Row],[anaesthesia]]</f>
        <v>General with Inhalational</v>
      </c>
      <c r="AA97" s="78">
        <f>Table9[[#This Row],[smoke_hist]]</f>
        <v>0</v>
      </c>
      <c r="AB97" s="78">
        <f>Table9[[#This Row],[smoke_cess]]</f>
        <v>0</v>
      </c>
      <c r="AC97" s="78" t="str">
        <f>Table9[[#This Row],[tidal_vol]]</f>
        <v>Not recorded</v>
      </c>
      <c r="AD97" s="77" t="str">
        <f>Table11[[#This Row],[inc_spiro]]</f>
        <v>Not used</v>
      </c>
      <c r="AE97" s="73" t="str">
        <f>Table11[[#This Row],[t_brushes]]</f>
        <v>Twice</v>
      </c>
      <c r="AF97" s="78" t="str">
        <f>Table11[[#This Row],[m_washes]]</f>
        <v>Twice</v>
      </c>
      <c r="AG97" s="78" t="str">
        <f>Table11[[#This Row],[iv_disc]]</f>
        <v>No</v>
      </c>
      <c r="AH97" s="78" t="str">
        <f>Table11[[#This Row],[tolerate_15l]]</f>
        <v>No</v>
      </c>
      <c r="AI97" s="78" t="str">
        <f>Table11[[#This Row],[drinking]]</f>
        <v>Yes</v>
      </c>
      <c r="AJ97" s="78" t="str">
        <f>Table11[[#This Row],[oral_diet]]</f>
        <v>Yes</v>
      </c>
      <c r="AK97" s="78" t="str">
        <f>Table11[[#This Row],[mobilised]]</f>
        <v>Yes</v>
      </c>
      <c r="AL97" s="79" t="str">
        <f>Table11[[#This Row],[resp_supp]]</f>
        <v>None</v>
      </c>
      <c r="AM97" s="78" t="str">
        <f>Table11[[#This Row],[elev_head]]</f>
        <v>Yes</v>
      </c>
      <c r="AN97" s="78" t="str">
        <f>Table13[[#This Row],[in_hospital]]</f>
        <v>Yes</v>
      </c>
      <c r="AO97" s="78" t="str">
        <f>Table13[[#This Row],[location_7]]</f>
        <v>Ward</v>
      </c>
      <c r="AP97" s="78" t="str">
        <f>Table13[[#This Row],[infec_24]]</f>
        <v>None of the above</v>
      </c>
      <c r="AQ97" s="73" t="str">
        <f>Table13[[#This Row],[infec_7]]</f>
        <v>None</v>
      </c>
      <c r="AR97" s="73" t="str">
        <f>Table13[[#This Row],[gastro]]</f>
        <v>Experienced nausea, vomiting or distension</v>
      </c>
      <c r="AS97" s="73" t="str">
        <f>Table13[[#This Row],[pulm_supp_24]]</f>
        <v>None of the above</v>
      </c>
      <c r="AT97" s="73" t="str">
        <f>Table13[[#This Row],[pulm_supp_7]]</f>
        <v>None</v>
      </c>
      <c r="AU97" s="73" t="str">
        <f>Table13[[#This Row],[pulm_pharm]]</f>
        <v>None</v>
      </c>
      <c r="AV97" s="73" t="str">
        <f>Table13[[#This Row],[cardio_24]]</f>
        <v>None of the above</v>
      </c>
      <c r="AW97" s="73">
        <f>Table13[[#This Row],[troponin_7]]</f>
        <v>0</v>
      </c>
      <c r="AX97" s="73">
        <f>Table13[[#This Row],[creatinine_base]]</f>
        <v>82</v>
      </c>
      <c r="AY97" s="73">
        <f>Table13[[#This Row],[creatinine_high]]</f>
        <v>104</v>
      </c>
      <c r="AZ97" s="73" t="str">
        <f>Table13[[#This Row],[rrt]]</f>
        <v xml:space="preserve">No </v>
      </c>
      <c r="BA97" s="73" t="str">
        <f>Table13[[#This Row],[renal_24]]</f>
        <v>None of the above</v>
      </c>
      <c r="BB97" s="73" t="str">
        <f>Table13[[#This Row],[neuro]]</f>
        <v>None of the above</v>
      </c>
      <c r="BC97" s="73" t="str">
        <f>Table13[[#This Row],[wound]]</f>
        <v>None of the above</v>
      </c>
      <c r="BD97" s="73" t="str">
        <f>Table13[[#This Row],[haemato]]</f>
        <v>None of the above</v>
      </c>
      <c r="BE97" s="73" t="str">
        <f>Table13[[#This Row],[pain]]</f>
        <v>None of the above</v>
      </c>
      <c r="BF97" s="73" t="str">
        <f>Table13[[#This Row],[mobility]]</f>
        <v>Yes</v>
      </c>
      <c r="BG97" s="79" t="str">
        <f>Table13[[#This Row],[why_inpatient_7]]</f>
        <v>Medical/nursing care</v>
      </c>
      <c r="BH97" s="9">
        <f>Table13[[#This Row],[date_15]]</f>
        <v>43364</v>
      </c>
      <c r="BI97" t="str">
        <f>Table13[[#This Row],[inpatient_15]]</f>
        <v>No</v>
      </c>
      <c r="BJ97">
        <f>Table13[[#This Row],[comment_15]]</f>
        <v>0</v>
      </c>
      <c r="BK97" t="str">
        <f>Table13[[#This Row],[discharge_dest]]</f>
        <v>Own Home</v>
      </c>
      <c r="BL97" t="str">
        <f>Table13[[#This Row],[complication]]</f>
        <v>None</v>
      </c>
    </row>
    <row r="98" spans="1:64" ht="18" customHeight="1">
      <c r="A98" s="73" t="str">
        <f>Table5[[#This Row],[comment]]</f>
        <v>Cancelled</v>
      </c>
      <c r="B98" s="73" t="str">
        <f>Table9[[#This Row],[surgeon]]</f>
        <v>Irfan Siddique</v>
      </c>
      <c r="C98" s="73" t="str">
        <f>Table9[[#This Row],[surgery]]</f>
        <v>Posterior spinal osteotomy</v>
      </c>
      <c r="D98" s="74" t="str">
        <f>Table5[[#This Row],[pqip_consent]]</f>
        <v>No</v>
      </c>
      <c r="E98" s="73" t="str">
        <f>Table6[[#This Row],[area_surgery]]</f>
        <v>Other</v>
      </c>
      <c r="F98" s="75">
        <f>Table6[[#This Row],[admission_date]]</f>
        <v>43350</v>
      </c>
      <c r="G98" s="75">
        <f>Table6[[#This Row],[admission_date]]</f>
        <v>43350</v>
      </c>
      <c r="H98" s="105">
        <f>Table6[[#This Row],[surgery_duration]]</f>
        <v>0</v>
      </c>
      <c r="I98" s="73" t="str">
        <f>Table6[[#This Row],[discharge_loc]]</f>
        <v>NHDU (Level 2)</v>
      </c>
      <c r="J98" s="75">
        <f>Table6[[#This Row],[discharge_date]]</f>
        <v>0</v>
      </c>
      <c r="K98" s="76">
        <f>Table6[[#This Row],[hospital_stay]]</f>
        <v>-43353</v>
      </c>
      <c r="L98" s="76">
        <f>Table6[[#This Row],[readmit_30]]</f>
        <v>0</v>
      </c>
      <c r="M98" s="77" t="str">
        <f>Table9[[#This Row],[troponin]]</f>
        <v>Not Measured</v>
      </c>
      <c r="N98" s="78">
        <f>Table9[[#This Row],[hb]]</f>
        <v>13.6</v>
      </c>
      <c r="O98" s="78">
        <f>Table9[[#This Row],[creatinine]]</f>
        <v>54</v>
      </c>
      <c r="P98" s="78">
        <f>Table9[[#This Row],[albumin]]</f>
        <v>48</v>
      </c>
      <c r="Q98" s="73" t="str">
        <f>Table9[[#This Row],[chest_physio]]</f>
        <v>Nurse</v>
      </c>
      <c r="R98" s="73" t="str">
        <f>Table9[[#This Row],[surgery_school]]</f>
        <v>No - Wasn’t offered it</v>
      </c>
      <c r="S98" s="75">
        <f>Table9[[#This Row],[date_school]]</f>
        <v>0</v>
      </c>
      <c r="T98" s="73">
        <f>Table9[[#This Row],[app_down]]</f>
        <v>0</v>
      </c>
      <c r="U98" s="73">
        <f>Table9[[#This Row],[website]]</f>
        <v>0</v>
      </c>
      <c r="V98" s="73">
        <f>Table9[[#This Row],[base_activity]]</f>
        <v>0</v>
      </c>
      <c r="W98" s="73">
        <f>Table9[[#This Row],[current_activity]]</f>
        <v>0</v>
      </c>
      <c r="X98" s="73">
        <f>Table9[[#This Row],[activity_type]]</f>
        <v>0</v>
      </c>
      <c r="Y98" s="73" t="str">
        <f>Table9[[#This Row],[anaemia_treat]]</f>
        <v>Not applicable</v>
      </c>
      <c r="Z98" s="78">
        <f>Table9[[#This Row],[anaesthesia]]</f>
        <v>0</v>
      </c>
      <c r="AA98" s="78">
        <f>Table9[[#This Row],[smoke_hist]]</f>
        <v>0</v>
      </c>
      <c r="AB98" s="78">
        <f>Table9[[#This Row],[smoke_cess]]</f>
        <v>0</v>
      </c>
      <c r="AC98" s="78" t="str">
        <f>Table9[[#This Row],[tidal_vol]]</f>
        <v>Not recorded</v>
      </c>
      <c r="AD98" s="77">
        <f>Table11[[#This Row],[inc_spiro]]</f>
        <v>0</v>
      </c>
      <c r="AE98" s="73">
        <f>Table11[[#This Row],[t_brushes]]</f>
        <v>0</v>
      </c>
      <c r="AF98" s="78">
        <f>Table11[[#This Row],[m_washes]]</f>
        <v>0</v>
      </c>
      <c r="AG98" s="78">
        <f>Table11[[#This Row],[iv_disc]]</f>
        <v>0</v>
      </c>
      <c r="AH98" s="78">
        <f>Table11[[#This Row],[tolerate_15l]]</f>
        <v>0</v>
      </c>
      <c r="AI98" s="78">
        <f>Table11[[#This Row],[drinking]]</f>
        <v>0</v>
      </c>
      <c r="AJ98" s="78">
        <f>Table11[[#This Row],[oral_diet]]</f>
        <v>0</v>
      </c>
      <c r="AK98" s="78">
        <f>Table11[[#This Row],[mobilised]]</f>
        <v>0</v>
      </c>
      <c r="AL98" s="79">
        <f>Table11[[#This Row],[resp_supp]]</f>
        <v>0</v>
      </c>
      <c r="AM98" s="78">
        <f>Table11[[#This Row],[elev_head]]</f>
        <v>0</v>
      </c>
      <c r="AN98" s="78">
        <f>Table13[[#This Row],[in_hospital]]</f>
        <v>0</v>
      </c>
      <c r="AO98" s="78">
        <f>Table13[[#This Row],[location_7]]</f>
        <v>0</v>
      </c>
      <c r="AP98" s="78">
        <f>Table13[[#This Row],[infec_24]]</f>
        <v>0</v>
      </c>
      <c r="AQ98" s="73">
        <f>Table13[[#This Row],[infec_7]]</f>
        <v>0</v>
      </c>
      <c r="AR98" s="73">
        <f>Table13[[#This Row],[gastro]]</f>
        <v>0</v>
      </c>
      <c r="AS98" s="73">
        <f>Table13[[#This Row],[pulm_supp_24]]</f>
        <v>0</v>
      </c>
      <c r="AT98" s="73">
        <f>Table13[[#This Row],[pulm_supp_7]]</f>
        <v>0</v>
      </c>
      <c r="AU98" s="73">
        <f>Table13[[#This Row],[pulm_pharm]]</f>
        <v>0</v>
      </c>
      <c r="AV98" s="73">
        <f>Table13[[#This Row],[cardio_24]]</f>
        <v>0</v>
      </c>
      <c r="AW98" s="73">
        <f>Table13[[#This Row],[troponin_7]]</f>
        <v>0</v>
      </c>
      <c r="AX98" s="73">
        <f>Table13[[#This Row],[creatinine_base]]</f>
        <v>0</v>
      </c>
      <c r="AY98" s="73">
        <f>Table13[[#This Row],[creatinine_high]]</f>
        <v>0</v>
      </c>
      <c r="AZ98" s="73">
        <f>Table13[[#This Row],[rrt]]</f>
        <v>0</v>
      </c>
      <c r="BA98" s="73">
        <f>Table13[[#This Row],[renal_24]]</f>
        <v>0</v>
      </c>
      <c r="BB98" s="73">
        <f>Table13[[#This Row],[neuro]]</f>
        <v>0</v>
      </c>
      <c r="BC98" s="73">
        <f>Table13[[#This Row],[wound]]</f>
        <v>0</v>
      </c>
      <c r="BD98" s="73">
        <f>Table13[[#This Row],[haemato]]</f>
        <v>0</v>
      </c>
      <c r="BE98" s="73">
        <f>Table13[[#This Row],[pain]]</f>
        <v>0</v>
      </c>
      <c r="BF98" s="73">
        <f>Table13[[#This Row],[mobility]]</f>
        <v>0</v>
      </c>
      <c r="BG98" s="79">
        <f>Table13[[#This Row],[why_inpatient_7]]</f>
        <v>0</v>
      </c>
      <c r="BH98" s="9">
        <f>Table13[[#This Row],[date_15]]</f>
        <v>0</v>
      </c>
      <c r="BI98">
        <f>Table13[[#This Row],[inpatient_15]]</f>
        <v>0</v>
      </c>
      <c r="BJ98">
        <f>Table13[[#This Row],[comment_15]]</f>
        <v>0</v>
      </c>
      <c r="BK98">
        <f>Table13[[#This Row],[discharge_dest]]</f>
        <v>0</v>
      </c>
      <c r="BL98">
        <f>Table13[[#This Row],[complication]]</f>
        <v>0</v>
      </c>
    </row>
    <row r="99" spans="1:64" ht="18" customHeight="1">
      <c r="A99" s="73">
        <f>Table5[[#This Row],[comment]]</f>
        <v>0</v>
      </c>
      <c r="B99" s="73" t="str">
        <f>Table9[[#This Row],[surgeon]]</f>
        <v>Jonathan Vickers</v>
      </c>
      <c r="C99" s="73" t="str">
        <f>Table9[[#This Row],[surgery]]</f>
        <v>Oesophagectomy (partial /total)/Oesophagogastrectomy</v>
      </c>
      <c r="D99" s="74" t="str">
        <f>Table5[[#This Row],[pqip_consent]]</f>
        <v>Yes</v>
      </c>
      <c r="E99" s="73" t="str">
        <f>Table6[[#This Row],[area_surgery]]</f>
        <v>Upper GI</v>
      </c>
      <c r="F99" s="75">
        <f>Table6[[#This Row],[admission_date]]</f>
        <v>43353</v>
      </c>
      <c r="G99" s="75">
        <f>Table6[[#This Row],[admission_date]]</f>
        <v>43353</v>
      </c>
      <c r="H99" s="105">
        <f>Table6[[#This Row],[surgery_duration]]</f>
        <v>0.22916666666666666</v>
      </c>
      <c r="I99" s="73" t="str">
        <f>Table6[[#This Row],[discharge_loc]]</f>
        <v>CCU (Level 3)</v>
      </c>
      <c r="J99" s="75">
        <f>Table6[[#This Row],[discharge_date]]</f>
        <v>43386</v>
      </c>
      <c r="K99" s="76">
        <f>Table6[[#This Row],[hospital_stay]]</f>
        <v>33</v>
      </c>
      <c r="L99" s="76">
        <f>Table6[[#This Row],[readmit_30]]</f>
        <v>0</v>
      </c>
      <c r="M99" s="77" t="str">
        <f>Table9[[#This Row],[troponin]]</f>
        <v>Not Measured</v>
      </c>
      <c r="N99" s="78">
        <f>Table9[[#This Row],[hb]]</f>
        <v>13.4</v>
      </c>
      <c r="O99" s="78">
        <f>Table9[[#This Row],[creatinine]]</f>
        <v>52</v>
      </c>
      <c r="P99" s="78">
        <f>Table9[[#This Row],[albumin]]</f>
        <v>45</v>
      </c>
      <c r="Q99" s="73" t="str">
        <f>Table9[[#This Row],[chest_physio]]</f>
        <v>Nurse</v>
      </c>
      <c r="R99" s="73" t="str">
        <f>Table9[[#This Row],[surgery_school]]</f>
        <v>No - Wasn’t offered it</v>
      </c>
      <c r="S99" s="75">
        <f>Table9[[#This Row],[date_school]]</f>
        <v>0</v>
      </c>
      <c r="T99" s="73" t="str">
        <f>Table9[[#This Row],[app_down]]</f>
        <v>No - No electronic device</v>
      </c>
      <c r="U99" s="73" t="str">
        <f>Table9[[#This Row],[website]]</f>
        <v>No</v>
      </c>
      <c r="V99" s="73" t="str">
        <f>Table9[[#This Row],[base_activity]]</f>
        <v>30mins of moderate activity</v>
      </c>
      <c r="W99" s="73" t="str">
        <f>Table9[[#This Row],[current_activity]]</f>
        <v>30mins of moderate activity</v>
      </c>
      <c r="X99" s="73" t="str">
        <f>Table9[[#This Row],[activity_type]]</f>
        <v xml:space="preserve">Walking regularly </v>
      </c>
      <c r="Y99" s="73" t="str">
        <f>Table9[[#This Row],[anaemia_treat]]</f>
        <v>Not applicable</v>
      </c>
      <c r="Z99" s="78" t="str">
        <f>Table9[[#This Row],[anaesthesia]]</f>
        <v>General with Inhalational</v>
      </c>
      <c r="AA99" s="78">
        <f>Table9[[#This Row],[smoke_hist]]</f>
        <v>0</v>
      </c>
      <c r="AB99" s="78">
        <f>Table9[[#This Row],[smoke_cess]]</f>
        <v>0</v>
      </c>
      <c r="AC99" s="78" t="str">
        <f>Table9[[#This Row],[tidal_vol]]</f>
        <v>Not recorded</v>
      </c>
      <c r="AD99" s="77" t="str">
        <f>Table11[[#This Row],[inc_spiro]]</f>
        <v>&gt;Two</v>
      </c>
      <c r="AE99" s="73" t="str">
        <f>Table11[[#This Row],[t_brushes]]</f>
        <v>Twice</v>
      </c>
      <c r="AF99" s="78" t="str">
        <f>Table11[[#This Row],[m_washes]]</f>
        <v>Once</v>
      </c>
      <c r="AG99" s="78" t="str">
        <f>Table11[[#This Row],[iv_disc]]</f>
        <v>No</v>
      </c>
      <c r="AH99" s="78" t="str">
        <f>Table11[[#This Row],[tolerate_15l]]</f>
        <v>Not applicable</v>
      </c>
      <c r="AI99" s="78" t="str">
        <f>Table11[[#This Row],[drinking]]</f>
        <v>No</v>
      </c>
      <c r="AJ99" s="78" t="str">
        <f>Table11[[#This Row],[oral_diet]]</f>
        <v>No</v>
      </c>
      <c r="AK99" s="78" t="str">
        <f>Table11[[#This Row],[mobilised]]</f>
        <v>Yes</v>
      </c>
      <c r="AL99" s="79" t="str">
        <f>Table11[[#This Row],[resp_supp]]</f>
        <v>None</v>
      </c>
      <c r="AM99" s="78" t="str">
        <f>Table11[[#This Row],[elev_head]]</f>
        <v>Yes</v>
      </c>
      <c r="AN99" s="78" t="str">
        <f>Table13[[#This Row],[in_hospital]]</f>
        <v>Yes</v>
      </c>
      <c r="AO99" s="78" t="str">
        <f>Table13[[#This Row],[location_7]]</f>
        <v>Level 2</v>
      </c>
      <c r="AP99" s="78" t="str">
        <f>Table13[[#This Row],[infec_24]]</f>
        <v>None of the above</v>
      </c>
      <c r="AQ99" s="73" t="str">
        <f>Table13[[#This Row],[infec_7]]</f>
        <v>None</v>
      </c>
      <c r="AR99" s="73" t="str">
        <f>Table13[[#This Row],[gastro]]</f>
        <v>Unable to tolerate enteral diet</v>
      </c>
      <c r="AS99" s="73" t="str">
        <f>Table13[[#This Row],[pulm_supp_24]]</f>
        <v>None of the above</v>
      </c>
      <c r="AT99" s="73" t="str">
        <f>Table13[[#This Row],[pulm_supp_7]]</f>
        <v>None</v>
      </c>
      <c r="AU99" s="73" t="str">
        <f>Table13[[#This Row],[pulm_pharm]]</f>
        <v>Bronchodilators nebulised</v>
      </c>
      <c r="AV99" s="73" t="str">
        <f>Table13[[#This Row],[cardio_24]]</f>
        <v>Hypotension</v>
      </c>
      <c r="AW99" s="73">
        <f>Table13[[#This Row],[troponin_7]]</f>
        <v>0</v>
      </c>
      <c r="AX99" s="73">
        <f>Table13[[#This Row],[creatinine_base]]</f>
        <v>52</v>
      </c>
      <c r="AY99" s="73">
        <f>Table13[[#This Row],[creatinine_high]]</f>
        <v>52</v>
      </c>
      <c r="AZ99" s="73" t="str">
        <f>Table13[[#This Row],[rrt]]</f>
        <v xml:space="preserve">No </v>
      </c>
      <c r="BA99" s="73" t="str">
        <f>Table13[[#This Row],[renal_24]]</f>
        <v>Urethral catheter in-situ (not present pre-operatively)</v>
      </c>
      <c r="BB99" s="73" t="str">
        <f>Table13[[#This Row],[neuro]]</f>
        <v>None of the above</v>
      </c>
      <c r="BC99" s="73" t="str">
        <f>Table13[[#This Row],[wound]]</f>
        <v>Drainage of pus/Swab taken</v>
      </c>
      <c r="BD99" s="73" t="str">
        <f>Table13[[#This Row],[haemato]]</f>
        <v>None of the above</v>
      </c>
      <c r="BE99" s="73" t="str">
        <f>Table13[[#This Row],[pain]]</f>
        <v>Parenteral opioids</v>
      </c>
      <c r="BF99" s="73" t="str">
        <f>Table13[[#This Row],[mobility]]</f>
        <v>Yes</v>
      </c>
      <c r="BG99" s="79" t="str">
        <f>Table13[[#This Row],[why_inpatient_7]]</f>
        <v>Medical/nursing care</v>
      </c>
      <c r="BH99" s="9">
        <f>Table13[[#This Row],[date_15]]</f>
        <v>43368</v>
      </c>
      <c r="BI99" t="str">
        <f>Table13[[#This Row],[inpatient_15]]</f>
        <v>Yes</v>
      </c>
      <c r="BJ99" t="str">
        <f>Table13[[#This Row],[comment_15]]</f>
        <v xml:space="preserve">Day 8: chest drain in situ; Day 11: Raised inflamatory markers; Day 13: Pyrexial, cellulitis in thoracotomy with small gap in wound, IV abx and CT;  Day 14: Treated as wound infection and small anastomotic leak, also NBM and antifungal. </v>
      </c>
      <c r="BK99" t="str">
        <f>Table13[[#This Row],[discharge_dest]]</f>
        <v>Own Home</v>
      </c>
      <c r="BL99" t="str">
        <f>Table13[[#This Row],[complication]]</f>
        <v>II, IIIA</v>
      </c>
    </row>
    <row r="100" spans="1:64" ht="18" customHeight="1">
      <c r="A100" s="73">
        <f>Table5[[#This Row],[comment]]</f>
        <v>0</v>
      </c>
      <c r="B100" s="73" t="str">
        <f>Table9[[#This Row],[surgeon]]</f>
        <v>Ramakrishna Chaparala</v>
      </c>
      <c r="C100" s="73" t="str">
        <f>Table9[[#This Row],[surgery]]</f>
        <v>Gastrectomy (partial / total) with excision of surrounding tissue</v>
      </c>
      <c r="D100" s="74" t="str">
        <f>Table5[[#This Row],[pqip_consent]]</f>
        <v>Yes</v>
      </c>
      <c r="E100" s="73" t="str">
        <f>Table6[[#This Row],[area_surgery]]</f>
        <v>Upper GI</v>
      </c>
      <c r="F100" s="75">
        <f>Table6[[#This Row],[admission_date]]</f>
        <v>43353</v>
      </c>
      <c r="G100" s="75">
        <f>Table6[[#This Row],[admission_date]]</f>
        <v>43353</v>
      </c>
      <c r="H100" s="105">
        <f>Table6[[#This Row],[surgery_duration]]</f>
        <v>0.41666666666666669</v>
      </c>
      <c r="I100" s="73" t="str">
        <f>Table6[[#This Row],[discharge_loc]]</f>
        <v>CCU (Level 2)</v>
      </c>
      <c r="J100" s="75">
        <f>Table6[[#This Row],[discharge_date]]</f>
        <v>43372</v>
      </c>
      <c r="K100" s="76">
        <f>Table6[[#This Row],[hospital_stay]]</f>
        <v>19</v>
      </c>
      <c r="L100" s="76" t="str">
        <f>Table6[[#This Row],[readmit_30]]</f>
        <v>No</v>
      </c>
      <c r="M100" s="77" t="str">
        <f>Table9[[#This Row],[troponin]]</f>
        <v>Not Measured</v>
      </c>
      <c r="N100" s="78">
        <f>Table9[[#This Row],[hb]]</f>
        <v>14.3</v>
      </c>
      <c r="O100" s="78">
        <f>Table9[[#This Row],[creatinine]]</f>
        <v>136</v>
      </c>
      <c r="P100" s="78">
        <f>Table9[[#This Row],[albumin]]</f>
        <v>42</v>
      </c>
      <c r="Q100" s="73" t="str">
        <f>Table9[[#This Row],[chest_physio]]</f>
        <v>Nurse</v>
      </c>
      <c r="R100" s="73" t="str">
        <f>Table9[[#This Row],[surgery_school]]</f>
        <v>No - Wasn’t offered it</v>
      </c>
      <c r="S100" s="75">
        <f>Table9[[#This Row],[date_school]]</f>
        <v>0</v>
      </c>
      <c r="T100" s="73" t="str">
        <f>Table9[[#This Row],[app_down]]</f>
        <v>No - No electronic device</v>
      </c>
      <c r="U100" s="73" t="str">
        <f>Table9[[#This Row],[website]]</f>
        <v>No</v>
      </c>
      <c r="V100" s="73" t="str">
        <f>Table9[[#This Row],[base_activity]]</f>
        <v>30mins of moderate activity</v>
      </c>
      <c r="W100" s="73" t="str">
        <f>Table9[[#This Row],[current_activity]]</f>
        <v>30mins of moderate activity</v>
      </c>
      <c r="X100" s="73" t="str">
        <f>Table9[[#This Row],[activity_type]]</f>
        <v>Exercise bicycle at home</v>
      </c>
      <c r="Y100" s="73" t="str">
        <f>Table9[[#This Row],[anaemia_treat]]</f>
        <v>Not applicable</v>
      </c>
      <c r="Z100" s="78" t="str">
        <f>Table9[[#This Row],[anaesthesia]]</f>
        <v>General with TIVA</v>
      </c>
      <c r="AA100" s="78">
        <f>Table9[[#This Row],[smoke_hist]]</f>
        <v>0</v>
      </c>
      <c r="AB100" s="78">
        <f>Table9[[#This Row],[smoke_cess]]</f>
        <v>0</v>
      </c>
      <c r="AC100" s="78" t="str">
        <f>Table9[[#This Row],[tidal_vol]]</f>
        <v>Not recorded</v>
      </c>
      <c r="AD100" s="77" t="str">
        <f>Table11[[#This Row],[inc_spiro]]</f>
        <v>Not used</v>
      </c>
      <c r="AE100" s="73">
        <f>Table11[[#This Row],[t_brushes]]</f>
        <v>0</v>
      </c>
      <c r="AF100" s="78">
        <f>Table11[[#This Row],[m_washes]]</f>
        <v>0</v>
      </c>
      <c r="AG100" s="78" t="str">
        <f>Table11[[#This Row],[iv_disc]]</f>
        <v>No</v>
      </c>
      <c r="AH100" s="78" t="str">
        <f>Table11[[#This Row],[tolerate_15l]]</f>
        <v>No</v>
      </c>
      <c r="AI100" s="78" t="str">
        <f>Table11[[#This Row],[drinking]]</f>
        <v>Yes</v>
      </c>
      <c r="AJ100" s="78" t="str">
        <f>Table11[[#This Row],[oral_diet]]</f>
        <v>No</v>
      </c>
      <c r="AK100" s="78" t="str">
        <f>Table11[[#This Row],[mobilised]]</f>
        <v>Yes</v>
      </c>
      <c r="AL100" s="79" t="str">
        <f>Table11[[#This Row],[resp_supp]]</f>
        <v>None</v>
      </c>
      <c r="AM100" s="78" t="str">
        <f>Table11[[#This Row],[elev_head]]</f>
        <v>Yes</v>
      </c>
      <c r="AN100" s="78" t="str">
        <f>Table13[[#This Row],[in_hospital]]</f>
        <v>Yes</v>
      </c>
      <c r="AO100" s="78" t="str">
        <f>Table13[[#This Row],[location_7]]</f>
        <v>Ward</v>
      </c>
      <c r="AP100" s="78" t="str">
        <f>Table13[[#This Row],[infec_24]]</f>
        <v>None of the above</v>
      </c>
      <c r="AQ100" s="73" t="str">
        <f>Table13[[#This Row],[infec_7]]</f>
        <v>None</v>
      </c>
      <c r="AR100" s="73" t="str">
        <f>Table13[[#This Row],[gastro]]</f>
        <v>Unable to tolerate enteral diet</v>
      </c>
      <c r="AS100" s="73" t="str">
        <f>Table13[[#This Row],[pulm_supp_24]]</f>
        <v>None of the above</v>
      </c>
      <c r="AT100" s="73" t="str">
        <f>Table13[[#This Row],[pulm_supp_7]]</f>
        <v>None</v>
      </c>
      <c r="AU100" s="73" t="str">
        <f>Table13[[#This Row],[pulm_pharm]]</f>
        <v>None</v>
      </c>
      <c r="AV100" s="73" t="str">
        <f>Table13[[#This Row],[cardio_24]]</f>
        <v>None of the above</v>
      </c>
      <c r="AW100" s="73">
        <f>Table13[[#This Row],[troponin_7]]</f>
        <v>0</v>
      </c>
      <c r="AX100" s="73">
        <f>Table13[[#This Row],[creatinine_base]]</f>
        <v>136</v>
      </c>
      <c r="AY100" s="73">
        <f>Table13[[#This Row],[creatinine_high]]</f>
        <v>130</v>
      </c>
      <c r="AZ100" s="73" t="str">
        <f>Table13[[#This Row],[rrt]]</f>
        <v xml:space="preserve">No </v>
      </c>
      <c r="BA100" s="73" t="str">
        <f>Table13[[#This Row],[renal_24]]</f>
        <v>None of the above</v>
      </c>
      <c r="BB100" s="73" t="str">
        <f>Table13[[#This Row],[neuro]]</f>
        <v>None of the above</v>
      </c>
      <c r="BC100" s="73" t="str">
        <f>Table13[[#This Row],[wound]]</f>
        <v>None of the above</v>
      </c>
      <c r="BD100" s="73" t="str">
        <f>Table13[[#This Row],[haemato]]</f>
        <v>None of the above</v>
      </c>
      <c r="BE100" s="73" t="str">
        <f>Table13[[#This Row],[pain]]</f>
        <v>None of the above</v>
      </c>
      <c r="BF100" s="73" t="str">
        <f>Table13[[#This Row],[mobility]]</f>
        <v>Yes</v>
      </c>
      <c r="BG100" s="79" t="str">
        <f>Table13[[#This Row],[why_inpatient_7]]</f>
        <v>Medical/nursing care</v>
      </c>
      <c r="BH100" s="9">
        <f>Table13[[#This Row],[date_15]]</f>
        <v>43368</v>
      </c>
      <c r="BI100" t="str">
        <f>Table13[[#This Row],[inpatient_15]]</f>
        <v>Yes</v>
      </c>
      <c r="BJ100" t="str">
        <f>Table13[[#This Row],[comment_15]]</f>
        <v>Pyrexial with abdominal pain (CT scan and empirical abx prescribed) on day 9, PN ongoing (since day 11), episodes of diarrhoea, day 14: CT reveals increased amount of free fluid in in the abdomen</v>
      </c>
      <c r="BK100" t="str">
        <f>Table13[[#This Row],[discharge_dest]]</f>
        <v>Own Home</v>
      </c>
      <c r="BL100" t="str">
        <f>Table13[[#This Row],[complication]]</f>
        <v>II</v>
      </c>
    </row>
    <row r="101" spans="1:64" ht="18" customHeight="1">
      <c r="A101" s="73">
        <f>Table5[[#This Row],[comment]]</f>
        <v>0</v>
      </c>
      <c r="B101" s="73" t="str">
        <f>Table9[[#This Row],[surgeon]]</f>
        <v>Dominic Slade, Mattias Soop</v>
      </c>
      <c r="C101" s="73" t="str">
        <f>Table9[[#This Row],[surgery]]</f>
        <v>Excision of ileo anal pouch and formation of end ileostomy</v>
      </c>
      <c r="D101" s="74" t="str">
        <f>Table5[[#This Row],[pqip_consent]]</f>
        <v>Yes</v>
      </c>
      <c r="E101" s="73" t="str">
        <f>Table6[[#This Row],[area_surgery]]</f>
        <v>Lower GI</v>
      </c>
      <c r="F101" s="75">
        <f>Table6[[#This Row],[admission_date]]</f>
        <v>43353</v>
      </c>
      <c r="G101" s="75">
        <f>Table6[[#This Row],[admission_date]]</f>
        <v>43353</v>
      </c>
      <c r="H101" s="105">
        <f>Table6[[#This Row],[surgery_duration]]</f>
        <v>0.45833333333333331</v>
      </c>
      <c r="I101" s="73" t="str">
        <f>Table6[[#This Row],[discharge_loc]]</f>
        <v>H6</v>
      </c>
      <c r="J101" s="75">
        <f>Table6[[#This Row],[discharge_date]]</f>
        <v>43358</v>
      </c>
      <c r="K101" s="76">
        <f>Table6[[#This Row],[hospital_stay]]</f>
        <v>5</v>
      </c>
      <c r="L101" s="76" t="str">
        <f>Table6[[#This Row],[readmit_30]]</f>
        <v>No</v>
      </c>
      <c r="M101" s="77" t="str">
        <f>Table9[[#This Row],[troponin]]</f>
        <v>Not Measured</v>
      </c>
      <c r="N101" s="78">
        <f>Table9[[#This Row],[hb]]</f>
        <v>13.9</v>
      </c>
      <c r="O101" s="78">
        <f>Table9[[#This Row],[creatinine]]</f>
        <v>77</v>
      </c>
      <c r="P101" s="78" t="str">
        <f>Table9[[#This Row],[albumin]]</f>
        <v>Not Measured</v>
      </c>
      <c r="Q101" s="73" t="str">
        <f>Table9[[#This Row],[chest_physio]]</f>
        <v>No</v>
      </c>
      <c r="R101" s="73" t="str">
        <f>Table9[[#This Row],[surgery_school]]</f>
        <v>No - Wasn’t offered it</v>
      </c>
      <c r="S101" s="75">
        <f>Table9[[#This Row],[date_school]]</f>
        <v>0</v>
      </c>
      <c r="T101" s="73" t="str">
        <f>Table9[[#This Row],[app_down]]</f>
        <v>No - No electronic device</v>
      </c>
      <c r="U101" s="73" t="str">
        <f>Table9[[#This Row],[website]]</f>
        <v>No</v>
      </c>
      <c r="V101" s="73" t="str">
        <f>Table9[[#This Row],[base_activity]]</f>
        <v>30mins of moderate activity</v>
      </c>
      <c r="W101" s="73" t="str">
        <f>Table9[[#This Row],[current_activity]]</f>
        <v>30mins of moderate activity</v>
      </c>
      <c r="X101" s="73" t="str">
        <f>Table9[[#This Row],[activity_type]]</f>
        <v xml:space="preserve">Walking regularly </v>
      </c>
      <c r="Y101" s="73" t="str">
        <f>Table9[[#This Row],[anaemia_treat]]</f>
        <v>Not applicable</v>
      </c>
      <c r="Z101" s="78" t="str">
        <f>Table9[[#This Row],[anaesthesia]]</f>
        <v>General with TIVA</v>
      </c>
      <c r="AA101" s="78">
        <f>Table9[[#This Row],[smoke_hist]]</f>
        <v>0</v>
      </c>
      <c r="AB101" s="78">
        <f>Table9[[#This Row],[smoke_cess]]</f>
        <v>0</v>
      </c>
      <c r="AC101" s="78" t="str">
        <f>Table9[[#This Row],[tidal_vol]]</f>
        <v>Not recorded</v>
      </c>
      <c r="AD101" s="77" t="str">
        <f>Table11[[#This Row],[inc_spiro]]</f>
        <v>Not used</v>
      </c>
      <c r="AE101" s="73" t="str">
        <f>Table11[[#This Row],[t_brushes]]</f>
        <v>Once</v>
      </c>
      <c r="AF101" s="78">
        <f>Table11[[#This Row],[m_washes]]</f>
        <v>0</v>
      </c>
      <c r="AG101" s="78" t="str">
        <f>Table11[[#This Row],[iv_disc]]</f>
        <v>No</v>
      </c>
      <c r="AH101" s="78" t="str">
        <f>Table11[[#This Row],[tolerate_15l]]</f>
        <v>Not applicable</v>
      </c>
      <c r="AI101" s="78" t="str">
        <f>Table11[[#This Row],[drinking]]</f>
        <v>No</v>
      </c>
      <c r="AJ101" s="78" t="str">
        <f>Table11[[#This Row],[oral_diet]]</f>
        <v>No</v>
      </c>
      <c r="AK101" s="78" t="str">
        <f>Table11[[#This Row],[mobilised]]</f>
        <v>Yes</v>
      </c>
      <c r="AL101" s="79" t="str">
        <f>Table11[[#This Row],[resp_supp]]</f>
        <v>None</v>
      </c>
      <c r="AM101" s="78" t="str">
        <f>Table11[[#This Row],[elev_head]]</f>
        <v>Yes</v>
      </c>
      <c r="AN101" s="78" t="str">
        <f>Table13[[#This Row],[in_hospital]]</f>
        <v>No</v>
      </c>
      <c r="AO101" s="78">
        <f>Table13[[#This Row],[location_7]]</f>
        <v>0</v>
      </c>
      <c r="AP101" s="78">
        <f>Table13[[#This Row],[infec_24]]</f>
        <v>0</v>
      </c>
      <c r="AQ101" s="73">
        <f>Table13[[#This Row],[infec_7]]</f>
        <v>0</v>
      </c>
      <c r="AR101" s="73">
        <f>Table13[[#This Row],[gastro]]</f>
        <v>0</v>
      </c>
      <c r="AS101" s="73">
        <f>Table13[[#This Row],[pulm_supp_24]]</f>
        <v>0</v>
      </c>
      <c r="AT101" s="73">
        <f>Table13[[#This Row],[pulm_supp_7]]</f>
        <v>0</v>
      </c>
      <c r="AU101" s="73">
        <f>Table13[[#This Row],[pulm_pharm]]</f>
        <v>0</v>
      </c>
      <c r="AV101" s="73">
        <f>Table13[[#This Row],[cardio_24]]</f>
        <v>0</v>
      </c>
      <c r="AW101" s="73">
        <f>Table13[[#This Row],[troponin_7]]</f>
        <v>0</v>
      </c>
      <c r="AX101" s="73">
        <f>Table13[[#This Row],[creatinine_base]]</f>
        <v>0</v>
      </c>
      <c r="AY101" s="73">
        <f>Table13[[#This Row],[creatinine_high]]</f>
        <v>0</v>
      </c>
      <c r="AZ101" s="73">
        <f>Table13[[#This Row],[rrt]]</f>
        <v>0</v>
      </c>
      <c r="BA101" s="73">
        <f>Table13[[#This Row],[renal_24]]</f>
        <v>0</v>
      </c>
      <c r="BB101" s="73">
        <f>Table13[[#This Row],[neuro]]</f>
        <v>0</v>
      </c>
      <c r="BC101" s="73">
        <f>Table13[[#This Row],[wound]]</f>
        <v>0</v>
      </c>
      <c r="BD101" s="73">
        <f>Table13[[#This Row],[haemato]]</f>
        <v>0</v>
      </c>
      <c r="BE101" s="73">
        <f>Table13[[#This Row],[pain]]</f>
        <v>0</v>
      </c>
      <c r="BF101" s="73">
        <f>Table13[[#This Row],[mobility]]</f>
        <v>0</v>
      </c>
      <c r="BG101" s="79">
        <f>Table13[[#This Row],[why_inpatient_7]]</f>
        <v>0</v>
      </c>
      <c r="BH101" s="9">
        <f>Table13[[#This Row],[date_15]]</f>
        <v>0</v>
      </c>
      <c r="BI101">
        <f>Table13[[#This Row],[inpatient_15]]</f>
        <v>0</v>
      </c>
      <c r="BJ101">
        <f>Table13[[#This Row],[comment_15]]</f>
        <v>0</v>
      </c>
      <c r="BK101" t="str">
        <f>Table13[[#This Row],[discharge_dest]]</f>
        <v>Own Home</v>
      </c>
      <c r="BL101" t="str">
        <f>Table13[[#This Row],[complication]]</f>
        <v>I</v>
      </c>
    </row>
    <row r="102" spans="1:64" ht="18" customHeight="1">
      <c r="A102" s="73">
        <f>Table5[[#This Row],[comment]]</f>
        <v>0</v>
      </c>
      <c r="B102" s="73" t="str">
        <f>Table9[[#This Row],[surgeon]]</f>
        <v>Ashok Bhat</v>
      </c>
      <c r="C102" s="73" t="str">
        <f>Table9[[#This Row],[surgery]]</f>
        <v>Posterior decompression with fusion (thoracic region)</v>
      </c>
      <c r="D102" s="74" t="str">
        <f>Table5[[#This Row],[pqip_consent]]</f>
        <v>No</v>
      </c>
      <c r="E102" s="73" t="str">
        <f>Table6[[#This Row],[area_surgery]]</f>
        <v>Other</v>
      </c>
      <c r="F102" s="75">
        <f>Table6[[#This Row],[admission_date]]</f>
        <v>43279</v>
      </c>
      <c r="G102" s="75">
        <f>Table6[[#This Row],[admission_date]]</f>
        <v>43279</v>
      </c>
      <c r="H102" s="105">
        <f>Table6[[#This Row],[surgery_duration]]</f>
        <v>0.27083333333333331</v>
      </c>
      <c r="I102" s="73" t="str">
        <f>Table6[[#This Row],[discharge_loc]]</f>
        <v>H7</v>
      </c>
      <c r="J102" s="75">
        <f>Table6[[#This Row],[discharge_date]]</f>
        <v>43399</v>
      </c>
      <c r="K102" s="76">
        <f>Table6[[#This Row],[hospital_stay]]</f>
        <v>46</v>
      </c>
      <c r="L102" s="76">
        <f>Table6[[#This Row],[readmit_30]]</f>
        <v>0</v>
      </c>
      <c r="M102" s="77" t="str">
        <f>Table9[[#This Row],[troponin]]</f>
        <v>Not Measured</v>
      </c>
      <c r="N102" s="78">
        <f>Table9[[#This Row],[hb]]</f>
        <v>14.3</v>
      </c>
      <c r="O102" s="78">
        <f>Table9[[#This Row],[creatinine]]</f>
        <v>77</v>
      </c>
      <c r="P102" s="78">
        <f>Table9[[#This Row],[albumin]]</f>
        <v>43</v>
      </c>
      <c r="Q102" s="73" t="str">
        <f>Table9[[#This Row],[chest_physio]]</f>
        <v>No</v>
      </c>
      <c r="R102" s="73" t="str">
        <f>Table9[[#This Row],[surgery_school]]</f>
        <v>No - Wasn’t offered it</v>
      </c>
      <c r="S102" s="75">
        <f>Table9[[#This Row],[date_school]]</f>
        <v>0</v>
      </c>
      <c r="T102" s="73" t="str">
        <f>Table9[[#This Row],[app_down]]</f>
        <v>No - Have electronic device</v>
      </c>
      <c r="U102" s="73" t="str">
        <f>Table9[[#This Row],[website]]</f>
        <v>No</v>
      </c>
      <c r="V102" s="73" t="str">
        <f>Table9[[#This Row],[base_activity]]</f>
        <v>No extra activity - Independent in ADLs</v>
      </c>
      <c r="W102" s="73" t="str">
        <f>Table9[[#This Row],[current_activity]]</f>
        <v>No extra activity - Independent in ADLs</v>
      </c>
      <c r="X102" s="73" t="str">
        <f>Table9[[#This Row],[activity_type]]</f>
        <v>None</v>
      </c>
      <c r="Y102" s="73" t="str">
        <f>Table9[[#This Row],[anaemia_treat]]</f>
        <v>Not applicable</v>
      </c>
      <c r="Z102" s="78" t="str">
        <f>Table9[[#This Row],[anaesthesia]]</f>
        <v>General with Inhalational</v>
      </c>
      <c r="AA102" s="78">
        <f>Table9[[#This Row],[smoke_hist]]</f>
        <v>0</v>
      </c>
      <c r="AB102" s="78">
        <f>Table9[[#This Row],[smoke_cess]]</f>
        <v>0</v>
      </c>
      <c r="AC102" s="78" t="str">
        <f>Table9[[#This Row],[tidal_vol]]</f>
        <v>Not recorded</v>
      </c>
      <c r="AD102" s="77" t="str">
        <f>Table11[[#This Row],[inc_spiro]]</f>
        <v>&gt;Two</v>
      </c>
      <c r="AE102" s="73" t="str">
        <f>Table11[[#This Row],[t_brushes]]</f>
        <v>Once</v>
      </c>
      <c r="AF102" s="78" t="str">
        <f>Table11[[#This Row],[m_washes]]</f>
        <v>None</v>
      </c>
      <c r="AG102" s="78" t="str">
        <f>Table11[[#This Row],[iv_disc]]</f>
        <v>No</v>
      </c>
      <c r="AH102" s="78" t="str">
        <f>Table11[[#This Row],[tolerate_15l]]</f>
        <v>Yes</v>
      </c>
      <c r="AI102" s="78" t="str">
        <f>Table11[[#This Row],[drinking]]</f>
        <v>Yes</v>
      </c>
      <c r="AJ102" s="78" t="str">
        <f>Table11[[#This Row],[oral_diet]]</f>
        <v>Yes</v>
      </c>
      <c r="AK102" s="78" t="str">
        <f>Table11[[#This Row],[mobilised]]</f>
        <v>No</v>
      </c>
      <c r="AL102" s="79" t="str">
        <f>Table11[[#This Row],[resp_supp]]</f>
        <v>None</v>
      </c>
      <c r="AM102" s="78" t="str">
        <f>Table11[[#This Row],[elev_head]]</f>
        <v>Yes</v>
      </c>
      <c r="AN102" s="78" t="str">
        <f>Table13[[#This Row],[in_hospital]]</f>
        <v>Yes</v>
      </c>
      <c r="AO102" s="78" t="str">
        <f>Table13[[#This Row],[location_7]]</f>
        <v>Level 2</v>
      </c>
      <c r="AP102" s="78" t="str">
        <f>Table13[[#This Row],[infec_24]]</f>
        <v>Patient currently on IV antibiotics, Patient had temperature &gt;38˚C</v>
      </c>
      <c r="AQ102" s="73" t="str">
        <f>Table13[[#This Row],[infec_7]]</f>
        <v>Empirical</v>
      </c>
      <c r="AR102" s="73" t="str">
        <f>Table13[[#This Row],[gastro]]</f>
        <v>None of the above</v>
      </c>
      <c r="AS102" s="73" t="str">
        <f>Table13[[#This Row],[pulm_supp_24]]</f>
        <v>None of the above</v>
      </c>
      <c r="AT102" s="73" t="str">
        <f>Table13[[#This Row],[pulm_supp_7]]</f>
        <v>None</v>
      </c>
      <c r="AU102" s="73" t="str">
        <f>Table13[[#This Row],[pulm_pharm]]</f>
        <v>None</v>
      </c>
      <c r="AV102" s="73" t="str">
        <f>Table13[[#This Row],[cardio_24]]</f>
        <v>None of the above</v>
      </c>
      <c r="AW102" s="73">
        <f>Table13[[#This Row],[troponin_7]]</f>
        <v>0</v>
      </c>
      <c r="AX102" s="73">
        <f>Table13[[#This Row],[creatinine_base]]</f>
        <v>77</v>
      </c>
      <c r="AY102" s="73">
        <f>Table13[[#This Row],[creatinine_high]]</f>
        <v>72</v>
      </c>
      <c r="AZ102" s="73" t="str">
        <f>Table13[[#This Row],[rrt]]</f>
        <v xml:space="preserve">No </v>
      </c>
      <c r="BA102" s="73" t="str">
        <f>Table13[[#This Row],[renal_24]]</f>
        <v>None of the above</v>
      </c>
      <c r="BB102" s="73" t="str">
        <f>Table13[[#This Row],[neuro]]</f>
        <v>None of the above</v>
      </c>
      <c r="BC102" s="73" t="str">
        <f>Table13[[#This Row],[wound]]</f>
        <v>None of the above</v>
      </c>
      <c r="BD102" s="73" t="str">
        <f>Table13[[#This Row],[haemato]]</f>
        <v>None of the above</v>
      </c>
      <c r="BE102" s="73" t="str">
        <f>Table13[[#This Row],[pain]]</f>
        <v>None of the above</v>
      </c>
      <c r="BF102" s="73" t="str">
        <f>Table13[[#This Row],[mobility]]</f>
        <v>No</v>
      </c>
      <c r="BG102" s="79" t="str">
        <f>Table13[[#This Row],[why_inpatient_7]]</f>
        <v>Mobility Issue, Medical/nursing care</v>
      </c>
      <c r="BH102" s="9">
        <f>Table13[[#This Row],[date_15]]</f>
        <v>43368</v>
      </c>
      <c r="BI102" t="str">
        <f>Table13[[#This Row],[inpatient_15]]</f>
        <v>Yes</v>
      </c>
      <c r="BJ102" t="str">
        <f>Table13[[#This Row],[comment_15]]</f>
        <v>Day 9: referred to Southport spinal unit - a/w review; Day 10: Pregabalin for muscle spams; Day 15: a/w MRI  for spine, continuing abx for 14 days.</v>
      </c>
      <c r="BK102" t="str">
        <f>Table13[[#This Row],[discharge_dest]]</f>
        <v>Care Home</v>
      </c>
      <c r="BL102" t="str">
        <f>Table13[[#This Row],[complication]]</f>
        <v>II</v>
      </c>
    </row>
    <row r="103" spans="1:64" ht="18" customHeight="1">
      <c r="A103" s="73">
        <f>Table5[[#This Row],[comment]]</f>
        <v>0</v>
      </c>
      <c r="B103" s="73" t="str">
        <f>Table9[[#This Row],[surgeon]]</f>
        <v>N P Lees</v>
      </c>
      <c r="C103" s="73" t="str">
        <f>Table9[[#This Row],[surgery]]</f>
        <v>Right hemicolectomy (with anastomosis /colostomy)</v>
      </c>
      <c r="D103" s="74" t="str">
        <f>Table5[[#This Row],[pqip_consent]]</f>
        <v>Yes</v>
      </c>
      <c r="E103" s="73" t="str">
        <f>Table6[[#This Row],[area_surgery]]</f>
        <v>Lower GI</v>
      </c>
      <c r="F103" s="75">
        <f>Table6[[#This Row],[admission_date]]</f>
        <v>43354</v>
      </c>
      <c r="G103" s="75">
        <f>Table6[[#This Row],[admission_date]]</f>
        <v>43354</v>
      </c>
      <c r="H103" s="105">
        <f>Table6[[#This Row],[surgery_duration]]</f>
        <v>0.19791666666666666</v>
      </c>
      <c r="I103" s="73" t="str">
        <f>Table6[[#This Row],[discharge_loc]]</f>
        <v>H6</v>
      </c>
      <c r="J103" s="75">
        <f>Table6[[#This Row],[discharge_date]]</f>
        <v>43363</v>
      </c>
      <c r="K103" s="76">
        <f>Table6[[#This Row],[hospital_stay]]</f>
        <v>9</v>
      </c>
      <c r="L103" s="76" t="str">
        <f>Table6[[#This Row],[readmit_30]]</f>
        <v>No</v>
      </c>
      <c r="M103" s="77" t="str">
        <f>Table9[[#This Row],[troponin]]</f>
        <v>Not Measured</v>
      </c>
      <c r="N103" s="78">
        <f>Table9[[#This Row],[hb]]</f>
        <v>12.9</v>
      </c>
      <c r="O103" s="78">
        <f>Table9[[#This Row],[creatinine]]</f>
        <v>46</v>
      </c>
      <c r="P103" s="78">
        <f>Table9[[#This Row],[albumin]]</f>
        <v>41</v>
      </c>
      <c r="Q103" s="73" t="str">
        <f>Table9[[#This Row],[chest_physio]]</f>
        <v>Nurse</v>
      </c>
      <c r="R103" s="73" t="str">
        <f>Table9[[#This Row],[surgery_school]]</f>
        <v>No - Wasn’t offered it</v>
      </c>
      <c r="S103" s="75">
        <f>Table9[[#This Row],[date_school]]</f>
        <v>0</v>
      </c>
      <c r="T103" s="73" t="str">
        <f>Table9[[#This Row],[app_down]]</f>
        <v>No - No electronic device</v>
      </c>
      <c r="U103" s="73" t="str">
        <f>Table9[[#This Row],[website]]</f>
        <v>No</v>
      </c>
      <c r="V103" s="73" t="str">
        <f>Table9[[#This Row],[base_activity]]</f>
        <v>30mins of moderate activity</v>
      </c>
      <c r="W103" s="73" t="str">
        <f>Table9[[#This Row],[current_activity]]</f>
        <v>30mins of moderate activity</v>
      </c>
      <c r="X103" s="73" t="str">
        <f>Table9[[#This Row],[activity_type]]</f>
        <v>Other Gym equipment at home</v>
      </c>
      <c r="Y103" s="73" t="str">
        <f>Table9[[#This Row],[anaemia_treat]]</f>
        <v>Not applicable</v>
      </c>
      <c r="Z103" s="78" t="str">
        <f>Table9[[#This Row],[anaesthesia]]</f>
        <v>General with TIVA</v>
      </c>
      <c r="AA103" s="78">
        <f>Table9[[#This Row],[smoke_hist]]</f>
        <v>0</v>
      </c>
      <c r="AB103" s="78">
        <f>Table9[[#This Row],[smoke_cess]]</f>
        <v>0</v>
      </c>
      <c r="AC103" s="78" t="str">
        <f>Table9[[#This Row],[tidal_vol]]</f>
        <v>Not recorded</v>
      </c>
      <c r="AD103" s="77" t="str">
        <f>Table11[[#This Row],[inc_spiro]]</f>
        <v>&gt;Two</v>
      </c>
      <c r="AE103" s="73" t="str">
        <f>Table11[[#This Row],[t_brushes]]</f>
        <v>Once</v>
      </c>
      <c r="AF103" s="78" t="str">
        <f>Table11[[#This Row],[m_washes]]</f>
        <v>Once</v>
      </c>
      <c r="AG103" s="78" t="str">
        <f>Table11[[#This Row],[iv_disc]]</f>
        <v>No</v>
      </c>
      <c r="AH103" s="78" t="str">
        <f>Table11[[#This Row],[tolerate_15l]]</f>
        <v>No</v>
      </c>
      <c r="AI103" s="78" t="str">
        <f>Table11[[#This Row],[drinking]]</f>
        <v>Yes</v>
      </c>
      <c r="AJ103" s="78" t="str">
        <f>Table11[[#This Row],[oral_diet]]</f>
        <v>Yes</v>
      </c>
      <c r="AK103" s="78" t="str">
        <f>Table11[[#This Row],[mobilised]]</f>
        <v>Yes</v>
      </c>
      <c r="AL103" s="79" t="str">
        <f>Table11[[#This Row],[resp_supp]]</f>
        <v>None</v>
      </c>
      <c r="AM103" s="78" t="str">
        <f>Table11[[#This Row],[elev_head]]</f>
        <v>Yes</v>
      </c>
      <c r="AN103" s="78" t="str">
        <f>Table13[[#This Row],[in_hospital]]</f>
        <v>Yes</v>
      </c>
      <c r="AO103" s="78" t="str">
        <f>Table13[[#This Row],[location_7]]</f>
        <v>Ward</v>
      </c>
      <c r="AP103" s="78" t="str">
        <f>Table13[[#This Row],[infec_24]]</f>
        <v>None of the above</v>
      </c>
      <c r="AQ103" s="73" t="str">
        <f>Table13[[#This Row],[infec_7]]</f>
        <v>None</v>
      </c>
      <c r="AR103" s="73" t="str">
        <f>Table13[[#This Row],[gastro]]</f>
        <v>Unable to tolerate enteral diet, Experienced nausea, vomiting or distension</v>
      </c>
      <c r="AS103" s="73" t="str">
        <f>Table13[[#This Row],[pulm_supp_24]]</f>
        <v>None of the above</v>
      </c>
      <c r="AT103" s="73" t="str">
        <f>Table13[[#This Row],[pulm_supp_7]]</f>
        <v>None</v>
      </c>
      <c r="AU103" s="73" t="str">
        <f>Table13[[#This Row],[pulm_pharm]]</f>
        <v>None</v>
      </c>
      <c r="AV103" s="73" t="str">
        <f>Table13[[#This Row],[cardio_24]]</f>
        <v>None of the above</v>
      </c>
      <c r="AW103" s="73">
        <f>Table13[[#This Row],[troponin_7]]</f>
        <v>0</v>
      </c>
      <c r="AX103" s="73">
        <f>Table13[[#This Row],[creatinine_base]]</f>
        <v>46</v>
      </c>
      <c r="AY103" s="73">
        <f>Table13[[#This Row],[creatinine_high]]</f>
        <v>55</v>
      </c>
      <c r="AZ103" s="73" t="str">
        <f>Table13[[#This Row],[rrt]]</f>
        <v xml:space="preserve">No </v>
      </c>
      <c r="BA103" s="73" t="str">
        <f>Table13[[#This Row],[renal_24]]</f>
        <v>None of the above</v>
      </c>
      <c r="BB103" s="73" t="str">
        <f>Table13[[#This Row],[neuro]]</f>
        <v>None of the above</v>
      </c>
      <c r="BC103" s="73" t="str">
        <f>Table13[[#This Row],[wound]]</f>
        <v>None of the above</v>
      </c>
      <c r="BD103" s="73" t="str">
        <f>Table13[[#This Row],[haemato]]</f>
        <v>None of the above</v>
      </c>
      <c r="BE103" s="73" t="str">
        <f>Table13[[#This Row],[pain]]</f>
        <v>None of the above</v>
      </c>
      <c r="BF103" s="73" t="str">
        <f>Table13[[#This Row],[mobility]]</f>
        <v>Yes</v>
      </c>
      <c r="BG103" s="79" t="str">
        <f>Table13[[#This Row],[why_inpatient_7]]</f>
        <v>Medical/nursing care</v>
      </c>
      <c r="BH103" s="9">
        <f>Table13[[#This Row],[date_15]]</f>
        <v>43369</v>
      </c>
      <c r="BI103" t="str">
        <f>Table13[[#This Row],[inpatient_15]]</f>
        <v>No</v>
      </c>
      <c r="BJ103">
        <f>Table13[[#This Row],[comment_15]]</f>
        <v>0</v>
      </c>
      <c r="BK103" t="str">
        <f>Table13[[#This Row],[discharge_dest]]</f>
        <v>Own Home</v>
      </c>
      <c r="BL103" t="str">
        <f>Table13[[#This Row],[complication]]</f>
        <v>I</v>
      </c>
    </row>
    <row r="104" spans="1:64" ht="18" customHeight="1">
      <c r="A104" s="73">
        <f>Table5[[#This Row],[comment]]</f>
        <v>0</v>
      </c>
      <c r="B104" s="73" t="str">
        <f>Table9[[#This Row],[surgeon]]</f>
        <v>Maurice Lau</v>
      </c>
      <c r="C104" s="73" t="str">
        <f>Table9[[#This Row],[surgery]]</f>
        <v>Cystectomy</v>
      </c>
      <c r="D104" s="74" t="str">
        <f>Table5[[#This Row],[pqip_consent]]</f>
        <v>Yes</v>
      </c>
      <c r="E104" s="73" t="str">
        <f>Table6[[#This Row],[area_surgery]]</f>
        <v>Urology</v>
      </c>
      <c r="F104" s="75">
        <f>Table6[[#This Row],[admission_date]]</f>
        <v>43354</v>
      </c>
      <c r="G104" s="75">
        <f>Table6[[#This Row],[admission_date]]</f>
        <v>43354</v>
      </c>
      <c r="H104" s="105">
        <f>Table6[[#This Row],[surgery_duration]]</f>
        <v>0.375</v>
      </c>
      <c r="I104" s="73" t="str">
        <f>Table6[[#This Row],[discharge_loc]]</f>
        <v>H6</v>
      </c>
      <c r="J104" s="75">
        <f>Table6[[#This Row],[discharge_date]]</f>
        <v>43362</v>
      </c>
      <c r="K104" s="76">
        <f>Table6[[#This Row],[hospital_stay]]</f>
        <v>8</v>
      </c>
      <c r="L104" s="76" t="str">
        <f>Table6[[#This Row],[readmit_30]]</f>
        <v>No</v>
      </c>
      <c r="M104" s="77" t="str">
        <f>Table9[[#This Row],[troponin]]</f>
        <v>Not Measured</v>
      </c>
      <c r="N104" s="78">
        <f>Table9[[#This Row],[hb]]</f>
        <v>13</v>
      </c>
      <c r="O104" s="78">
        <f>Table9[[#This Row],[creatinine]]</f>
        <v>67</v>
      </c>
      <c r="P104" s="78">
        <f>Table9[[#This Row],[albumin]]</f>
        <v>46</v>
      </c>
      <c r="Q104" s="73" t="str">
        <f>Table9[[#This Row],[chest_physio]]</f>
        <v>Nurse</v>
      </c>
      <c r="R104" s="73" t="str">
        <f>Table9[[#This Row],[surgery_school]]</f>
        <v>No - Wasn’t offered it</v>
      </c>
      <c r="S104" s="75">
        <f>Table9[[#This Row],[date_school]]</f>
        <v>0</v>
      </c>
      <c r="T104" s="73" t="str">
        <f>Table9[[#This Row],[app_down]]</f>
        <v>No - No electronic device</v>
      </c>
      <c r="U104" s="73" t="str">
        <f>Table9[[#This Row],[website]]</f>
        <v>No</v>
      </c>
      <c r="V104" s="73" t="str">
        <f>Table9[[#This Row],[base_activity]]</f>
        <v>No extra activity - Independent in ADLs</v>
      </c>
      <c r="W104" s="73" t="str">
        <f>Table9[[#This Row],[current_activity]]</f>
        <v>No extra activity - Independent in ADLs</v>
      </c>
      <c r="X104" s="73" t="str">
        <f>Table9[[#This Row],[activity_type]]</f>
        <v>None</v>
      </c>
      <c r="Y104" s="73" t="str">
        <f>Table9[[#This Row],[anaemia_treat]]</f>
        <v>Not applicable</v>
      </c>
      <c r="Z104" s="78" t="str">
        <f>Table9[[#This Row],[anaesthesia]]</f>
        <v>General with TIVA</v>
      </c>
      <c r="AA104" s="78">
        <f>Table9[[#This Row],[smoke_hist]]</f>
        <v>0</v>
      </c>
      <c r="AB104" s="78">
        <f>Table9[[#This Row],[smoke_cess]]</f>
        <v>0</v>
      </c>
      <c r="AC104" s="78" t="str">
        <f>Table9[[#This Row],[tidal_vol]]</f>
        <v>Not recorded</v>
      </c>
      <c r="AD104" s="77" t="str">
        <f>Table11[[#This Row],[inc_spiro]]</f>
        <v>Not used</v>
      </c>
      <c r="AE104" s="73" t="str">
        <f>Table11[[#This Row],[t_brushes]]</f>
        <v>Once</v>
      </c>
      <c r="AF104" s="78">
        <f>Table11[[#This Row],[m_washes]]</f>
        <v>0</v>
      </c>
      <c r="AG104" s="78" t="str">
        <f>Table11[[#This Row],[iv_disc]]</f>
        <v>No</v>
      </c>
      <c r="AH104" s="78" t="str">
        <f>Table11[[#This Row],[tolerate_15l]]</f>
        <v>No</v>
      </c>
      <c r="AI104" s="78" t="str">
        <f>Table11[[#This Row],[drinking]]</f>
        <v>Yes</v>
      </c>
      <c r="AJ104" s="78" t="str">
        <f>Table11[[#This Row],[oral_diet]]</f>
        <v>No</v>
      </c>
      <c r="AK104" s="78" t="str">
        <f>Table11[[#This Row],[mobilised]]</f>
        <v>No</v>
      </c>
      <c r="AL104" s="79" t="str">
        <f>Table11[[#This Row],[resp_supp]]</f>
        <v>None</v>
      </c>
      <c r="AM104" s="78" t="str">
        <f>Table11[[#This Row],[elev_head]]</f>
        <v>Yes</v>
      </c>
      <c r="AN104" s="78" t="str">
        <f>Table13[[#This Row],[in_hospital]]</f>
        <v>Yes</v>
      </c>
      <c r="AO104" s="78" t="str">
        <f>Table13[[#This Row],[location_7]]</f>
        <v>Level 1</v>
      </c>
      <c r="AP104" s="78" t="str">
        <f>Table13[[#This Row],[infec_24]]</f>
        <v>None of the above</v>
      </c>
      <c r="AQ104" s="73" t="str">
        <f>Table13[[#This Row],[infec_7]]</f>
        <v>None</v>
      </c>
      <c r="AR104" s="73" t="str">
        <f>Table13[[#This Row],[gastro]]</f>
        <v>None of the above</v>
      </c>
      <c r="AS104" s="73" t="str">
        <f>Table13[[#This Row],[pulm_supp_24]]</f>
        <v>None of the above</v>
      </c>
      <c r="AT104" s="73" t="str">
        <f>Table13[[#This Row],[pulm_supp_7]]</f>
        <v>None</v>
      </c>
      <c r="AU104" s="73" t="str">
        <f>Table13[[#This Row],[pulm_pharm]]</f>
        <v>None</v>
      </c>
      <c r="AV104" s="73" t="str">
        <f>Table13[[#This Row],[cardio_24]]</f>
        <v>None of the above</v>
      </c>
      <c r="AW104" s="73">
        <f>Table13[[#This Row],[troponin_7]]</f>
        <v>0</v>
      </c>
      <c r="AX104" s="73">
        <f>Table13[[#This Row],[creatinine_base]]</f>
        <v>67</v>
      </c>
      <c r="AY104" s="73">
        <f>Table13[[#This Row],[creatinine_high]]</f>
        <v>70</v>
      </c>
      <c r="AZ104" s="73" t="str">
        <f>Table13[[#This Row],[rrt]]</f>
        <v xml:space="preserve">No </v>
      </c>
      <c r="BA104" s="73" t="str">
        <f>Table13[[#This Row],[renal_24]]</f>
        <v>None of the above</v>
      </c>
      <c r="BB104" s="73" t="str">
        <f>Table13[[#This Row],[neuro]]</f>
        <v>None of the above</v>
      </c>
      <c r="BC104" s="73" t="str">
        <f>Table13[[#This Row],[wound]]</f>
        <v>None of the above</v>
      </c>
      <c r="BD104" s="73" t="str">
        <f>Table13[[#This Row],[haemato]]</f>
        <v>None of the above</v>
      </c>
      <c r="BE104" s="73" t="str">
        <f>Table13[[#This Row],[pain]]</f>
        <v>None of the above</v>
      </c>
      <c r="BF104" s="73" t="str">
        <f>Table13[[#This Row],[mobility]]</f>
        <v>Yes</v>
      </c>
      <c r="BG104" s="79" t="str">
        <f>Table13[[#This Row],[why_inpatient_7]]</f>
        <v>Medical/nursing care</v>
      </c>
      <c r="BH104" s="9">
        <f>Table13[[#This Row],[date_15]]</f>
        <v>43369</v>
      </c>
      <c r="BI104" t="str">
        <f>Table13[[#This Row],[inpatient_15]]</f>
        <v>No</v>
      </c>
      <c r="BJ104">
        <f>Table13[[#This Row],[comment_15]]</f>
        <v>0</v>
      </c>
      <c r="BK104" t="str">
        <f>Table13[[#This Row],[discharge_dest]]</f>
        <v>Own Home</v>
      </c>
      <c r="BL104" t="str">
        <f>Table13[[#This Row],[complication]]</f>
        <v>None</v>
      </c>
    </row>
    <row r="105" spans="1:64" ht="18" customHeight="1">
      <c r="A105" s="73">
        <f>Table5[[#This Row],[comment]]</f>
        <v>0</v>
      </c>
      <c r="B105" s="73" t="str">
        <f>Table9[[#This Row],[surgeon]]</f>
        <v>Naheed Farooq</v>
      </c>
      <c r="C105" s="73" t="str">
        <f>Table9[[#This Row],[surgery]]</f>
        <v>Oesophagectomy (partial /total)/Oesophagogastrectomy</v>
      </c>
      <c r="D105" s="74" t="str">
        <f>Table5[[#This Row],[pqip_consent]]</f>
        <v>Yes</v>
      </c>
      <c r="E105" s="73" t="str">
        <f>Table6[[#This Row],[area_surgery]]</f>
        <v>Upper GI</v>
      </c>
      <c r="F105" s="75">
        <f>Table6[[#This Row],[admission_date]]</f>
        <v>43355</v>
      </c>
      <c r="G105" s="75">
        <f>Table6[[#This Row],[admission_date]]</f>
        <v>43355</v>
      </c>
      <c r="H105" s="105">
        <f>Table6[[#This Row],[surgery_duration]]</f>
        <v>0.35416666666666669</v>
      </c>
      <c r="I105" s="73" t="str">
        <f>Table6[[#This Row],[discharge_loc]]</f>
        <v>CCU (Level 3)</v>
      </c>
      <c r="J105" s="75">
        <f>Table6[[#This Row],[discharge_date]]</f>
        <v>43385</v>
      </c>
      <c r="K105" s="76">
        <f>Table6[[#This Row],[hospital_stay]]</f>
        <v>30</v>
      </c>
      <c r="L105" s="76">
        <f>Table6[[#This Row],[readmit_30]]</f>
        <v>0</v>
      </c>
      <c r="M105" s="77" t="str">
        <f>Table9[[#This Row],[troponin]]</f>
        <v>Not Measured</v>
      </c>
      <c r="N105" s="78">
        <f>Table9[[#This Row],[hb]]</f>
        <v>13.7</v>
      </c>
      <c r="O105" s="78">
        <f>Table9[[#This Row],[creatinine]]</f>
        <v>52</v>
      </c>
      <c r="P105" s="78">
        <f>Table9[[#This Row],[albumin]]</f>
        <v>46</v>
      </c>
      <c r="Q105" s="73" t="str">
        <f>Table9[[#This Row],[chest_physio]]</f>
        <v>Nurse</v>
      </c>
      <c r="R105" s="73" t="str">
        <f>Table9[[#This Row],[surgery_school]]</f>
        <v>No - Wasn’t offered it</v>
      </c>
      <c r="S105" s="75">
        <f>Table9[[#This Row],[date_school]]</f>
        <v>0</v>
      </c>
      <c r="T105" s="73" t="str">
        <f>Table9[[#This Row],[app_down]]</f>
        <v>No - Have electronic device</v>
      </c>
      <c r="U105" s="73" t="str">
        <f>Table9[[#This Row],[website]]</f>
        <v>No</v>
      </c>
      <c r="V105" s="73" t="str">
        <f>Table9[[#This Row],[base_activity]]</f>
        <v>&gt;30mins of moderate activity</v>
      </c>
      <c r="W105" s="73" t="str">
        <f>Table9[[#This Row],[current_activity]]</f>
        <v>&gt;30mins of moderate activity</v>
      </c>
      <c r="X105" s="73" t="str">
        <f>Table9[[#This Row],[activity_type]]</f>
        <v xml:space="preserve">Walking regularly </v>
      </c>
      <c r="Y105" s="73" t="str">
        <f>Table9[[#This Row],[anaemia_treat]]</f>
        <v>Not applicable</v>
      </c>
      <c r="Z105" s="78" t="str">
        <f>Table9[[#This Row],[anaesthesia]]</f>
        <v>Not available</v>
      </c>
      <c r="AA105" s="78">
        <f>Table9[[#This Row],[smoke_hist]]</f>
        <v>0</v>
      </c>
      <c r="AB105" s="78">
        <f>Table9[[#This Row],[smoke_cess]]</f>
        <v>0</v>
      </c>
      <c r="AC105" s="78" t="str">
        <f>Table9[[#This Row],[tidal_vol]]</f>
        <v>Not recorded</v>
      </c>
      <c r="AD105" s="77" t="str">
        <f>Table11[[#This Row],[inc_spiro]]</f>
        <v>&gt;Two</v>
      </c>
      <c r="AE105" s="73" t="str">
        <f>Table11[[#This Row],[t_brushes]]</f>
        <v>Twice</v>
      </c>
      <c r="AF105" s="78" t="str">
        <f>Table11[[#This Row],[m_washes]]</f>
        <v>Twice</v>
      </c>
      <c r="AG105" s="78" t="str">
        <f>Table11[[#This Row],[iv_disc]]</f>
        <v>No</v>
      </c>
      <c r="AH105" s="78" t="str">
        <f>Table11[[#This Row],[tolerate_15l]]</f>
        <v>Not applicable</v>
      </c>
      <c r="AI105" s="78" t="str">
        <f>Table11[[#This Row],[drinking]]</f>
        <v>No</v>
      </c>
      <c r="AJ105" s="78" t="str">
        <f>Table11[[#This Row],[oral_diet]]</f>
        <v>No</v>
      </c>
      <c r="AK105" s="78" t="str">
        <f>Table11[[#This Row],[mobilised]]</f>
        <v>Yes</v>
      </c>
      <c r="AL105" s="79" t="str">
        <f>Table11[[#This Row],[resp_supp]]</f>
        <v>None</v>
      </c>
      <c r="AM105" s="78" t="str">
        <f>Table11[[#This Row],[elev_head]]</f>
        <v>Yes</v>
      </c>
      <c r="AN105" s="78" t="str">
        <f>Table13[[#This Row],[in_hospital]]</f>
        <v>Yes</v>
      </c>
      <c r="AO105" s="78" t="str">
        <f>Table13[[#This Row],[location_7]]</f>
        <v>Level 2</v>
      </c>
      <c r="AP105" s="78" t="str">
        <f>Table13[[#This Row],[infec_24]]</f>
        <v>Patient currently on IV antibiotics, Patient had temperature &gt;38˚C</v>
      </c>
      <c r="AQ105" s="73" t="str">
        <f>Table13[[#This Row],[infec_7]]</f>
        <v>Empirical</v>
      </c>
      <c r="AR105" s="73" t="str">
        <f>Table13[[#This Row],[gastro]]</f>
        <v>Unable to tolerate enteral diet, Experienced nausea, vomiting or distension</v>
      </c>
      <c r="AS105" s="73" t="str">
        <f>Table13[[#This Row],[pulm_supp_24]]</f>
        <v>None of the above</v>
      </c>
      <c r="AT105" s="73" t="str">
        <f>Table13[[#This Row],[pulm_supp_7]]</f>
        <v>None</v>
      </c>
      <c r="AU105" s="73" t="str">
        <f>Table13[[#This Row],[pulm_pharm]]</f>
        <v>None</v>
      </c>
      <c r="AV105" s="73" t="str">
        <f>Table13[[#This Row],[cardio_24]]</f>
        <v>None of the above</v>
      </c>
      <c r="AW105" s="73" t="str">
        <f>Table13[[#This Row],[troponin_7]]</f>
        <v>&lt;6</v>
      </c>
      <c r="AX105" s="73">
        <f>Table13[[#This Row],[creatinine_base]]</f>
        <v>52</v>
      </c>
      <c r="AY105" s="73">
        <f>Table13[[#This Row],[creatinine_high]]</f>
        <v>53</v>
      </c>
      <c r="AZ105" s="73" t="str">
        <f>Table13[[#This Row],[rrt]]</f>
        <v xml:space="preserve">No </v>
      </c>
      <c r="BA105" s="73" t="str">
        <f>Table13[[#This Row],[renal_24]]</f>
        <v>Urethral catheter in-situ (not present pre-operatively)</v>
      </c>
      <c r="BB105" s="73" t="str">
        <f>Table13[[#This Row],[neuro]]</f>
        <v>None of the above</v>
      </c>
      <c r="BC105" s="73" t="str">
        <f>Table13[[#This Row],[wound]]</f>
        <v>None of the above</v>
      </c>
      <c r="BD105" s="73" t="str">
        <f>Table13[[#This Row],[haemato]]</f>
        <v>None of the above</v>
      </c>
      <c r="BE105" s="73" t="str">
        <f>Table13[[#This Row],[pain]]</f>
        <v>Parenteral opioids</v>
      </c>
      <c r="BF105" s="73" t="str">
        <f>Table13[[#This Row],[mobility]]</f>
        <v>Yes</v>
      </c>
      <c r="BG105" s="79" t="str">
        <f>Table13[[#This Row],[why_inpatient_7]]</f>
        <v>Medical/nursing care</v>
      </c>
      <c r="BH105" s="9">
        <f>Table13[[#This Row],[date_15]]</f>
        <v>43370</v>
      </c>
      <c r="BI105" t="str">
        <f>Table13[[#This Row],[inpatient_15]]</f>
        <v>Yes</v>
      </c>
      <c r="BJ105" t="str">
        <f>Table13[[#This Row],[comment_15]]</f>
        <v>Day 9: chest drain for pleural effusion, IV abx, PCA; Day 13: drain out, vomiting, still jej feed and NG; Day 15: Still on fluids, NG, a/w CXR</v>
      </c>
      <c r="BK105" t="str">
        <f>Table13[[#This Row],[discharge_dest]]</f>
        <v>Own Home</v>
      </c>
      <c r="BL105" t="str">
        <f>Table13[[#This Row],[complication]]</f>
        <v>II</v>
      </c>
    </row>
    <row r="106" spans="1:64" ht="18" customHeight="1">
      <c r="A106" s="73" t="str">
        <f>Table5[[#This Row],[comment]]</f>
        <v>surgical pathway not available</v>
      </c>
      <c r="B106" s="73" t="str">
        <f>Table9[[#This Row],[surgeon]]</f>
        <v>Helen Doran</v>
      </c>
      <c r="C106" s="73" t="str">
        <f>Table9[[#This Row],[surgery]]</f>
        <v>Adrenalectomy</v>
      </c>
      <c r="D106" s="74" t="str">
        <f>Table5[[#This Row],[pqip_consent]]</f>
        <v>Yes</v>
      </c>
      <c r="E106" s="73" t="str">
        <f>Table6[[#This Row],[area_surgery]]</f>
        <v>Endocrinology</v>
      </c>
      <c r="F106" s="75">
        <f>Table6[[#This Row],[admission_date]]</f>
        <v>43355</v>
      </c>
      <c r="G106" s="75">
        <f>Table6[[#This Row],[admission_date]]</f>
        <v>43355</v>
      </c>
      <c r="H106" s="105">
        <f>Table6[[#This Row],[surgery_duration]]</f>
        <v>0</v>
      </c>
      <c r="I106" s="73" t="str">
        <f>Table6[[#This Row],[discharge_loc]]</f>
        <v>H6</v>
      </c>
      <c r="J106" s="75">
        <f>Table6[[#This Row],[discharge_date]]</f>
        <v>43360</v>
      </c>
      <c r="K106" s="76">
        <f>Table6[[#This Row],[hospital_stay]]</f>
        <v>5</v>
      </c>
      <c r="L106" s="76" t="str">
        <f>Table6[[#This Row],[readmit_30]]</f>
        <v>No</v>
      </c>
      <c r="M106" s="77" t="str">
        <f>Table9[[#This Row],[troponin]]</f>
        <v>Not Measured</v>
      </c>
      <c r="N106" s="78">
        <f>Table9[[#This Row],[hb]]</f>
        <v>15.2</v>
      </c>
      <c r="O106" s="78">
        <f>Table9[[#This Row],[creatinine]]</f>
        <v>76</v>
      </c>
      <c r="P106" s="78">
        <f>Table9[[#This Row],[albumin]]</f>
        <v>46</v>
      </c>
      <c r="Q106" s="73" t="str">
        <f>Table9[[#This Row],[chest_physio]]</f>
        <v>No</v>
      </c>
      <c r="R106" s="73" t="str">
        <f>Table9[[#This Row],[surgery_school]]</f>
        <v>No - Wasn’t offered it</v>
      </c>
      <c r="S106" s="75">
        <f>Table9[[#This Row],[date_school]]</f>
        <v>0</v>
      </c>
      <c r="T106" s="73" t="str">
        <f>Table9[[#This Row],[app_down]]</f>
        <v>No - No electronic device</v>
      </c>
      <c r="U106" s="73" t="str">
        <f>Table9[[#This Row],[website]]</f>
        <v>No</v>
      </c>
      <c r="V106" s="73" t="str">
        <f>Table9[[#This Row],[base_activity]]</f>
        <v>30mins of moderate activity</v>
      </c>
      <c r="W106" s="73" t="str">
        <f>Table9[[#This Row],[current_activity]]</f>
        <v>30mins of moderate activity</v>
      </c>
      <c r="X106" s="73" t="str">
        <f>Table9[[#This Row],[activity_type]]</f>
        <v xml:space="preserve">Walking regularly </v>
      </c>
      <c r="Y106" s="73" t="str">
        <f>Table9[[#This Row],[anaemia_treat]]</f>
        <v>Not applicable</v>
      </c>
      <c r="Z106" s="78" t="str">
        <f>Table9[[#This Row],[anaesthesia]]</f>
        <v>Not available</v>
      </c>
      <c r="AA106" s="78">
        <f>Table9[[#This Row],[smoke_hist]]</f>
        <v>0</v>
      </c>
      <c r="AB106" s="78">
        <f>Table9[[#This Row],[smoke_cess]]</f>
        <v>0</v>
      </c>
      <c r="AC106" s="78" t="str">
        <f>Table9[[#This Row],[tidal_vol]]</f>
        <v>Not recorded</v>
      </c>
      <c r="AD106" s="77" t="str">
        <f>Table11[[#This Row],[inc_spiro]]</f>
        <v>Not used</v>
      </c>
      <c r="AE106" s="73" t="str">
        <f>Table11[[#This Row],[t_brushes]]</f>
        <v>Once</v>
      </c>
      <c r="AF106" s="78" t="str">
        <f>Table11[[#This Row],[m_washes]]</f>
        <v>None</v>
      </c>
      <c r="AG106" s="78" t="str">
        <f>Table11[[#This Row],[iv_disc]]</f>
        <v>Yes</v>
      </c>
      <c r="AH106" s="78">
        <f>Table11[[#This Row],[tolerate_15l]]</f>
        <v>0</v>
      </c>
      <c r="AI106" s="78" t="str">
        <f>Table11[[#This Row],[drinking]]</f>
        <v>Yes</v>
      </c>
      <c r="AJ106" s="78" t="str">
        <f>Table11[[#This Row],[oral_diet]]</f>
        <v>No</v>
      </c>
      <c r="AK106" s="78" t="str">
        <f>Table11[[#This Row],[mobilised]]</f>
        <v>Yes</v>
      </c>
      <c r="AL106" s="79" t="str">
        <f>Table11[[#This Row],[resp_supp]]</f>
        <v>None</v>
      </c>
      <c r="AM106" s="78" t="str">
        <f>Table11[[#This Row],[elev_head]]</f>
        <v>Yes</v>
      </c>
      <c r="AN106" s="78" t="str">
        <f>Table13[[#This Row],[in_hospital]]</f>
        <v>No</v>
      </c>
      <c r="AO106" s="78">
        <f>Table13[[#This Row],[location_7]]</f>
        <v>0</v>
      </c>
      <c r="AP106" s="78">
        <f>Table13[[#This Row],[infec_24]]</f>
        <v>0</v>
      </c>
      <c r="AQ106" s="73">
        <f>Table13[[#This Row],[infec_7]]</f>
        <v>0</v>
      </c>
      <c r="AR106" s="73">
        <f>Table13[[#This Row],[gastro]]</f>
        <v>0</v>
      </c>
      <c r="AS106" s="73">
        <f>Table13[[#This Row],[pulm_supp_24]]</f>
        <v>0</v>
      </c>
      <c r="AT106" s="73">
        <f>Table13[[#This Row],[pulm_supp_7]]</f>
        <v>0</v>
      </c>
      <c r="AU106" s="73">
        <f>Table13[[#This Row],[pulm_pharm]]</f>
        <v>0</v>
      </c>
      <c r="AV106" s="73">
        <f>Table13[[#This Row],[cardio_24]]</f>
        <v>0</v>
      </c>
      <c r="AW106" s="73">
        <f>Table13[[#This Row],[troponin_7]]</f>
        <v>0</v>
      </c>
      <c r="AX106" s="73">
        <f>Table13[[#This Row],[creatinine_base]]</f>
        <v>0</v>
      </c>
      <c r="AY106" s="73">
        <f>Table13[[#This Row],[creatinine_high]]</f>
        <v>0</v>
      </c>
      <c r="AZ106" s="73">
        <f>Table13[[#This Row],[rrt]]</f>
        <v>0</v>
      </c>
      <c r="BA106" s="73">
        <f>Table13[[#This Row],[renal_24]]</f>
        <v>0</v>
      </c>
      <c r="BB106" s="73">
        <f>Table13[[#This Row],[neuro]]</f>
        <v>0</v>
      </c>
      <c r="BC106" s="73">
        <f>Table13[[#This Row],[wound]]</f>
        <v>0</v>
      </c>
      <c r="BD106" s="73">
        <f>Table13[[#This Row],[haemato]]</f>
        <v>0</v>
      </c>
      <c r="BE106" s="73">
        <f>Table13[[#This Row],[pain]]</f>
        <v>0</v>
      </c>
      <c r="BF106" s="73">
        <f>Table13[[#This Row],[mobility]]</f>
        <v>0</v>
      </c>
      <c r="BG106" s="79">
        <f>Table13[[#This Row],[why_inpatient_7]]</f>
        <v>0</v>
      </c>
      <c r="BH106" s="9">
        <f>Table13[[#This Row],[date_15]]</f>
        <v>0</v>
      </c>
      <c r="BI106">
        <f>Table13[[#This Row],[inpatient_15]]</f>
        <v>0</v>
      </c>
      <c r="BJ106">
        <f>Table13[[#This Row],[comment_15]]</f>
        <v>0</v>
      </c>
      <c r="BK106" t="str">
        <f>Table13[[#This Row],[discharge_dest]]</f>
        <v>Own Home</v>
      </c>
      <c r="BL106" t="str">
        <f>Table13[[#This Row],[complication]]</f>
        <v>None</v>
      </c>
    </row>
    <row r="107" spans="1:64" ht="18" customHeight="1">
      <c r="A107" s="73">
        <f>Table5[[#This Row],[comment]]</f>
        <v>0</v>
      </c>
      <c r="B107" s="73" t="str">
        <f>Table9[[#This Row],[surgeon]]</f>
        <v>Dominic Slade</v>
      </c>
      <c r="C107" s="73" t="str">
        <f>Table9[[#This Row],[surgery]]</f>
        <v>Completion proctectomy</v>
      </c>
      <c r="D107" s="74" t="str">
        <f>Table5[[#This Row],[pqip_consent]]</f>
        <v>Yes</v>
      </c>
      <c r="E107" s="73" t="str">
        <f>Table6[[#This Row],[area_surgery]]</f>
        <v>Lower GI</v>
      </c>
      <c r="F107" s="75">
        <f>Table6[[#This Row],[admission_date]]</f>
        <v>43356</v>
      </c>
      <c r="G107" s="75">
        <f>Table6[[#This Row],[admission_date]]</f>
        <v>43356</v>
      </c>
      <c r="H107" s="105">
        <f>Table6[[#This Row],[surgery_duration]]</f>
        <v>0.35416666666666669</v>
      </c>
      <c r="I107" s="73" t="str">
        <f>Table6[[#This Row],[discharge_loc]]</f>
        <v>H6</v>
      </c>
      <c r="J107" s="75">
        <f>Table6[[#This Row],[discharge_date]]</f>
        <v>43361</v>
      </c>
      <c r="K107" s="76">
        <f>Table6[[#This Row],[hospital_stay]]</f>
        <v>5</v>
      </c>
      <c r="L107" s="76" t="str">
        <f>Table6[[#This Row],[readmit_30]]</f>
        <v>No</v>
      </c>
      <c r="M107" s="77" t="str">
        <f>Table9[[#This Row],[troponin]]</f>
        <v>Not Measured</v>
      </c>
      <c r="N107" s="78">
        <f>Table9[[#This Row],[hb]]</f>
        <v>13.1</v>
      </c>
      <c r="O107" s="78">
        <f>Table9[[#This Row],[creatinine]]</f>
        <v>65</v>
      </c>
      <c r="P107" s="78" t="str">
        <f>Table9[[#This Row],[albumin]]</f>
        <v>Not Measured</v>
      </c>
      <c r="Q107" s="73" t="str">
        <f>Table9[[#This Row],[chest_physio]]</f>
        <v>Nurse</v>
      </c>
      <c r="R107" s="73" t="str">
        <f>Table9[[#This Row],[surgery_school]]</f>
        <v>No - Wasn’t offered it</v>
      </c>
      <c r="S107" s="75">
        <f>Table9[[#This Row],[date_school]]</f>
        <v>0</v>
      </c>
      <c r="T107" s="73" t="str">
        <f>Table9[[#This Row],[app_down]]</f>
        <v>No - Have electronic device</v>
      </c>
      <c r="U107" s="73" t="str">
        <f>Table9[[#This Row],[website]]</f>
        <v>No</v>
      </c>
      <c r="V107" s="73" t="str">
        <f>Table9[[#This Row],[base_activity]]</f>
        <v>No extra activity - Independent in ADLs</v>
      </c>
      <c r="W107" s="73" t="str">
        <f>Table9[[#This Row],[current_activity]]</f>
        <v>No extra activity - Independent in ADLs</v>
      </c>
      <c r="X107" s="73" t="str">
        <f>Table9[[#This Row],[activity_type]]</f>
        <v>None</v>
      </c>
      <c r="Y107" s="73" t="str">
        <f>Table9[[#This Row],[anaemia_treat]]</f>
        <v>Not applicable</v>
      </c>
      <c r="Z107" s="78" t="str">
        <f>Table9[[#This Row],[anaesthesia]]</f>
        <v>General with Inhalational</v>
      </c>
      <c r="AA107" s="78">
        <f>Table9[[#This Row],[smoke_hist]]</f>
        <v>0</v>
      </c>
      <c r="AB107" s="78">
        <f>Table9[[#This Row],[smoke_cess]]</f>
        <v>0</v>
      </c>
      <c r="AC107" s="78" t="str">
        <f>Table9[[#This Row],[tidal_vol]]</f>
        <v>Not recorded</v>
      </c>
      <c r="AD107" s="77" t="str">
        <f>Table11[[#This Row],[inc_spiro]]</f>
        <v>Not used</v>
      </c>
      <c r="AE107" s="73" t="str">
        <f>Table11[[#This Row],[t_brushes]]</f>
        <v>Once</v>
      </c>
      <c r="AF107" s="78" t="str">
        <f>Table11[[#This Row],[m_washes]]</f>
        <v>None</v>
      </c>
      <c r="AG107" s="78" t="str">
        <f>Table11[[#This Row],[iv_disc]]</f>
        <v>No</v>
      </c>
      <c r="AH107" s="78">
        <f>Table11[[#This Row],[tolerate_15l]]</f>
        <v>0</v>
      </c>
      <c r="AI107" s="78" t="str">
        <f>Table11[[#This Row],[drinking]]</f>
        <v>Yes</v>
      </c>
      <c r="AJ107" s="78" t="str">
        <f>Table11[[#This Row],[oral_diet]]</f>
        <v>No</v>
      </c>
      <c r="AK107" s="78" t="str">
        <f>Table11[[#This Row],[mobilised]]</f>
        <v>No</v>
      </c>
      <c r="AL107" s="79" t="str">
        <f>Table11[[#This Row],[resp_supp]]</f>
        <v>None</v>
      </c>
      <c r="AM107" s="78" t="str">
        <f>Table11[[#This Row],[elev_head]]</f>
        <v>Yes</v>
      </c>
      <c r="AN107" s="78" t="str">
        <f>Table13[[#This Row],[in_hospital]]</f>
        <v>No</v>
      </c>
      <c r="AO107" s="78">
        <f>Table13[[#This Row],[location_7]]</f>
        <v>0</v>
      </c>
      <c r="AP107" s="78">
        <f>Table13[[#This Row],[infec_24]]</f>
        <v>0</v>
      </c>
      <c r="AQ107" s="73">
        <f>Table13[[#This Row],[infec_7]]</f>
        <v>0</v>
      </c>
      <c r="AR107" s="73">
        <f>Table13[[#This Row],[gastro]]</f>
        <v>0</v>
      </c>
      <c r="AS107" s="73">
        <f>Table13[[#This Row],[pulm_supp_24]]</f>
        <v>0</v>
      </c>
      <c r="AT107" s="73">
        <f>Table13[[#This Row],[pulm_supp_7]]</f>
        <v>0</v>
      </c>
      <c r="AU107" s="73">
        <f>Table13[[#This Row],[pulm_pharm]]</f>
        <v>0</v>
      </c>
      <c r="AV107" s="73">
        <f>Table13[[#This Row],[cardio_24]]</f>
        <v>0</v>
      </c>
      <c r="AW107" s="73">
        <f>Table13[[#This Row],[troponin_7]]</f>
        <v>0</v>
      </c>
      <c r="AX107" s="73">
        <f>Table13[[#This Row],[creatinine_base]]</f>
        <v>0</v>
      </c>
      <c r="AY107" s="73">
        <f>Table13[[#This Row],[creatinine_high]]</f>
        <v>0</v>
      </c>
      <c r="AZ107" s="73">
        <f>Table13[[#This Row],[rrt]]</f>
        <v>0</v>
      </c>
      <c r="BA107" s="73">
        <f>Table13[[#This Row],[renal_24]]</f>
        <v>0</v>
      </c>
      <c r="BB107" s="73">
        <f>Table13[[#This Row],[neuro]]</f>
        <v>0</v>
      </c>
      <c r="BC107" s="73">
        <f>Table13[[#This Row],[wound]]</f>
        <v>0</v>
      </c>
      <c r="BD107" s="73">
        <f>Table13[[#This Row],[haemato]]</f>
        <v>0</v>
      </c>
      <c r="BE107" s="73">
        <f>Table13[[#This Row],[pain]]</f>
        <v>0</v>
      </c>
      <c r="BF107" s="73">
        <f>Table13[[#This Row],[mobility]]</f>
        <v>0</v>
      </c>
      <c r="BG107" s="79">
        <f>Table13[[#This Row],[why_inpatient_7]]</f>
        <v>0</v>
      </c>
      <c r="BH107" s="9">
        <f>Table13[[#This Row],[date_15]]</f>
        <v>0</v>
      </c>
      <c r="BI107">
        <f>Table13[[#This Row],[inpatient_15]]</f>
        <v>0</v>
      </c>
      <c r="BJ107">
        <f>Table13[[#This Row],[comment_15]]</f>
        <v>0</v>
      </c>
      <c r="BK107" t="str">
        <f>Table13[[#This Row],[discharge_dest]]</f>
        <v>Own Home</v>
      </c>
      <c r="BL107" t="str">
        <f>Table13[[#This Row],[complication]]</f>
        <v>None</v>
      </c>
    </row>
    <row r="108" spans="1:64" ht="18" customHeight="1">
      <c r="A108" s="73">
        <f>Table5[[#This Row],[comment]]</f>
        <v>0</v>
      </c>
      <c r="B108" s="73" t="str">
        <f>Table9[[#This Row],[surgeon]]</f>
        <v>Noel Clarke</v>
      </c>
      <c r="C108" s="73" t="str">
        <f>Table9[[#This Row],[surgery]]</f>
        <v>Nephrectomy (non-transplant)</v>
      </c>
      <c r="D108" s="74" t="str">
        <f>Table5[[#This Row],[pqip_consent]]</f>
        <v>Yes</v>
      </c>
      <c r="E108" s="73" t="str">
        <f>Table6[[#This Row],[area_surgery]]</f>
        <v>Nephrology</v>
      </c>
      <c r="F108" s="75">
        <f>Table6[[#This Row],[admission_date]]</f>
        <v>43356</v>
      </c>
      <c r="G108" s="75">
        <f>Table6[[#This Row],[admission_date]]</f>
        <v>43356</v>
      </c>
      <c r="H108" s="105">
        <f>Table6[[#This Row],[surgery_duration]]</f>
        <v>0.20833333333333334</v>
      </c>
      <c r="I108" s="73" t="str">
        <f>Table6[[#This Row],[discharge_loc]]</f>
        <v>H6</v>
      </c>
      <c r="J108" s="75">
        <f>Table6[[#This Row],[discharge_date]]</f>
        <v>43361</v>
      </c>
      <c r="K108" s="76">
        <f>Table6[[#This Row],[hospital_stay]]</f>
        <v>5</v>
      </c>
      <c r="L108" s="76" t="str">
        <f>Table6[[#This Row],[readmit_30]]</f>
        <v>No</v>
      </c>
      <c r="M108" s="77" t="str">
        <f>Table9[[#This Row],[troponin]]</f>
        <v>Not Measured</v>
      </c>
      <c r="N108" s="78">
        <f>Table9[[#This Row],[hb]]</f>
        <v>13.7</v>
      </c>
      <c r="O108" s="78">
        <f>Table9[[#This Row],[creatinine]]</f>
        <v>84</v>
      </c>
      <c r="P108" s="78">
        <f>Table9[[#This Row],[albumin]]</f>
        <v>47</v>
      </c>
      <c r="Q108" s="73" t="str">
        <f>Table9[[#This Row],[chest_physio]]</f>
        <v>Nurse</v>
      </c>
      <c r="R108" s="73" t="str">
        <f>Table9[[#This Row],[surgery_school]]</f>
        <v>No - Wasn’t offered it</v>
      </c>
      <c r="S108" s="75">
        <f>Table9[[#This Row],[date_school]]</f>
        <v>0</v>
      </c>
      <c r="T108" s="73" t="str">
        <f>Table9[[#This Row],[app_down]]</f>
        <v>No - Have electronic device</v>
      </c>
      <c r="U108" s="73" t="str">
        <f>Table9[[#This Row],[website]]</f>
        <v>No</v>
      </c>
      <c r="V108" s="73" t="str">
        <f>Table9[[#This Row],[base_activity]]</f>
        <v>30mins of moderate activity</v>
      </c>
      <c r="W108" s="73" t="str">
        <f>Table9[[#This Row],[current_activity]]</f>
        <v>30mins of moderate activity</v>
      </c>
      <c r="X108" s="73" t="str">
        <f>Table9[[#This Row],[activity_type]]</f>
        <v xml:space="preserve">Gym private </v>
      </c>
      <c r="Y108" s="73" t="str">
        <f>Table9[[#This Row],[anaemia_treat]]</f>
        <v>Not applicable</v>
      </c>
      <c r="Z108" s="78" t="str">
        <f>Table9[[#This Row],[anaesthesia]]</f>
        <v>General with Inhalational</v>
      </c>
      <c r="AA108" s="78">
        <f>Table9[[#This Row],[smoke_hist]]</f>
        <v>0</v>
      </c>
      <c r="AB108" s="78">
        <f>Table9[[#This Row],[smoke_cess]]</f>
        <v>0</v>
      </c>
      <c r="AC108" s="78" t="str">
        <f>Table9[[#This Row],[tidal_vol]]</f>
        <v>Not recorded</v>
      </c>
      <c r="AD108" s="77" t="str">
        <f>Table11[[#This Row],[inc_spiro]]</f>
        <v>Not used</v>
      </c>
      <c r="AE108" s="73" t="str">
        <f>Table11[[#This Row],[t_brushes]]</f>
        <v>Once</v>
      </c>
      <c r="AF108" s="78" t="str">
        <f>Table11[[#This Row],[m_washes]]</f>
        <v>Once</v>
      </c>
      <c r="AG108" s="78" t="str">
        <f>Table11[[#This Row],[iv_disc]]</f>
        <v>No</v>
      </c>
      <c r="AH108" s="78" t="str">
        <f>Table11[[#This Row],[tolerate_15l]]</f>
        <v>No</v>
      </c>
      <c r="AI108" s="78" t="str">
        <f>Table11[[#This Row],[drinking]]</f>
        <v>Yes</v>
      </c>
      <c r="AJ108" s="78" t="str">
        <f>Table11[[#This Row],[oral_diet]]</f>
        <v>No</v>
      </c>
      <c r="AK108" s="78" t="str">
        <f>Table11[[#This Row],[mobilised]]</f>
        <v>Yes</v>
      </c>
      <c r="AL108" s="79" t="str">
        <f>Table11[[#This Row],[resp_supp]]</f>
        <v>None</v>
      </c>
      <c r="AM108" s="78" t="str">
        <f>Table11[[#This Row],[elev_head]]</f>
        <v>Yes</v>
      </c>
      <c r="AN108" s="78" t="str">
        <f>Table13[[#This Row],[in_hospital]]</f>
        <v>No</v>
      </c>
      <c r="AO108" s="78">
        <f>Table13[[#This Row],[location_7]]</f>
        <v>0</v>
      </c>
      <c r="AP108" s="78">
        <f>Table13[[#This Row],[infec_24]]</f>
        <v>0</v>
      </c>
      <c r="AQ108" s="73">
        <f>Table13[[#This Row],[infec_7]]</f>
        <v>0</v>
      </c>
      <c r="AR108" s="73">
        <f>Table13[[#This Row],[gastro]]</f>
        <v>0</v>
      </c>
      <c r="AS108" s="73">
        <f>Table13[[#This Row],[pulm_supp_24]]</f>
        <v>0</v>
      </c>
      <c r="AT108" s="73">
        <f>Table13[[#This Row],[pulm_supp_7]]</f>
        <v>0</v>
      </c>
      <c r="AU108" s="73">
        <f>Table13[[#This Row],[pulm_pharm]]</f>
        <v>0</v>
      </c>
      <c r="AV108" s="73">
        <f>Table13[[#This Row],[cardio_24]]</f>
        <v>0</v>
      </c>
      <c r="AW108" s="73">
        <f>Table13[[#This Row],[troponin_7]]</f>
        <v>0</v>
      </c>
      <c r="AX108" s="73">
        <f>Table13[[#This Row],[creatinine_base]]</f>
        <v>0</v>
      </c>
      <c r="AY108" s="73">
        <f>Table13[[#This Row],[creatinine_high]]</f>
        <v>0</v>
      </c>
      <c r="AZ108" s="73">
        <f>Table13[[#This Row],[rrt]]</f>
        <v>0</v>
      </c>
      <c r="BA108" s="73">
        <f>Table13[[#This Row],[renal_24]]</f>
        <v>0</v>
      </c>
      <c r="BB108" s="73">
        <f>Table13[[#This Row],[neuro]]</f>
        <v>0</v>
      </c>
      <c r="BC108" s="73">
        <f>Table13[[#This Row],[wound]]</f>
        <v>0</v>
      </c>
      <c r="BD108" s="73">
        <f>Table13[[#This Row],[haemato]]</f>
        <v>0</v>
      </c>
      <c r="BE108" s="73">
        <f>Table13[[#This Row],[pain]]</f>
        <v>0</v>
      </c>
      <c r="BF108" s="73">
        <f>Table13[[#This Row],[mobility]]</f>
        <v>0</v>
      </c>
      <c r="BG108" s="79">
        <f>Table13[[#This Row],[why_inpatient_7]]</f>
        <v>0</v>
      </c>
      <c r="BH108" s="9">
        <f>Table13[[#This Row],[date_15]]</f>
        <v>0</v>
      </c>
      <c r="BI108">
        <f>Table13[[#This Row],[inpatient_15]]</f>
        <v>0</v>
      </c>
      <c r="BJ108">
        <f>Table13[[#This Row],[comment_15]]</f>
        <v>0</v>
      </c>
      <c r="BK108" t="str">
        <f>Table13[[#This Row],[discharge_dest]]</f>
        <v>Own Home</v>
      </c>
      <c r="BL108" t="str">
        <f>Table13[[#This Row],[complication]]</f>
        <v>None</v>
      </c>
    </row>
    <row r="109" spans="1:64" ht="18" customHeight="1">
      <c r="A109" s="73">
        <f>Table5[[#This Row],[comment]]</f>
        <v>0</v>
      </c>
      <c r="B109" s="73" t="str">
        <f>Table9[[#This Row],[surgeon]]</f>
        <v>Ramakrishna Chaparala</v>
      </c>
      <c r="C109" s="73" t="str">
        <f>Table9[[#This Row],[surgery]]</f>
        <v>Transabdominal anti-reflux operations</v>
      </c>
      <c r="D109" s="74" t="str">
        <f>Table5[[#This Row],[pqip_consent]]</f>
        <v>Yes</v>
      </c>
      <c r="E109" s="73" t="str">
        <f>Table6[[#This Row],[area_surgery]]</f>
        <v>Upper GI</v>
      </c>
      <c r="F109" s="75">
        <f>Table6[[#This Row],[admission_date]]</f>
        <v>43356</v>
      </c>
      <c r="G109" s="75">
        <f>Table6[[#This Row],[admission_date]]</f>
        <v>43356</v>
      </c>
      <c r="H109" s="105">
        <f>Table6[[#This Row],[surgery_duration]]</f>
        <v>0.13541666666666666</v>
      </c>
      <c r="I109" s="73" t="str">
        <f>Table6[[#This Row],[discharge_loc]]</f>
        <v>H4</v>
      </c>
      <c r="J109" s="75">
        <f>Table6[[#This Row],[discharge_date]]</f>
        <v>43358</v>
      </c>
      <c r="K109" s="76">
        <f>Table6[[#This Row],[hospital_stay]]</f>
        <v>2</v>
      </c>
      <c r="L109" s="76" t="str">
        <f>Table6[[#This Row],[readmit_30]]</f>
        <v>No</v>
      </c>
      <c r="M109" s="77" t="str">
        <f>Table9[[#This Row],[troponin]]</f>
        <v>Not Measured</v>
      </c>
      <c r="N109" s="78">
        <f>Table9[[#This Row],[hb]]</f>
        <v>13.7</v>
      </c>
      <c r="O109" s="78">
        <f>Table9[[#This Row],[creatinine]]</f>
        <v>91</v>
      </c>
      <c r="P109" s="78">
        <f>Table9[[#This Row],[albumin]]</f>
        <v>49</v>
      </c>
      <c r="Q109" s="73" t="str">
        <f>Table9[[#This Row],[chest_physio]]</f>
        <v>No</v>
      </c>
      <c r="R109" s="73" t="str">
        <f>Table9[[#This Row],[surgery_school]]</f>
        <v>No - Wasn’t offered it</v>
      </c>
      <c r="S109" s="75">
        <f>Table9[[#This Row],[date_school]]</f>
        <v>0</v>
      </c>
      <c r="T109" s="73" t="str">
        <f>Table9[[#This Row],[app_down]]</f>
        <v>No - Have electronic device</v>
      </c>
      <c r="U109" s="73" t="str">
        <f>Table9[[#This Row],[website]]</f>
        <v>No</v>
      </c>
      <c r="V109" s="73" t="str">
        <f>Table9[[#This Row],[base_activity]]</f>
        <v>No extra activity - Independent in ADLs</v>
      </c>
      <c r="W109" s="73" t="str">
        <f>Table9[[#This Row],[current_activity]]</f>
        <v>No extra activity - Independent in ADLs</v>
      </c>
      <c r="X109" s="73" t="str">
        <f>Table9[[#This Row],[activity_type]]</f>
        <v>None</v>
      </c>
      <c r="Y109" s="73" t="str">
        <f>Table9[[#This Row],[anaemia_treat]]</f>
        <v>Not applicable</v>
      </c>
      <c r="Z109" s="78" t="str">
        <f>Table9[[#This Row],[anaesthesia]]</f>
        <v>General with Inhalational</v>
      </c>
      <c r="AA109" s="78">
        <f>Table9[[#This Row],[smoke_hist]]</f>
        <v>0</v>
      </c>
      <c r="AB109" s="78">
        <f>Table9[[#This Row],[smoke_cess]]</f>
        <v>0</v>
      </c>
      <c r="AC109" s="78" t="str">
        <f>Table9[[#This Row],[tidal_vol]]</f>
        <v>Not recorded</v>
      </c>
      <c r="AD109" s="77" t="str">
        <f>Table11[[#This Row],[inc_spiro]]</f>
        <v>Not used</v>
      </c>
      <c r="AE109" s="73" t="str">
        <f>Table11[[#This Row],[t_brushes]]</f>
        <v>Once</v>
      </c>
      <c r="AF109" s="78" t="str">
        <f>Table11[[#This Row],[m_washes]]</f>
        <v>None</v>
      </c>
      <c r="AG109" s="78" t="str">
        <f>Table11[[#This Row],[iv_disc]]</f>
        <v>Yes</v>
      </c>
      <c r="AH109" s="78" t="str">
        <f>Table11[[#This Row],[tolerate_15l]]</f>
        <v>No</v>
      </c>
      <c r="AI109" s="78" t="str">
        <f>Table11[[#This Row],[drinking]]</f>
        <v>Yes</v>
      </c>
      <c r="AJ109" s="78" t="str">
        <f>Table11[[#This Row],[oral_diet]]</f>
        <v>No</v>
      </c>
      <c r="AK109" s="78" t="str">
        <f>Table11[[#This Row],[mobilised]]</f>
        <v>Yes</v>
      </c>
      <c r="AL109" s="79" t="str">
        <f>Table11[[#This Row],[resp_supp]]</f>
        <v>None</v>
      </c>
      <c r="AM109" s="78" t="str">
        <f>Table11[[#This Row],[elev_head]]</f>
        <v>Yes</v>
      </c>
      <c r="AN109" s="78" t="str">
        <f>Table13[[#This Row],[in_hospital]]</f>
        <v>No</v>
      </c>
      <c r="AO109" s="78">
        <f>Table13[[#This Row],[location_7]]</f>
        <v>0</v>
      </c>
      <c r="AP109" s="78">
        <f>Table13[[#This Row],[infec_24]]</f>
        <v>0</v>
      </c>
      <c r="AQ109" s="73">
        <f>Table13[[#This Row],[infec_7]]</f>
        <v>0</v>
      </c>
      <c r="AR109" s="73">
        <f>Table13[[#This Row],[gastro]]</f>
        <v>0</v>
      </c>
      <c r="AS109" s="73">
        <f>Table13[[#This Row],[pulm_supp_24]]</f>
        <v>0</v>
      </c>
      <c r="AT109" s="73">
        <f>Table13[[#This Row],[pulm_supp_7]]</f>
        <v>0</v>
      </c>
      <c r="AU109" s="73">
        <f>Table13[[#This Row],[pulm_pharm]]</f>
        <v>0</v>
      </c>
      <c r="AV109" s="73">
        <f>Table13[[#This Row],[cardio_24]]</f>
        <v>0</v>
      </c>
      <c r="AW109" s="73">
        <f>Table13[[#This Row],[troponin_7]]</f>
        <v>0</v>
      </c>
      <c r="AX109" s="73">
        <f>Table13[[#This Row],[creatinine_base]]</f>
        <v>0</v>
      </c>
      <c r="AY109" s="73">
        <f>Table13[[#This Row],[creatinine_high]]</f>
        <v>0</v>
      </c>
      <c r="AZ109" s="73">
        <f>Table13[[#This Row],[rrt]]</f>
        <v>0</v>
      </c>
      <c r="BA109" s="73">
        <f>Table13[[#This Row],[renal_24]]</f>
        <v>0</v>
      </c>
      <c r="BB109" s="73">
        <f>Table13[[#This Row],[neuro]]</f>
        <v>0</v>
      </c>
      <c r="BC109" s="73">
        <f>Table13[[#This Row],[wound]]</f>
        <v>0</v>
      </c>
      <c r="BD109" s="73">
        <f>Table13[[#This Row],[haemato]]</f>
        <v>0</v>
      </c>
      <c r="BE109" s="73">
        <f>Table13[[#This Row],[pain]]</f>
        <v>0</v>
      </c>
      <c r="BF109" s="73">
        <f>Table13[[#This Row],[mobility]]</f>
        <v>0</v>
      </c>
      <c r="BG109" s="79">
        <f>Table13[[#This Row],[why_inpatient_7]]</f>
        <v>0</v>
      </c>
      <c r="BH109" s="9">
        <f>Table13[[#This Row],[date_15]]</f>
        <v>0</v>
      </c>
      <c r="BI109">
        <f>Table13[[#This Row],[inpatient_15]]</f>
        <v>0</v>
      </c>
      <c r="BJ109">
        <f>Table13[[#This Row],[comment_15]]</f>
        <v>0</v>
      </c>
      <c r="BK109" t="str">
        <f>Table13[[#This Row],[discharge_dest]]</f>
        <v>Own Home</v>
      </c>
      <c r="BL109" t="str">
        <f>Table13[[#This Row],[complication]]</f>
        <v>I</v>
      </c>
    </row>
    <row r="110" spans="1:64" ht="18" customHeight="1">
      <c r="A110" s="73" t="str">
        <f>Table5[[#This Row],[comment]]</f>
        <v>Language barrier</v>
      </c>
      <c r="B110" s="73" t="str">
        <f>Table9[[#This Row],[surgeon]]</f>
        <v>Euan Green</v>
      </c>
      <c r="C110" s="73" t="str">
        <f>Table9[[#This Row],[surgery]]</f>
        <v>Nephrectomy (non-transplant)</v>
      </c>
      <c r="D110" s="74" t="str">
        <f>Table5[[#This Row],[pqip_consent]]</f>
        <v>No</v>
      </c>
      <c r="E110" s="73" t="str">
        <f>Table6[[#This Row],[area_surgery]]</f>
        <v>Nephrology</v>
      </c>
      <c r="F110" s="75">
        <f>Table6[[#This Row],[admission_date]]</f>
        <v>43368</v>
      </c>
      <c r="G110" s="75">
        <f>Table6[[#This Row],[admission_date]]</f>
        <v>43368</v>
      </c>
      <c r="H110" s="105">
        <f>Table6[[#This Row],[surgery_duration]]</f>
        <v>0.125</v>
      </c>
      <c r="I110" s="73" t="str">
        <f>Table6[[#This Row],[discharge_loc]]</f>
        <v>H6</v>
      </c>
      <c r="J110" s="75">
        <f>Table6[[#This Row],[discharge_date]]</f>
        <v>43373</v>
      </c>
      <c r="K110" s="76">
        <f>Table6[[#This Row],[hospital_stay]]</f>
        <v>5</v>
      </c>
      <c r="L110" s="76" t="str">
        <f>Table6[[#This Row],[readmit_30]]</f>
        <v>No</v>
      </c>
      <c r="M110" s="77" t="str">
        <f>Table9[[#This Row],[troponin]]</f>
        <v>Not Measured</v>
      </c>
      <c r="N110" s="78">
        <f>Table9[[#This Row],[hb]]</f>
        <v>14.5</v>
      </c>
      <c r="O110" s="78">
        <f>Table9[[#This Row],[creatinine]]</f>
        <v>124</v>
      </c>
      <c r="P110" s="78">
        <f>Table9[[#This Row],[albumin]]</f>
        <v>42</v>
      </c>
      <c r="Q110" s="73" t="str">
        <f>Table9[[#This Row],[chest_physio]]</f>
        <v>No</v>
      </c>
      <c r="R110" s="73" t="str">
        <f>Table9[[#This Row],[surgery_school]]</f>
        <v>No - Wasn’t offered it</v>
      </c>
      <c r="S110" s="75">
        <f>Table9[[#This Row],[date_school]]</f>
        <v>0</v>
      </c>
      <c r="T110" s="73">
        <f>Table9[[#This Row],[app_down]]</f>
        <v>0</v>
      </c>
      <c r="U110" s="73">
        <f>Table9[[#This Row],[website]]</f>
        <v>0</v>
      </c>
      <c r="V110" s="73" t="str">
        <f>Table9[[#This Row],[base_activity]]</f>
        <v>No extra activity - Independent in ADLs</v>
      </c>
      <c r="W110" s="73" t="str">
        <f>Table9[[#This Row],[current_activity]]</f>
        <v>No extra activity - Independent in ADLs</v>
      </c>
      <c r="X110" s="73" t="str">
        <f>Table9[[#This Row],[activity_type]]</f>
        <v>None</v>
      </c>
      <c r="Y110" s="73" t="str">
        <f>Table9[[#This Row],[anaemia_treat]]</f>
        <v xml:space="preserve">Oral Iron </v>
      </c>
      <c r="Z110" s="78" t="str">
        <f>Table9[[#This Row],[anaesthesia]]</f>
        <v>General with Inhalational</v>
      </c>
      <c r="AA110" s="78">
        <f>Table9[[#This Row],[smoke_hist]]</f>
        <v>0</v>
      </c>
      <c r="AB110" s="78">
        <f>Table9[[#This Row],[smoke_cess]]</f>
        <v>0</v>
      </c>
      <c r="AC110" s="78" t="str">
        <f>Table9[[#This Row],[tidal_vol]]</f>
        <v>Not recorded</v>
      </c>
      <c r="AD110" s="77" t="str">
        <f>Table11[[#This Row],[inc_spiro]]</f>
        <v>Not done</v>
      </c>
      <c r="AE110" s="73" t="str">
        <f>Table11[[#This Row],[t_brushes]]</f>
        <v>Not done</v>
      </c>
      <c r="AF110" s="78" t="str">
        <f>Table11[[#This Row],[m_washes]]</f>
        <v>Not done</v>
      </c>
      <c r="AG110" s="78" t="str">
        <f>Table11[[#This Row],[iv_disc]]</f>
        <v>No</v>
      </c>
      <c r="AH110" s="78" t="str">
        <f>Table11[[#This Row],[tolerate_15l]]</f>
        <v>No</v>
      </c>
      <c r="AI110" s="78" t="str">
        <f>Table11[[#This Row],[drinking]]</f>
        <v>Yes</v>
      </c>
      <c r="AJ110" s="78" t="str">
        <f>Table11[[#This Row],[oral_diet]]</f>
        <v>Yes</v>
      </c>
      <c r="AK110" s="78" t="str">
        <f>Table11[[#This Row],[mobilised]]</f>
        <v>Yes</v>
      </c>
      <c r="AL110" s="79" t="str">
        <f>Table11[[#This Row],[resp_supp]]</f>
        <v>None</v>
      </c>
      <c r="AM110" s="78" t="str">
        <f>Table11[[#This Row],[elev_head]]</f>
        <v>Yes</v>
      </c>
      <c r="AN110" s="78" t="str">
        <f>Table13[[#This Row],[in_hospital]]</f>
        <v>No</v>
      </c>
      <c r="AO110" s="78">
        <f>Table13[[#This Row],[location_7]]</f>
        <v>0</v>
      </c>
      <c r="AP110" s="78">
        <f>Table13[[#This Row],[infec_24]]</f>
        <v>0</v>
      </c>
      <c r="AQ110" s="73">
        <f>Table13[[#This Row],[infec_7]]</f>
        <v>0</v>
      </c>
      <c r="AR110" s="73">
        <f>Table13[[#This Row],[gastro]]</f>
        <v>0</v>
      </c>
      <c r="AS110" s="73">
        <f>Table13[[#This Row],[pulm_supp_24]]</f>
        <v>0</v>
      </c>
      <c r="AT110" s="73">
        <f>Table13[[#This Row],[pulm_supp_7]]</f>
        <v>0</v>
      </c>
      <c r="AU110" s="73">
        <f>Table13[[#This Row],[pulm_pharm]]</f>
        <v>0</v>
      </c>
      <c r="AV110" s="73">
        <f>Table13[[#This Row],[cardio_24]]</f>
        <v>0</v>
      </c>
      <c r="AW110" s="73">
        <f>Table13[[#This Row],[troponin_7]]</f>
        <v>0</v>
      </c>
      <c r="AX110" s="73">
        <f>Table13[[#This Row],[creatinine_base]]</f>
        <v>0</v>
      </c>
      <c r="AY110" s="73">
        <f>Table13[[#This Row],[creatinine_high]]</f>
        <v>0</v>
      </c>
      <c r="AZ110" s="73">
        <f>Table13[[#This Row],[rrt]]</f>
        <v>0</v>
      </c>
      <c r="BA110" s="73">
        <f>Table13[[#This Row],[renal_24]]</f>
        <v>0</v>
      </c>
      <c r="BB110" s="73">
        <f>Table13[[#This Row],[neuro]]</f>
        <v>0</v>
      </c>
      <c r="BC110" s="73">
        <f>Table13[[#This Row],[wound]]</f>
        <v>0</v>
      </c>
      <c r="BD110" s="73">
        <f>Table13[[#This Row],[haemato]]</f>
        <v>0</v>
      </c>
      <c r="BE110" s="73">
        <f>Table13[[#This Row],[pain]]</f>
        <v>0</v>
      </c>
      <c r="BF110" s="73">
        <f>Table13[[#This Row],[mobility]]</f>
        <v>0</v>
      </c>
      <c r="BG110" s="79">
        <f>Table13[[#This Row],[why_inpatient_7]]</f>
        <v>0</v>
      </c>
      <c r="BH110" s="9">
        <f>Table13[[#This Row],[date_15]]</f>
        <v>0</v>
      </c>
      <c r="BI110">
        <f>Table13[[#This Row],[inpatient_15]]</f>
        <v>0</v>
      </c>
      <c r="BJ110">
        <f>Table13[[#This Row],[comment_15]]</f>
        <v>0</v>
      </c>
      <c r="BK110" t="str">
        <f>Table13[[#This Row],[discharge_dest]]</f>
        <v>Own Home</v>
      </c>
      <c r="BL110" t="str">
        <f>Table13[[#This Row],[complication]]</f>
        <v>I</v>
      </c>
    </row>
    <row r="111" spans="1:64" ht="18" customHeight="1">
      <c r="A111" s="73" t="str">
        <f>Table5[[#This Row],[comment]]</f>
        <v>surgical pathway not available</v>
      </c>
      <c r="B111" s="73" t="str">
        <f>Table9[[#This Row],[surgeon]]</f>
        <v>Satish Maddineni</v>
      </c>
      <c r="C111" s="73" t="str">
        <f>Table9[[#This Row],[surgery]]</f>
        <v>Nephrectomy (non-transplant)</v>
      </c>
      <c r="D111" s="74" t="str">
        <f>Table5[[#This Row],[pqip_consent]]</f>
        <v>No</v>
      </c>
      <c r="E111" s="73" t="str">
        <f>Table6[[#This Row],[area_surgery]]</f>
        <v>Nephrology</v>
      </c>
      <c r="F111" s="75">
        <f>Table6[[#This Row],[admission_date]]</f>
        <v>43368</v>
      </c>
      <c r="G111" s="75">
        <f>Table6[[#This Row],[admission_date]]</f>
        <v>43368</v>
      </c>
      <c r="H111" s="105">
        <f>Table6[[#This Row],[surgery_duration]]</f>
        <v>0.125</v>
      </c>
      <c r="I111" s="73" t="str">
        <f>Table6[[#This Row],[discharge_loc]]</f>
        <v>H6</v>
      </c>
      <c r="J111" s="75">
        <f>Table6[[#This Row],[discharge_date]]</f>
        <v>43371</v>
      </c>
      <c r="K111" s="76">
        <f>Table6[[#This Row],[hospital_stay]]</f>
        <v>3</v>
      </c>
      <c r="L111" s="76" t="str">
        <f>Table6[[#This Row],[readmit_30]]</f>
        <v>No</v>
      </c>
      <c r="M111" s="77" t="str">
        <f>Table9[[#This Row],[troponin]]</f>
        <v>Not Measured</v>
      </c>
      <c r="N111" s="78">
        <f>Table9[[#This Row],[hb]]</f>
        <v>15.9</v>
      </c>
      <c r="O111" s="78">
        <f>Table9[[#This Row],[creatinine]]</f>
        <v>67</v>
      </c>
      <c r="P111" s="78">
        <f>Table9[[#This Row],[albumin]]</f>
        <v>46</v>
      </c>
      <c r="Q111" s="73" t="str">
        <f>Table9[[#This Row],[chest_physio]]</f>
        <v>Nurse</v>
      </c>
      <c r="R111" s="73" t="str">
        <f>Table9[[#This Row],[surgery_school]]</f>
        <v>No - Wasn’t offered it</v>
      </c>
      <c r="S111" s="75">
        <f>Table9[[#This Row],[date_school]]</f>
        <v>0</v>
      </c>
      <c r="T111" s="73" t="str">
        <f>Table9[[#This Row],[app_down]]</f>
        <v>No - Have electronic device</v>
      </c>
      <c r="U111" s="73" t="str">
        <f>Table9[[#This Row],[website]]</f>
        <v>No</v>
      </c>
      <c r="V111" s="73" t="str">
        <f>Table9[[#This Row],[base_activity]]</f>
        <v>&gt;30mins of moderate activity</v>
      </c>
      <c r="W111" s="73" t="str">
        <f>Table9[[#This Row],[current_activity]]</f>
        <v>&gt;30mins of moderate activity</v>
      </c>
      <c r="X111" s="73" t="str">
        <f>Table9[[#This Row],[activity_type]]</f>
        <v xml:space="preserve">Walking regularly </v>
      </c>
      <c r="Y111" s="73" t="str">
        <f>Table9[[#This Row],[anaemia_treat]]</f>
        <v>Not applicable</v>
      </c>
      <c r="Z111" s="78" t="str">
        <f>Table9[[#This Row],[anaesthesia]]</f>
        <v>Not available</v>
      </c>
      <c r="AA111" s="78">
        <f>Table9[[#This Row],[smoke_hist]]</f>
        <v>0</v>
      </c>
      <c r="AB111" s="78">
        <f>Table9[[#This Row],[smoke_cess]]</f>
        <v>0</v>
      </c>
      <c r="AC111" s="78" t="str">
        <f>Table9[[#This Row],[tidal_vol]]</f>
        <v>Not recorded</v>
      </c>
      <c r="AD111" s="77" t="str">
        <f>Table11[[#This Row],[inc_spiro]]</f>
        <v>Not used</v>
      </c>
      <c r="AE111" s="73" t="str">
        <f>Table11[[#This Row],[t_brushes]]</f>
        <v>Twice</v>
      </c>
      <c r="AF111" s="78" t="str">
        <f>Table11[[#This Row],[m_washes]]</f>
        <v>None</v>
      </c>
      <c r="AG111" s="78" t="str">
        <f>Table11[[#This Row],[iv_disc]]</f>
        <v>Yes</v>
      </c>
      <c r="AH111" s="78" t="str">
        <f>Table11[[#This Row],[tolerate_15l]]</f>
        <v>Yes</v>
      </c>
      <c r="AI111" s="78" t="str">
        <f>Table11[[#This Row],[drinking]]</f>
        <v>Yes</v>
      </c>
      <c r="AJ111" s="78" t="str">
        <f>Table11[[#This Row],[oral_diet]]</f>
        <v>Yes</v>
      </c>
      <c r="AK111" s="78" t="str">
        <f>Table11[[#This Row],[mobilised]]</f>
        <v>Yes</v>
      </c>
      <c r="AL111" s="79" t="str">
        <f>Table11[[#This Row],[resp_supp]]</f>
        <v>None</v>
      </c>
      <c r="AM111" s="78" t="str">
        <f>Table11[[#This Row],[elev_head]]</f>
        <v>Yes</v>
      </c>
      <c r="AN111" s="78" t="str">
        <f>Table13[[#This Row],[in_hospital]]</f>
        <v>No</v>
      </c>
      <c r="AO111" s="78">
        <f>Table13[[#This Row],[location_7]]</f>
        <v>0</v>
      </c>
      <c r="AP111" s="78">
        <f>Table13[[#This Row],[infec_24]]</f>
        <v>0</v>
      </c>
      <c r="AQ111" s="73">
        <f>Table13[[#This Row],[infec_7]]</f>
        <v>0</v>
      </c>
      <c r="AR111" s="73">
        <f>Table13[[#This Row],[gastro]]</f>
        <v>0</v>
      </c>
      <c r="AS111" s="73">
        <f>Table13[[#This Row],[pulm_supp_24]]</f>
        <v>0</v>
      </c>
      <c r="AT111" s="73">
        <f>Table13[[#This Row],[pulm_supp_7]]</f>
        <v>0</v>
      </c>
      <c r="AU111" s="73">
        <f>Table13[[#This Row],[pulm_pharm]]</f>
        <v>0</v>
      </c>
      <c r="AV111" s="73">
        <f>Table13[[#This Row],[cardio_24]]</f>
        <v>0</v>
      </c>
      <c r="AW111" s="73">
        <f>Table13[[#This Row],[troponin_7]]</f>
        <v>0</v>
      </c>
      <c r="AX111" s="73">
        <f>Table13[[#This Row],[creatinine_base]]</f>
        <v>0</v>
      </c>
      <c r="AY111" s="73">
        <f>Table13[[#This Row],[creatinine_high]]</f>
        <v>0</v>
      </c>
      <c r="AZ111" s="73">
        <f>Table13[[#This Row],[rrt]]</f>
        <v>0</v>
      </c>
      <c r="BA111" s="73">
        <f>Table13[[#This Row],[renal_24]]</f>
        <v>0</v>
      </c>
      <c r="BB111" s="73">
        <f>Table13[[#This Row],[neuro]]</f>
        <v>0</v>
      </c>
      <c r="BC111" s="73">
        <f>Table13[[#This Row],[wound]]</f>
        <v>0</v>
      </c>
      <c r="BD111" s="73">
        <f>Table13[[#This Row],[haemato]]</f>
        <v>0</v>
      </c>
      <c r="BE111" s="73">
        <f>Table13[[#This Row],[pain]]</f>
        <v>0</v>
      </c>
      <c r="BF111" s="73">
        <f>Table13[[#This Row],[mobility]]</f>
        <v>0</v>
      </c>
      <c r="BG111" s="79">
        <f>Table13[[#This Row],[why_inpatient_7]]</f>
        <v>0</v>
      </c>
      <c r="BH111" s="9">
        <f>Table13[[#This Row],[date_15]]</f>
        <v>0</v>
      </c>
      <c r="BI111">
        <f>Table13[[#This Row],[inpatient_15]]</f>
        <v>0</v>
      </c>
      <c r="BJ111">
        <f>Table13[[#This Row],[comment_15]]</f>
        <v>0</v>
      </c>
      <c r="BK111" t="str">
        <f>Table13[[#This Row],[discharge_dest]]</f>
        <v>Own Home</v>
      </c>
      <c r="BL111" t="str">
        <f>Table13[[#This Row],[complication]]</f>
        <v>None</v>
      </c>
    </row>
    <row r="112" spans="1:64" ht="18" customHeight="1">
      <c r="A112" s="73">
        <f>Table5[[#This Row],[comment]]</f>
        <v>0</v>
      </c>
      <c r="B112" s="73" t="str">
        <f>Table9[[#This Row],[surgeon]]</f>
        <v>Euan Green</v>
      </c>
      <c r="C112" s="73" t="str">
        <f>Table9[[#This Row],[surgery]]</f>
        <v>Nephrectomy (non-transplant)</v>
      </c>
      <c r="D112" s="74" t="str">
        <f>Table5[[#This Row],[pqip_consent]]</f>
        <v>No</v>
      </c>
      <c r="E112" s="73" t="str">
        <f>Table6[[#This Row],[area_surgery]]</f>
        <v>Nephrology</v>
      </c>
      <c r="F112" s="75">
        <f>Table6[[#This Row],[admission_date]]</f>
        <v>43357</v>
      </c>
      <c r="G112" s="75">
        <f>Table6[[#This Row],[admission_date]]</f>
        <v>43357</v>
      </c>
      <c r="H112" s="105">
        <f>Table6[[#This Row],[surgery_duration]]</f>
        <v>0.14583333333333334</v>
      </c>
      <c r="I112" s="73" t="str">
        <f>Table6[[#This Row],[discharge_loc]]</f>
        <v>H6</v>
      </c>
      <c r="J112" s="75">
        <f>Table6[[#This Row],[discharge_date]]</f>
        <v>43362</v>
      </c>
      <c r="K112" s="76">
        <f>Table6[[#This Row],[hospital_stay]]</f>
        <v>5</v>
      </c>
      <c r="L112" s="76" t="str">
        <f>Table6[[#This Row],[readmit_30]]</f>
        <v>No</v>
      </c>
      <c r="M112" s="77" t="str">
        <f>Table9[[#This Row],[troponin]]</f>
        <v>Not Measured</v>
      </c>
      <c r="N112" s="78">
        <f>Table9[[#This Row],[hb]]</f>
        <v>16</v>
      </c>
      <c r="O112" s="78">
        <f>Table9[[#This Row],[creatinine]]</f>
        <v>81</v>
      </c>
      <c r="P112" s="78">
        <f>Table9[[#This Row],[albumin]]</f>
        <v>46</v>
      </c>
      <c r="Q112" s="73" t="str">
        <f>Table9[[#This Row],[chest_physio]]</f>
        <v>Nurse</v>
      </c>
      <c r="R112" s="73" t="str">
        <f>Table9[[#This Row],[surgery_school]]</f>
        <v>No - Wasn’t offered it</v>
      </c>
      <c r="S112" s="75">
        <f>Table9[[#This Row],[date_school]]</f>
        <v>0</v>
      </c>
      <c r="T112" s="73" t="str">
        <f>Table9[[#This Row],[app_down]]</f>
        <v>No - Have electronic device</v>
      </c>
      <c r="U112" s="73" t="str">
        <f>Table9[[#This Row],[website]]</f>
        <v>No</v>
      </c>
      <c r="V112" s="73" t="str">
        <f>Table9[[#This Row],[base_activity]]</f>
        <v>30mins of moderate activity</v>
      </c>
      <c r="W112" s="73" t="str">
        <f>Table9[[#This Row],[current_activity]]</f>
        <v>30mins of moderate activity</v>
      </c>
      <c r="X112" s="73" t="str">
        <f>Table9[[#This Row],[activity_type]]</f>
        <v xml:space="preserve">Walking regularly </v>
      </c>
      <c r="Y112" s="73" t="str">
        <f>Table9[[#This Row],[anaemia_treat]]</f>
        <v>Not applicable</v>
      </c>
      <c r="Z112" s="78" t="str">
        <f>Table9[[#This Row],[anaesthesia]]</f>
        <v>General with Inhalational</v>
      </c>
      <c r="AA112" s="78">
        <f>Table9[[#This Row],[smoke_hist]]</f>
        <v>0</v>
      </c>
      <c r="AB112" s="78">
        <f>Table9[[#This Row],[smoke_cess]]</f>
        <v>0</v>
      </c>
      <c r="AC112" s="78" t="str">
        <f>Table9[[#This Row],[tidal_vol]]</f>
        <v>Not recorded</v>
      </c>
      <c r="AD112" s="77" t="str">
        <f>Table11[[#This Row],[inc_spiro]]</f>
        <v>Not used</v>
      </c>
      <c r="AE112" s="73" t="str">
        <f>Table11[[#This Row],[t_brushes]]</f>
        <v>Twice</v>
      </c>
      <c r="AF112" s="78" t="str">
        <f>Table11[[#This Row],[m_washes]]</f>
        <v>None</v>
      </c>
      <c r="AG112" s="78" t="str">
        <f>Table11[[#This Row],[iv_disc]]</f>
        <v>No</v>
      </c>
      <c r="AH112" s="78" t="str">
        <f>Table11[[#This Row],[tolerate_15l]]</f>
        <v>No</v>
      </c>
      <c r="AI112" s="78" t="str">
        <f>Table11[[#This Row],[drinking]]</f>
        <v>Yes</v>
      </c>
      <c r="AJ112" s="78" t="str">
        <f>Table11[[#This Row],[oral_diet]]</f>
        <v>Yes</v>
      </c>
      <c r="AK112" s="78" t="str">
        <f>Table11[[#This Row],[mobilised]]</f>
        <v>Yes</v>
      </c>
      <c r="AL112" s="79" t="str">
        <f>Table11[[#This Row],[resp_supp]]</f>
        <v>None</v>
      </c>
      <c r="AM112" s="78" t="str">
        <f>Table11[[#This Row],[elev_head]]</f>
        <v>Yes</v>
      </c>
      <c r="AN112" s="78" t="str">
        <f>Table13[[#This Row],[in_hospital]]</f>
        <v>No</v>
      </c>
      <c r="AO112" s="78">
        <f>Table13[[#This Row],[location_7]]</f>
        <v>0</v>
      </c>
      <c r="AP112" s="78">
        <f>Table13[[#This Row],[infec_24]]</f>
        <v>0</v>
      </c>
      <c r="AQ112" s="73">
        <f>Table13[[#This Row],[infec_7]]</f>
        <v>0</v>
      </c>
      <c r="AR112" s="73">
        <f>Table13[[#This Row],[gastro]]</f>
        <v>0</v>
      </c>
      <c r="AS112" s="73">
        <f>Table13[[#This Row],[pulm_supp_24]]</f>
        <v>0</v>
      </c>
      <c r="AT112" s="73">
        <f>Table13[[#This Row],[pulm_supp_7]]</f>
        <v>0</v>
      </c>
      <c r="AU112" s="73">
        <f>Table13[[#This Row],[pulm_pharm]]</f>
        <v>0</v>
      </c>
      <c r="AV112" s="73">
        <f>Table13[[#This Row],[cardio_24]]</f>
        <v>0</v>
      </c>
      <c r="AW112" s="73">
        <f>Table13[[#This Row],[troponin_7]]</f>
        <v>0</v>
      </c>
      <c r="AX112" s="73">
        <f>Table13[[#This Row],[creatinine_base]]</f>
        <v>0</v>
      </c>
      <c r="AY112" s="73">
        <f>Table13[[#This Row],[creatinine_high]]</f>
        <v>0</v>
      </c>
      <c r="AZ112" s="73">
        <f>Table13[[#This Row],[rrt]]</f>
        <v>0</v>
      </c>
      <c r="BA112" s="73">
        <f>Table13[[#This Row],[renal_24]]</f>
        <v>0</v>
      </c>
      <c r="BB112" s="73">
        <f>Table13[[#This Row],[neuro]]</f>
        <v>0</v>
      </c>
      <c r="BC112" s="73">
        <f>Table13[[#This Row],[wound]]</f>
        <v>0</v>
      </c>
      <c r="BD112" s="73">
        <f>Table13[[#This Row],[haemato]]</f>
        <v>0</v>
      </c>
      <c r="BE112" s="73">
        <f>Table13[[#This Row],[pain]]</f>
        <v>0</v>
      </c>
      <c r="BF112" s="73">
        <f>Table13[[#This Row],[mobility]]</f>
        <v>0</v>
      </c>
      <c r="BG112" s="79">
        <f>Table13[[#This Row],[why_inpatient_7]]</f>
        <v>0</v>
      </c>
      <c r="BH112" s="9">
        <f>Table13[[#This Row],[date_15]]</f>
        <v>0</v>
      </c>
      <c r="BI112">
        <f>Table13[[#This Row],[inpatient_15]]</f>
        <v>0</v>
      </c>
      <c r="BJ112">
        <f>Table13[[#This Row],[comment_15]]</f>
        <v>0</v>
      </c>
      <c r="BK112" t="str">
        <f>Table13[[#This Row],[discharge_dest]]</f>
        <v>Own Home</v>
      </c>
      <c r="BL112" t="str">
        <f>Table13[[#This Row],[complication]]</f>
        <v>I</v>
      </c>
    </row>
    <row r="113" spans="1:64" ht="18" customHeight="1">
      <c r="A113" s="73">
        <f>Table5[[#This Row],[comment]]</f>
        <v>0</v>
      </c>
      <c r="B113" s="73" t="str">
        <f>Table9[[#This Row],[surgeon]]</f>
        <v>Lyndsay Pearce</v>
      </c>
      <c r="C113" s="73" t="str">
        <f>Table9[[#This Row],[surgery]]</f>
        <v>Anterior resection</v>
      </c>
      <c r="D113" s="74" t="str">
        <f>Table5[[#This Row],[pqip_consent]]</f>
        <v>Yes</v>
      </c>
      <c r="E113" s="73" t="str">
        <f>Table6[[#This Row],[area_surgery]]</f>
        <v>Lower GI</v>
      </c>
      <c r="F113" s="75">
        <f>Table6[[#This Row],[admission_date]]</f>
        <v>43360</v>
      </c>
      <c r="G113" s="75">
        <f>Table6[[#This Row],[admission_date]]</f>
        <v>43360</v>
      </c>
      <c r="H113" s="105">
        <f>Table6[[#This Row],[surgery_duration]]</f>
        <v>0.34375</v>
      </c>
      <c r="I113" s="73" t="str">
        <f>Table6[[#This Row],[discharge_loc]]</f>
        <v>CCU (Level 2)</v>
      </c>
      <c r="J113" s="75">
        <f>Table6[[#This Row],[discharge_date]]</f>
        <v>43381</v>
      </c>
      <c r="K113" s="76">
        <f>Table6[[#This Row],[hospital_stay]]</f>
        <v>21</v>
      </c>
      <c r="L113" s="76" t="str">
        <f>Table6[[#This Row],[readmit_30]]</f>
        <v>No</v>
      </c>
      <c r="M113" s="77" t="str">
        <f>Table9[[#This Row],[troponin]]</f>
        <v>Not Measured</v>
      </c>
      <c r="N113" s="78">
        <f>Table9[[#This Row],[hb]]</f>
        <v>12.7</v>
      </c>
      <c r="O113" s="78">
        <f>Table9[[#This Row],[creatinine]]</f>
        <v>64</v>
      </c>
      <c r="P113" s="78">
        <f>Table9[[#This Row],[albumin]]</f>
        <v>45</v>
      </c>
      <c r="Q113" s="73" t="str">
        <f>Table9[[#This Row],[chest_physio]]</f>
        <v>Nurse</v>
      </c>
      <c r="R113" s="73" t="str">
        <f>Table9[[#This Row],[surgery_school]]</f>
        <v>No - Wasn’t offered it</v>
      </c>
      <c r="S113" s="75">
        <f>Table9[[#This Row],[date_school]]</f>
        <v>0</v>
      </c>
      <c r="T113" s="73" t="str">
        <f>Table9[[#This Row],[app_down]]</f>
        <v>No - No electronic device</v>
      </c>
      <c r="U113" s="73" t="str">
        <f>Table9[[#This Row],[website]]</f>
        <v>No</v>
      </c>
      <c r="V113" s="73" t="str">
        <f>Table9[[#This Row],[base_activity]]</f>
        <v>30mins of moderate activity</v>
      </c>
      <c r="W113" s="73" t="str">
        <f>Table9[[#This Row],[current_activity]]</f>
        <v>30mins of moderate activity</v>
      </c>
      <c r="X113" s="73" t="str">
        <f>Table9[[#This Row],[activity_type]]</f>
        <v xml:space="preserve">Walking regularly </v>
      </c>
      <c r="Y113" s="73" t="str">
        <f>Table9[[#This Row],[anaemia_treat]]</f>
        <v>Not applicable</v>
      </c>
      <c r="Z113" s="78" t="str">
        <f>Table9[[#This Row],[anaesthesia]]</f>
        <v>General with Inhalational</v>
      </c>
      <c r="AA113" s="78">
        <f>Table9[[#This Row],[smoke_hist]]</f>
        <v>0</v>
      </c>
      <c r="AB113" s="78">
        <f>Table9[[#This Row],[smoke_cess]]</f>
        <v>0</v>
      </c>
      <c r="AC113" s="78" t="str">
        <f>Table9[[#This Row],[tidal_vol]]</f>
        <v>Not recorded</v>
      </c>
      <c r="AD113" s="77" t="str">
        <f>Table11[[#This Row],[inc_spiro]]</f>
        <v>&gt;Two</v>
      </c>
      <c r="AE113" s="73" t="str">
        <f>Table11[[#This Row],[t_brushes]]</f>
        <v>Twice</v>
      </c>
      <c r="AF113" s="78" t="str">
        <f>Table11[[#This Row],[m_washes]]</f>
        <v>Not done</v>
      </c>
      <c r="AG113" s="78" t="str">
        <f>Table11[[#This Row],[iv_disc]]</f>
        <v>No</v>
      </c>
      <c r="AH113" s="78" t="str">
        <f>Table11[[#This Row],[tolerate_15l]]</f>
        <v>No</v>
      </c>
      <c r="AI113" s="78" t="str">
        <f>Table11[[#This Row],[drinking]]</f>
        <v>Yes</v>
      </c>
      <c r="AJ113" s="78" t="str">
        <f>Table11[[#This Row],[oral_diet]]</f>
        <v>No</v>
      </c>
      <c r="AK113" s="78" t="str">
        <f>Table11[[#This Row],[mobilised]]</f>
        <v>Yes</v>
      </c>
      <c r="AL113" s="79" t="str">
        <f>Table11[[#This Row],[resp_supp]]</f>
        <v>None</v>
      </c>
      <c r="AM113" s="78" t="str">
        <f>Table11[[#This Row],[elev_head]]</f>
        <v>Yes</v>
      </c>
      <c r="AN113" s="78" t="str">
        <f>Table13[[#This Row],[in_hospital]]</f>
        <v>Yes</v>
      </c>
      <c r="AO113" s="78" t="str">
        <f>Table13[[#This Row],[location_7]]</f>
        <v>Ward</v>
      </c>
      <c r="AP113" s="78" t="str">
        <f>Table13[[#This Row],[infec_24]]</f>
        <v>None of the above</v>
      </c>
      <c r="AQ113" s="73" t="str">
        <f>Table13[[#This Row],[infec_7]]</f>
        <v>None</v>
      </c>
      <c r="AR113" s="73" t="str">
        <f>Table13[[#This Row],[gastro]]</f>
        <v>None of the above</v>
      </c>
      <c r="AS113" s="73" t="str">
        <f>Table13[[#This Row],[pulm_supp_24]]</f>
        <v>None of the above</v>
      </c>
      <c r="AT113" s="73" t="str">
        <f>Table13[[#This Row],[pulm_supp_7]]</f>
        <v>None</v>
      </c>
      <c r="AU113" s="73" t="str">
        <f>Table13[[#This Row],[pulm_pharm]]</f>
        <v>None</v>
      </c>
      <c r="AV113" s="73" t="str">
        <f>Table13[[#This Row],[cardio_24]]</f>
        <v>None of the above</v>
      </c>
      <c r="AW113" s="73">
        <f>Table13[[#This Row],[troponin_7]]</f>
        <v>0</v>
      </c>
      <c r="AX113" s="73">
        <f>Table13[[#This Row],[creatinine_base]]</f>
        <v>64</v>
      </c>
      <c r="AY113" s="73">
        <f>Table13[[#This Row],[creatinine_high]]</f>
        <v>61</v>
      </c>
      <c r="AZ113" s="73" t="str">
        <f>Table13[[#This Row],[rrt]]</f>
        <v xml:space="preserve">No </v>
      </c>
      <c r="BA113" s="73" t="str">
        <f>Table13[[#This Row],[renal_24]]</f>
        <v>None of the above</v>
      </c>
      <c r="BB113" s="73" t="str">
        <f>Table13[[#This Row],[neuro]]</f>
        <v>None of the above</v>
      </c>
      <c r="BC113" s="73" t="str">
        <f>Table13[[#This Row],[wound]]</f>
        <v>None of the above</v>
      </c>
      <c r="BD113" s="73" t="str">
        <f>Table13[[#This Row],[haemato]]</f>
        <v>None of the above</v>
      </c>
      <c r="BE113" s="73" t="str">
        <f>Table13[[#This Row],[pain]]</f>
        <v>None of the above</v>
      </c>
      <c r="BF113" s="73" t="str">
        <f>Table13[[#This Row],[mobility]]</f>
        <v>Yes</v>
      </c>
      <c r="BG113" s="79" t="str">
        <f>Table13[[#This Row],[why_inpatient_7]]</f>
        <v>Medical/nursing care</v>
      </c>
      <c r="BH113" s="9">
        <f>Table13[[#This Row],[date_15]]</f>
        <v>43375</v>
      </c>
      <c r="BI113" t="str">
        <f>Table13[[#This Row],[inpatient_15]]</f>
        <v>Yes</v>
      </c>
      <c r="BJ113" t="str">
        <f>Table13[[#This Row],[comment_15]]</f>
        <v>Had slow progress with stoma care, iron infusion on day 7,</v>
      </c>
      <c r="BK113" t="str">
        <f>Table13[[#This Row],[discharge_dest]]</f>
        <v>Own Home</v>
      </c>
      <c r="BL113" t="str">
        <f>Table13[[#This Row],[complication]]</f>
        <v>None</v>
      </c>
    </row>
    <row r="114" spans="1:64" ht="18" customHeight="1">
      <c r="A114" s="73">
        <f>Table5[[#This Row],[comment]]</f>
        <v>0</v>
      </c>
      <c r="B114" s="73" t="str">
        <f>Table9[[#This Row],[surgeon]]</f>
        <v>Ramakrishna Chaparala</v>
      </c>
      <c r="C114" s="73" t="str">
        <f>Table9[[#This Row],[surgery]]</f>
        <v>Oesophagectomy (partial /total)/Oesophagogastrectomy</v>
      </c>
      <c r="D114" s="74" t="str">
        <f>Table5[[#This Row],[pqip_consent]]</f>
        <v>No</v>
      </c>
      <c r="E114" s="73" t="str">
        <f>Table6[[#This Row],[area_surgery]]</f>
        <v>Upper GI</v>
      </c>
      <c r="F114" s="75">
        <f>Table6[[#This Row],[admission_date]]</f>
        <v>43360</v>
      </c>
      <c r="G114" s="75">
        <f>Table6[[#This Row],[admission_date]]</f>
        <v>43360</v>
      </c>
      <c r="H114" s="105">
        <f>Table6[[#This Row],[surgery_duration]]</f>
        <v>0.41666666666666669</v>
      </c>
      <c r="I114" s="73" t="str">
        <f>Table6[[#This Row],[discharge_loc]]</f>
        <v>CCU (Level 3)</v>
      </c>
      <c r="J114" s="75">
        <f>Table6[[#This Row],[discharge_date]]</f>
        <v>43375</v>
      </c>
      <c r="K114" s="76">
        <f>Table6[[#This Row],[hospital_stay]]</f>
        <v>15</v>
      </c>
      <c r="L114" s="76" t="str">
        <f>Table6[[#This Row],[readmit_30]]</f>
        <v>No</v>
      </c>
      <c r="M114" s="77" t="str">
        <f>Table9[[#This Row],[troponin]]</f>
        <v>Not Measured</v>
      </c>
      <c r="N114" s="78">
        <f>Table9[[#This Row],[hb]]</f>
        <v>12.2</v>
      </c>
      <c r="O114" s="78">
        <f>Table9[[#This Row],[creatinine]]</f>
        <v>52</v>
      </c>
      <c r="P114" s="78">
        <f>Table9[[#This Row],[albumin]]</f>
        <v>42</v>
      </c>
      <c r="Q114" s="73" t="str">
        <f>Table9[[#This Row],[chest_physio]]</f>
        <v>Nurse</v>
      </c>
      <c r="R114" s="73" t="str">
        <f>Table9[[#This Row],[surgery_school]]</f>
        <v>No - Wasn’t offered it</v>
      </c>
      <c r="S114" s="75">
        <f>Table9[[#This Row],[date_school]]</f>
        <v>0</v>
      </c>
      <c r="T114" s="73" t="str">
        <f>Table9[[#This Row],[app_down]]</f>
        <v>No - No electronic device</v>
      </c>
      <c r="U114" s="73" t="str">
        <f>Table9[[#This Row],[website]]</f>
        <v>No</v>
      </c>
      <c r="V114" s="73" t="str">
        <f>Table9[[#This Row],[base_activity]]</f>
        <v>30mins of moderate activity</v>
      </c>
      <c r="W114" s="73" t="str">
        <f>Table9[[#This Row],[current_activity]]</f>
        <v>30mins of moderate activity</v>
      </c>
      <c r="X114" s="73" t="str">
        <f>Table9[[#This Row],[activity_type]]</f>
        <v>Gardening</v>
      </c>
      <c r="Y114" s="73" t="str">
        <f>Table9[[#This Row],[anaemia_treat]]</f>
        <v>Not applicable</v>
      </c>
      <c r="Z114" s="78" t="str">
        <f>Table9[[#This Row],[anaesthesia]]</f>
        <v>General with TIVA</v>
      </c>
      <c r="AA114" s="78">
        <f>Table9[[#This Row],[smoke_hist]]</f>
        <v>0</v>
      </c>
      <c r="AB114" s="78">
        <f>Table9[[#This Row],[smoke_cess]]</f>
        <v>0</v>
      </c>
      <c r="AC114" s="78" t="str">
        <f>Table9[[#This Row],[tidal_vol]]</f>
        <v>Not recorded</v>
      </c>
      <c r="AD114" s="77" t="str">
        <f>Table11[[#This Row],[inc_spiro]]</f>
        <v>&gt;Two</v>
      </c>
      <c r="AE114" s="73" t="str">
        <f>Table11[[#This Row],[t_brushes]]</f>
        <v>Twice</v>
      </c>
      <c r="AF114" s="78" t="str">
        <f>Table11[[#This Row],[m_washes]]</f>
        <v>Not done</v>
      </c>
      <c r="AG114" s="78" t="str">
        <f>Table11[[#This Row],[iv_disc]]</f>
        <v>No</v>
      </c>
      <c r="AH114" s="78" t="str">
        <f>Table11[[#This Row],[tolerate_15l]]</f>
        <v>Not applicable</v>
      </c>
      <c r="AI114" s="78" t="str">
        <f>Table11[[#This Row],[drinking]]</f>
        <v>No</v>
      </c>
      <c r="AJ114" s="78" t="str">
        <f>Table11[[#This Row],[oral_diet]]</f>
        <v>No</v>
      </c>
      <c r="AK114" s="78" t="str">
        <f>Table11[[#This Row],[mobilised]]</f>
        <v>Yes</v>
      </c>
      <c r="AL114" s="79" t="str">
        <f>Table11[[#This Row],[resp_supp]]</f>
        <v>None</v>
      </c>
      <c r="AM114" s="78" t="str">
        <f>Table11[[#This Row],[elev_head]]</f>
        <v>Yes</v>
      </c>
      <c r="AN114" s="78" t="str">
        <f>Table13[[#This Row],[in_hospital]]</f>
        <v>Yes</v>
      </c>
      <c r="AO114" s="78" t="str">
        <f>Table13[[#This Row],[location_7]]</f>
        <v>Ward</v>
      </c>
      <c r="AP114" s="78" t="str">
        <f>Table13[[#This Row],[infec_24]]</f>
        <v>None of the above</v>
      </c>
      <c r="AQ114" s="73" t="str">
        <f>Table13[[#This Row],[infec_7]]</f>
        <v>None</v>
      </c>
      <c r="AR114" s="73" t="str">
        <f>Table13[[#This Row],[gastro]]</f>
        <v>Unable to tolerate enteral diet</v>
      </c>
      <c r="AS114" s="73" t="str">
        <f>Table13[[#This Row],[pulm_supp_24]]</f>
        <v>None of the above</v>
      </c>
      <c r="AT114" s="73" t="str">
        <f>Table13[[#This Row],[pulm_supp_7]]</f>
        <v>None</v>
      </c>
      <c r="AU114" s="73" t="str">
        <f>Table13[[#This Row],[pulm_pharm]]</f>
        <v>None</v>
      </c>
      <c r="AV114" s="73" t="str">
        <f>Table13[[#This Row],[cardio_24]]</f>
        <v>None of the above</v>
      </c>
      <c r="AW114" s="73">
        <f>Table13[[#This Row],[troponin_7]]</f>
        <v>0</v>
      </c>
      <c r="AX114" s="73">
        <f>Table13[[#This Row],[creatinine_base]]</f>
        <v>52</v>
      </c>
      <c r="AY114" s="73">
        <f>Table13[[#This Row],[creatinine_high]]</f>
        <v>58</v>
      </c>
      <c r="AZ114" s="73" t="str">
        <f>Table13[[#This Row],[rrt]]</f>
        <v xml:space="preserve">No </v>
      </c>
      <c r="BA114" s="73" t="str">
        <f>Table13[[#This Row],[renal_24]]</f>
        <v>None of the above</v>
      </c>
      <c r="BB114" s="73" t="str">
        <f>Table13[[#This Row],[neuro]]</f>
        <v>None of the above</v>
      </c>
      <c r="BC114" s="73" t="str">
        <f>Table13[[#This Row],[wound]]</f>
        <v>None of the above</v>
      </c>
      <c r="BD114" s="73" t="str">
        <f>Table13[[#This Row],[haemato]]</f>
        <v>None of the above</v>
      </c>
      <c r="BE114" s="73" t="str">
        <f>Table13[[#This Row],[pain]]</f>
        <v>Parenteral opioids</v>
      </c>
      <c r="BF114" s="73" t="str">
        <f>Table13[[#This Row],[mobility]]</f>
        <v>No</v>
      </c>
      <c r="BG114" s="79" t="str">
        <f>Table13[[#This Row],[why_inpatient_7]]</f>
        <v>Medical/nursing care</v>
      </c>
      <c r="BH114" s="9">
        <f>Table13[[#This Row],[date_15]]</f>
        <v>43375</v>
      </c>
      <c r="BI114" t="str">
        <f>Table13[[#This Row],[inpatient_15]]</f>
        <v>No</v>
      </c>
      <c r="BJ114">
        <f>Table13[[#This Row],[comment_15]]</f>
        <v>0</v>
      </c>
      <c r="BK114" t="str">
        <f>Table13[[#This Row],[discharge_dest]]</f>
        <v>Own Home</v>
      </c>
      <c r="BL114" t="str">
        <f>Table13[[#This Row],[complication]]</f>
        <v>None</v>
      </c>
    </row>
    <row r="115" spans="1:64" ht="18" customHeight="1">
      <c r="A115" s="73">
        <f>Table5[[#This Row],[comment]]</f>
        <v>0</v>
      </c>
      <c r="B115" s="73" t="str">
        <f>Table9[[#This Row],[surgeon]]</f>
        <v>N P Lees</v>
      </c>
      <c r="C115" s="73" t="str">
        <f>Table9[[#This Row],[surgery]]</f>
        <v>Right hemicolectomy (with anastamosis)</v>
      </c>
      <c r="D115" s="74" t="str">
        <f>Table5[[#This Row],[pqip_consent]]</f>
        <v>Yes</v>
      </c>
      <c r="E115" s="73" t="str">
        <f>Table6[[#This Row],[area_surgery]]</f>
        <v>Lower GI</v>
      </c>
      <c r="F115" s="75">
        <f>Table6[[#This Row],[admission_date]]</f>
        <v>43361</v>
      </c>
      <c r="G115" s="75">
        <f>Table6[[#This Row],[admission_date]]</f>
        <v>43361</v>
      </c>
      <c r="H115" s="105">
        <f>Table6[[#This Row],[surgery_duration]]</f>
        <v>0.19791666666666666</v>
      </c>
      <c r="I115" s="73" t="str">
        <f>Table6[[#This Row],[discharge_loc]]</f>
        <v>H6</v>
      </c>
      <c r="J115" s="75">
        <f>Table6[[#This Row],[discharge_date]]</f>
        <v>43376</v>
      </c>
      <c r="K115" s="76">
        <f>Table6[[#This Row],[hospital_stay]]</f>
        <v>15</v>
      </c>
      <c r="L115" s="76" t="str">
        <f>Table6[[#This Row],[readmit_30]]</f>
        <v>No</v>
      </c>
      <c r="M115" s="77" t="str">
        <f>Table9[[#This Row],[troponin]]</f>
        <v>Not Measured</v>
      </c>
      <c r="N115" s="78">
        <f>Table9[[#This Row],[hb]]</f>
        <v>13.2</v>
      </c>
      <c r="O115" s="78">
        <f>Table9[[#This Row],[creatinine]]</f>
        <v>96</v>
      </c>
      <c r="P115" s="78">
        <f>Table9[[#This Row],[albumin]]</f>
        <v>42</v>
      </c>
      <c r="Q115" s="73" t="str">
        <f>Table9[[#This Row],[chest_physio]]</f>
        <v>Nurse</v>
      </c>
      <c r="R115" s="73" t="str">
        <f>Table9[[#This Row],[surgery_school]]</f>
        <v>No - Wasn’t offered it</v>
      </c>
      <c r="S115" s="75">
        <f>Table9[[#This Row],[date_school]]</f>
        <v>0</v>
      </c>
      <c r="T115" s="73" t="str">
        <f>Table9[[#This Row],[app_down]]</f>
        <v>No - No electronic device</v>
      </c>
      <c r="U115" s="73" t="str">
        <f>Table9[[#This Row],[website]]</f>
        <v>No</v>
      </c>
      <c r="V115" s="73" t="str">
        <f>Table9[[#This Row],[base_activity]]</f>
        <v>20mins of moderate activity</v>
      </c>
      <c r="W115" s="73" t="str">
        <f>Table9[[#This Row],[current_activity]]</f>
        <v>20mins of moderate activity</v>
      </c>
      <c r="X115" s="73" t="str">
        <f>Table9[[#This Row],[activity_type]]</f>
        <v xml:space="preserve">Walking regularly </v>
      </c>
      <c r="Y115" s="73" t="str">
        <f>Table9[[#This Row],[anaemia_treat]]</f>
        <v>Not applicable</v>
      </c>
      <c r="Z115" s="78" t="str">
        <f>Table9[[#This Row],[anaesthesia]]</f>
        <v>General with Inhalational</v>
      </c>
      <c r="AA115" s="78">
        <f>Table9[[#This Row],[smoke_hist]]</f>
        <v>0</v>
      </c>
      <c r="AB115" s="78">
        <f>Table9[[#This Row],[smoke_cess]]</f>
        <v>0</v>
      </c>
      <c r="AC115" s="78" t="str">
        <f>Table9[[#This Row],[tidal_vol]]</f>
        <v>Not recorded</v>
      </c>
      <c r="AD115" s="77" t="str">
        <f>Table11[[#This Row],[inc_spiro]]</f>
        <v>&gt;Two</v>
      </c>
      <c r="AE115" s="73" t="str">
        <f>Table11[[#This Row],[t_brushes]]</f>
        <v>Twice</v>
      </c>
      <c r="AF115" s="78" t="str">
        <f>Table11[[#This Row],[m_washes]]</f>
        <v>Twice</v>
      </c>
      <c r="AG115" s="78" t="str">
        <f>Table11[[#This Row],[iv_disc]]</f>
        <v>No</v>
      </c>
      <c r="AH115" s="78" t="str">
        <f>Table11[[#This Row],[tolerate_15l]]</f>
        <v>No</v>
      </c>
      <c r="AI115" s="78" t="str">
        <f>Table11[[#This Row],[drinking]]</f>
        <v>Yes</v>
      </c>
      <c r="AJ115" s="78" t="str">
        <f>Table11[[#This Row],[oral_diet]]</f>
        <v>Yes</v>
      </c>
      <c r="AK115" s="78" t="str">
        <f>Table11[[#This Row],[mobilised]]</f>
        <v>Yes</v>
      </c>
      <c r="AL115" s="79" t="str">
        <f>Table11[[#This Row],[resp_supp]]</f>
        <v>None</v>
      </c>
      <c r="AM115" s="78" t="str">
        <f>Table11[[#This Row],[elev_head]]</f>
        <v>Yes</v>
      </c>
      <c r="AN115" s="78" t="str">
        <f>Table13[[#This Row],[in_hospital]]</f>
        <v>Yes</v>
      </c>
      <c r="AO115" s="78" t="str">
        <f>Table13[[#This Row],[location_7]]</f>
        <v>Ward</v>
      </c>
      <c r="AP115" s="78" t="str">
        <f>Table13[[#This Row],[infec_24]]</f>
        <v>Patient currently on IV antibiotics</v>
      </c>
      <c r="AQ115" s="73" t="str">
        <f>Table13[[#This Row],[infec_7]]</f>
        <v>Chest</v>
      </c>
      <c r="AR115" s="73" t="str">
        <f>Table13[[#This Row],[gastro]]</f>
        <v>Unable to tolerate enteral diet</v>
      </c>
      <c r="AS115" s="73" t="str">
        <f>Table13[[#This Row],[pulm_supp_24]]</f>
        <v>None of the above</v>
      </c>
      <c r="AT115" s="73" t="str">
        <f>Table13[[#This Row],[pulm_supp_7]]</f>
        <v>None</v>
      </c>
      <c r="AU115" s="73" t="str">
        <f>Table13[[#This Row],[pulm_pharm]]</f>
        <v>None</v>
      </c>
      <c r="AV115" s="73" t="str">
        <f>Table13[[#This Row],[cardio_24]]</f>
        <v>None of the above</v>
      </c>
      <c r="AW115" s="73">
        <f>Table13[[#This Row],[troponin_7]]</f>
        <v>12</v>
      </c>
      <c r="AX115" s="73">
        <f>Table13[[#This Row],[creatinine_base]]</f>
        <v>96</v>
      </c>
      <c r="AY115" s="73">
        <f>Table13[[#This Row],[creatinine_high]]</f>
        <v>101</v>
      </c>
      <c r="AZ115" s="73" t="str">
        <f>Table13[[#This Row],[rrt]]</f>
        <v xml:space="preserve">No </v>
      </c>
      <c r="BA115" s="73" t="str">
        <f>Table13[[#This Row],[renal_24]]</f>
        <v>None of the above</v>
      </c>
      <c r="BB115" s="73" t="str">
        <f>Table13[[#This Row],[neuro]]</f>
        <v>None of the above</v>
      </c>
      <c r="BC115" s="73" t="str">
        <f>Table13[[#This Row],[wound]]</f>
        <v>None of the above</v>
      </c>
      <c r="BD115" s="73" t="str">
        <f>Table13[[#This Row],[haemato]]</f>
        <v>None of the above</v>
      </c>
      <c r="BE115" s="73" t="str">
        <f>Table13[[#This Row],[pain]]</f>
        <v>Parenteral opioids</v>
      </c>
      <c r="BF115" s="73" t="str">
        <f>Table13[[#This Row],[mobility]]</f>
        <v>No</v>
      </c>
      <c r="BG115" s="79" t="str">
        <f>Table13[[#This Row],[why_inpatient_7]]</f>
        <v>Medical/nursing care</v>
      </c>
      <c r="BH115" s="9">
        <f>Table13[[#This Row],[date_15]]</f>
        <v>43376</v>
      </c>
      <c r="BI115" t="str">
        <f>Table13[[#This Row],[inpatient_15]]</f>
        <v>No</v>
      </c>
      <c r="BJ115">
        <f>Table13[[#This Row],[comment_15]]</f>
        <v>0</v>
      </c>
      <c r="BK115" t="str">
        <f>Table13[[#This Row],[discharge_dest]]</f>
        <v>Own Home</v>
      </c>
      <c r="BL115" t="str">
        <f>Table13[[#This Row],[complication]]</f>
        <v>II</v>
      </c>
    </row>
    <row r="116" spans="1:64" ht="18" customHeight="1">
      <c r="A116" s="73">
        <f>Table5[[#This Row],[comment]]</f>
        <v>0</v>
      </c>
      <c r="B116" s="73" t="str">
        <f>Table9[[#This Row],[surgeon]]</f>
        <v>Satish Maddineni</v>
      </c>
      <c r="C116" s="73" t="str">
        <f>Table9[[#This Row],[surgery]]</f>
        <v>Total nephrectomy (non-transplant)</v>
      </c>
      <c r="D116" s="74" t="str">
        <f>Table5[[#This Row],[pqip_consent]]</f>
        <v>Yes</v>
      </c>
      <c r="E116" s="73" t="str">
        <f>Table6[[#This Row],[area_surgery]]</f>
        <v>Nephrology</v>
      </c>
      <c r="F116" s="75">
        <f>Table6[[#This Row],[admission_date]]</f>
        <v>43361</v>
      </c>
      <c r="G116" s="75">
        <f>Table6[[#This Row],[admission_date]]</f>
        <v>43361</v>
      </c>
      <c r="H116" s="105">
        <f>Table6[[#This Row],[surgery_duration]]</f>
        <v>0.29166666666666669</v>
      </c>
      <c r="I116" s="73" t="str">
        <f>Table6[[#This Row],[discharge_loc]]</f>
        <v>H6</v>
      </c>
      <c r="J116" s="75">
        <f>Table6[[#This Row],[discharge_date]]</f>
        <v>43370</v>
      </c>
      <c r="K116" s="76">
        <f>Table6[[#This Row],[hospital_stay]]</f>
        <v>9</v>
      </c>
      <c r="L116" s="76" t="str">
        <f>Table6[[#This Row],[readmit_30]]</f>
        <v>No</v>
      </c>
      <c r="M116" s="77" t="str">
        <f>Table9[[#This Row],[troponin]]</f>
        <v>Not Measured</v>
      </c>
      <c r="N116" s="78">
        <f>Table9[[#This Row],[hb]]</f>
        <v>11.5</v>
      </c>
      <c r="O116" s="78">
        <f>Table9[[#This Row],[creatinine]]</f>
        <v>65</v>
      </c>
      <c r="P116" s="78">
        <f>Table9[[#This Row],[albumin]]</f>
        <v>35</v>
      </c>
      <c r="Q116" s="73" t="str">
        <f>Table9[[#This Row],[chest_physio]]</f>
        <v>Nurse</v>
      </c>
      <c r="R116" s="73" t="str">
        <f>Table9[[#This Row],[surgery_school]]</f>
        <v>No - Wasn’t offered it</v>
      </c>
      <c r="S116" s="75">
        <f>Table9[[#This Row],[date_school]]</f>
        <v>0</v>
      </c>
      <c r="T116" s="73" t="str">
        <f>Table9[[#This Row],[app_down]]</f>
        <v>No - No electronic device</v>
      </c>
      <c r="U116" s="73" t="str">
        <f>Table9[[#This Row],[website]]</f>
        <v>No</v>
      </c>
      <c r="V116" s="73" t="str">
        <f>Table9[[#This Row],[base_activity]]</f>
        <v>30mins of moderate activity</v>
      </c>
      <c r="W116" s="73" t="str">
        <f>Table9[[#This Row],[current_activity]]</f>
        <v>30mins of moderate activity</v>
      </c>
      <c r="X116" s="73" t="str">
        <f>Table9[[#This Row],[activity_type]]</f>
        <v xml:space="preserve">Gym private </v>
      </c>
      <c r="Y116" s="73" t="str">
        <f>Table9[[#This Row],[anaemia_treat]]</f>
        <v>Intravenous Iron</v>
      </c>
      <c r="Z116" s="78" t="str">
        <f>Table9[[#This Row],[anaesthesia]]</f>
        <v>General with Inhalational</v>
      </c>
      <c r="AA116" s="78">
        <f>Table9[[#This Row],[smoke_hist]]</f>
        <v>0</v>
      </c>
      <c r="AB116" s="78">
        <f>Table9[[#This Row],[smoke_cess]]</f>
        <v>0</v>
      </c>
      <c r="AC116" s="78" t="str">
        <f>Table9[[#This Row],[tidal_vol]]</f>
        <v>Not recorded</v>
      </c>
      <c r="AD116" s="77" t="str">
        <f>Table11[[#This Row],[inc_spiro]]</f>
        <v>Not used</v>
      </c>
      <c r="AE116" s="73" t="str">
        <f>Table11[[#This Row],[t_brushes]]</f>
        <v>Once</v>
      </c>
      <c r="AF116" s="78" t="str">
        <f>Table11[[#This Row],[m_washes]]</f>
        <v>None</v>
      </c>
      <c r="AG116" s="78" t="str">
        <f>Table11[[#This Row],[iv_disc]]</f>
        <v>No</v>
      </c>
      <c r="AH116" s="78" t="str">
        <f>Table11[[#This Row],[tolerate_15l]]</f>
        <v>No</v>
      </c>
      <c r="AI116" s="78" t="str">
        <f>Table11[[#This Row],[drinking]]</f>
        <v>Yes</v>
      </c>
      <c r="AJ116" s="78" t="str">
        <f>Table11[[#This Row],[oral_diet]]</f>
        <v>Yes</v>
      </c>
      <c r="AK116" s="78" t="str">
        <f>Table11[[#This Row],[mobilised]]</f>
        <v>Yes</v>
      </c>
      <c r="AL116" s="79" t="str">
        <f>Table11[[#This Row],[resp_supp]]</f>
        <v>None</v>
      </c>
      <c r="AM116" s="78" t="str">
        <f>Table11[[#This Row],[elev_head]]</f>
        <v>Yes</v>
      </c>
      <c r="AN116" s="78" t="str">
        <f>Table13[[#This Row],[in_hospital]]</f>
        <v>Yes</v>
      </c>
      <c r="AO116" s="78" t="str">
        <f>Table13[[#This Row],[location_7]]</f>
        <v>Level 1</v>
      </c>
      <c r="AP116" s="78" t="str">
        <f>Table13[[#This Row],[infec_24]]</f>
        <v>None of the above</v>
      </c>
      <c r="AQ116" s="73" t="str">
        <f>Table13[[#This Row],[infec_7]]</f>
        <v>None</v>
      </c>
      <c r="AR116" s="73" t="str">
        <f>Table13[[#This Row],[gastro]]</f>
        <v>None of the above</v>
      </c>
      <c r="AS116" s="73" t="str">
        <f>Table13[[#This Row],[pulm_supp_24]]</f>
        <v>None of the above</v>
      </c>
      <c r="AT116" s="73" t="str">
        <f>Table13[[#This Row],[pulm_supp_7]]</f>
        <v>None</v>
      </c>
      <c r="AU116" s="73" t="str">
        <f>Table13[[#This Row],[pulm_pharm]]</f>
        <v>None</v>
      </c>
      <c r="AV116" s="73" t="str">
        <f>Table13[[#This Row],[cardio_24]]</f>
        <v>None of the above</v>
      </c>
      <c r="AW116" s="73">
        <f>Table13[[#This Row],[troponin_7]]</f>
        <v>0</v>
      </c>
      <c r="AX116" s="73">
        <f>Table13[[#This Row],[creatinine_base]]</f>
        <v>65</v>
      </c>
      <c r="AY116" s="73">
        <f>Table13[[#This Row],[creatinine_high]]</f>
        <v>105</v>
      </c>
      <c r="AZ116" s="73" t="str">
        <f>Table13[[#This Row],[rrt]]</f>
        <v xml:space="preserve">No </v>
      </c>
      <c r="BA116" s="73" t="str">
        <f>Table13[[#This Row],[renal_24]]</f>
        <v>None of the above</v>
      </c>
      <c r="BB116" s="73" t="str">
        <f>Table13[[#This Row],[neuro]]</f>
        <v>None of the above</v>
      </c>
      <c r="BC116" s="73" t="str">
        <f>Table13[[#This Row],[wound]]</f>
        <v>None of the above</v>
      </c>
      <c r="BD116" s="73" t="str">
        <f>Table13[[#This Row],[haemato]]</f>
        <v>None of the above</v>
      </c>
      <c r="BE116" s="73" t="str">
        <f>Table13[[#This Row],[pain]]</f>
        <v>None of the above</v>
      </c>
      <c r="BF116" s="73" t="str">
        <f>Table13[[#This Row],[mobility]]</f>
        <v>No</v>
      </c>
      <c r="BG116" s="79" t="str">
        <f>Table13[[#This Row],[why_inpatient_7]]</f>
        <v>Medical/nursing care</v>
      </c>
      <c r="BH116" s="9">
        <f>Table13[[#This Row],[date_15]]</f>
        <v>43376</v>
      </c>
      <c r="BI116" t="str">
        <f>Table13[[#This Row],[inpatient_15]]</f>
        <v>No</v>
      </c>
      <c r="BJ116">
        <f>Table13[[#This Row],[comment_15]]</f>
        <v>0</v>
      </c>
      <c r="BK116" t="str">
        <f>Table13[[#This Row],[discharge_dest]]</f>
        <v>Own Home</v>
      </c>
      <c r="BL116" t="str">
        <f>Table13[[#This Row],[complication]]</f>
        <v>I</v>
      </c>
    </row>
    <row r="117" spans="1:64" ht="18" customHeight="1">
      <c r="A117" s="73" t="str">
        <f>Table5[[#This Row],[comment]]</f>
        <v>Day 2: Not rested. Did not ask; Effusion/Atelectasis detected in CXR on day 12, slow diet build-up</v>
      </c>
      <c r="B117" s="73" t="str">
        <f>Table9[[#This Row],[surgeon]]</f>
        <v>Bilal Khaffaf</v>
      </c>
      <c r="C117" s="73" t="str">
        <f>Table9[[#This Row],[surgery]]</f>
        <v xml:space="preserve">Oesophagectomy (total)/Oesophagogastrectomy </v>
      </c>
      <c r="D117" s="74" t="str">
        <f>Table5[[#This Row],[pqip_consent]]</f>
        <v>Yes</v>
      </c>
      <c r="E117" s="73" t="str">
        <f>Table6[[#This Row],[area_surgery]]</f>
        <v>Upper GI</v>
      </c>
      <c r="F117" s="75">
        <f>Table6[[#This Row],[admission_date]]</f>
        <v>43362</v>
      </c>
      <c r="G117" s="75">
        <f>Table6[[#This Row],[admission_date]]</f>
        <v>43362</v>
      </c>
      <c r="H117" s="105">
        <f>Table6[[#This Row],[surgery_duration]]</f>
        <v>0.42708333333333331</v>
      </c>
      <c r="I117" s="73" t="str">
        <f>Table6[[#This Row],[discharge_loc]]</f>
        <v>CCU (Level 3)</v>
      </c>
      <c r="J117" s="75">
        <f>Table6[[#This Row],[discharge_date]]</f>
        <v>43376</v>
      </c>
      <c r="K117" s="76">
        <f>Table6[[#This Row],[hospital_stay]]</f>
        <v>14</v>
      </c>
      <c r="L117" s="76" t="str">
        <f>Table6[[#This Row],[readmit_30]]</f>
        <v>No</v>
      </c>
      <c r="M117" s="77" t="str">
        <f>Table9[[#This Row],[troponin]]</f>
        <v>Not Measured</v>
      </c>
      <c r="N117" s="78">
        <f>Table9[[#This Row],[hb]]</f>
        <v>11</v>
      </c>
      <c r="O117" s="78">
        <f>Table9[[#This Row],[creatinine]]</f>
        <v>53</v>
      </c>
      <c r="P117" s="78">
        <f>Table9[[#This Row],[albumin]]</f>
        <v>44</v>
      </c>
      <c r="Q117" s="73" t="str">
        <f>Table9[[#This Row],[chest_physio]]</f>
        <v>Nurse</v>
      </c>
      <c r="R117" s="73" t="str">
        <f>Table9[[#This Row],[surgery_school]]</f>
        <v>No - Wasn’t offered it</v>
      </c>
      <c r="S117" s="75">
        <f>Table9[[#This Row],[date_school]]</f>
        <v>0</v>
      </c>
      <c r="T117" s="73" t="str">
        <f>Table9[[#This Row],[app_down]]</f>
        <v>No - Have electronic device</v>
      </c>
      <c r="U117" s="73" t="str">
        <f>Table9[[#This Row],[website]]</f>
        <v>No</v>
      </c>
      <c r="V117" s="73">
        <f>Table9[[#This Row],[base_activity]]</f>
        <v>0</v>
      </c>
      <c r="W117" s="73">
        <f>Table9[[#This Row],[current_activity]]</f>
        <v>0</v>
      </c>
      <c r="X117" s="73">
        <f>Table9[[#This Row],[activity_type]]</f>
        <v>0</v>
      </c>
      <c r="Y117" s="73" t="str">
        <f>Table9[[#This Row],[anaemia_treat]]</f>
        <v>Not applicable</v>
      </c>
      <c r="Z117" s="78" t="str">
        <f>Table9[[#This Row],[anaesthesia]]</f>
        <v>General with Inhalational</v>
      </c>
      <c r="AA117" s="78">
        <f>Table9[[#This Row],[smoke_hist]]</f>
        <v>0</v>
      </c>
      <c r="AB117" s="78">
        <f>Table9[[#This Row],[smoke_cess]]</f>
        <v>0</v>
      </c>
      <c r="AC117" s="78" t="str">
        <f>Table9[[#This Row],[tidal_vol]]</f>
        <v>Not recorded</v>
      </c>
      <c r="AD117" s="77" t="str">
        <f>Table11[[#This Row],[inc_spiro]]</f>
        <v>Not used</v>
      </c>
      <c r="AE117" s="73" t="str">
        <f>Table11[[#This Row],[t_brushes]]</f>
        <v>Not done</v>
      </c>
      <c r="AF117" s="78" t="str">
        <f>Table11[[#This Row],[m_washes]]</f>
        <v>Not done</v>
      </c>
      <c r="AG117" s="78" t="str">
        <f>Table11[[#This Row],[iv_disc]]</f>
        <v>No</v>
      </c>
      <c r="AH117" s="78" t="str">
        <f>Table11[[#This Row],[tolerate_15l]]</f>
        <v>Not applicable</v>
      </c>
      <c r="AI117" s="78" t="str">
        <f>Table11[[#This Row],[drinking]]</f>
        <v>No</v>
      </c>
      <c r="AJ117" s="78" t="str">
        <f>Table11[[#This Row],[oral_diet]]</f>
        <v>No</v>
      </c>
      <c r="AK117" s="78" t="str">
        <f>Table11[[#This Row],[mobilised]]</f>
        <v>No</v>
      </c>
      <c r="AL117" s="79" t="str">
        <f>Table11[[#This Row],[resp_supp]]</f>
        <v>None</v>
      </c>
      <c r="AM117" s="78" t="str">
        <f>Table11[[#This Row],[elev_head]]</f>
        <v>Yes</v>
      </c>
      <c r="AN117" s="78" t="str">
        <f>Table13[[#This Row],[in_hospital]]</f>
        <v>Yes</v>
      </c>
      <c r="AO117" s="78" t="str">
        <f>Table13[[#This Row],[location_7]]</f>
        <v>Level 2</v>
      </c>
      <c r="AP117" s="78" t="str">
        <f>Table13[[#This Row],[infec_24]]</f>
        <v>None of the above</v>
      </c>
      <c r="AQ117" s="73" t="str">
        <f>Table13[[#This Row],[infec_7]]</f>
        <v>None</v>
      </c>
      <c r="AR117" s="73" t="str">
        <f>Table13[[#This Row],[gastro]]</f>
        <v>Unable to tolerate enteral diet, Experienced nausea, vomiting or distension</v>
      </c>
      <c r="AS117" s="73" t="str">
        <f>Table13[[#This Row],[pulm_supp_24]]</f>
        <v>None of the above</v>
      </c>
      <c r="AT117" s="73" t="str">
        <f>Table13[[#This Row],[pulm_supp_7]]</f>
        <v>None</v>
      </c>
      <c r="AU117" s="73" t="str">
        <f>Table13[[#This Row],[pulm_pharm]]</f>
        <v>Bronchodilators nebulised</v>
      </c>
      <c r="AV117" s="73" t="str">
        <f>Table13[[#This Row],[cardio_24]]</f>
        <v>None of the above</v>
      </c>
      <c r="AW117" s="73">
        <f>Table13[[#This Row],[troponin_7]]</f>
        <v>0</v>
      </c>
      <c r="AX117" s="73">
        <f>Table13[[#This Row],[creatinine_base]]</f>
        <v>53</v>
      </c>
      <c r="AY117" s="73">
        <f>Table13[[#This Row],[creatinine_high]]</f>
        <v>62</v>
      </c>
      <c r="AZ117" s="73" t="str">
        <f>Table13[[#This Row],[rrt]]</f>
        <v xml:space="preserve">No </v>
      </c>
      <c r="BA117" s="73" t="str">
        <f>Table13[[#This Row],[renal_24]]</f>
        <v>Urethral catheter in-situ (not present pre-operatively)</v>
      </c>
      <c r="BB117" s="73" t="str">
        <f>Table13[[#This Row],[neuro]]</f>
        <v>None of the above</v>
      </c>
      <c r="BC117" s="73" t="str">
        <f>Table13[[#This Row],[wound]]</f>
        <v>None of the above</v>
      </c>
      <c r="BD117" s="73" t="str">
        <f>Table13[[#This Row],[haemato]]</f>
        <v>None of the above</v>
      </c>
      <c r="BE117" s="73" t="str">
        <f>Table13[[#This Row],[pain]]</f>
        <v>Parenteral opioids</v>
      </c>
      <c r="BF117" s="73" t="str">
        <f>Table13[[#This Row],[mobility]]</f>
        <v>No</v>
      </c>
      <c r="BG117" s="79" t="str">
        <f>Table13[[#This Row],[why_inpatient_7]]</f>
        <v>Medical/nursing care</v>
      </c>
      <c r="BH117" s="9">
        <f>Table13[[#This Row],[date_15]]</f>
        <v>43377</v>
      </c>
      <c r="BI117" t="str">
        <f>Table13[[#This Row],[inpatient_15]]</f>
        <v>No</v>
      </c>
      <c r="BJ117">
        <f>Table13[[#This Row],[comment_15]]</f>
        <v>0</v>
      </c>
      <c r="BK117" t="str">
        <f>Table13[[#This Row],[discharge_dest]]</f>
        <v>Own Home</v>
      </c>
      <c r="BL117" t="str">
        <f>Table13[[#This Row],[complication]]</f>
        <v>II</v>
      </c>
    </row>
    <row r="118" spans="1:64" ht="18" customHeight="1">
      <c r="A118" s="73" t="str">
        <f>Table5[[#This Row],[comment]]</f>
        <v>language barrier, surgical pathway not arrived</v>
      </c>
      <c r="B118" s="73" t="str">
        <f>Table9[[#This Row],[surgeon]]</f>
        <v>Helen Doran</v>
      </c>
      <c r="C118" s="73" t="str">
        <f>Table9[[#This Row],[surgery]]</f>
        <v>Adrenalectomy</v>
      </c>
      <c r="D118" s="74" t="str">
        <f>Table5[[#This Row],[pqip_consent]]</f>
        <v>No</v>
      </c>
      <c r="E118" s="73" t="str">
        <f>Table6[[#This Row],[area_surgery]]</f>
        <v>Endocrinology</v>
      </c>
      <c r="F118" s="75">
        <f>Table6[[#This Row],[admission_date]]</f>
        <v>43362</v>
      </c>
      <c r="G118" s="75">
        <f>Table6[[#This Row],[admission_date]]</f>
        <v>43362</v>
      </c>
      <c r="H118" s="105">
        <f>Table6[[#This Row],[surgery_duration]]</f>
        <v>0</v>
      </c>
      <c r="I118" s="73" t="str">
        <f>Table6[[#This Row],[discharge_loc]]</f>
        <v>H6</v>
      </c>
      <c r="J118" s="75">
        <f>Table6[[#This Row],[discharge_date]]</f>
        <v>43365</v>
      </c>
      <c r="K118" s="76">
        <f>Table6[[#This Row],[hospital_stay]]</f>
        <v>3</v>
      </c>
      <c r="L118" s="76" t="str">
        <f>Table6[[#This Row],[readmit_30]]</f>
        <v>No</v>
      </c>
      <c r="M118" s="77" t="str">
        <f>Table9[[#This Row],[troponin]]</f>
        <v>Not Measured</v>
      </c>
      <c r="N118" s="78">
        <f>Table9[[#This Row],[hb]]</f>
        <v>12.7</v>
      </c>
      <c r="O118" s="78">
        <f>Table9[[#This Row],[creatinine]]</f>
        <v>64</v>
      </c>
      <c r="P118" s="78">
        <f>Table9[[#This Row],[albumin]]</f>
        <v>44</v>
      </c>
      <c r="Q118" s="73" t="str">
        <f>Table9[[#This Row],[chest_physio]]</f>
        <v>No</v>
      </c>
      <c r="R118" s="73" t="str">
        <f>Table9[[#This Row],[surgery_school]]</f>
        <v>No - Wasn’t offered it</v>
      </c>
      <c r="S118" s="75">
        <f>Table9[[#This Row],[date_school]]</f>
        <v>0</v>
      </c>
      <c r="T118" s="73">
        <f>Table9[[#This Row],[app_down]]</f>
        <v>0</v>
      </c>
      <c r="U118" s="73">
        <f>Table9[[#This Row],[website]]</f>
        <v>0</v>
      </c>
      <c r="V118" s="73">
        <f>Table9[[#This Row],[base_activity]]</f>
        <v>0</v>
      </c>
      <c r="W118" s="73">
        <f>Table9[[#This Row],[current_activity]]</f>
        <v>0</v>
      </c>
      <c r="X118" s="73">
        <f>Table9[[#This Row],[activity_type]]</f>
        <v>0</v>
      </c>
      <c r="Y118" s="73" t="str">
        <f>Table9[[#This Row],[anaemia_treat]]</f>
        <v>Not applicable</v>
      </c>
      <c r="Z118" s="78" t="str">
        <f>Table9[[#This Row],[anaesthesia]]</f>
        <v>Not available</v>
      </c>
      <c r="AA118" s="78">
        <f>Table9[[#This Row],[smoke_hist]]</f>
        <v>0</v>
      </c>
      <c r="AB118" s="78">
        <f>Table9[[#This Row],[smoke_cess]]</f>
        <v>0</v>
      </c>
      <c r="AC118" s="78" t="str">
        <f>Table9[[#This Row],[tidal_vol]]</f>
        <v>Not recorded</v>
      </c>
      <c r="AD118" s="77" t="str">
        <f>Table11[[#This Row],[inc_spiro]]</f>
        <v>Not used</v>
      </c>
      <c r="AE118" s="73" t="str">
        <f>Table11[[#This Row],[t_brushes]]</f>
        <v>Once</v>
      </c>
      <c r="AF118" s="78" t="str">
        <f>Table11[[#This Row],[m_washes]]</f>
        <v>None</v>
      </c>
      <c r="AG118" s="78" t="str">
        <f>Table11[[#This Row],[iv_disc]]</f>
        <v>No</v>
      </c>
      <c r="AH118" s="78" t="str">
        <f>Table11[[#This Row],[tolerate_15l]]</f>
        <v>No</v>
      </c>
      <c r="AI118" s="78" t="str">
        <f>Table11[[#This Row],[drinking]]</f>
        <v>Yes</v>
      </c>
      <c r="AJ118" s="78" t="str">
        <f>Table11[[#This Row],[oral_diet]]</f>
        <v>Yes</v>
      </c>
      <c r="AK118" s="78" t="str">
        <f>Table11[[#This Row],[mobilised]]</f>
        <v>Yes</v>
      </c>
      <c r="AL118" s="79" t="str">
        <f>Table11[[#This Row],[resp_supp]]</f>
        <v>None</v>
      </c>
      <c r="AM118" s="78" t="str">
        <f>Table11[[#This Row],[elev_head]]</f>
        <v>Yes</v>
      </c>
      <c r="AN118" s="78" t="str">
        <f>Table13[[#This Row],[in_hospital]]</f>
        <v>No</v>
      </c>
      <c r="AO118" s="78">
        <f>Table13[[#This Row],[location_7]]</f>
        <v>0</v>
      </c>
      <c r="AP118" s="78">
        <f>Table13[[#This Row],[infec_24]]</f>
        <v>0</v>
      </c>
      <c r="AQ118" s="73">
        <f>Table13[[#This Row],[infec_7]]</f>
        <v>0</v>
      </c>
      <c r="AR118" s="73">
        <f>Table13[[#This Row],[gastro]]</f>
        <v>0</v>
      </c>
      <c r="AS118" s="73">
        <f>Table13[[#This Row],[pulm_supp_24]]</f>
        <v>0</v>
      </c>
      <c r="AT118" s="73">
        <f>Table13[[#This Row],[pulm_supp_7]]</f>
        <v>0</v>
      </c>
      <c r="AU118" s="73">
        <f>Table13[[#This Row],[pulm_pharm]]</f>
        <v>0</v>
      </c>
      <c r="AV118" s="73">
        <f>Table13[[#This Row],[cardio_24]]</f>
        <v>0</v>
      </c>
      <c r="AW118" s="73">
        <f>Table13[[#This Row],[troponin_7]]</f>
        <v>0</v>
      </c>
      <c r="AX118" s="73">
        <f>Table13[[#This Row],[creatinine_base]]</f>
        <v>0</v>
      </c>
      <c r="AY118" s="73">
        <f>Table13[[#This Row],[creatinine_high]]</f>
        <v>0</v>
      </c>
      <c r="AZ118" s="73">
        <f>Table13[[#This Row],[rrt]]</f>
        <v>0</v>
      </c>
      <c r="BA118" s="73">
        <f>Table13[[#This Row],[renal_24]]</f>
        <v>0</v>
      </c>
      <c r="BB118" s="73">
        <f>Table13[[#This Row],[neuro]]</f>
        <v>0</v>
      </c>
      <c r="BC118" s="73">
        <f>Table13[[#This Row],[wound]]</f>
        <v>0</v>
      </c>
      <c r="BD118" s="73">
        <f>Table13[[#This Row],[haemato]]</f>
        <v>0</v>
      </c>
      <c r="BE118" s="73">
        <f>Table13[[#This Row],[pain]]</f>
        <v>0</v>
      </c>
      <c r="BF118" s="73">
        <f>Table13[[#This Row],[mobility]]</f>
        <v>0</v>
      </c>
      <c r="BG118" s="79">
        <f>Table13[[#This Row],[why_inpatient_7]]</f>
        <v>0</v>
      </c>
      <c r="BH118" s="9">
        <f>Table13[[#This Row],[date_15]]</f>
        <v>0</v>
      </c>
      <c r="BI118">
        <f>Table13[[#This Row],[inpatient_15]]</f>
        <v>0</v>
      </c>
      <c r="BJ118">
        <f>Table13[[#This Row],[comment_15]]</f>
        <v>0</v>
      </c>
      <c r="BK118" t="str">
        <f>Table13[[#This Row],[discharge_dest]]</f>
        <v>Own Home</v>
      </c>
      <c r="BL118" t="str">
        <f>Table13[[#This Row],[complication]]</f>
        <v>None</v>
      </c>
    </row>
    <row r="119" spans="1:64" ht="18" customHeight="1">
      <c r="A119" s="73" t="str">
        <f>Table5[[#This Row],[comment]]</f>
        <v>surgical pathway not available</v>
      </c>
      <c r="B119" s="73" t="str">
        <f>Table9[[#This Row],[surgeon]]</f>
        <v>Dominic Slade</v>
      </c>
      <c r="C119" s="73" t="str">
        <f>Table9[[#This Row],[surgery]]</f>
        <v>Abdominal wall reconstruction</v>
      </c>
      <c r="D119" s="74" t="str">
        <f>Table5[[#This Row],[pqip_consent]]</f>
        <v>No</v>
      </c>
      <c r="E119" s="73" t="str">
        <f>Table6[[#This Row],[area_surgery]]</f>
        <v>Other Abdominal</v>
      </c>
      <c r="F119" s="75">
        <f>Table6[[#This Row],[admission_date]]</f>
        <v>43363</v>
      </c>
      <c r="G119" s="75">
        <f>Table6[[#This Row],[admission_date]]</f>
        <v>43363</v>
      </c>
      <c r="H119" s="105">
        <f>Table6[[#This Row],[surgery_duration]]</f>
        <v>0</v>
      </c>
      <c r="I119" s="73" t="str">
        <f>Table6[[#This Row],[discharge_loc]]</f>
        <v>H6</v>
      </c>
      <c r="J119" s="75">
        <f>Table6[[#This Row],[discharge_date]]</f>
        <v>43369</v>
      </c>
      <c r="K119" s="76">
        <f>Table6[[#This Row],[hospital_stay]]</f>
        <v>6</v>
      </c>
      <c r="L119" s="76" t="str">
        <f>Table6[[#This Row],[readmit_30]]</f>
        <v>No</v>
      </c>
      <c r="M119" s="77" t="str">
        <f>Table9[[#This Row],[troponin]]</f>
        <v>Not Measured</v>
      </c>
      <c r="N119" s="78">
        <f>Table9[[#This Row],[hb]]</f>
        <v>13.7</v>
      </c>
      <c r="O119" s="78">
        <f>Table9[[#This Row],[creatinine]]</f>
        <v>71</v>
      </c>
      <c r="P119" s="78">
        <f>Table9[[#This Row],[albumin]]</f>
        <v>41</v>
      </c>
      <c r="Q119" s="73" t="str">
        <f>Table9[[#This Row],[chest_physio]]</f>
        <v>No</v>
      </c>
      <c r="R119" s="73" t="str">
        <f>Table9[[#This Row],[surgery_school]]</f>
        <v>No - Wasn’t offered it</v>
      </c>
      <c r="S119" s="75">
        <f>Table9[[#This Row],[date_school]]</f>
        <v>0</v>
      </c>
      <c r="T119" s="73" t="str">
        <f>Table9[[#This Row],[app_down]]</f>
        <v>No - Have electronic device</v>
      </c>
      <c r="U119" s="73" t="str">
        <f>Table9[[#This Row],[website]]</f>
        <v>No</v>
      </c>
      <c r="V119" s="73" t="str">
        <f>Table9[[#This Row],[base_activity]]</f>
        <v>30mins of moderate activity</v>
      </c>
      <c r="W119" s="73" t="str">
        <f>Table9[[#This Row],[current_activity]]</f>
        <v>30mins of moderate activity</v>
      </c>
      <c r="X119" s="73" t="str">
        <f>Table9[[#This Row],[activity_type]]</f>
        <v xml:space="preserve">Gym private </v>
      </c>
      <c r="Y119" s="73" t="str">
        <f>Table9[[#This Row],[anaemia_treat]]</f>
        <v>Not applicable</v>
      </c>
      <c r="Z119" s="78" t="str">
        <f>Table9[[#This Row],[anaesthesia]]</f>
        <v>General with Inhalational</v>
      </c>
      <c r="AA119" s="78">
        <f>Table9[[#This Row],[smoke_hist]]</f>
        <v>0</v>
      </c>
      <c r="AB119" s="78">
        <f>Table9[[#This Row],[smoke_cess]]</f>
        <v>0</v>
      </c>
      <c r="AC119" s="78" t="str">
        <f>Table9[[#This Row],[tidal_vol]]</f>
        <v>Not recorded</v>
      </c>
      <c r="AD119" s="77" t="str">
        <f>Table11[[#This Row],[inc_spiro]]</f>
        <v>Not used</v>
      </c>
      <c r="AE119" s="73" t="str">
        <f>Table11[[#This Row],[t_brushes]]</f>
        <v>Twice</v>
      </c>
      <c r="AF119" s="78" t="str">
        <f>Table11[[#This Row],[m_washes]]</f>
        <v>Not done</v>
      </c>
      <c r="AG119" s="78" t="str">
        <f>Table11[[#This Row],[iv_disc]]</f>
        <v>No</v>
      </c>
      <c r="AH119" s="78" t="str">
        <f>Table11[[#This Row],[tolerate_15l]]</f>
        <v>No</v>
      </c>
      <c r="AI119" s="78" t="str">
        <f>Table11[[#This Row],[drinking]]</f>
        <v>Yes</v>
      </c>
      <c r="AJ119" s="78" t="str">
        <f>Table11[[#This Row],[oral_diet]]</f>
        <v>Yes</v>
      </c>
      <c r="AK119" s="78" t="str">
        <f>Table11[[#This Row],[mobilised]]</f>
        <v>Yes</v>
      </c>
      <c r="AL119" s="79" t="str">
        <f>Table11[[#This Row],[resp_supp]]</f>
        <v>None</v>
      </c>
      <c r="AM119" s="78" t="str">
        <f>Table11[[#This Row],[elev_head]]</f>
        <v>Yes</v>
      </c>
      <c r="AN119" s="78" t="str">
        <f>Table13[[#This Row],[in_hospital]]</f>
        <v>No</v>
      </c>
      <c r="AO119" s="78">
        <f>Table13[[#This Row],[location_7]]</f>
        <v>0</v>
      </c>
      <c r="AP119" s="78">
        <f>Table13[[#This Row],[infec_24]]</f>
        <v>0</v>
      </c>
      <c r="AQ119" s="73">
        <f>Table13[[#This Row],[infec_7]]</f>
        <v>0</v>
      </c>
      <c r="AR119" s="73">
        <f>Table13[[#This Row],[gastro]]</f>
        <v>0</v>
      </c>
      <c r="AS119" s="73">
        <f>Table13[[#This Row],[pulm_supp_24]]</f>
        <v>0</v>
      </c>
      <c r="AT119" s="73">
        <f>Table13[[#This Row],[pulm_supp_7]]</f>
        <v>0</v>
      </c>
      <c r="AU119" s="73">
        <f>Table13[[#This Row],[pulm_pharm]]</f>
        <v>0</v>
      </c>
      <c r="AV119" s="73">
        <f>Table13[[#This Row],[cardio_24]]</f>
        <v>0</v>
      </c>
      <c r="AW119" s="73">
        <f>Table13[[#This Row],[troponin_7]]</f>
        <v>0</v>
      </c>
      <c r="AX119" s="73">
        <f>Table13[[#This Row],[creatinine_base]]</f>
        <v>0</v>
      </c>
      <c r="AY119" s="73">
        <f>Table13[[#This Row],[creatinine_high]]</f>
        <v>0</v>
      </c>
      <c r="AZ119" s="73">
        <f>Table13[[#This Row],[rrt]]</f>
        <v>0</v>
      </c>
      <c r="BA119" s="73">
        <f>Table13[[#This Row],[renal_24]]</f>
        <v>0</v>
      </c>
      <c r="BB119" s="73">
        <f>Table13[[#This Row],[neuro]]</f>
        <v>0</v>
      </c>
      <c r="BC119" s="73">
        <f>Table13[[#This Row],[wound]]</f>
        <v>0</v>
      </c>
      <c r="BD119" s="73">
        <f>Table13[[#This Row],[haemato]]</f>
        <v>0</v>
      </c>
      <c r="BE119" s="73">
        <f>Table13[[#This Row],[pain]]</f>
        <v>0</v>
      </c>
      <c r="BF119" s="73">
        <f>Table13[[#This Row],[mobility]]</f>
        <v>0</v>
      </c>
      <c r="BG119" s="79">
        <f>Table13[[#This Row],[why_inpatient_7]]</f>
        <v>0</v>
      </c>
      <c r="BH119" s="9">
        <f>Table13[[#This Row],[date_15]]</f>
        <v>0</v>
      </c>
      <c r="BI119">
        <f>Table13[[#This Row],[inpatient_15]]</f>
        <v>0</v>
      </c>
      <c r="BJ119">
        <f>Table13[[#This Row],[comment_15]]</f>
        <v>0</v>
      </c>
      <c r="BK119" t="str">
        <f>Table13[[#This Row],[discharge_dest]]</f>
        <v>Own Home</v>
      </c>
      <c r="BL119" t="str">
        <f>Table13[[#This Row],[complication]]</f>
        <v>None</v>
      </c>
    </row>
    <row r="120" spans="1:64" ht="18" customHeight="1">
      <c r="A120" s="73">
        <f>Table5[[#This Row],[comment]]</f>
        <v>0</v>
      </c>
      <c r="B120" s="73" t="str">
        <f>Table9[[#This Row],[surgeon]]</f>
        <v>J Nicholson</v>
      </c>
      <c r="C120" s="73" t="str">
        <f>Table9[[#This Row],[surgery]]</f>
        <v>Anterior resection</v>
      </c>
      <c r="D120" s="74" t="str">
        <f>Table5[[#This Row],[pqip_consent]]</f>
        <v>Yes</v>
      </c>
      <c r="E120" s="73" t="str">
        <f>Table6[[#This Row],[area_surgery]]</f>
        <v>Lower GI</v>
      </c>
      <c r="F120" s="75">
        <f>Table6[[#This Row],[admission_date]]</f>
        <v>43367</v>
      </c>
      <c r="G120" s="75">
        <f>Table6[[#This Row],[admission_date]]</f>
        <v>43367</v>
      </c>
      <c r="H120" s="105">
        <f>Table6[[#This Row],[surgery_duration]]</f>
        <v>0.38541666666666669</v>
      </c>
      <c r="I120" s="73" t="str">
        <f>Table6[[#This Row],[discharge_loc]]</f>
        <v>H6</v>
      </c>
      <c r="J120" s="75">
        <f>Table6[[#This Row],[discharge_date]]</f>
        <v>43371</v>
      </c>
      <c r="K120" s="76">
        <f>Table6[[#This Row],[hospital_stay]]</f>
        <v>4</v>
      </c>
      <c r="L120" s="76" t="str">
        <f>Table6[[#This Row],[readmit_30]]</f>
        <v>No</v>
      </c>
      <c r="M120" s="77" t="str">
        <f>Table9[[#This Row],[troponin]]</f>
        <v>Not Measured</v>
      </c>
      <c r="N120" s="78">
        <f>Table9[[#This Row],[hb]]</f>
        <v>13.4</v>
      </c>
      <c r="O120" s="78">
        <f>Table9[[#This Row],[creatinine]]</f>
        <v>88</v>
      </c>
      <c r="P120" s="78" t="str">
        <f>Table9[[#This Row],[albumin]]</f>
        <v>Not Measured</v>
      </c>
      <c r="Q120" s="73" t="str">
        <f>Table9[[#This Row],[chest_physio]]</f>
        <v>No</v>
      </c>
      <c r="R120" s="73" t="str">
        <f>Table9[[#This Row],[surgery_school]]</f>
        <v>No - Wasn’t offered it</v>
      </c>
      <c r="S120" s="75">
        <f>Table9[[#This Row],[date_school]]</f>
        <v>0</v>
      </c>
      <c r="T120" s="73" t="str">
        <f>Table9[[#This Row],[app_down]]</f>
        <v>No - No electronic device</v>
      </c>
      <c r="U120" s="73" t="str">
        <f>Table9[[#This Row],[website]]</f>
        <v>No</v>
      </c>
      <c r="V120" s="73" t="str">
        <f>Table9[[#This Row],[base_activity]]</f>
        <v>&gt;30mins of moderate activity</v>
      </c>
      <c r="W120" s="73" t="str">
        <f>Table9[[#This Row],[current_activity]]</f>
        <v>&gt;30mins of moderate activity</v>
      </c>
      <c r="X120" s="73" t="str">
        <f>Table9[[#This Row],[activity_type]]</f>
        <v xml:space="preserve">Walking regularly </v>
      </c>
      <c r="Y120" s="73" t="str">
        <f>Table9[[#This Row],[anaemia_treat]]</f>
        <v>Not applicable</v>
      </c>
      <c r="Z120" s="78" t="str">
        <f>Table9[[#This Row],[anaesthesia]]</f>
        <v>General with Inhalational</v>
      </c>
      <c r="AA120" s="78">
        <f>Table9[[#This Row],[smoke_hist]]</f>
        <v>0</v>
      </c>
      <c r="AB120" s="78">
        <f>Table9[[#This Row],[smoke_cess]]</f>
        <v>0</v>
      </c>
      <c r="AC120" s="78" t="str">
        <f>Table9[[#This Row],[tidal_vol]]</f>
        <v>Not recorded</v>
      </c>
      <c r="AD120" s="77" t="str">
        <f>Table11[[#This Row],[inc_spiro]]</f>
        <v>Not used</v>
      </c>
      <c r="AE120" s="73" t="str">
        <f>Table11[[#This Row],[t_brushes]]</f>
        <v>Twice</v>
      </c>
      <c r="AF120" s="78" t="str">
        <f>Table11[[#This Row],[m_washes]]</f>
        <v>Twice</v>
      </c>
      <c r="AG120" s="78" t="str">
        <f>Table11[[#This Row],[iv_disc]]</f>
        <v>Yes</v>
      </c>
      <c r="AH120" s="78" t="str">
        <f>Table11[[#This Row],[tolerate_15l]]</f>
        <v>No</v>
      </c>
      <c r="AI120" s="78" t="str">
        <f>Table11[[#This Row],[drinking]]</f>
        <v>Yes</v>
      </c>
      <c r="AJ120" s="78" t="str">
        <f>Table11[[#This Row],[oral_diet]]</f>
        <v>No</v>
      </c>
      <c r="AK120" s="78" t="str">
        <f>Table11[[#This Row],[mobilised]]</f>
        <v>Yes</v>
      </c>
      <c r="AL120" s="79" t="str">
        <f>Table11[[#This Row],[resp_supp]]</f>
        <v>None</v>
      </c>
      <c r="AM120" s="78" t="str">
        <f>Table11[[#This Row],[elev_head]]</f>
        <v>Yes</v>
      </c>
      <c r="AN120" s="78" t="str">
        <f>Table13[[#This Row],[in_hospital]]</f>
        <v>No</v>
      </c>
      <c r="AO120" s="78">
        <f>Table13[[#This Row],[location_7]]</f>
        <v>0</v>
      </c>
      <c r="AP120" s="78">
        <f>Table13[[#This Row],[infec_24]]</f>
        <v>0</v>
      </c>
      <c r="AQ120" s="73">
        <f>Table13[[#This Row],[infec_7]]</f>
        <v>0</v>
      </c>
      <c r="AR120" s="73">
        <f>Table13[[#This Row],[gastro]]</f>
        <v>0</v>
      </c>
      <c r="AS120" s="73">
        <f>Table13[[#This Row],[pulm_supp_24]]</f>
        <v>0</v>
      </c>
      <c r="AT120" s="73">
        <f>Table13[[#This Row],[pulm_supp_7]]</f>
        <v>0</v>
      </c>
      <c r="AU120" s="73">
        <f>Table13[[#This Row],[pulm_pharm]]</f>
        <v>0</v>
      </c>
      <c r="AV120" s="73">
        <f>Table13[[#This Row],[cardio_24]]</f>
        <v>0</v>
      </c>
      <c r="AW120" s="73">
        <f>Table13[[#This Row],[troponin_7]]</f>
        <v>0</v>
      </c>
      <c r="AX120" s="73">
        <f>Table13[[#This Row],[creatinine_base]]</f>
        <v>0</v>
      </c>
      <c r="AY120" s="73">
        <f>Table13[[#This Row],[creatinine_high]]</f>
        <v>0</v>
      </c>
      <c r="AZ120" s="73">
        <f>Table13[[#This Row],[rrt]]</f>
        <v>0</v>
      </c>
      <c r="BA120" s="73">
        <f>Table13[[#This Row],[renal_24]]</f>
        <v>0</v>
      </c>
      <c r="BB120" s="73">
        <f>Table13[[#This Row],[neuro]]</f>
        <v>0</v>
      </c>
      <c r="BC120" s="73">
        <f>Table13[[#This Row],[wound]]</f>
        <v>0</v>
      </c>
      <c r="BD120" s="73">
        <f>Table13[[#This Row],[haemato]]</f>
        <v>0</v>
      </c>
      <c r="BE120" s="73">
        <f>Table13[[#This Row],[pain]]</f>
        <v>0</v>
      </c>
      <c r="BF120" s="73">
        <f>Table13[[#This Row],[mobility]]</f>
        <v>0</v>
      </c>
      <c r="BG120" s="79">
        <f>Table13[[#This Row],[why_inpatient_7]]</f>
        <v>0</v>
      </c>
      <c r="BH120" s="9">
        <f>Table13[[#This Row],[date_15]]</f>
        <v>0</v>
      </c>
      <c r="BI120">
        <f>Table13[[#This Row],[inpatient_15]]</f>
        <v>0</v>
      </c>
      <c r="BJ120">
        <f>Table13[[#This Row],[comment_15]]</f>
        <v>0</v>
      </c>
      <c r="BK120" t="str">
        <f>Table13[[#This Row],[discharge_dest]]</f>
        <v>Own Home</v>
      </c>
      <c r="BL120" t="str">
        <f>Table13[[#This Row],[complication]]</f>
        <v>None</v>
      </c>
    </row>
    <row r="121" spans="1:64" ht="18" customHeight="1">
      <c r="A121" s="73">
        <f>Table5[[#This Row],[comment]]</f>
        <v>0</v>
      </c>
      <c r="B121" s="73" t="str">
        <f>Table9[[#This Row],[surgeon]]</f>
        <v>Ramakrishna Chaparala</v>
      </c>
      <c r="C121" s="73" t="str">
        <f>Table9[[#This Row],[surgery]]</f>
        <v xml:space="preserve">Oesophagectomy (total)/Oesophagogastrectomy </v>
      </c>
      <c r="D121" s="74" t="str">
        <f>Table5[[#This Row],[pqip_consent]]</f>
        <v>Yes</v>
      </c>
      <c r="E121" s="73" t="str">
        <f>Table6[[#This Row],[area_surgery]]</f>
        <v>Upper GI</v>
      </c>
      <c r="F121" s="75">
        <f>Table6[[#This Row],[admission_date]]</f>
        <v>43367</v>
      </c>
      <c r="G121" s="75">
        <f>Table6[[#This Row],[admission_date]]</f>
        <v>43367</v>
      </c>
      <c r="H121" s="105">
        <f>Table6[[#This Row],[surgery_duration]]</f>
        <v>0.41666666666666669</v>
      </c>
      <c r="I121" s="73" t="str">
        <f>Table6[[#This Row],[discharge_loc]]</f>
        <v>CCU (Level 2/3)</v>
      </c>
      <c r="J121" s="75">
        <f>Table6[[#This Row],[discharge_date]]</f>
        <v>43382</v>
      </c>
      <c r="K121" s="76">
        <f>Table6[[#This Row],[hospital_stay]]</f>
        <v>15</v>
      </c>
      <c r="L121" s="76" t="str">
        <f>Table6[[#This Row],[readmit_30]]</f>
        <v>No</v>
      </c>
      <c r="M121" s="77" t="str">
        <f>Table9[[#This Row],[troponin]]</f>
        <v>Not Measured</v>
      </c>
      <c r="N121" s="78">
        <f>Table9[[#This Row],[hb]]</f>
        <v>14.6</v>
      </c>
      <c r="O121" s="78">
        <f>Table9[[#This Row],[creatinine]]</f>
        <v>73</v>
      </c>
      <c r="P121" s="78">
        <f>Table9[[#This Row],[albumin]]</f>
        <v>47</v>
      </c>
      <c r="Q121" s="73" t="str">
        <f>Table9[[#This Row],[chest_physio]]</f>
        <v>Nurse</v>
      </c>
      <c r="R121" s="73" t="str">
        <f>Table9[[#This Row],[surgery_school]]</f>
        <v>No - Wasn’t offered it</v>
      </c>
      <c r="S121" s="75">
        <f>Table9[[#This Row],[date_school]]</f>
        <v>0</v>
      </c>
      <c r="T121" s="73" t="str">
        <f>Table9[[#This Row],[app_down]]</f>
        <v>No - No electronic device</v>
      </c>
      <c r="U121" s="73" t="str">
        <f>Table9[[#This Row],[website]]</f>
        <v>No</v>
      </c>
      <c r="V121" s="73" t="str">
        <f>Table9[[#This Row],[base_activity]]</f>
        <v>10mins of moderate activity</v>
      </c>
      <c r="W121" s="73" t="str">
        <f>Table9[[#This Row],[current_activity]]</f>
        <v>10mins of moderate activity</v>
      </c>
      <c r="X121" s="73" t="str">
        <f>Table9[[#This Row],[activity_type]]</f>
        <v>Swimming regularly</v>
      </c>
      <c r="Y121" s="73" t="str">
        <f>Table9[[#This Row],[anaemia_treat]]</f>
        <v>Not applicable</v>
      </c>
      <c r="Z121" s="78" t="str">
        <f>Table9[[#This Row],[anaesthesia]]</f>
        <v>General with Inhalational</v>
      </c>
      <c r="AA121" s="78">
        <f>Table9[[#This Row],[smoke_hist]]</f>
        <v>0</v>
      </c>
      <c r="AB121" s="78">
        <f>Table9[[#This Row],[smoke_cess]]</f>
        <v>0</v>
      </c>
      <c r="AC121" s="78" t="str">
        <f>Table9[[#This Row],[tidal_vol]]</f>
        <v>Not recorded</v>
      </c>
      <c r="AD121" s="77" t="str">
        <f>Table11[[#This Row],[inc_spiro]]</f>
        <v>Twice</v>
      </c>
      <c r="AE121" s="73" t="str">
        <f>Table11[[#This Row],[t_brushes]]</f>
        <v>Twice</v>
      </c>
      <c r="AF121" s="78" t="str">
        <f>Table11[[#This Row],[m_washes]]</f>
        <v>Twice</v>
      </c>
      <c r="AG121" s="78" t="str">
        <f>Table11[[#This Row],[iv_disc]]</f>
        <v>No</v>
      </c>
      <c r="AH121" s="78" t="str">
        <f>Table11[[#This Row],[tolerate_15l]]</f>
        <v>Not applicable</v>
      </c>
      <c r="AI121" s="78" t="str">
        <f>Table11[[#This Row],[drinking]]</f>
        <v>No</v>
      </c>
      <c r="AJ121" s="78" t="str">
        <f>Table11[[#This Row],[oral_diet]]</f>
        <v>No</v>
      </c>
      <c r="AK121" s="78" t="str">
        <f>Table11[[#This Row],[mobilised]]</f>
        <v>Yes</v>
      </c>
      <c r="AL121" s="79" t="str">
        <f>Table11[[#This Row],[resp_supp]]</f>
        <v>None</v>
      </c>
      <c r="AM121" s="78" t="str">
        <f>Table11[[#This Row],[elev_head]]</f>
        <v>Yes</v>
      </c>
      <c r="AN121" s="78" t="str">
        <f>Table13[[#This Row],[in_hospital]]</f>
        <v>Yes</v>
      </c>
      <c r="AO121" s="78" t="str">
        <f>Table13[[#This Row],[location_7]]</f>
        <v>Level 1</v>
      </c>
      <c r="AP121" s="78" t="str">
        <f>Table13[[#This Row],[infec_24]]</f>
        <v>None of the above</v>
      </c>
      <c r="AQ121" s="73" t="str">
        <f>Table13[[#This Row],[infec_7]]</f>
        <v>Chest</v>
      </c>
      <c r="AR121" s="73" t="str">
        <f>Table13[[#This Row],[gastro]]</f>
        <v>None of the above</v>
      </c>
      <c r="AS121" s="73" t="str">
        <f>Table13[[#This Row],[pulm_supp_24]]</f>
        <v>New requirement for oxygen</v>
      </c>
      <c r="AT121" s="73" t="str">
        <f>Table13[[#This Row],[pulm_supp_7]]</f>
        <v>None</v>
      </c>
      <c r="AU121" s="73" t="str">
        <f>Table13[[#This Row],[pulm_pharm]]</f>
        <v>None</v>
      </c>
      <c r="AV121" s="73" t="str">
        <f>Table13[[#This Row],[cardio_24]]</f>
        <v>None of the above</v>
      </c>
      <c r="AW121" s="73" t="str">
        <f>Table13[[#This Row],[troponin_7]]</f>
        <v>None measured</v>
      </c>
      <c r="AX121" s="73">
        <f>Table13[[#This Row],[creatinine_base]]</f>
        <v>73</v>
      </c>
      <c r="AY121" s="73">
        <f>Table13[[#This Row],[creatinine_high]]</f>
        <v>71</v>
      </c>
      <c r="AZ121" s="73" t="str">
        <f>Table13[[#This Row],[rrt]]</f>
        <v xml:space="preserve">No </v>
      </c>
      <c r="BA121" s="73" t="str">
        <f>Table13[[#This Row],[renal_24]]</f>
        <v>Urethral catheter in-situ (not present pre-operatively)</v>
      </c>
      <c r="BB121" s="73" t="str">
        <f>Table13[[#This Row],[neuro]]</f>
        <v>None of the above</v>
      </c>
      <c r="BC121" s="73" t="str">
        <f>Table13[[#This Row],[wound]]</f>
        <v>None of the above</v>
      </c>
      <c r="BD121" s="73" t="str">
        <f>Table13[[#This Row],[haemato]]</f>
        <v>None of the above</v>
      </c>
      <c r="BE121" s="73" t="str">
        <f>Table13[[#This Row],[pain]]</f>
        <v>Parenteral opioids</v>
      </c>
      <c r="BF121" s="73" t="str">
        <f>Table13[[#This Row],[mobility]]</f>
        <v>No</v>
      </c>
      <c r="BG121" s="79" t="str">
        <f>Table13[[#This Row],[why_inpatient_7]]</f>
        <v>Mobility Issue, Medical/nursing care</v>
      </c>
      <c r="BH121" s="9">
        <f>Table13[[#This Row],[date_15]]</f>
        <v>43382</v>
      </c>
      <c r="BI121" t="str">
        <f>Table13[[#This Row],[inpatient_15]]</f>
        <v>No</v>
      </c>
      <c r="BJ121">
        <f>Table13[[#This Row],[comment_15]]</f>
        <v>0</v>
      </c>
      <c r="BK121" t="str">
        <f>Table13[[#This Row],[discharge_dest]]</f>
        <v>Own Home</v>
      </c>
      <c r="BL121" t="str">
        <f>Table13[[#This Row],[complication]]</f>
        <v>II</v>
      </c>
    </row>
    <row r="122" spans="1:64" ht="18" customHeight="1">
      <c r="A122" s="73" t="str">
        <f>Table5[[#This Row],[comment]]</f>
        <v>Drowsy on day 2</v>
      </c>
      <c r="B122" s="73" t="str">
        <f>Table9[[#This Row],[surgeon]]</f>
        <v>Dominic Slade</v>
      </c>
      <c r="C122" s="73" t="str">
        <f>Table9[[#This Row],[surgery]]</f>
        <v xml:space="preserve">Laparotomy for enterocutaneous fistula </v>
      </c>
      <c r="D122" s="74" t="str">
        <f>Table5[[#This Row],[pqip_consent]]</f>
        <v>Yes</v>
      </c>
      <c r="E122" s="73" t="str">
        <f>Table6[[#This Row],[area_surgery]]</f>
        <v>Lower GI</v>
      </c>
      <c r="F122" s="75">
        <f>Table6[[#This Row],[admission_date]]</f>
        <v>43367</v>
      </c>
      <c r="G122" s="75">
        <f>Table6[[#This Row],[admission_date]]</f>
        <v>43367</v>
      </c>
      <c r="H122" s="105">
        <f>Table6[[#This Row],[surgery_duration]]</f>
        <v>0.27083333333333331</v>
      </c>
      <c r="I122" s="73" t="str">
        <f>Table6[[#This Row],[discharge_loc]]</f>
        <v>H6</v>
      </c>
      <c r="J122" s="75">
        <f>Table6[[#This Row],[discharge_date]]</f>
        <v>43383</v>
      </c>
      <c r="K122" s="76">
        <f>Table6[[#This Row],[hospital_stay]]</f>
        <v>16</v>
      </c>
      <c r="L122" s="76" t="str">
        <f>Table6[[#This Row],[readmit_30]]</f>
        <v>No</v>
      </c>
      <c r="M122" s="77" t="str">
        <f>Table9[[#This Row],[troponin]]</f>
        <v>Not Measured</v>
      </c>
      <c r="N122" s="78">
        <f>Table9[[#This Row],[hb]]</f>
        <v>10.8</v>
      </c>
      <c r="O122" s="78">
        <f>Table9[[#This Row],[creatinine]]</f>
        <v>92</v>
      </c>
      <c r="P122" s="78">
        <f>Table9[[#This Row],[albumin]]</f>
        <v>30</v>
      </c>
      <c r="Q122" s="73" t="str">
        <f>Table9[[#This Row],[chest_physio]]</f>
        <v>No</v>
      </c>
      <c r="R122" s="73" t="str">
        <f>Table9[[#This Row],[surgery_school]]</f>
        <v>No - Wasn’t offered it</v>
      </c>
      <c r="S122" s="75">
        <f>Table9[[#This Row],[date_school]]</f>
        <v>0</v>
      </c>
      <c r="T122" s="73">
        <f>Table9[[#This Row],[app_down]]</f>
        <v>0</v>
      </c>
      <c r="U122" s="73">
        <f>Table9[[#This Row],[website]]</f>
        <v>0</v>
      </c>
      <c r="V122" s="73">
        <f>Table9[[#This Row],[base_activity]]</f>
        <v>0</v>
      </c>
      <c r="W122" s="73">
        <f>Table9[[#This Row],[current_activity]]</f>
        <v>0</v>
      </c>
      <c r="X122" s="73">
        <f>Table9[[#This Row],[activity_type]]</f>
        <v>0</v>
      </c>
      <c r="Y122" s="73" t="str">
        <f>Table9[[#This Row],[anaemia_treat]]</f>
        <v>Intravenous Iron</v>
      </c>
      <c r="Z122" s="78" t="str">
        <f>Table9[[#This Row],[anaesthesia]]</f>
        <v>General with Inhalational</v>
      </c>
      <c r="AA122" s="78">
        <f>Table9[[#This Row],[smoke_hist]]</f>
        <v>0</v>
      </c>
      <c r="AB122" s="78">
        <f>Table9[[#This Row],[smoke_cess]]</f>
        <v>0</v>
      </c>
      <c r="AC122" s="78" t="str">
        <f>Table9[[#This Row],[tidal_vol]]</f>
        <v>Not recorded</v>
      </c>
      <c r="AD122" s="77" t="str">
        <f>Table11[[#This Row],[inc_spiro]]</f>
        <v>Not used</v>
      </c>
      <c r="AE122" s="73" t="str">
        <f>Table11[[#This Row],[t_brushes]]</f>
        <v>Not done</v>
      </c>
      <c r="AF122" s="78" t="str">
        <f>Table11[[#This Row],[m_washes]]</f>
        <v>Not done</v>
      </c>
      <c r="AG122" s="78" t="str">
        <f>Table11[[#This Row],[iv_disc]]</f>
        <v>No</v>
      </c>
      <c r="AH122" s="78" t="str">
        <f>Table11[[#This Row],[tolerate_15l]]</f>
        <v>No</v>
      </c>
      <c r="AI122" s="78" t="str">
        <f>Table11[[#This Row],[drinking]]</f>
        <v>Yes</v>
      </c>
      <c r="AJ122" s="78" t="str">
        <f>Table11[[#This Row],[oral_diet]]</f>
        <v>No</v>
      </c>
      <c r="AK122" s="78" t="str">
        <f>Table11[[#This Row],[mobilised]]</f>
        <v>Yes</v>
      </c>
      <c r="AL122" s="79" t="str">
        <f>Table11[[#This Row],[resp_supp]]</f>
        <v>None</v>
      </c>
      <c r="AM122" s="78" t="str">
        <f>Table11[[#This Row],[elev_head]]</f>
        <v>Yes</v>
      </c>
      <c r="AN122" s="78" t="str">
        <f>Table13[[#This Row],[in_hospital]]</f>
        <v>Yes</v>
      </c>
      <c r="AO122" s="78" t="str">
        <f>Table13[[#This Row],[location_7]]</f>
        <v>Level 1</v>
      </c>
      <c r="AP122" s="78" t="str">
        <f>Table13[[#This Row],[infec_24]]</f>
        <v>Patient currently on IV antibiotics, Patient had temperature &gt;38˚C</v>
      </c>
      <c r="AQ122" s="73" t="str">
        <f>Table13[[#This Row],[infec_7]]</f>
        <v>Empirical</v>
      </c>
      <c r="AR122" s="73" t="str">
        <f>Table13[[#This Row],[gastro]]</f>
        <v>Experienced nausea, vomiting or distension</v>
      </c>
      <c r="AS122" s="73" t="str">
        <f>Table13[[#This Row],[pulm_supp_24]]</f>
        <v>None of the above</v>
      </c>
      <c r="AT122" s="73" t="str">
        <f>Table13[[#This Row],[pulm_supp_7]]</f>
        <v>None</v>
      </c>
      <c r="AU122" s="73" t="str">
        <f>Table13[[#This Row],[pulm_pharm]]</f>
        <v>None</v>
      </c>
      <c r="AV122" s="73" t="str">
        <f>Table13[[#This Row],[cardio_24]]</f>
        <v>None of the above</v>
      </c>
      <c r="AW122" s="73" t="str">
        <f>Table13[[#This Row],[troponin_7]]</f>
        <v>None measured</v>
      </c>
      <c r="AX122" s="73">
        <f>Table13[[#This Row],[creatinine_base]]</f>
        <v>92</v>
      </c>
      <c r="AY122" s="73">
        <f>Table13[[#This Row],[creatinine_high]]</f>
        <v>76</v>
      </c>
      <c r="AZ122" s="73" t="str">
        <f>Table13[[#This Row],[rrt]]</f>
        <v xml:space="preserve">No </v>
      </c>
      <c r="BA122" s="73" t="str">
        <f>Table13[[#This Row],[renal_24]]</f>
        <v>Urethral catheter in-situ (not present pre-operatively)</v>
      </c>
      <c r="BB122" s="73" t="str">
        <f>Table13[[#This Row],[neuro]]</f>
        <v>None of the above</v>
      </c>
      <c r="BC122" s="73" t="str">
        <f>Table13[[#This Row],[wound]]</f>
        <v>Drainage of pus/Swab taken</v>
      </c>
      <c r="BD122" s="73" t="str">
        <f>Table13[[#This Row],[haemato]]</f>
        <v>None of the above</v>
      </c>
      <c r="BE122" s="73" t="str">
        <f>Table13[[#This Row],[pain]]</f>
        <v>Parenteral opioids</v>
      </c>
      <c r="BF122" s="73" t="str">
        <f>Table13[[#This Row],[mobility]]</f>
        <v>No</v>
      </c>
      <c r="BG122" s="79" t="str">
        <f>Table13[[#This Row],[why_inpatient_7]]</f>
        <v>Medical/nursing care</v>
      </c>
      <c r="BH122" s="9">
        <f>Table13[[#This Row],[date_15]]</f>
        <v>43382</v>
      </c>
      <c r="BI122" t="str">
        <f>Table13[[#This Row],[inpatient_15]]</f>
        <v>Yes</v>
      </c>
      <c r="BJ122" t="str">
        <f>Table13[[#This Row],[comment_15]]</f>
        <v>Day 8: Hospital acquired meningitis; Day 10: iron infusion due to low anaemia related biomarkers; Day 12: temperature spike, abdominal pain around stoma site; Day 15: pain resolved, finishing abx treatment</v>
      </c>
      <c r="BK122" t="str">
        <f>Table13[[#This Row],[discharge_dest]]</f>
        <v>Own Home</v>
      </c>
      <c r="BL122" t="str">
        <f>Table13[[#This Row],[complication]]</f>
        <v>I, II</v>
      </c>
    </row>
    <row r="123" spans="1:64" ht="18" customHeight="1">
      <c r="A123" s="73">
        <f>Table5[[#This Row],[comment]]</f>
        <v>0</v>
      </c>
      <c r="B123" s="73" t="str">
        <f>Table9[[#This Row],[surgeon]]</f>
        <v>David Ross</v>
      </c>
      <c r="C123" s="73" t="str">
        <f>Table9[[#This Row],[surgery]]</f>
        <v>Percutaneous nephrolithotomy (including cystoscopy and retrograde catheterisation)</v>
      </c>
      <c r="D123" s="74" t="str">
        <f>Table5[[#This Row],[pqip_consent]]</f>
        <v>No</v>
      </c>
      <c r="E123" s="73" t="str">
        <f>Table6[[#This Row],[area_surgery]]</f>
        <v>Nephrology</v>
      </c>
      <c r="F123" s="75">
        <f>Table6[[#This Row],[admission_date]]</f>
        <v>43367</v>
      </c>
      <c r="G123" s="75">
        <f>Table6[[#This Row],[admission_date]]</f>
        <v>43367</v>
      </c>
      <c r="H123" s="105">
        <f>Table6[[#This Row],[surgery_duration]]</f>
        <v>0.15625</v>
      </c>
      <c r="I123" s="73" t="str">
        <f>Table6[[#This Row],[discharge_loc]]</f>
        <v>H6</v>
      </c>
      <c r="J123" s="75">
        <f>Table6[[#This Row],[discharge_date]]</f>
        <v>43372</v>
      </c>
      <c r="K123" s="76">
        <f>Table6[[#This Row],[hospital_stay]]</f>
        <v>4</v>
      </c>
      <c r="L123" s="76" t="str">
        <f>Table6[[#This Row],[readmit_30]]</f>
        <v>No</v>
      </c>
      <c r="M123" s="77" t="str">
        <f>Table9[[#This Row],[troponin]]</f>
        <v>Not Measured</v>
      </c>
      <c r="N123" s="78">
        <f>Table9[[#This Row],[hb]]</f>
        <v>16.3</v>
      </c>
      <c r="O123" s="78">
        <f>Table9[[#This Row],[creatinine]]</f>
        <v>33</v>
      </c>
      <c r="P123" s="78">
        <f>Table9[[#This Row],[albumin]]</f>
        <v>43</v>
      </c>
      <c r="Q123" s="73" t="str">
        <f>Table9[[#This Row],[chest_physio]]</f>
        <v>No</v>
      </c>
      <c r="R123" s="73" t="str">
        <f>Table9[[#This Row],[surgery_school]]</f>
        <v>No - Wasn’t offered it</v>
      </c>
      <c r="S123" s="75">
        <f>Table9[[#This Row],[date_school]]</f>
        <v>0</v>
      </c>
      <c r="T123" s="73" t="str">
        <f>Table9[[#This Row],[app_down]]</f>
        <v>No - Have electronic device</v>
      </c>
      <c r="U123" s="73" t="str">
        <f>Table9[[#This Row],[website]]</f>
        <v>No</v>
      </c>
      <c r="V123" s="73" t="str">
        <f>Table9[[#This Row],[base_activity]]</f>
        <v>No extra activity - Needs help with ADLs</v>
      </c>
      <c r="W123" s="73" t="str">
        <f>Table9[[#This Row],[current_activity]]</f>
        <v>No extra activity - Needs help with ADLs</v>
      </c>
      <c r="X123" s="73" t="str">
        <f>Table9[[#This Row],[activity_type]]</f>
        <v>None</v>
      </c>
      <c r="Y123" s="73" t="str">
        <f>Table9[[#This Row],[anaemia_treat]]</f>
        <v>N/A</v>
      </c>
      <c r="Z123" s="78" t="str">
        <f>Table9[[#This Row],[anaesthesia]]</f>
        <v>General with Inhalational</v>
      </c>
      <c r="AA123" s="78">
        <f>Table9[[#This Row],[smoke_hist]]</f>
        <v>0</v>
      </c>
      <c r="AB123" s="78">
        <f>Table9[[#This Row],[smoke_cess]]</f>
        <v>0</v>
      </c>
      <c r="AC123" s="78" t="str">
        <f>Table9[[#This Row],[tidal_vol]]</f>
        <v>Not recorded</v>
      </c>
      <c r="AD123" s="77" t="str">
        <f>Table11[[#This Row],[inc_spiro]]</f>
        <v>Not used</v>
      </c>
      <c r="AE123" s="73" t="str">
        <f>Table11[[#This Row],[t_brushes]]</f>
        <v>Once</v>
      </c>
      <c r="AF123" s="78" t="str">
        <f>Table11[[#This Row],[m_washes]]</f>
        <v>None</v>
      </c>
      <c r="AG123" s="78" t="str">
        <f>Table11[[#This Row],[iv_disc]]</f>
        <v>Yes</v>
      </c>
      <c r="AH123" s="78" t="str">
        <f>Table11[[#This Row],[tolerate_15l]]</f>
        <v>No</v>
      </c>
      <c r="AI123" s="78" t="str">
        <f>Table11[[#This Row],[drinking]]</f>
        <v>Yes</v>
      </c>
      <c r="AJ123" s="78" t="str">
        <f>Table11[[#This Row],[oral_diet]]</f>
        <v>Yes</v>
      </c>
      <c r="AK123" s="78" t="str">
        <f>Table11[[#This Row],[mobilised]]</f>
        <v>No</v>
      </c>
      <c r="AL123" s="79" t="str">
        <f>Table11[[#This Row],[resp_supp]]</f>
        <v>None</v>
      </c>
      <c r="AM123" s="78" t="str">
        <f>Table11[[#This Row],[elev_head]]</f>
        <v>Yes</v>
      </c>
      <c r="AN123" s="78" t="str">
        <f>Table13[[#This Row],[in_hospital]]</f>
        <v>No</v>
      </c>
      <c r="AO123" s="78">
        <f>Table13[[#This Row],[location_7]]</f>
        <v>0</v>
      </c>
      <c r="AP123" s="78">
        <f>Table13[[#This Row],[infec_24]]</f>
        <v>0</v>
      </c>
      <c r="AQ123" s="73">
        <f>Table13[[#This Row],[infec_7]]</f>
        <v>0</v>
      </c>
      <c r="AR123" s="73">
        <f>Table13[[#This Row],[gastro]]</f>
        <v>0</v>
      </c>
      <c r="AS123" s="73">
        <f>Table13[[#This Row],[pulm_supp_24]]</f>
        <v>0</v>
      </c>
      <c r="AT123" s="73">
        <f>Table13[[#This Row],[pulm_supp_7]]</f>
        <v>0</v>
      </c>
      <c r="AU123" s="73">
        <f>Table13[[#This Row],[pulm_pharm]]</f>
        <v>0</v>
      </c>
      <c r="AV123" s="73">
        <f>Table13[[#This Row],[cardio_24]]</f>
        <v>0</v>
      </c>
      <c r="AW123" s="73">
        <f>Table13[[#This Row],[troponin_7]]</f>
        <v>0</v>
      </c>
      <c r="AX123" s="73">
        <f>Table13[[#This Row],[creatinine_base]]</f>
        <v>0</v>
      </c>
      <c r="AY123" s="73">
        <f>Table13[[#This Row],[creatinine_high]]</f>
        <v>0</v>
      </c>
      <c r="AZ123" s="73">
        <f>Table13[[#This Row],[rrt]]</f>
        <v>0</v>
      </c>
      <c r="BA123" s="73">
        <f>Table13[[#This Row],[renal_24]]</f>
        <v>0</v>
      </c>
      <c r="BB123" s="73">
        <f>Table13[[#This Row],[neuro]]</f>
        <v>0</v>
      </c>
      <c r="BC123" s="73">
        <f>Table13[[#This Row],[wound]]</f>
        <v>0</v>
      </c>
      <c r="BD123" s="73">
        <f>Table13[[#This Row],[haemato]]</f>
        <v>0</v>
      </c>
      <c r="BE123" s="73">
        <f>Table13[[#This Row],[pain]]</f>
        <v>0</v>
      </c>
      <c r="BF123" s="73">
        <f>Table13[[#This Row],[mobility]]</f>
        <v>0</v>
      </c>
      <c r="BG123" s="79">
        <f>Table13[[#This Row],[why_inpatient_7]]</f>
        <v>0</v>
      </c>
      <c r="BH123" s="9">
        <f>Table13[[#This Row],[date_15]]</f>
        <v>0</v>
      </c>
      <c r="BI123">
        <f>Table13[[#This Row],[inpatient_15]]</f>
        <v>0</v>
      </c>
      <c r="BJ123">
        <f>Table13[[#This Row],[comment_15]]</f>
        <v>0</v>
      </c>
      <c r="BK123" t="str">
        <f>Table13[[#This Row],[discharge_dest]]</f>
        <v>Own Home</v>
      </c>
      <c r="BL123" t="str">
        <f>Table13[[#This Row],[complication]]</f>
        <v>None</v>
      </c>
    </row>
    <row r="124" spans="1:64" ht="18" customHeight="1">
      <c r="A124" s="73">
        <f>Table5[[#This Row],[comment]]</f>
        <v>0</v>
      </c>
      <c r="B124" s="73" t="str">
        <f>Table9[[#This Row],[surgeon]]</f>
        <v>Ramakrishna Chaparala</v>
      </c>
      <c r="C124" s="73" t="str">
        <f>Table9[[#This Row],[surgery]]</f>
        <v>Gastrectomy (Total or Partial) with excision of surrounding tissue</v>
      </c>
      <c r="D124" s="74" t="str">
        <f>Table5[[#This Row],[pqip_consent]]</f>
        <v>Yes</v>
      </c>
      <c r="E124" s="73" t="str">
        <f>Table6[[#This Row],[area_surgery]]</f>
        <v>Upper GI</v>
      </c>
      <c r="F124" s="75">
        <f>Table6[[#This Row],[admission_date]]</f>
        <v>43369</v>
      </c>
      <c r="G124" s="75">
        <f>Table6[[#This Row],[admission_date]]</f>
        <v>43369</v>
      </c>
      <c r="H124" s="105">
        <f>Table6[[#This Row],[surgery_duration]]</f>
        <v>0.33333333333333331</v>
      </c>
      <c r="I124" s="73" t="str">
        <f>Table6[[#This Row],[discharge_loc]]</f>
        <v>CCU (Level 2)</v>
      </c>
      <c r="J124" s="75">
        <f>Table6[[#This Row],[discharge_date]]</f>
        <v>43379</v>
      </c>
      <c r="K124" s="76">
        <f>Table6[[#This Row],[hospital_stay]]</f>
        <v>10</v>
      </c>
      <c r="L124" s="76" t="str">
        <f>Table6[[#This Row],[readmit_30]]</f>
        <v>No</v>
      </c>
      <c r="M124" s="77" t="str">
        <f>Table9[[#This Row],[troponin]]</f>
        <v>Not Measured</v>
      </c>
      <c r="N124" s="78">
        <f>Table9[[#This Row],[hb]]</f>
        <v>12.6</v>
      </c>
      <c r="O124" s="78">
        <f>Table9[[#This Row],[creatinine]]</f>
        <v>77</v>
      </c>
      <c r="P124" s="78">
        <f>Table9[[#This Row],[albumin]]</f>
        <v>47</v>
      </c>
      <c r="Q124" s="73" t="str">
        <f>Table9[[#This Row],[chest_physio]]</f>
        <v>Surgery School</v>
      </c>
      <c r="R124" s="73" t="str">
        <f>Table9[[#This Row],[surgery_school]]</f>
        <v>Yes - Hospital Session</v>
      </c>
      <c r="S124" s="75">
        <f>Table9[[#This Row],[date_school]]</f>
        <v>43354</v>
      </c>
      <c r="T124" s="73" t="str">
        <f>Table9[[#This Row],[app_down]]</f>
        <v>No - No electronic device</v>
      </c>
      <c r="U124" s="73" t="str">
        <f>Table9[[#This Row],[website]]</f>
        <v>No</v>
      </c>
      <c r="V124" s="73" t="str">
        <f>Table9[[#This Row],[base_activity]]</f>
        <v>No extra activity - Independent in ADLs</v>
      </c>
      <c r="W124" s="73" t="str">
        <f>Table9[[#This Row],[current_activity]]</f>
        <v>No extra activity - Independent in ADLs</v>
      </c>
      <c r="X124" s="73" t="str">
        <f>Table9[[#This Row],[activity_type]]</f>
        <v>None</v>
      </c>
      <c r="Y124" s="73" t="str">
        <f>Table9[[#This Row],[anaemia_treat]]</f>
        <v xml:space="preserve">Oral Iron </v>
      </c>
      <c r="Z124" s="78" t="str">
        <f>Table9[[#This Row],[anaesthesia]]</f>
        <v>General with Inhalational</v>
      </c>
      <c r="AA124" s="78">
        <f>Table9[[#This Row],[smoke_hist]]</f>
        <v>0</v>
      </c>
      <c r="AB124" s="78">
        <f>Table9[[#This Row],[smoke_cess]]</f>
        <v>0</v>
      </c>
      <c r="AC124" s="78" t="str">
        <f>Table9[[#This Row],[tidal_vol]]</f>
        <v>Not recorded</v>
      </c>
      <c r="AD124" s="77" t="str">
        <f>Table11[[#This Row],[inc_spiro]]</f>
        <v>Not used</v>
      </c>
      <c r="AE124" s="73" t="str">
        <f>Table11[[#This Row],[t_brushes]]</f>
        <v>Once</v>
      </c>
      <c r="AF124" s="78" t="str">
        <f>Table11[[#This Row],[m_washes]]</f>
        <v>Once</v>
      </c>
      <c r="AG124" s="78" t="str">
        <f>Table11[[#This Row],[iv_disc]]</f>
        <v>No</v>
      </c>
      <c r="AH124" s="78" t="str">
        <f>Table11[[#This Row],[tolerate_15l]]</f>
        <v>Not applicable</v>
      </c>
      <c r="AI124" s="78" t="str">
        <f>Table11[[#This Row],[drinking]]</f>
        <v>No</v>
      </c>
      <c r="AJ124" s="78" t="str">
        <f>Table11[[#This Row],[oral_diet]]</f>
        <v>No</v>
      </c>
      <c r="AK124" s="78" t="str">
        <f>Table11[[#This Row],[mobilised]]</f>
        <v>Yes</v>
      </c>
      <c r="AL124" s="79" t="str">
        <f>Table11[[#This Row],[resp_supp]]</f>
        <v>None</v>
      </c>
      <c r="AM124" s="78" t="str">
        <f>Table11[[#This Row],[elev_head]]</f>
        <v>Yes</v>
      </c>
      <c r="AN124" s="78" t="str">
        <f>Table13[[#This Row],[in_hospital]]</f>
        <v>Yes</v>
      </c>
      <c r="AO124" s="78" t="str">
        <f>Table13[[#This Row],[location_7]]</f>
        <v>Level 1</v>
      </c>
      <c r="AP124" s="78" t="str">
        <f>Table13[[#This Row],[infec_24]]</f>
        <v>Patient currently on IV antibiotics</v>
      </c>
      <c r="AQ124" s="73" t="str">
        <f>Table13[[#This Row],[infec_7]]</f>
        <v>Chest</v>
      </c>
      <c r="AR124" s="73" t="str">
        <f>Table13[[#This Row],[gastro]]</f>
        <v>Unable to tolerate enteral diet</v>
      </c>
      <c r="AS124" s="73" t="str">
        <f>Table13[[#This Row],[pulm_supp_24]]</f>
        <v>None of the above</v>
      </c>
      <c r="AT124" s="73" t="str">
        <f>Table13[[#This Row],[pulm_supp_7]]</f>
        <v>None</v>
      </c>
      <c r="AU124" s="73" t="str">
        <f>Table13[[#This Row],[pulm_pharm]]</f>
        <v>Bronchodilators nebulised</v>
      </c>
      <c r="AV124" s="73" t="str">
        <f>Table13[[#This Row],[cardio_24]]</f>
        <v>None of the above</v>
      </c>
      <c r="AW124" s="73" t="str">
        <f>Table13[[#This Row],[troponin_7]]</f>
        <v>None measured</v>
      </c>
      <c r="AX124" s="73">
        <f>Table13[[#This Row],[creatinine_base]]</f>
        <v>77</v>
      </c>
      <c r="AY124" s="73">
        <f>Table13[[#This Row],[creatinine_high]]</f>
        <v>58</v>
      </c>
      <c r="AZ124" s="73" t="str">
        <f>Table13[[#This Row],[rrt]]</f>
        <v xml:space="preserve">No </v>
      </c>
      <c r="BA124" s="73" t="str">
        <f>Table13[[#This Row],[renal_24]]</f>
        <v>None of the above</v>
      </c>
      <c r="BB124" s="73" t="str">
        <f>Table13[[#This Row],[neuro]]</f>
        <v>None of the above</v>
      </c>
      <c r="BC124" s="73" t="str">
        <f>Table13[[#This Row],[wound]]</f>
        <v>None of the above</v>
      </c>
      <c r="BD124" s="73" t="str">
        <f>Table13[[#This Row],[haemato]]</f>
        <v>None of the above</v>
      </c>
      <c r="BE124" s="73" t="str">
        <f>Table13[[#This Row],[pain]]</f>
        <v>Parenteral opioids</v>
      </c>
      <c r="BF124" s="73" t="str">
        <f>Table13[[#This Row],[mobility]]</f>
        <v>No</v>
      </c>
      <c r="BG124" s="79" t="str">
        <f>Table13[[#This Row],[why_inpatient_7]]</f>
        <v>Mobility Issue, Medical/nursing care</v>
      </c>
      <c r="BH124" s="9">
        <f>Table13[[#This Row],[date_15]]</f>
        <v>43384</v>
      </c>
      <c r="BI124" t="str">
        <f>Table13[[#This Row],[inpatient_15]]</f>
        <v>No</v>
      </c>
      <c r="BJ124">
        <f>Table13[[#This Row],[comment_15]]</f>
        <v>0</v>
      </c>
      <c r="BK124" t="str">
        <f>Table13[[#This Row],[discharge_dest]]</f>
        <v>Own Home</v>
      </c>
      <c r="BL124" t="str">
        <f>Table13[[#This Row],[complication]]</f>
        <v>II</v>
      </c>
    </row>
    <row r="125" spans="1:64" ht="18" customHeight="1">
      <c r="A125" s="73">
        <f>Table5[[#This Row],[comment]]</f>
        <v>0</v>
      </c>
      <c r="B125" s="73" t="str">
        <f>Table9[[#This Row],[surgeon]]</f>
        <v>Naheed Farooq</v>
      </c>
      <c r="C125" s="73" t="str">
        <f>Table9[[#This Row],[surgery]]</f>
        <v>Gastrectomy (Total or Partial) with excision of surrounding tissue</v>
      </c>
      <c r="D125" s="74" t="str">
        <f>Table5[[#This Row],[pqip_consent]]</f>
        <v>No</v>
      </c>
      <c r="E125" s="73" t="str">
        <f>Table6[[#This Row],[area_surgery]]</f>
        <v>Upper GI</v>
      </c>
      <c r="F125" s="75">
        <f>Table6[[#This Row],[admission_date]]</f>
        <v>43369</v>
      </c>
      <c r="G125" s="75">
        <f>Table6[[#This Row],[admission_date]]</f>
        <v>43369</v>
      </c>
      <c r="H125" s="105">
        <f>Table6[[#This Row],[surgery_duration]]</f>
        <v>0.25</v>
      </c>
      <c r="I125" s="73" t="str">
        <f>Table6[[#This Row],[discharge_loc]]</f>
        <v>CCU (Level 2)</v>
      </c>
      <c r="J125" s="75">
        <f>Table6[[#This Row],[discharge_date]]</f>
        <v>0</v>
      </c>
      <c r="K125" s="76">
        <f>Table6[[#This Row],[hospital_stay]]</f>
        <v>-43369</v>
      </c>
      <c r="L125" s="76">
        <f>Table6[[#This Row],[readmit_30]]</f>
        <v>0</v>
      </c>
      <c r="M125" s="77" t="str">
        <f>Table9[[#This Row],[troponin]]</f>
        <v>Not Measured</v>
      </c>
      <c r="N125" s="78">
        <f>Table9[[#This Row],[hb]]</f>
        <v>14</v>
      </c>
      <c r="O125" s="78">
        <f>Table9[[#This Row],[creatinine]]</f>
        <v>68</v>
      </c>
      <c r="P125" s="78">
        <f>Table9[[#This Row],[albumin]]</f>
        <v>43</v>
      </c>
      <c r="Q125" s="73" t="str">
        <f>Table9[[#This Row],[chest_physio]]</f>
        <v>No</v>
      </c>
      <c r="R125" s="73" t="str">
        <f>Table9[[#This Row],[surgery_school]]</f>
        <v>No - Wasn’t offered it</v>
      </c>
      <c r="S125" s="75">
        <f>Table9[[#This Row],[date_school]]</f>
        <v>0</v>
      </c>
      <c r="T125" s="73" t="str">
        <f>Table9[[#This Row],[app_down]]</f>
        <v>No - Have electronic device</v>
      </c>
      <c r="U125" s="73" t="str">
        <f>Table9[[#This Row],[website]]</f>
        <v>No</v>
      </c>
      <c r="V125" s="73" t="str">
        <f>Table9[[#This Row],[base_activity]]</f>
        <v>No extra activity - Independent in ADLs</v>
      </c>
      <c r="W125" s="73" t="str">
        <f>Table9[[#This Row],[current_activity]]</f>
        <v>No extra activity - Independent in ADLs</v>
      </c>
      <c r="X125" s="73" t="str">
        <f>Table9[[#This Row],[activity_type]]</f>
        <v>None</v>
      </c>
      <c r="Y125" s="73" t="str">
        <f>Table9[[#This Row],[anaemia_treat]]</f>
        <v>Not applicable</v>
      </c>
      <c r="Z125" s="78" t="str">
        <f>Table9[[#This Row],[anaesthesia]]</f>
        <v>General with Inhalational</v>
      </c>
      <c r="AA125" s="78">
        <f>Table9[[#This Row],[smoke_hist]]</f>
        <v>0</v>
      </c>
      <c r="AB125" s="78">
        <f>Table9[[#This Row],[smoke_cess]]</f>
        <v>0</v>
      </c>
      <c r="AC125" s="78" t="str">
        <f>Table9[[#This Row],[tidal_vol]]</f>
        <v>Not recorded</v>
      </c>
      <c r="AD125" s="77" t="str">
        <f>Table11[[#This Row],[inc_spiro]]</f>
        <v>Once</v>
      </c>
      <c r="AE125" s="73" t="str">
        <f>Table11[[#This Row],[t_brushes]]</f>
        <v>Twice</v>
      </c>
      <c r="AF125" s="78" t="str">
        <f>Table11[[#This Row],[m_washes]]</f>
        <v>Twice</v>
      </c>
      <c r="AG125" s="78" t="str">
        <f>Table11[[#This Row],[iv_disc]]</f>
        <v>No</v>
      </c>
      <c r="AH125" s="78" t="str">
        <f>Table11[[#This Row],[tolerate_15l]]</f>
        <v>Not applicable</v>
      </c>
      <c r="AI125" s="78" t="str">
        <f>Table11[[#This Row],[drinking]]</f>
        <v>No</v>
      </c>
      <c r="AJ125" s="78" t="str">
        <f>Table11[[#This Row],[oral_diet]]</f>
        <v>No</v>
      </c>
      <c r="AK125" s="78" t="str">
        <f>Table11[[#This Row],[mobilised]]</f>
        <v>Yes</v>
      </c>
      <c r="AL125" s="79" t="str">
        <f>Table11[[#This Row],[resp_supp]]</f>
        <v>None</v>
      </c>
      <c r="AM125" s="78" t="str">
        <f>Table11[[#This Row],[elev_head]]</f>
        <v>Yes</v>
      </c>
      <c r="AN125" s="78" t="str">
        <f>Table13[[#This Row],[in_hospital]]</f>
        <v>Yes</v>
      </c>
      <c r="AO125" s="78" t="str">
        <f>Table13[[#This Row],[location_7]]</f>
        <v>Level 2</v>
      </c>
      <c r="AP125" s="78" t="str">
        <f>Table13[[#This Row],[infec_24]]</f>
        <v>Patient currently on IV antibiotics, Patient had temperature &gt;38˚C</v>
      </c>
      <c r="AQ125" s="73" t="str">
        <f>Table13[[#This Row],[infec_7]]</f>
        <v>Chest</v>
      </c>
      <c r="AR125" s="73" t="str">
        <f>Table13[[#This Row],[gastro]]</f>
        <v>Unable to tolerate enteral diet</v>
      </c>
      <c r="AS125" s="73" t="str">
        <f>Table13[[#This Row],[pulm_supp_24]]</f>
        <v>New requirement for oxygen</v>
      </c>
      <c r="AT125" s="73" t="str">
        <f>Table13[[#This Row],[pulm_supp_7]]</f>
        <v>None</v>
      </c>
      <c r="AU125" s="73" t="str">
        <f>Table13[[#This Row],[pulm_pharm]]</f>
        <v>None</v>
      </c>
      <c r="AV125" s="73" t="str">
        <f>Table13[[#This Row],[cardio_24]]</f>
        <v>None of the above</v>
      </c>
      <c r="AW125" s="73" t="str">
        <f>Table13[[#This Row],[troponin_7]]</f>
        <v>None measured</v>
      </c>
      <c r="AX125" s="73">
        <f>Table13[[#This Row],[creatinine_base]]</f>
        <v>68</v>
      </c>
      <c r="AY125" s="73">
        <f>Table13[[#This Row],[creatinine_high]]</f>
        <v>139</v>
      </c>
      <c r="AZ125" s="73" t="str">
        <f>Table13[[#This Row],[rrt]]</f>
        <v xml:space="preserve">No </v>
      </c>
      <c r="BA125" s="73" t="str">
        <f>Table13[[#This Row],[renal_24]]</f>
        <v>Urethral catheter in-situ (not present pre-operatively)</v>
      </c>
      <c r="BB125" s="73" t="str">
        <f>Table13[[#This Row],[neuro]]</f>
        <v>None of the above</v>
      </c>
      <c r="BC125" s="73" t="str">
        <f>Table13[[#This Row],[wound]]</f>
        <v>None of the above</v>
      </c>
      <c r="BD125" s="73" t="str">
        <f>Table13[[#This Row],[haemato]]</f>
        <v>None of the above</v>
      </c>
      <c r="BE125" s="73" t="str">
        <f>Table13[[#This Row],[pain]]</f>
        <v>None of the above</v>
      </c>
      <c r="BF125" s="73" t="str">
        <f>Table13[[#This Row],[mobility]]</f>
        <v>No</v>
      </c>
      <c r="BG125" s="79" t="str">
        <f>Table13[[#This Row],[why_inpatient_7]]</f>
        <v>Mobility Issue, Medical/nursing care</v>
      </c>
      <c r="BH125" s="9">
        <f>Table13[[#This Row],[date_15]]</f>
        <v>43384</v>
      </c>
      <c r="BI125" t="str">
        <f>Table13[[#This Row],[inpatient_15]]</f>
        <v>Yes</v>
      </c>
      <c r="BJ125" t="str">
        <f>Table13[[#This Row],[comment_15]]</f>
        <v>Day 8: Started conservatrive management for contained oesophageal leak;  Day 15: CT shows continued leak, endosopy under GA to assess suitability of nasogastric tube with endosponge</v>
      </c>
      <c r="BK125">
        <f>Table13[[#This Row],[discharge_dest]]</f>
        <v>0</v>
      </c>
      <c r="BL125">
        <f>Table13[[#This Row],[complication]]</f>
        <v>0</v>
      </c>
    </row>
    <row r="126" spans="1:64" ht="18" customHeight="1">
      <c r="A126" s="73">
        <f>Table5[[#This Row],[comment]]</f>
        <v>0</v>
      </c>
      <c r="B126" s="73" t="str">
        <f>Table9[[#This Row],[surgeon]]</f>
        <v>Satish Maddineni</v>
      </c>
      <c r="C126" s="73" t="str">
        <f>Table9[[#This Row],[surgery]]</f>
        <v>Nephrectomy (non-transplant)</v>
      </c>
      <c r="D126" s="74" t="str">
        <f>Table5[[#This Row],[pqip_consent]]</f>
        <v>No</v>
      </c>
      <c r="E126" s="73" t="str">
        <f>Table6[[#This Row],[area_surgery]]</f>
        <v>Nephrology</v>
      </c>
      <c r="F126" s="75">
        <f>Table6[[#This Row],[admission_date]]</f>
        <v>43369</v>
      </c>
      <c r="G126" s="75">
        <f>Table6[[#This Row],[admission_date]]</f>
        <v>43369</v>
      </c>
      <c r="H126" s="105">
        <f>Table6[[#This Row],[surgery_duration]]</f>
        <v>0.1875</v>
      </c>
      <c r="I126" s="73" t="str">
        <f>Table6[[#This Row],[discharge_loc]]</f>
        <v>H6</v>
      </c>
      <c r="J126" s="75">
        <f>Table6[[#This Row],[discharge_date]]</f>
        <v>43374</v>
      </c>
      <c r="K126" s="76">
        <f>Table6[[#This Row],[hospital_stay]]</f>
        <v>5</v>
      </c>
      <c r="L126" s="76">
        <f>Table6[[#This Row],[readmit_30]]</f>
        <v>0</v>
      </c>
      <c r="M126" s="77" t="str">
        <f>Table9[[#This Row],[troponin]]</f>
        <v>Not Measured</v>
      </c>
      <c r="N126" s="78">
        <f>Table9[[#This Row],[hb]]</f>
        <v>11.3</v>
      </c>
      <c r="O126" s="78">
        <f>Table9[[#This Row],[creatinine]]</f>
        <v>85</v>
      </c>
      <c r="P126" s="78">
        <f>Table9[[#This Row],[albumin]]</f>
        <v>44</v>
      </c>
      <c r="Q126" s="73" t="str">
        <f>Table9[[#This Row],[chest_physio]]</f>
        <v>Surgery School</v>
      </c>
      <c r="R126" s="73" t="str">
        <f>Table9[[#This Row],[surgery_school]]</f>
        <v>Yes - Hospital Session</v>
      </c>
      <c r="S126" s="75">
        <f>Table9[[#This Row],[date_school]]</f>
        <v>43362</v>
      </c>
      <c r="T126" s="73" t="str">
        <f>Table9[[#This Row],[app_down]]</f>
        <v>No - Have electronic device</v>
      </c>
      <c r="U126" s="73" t="str">
        <f>Table9[[#This Row],[website]]</f>
        <v>No</v>
      </c>
      <c r="V126" s="73" t="str">
        <f>Table9[[#This Row],[base_activity]]</f>
        <v>No extra activity - Independent in ADLs</v>
      </c>
      <c r="W126" s="73" t="str">
        <f>Table9[[#This Row],[current_activity]]</f>
        <v>No extra activity - Independent in ADLs</v>
      </c>
      <c r="X126" s="73" t="str">
        <f>Table9[[#This Row],[activity_type]]</f>
        <v>None</v>
      </c>
      <c r="Y126" s="73" t="str">
        <f>Table9[[#This Row],[anaemia_treat]]</f>
        <v>Intravenous Iron</v>
      </c>
      <c r="Z126" s="78" t="str">
        <f>Table9[[#This Row],[anaesthesia]]</f>
        <v>General with Inhalational</v>
      </c>
      <c r="AA126" s="78">
        <f>Table9[[#This Row],[smoke_hist]]</f>
        <v>0</v>
      </c>
      <c r="AB126" s="78">
        <f>Table9[[#This Row],[smoke_cess]]</f>
        <v>0</v>
      </c>
      <c r="AC126" s="78" t="str">
        <f>Table9[[#This Row],[tidal_vol]]</f>
        <v>Not recorded</v>
      </c>
      <c r="AD126" s="77" t="str">
        <f>Table11[[#This Row],[inc_spiro]]</f>
        <v>Not used</v>
      </c>
      <c r="AE126" s="73" t="str">
        <f>Table11[[#This Row],[t_brushes]]</f>
        <v>Twice</v>
      </c>
      <c r="AF126" s="78" t="str">
        <f>Table11[[#This Row],[m_washes]]</f>
        <v>None</v>
      </c>
      <c r="AG126" s="78" t="str">
        <f>Table11[[#This Row],[iv_disc]]</f>
        <v>No</v>
      </c>
      <c r="AH126" s="78" t="str">
        <f>Table11[[#This Row],[tolerate_15l]]</f>
        <v>Yes</v>
      </c>
      <c r="AI126" s="78" t="str">
        <f>Table11[[#This Row],[drinking]]</f>
        <v>Yes</v>
      </c>
      <c r="AJ126" s="78" t="str">
        <f>Table11[[#This Row],[oral_diet]]</f>
        <v>Yes</v>
      </c>
      <c r="AK126" s="78" t="str">
        <f>Table11[[#This Row],[mobilised]]</f>
        <v>Yes</v>
      </c>
      <c r="AL126" s="79" t="str">
        <f>Table11[[#This Row],[resp_supp]]</f>
        <v>None</v>
      </c>
      <c r="AM126" s="78" t="str">
        <f>Table11[[#This Row],[elev_head]]</f>
        <v>Yes</v>
      </c>
      <c r="AN126" s="78" t="str">
        <f>Table13[[#This Row],[in_hospital]]</f>
        <v>No</v>
      </c>
      <c r="AO126" s="78">
        <f>Table13[[#This Row],[location_7]]</f>
        <v>0</v>
      </c>
      <c r="AP126" s="78">
        <f>Table13[[#This Row],[infec_24]]</f>
        <v>0</v>
      </c>
      <c r="AQ126" s="73">
        <f>Table13[[#This Row],[infec_7]]</f>
        <v>0</v>
      </c>
      <c r="AR126" s="73">
        <f>Table13[[#This Row],[gastro]]</f>
        <v>0</v>
      </c>
      <c r="AS126" s="73">
        <f>Table13[[#This Row],[pulm_supp_24]]</f>
        <v>0</v>
      </c>
      <c r="AT126" s="73">
        <f>Table13[[#This Row],[pulm_supp_7]]</f>
        <v>0</v>
      </c>
      <c r="AU126" s="73">
        <f>Table13[[#This Row],[pulm_pharm]]</f>
        <v>0</v>
      </c>
      <c r="AV126" s="73">
        <f>Table13[[#This Row],[cardio_24]]</f>
        <v>0</v>
      </c>
      <c r="AW126" s="73">
        <f>Table13[[#This Row],[troponin_7]]</f>
        <v>0</v>
      </c>
      <c r="AX126" s="73">
        <f>Table13[[#This Row],[creatinine_base]]</f>
        <v>0</v>
      </c>
      <c r="AY126" s="73">
        <f>Table13[[#This Row],[creatinine_high]]</f>
        <v>0</v>
      </c>
      <c r="AZ126" s="73">
        <f>Table13[[#This Row],[rrt]]</f>
        <v>0</v>
      </c>
      <c r="BA126" s="73">
        <f>Table13[[#This Row],[renal_24]]</f>
        <v>0</v>
      </c>
      <c r="BB126" s="73">
        <f>Table13[[#This Row],[neuro]]</f>
        <v>0</v>
      </c>
      <c r="BC126" s="73">
        <f>Table13[[#This Row],[wound]]</f>
        <v>0</v>
      </c>
      <c r="BD126" s="73">
        <f>Table13[[#This Row],[haemato]]</f>
        <v>0</v>
      </c>
      <c r="BE126" s="73">
        <f>Table13[[#This Row],[pain]]</f>
        <v>0</v>
      </c>
      <c r="BF126" s="73">
        <f>Table13[[#This Row],[mobility]]</f>
        <v>0</v>
      </c>
      <c r="BG126" s="79">
        <f>Table13[[#This Row],[why_inpatient_7]]</f>
        <v>0</v>
      </c>
      <c r="BH126" s="9">
        <f>Table13[[#This Row],[date_15]]</f>
        <v>0</v>
      </c>
      <c r="BI126">
        <f>Table13[[#This Row],[inpatient_15]]</f>
        <v>0</v>
      </c>
      <c r="BJ126">
        <f>Table13[[#This Row],[comment_15]]</f>
        <v>0</v>
      </c>
      <c r="BK126" t="str">
        <f>Table13[[#This Row],[discharge_dest]]</f>
        <v>Own Home</v>
      </c>
      <c r="BL126" t="str">
        <f>Table13[[#This Row],[complication]]</f>
        <v>None</v>
      </c>
    </row>
    <row r="127" spans="1:64" ht="18" customHeight="1">
      <c r="A127" s="73">
        <f>Table5[[#This Row],[comment]]</f>
        <v>0</v>
      </c>
      <c r="B127" s="73" t="str">
        <f>Table9[[#This Row],[surgeon]]</f>
        <v>Satish Maddineni</v>
      </c>
      <c r="C127" s="73" t="str">
        <f>Table9[[#This Row],[surgery]]</f>
        <v>Nephrectomy (non-transplant)</v>
      </c>
      <c r="D127" s="74" t="str">
        <f>Table5[[#This Row],[pqip_consent]]</f>
        <v>Yes</v>
      </c>
      <c r="E127" s="73" t="str">
        <f>Table6[[#This Row],[area_surgery]]</f>
        <v>Nephrology</v>
      </c>
      <c r="F127" s="75">
        <f>Table6[[#This Row],[admission_date]]</f>
        <v>43370</v>
      </c>
      <c r="G127" s="75">
        <f>Table6[[#This Row],[admission_date]]</f>
        <v>43370</v>
      </c>
      <c r="H127" s="105">
        <f>Table6[[#This Row],[surgery_duration]]</f>
        <v>0.1875</v>
      </c>
      <c r="I127" s="73" t="str">
        <f>Table6[[#This Row],[discharge_loc]]</f>
        <v>H6</v>
      </c>
      <c r="J127" s="75">
        <f>Table6[[#This Row],[discharge_date]]</f>
        <v>43375</v>
      </c>
      <c r="K127" s="76">
        <f>Table6[[#This Row],[hospital_stay]]</f>
        <v>5</v>
      </c>
      <c r="L127" s="76" t="str">
        <f>Table6[[#This Row],[readmit_30]]</f>
        <v>Yes</v>
      </c>
      <c r="M127" s="77" t="str">
        <f>Table9[[#This Row],[troponin]]</f>
        <v>Not Measured</v>
      </c>
      <c r="N127" s="78">
        <f>Table9[[#This Row],[hb]]</f>
        <v>8.4</v>
      </c>
      <c r="O127" s="78">
        <f>Table9[[#This Row],[creatinine]]</f>
        <v>78</v>
      </c>
      <c r="P127" s="78">
        <f>Table9[[#This Row],[albumin]]</f>
        <v>47</v>
      </c>
      <c r="Q127" s="73" t="str">
        <f>Table9[[#This Row],[chest_physio]]</f>
        <v>Surgery School</v>
      </c>
      <c r="R127" s="73" t="str">
        <f>Table9[[#This Row],[surgery_school]]</f>
        <v>Yes - Hospital Session</v>
      </c>
      <c r="S127" s="75">
        <f>Table9[[#This Row],[date_school]]</f>
        <v>43348</v>
      </c>
      <c r="T127" s="73" t="str">
        <f>Table9[[#This Row],[app_down]]</f>
        <v>No - No electronic device</v>
      </c>
      <c r="U127" s="73" t="str">
        <f>Table9[[#This Row],[website]]</f>
        <v>No</v>
      </c>
      <c r="V127" s="73" t="str">
        <f>Table9[[#This Row],[base_activity]]</f>
        <v>20mins of moderate activity</v>
      </c>
      <c r="W127" s="73" t="str">
        <f>Table9[[#This Row],[current_activity]]</f>
        <v>20mins of moderate activity</v>
      </c>
      <c r="X127" s="73" t="str">
        <f>Table9[[#This Row],[activity_type]]</f>
        <v xml:space="preserve">Walking regularly </v>
      </c>
      <c r="Y127" s="73" t="str">
        <f>Table9[[#This Row],[anaemia_treat]]</f>
        <v>Intravenous Iron</v>
      </c>
      <c r="Z127" s="78" t="str">
        <f>Table9[[#This Row],[anaesthesia]]</f>
        <v>General with Inhalational</v>
      </c>
      <c r="AA127" s="78">
        <f>Table9[[#This Row],[smoke_hist]]</f>
        <v>0</v>
      </c>
      <c r="AB127" s="78">
        <f>Table9[[#This Row],[smoke_cess]]</f>
        <v>0</v>
      </c>
      <c r="AC127" s="78" t="str">
        <f>Table9[[#This Row],[tidal_vol]]</f>
        <v>Not recorded</v>
      </c>
      <c r="AD127" s="77" t="str">
        <f>Table11[[#This Row],[inc_spiro]]</f>
        <v>Not used</v>
      </c>
      <c r="AE127" s="73" t="str">
        <f>Table11[[#This Row],[t_brushes]]</f>
        <v>Once</v>
      </c>
      <c r="AF127" s="78" t="str">
        <f>Table11[[#This Row],[m_washes]]</f>
        <v>Once</v>
      </c>
      <c r="AG127" s="78" t="str">
        <f>Table11[[#This Row],[iv_disc]]</f>
        <v>No</v>
      </c>
      <c r="AH127" s="78" t="str">
        <f>Table11[[#This Row],[tolerate_15l]]</f>
        <v>No</v>
      </c>
      <c r="AI127" s="78" t="str">
        <f>Table11[[#This Row],[drinking]]</f>
        <v>Yes</v>
      </c>
      <c r="AJ127" s="78" t="str">
        <f>Table11[[#This Row],[oral_diet]]</f>
        <v>Yes</v>
      </c>
      <c r="AK127" s="78" t="str">
        <f>Table11[[#This Row],[mobilised]]</f>
        <v>Yes</v>
      </c>
      <c r="AL127" s="79" t="str">
        <f>Table11[[#This Row],[resp_supp]]</f>
        <v>None</v>
      </c>
      <c r="AM127" s="78" t="str">
        <f>Table11[[#This Row],[elev_head]]</f>
        <v>Yes</v>
      </c>
      <c r="AN127" s="78" t="str">
        <f>Table13[[#This Row],[in_hospital]]</f>
        <v>No</v>
      </c>
      <c r="AO127" s="78">
        <f>Table13[[#This Row],[location_7]]</f>
        <v>0</v>
      </c>
      <c r="AP127" s="78">
        <f>Table13[[#This Row],[infec_24]]</f>
        <v>0</v>
      </c>
      <c r="AQ127" s="73">
        <f>Table13[[#This Row],[infec_7]]</f>
        <v>0</v>
      </c>
      <c r="AR127" s="73">
        <f>Table13[[#This Row],[gastro]]</f>
        <v>0</v>
      </c>
      <c r="AS127" s="73">
        <f>Table13[[#This Row],[pulm_supp_24]]</f>
        <v>0</v>
      </c>
      <c r="AT127" s="73">
        <f>Table13[[#This Row],[pulm_supp_7]]</f>
        <v>0</v>
      </c>
      <c r="AU127" s="73">
        <f>Table13[[#This Row],[pulm_pharm]]</f>
        <v>0</v>
      </c>
      <c r="AV127" s="73">
        <f>Table13[[#This Row],[cardio_24]]</f>
        <v>0</v>
      </c>
      <c r="AW127" s="73">
        <f>Table13[[#This Row],[troponin_7]]</f>
        <v>0</v>
      </c>
      <c r="AX127" s="73">
        <f>Table13[[#This Row],[creatinine_base]]</f>
        <v>0</v>
      </c>
      <c r="AY127" s="73">
        <f>Table13[[#This Row],[creatinine_high]]</f>
        <v>0</v>
      </c>
      <c r="AZ127" s="73">
        <f>Table13[[#This Row],[rrt]]</f>
        <v>0</v>
      </c>
      <c r="BA127" s="73">
        <f>Table13[[#This Row],[renal_24]]</f>
        <v>0</v>
      </c>
      <c r="BB127" s="73">
        <f>Table13[[#This Row],[neuro]]</f>
        <v>0</v>
      </c>
      <c r="BC127" s="73">
        <f>Table13[[#This Row],[wound]]</f>
        <v>0</v>
      </c>
      <c r="BD127" s="73">
        <f>Table13[[#This Row],[haemato]]</f>
        <v>0</v>
      </c>
      <c r="BE127" s="73">
        <f>Table13[[#This Row],[pain]]</f>
        <v>0</v>
      </c>
      <c r="BF127" s="73">
        <f>Table13[[#This Row],[mobility]]</f>
        <v>0</v>
      </c>
      <c r="BG127" s="79">
        <f>Table13[[#This Row],[why_inpatient_7]]</f>
        <v>0</v>
      </c>
      <c r="BH127" s="9">
        <f>Table13[[#This Row],[date_15]]</f>
        <v>0</v>
      </c>
      <c r="BI127">
        <f>Table13[[#This Row],[inpatient_15]]</f>
        <v>0</v>
      </c>
      <c r="BJ127">
        <f>Table13[[#This Row],[comment_15]]</f>
        <v>0</v>
      </c>
      <c r="BK127" t="str">
        <f>Table13[[#This Row],[discharge_dest]]</f>
        <v>Own Home</v>
      </c>
      <c r="BL127" t="str">
        <f>Table13[[#This Row],[complication]]</f>
        <v>None</v>
      </c>
    </row>
    <row r="128" spans="1:64" ht="18" customHeight="1">
      <c r="A128" s="73" t="str">
        <f>Table5[[#This Row],[comment]]</f>
        <v>Anaesthetist advised IV iron post-op</v>
      </c>
      <c r="B128" s="73" t="str">
        <f>Table9[[#This Row],[surgeon]]</f>
        <v>Jonathan Vickers</v>
      </c>
      <c r="C128" s="73" t="str">
        <f>Table9[[#This Row],[surgery]]</f>
        <v>Gastrectomy (Total or Partial) with excision of surrounding tissue</v>
      </c>
      <c r="D128" s="74" t="str">
        <f>Table5[[#This Row],[pqip_consent]]</f>
        <v>Yes</v>
      </c>
      <c r="E128" s="73" t="str">
        <f>Table6[[#This Row],[area_surgery]]</f>
        <v>Upper GI</v>
      </c>
      <c r="F128" s="75">
        <f>Table6[[#This Row],[admission_date]]</f>
        <v>43370</v>
      </c>
      <c r="G128" s="75">
        <f>Table6[[#This Row],[admission_date]]</f>
        <v>43370</v>
      </c>
      <c r="H128" s="105">
        <f>Table6[[#This Row],[surgery_duration]]</f>
        <v>0.19097222222222221</v>
      </c>
      <c r="I128" s="73" t="str">
        <f>Table6[[#This Row],[discharge_loc]]</f>
        <v>CCU (Level 2/3)</v>
      </c>
      <c r="J128" s="75">
        <f>Table6[[#This Row],[discharge_date]]</f>
        <v>43381</v>
      </c>
      <c r="K128" s="76">
        <f>Table6[[#This Row],[hospital_stay]]</f>
        <v>11</v>
      </c>
      <c r="L128" s="76" t="str">
        <f>Table6[[#This Row],[readmit_30]]</f>
        <v>No</v>
      </c>
      <c r="M128" s="77" t="str">
        <f>Table9[[#This Row],[troponin]]</f>
        <v>Not Measured</v>
      </c>
      <c r="N128" s="78">
        <f>Table9[[#This Row],[hb]]</f>
        <v>12.6</v>
      </c>
      <c r="O128" s="78">
        <f>Table9[[#This Row],[creatinine]]</f>
        <v>88</v>
      </c>
      <c r="P128" s="78">
        <f>Table9[[#This Row],[albumin]]</f>
        <v>46</v>
      </c>
      <c r="Q128" s="73" t="str">
        <f>Table9[[#This Row],[chest_physio]]</f>
        <v>Surgery School</v>
      </c>
      <c r="R128" s="73" t="str">
        <f>Table9[[#This Row],[surgery_school]]</f>
        <v>Yes - Hospital Session</v>
      </c>
      <c r="S128" s="75">
        <f>Table9[[#This Row],[date_school]]</f>
        <v>43361</v>
      </c>
      <c r="T128" s="73" t="str">
        <f>Table9[[#This Row],[app_down]]</f>
        <v>No - Have electronic device</v>
      </c>
      <c r="U128" s="73" t="str">
        <f>Table9[[#This Row],[website]]</f>
        <v>No</v>
      </c>
      <c r="V128" s="73" t="str">
        <f>Table9[[#This Row],[base_activity]]</f>
        <v>30mins of moderate activity</v>
      </c>
      <c r="W128" s="73" t="str">
        <f>Table9[[#This Row],[current_activity]]</f>
        <v>30mins of moderate activity</v>
      </c>
      <c r="X128" s="73" t="str">
        <f>Table9[[#This Row],[activity_type]]</f>
        <v xml:space="preserve">Walking regularly </v>
      </c>
      <c r="Y128" s="73" t="str">
        <f>Table9[[#This Row],[anaemia_treat]]</f>
        <v>Not applicable</v>
      </c>
      <c r="Z128" s="78" t="str">
        <f>Table9[[#This Row],[anaesthesia]]</f>
        <v>General with TIVA</v>
      </c>
      <c r="AA128" s="78">
        <f>Table9[[#This Row],[smoke_hist]]</f>
        <v>0</v>
      </c>
      <c r="AB128" s="78">
        <f>Table9[[#This Row],[smoke_cess]]</f>
        <v>0</v>
      </c>
      <c r="AC128" s="78" t="str">
        <f>Table9[[#This Row],[tidal_vol]]</f>
        <v>Not recorded</v>
      </c>
      <c r="AD128" s="77" t="str">
        <f>Table11[[#This Row],[inc_spiro]]</f>
        <v>Not used</v>
      </c>
      <c r="AE128" s="73" t="str">
        <f>Table11[[#This Row],[t_brushes]]</f>
        <v>Twice</v>
      </c>
      <c r="AF128" s="78" t="str">
        <f>Table11[[#This Row],[m_washes]]</f>
        <v>Twice</v>
      </c>
      <c r="AG128" s="78" t="str">
        <f>Table11[[#This Row],[iv_disc]]</f>
        <v>No</v>
      </c>
      <c r="AH128" s="78" t="str">
        <f>Table11[[#This Row],[tolerate_15l]]</f>
        <v>Not applicable</v>
      </c>
      <c r="AI128" s="78" t="str">
        <f>Table11[[#This Row],[drinking]]</f>
        <v>No</v>
      </c>
      <c r="AJ128" s="78" t="str">
        <f>Table11[[#This Row],[oral_diet]]</f>
        <v>No</v>
      </c>
      <c r="AK128" s="78" t="str">
        <f>Table11[[#This Row],[mobilised]]</f>
        <v>Yes</v>
      </c>
      <c r="AL128" s="79" t="str">
        <f>Table11[[#This Row],[resp_supp]]</f>
        <v>None</v>
      </c>
      <c r="AM128" s="78" t="str">
        <f>Table11[[#This Row],[elev_head]]</f>
        <v>Yes</v>
      </c>
      <c r="AN128" s="78" t="str">
        <f>Table13[[#This Row],[in_hospital]]</f>
        <v>Yes</v>
      </c>
      <c r="AO128" s="78" t="str">
        <f>Table13[[#This Row],[location_7]]</f>
        <v>Ward</v>
      </c>
      <c r="AP128" s="78" t="str">
        <f>Table13[[#This Row],[infec_24]]</f>
        <v>Patient currently on IV antibiotics, Patient had temperature &gt;38˚C</v>
      </c>
      <c r="AQ128" s="73" t="str">
        <f>Table13[[#This Row],[infec_7]]</f>
        <v>Surgical site infection</v>
      </c>
      <c r="AR128" s="73" t="str">
        <f>Table13[[#This Row],[gastro]]</f>
        <v>Unable to tolerate enteral diet</v>
      </c>
      <c r="AS128" s="73" t="str">
        <f>Table13[[#This Row],[pulm_supp_24]]</f>
        <v>None of the above</v>
      </c>
      <c r="AT128" s="73" t="str">
        <f>Table13[[#This Row],[pulm_supp_7]]</f>
        <v>None</v>
      </c>
      <c r="AU128" s="73" t="str">
        <f>Table13[[#This Row],[pulm_pharm]]</f>
        <v>None</v>
      </c>
      <c r="AV128" s="73" t="str">
        <f>Table13[[#This Row],[cardio_24]]</f>
        <v>None of the above</v>
      </c>
      <c r="AW128" s="73" t="str">
        <f>Table13[[#This Row],[troponin_7]]</f>
        <v>None measured</v>
      </c>
      <c r="AX128" s="73">
        <f>Table13[[#This Row],[creatinine_base]]</f>
        <v>88</v>
      </c>
      <c r="AY128" s="73">
        <f>Table13[[#This Row],[creatinine_high]]</f>
        <v>87</v>
      </c>
      <c r="AZ128" s="73" t="str">
        <f>Table13[[#This Row],[rrt]]</f>
        <v xml:space="preserve">No </v>
      </c>
      <c r="BA128" s="73" t="str">
        <f>Table13[[#This Row],[renal_24]]</f>
        <v>None of the above</v>
      </c>
      <c r="BB128" s="73" t="str">
        <f>Table13[[#This Row],[neuro]]</f>
        <v>None of the above</v>
      </c>
      <c r="BC128" s="73" t="str">
        <f>Table13[[#This Row],[wound]]</f>
        <v>Drainage of pus/Swab taken</v>
      </c>
      <c r="BD128" s="73" t="str">
        <f>Table13[[#This Row],[haemato]]</f>
        <v>None of the above</v>
      </c>
      <c r="BE128" s="73" t="str">
        <f>Table13[[#This Row],[pain]]</f>
        <v>None of the above</v>
      </c>
      <c r="BF128" s="73" t="str">
        <f>Table13[[#This Row],[mobility]]</f>
        <v>Yes</v>
      </c>
      <c r="BG128" s="79" t="str">
        <f>Table13[[#This Row],[why_inpatient_7]]</f>
        <v>Medical/nursing care</v>
      </c>
      <c r="BH128" s="9">
        <f>Table13[[#This Row],[date_15]]</f>
        <v>43385</v>
      </c>
      <c r="BI128" t="str">
        <f>Table13[[#This Row],[inpatient_15]]</f>
        <v>No</v>
      </c>
      <c r="BJ128">
        <f>Table13[[#This Row],[comment_15]]</f>
        <v>0</v>
      </c>
      <c r="BK128" t="str">
        <f>Table13[[#This Row],[discharge_dest]]</f>
        <v>Own Home</v>
      </c>
      <c r="BL128" t="str">
        <f>Table13[[#This Row],[complication]]</f>
        <v>II</v>
      </c>
    </row>
    <row r="129" spans="1:64" ht="18" customHeight="1">
      <c r="A129" s="73">
        <f>Table5[[#This Row],[comment]]</f>
        <v>0</v>
      </c>
      <c r="B129" s="73" t="str">
        <f>Table9[[#This Row],[surgeon]]</f>
        <v>David Watson</v>
      </c>
      <c r="C129" s="73" t="str">
        <f>Table9[[#This Row],[surgery]]</f>
        <v>Sigmoid colectomy</v>
      </c>
      <c r="D129" s="74" t="str">
        <f>Table5[[#This Row],[pqip_consent]]</f>
        <v>Yes</v>
      </c>
      <c r="E129" s="73" t="str">
        <f>Table6[[#This Row],[area_surgery]]</f>
        <v>Lower GI</v>
      </c>
      <c r="F129" s="75">
        <f>Table6[[#This Row],[admission_date]]</f>
        <v>43370</v>
      </c>
      <c r="G129" s="75">
        <f>Table6[[#This Row],[admission_date]]</f>
        <v>43370</v>
      </c>
      <c r="H129" s="105">
        <f>Table6[[#This Row],[surgery_duration]]</f>
        <v>0.20833333333333334</v>
      </c>
      <c r="I129" s="73" t="str">
        <f>Table6[[#This Row],[discharge_loc]]</f>
        <v>H6</v>
      </c>
      <c r="J129" s="75">
        <f>Table6[[#This Row],[discharge_date]]</f>
        <v>43378</v>
      </c>
      <c r="K129" s="76">
        <f>Table6[[#This Row],[hospital_stay]]</f>
        <v>8</v>
      </c>
      <c r="L129" s="76" t="str">
        <f>Table6[[#This Row],[readmit_30]]</f>
        <v>No</v>
      </c>
      <c r="M129" s="77" t="str">
        <f>Table9[[#This Row],[troponin]]</f>
        <v>Not Measured</v>
      </c>
      <c r="N129" s="78">
        <f>Table9[[#This Row],[hb]]</f>
        <v>12.9</v>
      </c>
      <c r="O129" s="78">
        <f>Table9[[#This Row],[creatinine]]</f>
        <v>65</v>
      </c>
      <c r="P129" s="78">
        <f>Table9[[#This Row],[albumin]]</f>
        <v>47</v>
      </c>
      <c r="Q129" s="73" t="str">
        <f>Table9[[#This Row],[chest_physio]]</f>
        <v>Surgery School</v>
      </c>
      <c r="R129" s="73" t="str">
        <f>Table9[[#This Row],[surgery_school]]</f>
        <v>Yes - Hospital Session</v>
      </c>
      <c r="S129" s="75">
        <f>Table9[[#This Row],[date_school]]</f>
        <v>43348</v>
      </c>
      <c r="T129" s="73" t="str">
        <f>Table9[[#This Row],[app_down]]</f>
        <v>No - Have electronic device</v>
      </c>
      <c r="U129" s="73" t="str">
        <f>Table9[[#This Row],[website]]</f>
        <v>No</v>
      </c>
      <c r="V129" s="73" t="str">
        <f>Table9[[#This Row],[base_activity]]</f>
        <v>No extra activity - Independent in ADLs</v>
      </c>
      <c r="W129" s="73" t="str">
        <f>Table9[[#This Row],[current_activity]]</f>
        <v>No extra activity - Independent in ADLs</v>
      </c>
      <c r="X129" s="73" t="str">
        <f>Table9[[#This Row],[activity_type]]</f>
        <v>None</v>
      </c>
      <c r="Y129" s="73" t="str">
        <f>Table9[[#This Row],[anaemia_treat]]</f>
        <v>Not applicable</v>
      </c>
      <c r="Z129" s="78" t="str">
        <f>Table9[[#This Row],[anaesthesia]]</f>
        <v>General with Inhalational</v>
      </c>
      <c r="AA129" s="78">
        <f>Table9[[#This Row],[smoke_hist]]</f>
        <v>0</v>
      </c>
      <c r="AB129" s="78">
        <f>Table9[[#This Row],[smoke_cess]]</f>
        <v>0</v>
      </c>
      <c r="AC129" s="78" t="str">
        <f>Table9[[#This Row],[tidal_vol]]</f>
        <v>Not recorded</v>
      </c>
      <c r="AD129" s="77" t="str">
        <f>Table11[[#This Row],[inc_spiro]]</f>
        <v>&gt;Two</v>
      </c>
      <c r="AE129" s="73" t="str">
        <f>Table11[[#This Row],[t_brushes]]</f>
        <v>None</v>
      </c>
      <c r="AF129" s="78" t="str">
        <f>Table11[[#This Row],[m_washes]]</f>
        <v>None</v>
      </c>
      <c r="AG129" s="78" t="str">
        <f>Table11[[#This Row],[iv_disc]]</f>
        <v>No</v>
      </c>
      <c r="AH129" s="78" t="str">
        <f>Table11[[#This Row],[tolerate_15l]]</f>
        <v>No</v>
      </c>
      <c r="AI129" s="78" t="str">
        <f>Table11[[#This Row],[drinking]]</f>
        <v>Yes</v>
      </c>
      <c r="AJ129" s="78" t="str">
        <f>Table11[[#This Row],[oral_diet]]</f>
        <v>No</v>
      </c>
      <c r="AK129" s="78" t="str">
        <f>Table11[[#This Row],[mobilised]]</f>
        <v>No</v>
      </c>
      <c r="AL129" s="79" t="str">
        <f>Table11[[#This Row],[resp_supp]]</f>
        <v>None</v>
      </c>
      <c r="AM129" s="78" t="str">
        <f>Table11[[#This Row],[elev_head]]</f>
        <v>Yes</v>
      </c>
      <c r="AN129" s="78" t="str">
        <f>Table13[[#This Row],[in_hospital]]</f>
        <v>Yes</v>
      </c>
      <c r="AO129" s="78" t="str">
        <f>Table13[[#This Row],[location_7]]</f>
        <v>Ward</v>
      </c>
      <c r="AP129" s="78" t="str">
        <f>Table13[[#This Row],[infec_24]]</f>
        <v>None of the above</v>
      </c>
      <c r="AQ129" s="73" t="str">
        <f>Table13[[#This Row],[infec_7]]</f>
        <v>Surgical site infection</v>
      </c>
      <c r="AR129" s="73" t="str">
        <f>Table13[[#This Row],[gastro]]</f>
        <v>None of the above</v>
      </c>
      <c r="AS129" s="73" t="str">
        <f>Table13[[#This Row],[pulm_supp_24]]</f>
        <v>None of the above</v>
      </c>
      <c r="AT129" s="73" t="str">
        <f>Table13[[#This Row],[pulm_supp_7]]</f>
        <v>None</v>
      </c>
      <c r="AU129" s="73" t="str">
        <f>Table13[[#This Row],[pulm_pharm]]</f>
        <v>None</v>
      </c>
      <c r="AV129" s="73" t="str">
        <f>Table13[[#This Row],[cardio_24]]</f>
        <v>None of the above</v>
      </c>
      <c r="AW129" s="73" t="str">
        <f>Table13[[#This Row],[troponin_7]]</f>
        <v>None measured</v>
      </c>
      <c r="AX129" s="73">
        <f>Table13[[#This Row],[creatinine_base]]</f>
        <v>65</v>
      </c>
      <c r="AY129" s="73">
        <f>Table13[[#This Row],[creatinine_high]]</f>
        <v>53</v>
      </c>
      <c r="AZ129" s="73" t="str">
        <f>Table13[[#This Row],[rrt]]</f>
        <v xml:space="preserve">No </v>
      </c>
      <c r="BA129" s="73" t="str">
        <f>Table13[[#This Row],[renal_24]]</f>
        <v>Urethral catheter in-situ (not present pre-operatively)</v>
      </c>
      <c r="BB129" s="73" t="str">
        <f>Table13[[#This Row],[neuro]]</f>
        <v>None of the above</v>
      </c>
      <c r="BC129" s="73" t="str">
        <f>Table13[[#This Row],[wound]]</f>
        <v>Drainage of pus/Swab taken</v>
      </c>
      <c r="BD129" s="73" t="str">
        <f>Table13[[#This Row],[haemato]]</f>
        <v>None of the above</v>
      </c>
      <c r="BE129" s="73" t="str">
        <f>Table13[[#This Row],[pain]]</f>
        <v>None of the above</v>
      </c>
      <c r="BF129" s="73" t="str">
        <f>Table13[[#This Row],[mobility]]</f>
        <v>Yes</v>
      </c>
      <c r="BG129" s="79" t="str">
        <f>Table13[[#This Row],[why_inpatient_7]]</f>
        <v>Medical/nursing care</v>
      </c>
      <c r="BH129" s="9">
        <f>Table13[[#This Row],[date_15]]</f>
        <v>43385</v>
      </c>
      <c r="BI129" t="str">
        <f>Table13[[#This Row],[inpatient_15]]</f>
        <v>No</v>
      </c>
      <c r="BJ129">
        <f>Table13[[#This Row],[comment_15]]</f>
        <v>0</v>
      </c>
      <c r="BK129" t="str">
        <f>Table13[[#This Row],[discharge_dest]]</f>
        <v>Own Home</v>
      </c>
      <c r="BL129" t="str">
        <f>Table13[[#This Row],[complication]]</f>
        <v>II</v>
      </c>
    </row>
    <row r="130" spans="1:64" ht="18" customHeight="1">
      <c r="A130" s="73">
        <f>Table5[[#This Row],[comment]]</f>
        <v>0</v>
      </c>
      <c r="B130" s="73" t="str">
        <f>Table9[[#This Row],[surgeon]]</f>
        <v>Jonathan Epstein, Gordon Lawrence Carlson</v>
      </c>
      <c r="C130" s="73" t="str">
        <f>Table9[[#This Row],[surgery]]</f>
        <v>Right hemicolectomy (with anastamosis)</v>
      </c>
      <c r="D130" s="74" t="str">
        <f>Table5[[#This Row],[pqip_consent]]</f>
        <v>Yes</v>
      </c>
      <c r="E130" s="73" t="str">
        <f>Table6[[#This Row],[area_surgery]]</f>
        <v>Lower GI</v>
      </c>
      <c r="F130" s="75">
        <f>Table6[[#This Row],[admission_date]]</f>
        <v>43371</v>
      </c>
      <c r="G130" s="75">
        <f>Table6[[#This Row],[admission_date]]</f>
        <v>43371</v>
      </c>
      <c r="H130" s="105">
        <f>Table6[[#This Row],[surgery_duration]]</f>
        <v>0.17708333333333334</v>
      </c>
      <c r="I130" s="73" t="str">
        <f>Table6[[#This Row],[discharge_loc]]</f>
        <v>CCU (Level 2/3)</v>
      </c>
      <c r="J130" s="75">
        <f>Table6[[#This Row],[discharge_date]]</f>
        <v>43378</v>
      </c>
      <c r="K130" s="76">
        <f>Table6[[#This Row],[hospital_stay]]</f>
        <v>7</v>
      </c>
      <c r="L130" s="76" t="str">
        <f>Table6[[#This Row],[readmit_30]]</f>
        <v>No</v>
      </c>
      <c r="M130" s="77" t="str">
        <f>Table9[[#This Row],[troponin]]</f>
        <v>Not Measured</v>
      </c>
      <c r="N130" s="78">
        <f>Table9[[#This Row],[hb]]</f>
        <v>10.3</v>
      </c>
      <c r="O130" s="78">
        <f>Table9[[#This Row],[creatinine]]</f>
        <v>49</v>
      </c>
      <c r="P130" s="78">
        <f>Table9[[#This Row],[albumin]]</f>
        <v>38</v>
      </c>
      <c r="Q130" s="73" t="str">
        <f>Table9[[#This Row],[chest_physio]]</f>
        <v>Surgery School</v>
      </c>
      <c r="R130" s="73" t="str">
        <f>Table9[[#This Row],[surgery_school]]</f>
        <v>Yes - Hospital Session</v>
      </c>
      <c r="S130" s="75">
        <f>Table9[[#This Row],[date_school]]</f>
        <v>43354</v>
      </c>
      <c r="T130" s="73" t="str">
        <f>Table9[[#This Row],[app_down]]</f>
        <v>No - Have electronic device</v>
      </c>
      <c r="U130" s="73" t="str">
        <f>Table9[[#This Row],[website]]</f>
        <v>No</v>
      </c>
      <c r="V130" s="73" t="str">
        <f>Table9[[#This Row],[base_activity]]</f>
        <v>No extra activity - Independent in ADLs</v>
      </c>
      <c r="W130" s="73" t="str">
        <f>Table9[[#This Row],[current_activity]]</f>
        <v>No extra activity - Independent in ADLs</v>
      </c>
      <c r="X130" s="73" t="str">
        <f>Table9[[#This Row],[activity_type]]</f>
        <v>None</v>
      </c>
      <c r="Y130" s="73" t="str">
        <f>Table9[[#This Row],[anaemia_treat]]</f>
        <v>Intravenous Iron, Blood transfusion</v>
      </c>
      <c r="Z130" s="78" t="str">
        <f>Table9[[#This Row],[anaesthesia]]</f>
        <v>General with TIVA</v>
      </c>
      <c r="AA130" s="78">
        <f>Table9[[#This Row],[smoke_hist]]</f>
        <v>0</v>
      </c>
      <c r="AB130" s="78">
        <f>Table9[[#This Row],[smoke_cess]]</f>
        <v>0</v>
      </c>
      <c r="AC130" s="78" t="str">
        <f>Table9[[#This Row],[tidal_vol]]</f>
        <v>Not recorded</v>
      </c>
      <c r="AD130" s="77" t="str">
        <f>Table11[[#This Row],[inc_spiro]]</f>
        <v>&gt;Two</v>
      </c>
      <c r="AE130" s="73" t="str">
        <f>Table11[[#This Row],[t_brushes]]</f>
        <v>Twice</v>
      </c>
      <c r="AF130" s="78" t="str">
        <f>Table11[[#This Row],[m_washes]]</f>
        <v>Twice</v>
      </c>
      <c r="AG130" s="78" t="str">
        <f>Table11[[#This Row],[iv_disc]]</f>
        <v>Yes</v>
      </c>
      <c r="AH130" s="78" t="str">
        <f>Table11[[#This Row],[tolerate_15l]]</f>
        <v>Yes</v>
      </c>
      <c r="AI130" s="78" t="str">
        <f>Table11[[#This Row],[drinking]]</f>
        <v>Yes</v>
      </c>
      <c r="AJ130" s="78" t="str">
        <f>Table11[[#This Row],[oral_diet]]</f>
        <v>Yes</v>
      </c>
      <c r="AK130" s="78" t="str">
        <f>Table11[[#This Row],[mobilised]]</f>
        <v>No</v>
      </c>
      <c r="AL130" s="79" t="str">
        <f>Table11[[#This Row],[resp_supp]]</f>
        <v>None</v>
      </c>
      <c r="AM130" s="78" t="str">
        <f>Table11[[#This Row],[elev_head]]</f>
        <v>Yes</v>
      </c>
      <c r="AN130" s="78" t="str">
        <f>Table13[[#This Row],[in_hospital]]</f>
        <v>Yes</v>
      </c>
      <c r="AO130" s="78" t="str">
        <f>Table13[[#This Row],[location_7]]</f>
        <v>Ward</v>
      </c>
      <c r="AP130" s="78" t="str">
        <f>Table13[[#This Row],[infec_24]]</f>
        <v>None of the above</v>
      </c>
      <c r="AQ130" s="73" t="str">
        <f>Table13[[#This Row],[infec_7]]</f>
        <v>Urine</v>
      </c>
      <c r="AR130" s="73" t="str">
        <f>Table13[[#This Row],[gastro]]</f>
        <v>None of the above</v>
      </c>
      <c r="AS130" s="73" t="str">
        <f>Table13[[#This Row],[pulm_supp_24]]</f>
        <v>New requirement for oxygen</v>
      </c>
      <c r="AT130" s="73" t="str">
        <f>Table13[[#This Row],[pulm_supp_7]]</f>
        <v>None</v>
      </c>
      <c r="AU130" s="73" t="str">
        <f>Table13[[#This Row],[pulm_pharm]]</f>
        <v>None</v>
      </c>
      <c r="AV130" s="73" t="str">
        <f>Table13[[#This Row],[cardio_24]]</f>
        <v>None of the above</v>
      </c>
      <c r="AW130" s="73" t="str">
        <f>Table13[[#This Row],[troponin_7]]</f>
        <v>None measured</v>
      </c>
      <c r="AX130" s="73">
        <f>Table13[[#This Row],[creatinine_base]]</f>
        <v>49</v>
      </c>
      <c r="AY130" s="73">
        <f>Table13[[#This Row],[creatinine_high]]</f>
        <v>41</v>
      </c>
      <c r="AZ130" s="73" t="str">
        <f>Table13[[#This Row],[rrt]]</f>
        <v xml:space="preserve">No </v>
      </c>
      <c r="BA130" s="73" t="str">
        <f>Table13[[#This Row],[renal_24]]</f>
        <v>None of the above</v>
      </c>
      <c r="BB130" s="73" t="str">
        <f>Table13[[#This Row],[neuro]]</f>
        <v>None of the above</v>
      </c>
      <c r="BC130" s="73" t="str">
        <f>Table13[[#This Row],[wound]]</f>
        <v>None of the above</v>
      </c>
      <c r="BD130" s="73" t="str">
        <f>Table13[[#This Row],[haemato]]</f>
        <v>None of the above</v>
      </c>
      <c r="BE130" s="73" t="str">
        <f>Table13[[#This Row],[pain]]</f>
        <v>None of the above</v>
      </c>
      <c r="BF130" s="73" t="str">
        <f>Table13[[#This Row],[mobility]]</f>
        <v>Yes</v>
      </c>
      <c r="BG130" s="79" t="str">
        <f>Table13[[#This Row],[why_inpatient_7]]</f>
        <v>Medical/nursing care</v>
      </c>
      <c r="BH130" s="9">
        <f>Table13[[#This Row],[date_15]]</f>
        <v>43385</v>
      </c>
      <c r="BI130" t="str">
        <f>Table13[[#This Row],[inpatient_15]]</f>
        <v>No</v>
      </c>
      <c r="BJ130">
        <f>Table13[[#This Row],[comment_15]]</f>
        <v>0</v>
      </c>
      <c r="BK130" t="str">
        <f>Table13[[#This Row],[discharge_dest]]</f>
        <v>Own Home</v>
      </c>
      <c r="BL130" t="str">
        <f>Table13[[#This Row],[complication]]</f>
        <v>II</v>
      </c>
    </row>
    <row r="131" spans="1:64" ht="18" customHeight="1">
      <c r="A131" s="73" t="str">
        <f>Table5[[#This Row],[comment]]</f>
        <v>28/09: Procedure abandoned due to ECG changes in theatre; Re-schedule for 22/10</v>
      </c>
      <c r="B131" s="73" t="str">
        <f>Table9[[#This Row],[surgeon]]</f>
        <v>Euan Green</v>
      </c>
      <c r="C131" s="73" t="str">
        <f>Table9[[#This Row],[surgery]]</f>
        <v xml:space="preserve">Nephroureterectomy </v>
      </c>
      <c r="D131" s="74" t="str">
        <f>Table5[[#This Row],[pqip_consent]]</f>
        <v>Yes</v>
      </c>
      <c r="E131" s="73" t="str">
        <f>Table6[[#This Row],[area_surgery]]</f>
        <v>Urology</v>
      </c>
      <c r="F131" s="75">
        <f>Table6[[#This Row],[admission_date]]</f>
        <v>43395</v>
      </c>
      <c r="G131" s="75">
        <f>Table6[[#This Row],[admission_date]]</f>
        <v>43395</v>
      </c>
      <c r="H131" s="105">
        <f>Table6[[#This Row],[surgery_duration]]</f>
        <v>0.28125</v>
      </c>
      <c r="I131" s="73" t="str">
        <f>Table6[[#This Row],[discharge_loc]]</f>
        <v>H6</v>
      </c>
      <c r="J131" s="75">
        <f>Table6[[#This Row],[discharge_date]]</f>
        <v>43400</v>
      </c>
      <c r="K131" s="76">
        <f>Table6[[#This Row],[hospital_stay]]</f>
        <v>5</v>
      </c>
      <c r="L131" s="76">
        <f>Table6[[#This Row],[readmit_30]]</f>
        <v>0</v>
      </c>
      <c r="M131" s="77" t="str">
        <f>Table9[[#This Row],[troponin]]</f>
        <v>Not Measured</v>
      </c>
      <c r="N131" s="78">
        <f>Table9[[#This Row],[hb]]</f>
        <v>12.6</v>
      </c>
      <c r="O131" s="78">
        <f>Table9[[#This Row],[creatinine]]</f>
        <v>86</v>
      </c>
      <c r="P131" s="78">
        <f>Table9[[#This Row],[albumin]]</f>
        <v>47</v>
      </c>
      <c r="Q131" s="73" t="str">
        <f>Table9[[#This Row],[chest_physio]]</f>
        <v>Surgery School</v>
      </c>
      <c r="R131" s="73" t="str">
        <f>Table9[[#This Row],[surgery_school]]</f>
        <v>Yes - Hospital Session</v>
      </c>
      <c r="S131" s="75">
        <f>Table9[[#This Row],[date_school]]</f>
        <v>43354</v>
      </c>
      <c r="T131" s="73" t="str">
        <f>Table9[[#This Row],[app_down]]</f>
        <v>No - Have electronic device</v>
      </c>
      <c r="U131" s="73" t="str">
        <f>Table9[[#This Row],[website]]</f>
        <v>No</v>
      </c>
      <c r="V131" s="73" t="str">
        <f>Table9[[#This Row],[base_activity]]</f>
        <v>No extra activity - Independent in ADLs</v>
      </c>
      <c r="W131" s="73" t="str">
        <f>Table9[[#This Row],[current_activity]]</f>
        <v>No extra activity - Independent in ADLs</v>
      </c>
      <c r="X131" s="73" t="str">
        <f>Table9[[#This Row],[activity_type]]</f>
        <v>None</v>
      </c>
      <c r="Y131" s="73" t="str">
        <f>Table9[[#This Row],[anaemia_treat]]</f>
        <v>Not applicable</v>
      </c>
      <c r="Z131" s="78" t="str">
        <f>Table9[[#This Row],[anaesthesia]]</f>
        <v>General with Inhalational</v>
      </c>
      <c r="AA131" s="78">
        <f>Table9[[#This Row],[smoke_hist]]</f>
        <v>0</v>
      </c>
      <c r="AB131" s="78">
        <f>Table9[[#This Row],[smoke_cess]]</f>
        <v>0</v>
      </c>
      <c r="AC131" s="78" t="str">
        <f>Table9[[#This Row],[tidal_vol]]</f>
        <v>Not recorded</v>
      </c>
      <c r="AD131" s="77" t="str">
        <f>Table11[[#This Row],[inc_spiro]]</f>
        <v>Not used</v>
      </c>
      <c r="AE131" s="73" t="str">
        <f>Table11[[#This Row],[t_brushes]]</f>
        <v>None</v>
      </c>
      <c r="AF131" s="78" t="str">
        <f>Table11[[#This Row],[m_washes]]</f>
        <v>None</v>
      </c>
      <c r="AG131" s="78" t="str">
        <f>Table11[[#This Row],[iv_disc]]</f>
        <v>No</v>
      </c>
      <c r="AH131" s="78" t="str">
        <f>Table11[[#This Row],[tolerate_15l]]</f>
        <v>No</v>
      </c>
      <c r="AI131" s="78" t="str">
        <f>Table11[[#This Row],[drinking]]</f>
        <v>Yes</v>
      </c>
      <c r="AJ131" s="78" t="str">
        <f>Table11[[#This Row],[oral_diet]]</f>
        <v>Yes</v>
      </c>
      <c r="AK131" s="78" t="str">
        <f>Table11[[#This Row],[mobilised]]</f>
        <v>Yes</v>
      </c>
      <c r="AL131" s="79" t="str">
        <f>Table11[[#This Row],[resp_supp]]</f>
        <v>None</v>
      </c>
      <c r="AM131" s="78" t="str">
        <f>Table11[[#This Row],[elev_head]]</f>
        <v>Yes</v>
      </c>
      <c r="AN131" s="78" t="str">
        <f>Table13[[#This Row],[in_hospital]]</f>
        <v>No</v>
      </c>
      <c r="AO131" s="78">
        <f>Table13[[#This Row],[location_7]]</f>
        <v>0</v>
      </c>
      <c r="AP131" s="78">
        <f>Table13[[#This Row],[infec_24]]</f>
        <v>0</v>
      </c>
      <c r="AQ131" s="73">
        <f>Table13[[#This Row],[infec_7]]</f>
        <v>0</v>
      </c>
      <c r="AR131" s="73">
        <f>Table13[[#This Row],[gastro]]</f>
        <v>0</v>
      </c>
      <c r="AS131" s="73">
        <f>Table13[[#This Row],[pulm_supp_24]]</f>
        <v>0</v>
      </c>
      <c r="AT131" s="73">
        <f>Table13[[#This Row],[pulm_supp_7]]</f>
        <v>0</v>
      </c>
      <c r="AU131" s="73">
        <f>Table13[[#This Row],[pulm_pharm]]</f>
        <v>0</v>
      </c>
      <c r="AV131" s="73">
        <f>Table13[[#This Row],[cardio_24]]</f>
        <v>0</v>
      </c>
      <c r="AW131" s="73">
        <f>Table13[[#This Row],[troponin_7]]</f>
        <v>0</v>
      </c>
      <c r="AX131" s="73">
        <f>Table13[[#This Row],[creatinine_base]]</f>
        <v>0</v>
      </c>
      <c r="AY131" s="73">
        <f>Table13[[#This Row],[creatinine_high]]</f>
        <v>0</v>
      </c>
      <c r="AZ131" s="73">
        <f>Table13[[#This Row],[rrt]]</f>
        <v>0</v>
      </c>
      <c r="BA131" s="73">
        <f>Table13[[#This Row],[renal_24]]</f>
        <v>0</v>
      </c>
      <c r="BB131" s="73">
        <f>Table13[[#This Row],[neuro]]</f>
        <v>0</v>
      </c>
      <c r="BC131" s="73">
        <f>Table13[[#This Row],[wound]]</f>
        <v>0</v>
      </c>
      <c r="BD131" s="73">
        <f>Table13[[#This Row],[haemato]]</f>
        <v>0</v>
      </c>
      <c r="BE131" s="73">
        <f>Table13[[#This Row],[pain]]</f>
        <v>0</v>
      </c>
      <c r="BF131" s="73">
        <f>Table13[[#This Row],[mobility]]</f>
        <v>0</v>
      </c>
      <c r="BG131" s="79">
        <f>Table13[[#This Row],[why_inpatient_7]]</f>
        <v>0</v>
      </c>
      <c r="BH131" s="9">
        <f>Table13[[#This Row],[date_15]]</f>
        <v>0</v>
      </c>
      <c r="BI131">
        <f>Table13[[#This Row],[inpatient_15]]</f>
        <v>0</v>
      </c>
      <c r="BJ131">
        <f>Table13[[#This Row],[comment_15]]</f>
        <v>0</v>
      </c>
      <c r="BK131" t="str">
        <f>Table13[[#This Row],[discharge_dest]]</f>
        <v>Own Home</v>
      </c>
      <c r="BL131" t="str">
        <f>Table13[[#This Row],[complication]]</f>
        <v>I</v>
      </c>
    </row>
    <row r="132" spans="1:64" ht="18" customHeight="1">
      <c r="A132" s="73">
        <f>Table5[[#This Row],[comment]]</f>
        <v>0</v>
      </c>
      <c r="B132" s="73" t="str">
        <f>Table9[[#This Row],[surgeon]]</f>
        <v>David Ross</v>
      </c>
      <c r="C132" s="73" t="str">
        <f>Table9[[#This Row],[surgery]]</f>
        <v>Percutaneous nephrolithotomy (including cystoscopy and retrograde catheterisation)</v>
      </c>
      <c r="D132" s="74" t="str">
        <f>Table5[[#This Row],[pqip_consent]]</f>
        <v>Yes</v>
      </c>
      <c r="E132" s="73" t="str">
        <f>Table6[[#This Row],[area_surgery]]</f>
        <v>Urology</v>
      </c>
      <c r="F132" s="75">
        <f>Table6[[#This Row],[admission_date]]</f>
        <v>43374</v>
      </c>
      <c r="G132" s="75">
        <f>Table6[[#This Row],[admission_date]]</f>
        <v>43374</v>
      </c>
      <c r="H132" s="105">
        <f>Table6[[#This Row],[surgery_duration]]</f>
        <v>0.11458333333333333</v>
      </c>
      <c r="I132" s="73" t="str">
        <f>Table6[[#This Row],[discharge_loc]]</f>
        <v>H4</v>
      </c>
      <c r="J132" s="75">
        <f>Table6[[#This Row],[discharge_date]]</f>
        <v>43377</v>
      </c>
      <c r="K132" s="76">
        <f>Table6[[#This Row],[hospital_stay]]</f>
        <v>3</v>
      </c>
      <c r="L132" s="76" t="str">
        <f>Table6[[#This Row],[readmit_30]]</f>
        <v>No</v>
      </c>
      <c r="M132" s="77" t="str">
        <f>Table9[[#This Row],[troponin]]</f>
        <v>Not Measured</v>
      </c>
      <c r="N132" s="78">
        <f>Table9[[#This Row],[hb]]</f>
        <v>12.3</v>
      </c>
      <c r="O132" s="78">
        <f>Table9[[#This Row],[creatinine]]</f>
        <v>57</v>
      </c>
      <c r="P132" s="78" t="str">
        <f>Table9[[#This Row],[albumin]]</f>
        <v>Not Measured</v>
      </c>
      <c r="Q132" s="73" t="str">
        <f>Table9[[#This Row],[chest_physio]]</f>
        <v>No</v>
      </c>
      <c r="R132" s="73" t="str">
        <f>Table9[[#This Row],[surgery_school]]</f>
        <v>No - Wasn’t offered it</v>
      </c>
      <c r="S132" s="75">
        <f>Table9[[#This Row],[date_school]]</f>
        <v>0</v>
      </c>
      <c r="T132" s="73" t="str">
        <f>Table9[[#This Row],[app_down]]</f>
        <v>No - Have electronic device</v>
      </c>
      <c r="U132" s="73" t="str">
        <f>Table9[[#This Row],[website]]</f>
        <v>No</v>
      </c>
      <c r="V132" s="73" t="str">
        <f>Table9[[#This Row],[base_activity]]</f>
        <v>No extra activity - Independent in ADLs</v>
      </c>
      <c r="W132" s="73" t="str">
        <f>Table9[[#This Row],[current_activity]]</f>
        <v>No extra activity - Independent in ADLs</v>
      </c>
      <c r="X132" s="73" t="str">
        <f>Table9[[#This Row],[activity_type]]</f>
        <v>None</v>
      </c>
      <c r="Y132" s="73" t="str">
        <f>Table9[[#This Row],[anaemia_treat]]</f>
        <v>Not applicable</v>
      </c>
      <c r="Z132" s="78" t="str">
        <f>Table9[[#This Row],[anaesthesia]]</f>
        <v>General with Inhalational</v>
      </c>
      <c r="AA132" s="78">
        <f>Table9[[#This Row],[smoke_hist]]</f>
        <v>0</v>
      </c>
      <c r="AB132" s="78">
        <f>Table9[[#This Row],[smoke_cess]]</f>
        <v>0</v>
      </c>
      <c r="AC132" s="78" t="str">
        <f>Table9[[#This Row],[tidal_vol]]</f>
        <v>Not recorded</v>
      </c>
      <c r="AD132" s="77" t="str">
        <f>Table11[[#This Row],[inc_spiro]]</f>
        <v>Not used</v>
      </c>
      <c r="AE132" s="73" t="str">
        <f>Table11[[#This Row],[t_brushes]]</f>
        <v>Twice</v>
      </c>
      <c r="AF132" s="78" t="str">
        <f>Table11[[#This Row],[m_washes]]</f>
        <v>None</v>
      </c>
      <c r="AG132" s="78" t="str">
        <f>Table11[[#This Row],[iv_disc]]</f>
        <v>Yes</v>
      </c>
      <c r="AH132" s="78" t="str">
        <f>Table11[[#This Row],[tolerate_15l]]</f>
        <v>Yes</v>
      </c>
      <c r="AI132" s="78" t="str">
        <f>Table11[[#This Row],[drinking]]</f>
        <v>Yes</v>
      </c>
      <c r="AJ132" s="78" t="str">
        <f>Table11[[#This Row],[oral_diet]]</f>
        <v>Yes</v>
      </c>
      <c r="AK132" s="78" t="str">
        <f>Table11[[#This Row],[mobilised]]</f>
        <v>Yes</v>
      </c>
      <c r="AL132" s="79" t="str">
        <f>Table11[[#This Row],[resp_supp]]</f>
        <v>None</v>
      </c>
      <c r="AM132" s="78" t="str">
        <f>Table11[[#This Row],[elev_head]]</f>
        <v>Yes</v>
      </c>
      <c r="AN132" s="78" t="str">
        <f>Table13[[#This Row],[in_hospital]]</f>
        <v>No</v>
      </c>
      <c r="AO132" s="78">
        <f>Table13[[#This Row],[location_7]]</f>
        <v>0</v>
      </c>
      <c r="AP132" s="78">
        <f>Table13[[#This Row],[infec_24]]</f>
        <v>0</v>
      </c>
      <c r="AQ132" s="73">
        <f>Table13[[#This Row],[infec_7]]</f>
        <v>0</v>
      </c>
      <c r="AR132" s="73">
        <f>Table13[[#This Row],[gastro]]</f>
        <v>0</v>
      </c>
      <c r="AS132" s="73">
        <f>Table13[[#This Row],[pulm_supp_24]]</f>
        <v>0</v>
      </c>
      <c r="AT132" s="73">
        <f>Table13[[#This Row],[pulm_supp_7]]</f>
        <v>0</v>
      </c>
      <c r="AU132" s="73">
        <f>Table13[[#This Row],[pulm_pharm]]</f>
        <v>0</v>
      </c>
      <c r="AV132" s="73">
        <f>Table13[[#This Row],[cardio_24]]</f>
        <v>0</v>
      </c>
      <c r="AW132" s="73">
        <f>Table13[[#This Row],[troponin_7]]</f>
        <v>0</v>
      </c>
      <c r="AX132" s="73">
        <f>Table13[[#This Row],[creatinine_base]]</f>
        <v>0</v>
      </c>
      <c r="AY132" s="73">
        <f>Table13[[#This Row],[creatinine_high]]</f>
        <v>0</v>
      </c>
      <c r="AZ132" s="73">
        <f>Table13[[#This Row],[rrt]]</f>
        <v>0</v>
      </c>
      <c r="BA132" s="73">
        <f>Table13[[#This Row],[renal_24]]</f>
        <v>0</v>
      </c>
      <c r="BB132" s="73">
        <f>Table13[[#This Row],[neuro]]</f>
        <v>0</v>
      </c>
      <c r="BC132" s="73">
        <f>Table13[[#This Row],[wound]]</f>
        <v>0</v>
      </c>
      <c r="BD132" s="73">
        <f>Table13[[#This Row],[haemato]]</f>
        <v>0</v>
      </c>
      <c r="BE132" s="73">
        <f>Table13[[#This Row],[pain]]</f>
        <v>0</v>
      </c>
      <c r="BF132" s="73">
        <f>Table13[[#This Row],[mobility]]</f>
        <v>0</v>
      </c>
      <c r="BG132" s="79">
        <f>Table13[[#This Row],[why_inpatient_7]]</f>
        <v>0</v>
      </c>
      <c r="BH132" s="9">
        <f>Table13[[#This Row],[date_15]]</f>
        <v>0</v>
      </c>
      <c r="BI132">
        <f>Table13[[#This Row],[inpatient_15]]</f>
        <v>0</v>
      </c>
      <c r="BJ132">
        <f>Table13[[#This Row],[comment_15]]</f>
        <v>0</v>
      </c>
      <c r="BK132" t="str">
        <f>Table13[[#This Row],[discharge_dest]]</f>
        <v>Own Home</v>
      </c>
      <c r="BL132" t="str">
        <f>Table13[[#This Row],[complication]]</f>
        <v>None</v>
      </c>
    </row>
    <row r="133" spans="1:64" ht="18" customHeight="1">
      <c r="A133" s="73">
        <f>Table5[[#This Row],[comment]]</f>
        <v>0</v>
      </c>
      <c r="B133" s="73" t="str">
        <f>Table9[[#This Row],[surgeon]]</f>
        <v>Alan Li</v>
      </c>
      <c r="C133" s="73" t="str">
        <f>Table9[[#This Row],[surgery]]</f>
        <v>Gastrectomy (Total or Partial) with excision of surrounding tissue</v>
      </c>
      <c r="D133" s="74" t="str">
        <f>Table5[[#This Row],[pqip_consent]]</f>
        <v>Yes</v>
      </c>
      <c r="E133" s="73" t="str">
        <f>Table6[[#This Row],[area_surgery]]</f>
        <v>Upper GI</v>
      </c>
      <c r="F133" s="75">
        <f>Table6[[#This Row],[admission_date]]</f>
        <v>43374</v>
      </c>
      <c r="G133" s="75">
        <f>Table6[[#This Row],[admission_date]]</f>
        <v>43374</v>
      </c>
      <c r="H133" s="105">
        <f>Table6[[#This Row],[surgery_duration]]</f>
        <v>0.21875</v>
      </c>
      <c r="I133" s="73" t="str">
        <f>Table6[[#This Row],[discharge_loc]]</f>
        <v>CCU (Level 2/3)</v>
      </c>
      <c r="J133" s="75">
        <f>Table6[[#This Row],[discharge_date]]</f>
        <v>43384</v>
      </c>
      <c r="K133" s="76">
        <f>Table6[[#This Row],[hospital_stay]]</f>
        <v>10</v>
      </c>
      <c r="L133" s="76" t="str">
        <f>Table6[[#This Row],[readmit_30]]</f>
        <v>No</v>
      </c>
      <c r="M133" s="77" t="str">
        <f>Table9[[#This Row],[troponin]]</f>
        <v>Not Measured</v>
      </c>
      <c r="N133" s="78">
        <f>Table9[[#This Row],[hb]]</f>
        <v>13.8</v>
      </c>
      <c r="O133" s="78">
        <f>Table9[[#This Row],[creatinine]]</f>
        <v>93</v>
      </c>
      <c r="P133" s="78">
        <f>Table9[[#This Row],[albumin]]</f>
        <v>46</v>
      </c>
      <c r="Q133" s="73" t="str">
        <f>Table9[[#This Row],[chest_physio]]</f>
        <v>Surgery School</v>
      </c>
      <c r="R133" s="73" t="str">
        <f>Table9[[#This Row],[surgery_school]]</f>
        <v>Yes - Hospital Session</v>
      </c>
      <c r="S133" s="75">
        <f>Table9[[#This Row],[date_school]]</f>
        <v>43363</v>
      </c>
      <c r="T133" s="73" t="str">
        <f>Table9[[#This Row],[app_down]]</f>
        <v>No - Have electronic device</v>
      </c>
      <c r="U133" s="73" t="str">
        <f>Table9[[#This Row],[website]]</f>
        <v>No</v>
      </c>
      <c r="V133" s="73" t="str">
        <f>Table9[[#This Row],[base_activity]]</f>
        <v>No extra activity - Independent in ADLs</v>
      </c>
      <c r="W133" s="73" t="str">
        <f>Table9[[#This Row],[current_activity]]</f>
        <v>No extra activity - Independent in ADLs</v>
      </c>
      <c r="X133" s="73" t="str">
        <f>Table9[[#This Row],[activity_type]]</f>
        <v>None</v>
      </c>
      <c r="Y133" s="73" t="str">
        <f>Table9[[#This Row],[anaemia_treat]]</f>
        <v>Not applicable</v>
      </c>
      <c r="Z133" s="78" t="str">
        <f>Table9[[#This Row],[anaesthesia]]</f>
        <v>General with TIVA</v>
      </c>
      <c r="AA133" s="78">
        <f>Table9[[#This Row],[smoke_hist]]</f>
        <v>0</v>
      </c>
      <c r="AB133" s="78">
        <f>Table9[[#This Row],[smoke_cess]]</f>
        <v>0</v>
      </c>
      <c r="AC133" s="78" t="str">
        <f>Table9[[#This Row],[tidal_vol]]</f>
        <v>Not recorded</v>
      </c>
      <c r="AD133" s="77" t="str">
        <f>Table11[[#This Row],[inc_spiro]]</f>
        <v>Twice</v>
      </c>
      <c r="AE133" s="73" t="str">
        <f>Table11[[#This Row],[t_brushes]]</f>
        <v>Once</v>
      </c>
      <c r="AF133" s="78" t="str">
        <f>Table11[[#This Row],[m_washes]]</f>
        <v>Once</v>
      </c>
      <c r="AG133" s="78" t="str">
        <f>Table11[[#This Row],[iv_disc]]</f>
        <v>No</v>
      </c>
      <c r="AH133" s="78" t="str">
        <f>Table11[[#This Row],[tolerate_15l]]</f>
        <v>Not applicable</v>
      </c>
      <c r="AI133" s="78" t="str">
        <f>Table11[[#This Row],[drinking]]</f>
        <v>No</v>
      </c>
      <c r="AJ133" s="78" t="str">
        <f>Table11[[#This Row],[oral_diet]]</f>
        <v>No</v>
      </c>
      <c r="AK133" s="78" t="str">
        <f>Table11[[#This Row],[mobilised]]</f>
        <v>Yes</v>
      </c>
      <c r="AL133" s="79" t="str">
        <f>Table11[[#This Row],[resp_supp]]</f>
        <v>None</v>
      </c>
      <c r="AM133" s="78" t="str">
        <f>Table11[[#This Row],[elev_head]]</f>
        <v>Yes</v>
      </c>
      <c r="AN133" s="78" t="str">
        <f>Table13[[#This Row],[in_hospital]]</f>
        <v>Yes</v>
      </c>
      <c r="AO133" s="78" t="str">
        <f>Table13[[#This Row],[location_7]]</f>
        <v>Level 1</v>
      </c>
      <c r="AP133" s="78" t="str">
        <f>Table13[[#This Row],[infec_24]]</f>
        <v>None of the above</v>
      </c>
      <c r="AQ133" s="73" t="str">
        <f>Table13[[#This Row],[infec_7]]</f>
        <v>Chest</v>
      </c>
      <c r="AR133" s="73" t="str">
        <f>Table13[[#This Row],[gastro]]</f>
        <v>Unable to tolerate enteral diet</v>
      </c>
      <c r="AS133" s="73" t="str">
        <f>Table13[[#This Row],[pulm_supp_24]]</f>
        <v>New requirement for oxygen</v>
      </c>
      <c r="AT133" s="73" t="str">
        <f>Table13[[#This Row],[pulm_supp_7]]</f>
        <v>None</v>
      </c>
      <c r="AU133" s="73" t="str">
        <f>Table13[[#This Row],[pulm_pharm]]</f>
        <v>None</v>
      </c>
      <c r="AV133" s="73" t="str">
        <f>Table13[[#This Row],[cardio_24]]</f>
        <v>None of the above</v>
      </c>
      <c r="AW133" s="73" t="str">
        <f>Table13[[#This Row],[troponin_7]]</f>
        <v>None measured</v>
      </c>
      <c r="AX133" s="73">
        <f>Table13[[#This Row],[creatinine_base]]</f>
        <v>93</v>
      </c>
      <c r="AY133" s="73">
        <f>Table13[[#This Row],[creatinine_high]]</f>
        <v>64</v>
      </c>
      <c r="AZ133" s="73" t="str">
        <f>Table13[[#This Row],[rrt]]</f>
        <v xml:space="preserve">No </v>
      </c>
      <c r="BA133" s="73" t="str">
        <f>Table13[[#This Row],[renal_24]]</f>
        <v>None of the above</v>
      </c>
      <c r="BB133" s="73" t="str">
        <f>Table13[[#This Row],[neuro]]</f>
        <v>None of the above</v>
      </c>
      <c r="BC133" s="73" t="str">
        <f>Table13[[#This Row],[wound]]</f>
        <v>None of the above</v>
      </c>
      <c r="BD133" s="73" t="str">
        <f>Table13[[#This Row],[haemato]]</f>
        <v>None of the above</v>
      </c>
      <c r="BE133" s="73" t="str">
        <f>Table13[[#This Row],[pain]]</f>
        <v>None of the above</v>
      </c>
      <c r="BF133" s="73" t="str">
        <f>Table13[[#This Row],[mobility]]</f>
        <v>No</v>
      </c>
      <c r="BG133" s="79" t="str">
        <f>Table13[[#This Row],[why_inpatient_7]]</f>
        <v>Medical/nursing care</v>
      </c>
      <c r="BH133" s="9">
        <f>Table13[[#This Row],[date_15]]</f>
        <v>0</v>
      </c>
      <c r="BI133">
        <f>Table13[[#This Row],[inpatient_15]]</f>
        <v>0</v>
      </c>
      <c r="BJ133">
        <f>Table13[[#This Row],[comment_15]]</f>
        <v>0</v>
      </c>
      <c r="BK133" t="str">
        <f>Table13[[#This Row],[discharge_dest]]</f>
        <v>Own Home</v>
      </c>
      <c r="BL133" t="str">
        <f>Table13[[#This Row],[complication]]</f>
        <v>II</v>
      </c>
    </row>
    <row r="134" spans="1:64" ht="18" customHeight="1">
      <c r="A134" s="73">
        <f>Table5[[#This Row],[comment]]</f>
        <v>0</v>
      </c>
      <c r="B134" s="73" t="str">
        <f>Table9[[#This Row],[surgeon]]</f>
        <v>Satish Maddineni</v>
      </c>
      <c r="C134" s="73" t="str">
        <f>Table9[[#This Row],[surgery]]</f>
        <v>Total nephrectomy (non-transplant)</v>
      </c>
      <c r="D134" s="74" t="str">
        <f>Table5[[#This Row],[pqip_consent]]</f>
        <v>Yes</v>
      </c>
      <c r="E134" s="73" t="str">
        <f>Table6[[#This Row],[area_surgery]]</f>
        <v>Urology</v>
      </c>
      <c r="F134" s="75">
        <f>Table6[[#This Row],[admission_date]]</f>
        <v>43375</v>
      </c>
      <c r="G134" s="75">
        <f>Table6[[#This Row],[admission_date]]</f>
        <v>43375</v>
      </c>
      <c r="H134" s="105">
        <f>Table6[[#This Row],[surgery_duration]]</f>
        <v>0.26041666666666669</v>
      </c>
      <c r="I134" s="73" t="str">
        <f>Table6[[#This Row],[discharge_loc]]</f>
        <v>H6</v>
      </c>
      <c r="J134" s="75">
        <f>Table6[[#This Row],[discharge_date]]</f>
        <v>43381</v>
      </c>
      <c r="K134" s="76">
        <f>Table6[[#This Row],[hospital_stay]]</f>
        <v>6</v>
      </c>
      <c r="L134" s="76" t="str">
        <f>Table6[[#This Row],[readmit_30]]</f>
        <v>No</v>
      </c>
      <c r="M134" s="77" t="str">
        <f>Table9[[#This Row],[troponin]]</f>
        <v>Not Measured</v>
      </c>
      <c r="N134" s="78">
        <f>Table9[[#This Row],[hb]]</f>
        <v>12.5</v>
      </c>
      <c r="O134" s="78">
        <f>Table9[[#This Row],[creatinine]]</f>
        <v>86</v>
      </c>
      <c r="P134" s="78">
        <f>Table9[[#This Row],[albumin]]</f>
        <v>45</v>
      </c>
      <c r="Q134" s="73" t="str">
        <f>Table9[[#This Row],[chest_physio]]</f>
        <v>Surgery School</v>
      </c>
      <c r="R134" s="73" t="str">
        <f>Table9[[#This Row],[surgery_school]]</f>
        <v>Yes - Hospital Session</v>
      </c>
      <c r="S134" s="75">
        <f>Table9[[#This Row],[date_school]]</f>
        <v>43375</v>
      </c>
      <c r="T134" s="73" t="str">
        <f>Table9[[#This Row],[app_down]]</f>
        <v>No - Have electronic device</v>
      </c>
      <c r="U134" s="73" t="str">
        <f>Table9[[#This Row],[website]]</f>
        <v>No</v>
      </c>
      <c r="V134" s="73" t="str">
        <f>Table9[[#This Row],[base_activity]]</f>
        <v>No extra activity - Independent in ADLs</v>
      </c>
      <c r="W134" s="73" t="str">
        <f>Table9[[#This Row],[current_activity]]</f>
        <v>No extra activity - Independent in ADLs</v>
      </c>
      <c r="X134" s="73" t="str">
        <f>Table9[[#This Row],[activity_type]]</f>
        <v>None</v>
      </c>
      <c r="Y134" s="73" t="str">
        <f>Table9[[#This Row],[anaemia_treat]]</f>
        <v>Not applicable</v>
      </c>
      <c r="Z134" s="78" t="str">
        <f>Table9[[#This Row],[anaesthesia]]</f>
        <v>General with Inhalational</v>
      </c>
      <c r="AA134" s="78">
        <f>Table9[[#This Row],[smoke_hist]]</f>
        <v>0</v>
      </c>
      <c r="AB134" s="78">
        <f>Table9[[#This Row],[smoke_cess]]</f>
        <v>0</v>
      </c>
      <c r="AC134" s="78" t="str">
        <f>Table9[[#This Row],[tidal_vol]]</f>
        <v>Not recorded</v>
      </c>
      <c r="AD134" s="77" t="str">
        <f>Table11[[#This Row],[inc_spiro]]</f>
        <v>Not used</v>
      </c>
      <c r="AE134" s="73" t="str">
        <f>Table11[[#This Row],[t_brushes]]</f>
        <v>Twice</v>
      </c>
      <c r="AF134" s="78" t="str">
        <f>Table11[[#This Row],[m_washes]]</f>
        <v>Twice</v>
      </c>
      <c r="AG134" s="78" t="str">
        <f>Table11[[#This Row],[iv_disc]]</f>
        <v>No</v>
      </c>
      <c r="AH134" s="78" t="str">
        <f>Table11[[#This Row],[tolerate_15l]]</f>
        <v>No</v>
      </c>
      <c r="AI134" s="78" t="str">
        <f>Table11[[#This Row],[drinking]]</f>
        <v>Yes</v>
      </c>
      <c r="AJ134" s="78" t="str">
        <f>Table11[[#This Row],[oral_diet]]</f>
        <v>No</v>
      </c>
      <c r="AK134" s="78" t="str">
        <f>Table11[[#This Row],[mobilised]]</f>
        <v>Yes</v>
      </c>
      <c r="AL134" s="79" t="str">
        <f>Table11[[#This Row],[resp_supp]]</f>
        <v>None</v>
      </c>
      <c r="AM134" s="78" t="str">
        <f>Table11[[#This Row],[elev_head]]</f>
        <v>Yes</v>
      </c>
      <c r="AN134" s="78" t="str">
        <f>Table13[[#This Row],[in_hospital]]</f>
        <v>No</v>
      </c>
      <c r="AO134" s="78">
        <f>Table13[[#This Row],[location_7]]</f>
        <v>0</v>
      </c>
      <c r="AP134" s="78">
        <f>Table13[[#This Row],[infec_24]]</f>
        <v>0</v>
      </c>
      <c r="AQ134" s="73">
        <f>Table13[[#This Row],[infec_7]]</f>
        <v>0</v>
      </c>
      <c r="AR134" s="73">
        <f>Table13[[#This Row],[gastro]]</f>
        <v>0</v>
      </c>
      <c r="AS134" s="73">
        <f>Table13[[#This Row],[pulm_supp_24]]</f>
        <v>0</v>
      </c>
      <c r="AT134" s="73">
        <f>Table13[[#This Row],[pulm_supp_7]]</f>
        <v>0</v>
      </c>
      <c r="AU134" s="73">
        <f>Table13[[#This Row],[pulm_pharm]]</f>
        <v>0</v>
      </c>
      <c r="AV134" s="73">
        <f>Table13[[#This Row],[cardio_24]]</f>
        <v>0</v>
      </c>
      <c r="AW134" s="73">
        <f>Table13[[#This Row],[troponin_7]]</f>
        <v>0</v>
      </c>
      <c r="AX134" s="73">
        <f>Table13[[#This Row],[creatinine_base]]</f>
        <v>0</v>
      </c>
      <c r="AY134" s="73">
        <f>Table13[[#This Row],[creatinine_high]]</f>
        <v>0</v>
      </c>
      <c r="AZ134" s="73">
        <f>Table13[[#This Row],[rrt]]</f>
        <v>0</v>
      </c>
      <c r="BA134" s="73">
        <f>Table13[[#This Row],[renal_24]]</f>
        <v>0</v>
      </c>
      <c r="BB134" s="73">
        <f>Table13[[#This Row],[neuro]]</f>
        <v>0</v>
      </c>
      <c r="BC134" s="73">
        <f>Table13[[#This Row],[wound]]</f>
        <v>0</v>
      </c>
      <c r="BD134" s="73">
        <f>Table13[[#This Row],[haemato]]</f>
        <v>0</v>
      </c>
      <c r="BE134" s="73">
        <f>Table13[[#This Row],[pain]]</f>
        <v>0</v>
      </c>
      <c r="BF134" s="73">
        <f>Table13[[#This Row],[mobility]]</f>
        <v>0</v>
      </c>
      <c r="BG134" s="79">
        <f>Table13[[#This Row],[why_inpatient_7]]</f>
        <v>0</v>
      </c>
      <c r="BH134" s="9">
        <f>Table13[[#This Row],[date_15]]</f>
        <v>0</v>
      </c>
      <c r="BI134">
        <f>Table13[[#This Row],[inpatient_15]]</f>
        <v>0</v>
      </c>
      <c r="BJ134">
        <f>Table13[[#This Row],[comment_15]]</f>
        <v>0</v>
      </c>
      <c r="BK134" t="str">
        <f>Table13[[#This Row],[discharge_dest]]</f>
        <v>Own Home</v>
      </c>
      <c r="BL134" t="str">
        <f>Table13[[#This Row],[complication]]</f>
        <v>II</v>
      </c>
    </row>
    <row r="135" spans="1:64" ht="18" customHeight="1">
      <c r="A135" s="73">
        <f>Table5[[#This Row],[comment]]</f>
        <v>0</v>
      </c>
      <c r="B135" s="73" t="str">
        <f>Table9[[#This Row],[surgeon]]</f>
        <v>Bilal Khaffaf</v>
      </c>
      <c r="C135" s="73" t="str">
        <f>Table9[[#This Row],[surgery]]</f>
        <v xml:space="preserve">Oesophagectomy (total)/Oesophagogastrectomy </v>
      </c>
      <c r="D135" s="74" t="str">
        <f>Table5[[#This Row],[pqip_consent]]</f>
        <v>Yes</v>
      </c>
      <c r="E135" s="73" t="str">
        <f>Table6[[#This Row],[area_surgery]]</f>
        <v>Upper GI</v>
      </c>
      <c r="F135" s="75">
        <f>Table6[[#This Row],[admission_date]]</f>
        <v>43376</v>
      </c>
      <c r="G135" s="75">
        <f>Table6[[#This Row],[admission_date]]</f>
        <v>43376</v>
      </c>
      <c r="H135" s="105">
        <f>Table6[[#This Row],[surgery_duration]]</f>
        <v>0.41666666666666669</v>
      </c>
      <c r="I135" s="73" t="str">
        <f>Table6[[#This Row],[discharge_loc]]</f>
        <v>CCU (Level 3)</v>
      </c>
      <c r="J135" s="75">
        <f>Table6[[#This Row],[discharge_date]]</f>
        <v>43384</v>
      </c>
      <c r="K135" s="76">
        <f>Table6[[#This Row],[hospital_stay]]</f>
        <v>8</v>
      </c>
      <c r="L135" s="76">
        <f>Table6[[#This Row],[readmit_30]]</f>
        <v>0</v>
      </c>
      <c r="M135" s="77" t="str">
        <f>Table9[[#This Row],[troponin]]</f>
        <v>Not Measured</v>
      </c>
      <c r="N135" s="78">
        <f>Table9[[#This Row],[hb]]</f>
        <v>12.2</v>
      </c>
      <c r="O135" s="78">
        <f>Table9[[#This Row],[creatinine]]</f>
        <v>77</v>
      </c>
      <c r="P135" s="78">
        <f>Table9[[#This Row],[albumin]]</f>
        <v>42</v>
      </c>
      <c r="Q135" s="73" t="str">
        <f>Table9[[#This Row],[chest_physio]]</f>
        <v>Doctor</v>
      </c>
      <c r="R135" s="73" t="str">
        <f>Table9[[#This Row],[surgery_school]]</f>
        <v>Yes - Hospital Session</v>
      </c>
      <c r="S135" s="75">
        <f>Table9[[#This Row],[date_school]]</f>
        <v>43370</v>
      </c>
      <c r="T135" s="73" t="str">
        <f>Table9[[#This Row],[app_down]]</f>
        <v>No - Have electronic device</v>
      </c>
      <c r="U135" s="73" t="str">
        <f>Table9[[#This Row],[website]]</f>
        <v>No</v>
      </c>
      <c r="V135" s="73" t="str">
        <f>Table9[[#This Row],[base_activity]]</f>
        <v>30mins of moderate activity</v>
      </c>
      <c r="W135" s="73" t="str">
        <f>Table9[[#This Row],[current_activity]]</f>
        <v>30mins of moderate activity</v>
      </c>
      <c r="X135" s="73" t="str">
        <f>Table9[[#This Row],[activity_type]]</f>
        <v xml:space="preserve">Walking regularly </v>
      </c>
      <c r="Y135" s="73" t="str">
        <f>Table9[[#This Row],[anaemia_treat]]</f>
        <v xml:space="preserve">Oral Iron </v>
      </c>
      <c r="Z135" s="78" t="str">
        <f>Table9[[#This Row],[anaesthesia]]</f>
        <v>General with Inhalational</v>
      </c>
      <c r="AA135" s="78">
        <f>Table9[[#This Row],[smoke_hist]]</f>
        <v>0</v>
      </c>
      <c r="AB135" s="78">
        <f>Table9[[#This Row],[smoke_cess]]</f>
        <v>0</v>
      </c>
      <c r="AC135" s="78" t="str">
        <f>Table9[[#This Row],[tidal_vol]]</f>
        <v>Not recorded</v>
      </c>
      <c r="AD135" s="77" t="str">
        <f>Table11[[#This Row],[inc_spiro]]</f>
        <v>&gt;Two</v>
      </c>
      <c r="AE135" s="73" t="str">
        <f>Table11[[#This Row],[t_brushes]]</f>
        <v>Once</v>
      </c>
      <c r="AF135" s="78" t="str">
        <f>Table11[[#This Row],[m_washes]]</f>
        <v>NA  - Unable to use</v>
      </c>
      <c r="AG135" s="78" t="str">
        <f>Table11[[#This Row],[iv_disc]]</f>
        <v>No</v>
      </c>
      <c r="AH135" s="78" t="str">
        <f>Table11[[#This Row],[tolerate_15l]]</f>
        <v>Not applicable</v>
      </c>
      <c r="AI135" s="78" t="str">
        <f>Table11[[#This Row],[drinking]]</f>
        <v>No</v>
      </c>
      <c r="AJ135" s="78" t="str">
        <f>Table11[[#This Row],[oral_diet]]</f>
        <v>No</v>
      </c>
      <c r="AK135" s="78" t="str">
        <f>Table11[[#This Row],[mobilised]]</f>
        <v>Yes</v>
      </c>
      <c r="AL135" s="79" t="str">
        <f>Table11[[#This Row],[resp_supp]]</f>
        <v>None</v>
      </c>
      <c r="AM135" s="78" t="str">
        <f>Table11[[#This Row],[elev_head]]</f>
        <v>Yes</v>
      </c>
      <c r="AN135" s="78" t="str">
        <f>Table13[[#This Row],[in_hospital]]</f>
        <v>Yes</v>
      </c>
      <c r="AO135" s="78" t="str">
        <f>Table13[[#This Row],[location_7]]</f>
        <v>Ward</v>
      </c>
      <c r="AP135" s="78" t="str">
        <f>Table13[[#This Row],[infec_24]]</f>
        <v>None of the above</v>
      </c>
      <c r="AQ135" s="73" t="str">
        <f>Table13[[#This Row],[infec_7]]</f>
        <v>None</v>
      </c>
      <c r="AR135" s="73" t="str">
        <f>Table13[[#This Row],[gastro]]</f>
        <v>None of the above</v>
      </c>
      <c r="AS135" s="73" t="str">
        <f>Table13[[#This Row],[pulm_supp_24]]</f>
        <v>None of the above</v>
      </c>
      <c r="AT135" s="73" t="str">
        <f>Table13[[#This Row],[pulm_supp_7]]</f>
        <v>None</v>
      </c>
      <c r="AU135" s="73" t="str">
        <f>Table13[[#This Row],[pulm_pharm]]</f>
        <v>None</v>
      </c>
      <c r="AV135" s="73" t="str">
        <f>Table13[[#This Row],[cardio_24]]</f>
        <v>None of the above</v>
      </c>
      <c r="AW135" s="73" t="str">
        <f>Table13[[#This Row],[troponin_7]]</f>
        <v>None measured</v>
      </c>
      <c r="AX135" s="73">
        <f>Table13[[#This Row],[creatinine_base]]</f>
        <v>77</v>
      </c>
      <c r="AY135" s="73">
        <f>Table13[[#This Row],[creatinine_high]]</f>
        <v>65</v>
      </c>
      <c r="AZ135" s="73" t="str">
        <f>Table13[[#This Row],[rrt]]</f>
        <v xml:space="preserve">No </v>
      </c>
      <c r="BA135" s="73" t="str">
        <f>Table13[[#This Row],[renal_24]]</f>
        <v>None of the above</v>
      </c>
      <c r="BB135" s="73" t="str">
        <f>Table13[[#This Row],[neuro]]</f>
        <v>None of the above</v>
      </c>
      <c r="BC135" s="73" t="str">
        <f>Table13[[#This Row],[wound]]</f>
        <v>None of the above</v>
      </c>
      <c r="BD135" s="73" t="str">
        <f>Table13[[#This Row],[haemato]]</f>
        <v>None of the above</v>
      </c>
      <c r="BE135" s="73" t="str">
        <f>Table13[[#This Row],[pain]]</f>
        <v>None of the above</v>
      </c>
      <c r="BF135" s="73" t="str">
        <f>Table13[[#This Row],[mobility]]</f>
        <v>No</v>
      </c>
      <c r="BG135" s="79" t="str">
        <f>Table13[[#This Row],[why_inpatient_7]]</f>
        <v>Medical/nursing care</v>
      </c>
      <c r="BH135" s="9">
        <f>Table13[[#This Row],[date_15]]</f>
        <v>43391</v>
      </c>
      <c r="BI135" t="str">
        <f>Table13[[#This Row],[inpatient_15]]</f>
        <v>No</v>
      </c>
      <c r="BJ135">
        <f>Table13[[#This Row],[comment_15]]</f>
        <v>0</v>
      </c>
      <c r="BK135" t="str">
        <f>Table13[[#This Row],[discharge_dest]]</f>
        <v>Own Home</v>
      </c>
      <c r="BL135" t="str">
        <f>Table13[[#This Row],[complication]]</f>
        <v>None</v>
      </c>
    </row>
    <row r="136" spans="1:64" ht="18" customHeight="1">
      <c r="A136" s="73">
        <f>Table5[[#This Row],[comment]]</f>
        <v>0</v>
      </c>
      <c r="B136" s="73" t="str">
        <f>Table9[[#This Row],[surgeon]]</f>
        <v>Euan Green</v>
      </c>
      <c r="C136" s="73" t="str">
        <f>Table9[[#This Row],[surgery]]</f>
        <v>Nephroureterectomy</v>
      </c>
      <c r="D136" s="74" t="str">
        <f>Table5[[#This Row],[pqip_consent]]</f>
        <v>Yes</v>
      </c>
      <c r="E136" s="73" t="str">
        <f>Table6[[#This Row],[area_surgery]]</f>
        <v>Urology</v>
      </c>
      <c r="F136" s="75">
        <f>Table6[[#This Row],[admission_date]]</f>
        <v>43376</v>
      </c>
      <c r="G136" s="75">
        <f>Table6[[#This Row],[admission_date]]</f>
        <v>43376</v>
      </c>
      <c r="H136" s="105">
        <f>Table6[[#This Row],[surgery_duration]]</f>
        <v>0.14583333333333334</v>
      </c>
      <c r="I136" s="73" t="str">
        <f>Table6[[#This Row],[discharge_loc]]</f>
        <v>H6</v>
      </c>
      <c r="J136" s="75">
        <f>Table6[[#This Row],[discharge_date]]</f>
        <v>43382</v>
      </c>
      <c r="K136" s="76">
        <f>Table6[[#This Row],[hospital_stay]]</f>
        <v>6</v>
      </c>
      <c r="L136" s="76">
        <f>Table6[[#This Row],[readmit_30]]</f>
        <v>0</v>
      </c>
      <c r="M136" s="77" t="str">
        <f>Table9[[#This Row],[troponin]]</f>
        <v>Not Measured</v>
      </c>
      <c r="N136" s="78">
        <f>Table9[[#This Row],[hb]]</f>
        <v>12.6</v>
      </c>
      <c r="O136" s="78">
        <f>Table9[[#This Row],[creatinine]]</f>
        <v>63</v>
      </c>
      <c r="P136" s="78">
        <f>Table9[[#This Row],[albumin]]</f>
        <v>53</v>
      </c>
      <c r="Q136" s="73" t="str">
        <f>Table9[[#This Row],[chest_physio]]</f>
        <v>Surgery School</v>
      </c>
      <c r="R136" s="73" t="str">
        <f>Table9[[#This Row],[surgery_school]]</f>
        <v>Yes - Hospital Session</v>
      </c>
      <c r="S136" s="75">
        <f>Table9[[#This Row],[date_school]]</f>
        <v>43367</v>
      </c>
      <c r="T136" s="73" t="str">
        <f>Table9[[#This Row],[app_down]]</f>
        <v>No - Have electronic device</v>
      </c>
      <c r="U136" s="73" t="str">
        <f>Table9[[#This Row],[website]]</f>
        <v>No</v>
      </c>
      <c r="V136" s="73" t="str">
        <f>Table9[[#This Row],[base_activity]]</f>
        <v>No extra activity - Independent in ADLs</v>
      </c>
      <c r="W136" s="73" t="str">
        <f>Table9[[#This Row],[current_activity]]</f>
        <v>No extra activity - Independent in ADLs</v>
      </c>
      <c r="X136" s="73" t="str">
        <f>Table9[[#This Row],[activity_type]]</f>
        <v>None</v>
      </c>
      <c r="Y136" s="73" t="str">
        <f>Table9[[#This Row],[anaemia_treat]]</f>
        <v>Not applicable</v>
      </c>
      <c r="Z136" s="78" t="str">
        <f>Table9[[#This Row],[anaesthesia]]</f>
        <v>General with TIVA</v>
      </c>
      <c r="AA136" s="78">
        <f>Table9[[#This Row],[smoke_hist]]</f>
        <v>0</v>
      </c>
      <c r="AB136" s="78">
        <f>Table9[[#This Row],[smoke_cess]]</f>
        <v>0</v>
      </c>
      <c r="AC136" s="78" t="str">
        <f>Table9[[#This Row],[tidal_vol]]</f>
        <v>Not recorded</v>
      </c>
      <c r="AD136" s="77" t="str">
        <f>Table11[[#This Row],[inc_spiro]]</f>
        <v>Not used</v>
      </c>
      <c r="AE136" s="73" t="str">
        <f>Table11[[#This Row],[t_brushes]]</f>
        <v>Twice</v>
      </c>
      <c r="AF136" s="78" t="str">
        <f>Table11[[#This Row],[m_washes]]</f>
        <v>None</v>
      </c>
      <c r="AG136" s="78" t="str">
        <f>Table11[[#This Row],[iv_disc]]</f>
        <v>No</v>
      </c>
      <c r="AH136" s="78" t="str">
        <f>Table11[[#This Row],[tolerate_15l]]</f>
        <v>No</v>
      </c>
      <c r="AI136" s="78" t="str">
        <f>Table11[[#This Row],[drinking]]</f>
        <v>Yes</v>
      </c>
      <c r="AJ136" s="78" t="str">
        <f>Table11[[#This Row],[oral_diet]]</f>
        <v>Yes</v>
      </c>
      <c r="AK136" s="78" t="str">
        <f>Table11[[#This Row],[mobilised]]</f>
        <v>Yes</v>
      </c>
      <c r="AL136" s="79" t="str">
        <f>Table11[[#This Row],[resp_supp]]</f>
        <v>None</v>
      </c>
      <c r="AM136" s="78" t="str">
        <f>Table11[[#This Row],[elev_head]]</f>
        <v>Yes</v>
      </c>
      <c r="AN136" s="78" t="str">
        <f>Table13[[#This Row],[in_hospital]]</f>
        <v>No</v>
      </c>
      <c r="AO136" s="78">
        <f>Table13[[#This Row],[location_7]]</f>
        <v>0</v>
      </c>
      <c r="AP136" s="78">
        <f>Table13[[#This Row],[infec_24]]</f>
        <v>0</v>
      </c>
      <c r="AQ136" s="73">
        <f>Table13[[#This Row],[infec_7]]</f>
        <v>0</v>
      </c>
      <c r="AR136" s="73">
        <f>Table13[[#This Row],[gastro]]</f>
        <v>0</v>
      </c>
      <c r="AS136" s="73">
        <f>Table13[[#This Row],[pulm_supp_24]]</f>
        <v>0</v>
      </c>
      <c r="AT136" s="73">
        <f>Table13[[#This Row],[pulm_supp_7]]</f>
        <v>0</v>
      </c>
      <c r="AU136" s="73">
        <f>Table13[[#This Row],[pulm_pharm]]</f>
        <v>0</v>
      </c>
      <c r="AV136" s="73">
        <f>Table13[[#This Row],[cardio_24]]</f>
        <v>0</v>
      </c>
      <c r="AW136" s="73">
        <f>Table13[[#This Row],[troponin_7]]</f>
        <v>0</v>
      </c>
      <c r="AX136" s="73">
        <f>Table13[[#This Row],[creatinine_base]]</f>
        <v>0</v>
      </c>
      <c r="AY136" s="73">
        <f>Table13[[#This Row],[creatinine_high]]</f>
        <v>0</v>
      </c>
      <c r="AZ136" s="73">
        <f>Table13[[#This Row],[rrt]]</f>
        <v>0</v>
      </c>
      <c r="BA136" s="73">
        <f>Table13[[#This Row],[renal_24]]</f>
        <v>0</v>
      </c>
      <c r="BB136" s="73">
        <f>Table13[[#This Row],[neuro]]</f>
        <v>0</v>
      </c>
      <c r="BC136" s="73">
        <f>Table13[[#This Row],[wound]]</f>
        <v>0</v>
      </c>
      <c r="BD136" s="73">
        <f>Table13[[#This Row],[haemato]]</f>
        <v>0</v>
      </c>
      <c r="BE136" s="73">
        <f>Table13[[#This Row],[pain]]</f>
        <v>0</v>
      </c>
      <c r="BF136" s="73">
        <f>Table13[[#This Row],[mobility]]</f>
        <v>0</v>
      </c>
      <c r="BG136" s="79">
        <f>Table13[[#This Row],[why_inpatient_7]]</f>
        <v>0</v>
      </c>
      <c r="BH136" s="9">
        <f>Table13[[#This Row],[date_15]]</f>
        <v>0</v>
      </c>
      <c r="BI136">
        <f>Table13[[#This Row],[inpatient_15]]</f>
        <v>0</v>
      </c>
      <c r="BJ136">
        <f>Table13[[#This Row],[comment_15]]</f>
        <v>0</v>
      </c>
      <c r="BK136" t="str">
        <f>Table13[[#This Row],[discharge_dest]]</f>
        <v>Own Home</v>
      </c>
      <c r="BL136" t="str">
        <f>Table13[[#This Row],[complication]]</f>
        <v>II</v>
      </c>
    </row>
    <row r="137" spans="1:64" ht="18" customHeight="1">
      <c r="A137" s="73">
        <f>Table5[[#This Row],[comment]]</f>
        <v>0</v>
      </c>
      <c r="B137" s="73" t="str">
        <f>Table9[[#This Row],[surgeon]]</f>
        <v>David Shackley</v>
      </c>
      <c r="C137" s="73" t="str">
        <f>Table9[[#This Row],[surgery]]</f>
        <v>Total nephrectomy (non-transplant)</v>
      </c>
      <c r="D137" s="74" t="str">
        <f>Table5[[#This Row],[pqip_consent]]</f>
        <v>Yes</v>
      </c>
      <c r="E137" s="73" t="str">
        <f>Table6[[#This Row],[area_surgery]]</f>
        <v>Urology</v>
      </c>
      <c r="F137" s="75">
        <f>Table6[[#This Row],[admission_date]]</f>
        <v>43376</v>
      </c>
      <c r="G137" s="75">
        <f>Table6[[#This Row],[admission_date]]</f>
        <v>43376</v>
      </c>
      <c r="H137" s="105">
        <f>Table6[[#This Row],[surgery_duration]]</f>
        <v>0.11458333333333333</v>
      </c>
      <c r="I137" s="73" t="str">
        <f>Table6[[#This Row],[discharge_loc]]</f>
        <v>H6</v>
      </c>
      <c r="J137" s="75">
        <f>Table6[[#This Row],[discharge_date]]</f>
        <v>43378</v>
      </c>
      <c r="K137" s="76">
        <f>Table6[[#This Row],[hospital_stay]]</f>
        <v>2</v>
      </c>
      <c r="L137" s="76" t="str">
        <f>Table6[[#This Row],[readmit_30]]</f>
        <v>No</v>
      </c>
      <c r="M137" s="77" t="str">
        <f>Table9[[#This Row],[troponin]]</f>
        <v>Not Measured</v>
      </c>
      <c r="N137" s="78">
        <f>Table9[[#This Row],[hb]]</f>
        <v>11.7</v>
      </c>
      <c r="O137" s="78">
        <f>Table9[[#This Row],[creatinine]]</f>
        <v>118</v>
      </c>
      <c r="P137" s="78" t="str">
        <f>Table9[[#This Row],[albumin]]</f>
        <v>Not Measured</v>
      </c>
      <c r="Q137" s="73" t="str">
        <f>Table9[[#This Row],[chest_physio]]</f>
        <v>Surgery School</v>
      </c>
      <c r="R137" s="73" t="str">
        <f>Table9[[#This Row],[surgery_school]]</f>
        <v>Yes - Hospital Session</v>
      </c>
      <c r="S137" s="75">
        <f>Table9[[#This Row],[date_school]]</f>
        <v>43355</v>
      </c>
      <c r="T137" s="73" t="str">
        <f>Table9[[#This Row],[app_down]]</f>
        <v>No - Have electronic device</v>
      </c>
      <c r="U137" s="73" t="str">
        <f>Table9[[#This Row],[website]]</f>
        <v>No</v>
      </c>
      <c r="V137" s="73" t="str">
        <f>Table9[[#This Row],[base_activity]]</f>
        <v>10mins of moderate activity</v>
      </c>
      <c r="W137" s="73" t="str">
        <f>Table9[[#This Row],[current_activity]]</f>
        <v>10mins of moderate activity</v>
      </c>
      <c r="X137" s="73" t="str">
        <f>Table9[[#This Row],[activity_type]]</f>
        <v>Gardening</v>
      </c>
      <c r="Y137" s="73" t="str">
        <f>Table9[[#This Row],[anaemia_treat]]</f>
        <v>Not applicable</v>
      </c>
      <c r="Z137" s="78" t="str">
        <f>Table9[[#This Row],[anaesthesia]]</f>
        <v>General with Inhalational</v>
      </c>
      <c r="AA137" s="78">
        <f>Table9[[#This Row],[smoke_hist]]</f>
        <v>0</v>
      </c>
      <c r="AB137" s="78">
        <f>Table9[[#This Row],[smoke_cess]]</f>
        <v>0</v>
      </c>
      <c r="AC137" s="78" t="str">
        <f>Table9[[#This Row],[tidal_vol]]</f>
        <v>Not recorded</v>
      </c>
      <c r="AD137" s="77" t="str">
        <f>Table11[[#This Row],[inc_spiro]]</f>
        <v>Not used</v>
      </c>
      <c r="AE137" s="73" t="str">
        <f>Table11[[#This Row],[t_brushes]]</f>
        <v>Twice</v>
      </c>
      <c r="AF137" s="78" t="str">
        <f>Table11[[#This Row],[m_washes]]</f>
        <v>None</v>
      </c>
      <c r="AG137" s="78" t="str">
        <f>Table11[[#This Row],[iv_disc]]</f>
        <v>No</v>
      </c>
      <c r="AH137" s="78" t="str">
        <f>Table11[[#This Row],[tolerate_15l]]</f>
        <v>No</v>
      </c>
      <c r="AI137" s="78" t="str">
        <f>Table11[[#This Row],[drinking]]</f>
        <v>Yes</v>
      </c>
      <c r="AJ137" s="78" t="str">
        <f>Table11[[#This Row],[oral_diet]]</f>
        <v>Yes</v>
      </c>
      <c r="AK137" s="78" t="str">
        <f>Table11[[#This Row],[mobilised]]</f>
        <v>Yes</v>
      </c>
      <c r="AL137" s="79" t="str">
        <f>Table11[[#This Row],[resp_supp]]</f>
        <v>None</v>
      </c>
      <c r="AM137" s="78" t="str">
        <f>Table11[[#This Row],[elev_head]]</f>
        <v>Yes</v>
      </c>
      <c r="AN137" s="78" t="str">
        <f>Table13[[#This Row],[in_hospital]]</f>
        <v>No</v>
      </c>
      <c r="AO137" s="78">
        <f>Table13[[#This Row],[location_7]]</f>
        <v>0</v>
      </c>
      <c r="AP137" s="78">
        <f>Table13[[#This Row],[infec_24]]</f>
        <v>0</v>
      </c>
      <c r="AQ137" s="73">
        <f>Table13[[#This Row],[infec_7]]</f>
        <v>0</v>
      </c>
      <c r="AR137" s="73">
        <f>Table13[[#This Row],[gastro]]</f>
        <v>0</v>
      </c>
      <c r="AS137" s="73">
        <f>Table13[[#This Row],[pulm_supp_24]]</f>
        <v>0</v>
      </c>
      <c r="AT137" s="73">
        <f>Table13[[#This Row],[pulm_supp_7]]</f>
        <v>0</v>
      </c>
      <c r="AU137" s="73">
        <f>Table13[[#This Row],[pulm_pharm]]</f>
        <v>0</v>
      </c>
      <c r="AV137" s="73">
        <f>Table13[[#This Row],[cardio_24]]</f>
        <v>0</v>
      </c>
      <c r="AW137" s="73">
        <f>Table13[[#This Row],[troponin_7]]</f>
        <v>0</v>
      </c>
      <c r="AX137" s="73">
        <f>Table13[[#This Row],[creatinine_base]]</f>
        <v>0</v>
      </c>
      <c r="AY137" s="73">
        <f>Table13[[#This Row],[creatinine_high]]</f>
        <v>0</v>
      </c>
      <c r="AZ137" s="73">
        <f>Table13[[#This Row],[rrt]]</f>
        <v>0</v>
      </c>
      <c r="BA137" s="73">
        <f>Table13[[#This Row],[renal_24]]</f>
        <v>0</v>
      </c>
      <c r="BB137" s="73">
        <f>Table13[[#This Row],[neuro]]</f>
        <v>0</v>
      </c>
      <c r="BC137" s="73">
        <f>Table13[[#This Row],[wound]]</f>
        <v>0</v>
      </c>
      <c r="BD137" s="73">
        <f>Table13[[#This Row],[haemato]]</f>
        <v>0</v>
      </c>
      <c r="BE137" s="73">
        <f>Table13[[#This Row],[pain]]</f>
        <v>0</v>
      </c>
      <c r="BF137" s="73">
        <f>Table13[[#This Row],[mobility]]</f>
        <v>0</v>
      </c>
      <c r="BG137" s="79">
        <f>Table13[[#This Row],[why_inpatient_7]]</f>
        <v>0</v>
      </c>
      <c r="BH137" s="9">
        <f>Table13[[#This Row],[date_15]]</f>
        <v>0</v>
      </c>
      <c r="BI137">
        <f>Table13[[#This Row],[inpatient_15]]</f>
        <v>0</v>
      </c>
      <c r="BJ137">
        <f>Table13[[#This Row],[comment_15]]</f>
        <v>0</v>
      </c>
      <c r="BK137" t="str">
        <f>Table13[[#This Row],[discharge_dest]]</f>
        <v>Own Home</v>
      </c>
      <c r="BL137" t="str">
        <f>Table13[[#This Row],[complication]]</f>
        <v>None</v>
      </c>
    </row>
    <row r="138" spans="1:64" ht="18" customHeight="1">
      <c r="A138" s="73">
        <f>Table5[[#This Row],[comment]]</f>
        <v>0</v>
      </c>
      <c r="B138" s="73" t="str">
        <f>Table9[[#This Row],[surgeon]]</f>
        <v>Rachel Melhado, Houghton</v>
      </c>
      <c r="C138" s="73" t="str">
        <f>Table9[[#This Row],[surgery]]</f>
        <v>Gastrectomy (partial / total) with excision of surrounding tissue</v>
      </c>
      <c r="D138" s="74" t="str">
        <f>Table5[[#This Row],[pqip_consent]]</f>
        <v>Yes</v>
      </c>
      <c r="E138" s="73" t="str">
        <f>Table6[[#This Row],[area_surgery]]</f>
        <v>Upper GI</v>
      </c>
      <c r="F138" s="75">
        <f>Table6[[#This Row],[admission_date]]</f>
        <v>43377</v>
      </c>
      <c r="G138" s="75">
        <f>Table6[[#This Row],[admission_date]]</f>
        <v>43377</v>
      </c>
      <c r="H138" s="105">
        <f>Table6[[#This Row],[surgery_duration]]</f>
        <v>0.25</v>
      </c>
      <c r="I138" s="73" t="str">
        <f>Table6[[#This Row],[discharge_loc]]</f>
        <v>CCU (Level 2)</v>
      </c>
      <c r="J138" s="75">
        <f>Table6[[#This Row],[discharge_date]]</f>
        <v>43384</v>
      </c>
      <c r="K138" s="76">
        <f>Table6[[#This Row],[hospital_stay]]</f>
        <v>7</v>
      </c>
      <c r="L138" s="76">
        <f>Table6[[#This Row],[readmit_30]]</f>
        <v>0</v>
      </c>
      <c r="M138" s="77" t="str">
        <f>Table9[[#This Row],[troponin]]</f>
        <v>Not Measured</v>
      </c>
      <c r="N138" s="78">
        <f>Table9[[#This Row],[hb]]</f>
        <v>10.7</v>
      </c>
      <c r="O138" s="78">
        <f>Table9[[#This Row],[creatinine]]</f>
        <v>36</v>
      </c>
      <c r="P138" s="78">
        <f>Table9[[#This Row],[albumin]]</f>
        <v>41</v>
      </c>
      <c r="Q138" s="73" t="str">
        <f>Table9[[#This Row],[chest_physio]]</f>
        <v>Surgery School</v>
      </c>
      <c r="R138" s="73" t="str">
        <f>Table9[[#This Row],[surgery_school]]</f>
        <v>Yes - Hospital Session</v>
      </c>
      <c r="S138" s="75">
        <f>Table9[[#This Row],[date_school]]</f>
        <v>43356</v>
      </c>
      <c r="T138" s="73" t="str">
        <f>Table9[[#This Row],[app_down]]</f>
        <v>No - Have electronic device</v>
      </c>
      <c r="U138" s="73" t="str">
        <f>Table9[[#This Row],[website]]</f>
        <v>No</v>
      </c>
      <c r="V138" s="73" t="str">
        <f>Table9[[#This Row],[base_activity]]</f>
        <v>No extra activity - Independent in ADLs</v>
      </c>
      <c r="W138" s="73" t="str">
        <f>Table9[[#This Row],[current_activity]]</f>
        <v>No extra activity - Independent in ADLs</v>
      </c>
      <c r="X138" s="73" t="str">
        <f>Table9[[#This Row],[activity_type]]</f>
        <v>None</v>
      </c>
      <c r="Y138" s="73" t="str">
        <f>Table9[[#This Row],[anaemia_treat]]</f>
        <v>Intravenous Iron</v>
      </c>
      <c r="Z138" s="78" t="str">
        <f>Table9[[#This Row],[anaesthesia]]</f>
        <v>General with TIVA</v>
      </c>
      <c r="AA138" s="78">
        <f>Table9[[#This Row],[smoke_hist]]</f>
        <v>0</v>
      </c>
      <c r="AB138" s="78">
        <f>Table9[[#This Row],[smoke_cess]]</f>
        <v>0</v>
      </c>
      <c r="AC138" s="78" t="str">
        <f>Table9[[#This Row],[tidal_vol]]</f>
        <v>Not recorded</v>
      </c>
      <c r="AD138" s="77" t="str">
        <f>Table11[[#This Row],[inc_spiro]]</f>
        <v>&gt;Two</v>
      </c>
      <c r="AE138" s="73" t="str">
        <f>Table11[[#This Row],[t_brushes]]</f>
        <v>Twice</v>
      </c>
      <c r="AF138" s="78" t="str">
        <f>Table11[[#This Row],[m_washes]]</f>
        <v>Twice</v>
      </c>
      <c r="AG138" s="78" t="str">
        <f>Table11[[#This Row],[iv_disc]]</f>
        <v>No</v>
      </c>
      <c r="AH138" s="78" t="str">
        <f>Table11[[#This Row],[tolerate_15l]]</f>
        <v>Not applicable</v>
      </c>
      <c r="AI138" s="78" t="str">
        <f>Table11[[#This Row],[drinking]]</f>
        <v>No</v>
      </c>
      <c r="AJ138" s="78" t="str">
        <f>Table11[[#This Row],[oral_diet]]</f>
        <v>No</v>
      </c>
      <c r="AK138" s="78" t="str">
        <f>Table11[[#This Row],[mobilised]]</f>
        <v>Yes</v>
      </c>
      <c r="AL138" s="79" t="str">
        <f>Table11[[#This Row],[resp_supp]]</f>
        <v>None</v>
      </c>
      <c r="AM138" s="78" t="str">
        <f>Table11[[#This Row],[elev_head]]</f>
        <v>Yes</v>
      </c>
      <c r="AN138" s="78" t="str">
        <f>Table13[[#This Row],[in_hospital]]</f>
        <v>No</v>
      </c>
      <c r="AO138" s="78">
        <f>Table13[[#This Row],[location_7]]</f>
        <v>0</v>
      </c>
      <c r="AP138" s="78">
        <f>Table13[[#This Row],[infec_24]]</f>
        <v>0</v>
      </c>
      <c r="AQ138" s="73">
        <f>Table13[[#This Row],[infec_7]]</f>
        <v>0</v>
      </c>
      <c r="AR138" s="73">
        <f>Table13[[#This Row],[gastro]]</f>
        <v>0</v>
      </c>
      <c r="AS138" s="73">
        <f>Table13[[#This Row],[pulm_supp_24]]</f>
        <v>0</v>
      </c>
      <c r="AT138" s="73">
        <f>Table13[[#This Row],[pulm_supp_7]]</f>
        <v>0</v>
      </c>
      <c r="AU138" s="73">
        <f>Table13[[#This Row],[pulm_pharm]]</f>
        <v>0</v>
      </c>
      <c r="AV138" s="73">
        <f>Table13[[#This Row],[cardio_24]]</f>
        <v>0</v>
      </c>
      <c r="AW138" s="73">
        <f>Table13[[#This Row],[troponin_7]]</f>
        <v>0</v>
      </c>
      <c r="AX138" s="73">
        <f>Table13[[#This Row],[creatinine_base]]</f>
        <v>0</v>
      </c>
      <c r="AY138" s="73">
        <f>Table13[[#This Row],[creatinine_high]]</f>
        <v>0</v>
      </c>
      <c r="AZ138" s="73">
        <f>Table13[[#This Row],[rrt]]</f>
        <v>0</v>
      </c>
      <c r="BA138" s="73">
        <f>Table13[[#This Row],[renal_24]]</f>
        <v>0</v>
      </c>
      <c r="BB138" s="73">
        <f>Table13[[#This Row],[neuro]]</f>
        <v>0</v>
      </c>
      <c r="BC138" s="73">
        <f>Table13[[#This Row],[wound]]</f>
        <v>0</v>
      </c>
      <c r="BD138" s="73">
        <f>Table13[[#This Row],[haemato]]</f>
        <v>0</v>
      </c>
      <c r="BE138" s="73">
        <f>Table13[[#This Row],[pain]]</f>
        <v>0</v>
      </c>
      <c r="BF138" s="73">
        <f>Table13[[#This Row],[mobility]]</f>
        <v>0</v>
      </c>
      <c r="BG138" s="79">
        <f>Table13[[#This Row],[why_inpatient_7]]</f>
        <v>0</v>
      </c>
      <c r="BH138" s="9">
        <f>Table13[[#This Row],[date_15]]</f>
        <v>0</v>
      </c>
      <c r="BI138">
        <f>Table13[[#This Row],[inpatient_15]]</f>
        <v>0</v>
      </c>
      <c r="BJ138">
        <f>Table13[[#This Row],[comment_15]]</f>
        <v>0</v>
      </c>
      <c r="BK138" t="str">
        <f>Table13[[#This Row],[discharge_dest]]</f>
        <v>Own Home</v>
      </c>
      <c r="BL138" t="str">
        <f>Table13[[#This Row],[complication]]</f>
        <v>None</v>
      </c>
    </row>
    <row r="139" spans="1:64" ht="18" customHeight="1">
      <c r="A139" s="73">
        <f>Table5[[#This Row],[comment]]</f>
        <v>0</v>
      </c>
      <c r="B139" s="73" t="str">
        <f>Table9[[#This Row],[surgeon]]</f>
        <v>David Watson</v>
      </c>
      <c r="C139" s="73" t="str">
        <f>Table9[[#This Row],[surgery]]</f>
        <v>Anterior resection</v>
      </c>
      <c r="D139" s="74" t="str">
        <f>Table5[[#This Row],[pqip_consent]]</f>
        <v>Yes</v>
      </c>
      <c r="E139" s="73" t="str">
        <f>Table6[[#This Row],[area_surgery]]</f>
        <v>Lower GI</v>
      </c>
      <c r="F139" s="75">
        <f>Table6[[#This Row],[admission_date]]</f>
        <v>43377</v>
      </c>
      <c r="G139" s="75">
        <f>Table6[[#This Row],[admission_date]]</f>
        <v>43377</v>
      </c>
      <c r="H139" s="105">
        <f>Table6[[#This Row],[surgery_duration]]</f>
        <v>0.14583333333333334</v>
      </c>
      <c r="I139" s="73" t="str">
        <f>Table6[[#This Row],[discharge_loc]]</f>
        <v>H6</v>
      </c>
      <c r="J139" s="75">
        <f>Table6[[#This Row],[discharge_date]]</f>
        <v>43381</v>
      </c>
      <c r="K139" s="76">
        <f>Table6[[#This Row],[hospital_stay]]</f>
        <v>4</v>
      </c>
      <c r="L139" s="76" t="str">
        <f>Table6[[#This Row],[readmit_30]]</f>
        <v>No</v>
      </c>
      <c r="M139" s="77" t="str">
        <f>Table9[[#This Row],[troponin]]</f>
        <v>Not Measured</v>
      </c>
      <c r="N139" s="78">
        <f>Table9[[#This Row],[hb]]</f>
        <v>12.9</v>
      </c>
      <c r="O139" s="78">
        <f>Table9[[#This Row],[creatinine]]</f>
        <v>57</v>
      </c>
      <c r="P139" s="78">
        <f>Table9[[#This Row],[albumin]]</f>
        <v>41</v>
      </c>
      <c r="Q139" s="73" t="str">
        <f>Table9[[#This Row],[chest_physio]]</f>
        <v>Surgery School</v>
      </c>
      <c r="R139" s="73" t="str">
        <f>Table9[[#This Row],[surgery_school]]</f>
        <v>Yes - Hospital Session</v>
      </c>
      <c r="S139" s="75">
        <f>Table9[[#This Row],[date_school]]</f>
        <v>43326</v>
      </c>
      <c r="T139" s="73" t="str">
        <f>Table9[[#This Row],[app_down]]</f>
        <v>No - Have electronic device</v>
      </c>
      <c r="U139" s="73" t="str">
        <f>Table9[[#This Row],[website]]</f>
        <v>No</v>
      </c>
      <c r="V139" s="73" t="str">
        <f>Table9[[#This Row],[base_activity]]</f>
        <v>30mins of moderate activity</v>
      </c>
      <c r="W139" s="73" t="str">
        <f>Table9[[#This Row],[current_activity]]</f>
        <v>20mins of moderate activity</v>
      </c>
      <c r="X139" s="73" t="str">
        <f>Table9[[#This Row],[activity_type]]</f>
        <v xml:space="preserve">Walking regularly </v>
      </c>
      <c r="Y139" s="73" t="str">
        <f>Table9[[#This Row],[anaemia_treat]]</f>
        <v>Not applicable</v>
      </c>
      <c r="Z139" s="78" t="str">
        <f>Table9[[#This Row],[anaesthesia]]</f>
        <v>General with Inhalational</v>
      </c>
      <c r="AA139" s="78">
        <f>Table9[[#This Row],[smoke_hist]]</f>
        <v>0</v>
      </c>
      <c r="AB139" s="78">
        <f>Table9[[#This Row],[smoke_cess]]</f>
        <v>0</v>
      </c>
      <c r="AC139" s="78" t="str">
        <f>Table9[[#This Row],[tidal_vol]]</f>
        <v>Not recorded</v>
      </c>
      <c r="AD139" s="77" t="str">
        <f>Table11[[#This Row],[inc_spiro]]</f>
        <v>Not used</v>
      </c>
      <c r="AE139" s="73" t="str">
        <f>Table11[[#This Row],[t_brushes]]</f>
        <v>Twice</v>
      </c>
      <c r="AF139" s="78" t="str">
        <f>Table11[[#This Row],[m_washes]]</f>
        <v>None</v>
      </c>
      <c r="AG139" s="78" t="str">
        <f>Table11[[#This Row],[iv_disc]]</f>
        <v>Yes</v>
      </c>
      <c r="AH139" s="78" t="str">
        <f>Table11[[#This Row],[tolerate_15l]]</f>
        <v>No</v>
      </c>
      <c r="AI139" s="78" t="str">
        <f>Table11[[#This Row],[drinking]]</f>
        <v>Yes</v>
      </c>
      <c r="AJ139" s="78" t="str">
        <f>Table11[[#This Row],[oral_diet]]</f>
        <v>Yes</v>
      </c>
      <c r="AK139" s="78" t="str">
        <f>Table11[[#This Row],[mobilised]]</f>
        <v>Yes</v>
      </c>
      <c r="AL139" s="79" t="str">
        <f>Table11[[#This Row],[resp_supp]]</f>
        <v>None</v>
      </c>
      <c r="AM139" s="78" t="str">
        <f>Table11[[#This Row],[elev_head]]</f>
        <v>Yes</v>
      </c>
      <c r="AN139" s="78" t="str">
        <f>Table13[[#This Row],[in_hospital]]</f>
        <v>No</v>
      </c>
      <c r="AO139" s="78">
        <f>Table13[[#This Row],[location_7]]</f>
        <v>0</v>
      </c>
      <c r="AP139" s="78">
        <f>Table13[[#This Row],[infec_24]]</f>
        <v>0</v>
      </c>
      <c r="AQ139" s="73">
        <f>Table13[[#This Row],[infec_7]]</f>
        <v>0</v>
      </c>
      <c r="AR139" s="73">
        <f>Table13[[#This Row],[gastro]]</f>
        <v>0</v>
      </c>
      <c r="AS139" s="73">
        <f>Table13[[#This Row],[pulm_supp_24]]</f>
        <v>0</v>
      </c>
      <c r="AT139" s="73">
        <f>Table13[[#This Row],[pulm_supp_7]]</f>
        <v>0</v>
      </c>
      <c r="AU139" s="73">
        <f>Table13[[#This Row],[pulm_pharm]]</f>
        <v>0</v>
      </c>
      <c r="AV139" s="73">
        <f>Table13[[#This Row],[cardio_24]]</f>
        <v>0</v>
      </c>
      <c r="AW139" s="73">
        <f>Table13[[#This Row],[troponin_7]]</f>
        <v>0</v>
      </c>
      <c r="AX139" s="73">
        <f>Table13[[#This Row],[creatinine_base]]</f>
        <v>0</v>
      </c>
      <c r="AY139" s="73">
        <f>Table13[[#This Row],[creatinine_high]]</f>
        <v>0</v>
      </c>
      <c r="AZ139" s="73">
        <f>Table13[[#This Row],[rrt]]</f>
        <v>0</v>
      </c>
      <c r="BA139" s="73">
        <f>Table13[[#This Row],[renal_24]]</f>
        <v>0</v>
      </c>
      <c r="BB139" s="73">
        <f>Table13[[#This Row],[neuro]]</f>
        <v>0</v>
      </c>
      <c r="BC139" s="73">
        <f>Table13[[#This Row],[wound]]</f>
        <v>0</v>
      </c>
      <c r="BD139" s="73">
        <f>Table13[[#This Row],[haemato]]</f>
        <v>0</v>
      </c>
      <c r="BE139" s="73">
        <f>Table13[[#This Row],[pain]]</f>
        <v>0</v>
      </c>
      <c r="BF139" s="73">
        <f>Table13[[#This Row],[mobility]]</f>
        <v>0</v>
      </c>
      <c r="BG139" s="79">
        <f>Table13[[#This Row],[why_inpatient_7]]</f>
        <v>0</v>
      </c>
      <c r="BH139" s="9">
        <f>Table13[[#This Row],[date_15]]</f>
        <v>0</v>
      </c>
      <c r="BI139">
        <f>Table13[[#This Row],[inpatient_15]]</f>
        <v>0</v>
      </c>
      <c r="BJ139">
        <f>Table13[[#This Row],[comment_15]]</f>
        <v>0</v>
      </c>
      <c r="BK139" t="str">
        <f>Table13[[#This Row],[discharge_dest]]</f>
        <v>Own Home</v>
      </c>
      <c r="BL139" t="str">
        <f>Table13[[#This Row],[complication]]</f>
        <v>None</v>
      </c>
    </row>
    <row r="140" spans="1:64" ht="18" customHeight="1">
      <c r="A140" s="73">
        <f>Table5[[#This Row],[comment]]</f>
        <v>0</v>
      </c>
      <c r="B140" s="73" t="str">
        <f>Table9[[#This Row],[surgeon]]</f>
        <v>Satish Maddineni</v>
      </c>
      <c r="C140" s="73" t="str">
        <f>Table9[[#This Row],[surgery]]</f>
        <v>Nephroureterectomy</v>
      </c>
      <c r="D140" s="74" t="str">
        <f>Table5[[#This Row],[pqip_consent]]</f>
        <v>Yes</v>
      </c>
      <c r="E140" s="73" t="str">
        <f>Table6[[#This Row],[area_surgery]]</f>
        <v>Urology</v>
      </c>
      <c r="F140" s="75">
        <f>Table6[[#This Row],[admission_date]]</f>
        <v>43377</v>
      </c>
      <c r="G140" s="75">
        <f>Table6[[#This Row],[admission_date]]</f>
        <v>43377</v>
      </c>
      <c r="H140" s="105">
        <f>Table6[[#This Row],[surgery_duration]]</f>
        <v>0.20833333333333334</v>
      </c>
      <c r="I140" s="73" t="str">
        <f>Table6[[#This Row],[discharge_loc]]</f>
        <v>H6</v>
      </c>
      <c r="J140" s="75">
        <f>Table6[[#This Row],[discharge_date]]</f>
        <v>43380</v>
      </c>
      <c r="K140" s="76">
        <f>Table6[[#This Row],[hospital_stay]]</f>
        <v>3</v>
      </c>
      <c r="L140" s="76">
        <f>Table6[[#This Row],[readmit_30]]</f>
        <v>0</v>
      </c>
      <c r="M140" s="77" t="str">
        <f>Table9[[#This Row],[troponin]]</f>
        <v>Not Measured</v>
      </c>
      <c r="N140" s="78">
        <f>Table9[[#This Row],[hb]]</f>
        <v>11.9</v>
      </c>
      <c r="O140" s="78">
        <f>Table9[[#This Row],[creatinine]]</f>
        <v>83</v>
      </c>
      <c r="P140" s="78">
        <f>Table9[[#This Row],[albumin]]</f>
        <v>43</v>
      </c>
      <c r="Q140" s="73" t="str">
        <f>Table9[[#This Row],[chest_physio]]</f>
        <v>Surgery School</v>
      </c>
      <c r="R140" s="73" t="str">
        <f>Table9[[#This Row],[surgery_school]]</f>
        <v>Yes - Hospital Session</v>
      </c>
      <c r="S140" s="75">
        <f>Table9[[#This Row],[date_school]]</f>
        <v>43355</v>
      </c>
      <c r="T140" s="73" t="str">
        <f>Table9[[#This Row],[app_down]]</f>
        <v>No - Have electronic device</v>
      </c>
      <c r="U140" s="73" t="str">
        <f>Table9[[#This Row],[website]]</f>
        <v>No</v>
      </c>
      <c r="V140" s="73" t="str">
        <f>Table9[[#This Row],[base_activity]]</f>
        <v>No extra activity - Independent in ADLs</v>
      </c>
      <c r="W140" s="73" t="str">
        <f>Table9[[#This Row],[current_activity]]</f>
        <v>No extra activity - Independent in ADLs</v>
      </c>
      <c r="X140" s="73" t="str">
        <f>Table9[[#This Row],[activity_type]]</f>
        <v>None</v>
      </c>
      <c r="Y140" s="73" t="str">
        <f>Table9[[#This Row],[anaemia_treat]]</f>
        <v>Not applicable</v>
      </c>
      <c r="Z140" s="78" t="str">
        <f>Table9[[#This Row],[anaesthesia]]</f>
        <v>Not available</v>
      </c>
      <c r="AA140" s="78">
        <f>Table9[[#This Row],[smoke_hist]]</f>
        <v>0</v>
      </c>
      <c r="AB140" s="78">
        <f>Table9[[#This Row],[smoke_cess]]</f>
        <v>0</v>
      </c>
      <c r="AC140" s="78" t="str">
        <f>Table9[[#This Row],[tidal_vol]]</f>
        <v>Not recorded</v>
      </c>
      <c r="AD140" s="77" t="str">
        <f>Table11[[#This Row],[inc_spiro]]</f>
        <v>Not used</v>
      </c>
      <c r="AE140" s="73" t="str">
        <f>Table11[[#This Row],[t_brushes]]</f>
        <v>Twice</v>
      </c>
      <c r="AF140" s="78" t="str">
        <f>Table11[[#This Row],[m_washes]]</f>
        <v>None</v>
      </c>
      <c r="AG140" s="78" t="str">
        <f>Table11[[#This Row],[iv_disc]]</f>
        <v>Yes</v>
      </c>
      <c r="AH140" s="78" t="str">
        <f>Table11[[#This Row],[tolerate_15l]]</f>
        <v>Yes</v>
      </c>
      <c r="AI140" s="78" t="str">
        <f>Table11[[#This Row],[drinking]]</f>
        <v>Yes</v>
      </c>
      <c r="AJ140" s="78" t="str">
        <f>Table11[[#This Row],[oral_diet]]</f>
        <v>Yes</v>
      </c>
      <c r="AK140" s="78" t="str">
        <f>Table11[[#This Row],[mobilised]]</f>
        <v>Yes</v>
      </c>
      <c r="AL140" s="79" t="str">
        <f>Table11[[#This Row],[resp_supp]]</f>
        <v>None</v>
      </c>
      <c r="AM140" s="78" t="str">
        <f>Table11[[#This Row],[elev_head]]</f>
        <v>Yes</v>
      </c>
      <c r="AN140" s="78" t="str">
        <f>Table13[[#This Row],[in_hospital]]</f>
        <v>No</v>
      </c>
      <c r="AO140" s="78">
        <f>Table13[[#This Row],[location_7]]</f>
        <v>0</v>
      </c>
      <c r="AP140" s="78">
        <f>Table13[[#This Row],[infec_24]]</f>
        <v>0</v>
      </c>
      <c r="AQ140" s="73">
        <f>Table13[[#This Row],[infec_7]]</f>
        <v>0</v>
      </c>
      <c r="AR140" s="73">
        <f>Table13[[#This Row],[gastro]]</f>
        <v>0</v>
      </c>
      <c r="AS140" s="73">
        <f>Table13[[#This Row],[pulm_supp_24]]</f>
        <v>0</v>
      </c>
      <c r="AT140" s="73">
        <f>Table13[[#This Row],[pulm_supp_7]]</f>
        <v>0</v>
      </c>
      <c r="AU140" s="73">
        <f>Table13[[#This Row],[pulm_pharm]]</f>
        <v>0</v>
      </c>
      <c r="AV140" s="73">
        <f>Table13[[#This Row],[cardio_24]]</f>
        <v>0</v>
      </c>
      <c r="AW140" s="73">
        <f>Table13[[#This Row],[troponin_7]]</f>
        <v>0</v>
      </c>
      <c r="AX140" s="73">
        <f>Table13[[#This Row],[creatinine_base]]</f>
        <v>0</v>
      </c>
      <c r="AY140" s="73">
        <f>Table13[[#This Row],[creatinine_high]]</f>
        <v>0</v>
      </c>
      <c r="AZ140" s="73">
        <f>Table13[[#This Row],[rrt]]</f>
        <v>0</v>
      </c>
      <c r="BA140" s="73">
        <f>Table13[[#This Row],[renal_24]]</f>
        <v>0</v>
      </c>
      <c r="BB140" s="73">
        <f>Table13[[#This Row],[neuro]]</f>
        <v>0</v>
      </c>
      <c r="BC140" s="73">
        <f>Table13[[#This Row],[wound]]</f>
        <v>0</v>
      </c>
      <c r="BD140" s="73">
        <f>Table13[[#This Row],[haemato]]</f>
        <v>0</v>
      </c>
      <c r="BE140" s="73">
        <f>Table13[[#This Row],[pain]]</f>
        <v>0</v>
      </c>
      <c r="BF140" s="73">
        <f>Table13[[#This Row],[mobility]]</f>
        <v>0</v>
      </c>
      <c r="BG140" s="79">
        <f>Table13[[#This Row],[why_inpatient_7]]</f>
        <v>0</v>
      </c>
      <c r="BH140" s="9">
        <f>Table13[[#This Row],[date_15]]</f>
        <v>0</v>
      </c>
      <c r="BI140">
        <f>Table13[[#This Row],[inpatient_15]]</f>
        <v>0</v>
      </c>
      <c r="BJ140">
        <f>Table13[[#This Row],[comment_15]]</f>
        <v>0</v>
      </c>
      <c r="BK140" t="str">
        <f>Table13[[#This Row],[discharge_dest]]</f>
        <v>Own Home</v>
      </c>
      <c r="BL140" t="str">
        <f>Table13[[#This Row],[complication]]</f>
        <v>None</v>
      </c>
    </row>
    <row r="141" spans="1:64" ht="18" customHeight="1">
      <c r="A141" s="73">
        <f>Table5[[#This Row],[comment]]</f>
        <v>0</v>
      </c>
      <c r="B141" s="73" t="str">
        <f>Table9[[#This Row],[surgeon]]</f>
        <v>Noel Clarke</v>
      </c>
      <c r="C141" s="73" t="str">
        <f>Table9[[#This Row],[surgery]]</f>
        <v>Total nephrectomy (non-transplant)</v>
      </c>
      <c r="D141" s="74" t="str">
        <f>Table5[[#This Row],[pqip_consent]]</f>
        <v>Yes</v>
      </c>
      <c r="E141" s="73" t="str">
        <f>Table6[[#This Row],[area_surgery]]</f>
        <v>Urology</v>
      </c>
      <c r="F141" s="75">
        <f>Table6[[#This Row],[admission_date]]</f>
        <v>43377</v>
      </c>
      <c r="G141" s="75">
        <f>Table6[[#This Row],[admission_date]]</f>
        <v>43377</v>
      </c>
      <c r="H141" s="105">
        <f>Table6[[#This Row],[surgery_duration]]</f>
        <v>0.1875</v>
      </c>
      <c r="I141" s="73" t="str">
        <f>Table6[[#This Row],[discharge_loc]]</f>
        <v>H6</v>
      </c>
      <c r="J141" s="75">
        <f>Table6[[#This Row],[discharge_date]]</f>
        <v>43384</v>
      </c>
      <c r="K141" s="76">
        <f>Table6[[#This Row],[hospital_stay]]</f>
        <v>7</v>
      </c>
      <c r="L141" s="76">
        <f>Table6[[#This Row],[readmit_30]]</f>
        <v>0</v>
      </c>
      <c r="M141" s="77" t="str">
        <f>Table9[[#This Row],[troponin]]</f>
        <v>Not Measured</v>
      </c>
      <c r="N141" s="78">
        <f>Table9[[#This Row],[hb]]</f>
        <v>10.3</v>
      </c>
      <c r="O141" s="78">
        <f>Table9[[#This Row],[creatinine]]</f>
        <v>107</v>
      </c>
      <c r="P141" s="78">
        <f>Table9[[#This Row],[albumin]]</f>
        <v>39</v>
      </c>
      <c r="Q141" s="73" t="str">
        <f>Table9[[#This Row],[chest_physio]]</f>
        <v>Surgery School</v>
      </c>
      <c r="R141" s="73" t="str">
        <f>Table9[[#This Row],[surgery_school]]</f>
        <v>Yes - Hospital Session</v>
      </c>
      <c r="S141" s="75">
        <f>Table9[[#This Row],[date_school]]</f>
        <v>43375</v>
      </c>
      <c r="T141" s="73" t="str">
        <f>Table9[[#This Row],[app_down]]</f>
        <v>No - Have electronic device</v>
      </c>
      <c r="U141" s="73" t="str">
        <f>Table9[[#This Row],[website]]</f>
        <v>No</v>
      </c>
      <c r="V141" s="73" t="str">
        <f>Table9[[#This Row],[base_activity]]</f>
        <v>No extra activity - Independent in ADLs</v>
      </c>
      <c r="W141" s="73" t="str">
        <f>Table9[[#This Row],[current_activity]]</f>
        <v>No extra activity - Independent in ADLs</v>
      </c>
      <c r="X141" s="73" t="str">
        <f>Table9[[#This Row],[activity_type]]</f>
        <v>None</v>
      </c>
      <c r="Y141" s="73" t="str">
        <f>Table9[[#This Row],[anaemia_treat]]</f>
        <v>None</v>
      </c>
      <c r="Z141" s="78" t="str">
        <f>Table9[[#This Row],[anaesthesia]]</f>
        <v>General with Inhalational</v>
      </c>
      <c r="AA141" s="78">
        <f>Table9[[#This Row],[smoke_hist]]</f>
        <v>0</v>
      </c>
      <c r="AB141" s="78">
        <f>Table9[[#This Row],[smoke_cess]]</f>
        <v>0</v>
      </c>
      <c r="AC141" s="78" t="str">
        <f>Table9[[#This Row],[tidal_vol]]</f>
        <v>Not recorded</v>
      </c>
      <c r="AD141" s="77" t="str">
        <f>Table11[[#This Row],[inc_spiro]]</f>
        <v>Not used</v>
      </c>
      <c r="AE141" s="73" t="str">
        <f>Table11[[#This Row],[t_brushes]]</f>
        <v>Twice</v>
      </c>
      <c r="AF141" s="78" t="str">
        <f>Table11[[#This Row],[m_washes]]</f>
        <v>None</v>
      </c>
      <c r="AG141" s="78" t="str">
        <f>Table11[[#This Row],[iv_disc]]</f>
        <v>No</v>
      </c>
      <c r="AH141" s="78" t="str">
        <f>Table11[[#This Row],[tolerate_15l]]</f>
        <v>No</v>
      </c>
      <c r="AI141" s="78" t="str">
        <f>Table11[[#This Row],[drinking]]</f>
        <v>Yes</v>
      </c>
      <c r="AJ141" s="78" t="str">
        <f>Table11[[#This Row],[oral_diet]]</f>
        <v>No</v>
      </c>
      <c r="AK141" s="78" t="str">
        <f>Table11[[#This Row],[mobilised]]</f>
        <v>Yes</v>
      </c>
      <c r="AL141" s="79" t="str">
        <f>Table11[[#This Row],[resp_supp]]</f>
        <v>None</v>
      </c>
      <c r="AM141" s="78" t="str">
        <f>Table11[[#This Row],[elev_head]]</f>
        <v>Yes</v>
      </c>
      <c r="AN141" s="78" t="str">
        <f>Table13[[#This Row],[in_hospital]]</f>
        <v>No</v>
      </c>
      <c r="AO141" s="78">
        <f>Table13[[#This Row],[location_7]]</f>
        <v>0</v>
      </c>
      <c r="AP141" s="78">
        <f>Table13[[#This Row],[infec_24]]</f>
        <v>0</v>
      </c>
      <c r="AQ141" s="73">
        <f>Table13[[#This Row],[infec_7]]</f>
        <v>0</v>
      </c>
      <c r="AR141" s="73">
        <f>Table13[[#This Row],[gastro]]</f>
        <v>0</v>
      </c>
      <c r="AS141" s="73">
        <f>Table13[[#This Row],[pulm_supp_24]]</f>
        <v>0</v>
      </c>
      <c r="AT141" s="73">
        <f>Table13[[#This Row],[pulm_supp_7]]</f>
        <v>0</v>
      </c>
      <c r="AU141" s="73">
        <f>Table13[[#This Row],[pulm_pharm]]</f>
        <v>0</v>
      </c>
      <c r="AV141" s="73">
        <f>Table13[[#This Row],[cardio_24]]</f>
        <v>0</v>
      </c>
      <c r="AW141" s="73">
        <f>Table13[[#This Row],[troponin_7]]</f>
        <v>0</v>
      </c>
      <c r="AX141" s="73">
        <f>Table13[[#This Row],[creatinine_base]]</f>
        <v>0</v>
      </c>
      <c r="AY141" s="73">
        <f>Table13[[#This Row],[creatinine_high]]</f>
        <v>0</v>
      </c>
      <c r="AZ141" s="73">
        <f>Table13[[#This Row],[rrt]]</f>
        <v>0</v>
      </c>
      <c r="BA141" s="73">
        <f>Table13[[#This Row],[renal_24]]</f>
        <v>0</v>
      </c>
      <c r="BB141" s="73">
        <f>Table13[[#This Row],[neuro]]</f>
        <v>0</v>
      </c>
      <c r="BC141" s="73">
        <f>Table13[[#This Row],[wound]]</f>
        <v>0</v>
      </c>
      <c r="BD141" s="73">
        <f>Table13[[#This Row],[haemato]]</f>
        <v>0</v>
      </c>
      <c r="BE141" s="73">
        <f>Table13[[#This Row],[pain]]</f>
        <v>0</v>
      </c>
      <c r="BF141" s="73">
        <f>Table13[[#This Row],[mobility]]</f>
        <v>0</v>
      </c>
      <c r="BG141" s="79">
        <f>Table13[[#This Row],[why_inpatient_7]]</f>
        <v>0</v>
      </c>
      <c r="BH141" s="9">
        <f>Table13[[#This Row],[date_15]]</f>
        <v>0</v>
      </c>
      <c r="BI141">
        <f>Table13[[#This Row],[inpatient_15]]</f>
        <v>0</v>
      </c>
      <c r="BJ141">
        <f>Table13[[#This Row],[comment_15]]</f>
        <v>0</v>
      </c>
      <c r="BK141" t="str">
        <f>Table13[[#This Row],[discharge_dest]]</f>
        <v>Own Home</v>
      </c>
      <c r="BL141" t="str">
        <f>Table13[[#This Row],[complication]]</f>
        <v>None</v>
      </c>
    </row>
    <row r="142" spans="1:64" ht="18" customHeight="1">
      <c r="A142" s="73">
        <f>Table5[[#This Row],[comment]]</f>
        <v>0</v>
      </c>
      <c r="B142" s="73" t="str">
        <f>Table9[[#This Row],[surgeon]]</f>
        <v>Demonic Slade, Gordon Lawrence Carlson</v>
      </c>
      <c r="C142" s="73" t="str">
        <f>Table9[[#This Row],[surgery]]</f>
        <v>Abdominal wall reconstruction</v>
      </c>
      <c r="D142" s="74" t="str">
        <f>Table5[[#This Row],[pqip_consent]]</f>
        <v>Yes</v>
      </c>
      <c r="E142" s="73" t="str">
        <f>Table6[[#This Row],[area_surgery]]</f>
        <v>Other Abdominal</v>
      </c>
      <c r="F142" s="75">
        <f>Table6[[#This Row],[admission_date]]</f>
        <v>43369</v>
      </c>
      <c r="G142" s="75">
        <f>Table6[[#This Row],[admission_date]]</f>
        <v>43369</v>
      </c>
      <c r="H142" s="105">
        <f>Table6[[#This Row],[surgery_duration]]</f>
        <v>0.42708333333333331</v>
      </c>
      <c r="I142" s="73" t="str">
        <f>Table6[[#This Row],[discharge_loc]]</f>
        <v>H6</v>
      </c>
      <c r="J142" s="75">
        <f>Table6[[#This Row],[discharge_date]]</f>
        <v>43403</v>
      </c>
      <c r="K142" s="76">
        <f>Table6[[#This Row],[hospital_stay]]</f>
        <v>22</v>
      </c>
      <c r="L142" s="76">
        <f>Table6[[#This Row],[readmit_30]]</f>
        <v>0</v>
      </c>
      <c r="M142" s="77" t="str">
        <f>Table9[[#This Row],[troponin]]</f>
        <v>Not Measured</v>
      </c>
      <c r="N142" s="78">
        <f>Table9[[#This Row],[hb]]</f>
        <v>13.8</v>
      </c>
      <c r="O142" s="78">
        <f>Table9[[#This Row],[creatinine]]</f>
        <v>84</v>
      </c>
      <c r="P142" s="78">
        <f>Table9[[#This Row],[albumin]]</f>
        <v>46</v>
      </c>
      <c r="Q142" s="73" t="str">
        <f>Table9[[#This Row],[chest_physio]]</f>
        <v>No</v>
      </c>
      <c r="R142" s="73" t="str">
        <f>Table9[[#This Row],[surgery_school]]</f>
        <v>No - Wasn’t offered it</v>
      </c>
      <c r="S142" s="75">
        <f>Table9[[#This Row],[date_school]]</f>
        <v>0</v>
      </c>
      <c r="T142" s="73" t="str">
        <f>Table9[[#This Row],[app_down]]</f>
        <v>No - Have electronic device</v>
      </c>
      <c r="U142" s="73" t="str">
        <f>Table9[[#This Row],[website]]</f>
        <v>No</v>
      </c>
      <c r="V142" s="73" t="str">
        <f>Table9[[#This Row],[base_activity]]</f>
        <v>30mins of moderate activity</v>
      </c>
      <c r="W142" s="73" t="str">
        <f>Table9[[#This Row],[current_activity]]</f>
        <v>30mins of moderate activity</v>
      </c>
      <c r="X142" s="73" t="str">
        <f>Table9[[#This Row],[activity_type]]</f>
        <v xml:space="preserve">Walking regularly </v>
      </c>
      <c r="Y142" s="73" t="str">
        <f>Table9[[#This Row],[anaemia_treat]]</f>
        <v>Not applicable</v>
      </c>
      <c r="Z142" s="78" t="str">
        <f>Table9[[#This Row],[anaesthesia]]</f>
        <v>General with TIVA</v>
      </c>
      <c r="AA142" s="78">
        <f>Table9[[#This Row],[smoke_hist]]</f>
        <v>0</v>
      </c>
      <c r="AB142" s="78">
        <f>Table9[[#This Row],[smoke_cess]]</f>
        <v>0</v>
      </c>
      <c r="AC142" s="78" t="str">
        <f>Table9[[#This Row],[tidal_vol]]</f>
        <v>Not recorded</v>
      </c>
      <c r="AD142" s="77" t="str">
        <f>Table11[[#This Row],[inc_spiro]]</f>
        <v>Not used</v>
      </c>
      <c r="AE142" s="73" t="str">
        <f>Table11[[#This Row],[t_brushes]]</f>
        <v>Twice</v>
      </c>
      <c r="AF142" s="78" t="str">
        <f>Table11[[#This Row],[m_washes]]</f>
        <v>Twice</v>
      </c>
      <c r="AG142" s="78" t="str">
        <f>Table11[[#This Row],[iv_disc]]</f>
        <v>No</v>
      </c>
      <c r="AH142" s="78" t="str">
        <f>Table11[[#This Row],[tolerate_15l]]</f>
        <v>Not applicable</v>
      </c>
      <c r="AI142" s="78" t="str">
        <f>Table11[[#This Row],[drinking]]</f>
        <v>No</v>
      </c>
      <c r="AJ142" s="78" t="str">
        <f>Table11[[#This Row],[oral_diet]]</f>
        <v>No</v>
      </c>
      <c r="AK142" s="78" t="str">
        <f>Table11[[#This Row],[mobilised]]</f>
        <v>No</v>
      </c>
      <c r="AL142" s="79" t="str">
        <f>Table11[[#This Row],[resp_supp]]</f>
        <v>None</v>
      </c>
      <c r="AM142" s="78" t="str">
        <f>Table11[[#This Row],[elev_head]]</f>
        <v>Yes</v>
      </c>
      <c r="AN142" s="78" t="str">
        <f>Table13[[#This Row],[in_hospital]]</f>
        <v>Yes</v>
      </c>
      <c r="AO142" s="78" t="str">
        <f>Table13[[#This Row],[location_7]]</f>
        <v>Ward</v>
      </c>
      <c r="AP142" s="78" t="str">
        <f>Table13[[#This Row],[infec_24]]</f>
        <v>None of the above</v>
      </c>
      <c r="AQ142" s="73" t="str">
        <f>Table13[[#This Row],[infec_7]]</f>
        <v>None</v>
      </c>
      <c r="AR142" s="73" t="str">
        <f>Table13[[#This Row],[gastro]]</f>
        <v>None of the above</v>
      </c>
      <c r="AS142" s="73" t="str">
        <f>Table13[[#This Row],[pulm_supp_24]]</f>
        <v>None of the above</v>
      </c>
      <c r="AT142" s="73" t="str">
        <f>Table13[[#This Row],[pulm_supp_7]]</f>
        <v>None</v>
      </c>
      <c r="AU142" s="73" t="str">
        <f>Table13[[#This Row],[pulm_pharm]]</f>
        <v>None</v>
      </c>
      <c r="AV142" s="73" t="str">
        <f>Table13[[#This Row],[cardio_24]]</f>
        <v>None of the above</v>
      </c>
      <c r="AW142" s="73" t="str">
        <f>Table13[[#This Row],[troponin_7]]</f>
        <v>None measured</v>
      </c>
      <c r="AX142" s="73">
        <f>Table13[[#This Row],[creatinine_base]]</f>
        <v>84</v>
      </c>
      <c r="AY142" s="73">
        <f>Table13[[#This Row],[creatinine_high]]</f>
        <v>113</v>
      </c>
      <c r="AZ142" s="73" t="str">
        <f>Table13[[#This Row],[rrt]]</f>
        <v xml:space="preserve">No </v>
      </c>
      <c r="BA142" s="73" t="str">
        <f>Table13[[#This Row],[renal_24]]</f>
        <v>None of the above</v>
      </c>
      <c r="BB142" s="73" t="str">
        <f>Table13[[#This Row],[neuro]]</f>
        <v>None of the above</v>
      </c>
      <c r="BC142" s="73" t="str">
        <f>Table13[[#This Row],[wound]]</f>
        <v>None of the above</v>
      </c>
      <c r="BD142" s="73" t="str">
        <f>Table13[[#This Row],[haemato]]</f>
        <v>None of the above</v>
      </c>
      <c r="BE142" s="73" t="str">
        <f>Table13[[#This Row],[pain]]</f>
        <v>Parenteral opioids</v>
      </c>
      <c r="BF142" s="73" t="str">
        <f>Table13[[#This Row],[mobility]]</f>
        <v>No</v>
      </c>
      <c r="BG142" s="79" t="str">
        <f>Table13[[#This Row],[why_inpatient_7]]</f>
        <v>Mobility Issue, Medical/nursing care</v>
      </c>
      <c r="BH142" s="9">
        <f>Table13[[#This Row],[date_15]]</f>
        <v>43396</v>
      </c>
      <c r="BI142" t="str">
        <f>Table13[[#This Row],[inpatient_15]]</f>
        <v>Yes</v>
      </c>
      <c r="BJ142" t="str">
        <f>Table13[[#This Row],[comment_15]]</f>
        <v>Day 8: Pyrexia and high inflamatory markers; Day 9: empirical abx for sepsis of unknown source, IV fluids; Day 10: overall urinary source, spiking temperatures and raised infamatory markers; Day 11: sepsis considered as abdominal wall infection after CT findings; Day 12: temperature spike; Day 14: scrotal swelling; Day 15: temperature spike, repeat CT scan, reculture</v>
      </c>
      <c r="BK142" t="str">
        <f>Table13[[#This Row],[discharge_dest]]</f>
        <v>Own Home</v>
      </c>
      <c r="BL142" t="str">
        <f>Table13[[#This Row],[complication]]</f>
        <v>II</v>
      </c>
    </row>
    <row r="143" spans="1:64" ht="18" customHeight="1">
      <c r="A143" s="73">
        <f>Table5[[#This Row],[comment]]</f>
        <v>0</v>
      </c>
      <c r="B143" s="73" t="str">
        <f>Table9[[#This Row],[surgeon]]</f>
        <v>Alan Li, Bilal Alkhaffaf</v>
      </c>
      <c r="C143" s="73" t="str">
        <f>Table9[[#This Row],[surgery]]</f>
        <v xml:space="preserve">Oesophagectomy (total)/Oesophagogastrectomy </v>
      </c>
      <c r="D143" s="74" t="str">
        <f>Table5[[#This Row],[pqip_consent]]</f>
        <v>Yes</v>
      </c>
      <c r="E143" s="73" t="str">
        <f>Table6[[#This Row],[area_surgery]]</f>
        <v>Upper GI</v>
      </c>
      <c r="F143" s="75">
        <f>Table6[[#This Row],[admission_date]]</f>
        <v>43381</v>
      </c>
      <c r="G143" s="75">
        <f>Table6[[#This Row],[admission_date]]</f>
        <v>43381</v>
      </c>
      <c r="H143" s="105">
        <f>Table6[[#This Row],[surgery_duration]]</f>
        <v>0.28125</v>
      </c>
      <c r="I143" s="73" t="str">
        <f>Table6[[#This Row],[discharge_loc]]</f>
        <v>CCU (Level 2/3)</v>
      </c>
      <c r="J143" s="75">
        <f>Table6[[#This Row],[discharge_date]]</f>
        <v>43396</v>
      </c>
      <c r="K143" s="76">
        <f>Table6[[#This Row],[hospital_stay]]</f>
        <v>15</v>
      </c>
      <c r="L143" s="76">
        <f>Table6[[#This Row],[readmit_30]]</f>
        <v>0</v>
      </c>
      <c r="M143" s="77" t="str">
        <f>Table9[[#This Row],[troponin]]</f>
        <v>Not Measured</v>
      </c>
      <c r="N143" s="78">
        <f>Table9[[#This Row],[hb]]</f>
        <v>15.6</v>
      </c>
      <c r="O143" s="78">
        <f>Table9[[#This Row],[creatinine]]</f>
        <v>70</v>
      </c>
      <c r="P143" s="78">
        <f>Table9[[#This Row],[albumin]]</f>
        <v>47</v>
      </c>
      <c r="Q143" s="73" t="str">
        <f>Table9[[#This Row],[chest_physio]]</f>
        <v>Surgery School</v>
      </c>
      <c r="R143" s="73" t="str">
        <f>Table9[[#This Row],[surgery_school]]</f>
        <v>Yes - Hospital Session</v>
      </c>
      <c r="S143" s="75">
        <f>Table9[[#This Row],[date_school]]</f>
        <v>43363</v>
      </c>
      <c r="T143" s="73" t="str">
        <f>Table9[[#This Row],[app_down]]</f>
        <v>No - No electronic device</v>
      </c>
      <c r="U143" s="73" t="str">
        <f>Table9[[#This Row],[website]]</f>
        <v>No</v>
      </c>
      <c r="V143" s="73" t="str">
        <f>Table9[[#This Row],[base_activity]]</f>
        <v>No extra activity - Independent in ADLs</v>
      </c>
      <c r="W143" s="73" t="str">
        <f>Table9[[#This Row],[current_activity]]</f>
        <v>No extra activity - Independent in ADLs</v>
      </c>
      <c r="X143" s="73" t="str">
        <f>Table9[[#This Row],[activity_type]]</f>
        <v>None</v>
      </c>
      <c r="Y143" s="73" t="str">
        <f>Table9[[#This Row],[anaemia_treat]]</f>
        <v>Not applicable</v>
      </c>
      <c r="Z143" s="78" t="str">
        <f>Table9[[#This Row],[anaesthesia]]</f>
        <v>General with Inhalational</v>
      </c>
      <c r="AA143" s="78">
        <f>Table9[[#This Row],[smoke_hist]]</f>
        <v>0</v>
      </c>
      <c r="AB143" s="78">
        <f>Table9[[#This Row],[smoke_cess]]</f>
        <v>0</v>
      </c>
      <c r="AC143" s="78" t="str">
        <f>Table9[[#This Row],[tidal_vol]]</f>
        <v>Not recorded</v>
      </c>
      <c r="AD143" s="77" t="str">
        <f>Table11[[#This Row],[inc_spiro]]</f>
        <v>Twice</v>
      </c>
      <c r="AE143" s="73" t="str">
        <f>Table11[[#This Row],[t_brushes]]</f>
        <v>Once</v>
      </c>
      <c r="AF143" s="78" t="str">
        <f>Table11[[#This Row],[m_washes]]</f>
        <v>Once</v>
      </c>
      <c r="AG143" s="78" t="str">
        <f>Table11[[#This Row],[iv_disc]]</f>
        <v>No</v>
      </c>
      <c r="AH143" s="78" t="str">
        <f>Table11[[#This Row],[tolerate_15l]]</f>
        <v>Not applicable</v>
      </c>
      <c r="AI143" s="78" t="str">
        <f>Table11[[#This Row],[drinking]]</f>
        <v>No</v>
      </c>
      <c r="AJ143" s="78" t="str">
        <f>Table11[[#This Row],[oral_diet]]</f>
        <v>No</v>
      </c>
      <c r="AK143" s="78" t="str">
        <f>Table11[[#This Row],[mobilised]]</f>
        <v>Yes</v>
      </c>
      <c r="AL143" s="79" t="str">
        <f>Table11[[#This Row],[resp_supp]]</f>
        <v>High flow Nasal</v>
      </c>
      <c r="AM143" s="78" t="str">
        <f>Table11[[#This Row],[elev_head]]</f>
        <v>Yes</v>
      </c>
      <c r="AN143" s="78" t="str">
        <f>Table13[[#This Row],[in_hospital]]</f>
        <v>Yes</v>
      </c>
      <c r="AO143" s="78" t="str">
        <f>Table13[[#This Row],[location_7]]</f>
        <v>Ward</v>
      </c>
      <c r="AP143" s="78" t="str">
        <f>Table13[[#This Row],[infec_24]]</f>
        <v>Patient currently on IV antibiotics, Patient had temperature &gt;38˚C</v>
      </c>
      <c r="AQ143" s="73" t="str">
        <f>Table13[[#This Row],[infec_7]]</f>
        <v>Chest</v>
      </c>
      <c r="AR143" s="73" t="str">
        <f>Table13[[#This Row],[gastro]]</f>
        <v>Unable to tolerate enteral diet</v>
      </c>
      <c r="AS143" s="73" t="str">
        <f>Table13[[#This Row],[pulm_supp_24]]</f>
        <v>New requirement for oxygen</v>
      </c>
      <c r="AT143" s="73" t="str">
        <f>Table13[[#This Row],[pulm_supp_7]]</f>
        <v>None</v>
      </c>
      <c r="AU143" s="73" t="str">
        <f>Table13[[#This Row],[pulm_pharm]]</f>
        <v>Bronchodilators nebulised</v>
      </c>
      <c r="AV143" s="73" t="str">
        <f>Table13[[#This Row],[cardio_24]]</f>
        <v>None of the above</v>
      </c>
      <c r="AW143" s="73" t="str">
        <f>Table13[[#This Row],[troponin_7]]</f>
        <v>None measured</v>
      </c>
      <c r="AX143" s="73">
        <f>Table13[[#This Row],[creatinine_base]]</f>
        <v>70</v>
      </c>
      <c r="AY143" s="73">
        <f>Table13[[#This Row],[creatinine_high]]</f>
        <v>60</v>
      </c>
      <c r="AZ143" s="73" t="str">
        <f>Table13[[#This Row],[rrt]]</f>
        <v xml:space="preserve">No </v>
      </c>
      <c r="BA143" s="73" t="str">
        <f>Table13[[#This Row],[renal_24]]</f>
        <v>Urethral catheter in-situ (not present pre-operatively)</v>
      </c>
      <c r="BB143" s="73" t="str">
        <f>Table13[[#This Row],[neuro]]</f>
        <v>None of the above</v>
      </c>
      <c r="BC143" s="73" t="str">
        <f>Table13[[#This Row],[wound]]</f>
        <v>None of the above</v>
      </c>
      <c r="BD143" s="73" t="str">
        <f>Table13[[#This Row],[haemato]]</f>
        <v>None of the above</v>
      </c>
      <c r="BE143" s="73" t="str">
        <f>Table13[[#This Row],[pain]]</f>
        <v>None of the above</v>
      </c>
      <c r="BF143" s="73" t="str">
        <f>Table13[[#This Row],[mobility]]</f>
        <v>No</v>
      </c>
      <c r="BG143" s="79" t="str">
        <f>Table13[[#This Row],[why_inpatient_7]]</f>
        <v>Medical/nursing care</v>
      </c>
      <c r="BH143" s="9">
        <f>Table13[[#This Row],[date_15]]</f>
        <v>43396</v>
      </c>
      <c r="BI143" t="str">
        <f>Table13[[#This Row],[inpatient_15]]</f>
        <v>No</v>
      </c>
      <c r="BJ143">
        <f>Table13[[#This Row],[comment_15]]</f>
        <v>0</v>
      </c>
      <c r="BK143" t="str">
        <f>Table13[[#This Row],[discharge_dest]]</f>
        <v>Own Home</v>
      </c>
      <c r="BL143" t="str">
        <f>Table13[[#This Row],[complication]]</f>
        <v>II</v>
      </c>
    </row>
    <row r="144" spans="1:64" ht="18" customHeight="1">
      <c r="A144" s="73">
        <f>Table5[[#This Row],[comment]]</f>
        <v>0</v>
      </c>
      <c r="B144" s="73" t="str">
        <f>Table9[[#This Row],[surgeon]]</f>
        <v>Lyndsay Pearce</v>
      </c>
      <c r="C144" s="73" t="str">
        <f>Table9[[#This Row],[surgery]]</f>
        <v>Left hemicolectomy (with anastomosis /colostomy)</v>
      </c>
      <c r="D144" s="74" t="str">
        <f>Table5[[#This Row],[pqip_consent]]</f>
        <v>Yes</v>
      </c>
      <c r="E144" s="73" t="str">
        <f>Table6[[#This Row],[area_surgery]]</f>
        <v>Lower GI</v>
      </c>
      <c r="F144" s="75">
        <f>Table6[[#This Row],[admission_date]]</f>
        <v>43381</v>
      </c>
      <c r="G144" s="75">
        <f>Table6[[#This Row],[admission_date]]</f>
        <v>43381</v>
      </c>
      <c r="H144" s="105">
        <f>Table6[[#This Row],[surgery_duration]]</f>
        <v>0.19791666666666666</v>
      </c>
      <c r="I144" s="73" t="str">
        <f>Table6[[#This Row],[discharge_loc]]</f>
        <v>H6</v>
      </c>
      <c r="J144" s="75">
        <f>Table6[[#This Row],[discharge_date]]</f>
        <v>43384</v>
      </c>
      <c r="K144" s="76">
        <f>Table6[[#This Row],[hospital_stay]]</f>
        <v>3</v>
      </c>
      <c r="L144" s="76" t="str">
        <f>Table6[[#This Row],[readmit_30]]</f>
        <v>No</v>
      </c>
      <c r="M144" s="77" t="str">
        <f>Table9[[#This Row],[troponin]]</f>
        <v>Not Measured</v>
      </c>
      <c r="N144" s="78">
        <f>Table9[[#This Row],[hb]]</f>
        <v>12.9</v>
      </c>
      <c r="O144" s="78">
        <f>Table9[[#This Row],[creatinine]]</f>
        <v>75</v>
      </c>
      <c r="P144" s="78">
        <f>Table9[[#This Row],[albumin]]</f>
        <v>48</v>
      </c>
      <c r="Q144" s="73" t="str">
        <f>Table9[[#This Row],[chest_physio]]</f>
        <v>Surgery School</v>
      </c>
      <c r="R144" s="73" t="str">
        <f>Table9[[#This Row],[surgery_school]]</f>
        <v>Yes - Hospital Session</v>
      </c>
      <c r="S144" s="75">
        <f>Table9[[#This Row],[date_school]]</f>
        <v>43378</v>
      </c>
      <c r="T144" s="73" t="str">
        <f>Table9[[#This Row],[app_down]]</f>
        <v>No - Have electronic device</v>
      </c>
      <c r="U144" s="73" t="str">
        <f>Table9[[#This Row],[website]]</f>
        <v>No</v>
      </c>
      <c r="V144" s="73" t="str">
        <f>Table9[[#This Row],[base_activity]]</f>
        <v>30mins of moderate activity</v>
      </c>
      <c r="W144" s="73" t="str">
        <f>Table9[[#This Row],[current_activity]]</f>
        <v>30mins of moderate activity</v>
      </c>
      <c r="X144" s="73" t="str">
        <f>Table9[[#This Row],[activity_type]]</f>
        <v xml:space="preserve">Walking regularly </v>
      </c>
      <c r="Y144" s="73" t="str">
        <f>Table9[[#This Row],[anaemia_treat]]</f>
        <v>Not applicable</v>
      </c>
      <c r="Z144" s="78" t="str">
        <f>Table9[[#This Row],[anaesthesia]]</f>
        <v>General with Inhalational</v>
      </c>
      <c r="AA144" s="78">
        <f>Table9[[#This Row],[smoke_hist]]</f>
        <v>0</v>
      </c>
      <c r="AB144" s="78">
        <f>Table9[[#This Row],[smoke_cess]]</f>
        <v>0</v>
      </c>
      <c r="AC144" s="78" t="str">
        <f>Table9[[#This Row],[tidal_vol]]</f>
        <v>Not recorded</v>
      </c>
      <c r="AD144" s="77" t="str">
        <f>Table11[[#This Row],[inc_spiro]]</f>
        <v>Not used</v>
      </c>
      <c r="AE144" s="73" t="str">
        <f>Table11[[#This Row],[t_brushes]]</f>
        <v>Twice</v>
      </c>
      <c r="AF144" s="78" t="str">
        <f>Table11[[#This Row],[m_washes]]</f>
        <v>Twice</v>
      </c>
      <c r="AG144" s="78" t="str">
        <f>Table11[[#This Row],[iv_disc]]</f>
        <v>No</v>
      </c>
      <c r="AH144" s="78" t="str">
        <f>Table11[[#This Row],[tolerate_15l]]</f>
        <v>Yes</v>
      </c>
      <c r="AI144" s="78" t="str">
        <f>Table11[[#This Row],[drinking]]</f>
        <v>Yes</v>
      </c>
      <c r="AJ144" s="78" t="str">
        <f>Table11[[#This Row],[oral_diet]]</f>
        <v>Yes</v>
      </c>
      <c r="AK144" s="78" t="str">
        <f>Table11[[#This Row],[mobilised]]</f>
        <v>Yes</v>
      </c>
      <c r="AL144" s="79" t="str">
        <f>Table11[[#This Row],[resp_supp]]</f>
        <v>None</v>
      </c>
      <c r="AM144" s="78" t="str">
        <f>Table11[[#This Row],[elev_head]]</f>
        <v xml:space="preserve"> Yes</v>
      </c>
      <c r="AN144" s="78" t="str">
        <f>Table13[[#This Row],[in_hospital]]</f>
        <v>No</v>
      </c>
      <c r="AO144" s="78">
        <f>Table13[[#This Row],[location_7]]</f>
        <v>0</v>
      </c>
      <c r="AP144" s="78">
        <f>Table13[[#This Row],[infec_24]]</f>
        <v>0</v>
      </c>
      <c r="AQ144" s="73">
        <f>Table13[[#This Row],[infec_7]]</f>
        <v>0</v>
      </c>
      <c r="AR144" s="73">
        <f>Table13[[#This Row],[gastro]]</f>
        <v>0</v>
      </c>
      <c r="AS144" s="73">
        <f>Table13[[#This Row],[pulm_supp_24]]</f>
        <v>0</v>
      </c>
      <c r="AT144" s="73">
        <f>Table13[[#This Row],[pulm_supp_7]]</f>
        <v>0</v>
      </c>
      <c r="AU144" s="73">
        <f>Table13[[#This Row],[pulm_pharm]]</f>
        <v>0</v>
      </c>
      <c r="AV144" s="73">
        <f>Table13[[#This Row],[cardio_24]]</f>
        <v>0</v>
      </c>
      <c r="AW144" s="73">
        <f>Table13[[#This Row],[troponin_7]]</f>
        <v>0</v>
      </c>
      <c r="AX144" s="73">
        <f>Table13[[#This Row],[creatinine_base]]</f>
        <v>0</v>
      </c>
      <c r="AY144" s="73">
        <f>Table13[[#This Row],[creatinine_high]]</f>
        <v>0</v>
      </c>
      <c r="AZ144" s="73">
        <f>Table13[[#This Row],[rrt]]</f>
        <v>0</v>
      </c>
      <c r="BA144" s="73">
        <f>Table13[[#This Row],[renal_24]]</f>
        <v>0</v>
      </c>
      <c r="BB144" s="73">
        <f>Table13[[#This Row],[neuro]]</f>
        <v>0</v>
      </c>
      <c r="BC144" s="73">
        <f>Table13[[#This Row],[wound]]</f>
        <v>0</v>
      </c>
      <c r="BD144" s="73">
        <f>Table13[[#This Row],[haemato]]</f>
        <v>0</v>
      </c>
      <c r="BE144" s="73">
        <f>Table13[[#This Row],[pain]]</f>
        <v>0</v>
      </c>
      <c r="BF144" s="73">
        <f>Table13[[#This Row],[mobility]]</f>
        <v>0</v>
      </c>
      <c r="BG144" s="79">
        <f>Table13[[#This Row],[why_inpatient_7]]</f>
        <v>0</v>
      </c>
      <c r="BH144" s="9">
        <f>Table13[[#This Row],[date_15]]</f>
        <v>0</v>
      </c>
      <c r="BI144">
        <f>Table13[[#This Row],[inpatient_15]]</f>
        <v>0</v>
      </c>
      <c r="BJ144">
        <f>Table13[[#This Row],[comment_15]]</f>
        <v>0</v>
      </c>
      <c r="BK144" t="str">
        <f>Table13[[#This Row],[discharge_dest]]</f>
        <v>Own Home</v>
      </c>
      <c r="BL144" t="str">
        <f>Table13[[#This Row],[complication]]</f>
        <v>None</v>
      </c>
    </row>
    <row r="145" spans="1:64" ht="18" customHeight="1">
      <c r="A145" s="73">
        <f>Table5[[#This Row],[comment]]</f>
        <v>0</v>
      </c>
      <c r="B145" s="73" t="str">
        <f>Table9[[#This Row],[surgeon]]</f>
        <v>Maurice Lau</v>
      </c>
      <c r="C145" s="73" t="str">
        <f>Table9[[#This Row],[surgery]]</f>
        <v xml:space="preserve">Cystectomy </v>
      </c>
      <c r="D145" s="74" t="str">
        <f>Table5[[#This Row],[pqip_consent]]</f>
        <v>Yes</v>
      </c>
      <c r="E145" s="73" t="str">
        <f>Table6[[#This Row],[area_surgery]]</f>
        <v>Urology</v>
      </c>
      <c r="F145" s="75">
        <f>Table6[[#This Row],[admission_date]]</f>
        <v>43382</v>
      </c>
      <c r="G145" s="75">
        <f>Table6[[#This Row],[admission_date]]</f>
        <v>43382</v>
      </c>
      <c r="H145" s="105">
        <f>Table6[[#This Row],[surgery_duration]]</f>
        <v>0.36458333333333331</v>
      </c>
      <c r="I145" s="73" t="str">
        <f>Table6[[#This Row],[discharge_loc]]</f>
        <v>H6</v>
      </c>
      <c r="J145" s="75">
        <f>Table6[[#This Row],[discharge_date]]</f>
        <v>43391</v>
      </c>
      <c r="K145" s="76">
        <f>Table6[[#This Row],[hospital_stay]]</f>
        <v>9</v>
      </c>
      <c r="L145" s="76">
        <f>Table6[[#This Row],[readmit_30]]</f>
        <v>0</v>
      </c>
      <c r="M145" s="77" t="str">
        <f>Table9[[#This Row],[troponin]]</f>
        <v>Not Measured</v>
      </c>
      <c r="N145" s="78">
        <f>Table9[[#This Row],[hb]]</f>
        <v>11.8</v>
      </c>
      <c r="O145" s="78">
        <f>Table9[[#This Row],[creatinine]]</f>
        <v>87</v>
      </c>
      <c r="P145" s="78">
        <f>Table9[[#This Row],[albumin]]</f>
        <v>45</v>
      </c>
      <c r="Q145" s="73" t="str">
        <f>Table9[[#This Row],[chest_physio]]</f>
        <v>Surgery School</v>
      </c>
      <c r="R145" s="73" t="str">
        <f>Table9[[#This Row],[surgery_school]]</f>
        <v>Yes - Hospital Session</v>
      </c>
      <c r="S145" s="75">
        <f>Table9[[#This Row],[date_school]]</f>
        <v>43363</v>
      </c>
      <c r="T145" s="73" t="str">
        <f>Table9[[#This Row],[app_down]]</f>
        <v>No - Have electronic device</v>
      </c>
      <c r="U145" s="73" t="str">
        <f>Table9[[#This Row],[website]]</f>
        <v>No</v>
      </c>
      <c r="V145" s="73" t="str">
        <f>Table9[[#This Row],[base_activity]]</f>
        <v>&gt;30mins of moderate activity</v>
      </c>
      <c r="W145" s="73" t="str">
        <f>Table9[[#This Row],[current_activity]]</f>
        <v>No extra activity - Independent in ADLs</v>
      </c>
      <c r="X145" s="73" t="str">
        <f>Table9[[#This Row],[activity_type]]</f>
        <v>None</v>
      </c>
      <c r="Y145" s="73" t="str">
        <f>Table9[[#This Row],[anaemia_treat]]</f>
        <v>Not applicable</v>
      </c>
      <c r="Z145" s="78" t="str">
        <f>Table9[[#This Row],[anaesthesia]]</f>
        <v>General with Inhalational</v>
      </c>
      <c r="AA145" s="78">
        <f>Table9[[#This Row],[smoke_hist]]</f>
        <v>0</v>
      </c>
      <c r="AB145" s="78">
        <f>Table9[[#This Row],[smoke_cess]]</f>
        <v>0</v>
      </c>
      <c r="AC145" s="78" t="str">
        <f>Table9[[#This Row],[tidal_vol]]</f>
        <v>Not recorded</v>
      </c>
      <c r="AD145" s="77" t="str">
        <f>Table11[[#This Row],[inc_spiro]]</f>
        <v>Not used</v>
      </c>
      <c r="AE145" s="73" t="str">
        <f>Table11[[#This Row],[t_brushes]]</f>
        <v>Once</v>
      </c>
      <c r="AF145" s="78" t="str">
        <f>Table11[[#This Row],[m_washes]]</f>
        <v>Once</v>
      </c>
      <c r="AG145" s="78" t="str">
        <f>Table11[[#This Row],[iv_disc]]</f>
        <v>No</v>
      </c>
      <c r="AH145" s="78" t="str">
        <f>Table11[[#This Row],[tolerate_15l]]</f>
        <v>No</v>
      </c>
      <c r="AI145" s="78" t="str">
        <f>Table11[[#This Row],[drinking]]</f>
        <v>Yes</v>
      </c>
      <c r="AJ145" s="78" t="str">
        <f>Table11[[#This Row],[oral_diet]]</f>
        <v>Yes</v>
      </c>
      <c r="AK145" s="78" t="str">
        <f>Table11[[#This Row],[mobilised]]</f>
        <v>Yes</v>
      </c>
      <c r="AL145" s="79" t="str">
        <f>Table11[[#This Row],[resp_supp]]</f>
        <v>None</v>
      </c>
      <c r="AM145" s="78" t="str">
        <f>Table11[[#This Row],[elev_head]]</f>
        <v>Yes</v>
      </c>
      <c r="AN145" s="78" t="str">
        <f>Table13[[#This Row],[in_hospital]]</f>
        <v>Yes</v>
      </c>
      <c r="AO145" s="78" t="str">
        <f>Table13[[#This Row],[location_7]]</f>
        <v>Ward</v>
      </c>
      <c r="AP145" s="78" t="str">
        <f>Table13[[#This Row],[infec_24]]</f>
        <v>None of the above</v>
      </c>
      <c r="AQ145" s="73" t="str">
        <f>Table13[[#This Row],[infec_7]]</f>
        <v>None</v>
      </c>
      <c r="AR145" s="73" t="str">
        <f>Table13[[#This Row],[gastro]]</f>
        <v>Experienced nausea, vomiting or distension</v>
      </c>
      <c r="AS145" s="73" t="str">
        <f>Table13[[#This Row],[pulm_supp_24]]</f>
        <v>None of the above</v>
      </c>
      <c r="AT145" s="73" t="str">
        <f>Table13[[#This Row],[pulm_supp_7]]</f>
        <v>None</v>
      </c>
      <c r="AU145" s="73" t="str">
        <f>Table13[[#This Row],[pulm_pharm]]</f>
        <v>None</v>
      </c>
      <c r="AV145" s="73" t="str">
        <f>Table13[[#This Row],[cardio_24]]</f>
        <v>None of the above</v>
      </c>
      <c r="AW145" s="73" t="str">
        <f>Table13[[#This Row],[troponin_7]]</f>
        <v>None measured</v>
      </c>
      <c r="AX145" s="73">
        <f>Table13[[#This Row],[creatinine_base]]</f>
        <v>87</v>
      </c>
      <c r="AY145" s="73">
        <f>Table13[[#This Row],[creatinine_high]]</f>
        <v>76</v>
      </c>
      <c r="AZ145" s="73" t="str">
        <f>Table13[[#This Row],[rrt]]</f>
        <v xml:space="preserve">No </v>
      </c>
      <c r="BA145" s="73" t="str">
        <f>Table13[[#This Row],[renal_24]]</f>
        <v>None of the above</v>
      </c>
      <c r="BB145" s="73" t="str">
        <f>Table13[[#This Row],[neuro]]</f>
        <v>None of the above</v>
      </c>
      <c r="BC145" s="73" t="str">
        <f>Table13[[#This Row],[wound]]</f>
        <v>None of the above</v>
      </c>
      <c r="BD145" s="73" t="str">
        <f>Table13[[#This Row],[haemato]]</f>
        <v>None of the above</v>
      </c>
      <c r="BE145" s="73" t="str">
        <f>Table13[[#This Row],[pain]]</f>
        <v>Parenteral opioids</v>
      </c>
      <c r="BF145" s="73" t="str">
        <f>Table13[[#This Row],[mobility]]</f>
        <v>No</v>
      </c>
      <c r="BG145" s="79" t="str">
        <f>Table13[[#This Row],[why_inpatient_7]]</f>
        <v>Medical/nursing care</v>
      </c>
      <c r="BH145" s="9">
        <f>Table13[[#This Row],[date_15]]</f>
        <v>43397</v>
      </c>
      <c r="BI145" t="str">
        <f>Table13[[#This Row],[inpatient_15]]</f>
        <v>No</v>
      </c>
      <c r="BJ145">
        <f>Table13[[#This Row],[comment_15]]</f>
        <v>0</v>
      </c>
      <c r="BK145" t="str">
        <f>Table13[[#This Row],[discharge_dest]]</f>
        <v>Own Home</v>
      </c>
      <c r="BL145" t="str">
        <f>Table13[[#This Row],[complication]]</f>
        <v>II</v>
      </c>
    </row>
    <row r="146" spans="1:64" ht="18" customHeight="1">
      <c r="A146" s="73">
        <f>Table5[[#This Row],[comment]]</f>
        <v>0</v>
      </c>
      <c r="B146" s="73" t="str">
        <f>Table9[[#This Row],[surgeon]]</f>
        <v>Jonathan Epstein</v>
      </c>
      <c r="C146" s="73" t="str">
        <f>Table9[[#This Row],[surgery]]</f>
        <v>Reversal of Hartmann's procedure</v>
      </c>
      <c r="D146" s="74" t="str">
        <f>Table5[[#This Row],[pqip_consent]]</f>
        <v>Yes</v>
      </c>
      <c r="E146" s="73" t="str">
        <f>Table6[[#This Row],[area_surgery]]</f>
        <v>Lower GI</v>
      </c>
      <c r="F146" s="75">
        <f>Table6[[#This Row],[admission_date]]</f>
        <v>43382</v>
      </c>
      <c r="G146" s="75">
        <f>Table6[[#This Row],[admission_date]]</f>
        <v>43382</v>
      </c>
      <c r="H146" s="105">
        <f>Table6[[#This Row],[surgery_duration]]</f>
        <v>0.23958333333333334</v>
      </c>
      <c r="I146" s="73" t="str">
        <f>Table6[[#This Row],[discharge_loc]]</f>
        <v>H6</v>
      </c>
      <c r="J146" s="75">
        <f>Table6[[#This Row],[discharge_date]]</f>
        <v>43386</v>
      </c>
      <c r="K146" s="76">
        <f>Table6[[#This Row],[hospital_stay]]</f>
        <v>4</v>
      </c>
      <c r="L146" s="76">
        <f>Table6[[#This Row],[readmit_30]]</f>
        <v>0</v>
      </c>
      <c r="M146" s="77" t="str">
        <f>Table9[[#This Row],[troponin]]</f>
        <v>Not Measured</v>
      </c>
      <c r="N146" s="78">
        <f>Table9[[#This Row],[hb]]</f>
        <v>12.4</v>
      </c>
      <c r="O146" s="78">
        <f>Table9[[#This Row],[creatinine]]</f>
        <v>63</v>
      </c>
      <c r="P146" s="78">
        <f>Table9[[#This Row],[albumin]]</f>
        <v>48</v>
      </c>
      <c r="Q146" s="73" t="str">
        <f>Table9[[#This Row],[chest_physio]]</f>
        <v>No</v>
      </c>
      <c r="R146" s="73" t="str">
        <f>Table9[[#This Row],[surgery_school]]</f>
        <v>No - Wasn’t offered it</v>
      </c>
      <c r="S146" s="75">
        <f>Table9[[#This Row],[date_school]]</f>
        <v>0</v>
      </c>
      <c r="T146" s="73" t="str">
        <f>Table9[[#This Row],[app_down]]</f>
        <v>No - No electronic device</v>
      </c>
      <c r="U146" s="73" t="str">
        <f>Table9[[#This Row],[website]]</f>
        <v>No</v>
      </c>
      <c r="V146" s="73" t="str">
        <f>Table9[[#This Row],[base_activity]]</f>
        <v>30mins of moderate activity</v>
      </c>
      <c r="W146" s="73" t="str">
        <f>Table9[[#This Row],[current_activity]]</f>
        <v>30mins of moderate activity</v>
      </c>
      <c r="X146" s="73" t="str">
        <f>Table9[[#This Row],[activity_type]]</f>
        <v>Exercise bicycle at home</v>
      </c>
      <c r="Y146" s="73" t="str">
        <f>Table9[[#This Row],[anaemia_treat]]</f>
        <v>Not applicable</v>
      </c>
      <c r="Z146" s="78" t="str">
        <f>Table9[[#This Row],[anaesthesia]]</f>
        <v>General with Inhalational</v>
      </c>
      <c r="AA146" s="78">
        <f>Table9[[#This Row],[smoke_hist]]</f>
        <v>0</v>
      </c>
      <c r="AB146" s="78">
        <f>Table9[[#This Row],[smoke_cess]]</f>
        <v>0</v>
      </c>
      <c r="AC146" s="78" t="str">
        <f>Table9[[#This Row],[tidal_vol]]</f>
        <v>Not recorded</v>
      </c>
      <c r="AD146" s="77" t="str">
        <f>Table11[[#This Row],[inc_spiro]]</f>
        <v>Not used</v>
      </c>
      <c r="AE146" s="73" t="str">
        <f>Table11[[#This Row],[t_brushes]]</f>
        <v>Twice</v>
      </c>
      <c r="AF146" s="78" t="str">
        <f>Table11[[#This Row],[m_washes]]</f>
        <v>Twice</v>
      </c>
      <c r="AG146" s="78" t="str">
        <f>Table11[[#This Row],[iv_disc]]</f>
        <v>No</v>
      </c>
      <c r="AH146" s="78" t="str">
        <f>Table11[[#This Row],[tolerate_15l]]</f>
        <v>Yes</v>
      </c>
      <c r="AI146" s="78" t="str">
        <f>Table11[[#This Row],[drinking]]</f>
        <v>Yes</v>
      </c>
      <c r="AJ146" s="78" t="str">
        <f>Table11[[#This Row],[oral_diet]]</f>
        <v>No</v>
      </c>
      <c r="AK146" s="78" t="str">
        <f>Table11[[#This Row],[mobilised]]</f>
        <v>No</v>
      </c>
      <c r="AL146" s="79" t="str">
        <f>Table11[[#This Row],[resp_supp]]</f>
        <v>None</v>
      </c>
      <c r="AM146" s="78" t="str">
        <f>Table11[[#This Row],[elev_head]]</f>
        <v>Yes</v>
      </c>
      <c r="AN146" s="78" t="str">
        <f>Table13[[#This Row],[in_hospital]]</f>
        <v>No</v>
      </c>
      <c r="AO146" s="78">
        <f>Table13[[#This Row],[location_7]]</f>
        <v>0</v>
      </c>
      <c r="AP146" s="78">
        <f>Table13[[#This Row],[infec_24]]</f>
        <v>0</v>
      </c>
      <c r="AQ146" s="73">
        <f>Table13[[#This Row],[infec_7]]</f>
        <v>0</v>
      </c>
      <c r="AR146" s="73">
        <f>Table13[[#This Row],[gastro]]</f>
        <v>0</v>
      </c>
      <c r="AS146" s="73">
        <f>Table13[[#This Row],[pulm_supp_24]]</f>
        <v>0</v>
      </c>
      <c r="AT146" s="73">
        <f>Table13[[#This Row],[pulm_supp_7]]</f>
        <v>0</v>
      </c>
      <c r="AU146" s="73">
        <f>Table13[[#This Row],[pulm_pharm]]</f>
        <v>0</v>
      </c>
      <c r="AV146" s="73">
        <f>Table13[[#This Row],[cardio_24]]</f>
        <v>0</v>
      </c>
      <c r="AW146" s="73">
        <f>Table13[[#This Row],[troponin_7]]</f>
        <v>0</v>
      </c>
      <c r="AX146" s="73">
        <f>Table13[[#This Row],[creatinine_base]]</f>
        <v>0</v>
      </c>
      <c r="AY146" s="73">
        <f>Table13[[#This Row],[creatinine_high]]</f>
        <v>0</v>
      </c>
      <c r="AZ146" s="73">
        <f>Table13[[#This Row],[rrt]]</f>
        <v>0</v>
      </c>
      <c r="BA146" s="73">
        <f>Table13[[#This Row],[renal_24]]</f>
        <v>0</v>
      </c>
      <c r="BB146" s="73">
        <f>Table13[[#This Row],[neuro]]</f>
        <v>0</v>
      </c>
      <c r="BC146" s="73">
        <f>Table13[[#This Row],[wound]]</f>
        <v>0</v>
      </c>
      <c r="BD146" s="73">
        <f>Table13[[#This Row],[haemato]]</f>
        <v>0</v>
      </c>
      <c r="BE146" s="73">
        <f>Table13[[#This Row],[pain]]</f>
        <v>0</v>
      </c>
      <c r="BF146" s="73">
        <f>Table13[[#This Row],[mobility]]</f>
        <v>0</v>
      </c>
      <c r="BG146" s="79">
        <f>Table13[[#This Row],[why_inpatient_7]]</f>
        <v>0</v>
      </c>
      <c r="BH146" s="9">
        <f>Table13[[#This Row],[date_15]]</f>
        <v>0</v>
      </c>
      <c r="BI146">
        <f>Table13[[#This Row],[inpatient_15]]</f>
        <v>0</v>
      </c>
      <c r="BJ146">
        <f>Table13[[#This Row],[comment_15]]</f>
        <v>0</v>
      </c>
      <c r="BK146" t="str">
        <f>Table13[[#This Row],[discharge_dest]]</f>
        <v>Own Home</v>
      </c>
      <c r="BL146" t="str">
        <f>Table13[[#This Row],[complication]]</f>
        <v>None</v>
      </c>
    </row>
    <row r="147" spans="1:64" ht="18" customHeight="1">
      <c r="A147" s="73" t="str">
        <f>Table5[[#This Row],[comment]]</f>
        <v>Day 2: Patient declined to answer</v>
      </c>
      <c r="B147" s="73" t="str">
        <f>Table9[[#This Row],[surgeon]]</f>
        <v>Clare Mason</v>
      </c>
      <c r="C147" s="73" t="str">
        <f>Table9[[#This Row],[surgery]]</f>
        <v>Resection of small bowel (+/- tumour)</v>
      </c>
      <c r="D147" s="74" t="str">
        <f>Table5[[#This Row],[pqip_consent]]</f>
        <v>Yes</v>
      </c>
      <c r="E147" s="73" t="str">
        <f>Table6[[#This Row],[area_surgery]]</f>
        <v>Lower GI</v>
      </c>
      <c r="F147" s="75">
        <f>Table6[[#This Row],[admission_date]]</f>
        <v>43382</v>
      </c>
      <c r="G147" s="75">
        <f>Table6[[#This Row],[admission_date]]</f>
        <v>43382</v>
      </c>
      <c r="H147" s="105">
        <f>Table6[[#This Row],[surgery_duration]]</f>
        <v>0</v>
      </c>
      <c r="I147" s="73" t="str">
        <f>Table6[[#This Row],[discharge_loc]]</f>
        <v>CCU (Level 3)</v>
      </c>
      <c r="J147" s="75">
        <f>Table6[[#This Row],[discharge_date]]</f>
        <v>43392</v>
      </c>
      <c r="K147" s="76">
        <f>Table6[[#This Row],[hospital_stay]]</f>
        <v>10</v>
      </c>
      <c r="L147" s="76">
        <f>Table6[[#This Row],[readmit_30]]</f>
        <v>0</v>
      </c>
      <c r="M147" s="77" t="str">
        <f>Table9[[#This Row],[troponin]]</f>
        <v>Not Measured</v>
      </c>
      <c r="N147" s="78">
        <f>Table9[[#This Row],[hb]]</f>
        <v>15</v>
      </c>
      <c r="O147" s="78">
        <f>Table9[[#This Row],[creatinine]]</f>
        <v>62</v>
      </c>
      <c r="P147" s="78">
        <f>Table9[[#This Row],[albumin]]</f>
        <v>43</v>
      </c>
      <c r="Q147" s="73" t="str">
        <f>Table9[[#This Row],[chest_physio]]</f>
        <v>Surgery School</v>
      </c>
      <c r="R147" s="73" t="str">
        <f>Table9[[#This Row],[surgery_school]]</f>
        <v>Yes - Hospital Session</v>
      </c>
      <c r="S147" s="75">
        <f>Table9[[#This Row],[date_school]]</f>
        <v>43347</v>
      </c>
      <c r="T147" s="73">
        <f>Table9[[#This Row],[app_down]]</f>
        <v>0</v>
      </c>
      <c r="U147" s="73">
        <f>Table9[[#This Row],[website]]</f>
        <v>0</v>
      </c>
      <c r="V147" s="73">
        <f>Table9[[#This Row],[base_activity]]</f>
        <v>0</v>
      </c>
      <c r="W147" s="73">
        <f>Table9[[#This Row],[current_activity]]</f>
        <v>0</v>
      </c>
      <c r="X147" s="73">
        <f>Table9[[#This Row],[activity_type]]</f>
        <v>0</v>
      </c>
      <c r="Y147" s="73" t="str">
        <f>Table9[[#This Row],[anaemia_treat]]</f>
        <v>Not applicable</v>
      </c>
      <c r="Z147" s="78" t="str">
        <f>Table9[[#This Row],[anaesthesia]]</f>
        <v>Not available</v>
      </c>
      <c r="AA147" s="78">
        <f>Table9[[#This Row],[smoke_hist]]</f>
        <v>0</v>
      </c>
      <c r="AB147" s="78">
        <f>Table9[[#This Row],[smoke_cess]]</f>
        <v>0</v>
      </c>
      <c r="AC147" s="78" t="str">
        <f>Table9[[#This Row],[tidal_vol]]</f>
        <v>Not recorded</v>
      </c>
      <c r="AD147" s="77" t="str">
        <f>Table11[[#This Row],[inc_spiro]]</f>
        <v>Not used</v>
      </c>
      <c r="AE147" s="73" t="str">
        <f>Table11[[#This Row],[t_brushes]]</f>
        <v>Not done</v>
      </c>
      <c r="AF147" s="78" t="str">
        <f>Table11[[#This Row],[m_washes]]</f>
        <v>Not done</v>
      </c>
      <c r="AG147" s="78" t="str">
        <f>Table11[[#This Row],[iv_disc]]</f>
        <v>Yes</v>
      </c>
      <c r="AH147" s="78" t="str">
        <f>Table11[[#This Row],[tolerate_15l]]</f>
        <v>No</v>
      </c>
      <c r="AI147" s="78" t="str">
        <f>Table11[[#This Row],[drinking]]</f>
        <v>Yes</v>
      </c>
      <c r="AJ147" s="78" t="str">
        <f>Table11[[#This Row],[oral_diet]]</f>
        <v>Yes</v>
      </c>
      <c r="AK147" s="78" t="str">
        <f>Table11[[#This Row],[mobilised]]</f>
        <v>No</v>
      </c>
      <c r="AL147" s="79" t="str">
        <f>Table11[[#This Row],[resp_supp]]</f>
        <v>None</v>
      </c>
      <c r="AM147" s="78" t="str">
        <f>Table11[[#This Row],[elev_head]]</f>
        <v>Yes</v>
      </c>
      <c r="AN147" s="78" t="str">
        <f>Table13[[#This Row],[in_hospital]]</f>
        <v>Yes</v>
      </c>
      <c r="AO147" s="78" t="str">
        <f>Table13[[#This Row],[location_7]]</f>
        <v>Ward</v>
      </c>
      <c r="AP147" s="78" t="str">
        <f>Table13[[#This Row],[infec_24]]</f>
        <v>None of the above</v>
      </c>
      <c r="AQ147" s="73" t="str">
        <f>Table13[[#This Row],[infec_7]]</f>
        <v>None</v>
      </c>
      <c r="AR147" s="73" t="str">
        <f>Table13[[#This Row],[gastro]]</f>
        <v>None of the above</v>
      </c>
      <c r="AS147" s="73" t="str">
        <f>Table13[[#This Row],[pulm_supp_24]]</f>
        <v>None of the above</v>
      </c>
      <c r="AT147" s="73" t="str">
        <f>Table13[[#This Row],[pulm_supp_7]]</f>
        <v>None</v>
      </c>
      <c r="AU147" s="73" t="str">
        <f>Table13[[#This Row],[pulm_pharm]]</f>
        <v>None</v>
      </c>
      <c r="AV147" s="73" t="str">
        <f>Table13[[#This Row],[cardio_24]]</f>
        <v>None of the above</v>
      </c>
      <c r="AW147" s="73" t="str">
        <f>Table13[[#This Row],[troponin_7]]</f>
        <v>None measured</v>
      </c>
      <c r="AX147" s="73">
        <f>Table13[[#This Row],[creatinine_base]]</f>
        <v>62</v>
      </c>
      <c r="AY147" s="73">
        <f>Table13[[#This Row],[creatinine_high]]</f>
        <v>57</v>
      </c>
      <c r="AZ147" s="73" t="str">
        <f>Table13[[#This Row],[rrt]]</f>
        <v xml:space="preserve">No </v>
      </c>
      <c r="BA147" s="73" t="str">
        <f>Table13[[#This Row],[renal_24]]</f>
        <v>None of the above</v>
      </c>
      <c r="BB147" s="73" t="str">
        <f>Table13[[#This Row],[neuro]]</f>
        <v>None of the above</v>
      </c>
      <c r="BC147" s="73" t="str">
        <f>Table13[[#This Row],[wound]]</f>
        <v>None of the above</v>
      </c>
      <c r="BD147" s="73" t="str">
        <f>Table13[[#This Row],[haemato]]</f>
        <v>None of the above</v>
      </c>
      <c r="BE147" s="73" t="str">
        <f>Table13[[#This Row],[pain]]</f>
        <v>Parenteral opioids</v>
      </c>
      <c r="BF147" s="73" t="str">
        <f>Table13[[#This Row],[mobility]]</f>
        <v>Yes</v>
      </c>
      <c r="BG147" s="79" t="str">
        <f>Table13[[#This Row],[why_inpatient_7]]</f>
        <v>Medical/nursing care</v>
      </c>
      <c r="BH147" s="9">
        <f>Table13[[#This Row],[date_15]]</f>
        <v>43397</v>
      </c>
      <c r="BI147" t="str">
        <f>Table13[[#This Row],[inpatient_15]]</f>
        <v>No</v>
      </c>
      <c r="BJ147">
        <f>Table13[[#This Row],[comment_15]]</f>
        <v>0</v>
      </c>
      <c r="BK147" t="str">
        <f>Table13[[#This Row],[discharge_dest]]</f>
        <v>Own Home</v>
      </c>
      <c r="BL147" t="str">
        <f>Table13[[#This Row],[complication]]</f>
        <v>I, II</v>
      </c>
    </row>
    <row r="148" spans="1:64" ht="18" customHeight="1">
      <c r="A148" s="73" t="str">
        <f>Table5[[#This Row],[comment]]</f>
        <v>Day 2: NBM</v>
      </c>
      <c r="B148" s="73" t="str">
        <f>Table9[[#This Row],[surgeon]]</f>
        <v>Naheed Farooq</v>
      </c>
      <c r="C148" s="73" t="str">
        <f>Table9[[#This Row],[surgery]]</f>
        <v xml:space="preserve">Oesophagectomy (total)/Oesophagogastrectomy </v>
      </c>
      <c r="D148" s="74" t="str">
        <f>Table5[[#This Row],[pqip_consent]]</f>
        <v>Yes</v>
      </c>
      <c r="E148" s="73" t="str">
        <f>Table6[[#This Row],[area_surgery]]</f>
        <v>Upper GI</v>
      </c>
      <c r="F148" s="75">
        <f>Table6[[#This Row],[admission_date]]</f>
        <v>43383</v>
      </c>
      <c r="G148" s="75">
        <f>Table6[[#This Row],[admission_date]]</f>
        <v>43383</v>
      </c>
      <c r="H148" s="105">
        <f>Table6[[#This Row],[surgery_duration]]</f>
        <v>0.28125</v>
      </c>
      <c r="I148" s="73" t="str">
        <f>Table6[[#This Row],[discharge_loc]]</f>
        <v>CCU (Level 3)</v>
      </c>
      <c r="J148" s="75">
        <f>Table6[[#This Row],[discharge_date]]</f>
        <v>0</v>
      </c>
      <c r="K148" s="76">
        <f>Table6[[#This Row],[hospital_stay]]</f>
        <v>-43383</v>
      </c>
      <c r="L148" s="76">
        <f>Table6[[#This Row],[readmit_30]]</f>
        <v>0</v>
      </c>
      <c r="M148" s="77" t="str">
        <f>Table9[[#This Row],[troponin]]</f>
        <v>Not Measured</v>
      </c>
      <c r="N148" s="78">
        <f>Table9[[#This Row],[hb]]</f>
        <v>14.8</v>
      </c>
      <c r="O148" s="78">
        <f>Table9[[#This Row],[creatinine]]</f>
        <v>86</v>
      </c>
      <c r="P148" s="78" t="str">
        <f>Table9[[#This Row],[albumin]]</f>
        <v>Not Measured</v>
      </c>
      <c r="Q148" s="73" t="str">
        <f>Table9[[#This Row],[chest_physio]]</f>
        <v>Surgery School</v>
      </c>
      <c r="R148" s="73" t="str">
        <f>Table9[[#This Row],[surgery_school]]</f>
        <v>Yes - Hospital Session</v>
      </c>
      <c r="S148" s="75">
        <f>Table9[[#This Row],[date_school]]</f>
        <v>43370</v>
      </c>
      <c r="T148" s="73" t="str">
        <f>Table9[[#This Row],[app_down]]</f>
        <v>No - Have electronic device</v>
      </c>
      <c r="U148" s="73" t="str">
        <f>Table9[[#This Row],[website]]</f>
        <v>No</v>
      </c>
      <c r="V148" s="73" t="str">
        <f>Table9[[#This Row],[base_activity]]</f>
        <v>20mins of moderate activity</v>
      </c>
      <c r="W148" s="73" t="str">
        <f>Table9[[#This Row],[current_activity]]</f>
        <v>20mins of moderate activity</v>
      </c>
      <c r="X148" s="73" t="str">
        <f>Table9[[#This Row],[activity_type]]</f>
        <v xml:space="preserve">Walking regularly </v>
      </c>
      <c r="Y148" s="73" t="str">
        <f>Table9[[#This Row],[anaemia_treat]]</f>
        <v>Not applicable</v>
      </c>
      <c r="Z148" s="78" t="str">
        <f>Table9[[#This Row],[anaesthesia]]</f>
        <v>General with Inhalational</v>
      </c>
      <c r="AA148" s="78">
        <f>Table9[[#This Row],[smoke_hist]]</f>
        <v>0</v>
      </c>
      <c r="AB148" s="78">
        <f>Table9[[#This Row],[smoke_cess]]</f>
        <v>0</v>
      </c>
      <c r="AC148" s="78" t="str">
        <f>Table9[[#This Row],[tidal_vol]]</f>
        <v>Not recorded</v>
      </c>
      <c r="AD148" s="77" t="str">
        <f>Table11[[#This Row],[inc_spiro]]</f>
        <v>Twice</v>
      </c>
      <c r="AE148" s="73" t="str">
        <f>Table11[[#This Row],[t_brushes]]</f>
        <v>Twice</v>
      </c>
      <c r="AF148" s="78" t="str">
        <f>Table11[[#This Row],[m_washes]]</f>
        <v>Twice</v>
      </c>
      <c r="AG148" s="78" t="str">
        <f>Table11[[#This Row],[iv_disc]]</f>
        <v>No</v>
      </c>
      <c r="AH148" s="78" t="str">
        <f>Table11[[#This Row],[tolerate_15l]]</f>
        <v>Not applicable</v>
      </c>
      <c r="AI148" s="78" t="str">
        <f>Table11[[#This Row],[drinking]]</f>
        <v>No</v>
      </c>
      <c r="AJ148" s="78" t="str">
        <f>Table11[[#This Row],[oral_diet]]</f>
        <v>No</v>
      </c>
      <c r="AK148" s="78" t="str">
        <f>Table11[[#This Row],[mobilised]]</f>
        <v>Yes</v>
      </c>
      <c r="AL148" s="79" t="str">
        <f>Table11[[#This Row],[resp_supp]]</f>
        <v>None</v>
      </c>
      <c r="AM148" s="78" t="str">
        <f>Table11[[#This Row],[elev_head]]</f>
        <v>Yes</v>
      </c>
      <c r="AN148" s="78" t="str">
        <f>Table13[[#This Row],[in_hospital]]</f>
        <v>Yes</v>
      </c>
      <c r="AO148" s="78" t="str">
        <f>Table13[[#This Row],[location_7]]</f>
        <v>Level 2</v>
      </c>
      <c r="AP148" s="78" t="str">
        <f>Table13[[#This Row],[infec_24]]</f>
        <v>Patient currently on IV antibiotics, Patient had temperature &gt;38˚C</v>
      </c>
      <c r="AQ148" s="73" t="str">
        <f>Table13[[#This Row],[infec_7]]</f>
        <v>Abdominal leak</v>
      </c>
      <c r="AR148" s="73" t="str">
        <f>Table13[[#This Row],[gastro]]</f>
        <v>None of the above</v>
      </c>
      <c r="AS148" s="73" t="str">
        <f>Table13[[#This Row],[pulm_supp_24]]</f>
        <v>New requirement for oxygen</v>
      </c>
      <c r="AT148" s="73" t="str">
        <f>Table13[[#This Row],[pulm_supp_7]]</f>
        <v>Mild</v>
      </c>
      <c r="AU148" s="73" t="str">
        <f>Table13[[#This Row],[pulm_pharm]]</f>
        <v>Bronchodilators nebulised</v>
      </c>
      <c r="AV148" s="73" t="str">
        <f>Table13[[#This Row],[cardio_24]]</f>
        <v>None of the above</v>
      </c>
      <c r="AW148" s="73" t="str">
        <f>Table13[[#This Row],[troponin_7]]</f>
        <v>None measured</v>
      </c>
      <c r="AX148" s="73">
        <f>Table13[[#This Row],[creatinine_base]]</f>
        <v>86</v>
      </c>
      <c r="AY148" s="73">
        <f>Table13[[#This Row],[creatinine_high]]</f>
        <v>107</v>
      </c>
      <c r="AZ148" s="73" t="str">
        <f>Table13[[#This Row],[rrt]]</f>
        <v xml:space="preserve">No </v>
      </c>
      <c r="BA148" s="73" t="str">
        <f>Table13[[#This Row],[renal_24]]</f>
        <v>Urethral catheter in-situ (not present pre-operatively)</v>
      </c>
      <c r="BB148" s="73" t="str">
        <f>Table13[[#This Row],[neuro]]</f>
        <v>None of the above</v>
      </c>
      <c r="BC148" s="73" t="str">
        <f>Table13[[#This Row],[wound]]</f>
        <v>None of the above</v>
      </c>
      <c r="BD148" s="73" t="str">
        <f>Table13[[#This Row],[haemato]]</f>
        <v>None of the above</v>
      </c>
      <c r="BE148" s="73" t="str">
        <f>Table13[[#This Row],[pain]]</f>
        <v>Parenteral opioids</v>
      </c>
      <c r="BF148" s="73" t="str">
        <f>Table13[[#This Row],[mobility]]</f>
        <v>No</v>
      </c>
      <c r="BG148" s="79" t="str">
        <f>Table13[[#This Row],[why_inpatient_7]]</f>
        <v>Medical/nursing care</v>
      </c>
      <c r="BH148" s="9">
        <f>Table13[[#This Row],[date_15]]</f>
        <v>43398</v>
      </c>
      <c r="BI148" t="str">
        <f>Table13[[#This Row],[inpatient_15]]</f>
        <v>Yes</v>
      </c>
      <c r="BJ148" t="str">
        <f>Table13[[#This Row],[comment_15]]</f>
        <v>Day 8: underwent operation for anastomotic leak; Day 10: Ileus; Day 11: temperature spikes, new AF, extubation not successful; Day 14: NBM; Day 15: Na has been high</v>
      </c>
      <c r="BK148">
        <f>Table13[[#This Row],[discharge_dest]]</f>
        <v>0</v>
      </c>
      <c r="BL148">
        <f>Table13[[#This Row],[complication]]</f>
        <v>0</v>
      </c>
    </row>
    <row r="149" spans="1:64" ht="18" customHeight="1">
      <c r="A149" s="73" t="str">
        <f>Table5[[#This Row],[comment]]</f>
        <v>surgical pathway not available</v>
      </c>
      <c r="B149" s="73" t="str">
        <f>Table9[[#This Row],[surgeon]]</f>
        <v>Mattias Soop</v>
      </c>
      <c r="C149" s="73" t="str">
        <f>Table9[[#This Row],[surgery]]</f>
        <v>Ileo-caecal resection (with anastamosis or ileostomy formation)</v>
      </c>
      <c r="D149" s="74" t="str">
        <f>Table5[[#This Row],[pqip_consent]]</f>
        <v>No</v>
      </c>
      <c r="E149" s="73" t="str">
        <f>Table6[[#This Row],[area_surgery]]</f>
        <v>Lower GI</v>
      </c>
      <c r="F149" s="75">
        <f>Table6[[#This Row],[admission_date]]</f>
        <v>43383</v>
      </c>
      <c r="G149" s="75">
        <f>Table6[[#This Row],[admission_date]]</f>
        <v>43383</v>
      </c>
      <c r="H149" s="105">
        <f>Table6[[#This Row],[surgery_duration]]</f>
        <v>0.20138888888888887</v>
      </c>
      <c r="I149" s="73" t="str">
        <f>Table6[[#This Row],[discharge_loc]]</f>
        <v>H6</v>
      </c>
      <c r="J149" s="75">
        <f>Table6[[#This Row],[discharge_date]]</f>
        <v>43389</v>
      </c>
      <c r="K149" s="76">
        <f>Table6[[#This Row],[hospital_stay]]</f>
        <v>6</v>
      </c>
      <c r="L149" s="76">
        <f>Table6[[#This Row],[readmit_30]]</f>
        <v>0</v>
      </c>
      <c r="M149" s="77" t="str">
        <f>Table9[[#This Row],[troponin]]</f>
        <v>Not Measured</v>
      </c>
      <c r="N149" s="78">
        <f>Table9[[#This Row],[hb]]</f>
        <v>14.2</v>
      </c>
      <c r="O149" s="78">
        <f>Table9[[#This Row],[creatinine]]</f>
        <v>59</v>
      </c>
      <c r="P149" s="78" t="str">
        <f>Table9[[#This Row],[albumin]]</f>
        <v>Not Measured</v>
      </c>
      <c r="Q149" s="73" t="str">
        <f>Table9[[#This Row],[chest_physio]]</f>
        <v>No</v>
      </c>
      <c r="R149" s="73" t="str">
        <f>Table9[[#This Row],[surgery_school]]</f>
        <v>No - Wasn’t offered it</v>
      </c>
      <c r="S149" s="75">
        <f>Table9[[#This Row],[date_school]]</f>
        <v>0</v>
      </c>
      <c r="T149" s="73" t="str">
        <f>Table9[[#This Row],[app_down]]</f>
        <v>No - Have electronic device</v>
      </c>
      <c r="U149" s="73" t="str">
        <f>Table9[[#This Row],[website]]</f>
        <v>No</v>
      </c>
      <c r="V149" s="73" t="str">
        <f>Table9[[#This Row],[base_activity]]</f>
        <v>30mins of moderate activity</v>
      </c>
      <c r="W149" s="73" t="str">
        <f>Table9[[#This Row],[current_activity]]</f>
        <v>30mins of moderate activity</v>
      </c>
      <c r="X149" s="73" t="str">
        <f>Table9[[#This Row],[activity_type]]</f>
        <v xml:space="preserve">Gym private </v>
      </c>
      <c r="Y149" s="73" t="str">
        <f>Table9[[#This Row],[anaemia_treat]]</f>
        <v>Not applicable</v>
      </c>
      <c r="Z149" s="78" t="str">
        <f>Table9[[#This Row],[anaesthesia]]</f>
        <v>General with Inhalational</v>
      </c>
      <c r="AA149" s="78">
        <f>Table9[[#This Row],[smoke_hist]]</f>
        <v>0</v>
      </c>
      <c r="AB149" s="78">
        <f>Table9[[#This Row],[smoke_cess]]</f>
        <v>0</v>
      </c>
      <c r="AC149" s="78" t="str">
        <f>Table9[[#This Row],[tidal_vol]]</f>
        <v>Not recorded</v>
      </c>
      <c r="AD149" s="77" t="str">
        <f>Table11[[#This Row],[inc_spiro]]</f>
        <v>Not used</v>
      </c>
      <c r="AE149" s="73" t="str">
        <f>Table11[[#This Row],[t_brushes]]</f>
        <v>Twice</v>
      </c>
      <c r="AF149" s="78" t="str">
        <f>Table11[[#This Row],[m_washes]]</f>
        <v>Twice</v>
      </c>
      <c r="AG149" s="78" t="str">
        <f>Table11[[#This Row],[iv_disc]]</f>
        <v>No</v>
      </c>
      <c r="AH149" s="78" t="str">
        <f>Table11[[#This Row],[tolerate_15l]]</f>
        <v>Yes</v>
      </c>
      <c r="AI149" s="78" t="str">
        <f>Table11[[#This Row],[drinking]]</f>
        <v>Yes</v>
      </c>
      <c r="AJ149" s="78" t="str">
        <f>Table11[[#This Row],[oral_diet]]</f>
        <v>Yes</v>
      </c>
      <c r="AK149" s="78" t="str">
        <f>Table11[[#This Row],[mobilised]]</f>
        <v>Yes</v>
      </c>
      <c r="AL149" s="79" t="str">
        <f>Table11[[#This Row],[resp_supp]]</f>
        <v>None</v>
      </c>
      <c r="AM149" s="78" t="str">
        <f>Table11[[#This Row],[elev_head]]</f>
        <v>Yes</v>
      </c>
      <c r="AN149" s="78" t="str">
        <f>Table13[[#This Row],[in_hospital]]</f>
        <v>No</v>
      </c>
      <c r="AO149" s="78">
        <f>Table13[[#This Row],[location_7]]</f>
        <v>0</v>
      </c>
      <c r="AP149" s="78">
        <f>Table13[[#This Row],[infec_24]]</f>
        <v>0</v>
      </c>
      <c r="AQ149" s="73">
        <f>Table13[[#This Row],[infec_7]]</f>
        <v>0</v>
      </c>
      <c r="AR149" s="73">
        <f>Table13[[#This Row],[gastro]]</f>
        <v>0</v>
      </c>
      <c r="AS149" s="73">
        <f>Table13[[#This Row],[pulm_supp_24]]</f>
        <v>0</v>
      </c>
      <c r="AT149" s="73">
        <f>Table13[[#This Row],[pulm_supp_7]]</f>
        <v>0</v>
      </c>
      <c r="AU149" s="73">
        <f>Table13[[#This Row],[pulm_pharm]]</f>
        <v>0</v>
      </c>
      <c r="AV149" s="73">
        <f>Table13[[#This Row],[cardio_24]]</f>
        <v>0</v>
      </c>
      <c r="AW149" s="73">
        <f>Table13[[#This Row],[troponin_7]]</f>
        <v>0</v>
      </c>
      <c r="AX149" s="73">
        <f>Table13[[#This Row],[creatinine_base]]</f>
        <v>0</v>
      </c>
      <c r="AY149" s="73">
        <f>Table13[[#This Row],[creatinine_high]]</f>
        <v>0</v>
      </c>
      <c r="AZ149" s="73">
        <f>Table13[[#This Row],[rrt]]</f>
        <v>0</v>
      </c>
      <c r="BA149" s="73">
        <f>Table13[[#This Row],[renal_24]]</f>
        <v>0</v>
      </c>
      <c r="BB149" s="73">
        <f>Table13[[#This Row],[neuro]]</f>
        <v>0</v>
      </c>
      <c r="BC149" s="73">
        <f>Table13[[#This Row],[wound]]</f>
        <v>0</v>
      </c>
      <c r="BD149" s="73">
        <f>Table13[[#This Row],[haemato]]</f>
        <v>0</v>
      </c>
      <c r="BE149" s="73">
        <f>Table13[[#This Row],[pain]]</f>
        <v>0</v>
      </c>
      <c r="BF149" s="73">
        <f>Table13[[#This Row],[mobility]]</f>
        <v>0</v>
      </c>
      <c r="BG149" s="79">
        <f>Table13[[#This Row],[why_inpatient_7]]</f>
        <v>0</v>
      </c>
      <c r="BH149" s="9">
        <f>Table13[[#This Row],[date_15]]</f>
        <v>0</v>
      </c>
      <c r="BI149">
        <f>Table13[[#This Row],[inpatient_15]]</f>
        <v>0</v>
      </c>
      <c r="BJ149">
        <f>Table13[[#This Row],[comment_15]]</f>
        <v>0</v>
      </c>
      <c r="BK149" t="str">
        <f>Table13[[#This Row],[discharge_dest]]</f>
        <v>Own Home</v>
      </c>
      <c r="BL149" t="str">
        <f>Table13[[#This Row],[complication]]</f>
        <v>I</v>
      </c>
    </row>
    <row r="150" spans="1:64" ht="18" customHeight="1">
      <c r="A150" s="73" t="str">
        <f>Table5[[#This Row],[comment]]</f>
        <v>Data collector on A/L</v>
      </c>
      <c r="B150" s="73" t="str">
        <f>Table9[[#This Row],[surgeon]]</f>
        <v>Javed Sultan</v>
      </c>
      <c r="C150" s="73" t="str">
        <f>Table9[[#This Row],[surgery]]</f>
        <v xml:space="preserve">Oesophagectomy (total)/Oesophagogastrectomy </v>
      </c>
      <c r="D150" s="74" t="str">
        <f>Table5[[#This Row],[pqip_consent]]</f>
        <v>Yes</v>
      </c>
      <c r="E150" s="73" t="str">
        <f>Table6[[#This Row],[area_surgery]]</f>
        <v>Upper GI</v>
      </c>
      <c r="F150" s="75">
        <f>Table6[[#This Row],[admission_date]]</f>
        <v>43384</v>
      </c>
      <c r="G150" s="75">
        <f>Table6[[#This Row],[admission_date]]</f>
        <v>43384</v>
      </c>
      <c r="H150" s="105">
        <f>Table6[[#This Row],[surgery_duration]]</f>
        <v>0</v>
      </c>
      <c r="I150" s="73" t="str">
        <f>Table6[[#This Row],[discharge_loc]]</f>
        <v>CCU (Level 2)</v>
      </c>
      <c r="J150" s="75">
        <f>Table6[[#This Row],[discharge_date]]</f>
        <v>43406</v>
      </c>
      <c r="K150" s="76">
        <f>Table6[[#This Row],[hospital_stay]]</f>
        <v>22</v>
      </c>
      <c r="L150" s="76">
        <f>Table6[[#This Row],[readmit_30]]</f>
        <v>0</v>
      </c>
      <c r="M150" s="77" t="str">
        <f>Table9[[#This Row],[troponin]]</f>
        <v>Not Measured</v>
      </c>
      <c r="N150" s="78">
        <f>Table9[[#This Row],[hb]]</f>
        <v>13.5</v>
      </c>
      <c r="O150" s="78">
        <f>Table9[[#This Row],[creatinine]]</f>
        <v>51</v>
      </c>
      <c r="P150" s="78">
        <f>Table9[[#This Row],[albumin]]</f>
        <v>44</v>
      </c>
      <c r="Q150" s="73" t="str">
        <f>Table9[[#This Row],[chest_physio]]</f>
        <v>Surgery School</v>
      </c>
      <c r="R150" s="73" t="str">
        <f>Table9[[#This Row],[surgery_school]]</f>
        <v>Yes - Hospital Session</v>
      </c>
      <c r="S150" s="75">
        <f>Table9[[#This Row],[date_school]]</f>
        <v>43371</v>
      </c>
      <c r="T150" s="73" t="str">
        <f>Table9[[#This Row],[app_down]]</f>
        <v>No - No electronic device</v>
      </c>
      <c r="U150" s="73" t="str">
        <f>Table9[[#This Row],[website]]</f>
        <v>No</v>
      </c>
      <c r="V150" s="73" t="str">
        <f>Table9[[#This Row],[base_activity]]</f>
        <v>&gt;30mins of moderate activity</v>
      </c>
      <c r="W150" s="73" t="str">
        <f>Table9[[#This Row],[current_activity]]</f>
        <v>20mins of moderate activity</v>
      </c>
      <c r="X150" s="73" t="str">
        <f>Table9[[#This Row],[activity_type]]</f>
        <v xml:space="preserve">Walking regularly </v>
      </c>
      <c r="Y150" s="73" t="str">
        <f>Table9[[#This Row],[anaemia_treat]]</f>
        <v>Not applicable</v>
      </c>
      <c r="Z150" s="78" t="str">
        <f>Table9[[#This Row],[anaesthesia]]</f>
        <v>Not available</v>
      </c>
      <c r="AA150" s="78">
        <f>Table9[[#This Row],[smoke_hist]]</f>
        <v>0</v>
      </c>
      <c r="AB150" s="78">
        <f>Table9[[#This Row],[smoke_cess]]</f>
        <v>0</v>
      </c>
      <c r="AC150" s="78" t="str">
        <f>Table9[[#This Row],[tidal_vol]]</f>
        <v>Not recorded</v>
      </c>
      <c r="AD150" s="77">
        <f>Table11[[#This Row],[inc_spiro]]</f>
        <v>0</v>
      </c>
      <c r="AE150" s="73">
        <f>Table11[[#This Row],[t_brushes]]</f>
        <v>0</v>
      </c>
      <c r="AF150" s="78">
        <f>Table11[[#This Row],[m_washes]]</f>
        <v>0</v>
      </c>
      <c r="AG150" s="78">
        <f>Table11[[#This Row],[iv_disc]]</f>
        <v>0</v>
      </c>
      <c r="AH150" s="78">
        <f>Table11[[#This Row],[tolerate_15l]]</f>
        <v>0</v>
      </c>
      <c r="AI150" s="78">
        <f>Table11[[#This Row],[drinking]]</f>
        <v>0</v>
      </c>
      <c r="AJ150" s="78">
        <f>Table11[[#This Row],[oral_diet]]</f>
        <v>0</v>
      </c>
      <c r="AK150" s="78">
        <f>Table11[[#This Row],[mobilised]]</f>
        <v>0</v>
      </c>
      <c r="AL150" s="79">
        <f>Table11[[#This Row],[resp_supp]]</f>
        <v>0</v>
      </c>
      <c r="AM150" s="78">
        <f>Table11[[#This Row],[elev_head]]</f>
        <v>0</v>
      </c>
      <c r="AN150" s="78" t="str">
        <f>Table13[[#This Row],[in_hospital]]</f>
        <v>Yes</v>
      </c>
      <c r="AO150" s="78" t="str">
        <f>Table13[[#This Row],[location_7]]</f>
        <v>Level 1</v>
      </c>
      <c r="AP150" s="78" t="str">
        <f>Table13[[#This Row],[infec_24]]</f>
        <v>Patient currently on IV antibiotics</v>
      </c>
      <c r="AQ150" s="73" t="str">
        <f>Table13[[#This Row],[infec_7]]</f>
        <v>Chest</v>
      </c>
      <c r="AR150" s="73" t="str">
        <f>Table13[[#This Row],[gastro]]</f>
        <v>Unable to tolerate enteral diet</v>
      </c>
      <c r="AS150" s="73" t="str">
        <f>Table13[[#This Row],[pulm_supp_24]]</f>
        <v>New requirement for oxygen</v>
      </c>
      <c r="AT150" s="73" t="str">
        <f>Table13[[#This Row],[pulm_supp_7]]</f>
        <v>None</v>
      </c>
      <c r="AU150" s="73" t="str">
        <f>Table13[[#This Row],[pulm_pharm]]</f>
        <v>None</v>
      </c>
      <c r="AV150" s="73" t="str">
        <f>Table13[[#This Row],[cardio_24]]</f>
        <v>None of the above</v>
      </c>
      <c r="AW150" s="73" t="str">
        <f>Table13[[#This Row],[troponin_7]]</f>
        <v>None measured</v>
      </c>
      <c r="AX150" s="73">
        <f>Table13[[#This Row],[creatinine_base]]</f>
        <v>51</v>
      </c>
      <c r="AY150" s="73">
        <f>Table13[[#This Row],[creatinine_high]]</f>
        <v>50</v>
      </c>
      <c r="AZ150" s="73" t="str">
        <f>Table13[[#This Row],[rrt]]</f>
        <v xml:space="preserve">No </v>
      </c>
      <c r="BA150" s="73" t="str">
        <f>Table13[[#This Row],[renal_24]]</f>
        <v>Urethral catheter in-situ (not present pre-operatively)</v>
      </c>
      <c r="BB150" s="73" t="str">
        <f>Table13[[#This Row],[neuro]]</f>
        <v>None of the above</v>
      </c>
      <c r="BC150" s="73" t="str">
        <f>Table13[[#This Row],[wound]]</f>
        <v>None of the above</v>
      </c>
      <c r="BD150" s="73" t="str">
        <f>Table13[[#This Row],[haemato]]</f>
        <v>None of the above</v>
      </c>
      <c r="BE150" s="73" t="str">
        <f>Table13[[#This Row],[pain]]</f>
        <v>None of the above</v>
      </c>
      <c r="BF150" s="73" t="str">
        <f>Table13[[#This Row],[mobility]]</f>
        <v>No</v>
      </c>
      <c r="BG150" s="79" t="str">
        <f>Table13[[#This Row],[why_inpatient_7]]</f>
        <v>Medical/nursing care</v>
      </c>
      <c r="BH150" s="9">
        <f>Table13[[#This Row],[date_15]]</f>
        <v>0</v>
      </c>
      <c r="BI150">
        <f>Table13[[#This Row],[inpatient_15]]</f>
        <v>0</v>
      </c>
      <c r="BJ150">
        <f>Table13[[#This Row],[comment_15]]</f>
        <v>0</v>
      </c>
      <c r="BK150" t="str">
        <f>Table13[[#This Row],[discharge_dest]]</f>
        <v>Own Home</v>
      </c>
      <c r="BL150" t="str">
        <f>Table13[[#This Row],[complication]]</f>
        <v>I, II, IIIA</v>
      </c>
    </row>
    <row r="151" spans="1:64" ht="18" customHeight="1">
      <c r="A151" s="73">
        <f>Table5[[#This Row],[comment]]</f>
        <v>0</v>
      </c>
      <c r="B151" s="73" t="str">
        <f>Table9[[#This Row],[surgeon]]</f>
        <v>Satish Maddineni</v>
      </c>
      <c r="C151" s="73" t="str">
        <f>Table9[[#This Row],[surgery]]</f>
        <v xml:space="preserve">Nephrectomy (non-transplant) </v>
      </c>
      <c r="D151" s="74" t="str">
        <f>Table5[[#This Row],[pqip_consent]]</f>
        <v>No</v>
      </c>
      <c r="E151" s="73" t="str">
        <f>Table6[[#This Row],[area_surgery]]</f>
        <v>Urology</v>
      </c>
      <c r="F151" s="75">
        <f>Table6[[#This Row],[admission_date]]</f>
        <v>43383</v>
      </c>
      <c r="G151" s="75">
        <f>Table6[[#This Row],[admission_date]]</f>
        <v>43383</v>
      </c>
      <c r="H151" s="105">
        <f>Table6[[#This Row],[surgery_duration]]</f>
        <v>0</v>
      </c>
      <c r="I151" s="73" t="str">
        <f>Table6[[#This Row],[discharge_loc]]</f>
        <v>CCU (Level 2)</v>
      </c>
      <c r="J151" s="75">
        <f>Table6[[#This Row],[discharge_date]]</f>
        <v>43393</v>
      </c>
      <c r="K151" s="76">
        <f>Table6[[#This Row],[hospital_stay]]</f>
        <v>9</v>
      </c>
      <c r="L151" s="76">
        <f>Table6[[#This Row],[readmit_30]]</f>
        <v>0</v>
      </c>
      <c r="M151" s="77" t="str">
        <f>Table9[[#This Row],[troponin]]</f>
        <v>Not Measured</v>
      </c>
      <c r="N151" s="78">
        <f>Table9[[#This Row],[hb]]</f>
        <v>14</v>
      </c>
      <c r="O151" s="78">
        <f>Table9[[#This Row],[creatinine]]</f>
        <v>79</v>
      </c>
      <c r="P151" s="78">
        <f>Table9[[#This Row],[albumin]]</f>
        <v>43</v>
      </c>
      <c r="Q151" s="73" t="str">
        <f>Table9[[#This Row],[chest_physio]]</f>
        <v>Surgery School</v>
      </c>
      <c r="R151" s="73" t="str">
        <f>Table9[[#This Row],[surgery_school]]</f>
        <v>Yes - Hospital Session</v>
      </c>
      <c r="S151" s="75">
        <f>Table9[[#This Row],[date_school]]</f>
        <v>43355</v>
      </c>
      <c r="T151" s="73">
        <f>Table9[[#This Row],[app_down]]</f>
        <v>0</v>
      </c>
      <c r="U151" s="73">
        <f>Table9[[#This Row],[website]]</f>
        <v>0</v>
      </c>
      <c r="V151" s="73">
        <f>Table9[[#This Row],[base_activity]]</f>
        <v>0</v>
      </c>
      <c r="W151" s="73">
        <f>Table9[[#This Row],[current_activity]]</f>
        <v>0</v>
      </c>
      <c r="X151" s="73">
        <f>Table9[[#This Row],[activity_type]]</f>
        <v>0</v>
      </c>
      <c r="Y151" s="73" t="str">
        <f>Table9[[#This Row],[anaemia_treat]]</f>
        <v>Not applicable</v>
      </c>
      <c r="Z151" s="78">
        <f>Table9[[#This Row],[anaesthesia]]</f>
        <v>0</v>
      </c>
      <c r="AA151" s="78">
        <f>Table9[[#This Row],[smoke_hist]]</f>
        <v>0</v>
      </c>
      <c r="AB151" s="78">
        <f>Table9[[#This Row],[smoke_cess]]</f>
        <v>0</v>
      </c>
      <c r="AC151" s="78" t="str">
        <f>Table9[[#This Row],[tidal_vol]]</f>
        <v>Not recorded</v>
      </c>
      <c r="AD151" s="77" t="str">
        <f>Table11[[#This Row],[inc_spiro]]</f>
        <v>Not done</v>
      </c>
      <c r="AE151" s="73" t="str">
        <f>Table11[[#This Row],[t_brushes]]</f>
        <v>Not done</v>
      </c>
      <c r="AF151" s="78" t="str">
        <f>Table11[[#This Row],[m_washes]]</f>
        <v>Not done</v>
      </c>
      <c r="AG151" s="78" t="str">
        <f>Table11[[#This Row],[iv_disc]]</f>
        <v>Yes</v>
      </c>
      <c r="AH151" s="78" t="str">
        <f>Table11[[#This Row],[tolerate_15l]]</f>
        <v>Not done</v>
      </c>
      <c r="AI151" s="78" t="str">
        <f>Table11[[#This Row],[drinking]]</f>
        <v>Yes</v>
      </c>
      <c r="AJ151" s="78" t="str">
        <f>Table11[[#This Row],[oral_diet]]</f>
        <v>Yes</v>
      </c>
      <c r="AK151" s="78" t="str">
        <f>Table11[[#This Row],[mobilised]]</f>
        <v>Yes</v>
      </c>
      <c r="AL151" s="79" t="str">
        <f>Table11[[#This Row],[resp_supp]]</f>
        <v>None</v>
      </c>
      <c r="AM151" s="78" t="str">
        <f>Table11[[#This Row],[elev_head]]</f>
        <v>Yes</v>
      </c>
      <c r="AN151" s="78" t="str">
        <f>Table13[[#This Row],[in_hospital]]</f>
        <v>No</v>
      </c>
      <c r="AO151" s="78">
        <f>Table13[[#This Row],[location_7]]</f>
        <v>0</v>
      </c>
      <c r="AP151" s="78">
        <f>Table13[[#This Row],[infec_24]]</f>
        <v>0</v>
      </c>
      <c r="AQ151" s="73">
        <f>Table13[[#This Row],[infec_7]]</f>
        <v>0</v>
      </c>
      <c r="AR151" s="73">
        <f>Table13[[#This Row],[gastro]]</f>
        <v>0</v>
      </c>
      <c r="AS151" s="73">
        <f>Table13[[#This Row],[pulm_supp_24]]</f>
        <v>0</v>
      </c>
      <c r="AT151" s="73">
        <f>Table13[[#This Row],[pulm_supp_7]]</f>
        <v>0</v>
      </c>
      <c r="AU151" s="73">
        <f>Table13[[#This Row],[pulm_pharm]]</f>
        <v>0</v>
      </c>
      <c r="AV151" s="73">
        <f>Table13[[#This Row],[cardio_24]]</f>
        <v>0</v>
      </c>
      <c r="AW151" s="73">
        <f>Table13[[#This Row],[troponin_7]]</f>
        <v>0</v>
      </c>
      <c r="AX151" s="73">
        <f>Table13[[#This Row],[creatinine_base]]</f>
        <v>0</v>
      </c>
      <c r="AY151" s="73">
        <f>Table13[[#This Row],[creatinine_high]]</f>
        <v>0</v>
      </c>
      <c r="AZ151" s="73">
        <f>Table13[[#This Row],[rrt]]</f>
        <v>0</v>
      </c>
      <c r="BA151" s="73">
        <f>Table13[[#This Row],[renal_24]]</f>
        <v>0</v>
      </c>
      <c r="BB151" s="73">
        <f>Table13[[#This Row],[neuro]]</f>
        <v>0</v>
      </c>
      <c r="BC151" s="73">
        <f>Table13[[#This Row],[wound]]</f>
        <v>0</v>
      </c>
      <c r="BD151" s="73">
        <f>Table13[[#This Row],[haemato]]</f>
        <v>0</v>
      </c>
      <c r="BE151" s="73">
        <f>Table13[[#This Row],[pain]]</f>
        <v>0</v>
      </c>
      <c r="BF151" s="73">
        <f>Table13[[#This Row],[mobility]]</f>
        <v>0</v>
      </c>
      <c r="BG151" s="79">
        <f>Table13[[#This Row],[why_inpatient_7]]</f>
        <v>0</v>
      </c>
      <c r="BH151" s="9">
        <f>Table13[[#This Row],[date_15]]</f>
        <v>0</v>
      </c>
      <c r="BI151">
        <f>Table13[[#This Row],[inpatient_15]]</f>
        <v>0</v>
      </c>
      <c r="BJ151">
        <f>Table13[[#This Row],[comment_15]]</f>
        <v>0</v>
      </c>
      <c r="BK151" t="str">
        <f>Table13[[#This Row],[discharge_dest]]</f>
        <v>Own Home</v>
      </c>
      <c r="BL151" t="str">
        <f>Table13[[#This Row],[complication]]</f>
        <v>None</v>
      </c>
    </row>
    <row r="152" spans="1:64" ht="18" customHeight="1">
      <c r="A152" s="73" t="str">
        <f>Table5[[#This Row],[comment]]</f>
        <v>Data collector on A/L</v>
      </c>
      <c r="B152" s="73" t="str">
        <f>Table9[[#This Row],[surgeon]]</f>
        <v>Gordon Lawrence Carlson</v>
      </c>
      <c r="C152" s="73" t="str">
        <f>Table9[[#This Row],[surgery]]</f>
        <v>Anterior resection</v>
      </c>
      <c r="D152" s="74" t="str">
        <f>Table5[[#This Row],[pqip_consent]]</f>
        <v>Yes</v>
      </c>
      <c r="E152" s="73" t="str">
        <f>Table6[[#This Row],[area_surgery]]</f>
        <v>Lower GI</v>
      </c>
      <c r="F152" s="75">
        <f>Table6[[#This Row],[admission_date]]</f>
        <v>43385</v>
      </c>
      <c r="G152" s="75">
        <f>Table6[[#This Row],[admission_date]]</f>
        <v>43385</v>
      </c>
      <c r="H152" s="105">
        <f>Table6[[#This Row],[surgery_duration]]</f>
        <v>0</v>
      </c>
      <c r="I152" s="73" t="str">
        <f>Table6[[#This Row],[discharge_loc]]</f>
        <v>H6</v>
      </c>
      <c r="J152" s="75">
        <f>Table6[[#This Row],[discharge_date]]</f>
        <v>43391</v>
      </c>
      <c r="K152" s="76">
        <f>Table6[[#This Row],[hospital_stay]]</f>
        <v>6</v>
      </c>
      <c r="L152" s="76">
        <f>Table6[[#This Row],[readmit_30]]</f>
        <v>0</v>
      </c>
      <c r="M152" s="77" t="str">
        <f>Table9[[#This Row],[troponin]]</f>
        <v>Not Measured</v>
      </c>
      <c r="N152" s="78">
        <f>Table9[[#This Row],[hb]]</f>
        <v>12.5</v>
      </c>
      <c r="O152" s="78">
        <f>Table9[[#This Row],[creatinine]]</f>
        <v>76</v>
      </c>
      <c r="P152" s="78">
        <f>Table9[[#This Row],[albumin]]</f>
        <v>47</v>
      </c>
      <c r="Q152" s="73" t="str">
        <f>Table9[[#This Row],[chest_physio]]</f>
        <v>Surgery School</v>
      </c>
      <c r="R152" s="73" t="str">
        <f>Table9[[#This Row],[surgery_school]]</f>
        <v>Yes - Hospital Session</v>
      </c>
      <c r="S152" s="75">
        <f>Table9[[#This Row],[date_school]]</f>
        <v>43377</v>
      </c>
      <c r="T152" s="73" t="str">
        <f>Table9[[#This Row],[app_down]]</f>
        <v>No - Have electronic device</v>
      </c>
      <c r="U152" s="73" t="str">
        <f>Table9[[#This Row],[website]]</f>
        <v>No</v>
      </c>
      <c r="V152" s="73" t="str">
        <f>Table9[[#This Row],[base_activity]]</f>
        <v>No extra activity - Independent in ADLs</v>
      </c>
      <c r="W152" s="73" t="str">
        <f>Table9[[#This Row],[current_activity]]</f>
        <v>No extra activity - Independent in ADLs</v>
      </c>
      <c r="X152" s="73" t="str">
        <f>Table9[[#This Row],[activity_type]]</f>
        <v>None</v>
      </c>
      <c r="Y152" s="73" t="str">
        <f>Table9[[#This Row],[anaemia_treat]]</f>
        <v>None</v>
      </c>
      <c r="Z152" s="78" t="str">
        <f>Table9[[#This Row],[anaesthesia]]</f>
        <v>General with Inhalational</v>
      </c>
      <c r="AA152" s="78">
        <f>Table9[[#This Row],[smoke_hist]]</f>
        <v>0</v>
      </c>
      <c r="AB152" s="78">
        <f>Table9[[#This Row],[smoke_cess]]</f>
        <v>0</v>
      </c>
      <c r="AC152" s="78" t="str">
        <f>Table9[[#This Row],[tidal_vol]]</f>
        <v>Not recorded</v>
      </c>
      <c r="AD152" s="77" t="str">
        <f>Table11[[#This Row],[inc_spiro]]</f>
        <v>Not done</v>
      </c>
      <c r="AE152" s="73" t="str">
        <f>Table11[[#This Row],[t_brushes]]</f>
        <v>Not done</v>
      </c>
      <c r="AF152" s="78" t="str">
        <f>Table11[[#This Row],[m_washes]]</f>
        <v>Not done</v>
      </c>
      <c r="AG152" s="78" t="str">
        <f>Table11[[#This Row],[iv_disc]]</f>
        <v>Yes</v>
      </c>
      <c r="AH152" s="78" t="str">
        <f>Table11[[#This Row],[tolerate_15l]]</f>
        <v>Not done</v>
      </c>
      <c r="AI152" s="78" t="str">
        <f>Table11[[#This Row],[drinking]]</f>
        <v>Yes</v>
      </c>
      <c r="AJ152" s="78" t="str">
        <f>Table11[[#This Row],[oral_diet]]</f>
        <v>Yes</v>
      </c>
      <c r="AK152" s="78" t="str">
        <f>Table11[[#This Row],[mobilised]]</f>
        <v>Yes</v>
      </c>
      <c r="AL152" s="79" t="str">
        <f>Table11[[#This Row],[resp_supp]]</f>
        <v>None</v>
      </c>
      <c r="AM152" s="78" t="str">
        <f>Table11[[#This Row],[elev_head]]</f>
        <v>Yes</v>
      </c>
      <c r="AN152" s="78" t="str">
        <f>Table13[[#This Row],[in_hospital]]</f>
        <v>No</v>
      </c>
      <c r="AO152" s="78">
        <f>Table13[[#This Row],[location_7]]</f>
        <v>0</v>
      </c>
      <c r="AP152" s="78">
        <f>Table13[[#This Row],[infec_24]]</f>
        <v>0</v>
      </c>
      <c r="AQ152" s="73">
        <f>Table13[[#This Row],[infec_7]]</f>
        <v>0</v>
      </c>
      <c r="AR152" s="73">
        <f>Table13[[#This Row],[gastro]]</f>
        <v>0</v>
      </c>
      <c r="AS152" s="73">
        <f>Table13[[#This Row],[pulm_supp_24]]</f>
        <v>0</v>
      </c>
      <c r="AT152" s="73">
        <f>Table13[[#This Row],[pulm_supp_7]]</f>
        <v>0</v>
      </c>
      <c r="AU152" s="73">
        <f>Table13[[#This Row],[pulm_pharm]]</f>
        <v>0</v>
      </c>
      <c r="AV152" s="73">
        <f>Table13[[#This Row],[cardio_24]]</f>
        <v>0</v>
      </c>
      <c r="AW152" s="73">
        <f>Table13[[#This Row],[troponin_7]]</f>
        <v>0</v>
      </c>
      <c r="AX152" s="73">
        <f>Table13[[#This Row],[creatinine_base]]</f>
        <v>0</v>
      </c>
      <c r="AY152" s="73">
        <f>Table13[[#This Row],[creatinine_high]]</f>
        <v>0</v>
      </c>
      <c r="AZ152" s="73">
        <f>Table13[[#This Row],[rrt]]</f>
        <v>0</v>
      </c>
      <c r="BA152" s="73">
        <f>Table13[[#This Row],[renal_24]]</f>
        <v>0</v>
      </c>
      <c r="BB152" s="73">
        <f>Table13[[#This Row],[neuro]]</f>
        <v>0</v>
      </c>
      <c r="BC152" s="73">
        <f>Table13[[#This Row],[wound]]</f>
        <v>0</v>
      </c>
      <c r="BD152" s="73">
        <f>Table13[[#This Row],[haemato]]</f>
        <v>0</v>
      </c>
      <c r="BE152" s="73">
        <f>Table13[[#This Row],[pain]]</f>
        <v>0</v>
      </c>
      <c r="BF152" s="73">
        <f>Table13[[#This Row],[mobility]]</f>
        <v>0</v>
      </c>
      <c r="BG152" s="79">
        <f>Table13[[#This Row],[why_inpatient_7]]</f>
        <v>0</v>
      </c>
      <c r="BH152" s="9">
        <f>Table13[[#This Row],[date_15]]</f>
        <v>0</v>
      </c>
      <c r="BI152">
        <f>Table13[[#This Row],[inpatient_15]]</f>
        <v>0</v>
      </c>
      <c r="BJ152">
        <f>Table13[[#This Row],[comment_15]]</f>
        <v>0</v>
      </c>
      <c r="BK152" t="str">
        <f>Table13[[#This Row],[discharge_dest]]</f>
        <v>Own Home</v>
      </c>
      <c r="BL152" t="str">
        <f>Table13[[#This Row],[complication]]</f>
        <v>IIIA</v>
      </c>
    </row>
    <row r="153" spans="1:64" ht="18" customHeight="1">
      <c r="A153" s="73" t="str">
        <f>Table5[[#This Row],[comment]]</f>
        <v>NBM first 7 days</v>
      </c>
      <c r="B153" s="73" t="str">
        <f>Table9[[#This Row],[surgeon]]</f>
        <v>Naheed Farooq</v>
      </c>
      <c r="C153" s="73" t="str">
        <f>Table9[[#This Row],[surgery]]</f>
        <v xml:space="preserve">Oesophagectomy (total)/Oesophagogastrectomy </v>
      </c>
      <c r="D153" s="74" t="str">
        <f>Table5[[#This Row],[pqip_consent]]</f>
        <v>Yes</v>
      </c>
      <c r="E153" s="73" t="str">
        <f>Table6[[#This Row],[area_surgery]]</f>
        <v>Upper GI</v>
      </c>
      <c r="F153" s="75">
        <f>Table6[[#This Row],[admission_date]]</f>
        <v>43395</v>
      </c>
      <c r="G153" s="75">
        <f>Table6[[#This Row],[admission_date]]</f>
        <v>43395</v>
      </c>
      <c r="H153" s="105">
        <f>Table6[[#This Row],[surgery_duration]]</f>
        <v>0.52083333333333337</v>
      </c>
      <c r="I153" s="73" t="str">
        <f>Table6[[#This Row],[discharge_loc]]</f>
        <v>CCU (Level 3)</v>
      </c>
      <c r="J153" s="75">
        <f>Table6[[#This Row],[discharge_date]]</f>
        <v>0</v>
      </c>
      <c r="K153" s="76">
        <f>Table6[[#This Row],[hospital_stay]]</f>
        <v>-43395</v>
      </c>
      <c r="L153" s="76">
        <f>Table6[[#This Row],[readmit_30]]</f>
        <v>0</v>
      </c>
      <c r="M153" s="77" t="str">
        <f>Table9[[#This Row],[troponin]]</f>
        <v>Not Measured</v>
      </c>
      <c r="N153" s="78">
        <f>Table9[[#This Row],[hb]]</f>
        <v>14.5</v>
      </c>
      <c r="O153" s="78">
        <f>Table9[[#This Row],[creatinine]]</f>
        <v>71</v>
      </c>
      <c r="P153" s="78">
        <f>Table9[[#This Row],[albumin]]</f>
        <v>48</v>
      </c>
      <c r="Q153" s="73" t="str">
        <f>Table9[[#This Row],[chest_physio]]</f>
        <v>Surgery School</v>
      </c>
      <c r="R153" s="73" t="str">
        <f>Table9[[#This Row],[surgery_school]]</f>
        <v>Yes - Hospital Session</v>
      </c>
      <c r="S153" s="75">
        <f>Table9[[#This Row],[date_school]]</f>
        <v>43377</v>
      </c>
      <c r="T153" s="73" t="str">
        <f>Table9[[#This Row],[app_down]]</f>
        <v>No - Have electronic device</v>
      </c>
      <c r="U153" s="73" t="str">
        <f>Table9[[#This Row],[website]]</f>
        <v>No</v>
      </c>
      <c r="V153" s="73" t="str">
        <f>Table9[[#This Row],[base_activity]]</f>
        <v>No extra activity - Independent in ADLs</v>
      </c>
      <c r="W153" s="73" t="str">
        <f>Table9[[#This Row],[current_activity]]</f>
        <v>No extra activity - Independent in ADLs</v>
      </c>
      <c r="X153" s="73" t="str">
        <f>Table9[[#This Row],[activity_type]]</f>
        <v>None</v>
      </c>
      <c r="Y153" s="73" t="str">
        <f>Table9[[#This Row],[anaemia_treat]]</f>
        <v>Not applicable</v>
      </c>
      <c r="Z153" s="78" t="str">
        <f>Table9[[#This Row],[anaesthesia]]</f>
        <v>General with TIVA</v>
      </c>
      <c r="AA153" s="78">
        <f>Table9[[#This Row],[smoke_hist]]</f>
        <v>0</v>
      </c>
      <c r="AB153" s="78">
        <f>Table9[[#This Row],[smoke_cess]]</f>
        <v>0</v>
      </c>
      <c r="AC153" s="78" t="str">
        <f>Table9[[#This Row],[tidal_vol]]</f>
        <v>Not recorded</v>
      </c>
      <c r="AD153" s="77" t="str">
        <f>Table11[[#This Row],[inc_spiro]]</f>
        <v>&gt;Two</v>
      </c>
      <c r="AE153" s="73" t="str">
        <f>Table11[[#This Row],[t_brushes]]</f>
        <v>None</v>
      </c>
      <c r="AF153" s="78" t="str">
        <f>Table11[[#This Row],[m_washes]]</f>
        <v>None</v>
      </c>
      <c r="AG153" s="78" t="str">
        <f>Table11[[#This Row],[iv_disc]]</f>
        <v>No</v>
      </c>
      <c r="AH153" s="78" t="str">
        <f>Table11[[#This Row],[tolerate_15l]]</f>
        <v>Not applicable</v>
      </c>
      <c r="AI153" s="78" t="str">
        <f>Table11[[#This Row],[drinking]]</f>
        <v>No</v>
      </c>
      <c r="AJ153" s="78" t="str">
        <f>Table11[[#This Row],[oral_diet]]</f>
        <v>No</v>
      </c>
      <c r="AK153" s="78" t="str">
        <f>Table11[[#This Row],[mobilised]]</f>
        <v>Yes</v>
      </c>
      <c r="AL153" s="79" t="str">
        <f>Table11[[#This Row],[resp_supp]]</f>
        <v>None</v>
      </c>
      <c r="AM153" s="78" t="str">
        <f>Table11[[#This Row],[elev_head]]</f>
        <v>Yes</v>
      </c>
      <c r="AN153" s="78" t="str">
        <f>Table13[[#This Row],[in_hospital]]</f>
        <v>Yes</v>
      </c>
      <c r="AO153" s="78" t="str">
        <f>Table13[[#This Row],[location_7]]</f>
        <v>Level 2/3</v>
      </c>
      <c r="AP153" s="78" t="str">
        <f>Table13[[#This Row],[infec_24]]</f>
        <v>Patient had temperature &gt;38˚C</v>
      </c>
      <c r="AQ153" s="73" t="str">
        <f>Table13[[#This Row],[infec_7]]</f>
        <v>Chest</v>
      </c>
      <c r="AR153" s="73" t="str">
        <f>Table13[[#This Row],[gastro]]</f>
        <v>Unable to tolerate enteral diet</v>
      </c>
      <c r="AS153" s="73" t="str">
        <f>Table13[[#This Row],[pulm_supp_24]]</f>
        <v>New requirement for oxygen</v>
      </c>
      <c r="AT153" s="73" t="str">
        <f>Table13[[#This Row],[pulm_supp_7]]</f>
        <v>Moderate</v>
      </c>
      <c r="AU153" s="73" t="str">
        <f>Table13[[#This Row],[pulm_pharm]]</f>
        <v>None</v>
      </c>
      <c r="AV153" s="73" t="str">
        <f>Table13[[#This Row],[cardio_24]]</f>
        <v>None of the above</v>
      </c>
      <c r="AW153" s="73" t="str">
        <f>Table13[[#This Row],[troponin_7]]</f>
        <v>None measured</v>
      </c>
      <c r="AX153" s="73">
        <f>Table13[[#This Row],[creatinine_base]]</f>
        <v>71</v>
      </c>
      <c r="AY153" s="73">
        <f>Table13[[#This Row],[creatinine_high]]</f>
        <v>65</v>
      </c>
      <c r="AZ153" s="73" t="str">
        <f>Table13[[#This Row],[rrt]]</f>
        <v xml:space="preserve">No </v>
      </c>
      <c r="BA153" s="73" t="str">
        <f>Table13[[#This Row],[renal_24]]</f>
        <v>Urethral catheter in-situ (not present pre-operatively)</v>
      </c>
      <c r="BB153" s="73" t="str">
        <f>Table13[[#This Row],[neuro]]</f>
        <v>None of the above</v>
      </c>
      <c r="BC153" s="73" t="str">
        <f>Table13[[#This Row],[wound]]</f>
        <v>None of the above</v>
      </c>
      <c r="BD153" s="73" t="str">
        <f>Table13[[#This Row],[haemato]]</f>
        <v>None of the above</v>
      </c>
      <c r="BE153" s="73" t="str">
        <f>Table13[[#This Row],[pain]]</f>
        <v>Parenteral opioids</v>
      </c>
      <c r="BF153" s="73" t="str">
        <f>Table13[[#This Row],[mobility]]</f>
        <v>No</v>
      </c>
      <c r="BG153" s="79" t="str">
        <f>Table13[[#This Row],[why_inpatient_7]]</f>
        <v>Medical/nursing care</v>
      </c>
      <c r="BH153" s="9">
        <f>Table13[[#This Row],[date_15]]</f>
        <v>43410</v>
      </c>
      <c r="BI153" t="str">
        <f>Table13[[#This Row],[inpatient_15]]</f>
        <v>Yes</v>
      </c>
      <c r="BJ153" t="str">
        <f>Table13[[#This Row],[comment_15]]</f>
        <v>Day 9: CT reveals plaural effusion, HFNC; Day 12: tachycardia; Day 15: still treated for leak</v>
      </c>
      <c r="BK153">
        <f>Table13[[#This Row],[discharge_dest]]</f>
        <v>0</v>
      </c>
      <c r="BL153" t="str">
        <f>Table13[[#This Row],[complication]]</f>
        <v>II</v>
      </c>
    </row>
    <row r="154" spans="1:64" ht="18" customHeight="1">
      <c r="A154" s="73" t="str">
        <f>Table5[[#This Row],[comment]]</f>
        <v>Larangectomy</v>
      </c>
      <c r="B154" s="73" t="str">
        <f>Table9[[#This Row],[surgeon]]</f>
        <v>Jonathan Epstein</v>
      </c>
      <c r="C154" s="73" t="str">
        <f>Table9[[#This Row],[surgery]]</f>
        <v>Left hemicolectomy (with colostomy)</v>
      </c>
      <c r="D154" s="74" t="str">
        <f>Table5[[#This Row],[pqip_consent]]</f>
        <v>Yes</v>
      </c>
      <c r="E154" s="73" t="str">
        <f>Table6[[#This Row],[area_surgery]]</f>
        <v>Lower GI</v>
      </c>
      <c r="F154" s="75">
        <f>Table6[[#This Row],[admission_date]]</f>
        <v>43396</v>
      </c>
      <c r="G154" s="75">
        <f>Table6[[#This Row],[admission_date]]</f>
        <v>43396</v>
      </c>
      <c r="H154" s="105">
        <f>Table6[[#This Row],[surgery_duration]]</f>
        <v>0.23958333333333334</v>
      </c>
      <c r="I154" s="73" t="str">
        <f>Table6[[#This Row],[discharge_loc]]</f>
        <v>CCU (Level 3)</v>
      </c>
      <c r="J154" s="75">
        <f>Table6[[#This Row],[discharge_date]]</f>
        <v>43405</v>
      </c>
      <c r="K154" s="76">
        <f>Table6[[#This Row],[hospital_stay]]</f>
        <v>9</v>
      </c>
      <c r="L154" s="76">
        <f>Table6[[#This Row],[readmit_30]]</f>
        <v>0</v>
      </c>
      <c r="M154" s="77" t="str">
        <f>Table9[[#This Row],[troponin]]</f>
        <v>Not Measured</v>
      </c>
      <c r="N154" s="78">
        <f>Table9[[#This Row],[hb]]</f>
        <v>12.8</v>
      </c>
      <c r="O154" s="78">
        <f>Table9[[#This Row],[creatinine]]</f>
        <v>90</v>
      </c>
      <c r="P154" s="78">
        <f>Table9[[#This Row],[albumin]]</f>
        <v>43</v>
      </c>
      <c r="Q154" s="73" t="str">
        <f>Table9[[#This Row],[chest_physio]]</f>
        <v>Surgery School</v>
      </c>
      <c r="R154" s="73" t="str">
        <f>Table9[[#This Row],[surgery_school]]</f>
        <v>Yes - Hospital Session</v>
      </c>
      <c r="S154" s="75">
        <f>Table9[[#This Row],[date_school]]</f>
        <v>43370</v>
      </c>
      <c r="T154" s="73" t="str">
        <f>Table9[[#This Row],[app_down]]</f>
        <v>No - Have electronic device</v>
      </c>
      <c r="U154" s="73" t="str">
        <f>Table9[[#This Row],[website]]</f>
        <v>No</v>
      </c>
      <c r="V154" s="73" t="str">
        <f>Table9[[#This Row],[base_activity]]</f>
        <v>No extra activity - Needs help with ADLs</v>
      </c>
      <c r="W154" s="73" t="str">
        <f>Table9[[#This Row],[current_activity]]</f>
        <v>No extra activity - Needs help with ADLs</v>
      </c>
      <c r="X154" s="73" t="str">
        <f>Table9[[#This Row],[activity_type]]</f>
        <v>None</v>
      </c>
      <c r="Y154" s="73" t="str">
        <f>Table9[[#This Row],[anaemia_treat]]</f>
        <v xml:space="preserve">Oral Iron </v>
      </c>
      <c r="Z154" s="78" t="str">
        <f>Table9[[#This Row],[anaesthesia]]</f>
        <v>General with Inhalational</v>
      </c>
      <c r="AA154" s="78">
        <f>Table9[[#This Row],[smoke_hist]]</f>
        <v>0</v>
      </c>
      <c r="AB154" s="78">
        <f>Table9[[#This Row],[smoke_cess]]</f>
        <v>0</v>
      </c>
      <c r="AC154" s="78" t="str">
        <f>Table9[[#This Row],[tidal_vol]]</f>
        <v>Not recorded</v>
      </c>
      <c r="AD154" s="77" t="str">
        <f>Table11[[#This Row],[inc_spiro]]</f>
        <v>Not used</v>
      </c>
      <c r="AE154" s="73" t="str">
        <f>Table11[[#This Row],[t_brushes]]</f>
        <v>Twice</v>
      </c>
      <c r="AF154" s="78" t="str">
        <f>Table11[[#This Row],[m_washes]]</f>
        <v>None</v>
      </c>
      <c r="AG154" s="78" t="str">
        <f>Table11[[#This Row],[iv_disc]]</f>
        <v>No</v>
      </c>
      <c r="AH154" s="78" t="str">
        <f>Table11[[#This Row],[tolerate_15l]]</f>
        <v>No</v>
      </c>
      <c r="AI154" s="78" t="str">
        <f>Table11[[#This Row],[drinking]]</f>
        <v>Yes</v>
      </c>
      <c r="AJ154" s="78" t="str">
        <f>Table11[[#This Row],[oral_diet]]</f>
        <v>No</v>
      </c>
      <c r="AK154" s="78" t="str">
        <f>Table11[[#This Row],[mobilised]]</f>
        <v>Yes</v>
      </c>
      <c r="AL154" s="79" t="str">
        <f>Table11[[#This Row],[resp_supp]]</f>
        <v>None</v>
      </c>
      <c r="AM154" s="78" t="str">
        <f>Table11[[#This Row],[elev_head]]</f>
        <v>Yes</v>
      </c>
      <c r="AN154" s="78" t="str">
        <f>Table13[[#This Row],[in_hospital]]</f>
        <v>Yes</v>
      </c>
      <c r="AO154" s="78" t="str">
        <f>Table13[[#This Row],[location_7]]</f>
        <v>Ward</v>
      </c>
      <c r="AP154" s="78" t="str">
        <f>Table13[[#This Row],[infec_24]]</f>
        <v>None of the above</v>
      </c>
      <c r="AQ154" s="73" t="str">
        <f>Table13[[#This Row],[infec_7]]</f>
        <v>None</v>
      </c>
      <c r="AR154" s="73" t="str">
        <f>Table13[[#This Row],[gastro]]</f>
        <v>None of the above</v>
      </c>
      <c r="AS154" s="73" t="str">
        <f>Table13[[#This Row],[pulm_supp_24]]</f>
        <v>None of the above</v>
      </c>
      <c r="AT154" s="73" t="str">
        <f>Table13[[#This Row],[pulm_supp_7]]</f>
        <v>None</v>
      </c>
      <c r="AU154" s="73" t="str">
        <f>Table13[[#This Row],[pulm_pharm]]</f>
        <v>None</v>
      </c>
      <c r="AV154" s="73" t="str">
        <f>Table13[[#This Row],[cardio_24]]</f>
        <v>None of the above</v>
      </c>
      <c r="AW154" s="73" t="str">
        <f>Table13[[#This Row],[troponin_7]]</f>
        <v>None measured</v>
      </c>
      <c r="AX154" s="73">
        <f>Table13[[#This Row],[creatinine_base]]</f>
        <v>90</v>
      </c>
      <c r="AY154" s="73">
        <f>Table13[[#This Row],[creatinine_high]]</f>
        <v>78</v>
      </c>
      <c r="AZ154" s="73" t="str">
        <f>Table13[[#This Row],[rrt]]</f>
        <v xml:space="preserve">No </v>
      </c>
      <c r="BA154" s="73" t="str">
        <f>Table13[[#This Row],[renal_24]]</f>
        <v>None of the above</v>
      </c>
      <c r="BB154" s="73" t="str">
        <f>Table13[[#This Row],[neuro]]</f>
        <v>None of the above</v>
      </c>
      <c r="BC154" s="73" t="str">
        <f>Table13[[#This Row],[wound]]</f>
        <v>None of the above</v>
      </c>
      <c r="BD154" s="73" t="str">
        <f>Table13[[#This Row],[haemato]]</f>
        <v>None of the above</v>
      </c>
      <c r="BE154" s="73" t="str">
        <f>Table13[[#This Row],[pain]]</f>
        <v>Parenteral opioids</v>
      </c>
      <c r="BF154" s="73" t="str">
        <f>Table13[[#This Row],[mobility]]</f>
        <v>Yes</v>
      </c>
      <c r="BG154" s="79" t="str">
        <f>Table13[[#This Row],[why_inpatient_7]]</f>
        <v>Medical/nursing care</v>
      </c>
      <c r="BH154" s="9">
        <f>Table13[[#This Row],[date_15]]</f>
        <v>43411</v>
      </c>
      <c r="BI154" t="str">
        <f>Table13[[#This Row],[inpatient_15]]</f>
        <v>No</v>
      </c>
      <c r="BJ154">
        <f>Table13[[#This Row],[comment_15]]</f>
        <v>0</v>
      </c>
      <c r="BK154" t="str">
        <f>Table13[[#This Row],[discharge_dest]]</f>
        <v>Own Home</v>
      </c>
      <c r="BL154" t="str">
        <f>Table13[[#This Row],[complication]]</f>
        <v>None</v>
      </c>
    </row>
    <row r="155" spans="1:64" ht="18" customHeight="1">
      <c r="A155" s="73">
        <f>Table5[[#This Row],[comment]]</f>
        <v>0</v>
      </c>
      <c r="B155" s="73" t="str">
        <f>Table9[[#This Row],[surgeon]]</f>
        <v>Euan Green</v>
      </c>
      <c r="C155" s="73" t="str">
        <f>Table9[[#This Row],[surgery]]</f>
        <v xml:space="preserve">Nephrectomy (non-transplant) </v>
      </c>
      <c r="D155" s="74" t="str">
        <f>Table5[[#This Row],[pqip_consent]]</f>
        <v>Yes</v>
      </c>
      <c r="E155" s="73" t="str">
        <f>Table6[[#This Row],[area_surgery]]</f>
        <v>Urology</v>
      </c>
      <c r="F155" s="75">
        <f>Table6[[#This Row],[admission_date]]</f>
        <v>43396</v>
      </c>
      <c r="G155" s="75">
        <f>Table6[[#This Row],[admission_date]]</f>
        <v>43396</v>
      </c>
      <c r="H155" s="105">
        <f>Table6[[#This Row],[surgery_duration]]</f>
        <v>0.20833333333333334</v>
      </c>
      <c r="I155" s="73" t="str">
        <f>Table6[[#This Row],[discharge_loc]]</f>
        <v>H6</v>
      </c>
      <c r="J155" s="75">
        <f>Table6[[#This Row],[discharge_date]]</f>
        <v>43402</v>
      </c>
      <c r="K155" s="76">
        <f>Table6[[#This Row],[hospital_stay]]</f>
        <v>6</v>
      </c>
      <c r="L155" s="76">
        <f>Table6[[#This Row],[readmit_30]]</f>
        <v>0</v>
      </c>
      <c r="M155" s="77" t="str">
        <f>Table9[[#This Row],[troponin]]</f>
        <v>Not Measured</v>
      </c>
      <c r="N155" s="78">
        <f>Table9[[#This Row],[hb]]</f>
        <v>9</v>
      </c>
      <c r="O155" s="78">
        <f>Table9[[#This Row],[creatinine]]</f>
        <v>112</v>
      </c>
      <c r="P155" s="78">
        <f>Table9[[#This Row],[albumin]]</f>
        <v>42</v>
      </c>
      <c r="Q155" s="73" t="str">
        <f>Table9[[#This Row],[chest_physio]]</f>
        <v>No</v>
      </c>
      <c r="R155" s="73" t="str">
        <f>Table9[[#This Row],[surgery_school]]</f>
        <v>No - Wasn’t offered it</v>
      </c>
      <c r="S155" s="75">
        <f>Table9[[#This Row],[date_school]]</f>
        <v>0</v>
      </c>
      <c r="T155" s="73">
        <f>Table9[[#This Row],[app_down]]</f>
        <v>0</v>
      </c>
      <c r="U155" s="73">
        <f>Table9[[#This Row],[website]]</f>
        <v>0</v>
      </c>
      <c r="V155" s="73" t="str">
        <f>Table9[[#This Row],[base_activity]]</f>
        <v>No extra activity - Independent in ADLs</v>
      </c>
      <c r="W155" s="73" t="str">
        <f>Table9[[#This Row],[current_activity]]</f>
        <v>No extra activity - Independent in ADLs</v>
      </c>
      <c r="X155" s="73" t="str">
        <f>Table9[[#This Row],[activity_type]]</f>
        <v>None</v>
      </c>
      <c r="Y155" s="73" t="str">
        <f>Table9[[#This Row],[anaemia_treat]]</f>
        <v xml:space="preserve">Oral Iron </v>
      </c>
      <c r="Z155" s="78" t="str">
        <f>Table9[[#This Row],[anaesthesia]]</f>
        <v>General with Inhalational</v>
      </c>
      <c r="AA155" s="78">
        <f>Table9[[#This Row],[smoke_hist]]</f>
        <v>0</v>
      </c>
      <c r="AB155" s="78">
        <f>Table9[[#This Row],[smoke_cess]]</f>
        <v>0</v>
      </c>
      <c r="AC155" s="78" t="str">
        <f>Table9[[#This Row],[tidal_vol]]</f>
        <v>Not recorded</v>
      </c>
      <c r="AD155" s="77" t="str">
        <f>Table11[[#This Row],[inc_spiro]]</f>
        <v>Not used</v>
      </c>
      <c r="AE155" s="73" t="str">
        <f>Table11[[#This Row],[t_brushes]]</f>
        <v>Twice</v>
      </c>
      <c r="AF155" s="78" t="str">
        <f>Table11[[#This Row],[m_washes]]</f>
        <v>Twice</v>
      </c>
      <c r="AG155" s="78" t="str">
        <f>Table11[[#This Row],[iv_disc]]</f>
        <v>No</v>
      </c>
      <c r="AH155" s="78" t="str">
        <f>Table11[[#This Row],[tolerate_15l]]</f>
        <v>No</v>
      </c>
      <c r="AI155" s="78" t="str">
        <f>Table11[[#This Row],[drinking]]</f>
        <v>Yes</v>
      </c>
      <c r="AJ155" s="78" t="str">
        <f>Table11[[#This Row],[oral_diet]]</f>
        <v>Yes</v>
      </c>
      <c r="AK155" s="78" t="str">
        <f>Table11[[#This Row],[mobilised]]</f>
        <v>Yes</v>
      </c>
      <c r="AL155" s="79" t="str">
        <f>Table11[[#This Row],[resp_supp]]</f>
        <v>None</v>
      </c>
      <c r="AM155" s="78" t="str">
        <f>Table11[[#This Row],[elev_head]]</f>
        <v>Yes</v>
      </c>
      <c r="AN155" s="78" t="str">
        <f>Table13[[#This Row],[in_hospital]]</f>
        <v>No</v>
      </c>
      <c r="AO155" s="78">
        <f>Table13[[#This Row],[location_7]]</f>
        <v>0</v>
      </c>
      <c r="AP155" s="78">
        <f>Table13[[#This Row],[infec_24]]</f>
        <v>0</v>
      </c>
      <c r="AQ155" s="73">
        <f>Table13[[#This Row],[infec_7]]</f>
        <v>0</v>
      </c>
      <c r="AR155" s="73">
        <f>Table13[[#This Row],[gastro]]</f>
        <v>0</v>
      </c>
      <c r="AS155" s="73">
        <f>Table13[[#This Row],[pulm_supp_24]]</f>
        <v>0</v>
      </c>
      <c r="AT155" s="73">
        <f>Table13[[#This Row],[pulm_supp_7]]</f>
        <v>0</v>
      </c>
      <c r="AU155" s="73">
        <f>Table13[[#This Row],[pulm_pharm]]</f>
        <v>0</v>
      </c>
      <c r="AV155" s="73">
        <f>Table13[[#This Row],[cardio_24]]</f>
        <v>0</v>
      </c>
      <c r="AW155" s="73">
        <f>Table13[[#This Row],[troponin_7]]</f>
        <v>0</v>
      </c>
      <c r="AX155" s="73">
        <f>Table13[[#This Row],[creatinine_base]]</f>
        <v>0</v>
      </c>
      <c r="AY155" s="73">
        <f>Table13[[#This Row],[creatinine_high]]</f>
        <v>0</v>
      </c>
      <c r="AZ155" s="73">
        <f>Table13[[#This Row],[rrt]]</f>
        <v>0</v>
      </c>
      <c r="BA155" s="73">
        <f>Table13[[#This Row],[renal_24]]</f>
        <v>0</v>
      </c>
      <c r="BB155" s="73">
        <f>Table13[[#This Row],[neuro]]</f>
        <v>0</v>
      </c>
      <c r="BC155" s="73">
        <f>Table13[[#This Row],[wound]]</f>
        <v>0</v>
      </c>
      <c r="BD155" s="73">
        <f>Table13[[#This Row],[haemato]]</f>
        <v>0</v>
      </c>
      <c r="BE155" s="73">
        <f>Table13[[#This Row],[pain]]</f>
        <v>0</v>
      </c>
      <c r="BF155" s="73">
        <f>Table13[[#This Row],[mobility]]</f>
        <v>0</v>
      </c>
      <c r="BG155" s="79">
        <f>Table13[[#This Row],[why_inpatient_7]]</f>
        <v>0</v>
      </c>
      <c r="BH155" s="9">
        <f>Table13[[#This Row],[date_15]]</f>
        <v>0</v>
      </c>
      <c r="BI155">
        <f>Table13[[#This Row],[inpatient_15]]</f>
        <v>0</v>
      </c>
      <c r="BJ155">
        <f>Table13[[#This Row],[comment_15]]</f>
        <v>0</v>
      </c>
      <c r="BK155" t="str">
        <f>Table13[[#This Row],[discharge_dest]]</f>
        <v>Own Home</v>
      </c>
      <c r="BL155" t="str">
        <f>Table13[[#This Row],[complication]]</f>
        <v>None</v>
      </c>
    </row>
    <row r="156" spans="1:64" ht="18" customHeight="1">
      <c r="A156" s="73">
        <f>Table5[[#This Row],[comment]]</f>
        <v>0</v>
      </c>
      <c r="B156" s="73" t="str">
        <f>Table9[[#This Row],[surgeon]]</f>
        <v>Satish Maddineni</v>
      </c>
      <c r="C156" s="73" t="str">
        <f>Table9[[#This Row],[surgery]]</f>
        <v xml:space="preserve">Nephrectomy (non-transplant) </v>
      </c>
      <c r="D156" s="74" t="str">
        <f>Table5[[#This Row],[pqip_consent]]</f>
        <v>No</v>
      </c>
      <c r="E156" s="73" t="str">
        <f>Table6[[#This Row],[area_surgery]]</f>
        <v>Urology</v>
      </c>
      <c r="F156" s="75">
        <f>Table6[[#This Row],[admission_date]]</f>
        <v>43396</v>
      </c>
      <c r="G156" s="75">
        <f>Table6[[#This Row],[admission_date]]</f>
        <v>43396</v>
      </c>
      <c r="H156" s="105">
        <f>Table6[[#This Row],[surgery_duration]]</f>
        <v>0.1875</v>
      </c>
      <c r="I156" s="73" t="str">
        <f>Table6[[#This Row],[discharge_loc]]</f>
        <v>H6</v>
      </c>
      <c r="J156" s="75">
        <f>Table6[[#This Row],[discharge_date]]</f>
        <v>43402</v>
      </c>
      <c r="K156" s="76">
        <f>Table6[[#This Row],[hospital_stay]]</f>
        <v>6</v>
      </c>
      <c r="L156" s="76">
        <f>Table6[[#This Row],[readmit_30]]</f>
        <v>0</v>
      </c>
      <c r="M156" s="77" t="str">
        <f>Table9[[#This Row],[troponin]]</f>
        <v>Not Measured</v>
      </c>
      <c r="N156" s="78">
        <f>Table9[[#This Row],[hb]]</f>
        <v>13.4</v>
      </c>
      <c r="O156" s="78">
        <f>Table9[[#This Row],[creatinine]]</f>
        <v>121</v>
      </c>
      <c r="P156" s="78">
        <f>Table9[[#This Row],[albumin]]</f>
        <v>47</v>
      </c>
      <c r="Q156" s="73" t="str">
        <f>Table9[[#This Row],[chest_physio]]</f>
        <v>Surgery School</v>
      </c>
      <c r="R156" s="73" t="str">
        <f>Table9[[#This Row],[surgery_school]]</f>
        <v>Yes - Hospital Session</v>
      </c>
      <c r="S156" s="75">
        <f>Table9[[#This Row],[date_school]]</f>
        <v>43377</v>
      </c>
      <c r="T156" s="73" t="str">
        <f>Table9[[#This Row],[app_down]]</f>
        <v>No - Have electronic device</v>
      </c>
      <c r="U156" s="73" t="str">
        <f>Table9[[#This Row],[website]]</f>
        <v>No</v>
      </c>
      <c r="V156" s="73" t="str">
        <f>Table9[[#This Row],[base_activity]]</f>
        <v>&gt;30mins of moderate activity</v>
      </c>
      <c r="W156" s="73" t="str">
        <f>Table9[[#This Row],[current_activity]]</f>
        <v>&gt;30mins of moderate activity</v>
      </c>
      <c r="X156" s="73" t="str">
        <f>Table9[[#This Row],[activity_type]]</f>
        <v xml:space="preserve">Walking regularly </v>
      </c>
      <c r="Y156" s="73" t="str">
        <f>Table9[[#This Row],[anaemia_treat]]</f>
        <v>Not applicable</v>
      </c>
      <c r="Z156" s="78" t="str">
        <f>Table9[[#This Row],[anaesthesia]]</f>
        <v>General with Inhalational</v>
      </c>
      <c r="AA156" s="78">
        <f>Table9[[#This Row],[smoke_hist]]</f>
        <v>0</v>
      </c>
      <c r="AB156" s="78">
        <f>Table9[[#This Row],[smoke_cess]]</f>
        <v>0</v>
      </c>
      <c r="AC156" s="78" t="str">
        <f>Table9[[#This Row],[tidal_vol]]</f>
        <v>Not recorded</v>
      </c>
      <c r="AD156" s="77" t="str">
        <f>Table11[[#This Row],[inc_spiro]]</f>
        <v>Not used</v>
      </c>
      <c r="AE156" s="73" t="str">
        <f>Table11[[#This Row],[t_brushes]]</f>
        <v>Twice</v>
      </c>
      <c r="AF156" s="78" t="str">
        <f>Table11[[#This Row],[m_washes]]</f>
        <v>None</v>
      </c>
      <c r="AG156" s="78" t="str">
        <f>Table11[[#This Row],[iv_disc]]</f>
        <v>No</v>
      </c>
      <c r="AH156" s="78" t="str">
        <f>Table11[[#This Row],[tolerate_15l]]</f>
        <v>Yes</v>
      </c>
      <c r="AI156" s="78" t="str">
        <f>Table11[[#This Row],[drinking]]</f>
        <v>Yes</v>
      </c>
      <c r="AJ156" s="78" t="str">
        <f>Table11[[#This Row],[oral_diet]]</f>
        <v>Yes</v>
      </c>
      <c r="AK156" s="78" t="str">
        <f>Table11[[#This Row],[mobilised]]</f>
        <v>Yes</v>
      </c>
      <c r="AL156" s="79" t="str">
        <f>Table11[[#This Row],[resp_supp]]</f>
        <v>None</v>
      </c>
      <c r="AM156" s="78" t="str">
        <f>Table11[[#This Row],[elev_head]]</f>
        <v>Yes</v>
      </c>
      <c r="AN156" s="78" t="str">
        <f>Table13[[#This Row],[in_hospital]]</f>
        <v>No</v>
      </c>
      <c r="AO156" s="78">
        <f>Table13[[#This Row],[location_7]]</f>
        <v>0</v>
      </c>
      <c r="AP156" s="78">
        <f>Table13[[#This Row],[infec_24]]</f>
        <v>0</v>
      </c>
      <c r="AQ156" s="73">
        <f>Table13[[#This Row],[infec_7]]</f>
        <v>0</v>
      </c>
      <c r="AR156" s="73">
        <f>Table13[[#This Row],[gastro]]</f>
        <v>0</v>
      </c>
      <c r="AS156" s="73">
        <f>Table13[[#This Row],[pulm_supp_24]]</f>
        <v>0</v>
      </c>
      <c r="AT156" s="73">
        <f>Table13[[#This Row],[pulm_supp_7]]</f>
        <v>0</v>
      </c>
      <c r="AU156" s="73">
        <f>Table13[[#This Row],[pulm_pharm]]</f>
        <v>0</v>
      </c>
      <c r="AV156" s="73">
        <f>Table13[[#This Row],[cardio_24]]</f>
        <v>0</v>
      </c>
      <c r="AW156" s="73">
        <f>Table13[[#This Row],[troponin_7]]</f>
        <v>0</v>
      </c>
      <c r="AX156" s="73">
        <f>Table13[[#This Row],[creatinine_base]]</f>
        <v>0</v>
      </c>
      <c r="AY156" s="73">
        <f>Table13[[#This Row],[creatinine_high]]</f>
        <v>0</v>
      </c>
      <c r="AZ156" s="73">
        <f>Table13[[#This Row],[rrt]]</f>
        <v>0</v>
      </c>
      <c r="BA156" s="73">
        <f>Table13[[#This Row],[renal_24]]</f>
        <v>0</v>
      </c>
      <c r="BB156" s="73">
        <f>Table13[[#This Row],[neuro]]</f>
        <v>0</v>
      </c>
      <c r="BC156" s="73">
        <f>Table13[[#This Row],[wound]]</f>
        <v>0</v>
      </c>
      <c r="BD156" s="73">
        <f>Table13[[#This Row],[haemato]]</f>
        <v>0</v>
      </c>
      <c r="BE156" s="73">
        <f>Table13[[#This Row],[pain]]</f>
        <v>0</v>
      </c>
      <c r="BF156" s="73">
        <f>Table13[[#This Row],[mobility]]</f>
        <v>0</v>
      </c>
      <c r="BG156" s="79">
        <f>Table13[[#This Row],[why_inpatient_7]]</f>
        <v>0</v>
      </c>
      <c r="BH156" s="9">
        <f>Table13[[#This Row],[date_15]]</f>
        <v>0</v>
      </c>
      <c r="BI156">
        <f>Table13[[#This Row],[inpatient_15]]</f>
        <v>0</v>
      </c>
      <c r="BJ156">
        <f>Table13[[#This Row],[comment_15]]</f>
        <v>0</v>
      </c>
      <c r="BK156" t="str">
        <f>Table13[[#This Row],[discharge_dest]]</f>
        <v>Own Home</v>
      </c>
      <c r="BL156" t="str">
        <f>Table13[[#This Row],[complication]]</f>
        <v>None</v>
      </c>
    </row>
    <row r="157" spans="1:64" ht="18" customHeight="1">
      <c r="A157" s="73" t="str">
        <f>Table5[[#This Row],[comment]]</f>
        <v>Day 2: Patient in severe pain and distressed. Decided not to approach</v>
      </c>
      <c r="B157" s="73" t="str">
        <f>Table9[[#This Row],[surgeon]]</f>
        <v>N P Lees</v>
      </c>
      <c r="C157" s="73" t="str">
        <f>Table9[[#This Row],[surgery]]</f>
        <v>Exploratory laparotomy</v>
      </c>
      <c r="D157" s="74" t="str">
        <f>Table5[[#This Row],[pqip_consent]]</f>
        <v>No</v>
      </c>
      <c r="E157" s="73" t="str">
        <f>Table6[[#This Row],[area_surgery]]</f>
        <v>Lower GI</v>
      </c>
      <c r="F157" s="75">
        <f>Table6[[#This Row],[admission_date]]</f>
        <v>43392</v>
      </c>
      <c r="G157" s="75">
        <f>Table6[[#This Row],[admission_date]]</f>
        <v>43392</v>
      </c>
      <c r="H157" s="105">
        <f>Table6[[#This Row],[surgery_duration]]</f>
        <v>0.33333333333333331</v>
      </c>
      <c r="I157" s="73" t="str">
        <f>Table6[[#This Row],[discharge_loc]]</f>
        <v>CCU (Level 3)</v>
      </c>
      <c r="J157" s="75">
        <f>Table6[[#This Row],[discharge_date]]</f>
        <v>0</v>
      </c>
      <c r="K157" s="76">
        <f>Table6[[#This Row],[hospital_stay]]</f>
        <v>-43396</v>
      </c>
      <c r="L157" s="76">
        <f>Table6[[#This Row],[readmit_30]]</f>
        <v>0</v>
      </c>
      <c r="M157" s="77" t="str">
        <f>Table9[[#This Row],[troponin]]</f>
        <v>Not Measured</v>
      </c>
      <c r="N157" s="78">
        <f>Table9[[#This Row],[hb]]</f>
        <v>9.9</v>
      </c>
      <c r="O157" s="78">
        <f>Table9[[#This Row],[creatinine]]</f>
        <v>43</v>
      </c>
      <c r="P157" s="78">
        <f>Table9[[#This Row],[albumin]]</f>
        <v>42</v>
      </c>
      <c r="Q157" s="73" t="str">
        <f>Table9[[#This Row],[chest_physio]]</f>
        <v>No</v>
      </c>
      <c r="R157" s="73" t="str">
        <f>Table9[[#This Row],[surgery_school]]</f>
        <v>No - Wasn’t offered it</v>
      </c>
      <c r="S157" s="75">
        <f>Table9[[#This Row],[date_school]]</f>
        <v>0</v>
      </c>
      <c r="T157" s="73">
        <f>Table9[[#This Row],[app_down]]</f>
        <v>0</v>
      </c>
      <c r="U157" s="73">
        <f>Table9[[#This Row],[website]]</f>
        <v>0</v>
      </c>
      <c r="V157" s="73">
        <f>Table9[[#This Row],[base_activity]]</f>
        <v>0</v>
      </c>
      <c r="W157" s="73">
        <f>Table9[[#This Row],[current_activity]]</f>
        <v>0</v>
      </c>
      <c r="X157" s="73">
        <f>Table9[[#This Row],[activity_type]]</f>
        <v>0</v>
      </c>
      <c r="Y157" s="73" t="str">
        <f>Table9[[#This Row],[anaemia_treat]]</f>
        <v>Not applicable</v>
      </c>
      <c r="Z157" s="78" t="str">
        <f>Table9[[#This Row],[anaesthesia]]</f>
        <v>General with TIVA</v>
      </c>
      <c r="AA157" s="78">
        <f>Table9[[#This Row],[smoke_hist]]</f>
        <v>0</v>
      </c>
      <c r="AB157" s="78">
        <f>Table9[[#This Row],[smoke_cess]]</f>
        <v>0</v>
      </c>
      <c r="AC157" s="78" t="str">
        <f>Table9[[#This Row],[tidal_vol]]</f>
        <v>Not recorded</v>
      </c>
      <c r="AD157" s="77" t="str">
        <f>Table11[[#This Row],[inc_spiro]]</f>
        <v>Not done</v>
      </c>
      <c r="AE157" s="73" t="str">
        <f>Table11[[#This Row],[t_brushes]]</f>
        <v>Twice</v>
      </c>
      <c r="AF157" s="78" t="str">
        <f>Table11[[#This Row],[m_washes]]</f>
        <v>Not done</v>
      </c>
      <c r="AG157" s="78" t="str">
        <f>Table11[[#This Row],[iv_disc]]</f>
        <v>No</v>
      </c>
      <c r="AH157" s="78" t="str">
        <f>Table11[[#This Row],[tolerate_15l]]</f>
        <v>Not applicable</v>
      </c>
      <c r="AI157" s="78" t="str">
        <f>Table11[[#This Row],[drinking]]</f>
        <v>No</v>
      </c>
      <c r="AJ157" s="78" t="str">
        <f>Table11[[#This Row],[oral_diet]]</f>
        <v>No</v>
      </c>
      <c r="AK157" s="78" t="str">
        <f>Table11[[#This Row],[mobilised]]</f>
        <v>No</v>
      </c>
      <c r="AL157" s="79" t="str">
        <f>Table11[[#This Row],[resp_supp]]</f>
        <v>High flow Nasal</v>
      </c>
      <c r="AM157" s="78" t="str">
        <f>Table11[[#This Row],[elev_head]]</f>
        <v>Yes</v>
      </c>
      <c r="AN157" s="78" t="str">
        <f>Table13[[#This Row],[in_hospital]]</f>
        <v>Yes</v>
      </c>
      <c r="AO157" s="78" t="str">
        <f>Table13[[#This Row],[location_7]]</f>
        <v>Level 2/3</v>
      </c>
      <c r="AP157" s="78" t="str">
        <f>Table13[[#This Row],[infec_24]]</f>
        <v>None of the above</v>
      </c>
      <c r="AQ157" s="73" t="str">
        <f>Table13[[#This Row],[infec_7]]</f>
        <v>None</v>
      </c>
      <c r="AR157" s="73" t="str">
        <f>Table13[[#This Row],[gastro]]</f>
        <v>None of the above</v>
      </c>
      <c r="AS157" s="73" t="str">
        <f>Table13[[#This Row],[pulm_supp_24]]</f>
        <v>New requirement for oxygen</v>
      </c>
      <c r="AT157" s="73" t="str">
        <f>Table13[[#This Row],[pulm_supp_7]]</f>
        <v>Severe</v>
      </c>
      <c r="AU157" s="73" t="str">
        <f>Table13[[#This Row],[pulm_pharm]]</f>
        <v>Bronchodilators nebulised</v>
      </c>
      <c r="AV157" s="73" t="str">
        <f>Table13[[#This Row],[cardio_24]]</f>
        <v>Hypotension</v>
      </c>
      <c r="AW157" s="73" t="str">
        <f>Table13[[#This Row],[troponin_7]]</f>
        <v>None measured</v>
      </c>
      <c r="AX157" s="73">
        <f>Table13[[#This Row],[creatinine_base]]</f>
        <v>43</v>
      </c>
      <c r="AY157" s="73">
        <f>Table13[[#This Row],[creatinine_high]]</f>
        <v>63</v>
      </c>
      <c r="AZ157" s="73" t="str">
        <f>Table13[[#This Row],[rrt]]</f>
        <v xml:space="preserve">No </v>
      </c>
      <c r="BA157" s="73" t="str">
        <f>Table13[[#This Row],[renal_24]]</f>
        <v>Urethral catheter in-situ (not present pre-operatively)</v>
      </c>
      <c r="BB157" s="73" t="str">
        <f>Table13[[#This Row],[neuro]]</f>
        <v>None of the above</v>
      </c>
      <c r="BC157" s="73" t="str">
        <f>Table13[[#This Row],[wound]]</f>
        <v>None of the above</v>
      </c>
      <c r="BD157" s="73" t="str">
        <f>Table13[[#This Row],[haemato]]</f>
        <v>None of the above</v>
      </c>
      <c r="BE157" s="73" t="str">
        <f>Table13[[#This Row],[pain]]</f>
        <v>Parenteral opioids</v>
      </c>
      <c r="BF157" s="73" t="str">
        <f>Table13[[#This Row],[mobility]]</f>
        <v>No</v>
      </c>
      <c r="BG157" s="79" t="str">
        <f>Table13[[#This Row],[why_inpatient_7]]</f>
        <v>Medical/nursing care</v>
      </c>
      <c r="BH157" s="9">
        <f>Table13[[#This Row],[date_15]]</f>
        <v>43411</v>
      </c>
      <c r="BI157" t="str">
        <f>Table13[[#This Row],[inpatient_15]]</f>
        <v>Yes</v>
      </c>
      <c r="BJ157" t="str">
        <f>Table13[[#This Row],[comment_15]]</f>
        <v>Building up oral intake and managing pain issues and mobility; Day 13: sever pain, mild hypotension and tachycardia; Day 14: abdominal pain, poor nutritional intake</v>
      </c>
      <c r="BK157">
        <f>Table13[[#This Row],[discharge_dest]]</f>
        <v>0</v>
      </c>
      <c r="BL157">
        <f>Table13[[#This Row],[complication]]</f>
        <v>0</v>
      </c>
    </row>
    <row r="158" spans="1:64" ht="18" customHeight="1">
      <c r="A158" s="73">
        <f>Table5[[#This Row],[comment]]</f>
        <v>0</v>
      </c>
      <c r="B158" s="73" t="str">
        <f>Table9[[#This Row],[surgeon]]</f>
        <v>Lyndsay Pearce</v>
      </c>
      <c r="C158" s="73" t="str">
        <f>Table9[[#This Row],[surgery]]</f>
        <v>Anterior resection</v>
      </c>
      <c r="D158" s="74" t="str">
        <f>Table5[[#This Row],[pqip_consent]]</f>
        <v>Yes</v>
      </c>
      <c r="E158" s="73" t="str">
        <f>Table6[[#This Row],[area_surgery]]</f>
        <v>Lower GI</v>
      </c>
      <c r="F158" s="75">
        <f>Table6[[#This Row],[admission_date]]</f>
        <v>43396</v>
      </c>
      <c r="G158" s="75">
        <f>Table6[[#This Row],[admission_date]]</f>
        <v>43396</v>
      </c>
      <c r="H158" s="105">
        <f>Table6[[#This Row],[surgery_duration]]</f>
        <v>0.29166666666666669</v>
      </c>
      <c r="I158" s="73" t="str">
        <f>Table6[[#This Row],[discharge_loc]]</f>
        <v>H6</v>
      </c>
      <c r="J158" s="75">
        <f>Table6[[#This Row],[discharge_date]]</f>
        <v>0</v>
      </c>
      <c r="K158" s="76">
        <f>Table6[[#This Row],[hospital_stay]]</f>
        <v>-43397</v>
      </c>
      <c r="L158" s="76">
        <f>Table6[[#This Row],[readmit_30]]</f>
        <v>0</v>
      </c>
      <c r="M158" s="77" t="str">
        <f>Table9[[#This Row],[troponin]]</f>
        <v>Not Measured</v>
      </c>
      <c r="N158" s="78">
        <f>Table9[[#This Row],[hb]]</f>
        <v>11.9</v>
      </c>
      <c r="O158" s="78">
        <f>Table9[[#This Row],[creatinine]]</f>
        <v>79</v>
      </c>
      <c r="P158" s="78">
        <f>Table9[[#This Row],[albumin]]</f>
        <v>38</v>
      </c>
      <c r="Q158" s="73" t="str">
        <f>Table9[[#This Row],[chest_physio]]</f>
        <v>Surgery School</v>
      </c>
      <c r="R158" s="73" t="str">
        <f>Table9[[#This Row],[surgery_school]]</f>
        <v>Yes - Hospital Session</v>
      </c>
      <c r="S158" s="75">
        <f>Table9[[#This Row],[date_school]]</f>
        <v>43376</v>
      </c>
      <c r="T158" s="73" t="str">
        <f>Table9[[#This Row],[app_down]]</f>
        <v>No - No electronic device</v>
      </c>
      <c r="U158" s="73" t="str">
        <f>Table9[[#This Row],[website]]</f>
        <v>No</v>
      </c>
      <c r="V158" s="73" t="str">
        <f>Table9[[#This Row],[base_activity]]</f>
        <v>No extra activity - Independent in ADLs</v>
      </c>
      <c r="W158" s="73" t="str">
        <f>Table9[[#This Row],[current_activity]]</f>
        <v>No extra activity - Independent in ADLs</v>
      </c>
      <c r="X158" s="73" t="str">
        <f>Table9[[#This Row],[activity_type]]</f>
        <v>None</v>
      </c>
      <c r="Y158" s="73" t="str">
        <f>Table9[[#This Row],[anaemia_treat]]</f>
        <v>Intravenous Iron</v>
      </c>
      <c r="Z158" s="78" t="str">
        <f>Table9[[#This Row],[anaesthesia]]</f>
        <v>General with TIVA</v>
      </c>
      <c r="AA158" s="78">
        <f>Table9[[#This Row],[smoke_hist]]</f>
        <v>0</v>
      </c>
      <c r="AB158" s="78">
        <f>Table9[[#This Row],[smoke_cess]]</f>
        <v>0</v>
      </c>
      <c r="AC158" s="78" t="str">
        <f>Table9[[#This Row],[tidal_vol]]</f>
        <v>Not recorded</v>
      </c>
      <c r="AD158" s="77" t="str">
        <f>Table11[[#This Row],[inc_spiro]]</f>
        <v>Not used</v>
      </c>
      <c r="AE158" s="73" t="str">
        <f>Table11[[#This Row],[t_brushes]]</f>
        <v>Once</v>
      </c>
      <c r="AF158" s="78" t="str">
        <f>Table11[[#This Row],[m_washes]]</f>
        <v>Once</v>
      </c>
      <c r="AG158" s="78" t="str">
        <f>Table11[[#This Row],[iv_disc]]</f>
        <v>No</v>
      </c>
      <c r="AH158" s="78" t="str">
        <f>Table11[[#This Row],[tolerate_15l]]</f>
        <v>No</v>
      </c>
      <c r="AI158" s="78" t="str">
        <f>Table11[[#This Row],[drinking]]</f>
        <v>Yes</v>
      </c>
      <c r="AJ158" s="78" t="str">
        <f>Table11[[#This Row],[oral_diet]]</f>
        <v>No</v>
      </c>
      <c r="AK158" s="78" t="str">
        <f>Table11[[#This Row],[mobilised]]</f>
        <v>No</v>
      </c>
      <c r="AL158" s="79" t="str">
        <f>Table11[[#This Row],[resp_supp]]</f>
        <v>None</v>
      </c>
      <c r="AM158" s="78" t="str">
        <f>Table11[[#This Row],[elev_head]]</f>
        <v>Yes</v>
      </c>
      <c r="AN158" s="78" t="str">
        <f>Table13[[#This Row],[in_hospital]]</f>
        <v>Yes</v>
      </c>
      <c r="AO158" s="78" t="str">
        <f>Table13[[#This Row],[location_7]]</f>
        <v>Level 2</v>
      </c>
      <c r="AP158" s="78" t="str">
        <f>Table13[[#This Row],[infec_24]]</f>
        <v>None of the above</v>
      </c>
      <c r="AQ158" s="73" t="str">
        <f>Table13[[#This Row],[infec_7]]</f>
        <v>Chest</v>
      </c>
      <c r="AR158" s="73" t="str">
        <f>Table13[[#This Row],[gastro]]</f>
        <v>Unable to tolerate enteral diet</v>
      </c>
      <c r="AS158" s="73" t="str">
        <f>Table13[[#This Row],[pulm_supp_24]]</f>
        <v>New requirement for oxygen</v>
      </c>
      <c r="AT158" s="73" t="str">
        <f>Table13[[#This Row],[pulm_supp_7]]</f>
        <v>Moderate</v>
      </c>
      <c r="AU158" s="73" t="str">
        <f>Table13[[#This Row],[pulm_pharm]]</f>
        <v>Bronchodilators nebulised</v>
      </c>
      <c r="AV158" s="73" t="str">
        <f>Table13[[#This Row],[cardio_24]]</f>
        <v>None of the above</v>
      </c>
      <c r="AW158" s="73">
        <f>Table13[[#This Row],[troponin_7]]</f>
        <v>119</v>
      </c>
      <c r="AX158" s="73">
        <f>Table13[[#This Row],[creatinine_base]]</f>
        <v>75</v>
      </c>
      <c r="AY158" s="73">
        <f>Table13[[#This Row],[creatinine_high]]</f>
        <v>78</v>
      </c>
      <c r="AZ158" s="73" t="str">
        <f>Table13[[#This Row],[rrt]]</f>
        <v xml:space="preserve">No </v>
      </c>
      <c r="BA158" s="73" t="str">
        <f>Table13[[#This Row],[renal_24]]</f>
        <v>Urethral catheter in-situ (not present pre-operatively)</v>
      </c>
      <c r="BB158" s="73" t="str">
        <f>Table13[[#This Row],[neuro]]</f>
        <v>None of the above</v>
      </c>
      <c r="BC158" s="73" t="str">
        <f>Table13[[#This Row],[wound]]</f>
        <v>None of the above</v>
      </c>
      <c r="BD158" s="73" t="str">
        <f>Table13[[#This Row],[haemato]]</f>
        <v>None of the above</v>
      </c>
      <c r="BE158" s="73" t="str">
        <f>Table13[[#This Row],[pain]]</f>
        <v>None of the above</v>
      </c>
      <c r="BF158" s="73" t="str">
        <f>Table13[[#This Row],[mobility]]</f>
        <v>No</v>
      </c>
      <c r="BG158" s="79" t="str">
        <f>Table13[[#This Row],[why_inpatient_7]]</f>
        <v>Medical/nursing care</v>
      </c>
      <c r="BH158" s="9">
        <f>Table13[[#This Row],[date_15]]</f>
        <v>43412</v>
      </c>
      <c r="BI158" t="str">
        <f>Table13[[#This Row],[inpatient_15]]</f>
        <v>Yes</v>
      </c>
      <c r="BJ158" t="str">
        <f>Table13[[#This Row],[comment_15]]</f>
        <v>faecal loading, treated for re-feeding syndrome, urinary retention, episode of delirium, thrombocythaemia, functional deconditioning; Day 9: positive for candida</v>
      </c>
      <c r="BK158">
        <f>Table13[[#This Row],[discharge_dest]]</f>
        <v>0</v>
      </c>
      <c r="BL158">
        <f>Table13[[#This Row],[complication]]</f>
        <v>0</v>
      </c>
    </row>
    <row r="159" spans="1:64" ht="18" customHeight="1">
      <c r="A159" s="73">
        <f>Table5[[#This Row],[comment]]</f>
        <v>0</v>
      </c>
      <c r="B159" s="73" t="str">
        <f>Table9[[#This Row],[surgeon]]</f>
        <v>Naheed Farooq</v>
      </c>
      <c r="C159" s="73" t="str">
        <f>Table9[[#This Row],[surgery]]</f>
        <v>Gastrectomy (Total or Partial) with excision of surrounding tissue</v>
      </c>
      <c r="D159" s="74" t="str">
        <f>Table5[[#This Row],[pqip_consent]]</f>
        <v>Yes</v>
      </c>
      <c r="E159" s="73" t="str">
        <f>Table6[[#This Row],[area_surgery]]</f>
        <v>Upper GI</v>
      </c>
      <c r="F159" s="75">
        <f>Table6[[#This Row],[admission_date]]</f>
        <v>43397</v>
      </c>
      <c r="G159" s="75">
        <f>Table6[[#This Row],[admission_date]]</f>
        <v>43397</v>
      </c>
      <c r="H159" s="105">
        <f>Table6[[#This Row],[surgery_duration]]</f>
        <v>0.11458333333333333</v>
      </c>
      <c r="I159" s="73" t="str">
        <f>Table6[[#This Row],[discharge_loc]]</f>
        <v>Ward</v>
      </c>
      <c r="J159" s="75">
        <f>Table6[[#This Row],[discharge_date]]</f>
        <v>43399</v>
      </c>
      <c r="K159" s="76">
        <f>Table6[[#This Row],[hospital_stay]]</f>
        <v>2</v>
      </c>
      <c r="L159" s="76">
        <f>Table6[[#This Row],[readmit_30]]</f>
        <v>0</v>
      </c>
      <c r="M159" s="77" t="str">
        <f>Table9[[#This Row],[troponin]]</f>
        <v>Not Measured</v>
      </c>
      <c r="N159" s="78">
        <f>Table9[[#This Row],[hb]]</f>
        <v>10.4</v>
      </c>
      <c r="O159" s="78">
        <f>Table9[[#This Row],[creatinine]]</f>
        <v>75</v>
      </c>
      <c r="P159" s="78">
        <f>Table9[[#This Row],[albumin]]</f>
        <v>43</v>
      </c>
      <c r="Q159" s="73" t="str">
        <f>Table9[[#This Row],[chest_physio]]</f>
        <v>Surgery School</v>
      </c>
      <c r="R159" s="73" t="str">
        <f>Table9[[#This Row],[surgery_school]]</f>
        <v>Yes - Hospital Session</v>
      </c>
      <c r="S159" s="75">
        <f>Table9[[#This Row],[date_school]]</f>
        <v>43392</v>
      </c>
      <c r="T159" s="73" t="str">
        <f>Table9[[#This Row],[app_down]]</f>
        <v>No - Have electronic device</v>
      </c>
      <c r="U159" s="73" t="str">
        <f>Table9[[#This Row],[website]]</f>
        <v>No</v>
      </c>
      <c r="V159" s="73" t="str">
        <f>Table9[[#This Row],[base_activity]]</f>
        <v>No extra activity - Independent in ADLs</v>
      </c>
      <c r="W159" s="73" t="str">
        <f>Table9[[#This Row],[current_activity]]</f>
        <v>No extra activity - Independent in ADLs</v>
      </c>
      <c r="X159" s="73" t="str">
        <f>Table9[[#This Row],[activity_type]]</f>
        <v>None</v>
      </c>
      <c r="Y159" s="73" t="str">
        <f>Table9[[#This Row],[anaemia_treat]]</f>
        <v>None</v>
      </c>
      <c r="Z159" s="78" t="str">
        <f>Table9[[#This Row],[anaesthesia]]</f>
        <v>General with Inhalational</v>
      </c>
      <c r="AA159" s="78">
        <f>Table9[[#This Row],[smoke_hist]]</f>
        <v>0</v>
      </c>
      <c r="AB159" s="78">
        <f>Table9[[#This Row],[smoke_cess]]</f>
        <v>0</v>
      </c>
      <c r="AC159" s="78" t="str">
        <f>Table9[[#This Row],[tidal_vol]]</f>
        <v>Not recorded</v>
      </c>
      <c r="AD159" s="77" t="str">
        <f>Table11[[#This Row],[inc_spiro]]</f>
        <v>Not used</v>
      </c>
      <c r="AE159" s="73" t="str">
        <f>Table11[[#This Row],[t_brushes]]</f>
        <v>Once</v>
      </c>
      <c r="AF159" s="78" t="str">
        <f>Table11[[#This Row],[m_washes]]</f>
        <v>None</v>
      </c>
      <c r="AG159" s="78" t="str">
        <f>Table11[[#This Row],[iv_disc]]</f>
        <v>Yes</v>
      </c>
      <c r="AH159" s="78" t="str">
        <f>Table11[[#This Row],[tolerate_15l]]</f>
        <v>Yes</v>
      </c>
      <c r="AI159" s="78" t="str">
        <f>Table11[[#This Row],[drinking]]</f>
        <v>Yes</v>
      </c>
      <c r="AJ159" s="78" t="str">
        <f>Table11[[#This Row],[oral_diet]]</f>
        <v>Yes</v>
      </c>
      <c r="AK159" s="78" t="str">
        <f>Table11[[#This Row],[mobilised]]</f>
        <v>Yes</v>
      </c>
      <c r="AL159" s="79" t="str">
        <f>Table11[[#This Row],[resp_supp]]</f>
        <v>None</v>
      </c>
      <c r="AM159" s="78" t="str">
        <f>Table11[[#This Row],[elev_head]]</f>
        <v>Yes</v>
      </c>
      <c r="AN159" s="78" t="str">
        <f>Table13[[#This Row],[in_hospital]]</f>
        <v>No</v>
      </c>
      <c r="AO159" s="78">
        <f>Table13[[#This Row],[location_7]]</f>
        <v>0</v>
      </c>
      <c r="AP159" s="78">
        <f>Table13[[#This Row],[infec_24]]</f>
        <v>0</v>
      </c>
      <c r="AQ159" s="73">
        <f>Table13[[#This Row],[infec_7]]</f>
        <v>0</v>
      </c>
      <c r="AR159" s="73">
        <f>Table13[[#This Row],[gastro]]</f>
        <v>0</v>
      </c>
      <c r="AS159" s="73">
        <f>Table13[[#This Row],[pulm_supp_24]]</f>
        <v>0</v>
      </c>
      <c r="AT159" s="73">
        <f>Table13[[#This Row],[pulm_supp_7]]</f>
        <v>0</v>
      </c>
      <c r="AU159" s="73">
        <f>Table13[[#This Row],[pulm_pharm]]</f>
        <v>0</v>
      </c>
      <c r="AV159" s="73">
        <f>Table13[[#This Row],[cardio_24]]</f>
        <v>0</v>
      </c>
      <c r="AW159" s="73">
        <f>Table13[[#This Row],[troponin_7]]</f>
        <v>0</v>
      </c>
      <c r="AX159" s="73">
        <f>Table13[[#This Row],[creatinine_base]]</f>
        <v>0</v>
      </c>
      <c r="AY159" s="73">
        <f>Table13[[#This Row],[creatinine_high]]</f>
        <v>0</v>
      </c>
      <c r="AZ159" s="73">
        <f>Table13[[#This Row],[rrt]]</f>
        <v>0</v>
      </c>
      <c r="BA159" s="73">
        <f>Table13[[#This Row],[renal_24]]</f>
        <v>0</v>
      </c>
      <c r="BB159" s="73">
        <f>Table13[[#This Row],[neuro]]</f>
        <v>0</v>
      </c>
      <c r="BC159" s="73">
        <f>Table13[[#This Row],[wound]]</f>
        <v>0</v>
      </c>
      <c r="BD159" s="73">
        <f>Table13[[#This Row],[haemato]]</f>
        <v>0</v>
      </c>
      <c r="BE159" s="73">
        <f>Table13[[#This Row],[pain]]</f>
        <v>0</v>
      </c>
      <c r="BF159" s="73">
        <f>Table13[[#This Row],[mobility]]</f>
        <v>0</v>
      </c>
      <c r="BG159" s="79">
        <f>Table13[[#This Row],[why_inpatient_7]]</f>
        <v>0</v>
      </c>
      <c r="BH159" s="9">
        <f>Table13[[#This Row],[date_15]]</f>
        <v>0</v>
      </c>
      <c r="BI159">
        <f>Table13[[#This Row],[inpatient_15]]</f>
        <v>0</v>
      </c>
      <c r="BJ159">
        <f>Table13[[#This Row],[comment_15]]</f>
        <v>0</v>
      </c>
      <c r="BK159" t="str">
        <f>Table13[[#This Row],[discharge_dest]]</f>
        <v>Own Home</v>
      </c>
      <c r="BL159" t="str">
        <f>Table13[[#This Row],[complication]]</f>
        <v>None</v>
      </c>
    </row>
    <row r="160" spans="1:64" ht="18" customHeight="1">
      <c r="A160" s="73" t="str">
        <f>Table5[[#This Row],[comment]]</f>
        <v>surgical pathway not available</v>
      </c>
      <c r="B160" s="73" t="str">
        <f>Table9[[#This Row],[surgeon]]</f>
        <v>Satish Maddineni</v>
      </c>
      <c r="C160" s="73" t="str">
        <f>Table9[[#This Row],[surgery]]</f>
        <v xml:space="preserve">Nephrectomy (non-transplant) </v>
      </c>
      <c r="D160" s="74" t="str">
        <f>Table5[[#This Row],[pqip_consent]]</f>
        <v>Yes</v>
      </c>
      <c r="E160" s="73" t="str">
        <f>Table6[[#This Row],[area_surgery]]</f>
        <v>Urology</v>
      </c>
      <c r="F160" s="75">
        <f>Table6[[#This Row],[admission_date]]</f>
        <v>43397</v>
      </c>
      <c r="G160" s="75">
        <f>Table6[[#This Row],[admission_date]]</f>
        <v>43397</v>
      </c>
      <c r="H160" s="105">
        <f>Table6[[#This Row],[surgery_duration]]</f>
        <v>0</v>
      </c>
      <c r="I160" s="73" t="str">
        <f>Table6[[#This Row],[discharge_loc]]</f>
        <v>H6</v>
      </c>
      <c r="J160" s="75">
        <f>Table6[[#This Row],[discharge_date]]</f>
        <v>43402</v>
      </c>
      <c r="K160" s="76">
        <f>Table6[[#This Row],[hospital_stay]]</f>
        <v>5</v>
      </c>
      <c r="L160" s="76">
        <f>Table6[[#This Row],[readmit_30]]</f>
        <v>0</v>
      </c>
      <c r="M160" s="77" t="str">
        <f>Table9[[#This Row],[troponin]]</f>
        <v>Not Measured</v>
      </c>
      <c r="N160" s="78">
        <f>Table9[[#This Row],[hb]]</f>
        <v>13.5</v>
      </c>
      <c r="O160" s="78">
        <f>Table9[[#This Row],[creatinine]]</f>
        <v>73</v>
      </c>
      <c r="P160" s="78" t="str">
        <f>Table9[[#This Row],[albumin]]</f>
        <v>Not Measured</v>
      </c>
      <c r="Q160" s="73" t="str">
        <f>Table9[[#This Row],[chest_physio]]</f>
        <v>Surgery School</v>
      </c>
      <c r="R160" s="73" t="str">
        <f>Table9[[#This Row],[surgery_school]]</f>
        <v>Yes - Hospital Session</v>
      </c>
      <c r="S160" s="75">
        <f>Table9[[#This Row],[date_school]]</f>
        <v>43383</v>
      </c>
      <c r="T160" s="73" t="str">
        <f>Table9[[#This Row],[app_down]]</f>
        <v>No - Have electronic device</v>
      </c>
      <c r="U160" s="73" t="str">
        <f>Table9[[#This Row],[website]]</f>
        <v>Yes</v>
      </c>
      <c r="V160" s="73">
        <f>Table9[[#This Row],[base_activity]]</f>
        <v>0</v>
      </c>
      <c r="W160" s="73">
        <f>Table9[[#This Row],[current_activity]]</f>
        <v>0</v>
      </c>
      <c r="X160" s="73">
        <f>Table9[[#This Row],[activity_type]]</f>
        <v>0</v>
      </c>
      <c r="Y160" s="73" t="str">
        <f>Table9[[#This Row],[anaemia_treat]]</f>
        <v>Not applicable</v>
      </c>
      <c r="Z160" s="78">
        <f>Table9[[#This Row],[anaesthesia]]</f>
        <v>0</v>
      </c>
      <c r="AA160" s="78">
        <f>Table9[[#This Row],[smoke_hist]]</f>
        <v>0</v>
      </c>
      <c r="AB160" s="78">
        <f>Table9[[#This Row],[smoke_cess]]</f>
        <v>0</v>
      </c>
      <c r="AC160" s="78" t="str">
        <f>Table9[[#This Row],[tidal_vol]]</f>
        <v>Not recorded</v>
      </c>
      <c r="AD160" s="77" t="str">
        <f>Table11[[#This Row],[inc_spiro]]</f>
        <v>Not used</v>
      </c>
      <c r="AE160" s="73" t="str">
        <f>Table11[[#This Row],[t_brushes]]</f>
        <v>Once</v>
      </c>
      <c r="AF160" s="78" t="str">
        <f>Table11[[#This Row],[m_washes]]</f>
        <v>Once</v>
      </c>
      <c r="AG160" s="78" t="str">
        <f>Table11[[#This Row],[iv_disc]]</f>
        <v>No</v>
      </c>
      <c r="AH160" s="78" t="str">
        <f>Table11[[#This Row],[tolerate_15l]]</f>
        <v>Yes</v>
      </c>
      <c r="AI160" s="78" t="str">
        <f>Table11[[#This Row],[drinking]]</f>
        <v>Yes</v>
      </c>
      <c r="AJ160" s="78" t="str">
        <f>Table11[[#This Row],[oral_diet]]</f>
        <v>Yes</v>
      </c>
      <c r="AK160" s="78" t="str">
        <f>Table11[[#This Row],[mobilised]]</f>
        <v>Yes</v>
      </c>
      <c r="AL160" s="79" t="str">
        <f>Table11[[#This Row],[resp_supp]]</f>
        <v>None</v>
      </c>
      <c r="AM160" s="78" t="str">
        <f>Table11[[#This Row],[elev_head]]</f>
        <v>Yes</v>
      </c>
      <c r="AN160" s="78" t="str">
        <f>Table13[[#This Row],[in_hospital]]</f>
        <v>No</v>
      </c>
      <c r="AO160" s="78">
        <f>Table13[[#This Row],[location_7]]</f>
        <v>0</v>
      </c>
      <c r="AP160" s="78">
        <f>Table13[[#This Row],[infec_24]]</f>
        <v>0</v>
      </c>
      <c r="AQ160" s="73">
        <f>Table13[[#This Row],[infec_7]]</f>
        <v>0</v>
      </c>
      <c r="AR160" s="73">
        <f>Table13[[#This Row],[gastro]]</f>
        <v>0</v>
      </c>
      <c r="AS160" s="73">
        <f>Table13[[#This Row],[pulm_supp_24]]</f>
        <v>0</v>
      </c>
      <c r="AT160" s="73">
        <f>Table13[[#This Row],[pulm_supp_7]]</f>
        <v>0</v>
      </c>
      <c r="AU160" s="73">
        <f>Table13[[#This Row],[pulm_pharm]]</f>
        <v>0</v>
      </c>
      <c r="AV160" s="73">
        <f>Table13[[#This Row],[cardio_24]]</f>
        <v>0</v>
      </c>
      <c r="AW160" s="73">
        <f>Table13[[#This Row],[troponin_7]]</f>
        <v>0</v>
      </c>
      <c r="AX160" s="73">
        <f>Table13[[#This Row],[creatinine_base]]</f>
        <v>0</v>
      </c>
      <c r="AY160" s="73">
        <f>Table13[[#This Row],[creatinine_high]]</f>
        <v>0</v>
      </c>
      <c r="AZ160" s="73">
        <f>Table13[[#This Row],[rrt]]</f>
        <v>0</v>
      </c>
      <c r="BA160" s="73">
        <f>Table13[[#This Row],[renal_24]]</f>
        <v>0</v>
      </c>
      <c r="BB160" s="73">
        <f>Table13[[#This Row],[neuro]]</f>
        <v>0</v>
      </c>
      <c r="BC160" s="73">
        <f>Table13[[#This Row],[wound]]</f>
        <v>0</v>
      </c>
      <c r="BD160" s="73">
        <f>Table13[[#This Row],[haemato]]</f>
        <v>0</v>
      </c>
      <c r="BE160" s="73">
        <f>Table13[[#This Row],[pain]]</f>
        <v>0</v>
      </c>
      <c r="BF160" s="73">
        <f>Table13[[#This Row],[mobility]]</f>
        <v>0</v>
      </c>
      <c r="BG160" s="79">
        <f>Table13[[#This Row],[why_inpatient_7]]</f>
        <v>0</v>
      </c>
      <c r="BH160" s="9">
        <f>Table13[[#This Row],[date_15]]</f>
        <v>0</v>
      </c>
      <c r="BI160">
        <f>Table13[[#This Row],[inpatient_15]]</f>
        <v>0</v>
      </c>
      <c r="BJ160">
        <f>Table13[[#This Row],[comment_15]]</f>
        <v>0</v>
      </c>
      <c r="BK160" t="str">
        <f>Table13[[#This Row],[discharge_dest]]</f>
        <v>Own Home</v>
      </c>
      <c r="BL160" t="str">
        <f>Table13[[#This Row],[complication]]</f>
        <v>None</v>
      </c>
    </row>
    <row r="161" spans="1:64" ht="18" customHeight="1">
      <c r="A161" s="73" t="str">
        <f>Table5[[#This Row],[comment]]</f>
        <v>surgical pathway not available</v>
      </c>
      <c r="B161" s="73" t="str">
        <f>Table9[[#This Row],[surgeon]]</f>
        <v>Euan Green</v>
      </c>
      <c r="C161" s="73" t="str">
        <f>Table9[[#This Row],[surgery]]</f>
        <v xml:space="preserve">Nephrectomy (non-transplant) </v>
      </c>
      <c r="D161" s="74" t="str">
        <f>Table5[[#This Row],[pqip_consent]]</f>
        <v>No</v>
      </c>
      <c r="E161" s="73" t="str">
        <f>Table6[[#This Row],[area_surgery]]</f>
        <v>Urology</v>
      </c>
      <c r="F161" s="75">
        <f>Table6[[#This Row],[admission_date]]</f>
        <v>43397</v>
      </c>
      <c r="G161" s="75">
        <f>Table6[[#This Row],[admission_date]]</f>
        <v>43397</v>
      </c>
      <c r="H161" s="105">
        <f>Table6[[#This Row],[surgery_duration]]</f>
        <v>0</v>
      </c>
      <c r="I161" s="73" t="str">
        <f>Table6[[#This Row],[discharge_loc]]</f>
        <v>H6</v>
      </c>
      <c r="J161" s="75">
        <f>Table6[[#This Row],[discharge_date]]</f>
        <v>43402</v>
      </c>
      <c r="K161" s="76">
        <f>Table6[[#This Row],[hospital_stay]]</f>
        <v>5</v>
      </c>
      <c r="L161" s="76">
        <f>Table6[[#This Row],[readmit_30]]</f>
        <v>0</v>
      </c>
      <c r="M161" s="77" t="str">
        <f>Table9[[#This Row],[troponin]]</f>
        <v>Not Measured</v>
      </c>
      <c r="N161" s="78">
        <f>Table9[[#This Row],[hb]]</f>
        <v>13</v>
      </c>
      <c r="O161" s="78">
        <f>Table9[[#This Row],[creatinine]]</f>
        <v>65</v>
      </c>
      <c r="P161" s="78">
        <f>Table9[[#This Row],[albumin]]</f>
        <v>47</v>
      </c>
      <c r="Q161" s="73" t="str">
        <f>Table9[[#This Row],[chest_physio]]</f>
        <v>No</v>
      </c>
      <c r="R161" s="73" t="str">
        <f>Table9[[#This Row],[surgery_school]]</f>
        <v>No - Wasn’t offered it</v>
      </c>
      <c r="S161" s="75">
        <f>Table9[[#This Row],[date_school]]</f>
        <v>0</v>
      </c>
      <c r="T161" s="73">
        <f>Table9[[#This Row],[app_down]]</f>
        <v>0</v>
      </c>
      <c r="U161" s="73">
        <f>Table9[[#This Row],[website]]</f>
        <v>0</v>
      </c>
      <c r="V161" s="73" t="str">
        <f>Table9[[#This Row],[base_activity]]</f>
        <v>No extra activity - Independent in ADLs</v>
      </c>
      <c r="W161" s="73" t="str">
        <f>Table9[[#This Row],[current_activity]]</f>
        <v>No extra activity - Independent in ADLs</v>
      </c>
      <c r="X161" s="73" t="str">
        <f>Table9[[#This Row],[activity_type]]</f>
        <v>None</v>
      </c>
      <c r="Y161" s="73" t="str">
        <f>Table9[[#This Row],[anaemia_treat]]</f>
        <v>Not applicable</v>
      </c>
      <c r="Z161" s="78">
        <f>Table9[[#This Row],[anaesthesia]]</f>
        <v>0</v>
      </c>
      <c r="AA161" s="78">
        <f>Table9[[#This Row],[smoke_hist]]</f>
        <v>0</v>
      </c>
      <c r="AB161" s="78">
        <f>Table9[[#This Row],[smoke_cess]]</f>
        <v>0</v>
      </c>
      <c r="AC161" s="78" t="str">
        <f>Table9[[#This Row],[tidal_vol]]</f>
        <v>Not recorded</v>
      </c>
      <c r="AD161" s="77" t="str">
        <f>Table11[[#This Row],[inc_spiro]]</f>
        <v>Not used</v>
      </c>
      <c r="AE161" s="73" t="str">
        <f>Table11[[#This Row],[t_brushes]]</f>
        <v>Twice</v>
      </c>
      <c r="AF161" s="78" t="str">
        <f>Table11[[#This Row],[m_washes]]</f>
        <v>Twice</v>
      </c>
      <c r="AG161" s="78" t="str">
        <f>Table11[[#This Row],[iv_disc]]</f>
        <v>Yes</v>
      </c>
      <c r="AH161" s="78" t="str">
        <f>Table11[[#This Row],[tolerate_15l]]</f>
        <v>Yes</v>
      </c>
      <c r="AI161" s="78" t="str">
        <f>Table11[[#This Row],[drinking]]</f>
        <v>Yes</v>
      </c>
      <c r="AJ161" s="78" t="str">
        <f>Table11[[#This Row],[oral_diet]]</f>
        <v>Yes</v>
      </c>
      <c r="AK161" s="78" t="str">
        <f>Table11[[#This Row],[mobilised]]</f>
        <v>Yes</v>
      </c>
      <c r="AL161" s="79" t="str">
        <f>Table11[[#This Row],[resp_supp]]</f>
        <v>None</v>
      </c>
      <c r="AM161" s="78" t="str">
        <f>Table11[[#This Row],[elev_head]]</f>
        <v>Yes</v>
      </c>
      <c r="AN161" s="78" t="str">
        <f>Table13[[#This Row],[in_hospital]]</f>
        <v>No</v>
      </c>
      <c r="AO161" s="78">
        <f>Table13[[#This Row],[location_7]]</f>
        <v>0</v>
      </c>
      <c r="AP161" s="78">
        <f>Table13[[#This Row],[infec_24]]</f>
        <v>0</v>
      </c>
      <c r="AQ161" s="73">
        <f>Table13[[#This Row],[infec_7]]</f>
        <v>0</v>
      </c>
      <c r="AR161" s="73">
        <f>Table13[[#This Row],[gastro]]</f>
        <v>0</v>
      </c>
      <c r="AS161" s="73">
        <f>Table13[[#This Row],[pulm_supp_24]]</f>
        <v>0</v>
      </c>
      <c r="AT161" s="73">
        <f>Table13[[#This Row],[pulm_supp_7]]</f>
        <v>0</v>
      </c>
      <c r="AU161" s="73">
        <f>Table13[[#This Row],[pulm_pharm]]</f>
        <v>0</v>
      </c>
      <c r="AV161" s="73">
        <f>Table13[[#This Row],[cardio_24]]</f>
        <v>0</v>
      </c>
      <c r="AW161" s="73">
        <f>Table13[[#This Row],[troponin_7]]</f>
        <v>0</v>
      </c>
      <c r="AX161" s="73">
        <f>Table13[[#This Row],[creatinine_base]]</f>
        <v>0</v>
      </c>
      <c r="AY161" s="73">
        <f>Table13[[#This Row],[creatinine_high]]</f>
        <v>0</v>
      </c>
      <c r="AZ161" s="73">
        <f>Table13[[#This Row],[rrt]]</f>
        <v>0</v>
      </c>
      <c r="BA161" s="73">
        <f>Table13[[#This Row],[renal_24]]</f>
        <v>0</v>
      </c>
      <c r="BB161" s="73">
        <f>Table13[[#This Row],[neuro]]</f>
        <v>0</v>
      </c>
      <c r="BC161" s="73">
        <f>Table13[[#This Row],[wound]]</f>
        <v>0</v>
      </c>
      <c r="BD161" s="73">
        <f>Table13[[#This Row],[haemato]]</f>
        <v>0</v>
      </c>
      <c r="BE161" s="73">
        <f>Table13[[#This Row],[pain]]</f>
        <v>0</v>
      </c>
      <c r="BF161" s="73">
        <f>Table13[[#This Row],[mobility]]</f>
        <v>0</v>
      </c>
      <c r="BG161" s="79">
        <f>Table13[[#This Row],[why_inpatient_7]]</f>
        <v>0</v>
      </c>
      <c r="BH161" s="9">
        <f>Table13[[#This Row],[date_15]]</f>
        <v>0</v>
      </c>
      <c r="BI161">
        <f>Table13[[#This Row],[inpatient_15]]</f>
        <v>0</v>
      </c>
      <c r="BJ161">
        <f>Table13[[#This Row],[comment_15]]</f>
        <v>0</v>
      </c>
      <c r="BK161" t="str">
        <f>Table13[[#This Row],[discharge_dest]]</f>
        <v>Own Home</v>
      </c>
      <c r="BL161" t="str">
        <f>Table13[[#This Row],[complication]]</f>
        <v>None</v>
      </c>
    </row>
    <row r="162" spans="1:64" ht="18" customHeight="1">
      <c r="A162" s="73" t="str">
        <f>Table5[[#This Row],[comment]]</f>
        <v>Day 2: NBM</v>
      </c>
      <c r="B162" s="73" t="str">
        <f>Table9[[#This Row],[surgeon]]</f>
        <v>Javed Sultan</v>
      </c>
      <c r="C162" s="73" t="str">
        <f>Table9[[#This Row],[surgery]]</f>
        <v xml:space="preserve">Oesophagectomy (total)/Oesophagogastrectomy </v>
      </c>
      <c r="D162" s="74" t="str">
        <f>Table5[[#This Row],[pqip_consent]]</f>
        <v>Yes</v>
      </c>
      <c r="E162" s="73" t="str">
        <f>Table6[[#This Row],[area_surgery]]</f>
        <v>Upper GI</v>
      </c>
      <c r="F162" s="75">
        <f>Table6[[#This Row],[admission_date]]</f>
        <v>43398</v>
      </c>
      <c r="G162" s="75">
        <f>Table6[[#This Row],[admission_date]]</f>
        <v>43398</v>
      </c>
      <c r="H162" s="105">
        <f>Table6[[#This Row],[surgery_duration]]</f>
        <v>0</v>
      </c>
      <c r="I162" s="73" t="str">
        <f>Table6[[#This Row],[discharge_loc]]</f>
        <v>CCU (Level 3)</v>
      </c>
      <c r="J162" s="75">
        <f>Table6[[#This Row],[discharge_date]]</f>
        <v>0</v>
      </c>
      <c r="K162" s="76">
        <f>Table6[[#This Row],[hospital_stay]]</f>
        <v>-43398</v>
      </c>
      <c r="L162" s="76">
        <f>Table6[[#This Row],[readmit_30]]</f>
        <v>0</v>
      </c>
      <c r="M162" s="77" t="str">
        <f>Table9[[#This Row],[troponin]]</f>
        <v>Not Measured</v>
      </c>
      <c r="N162" s="78">
        <f>Table9[[#This Row],[hb]]</f>
        <v>14.1</v>
      </c>
      <c r="O162" s="78">
        <f>Table9[[#This Row],[creatinine]]</f>
        <v>56</v>
      </c>
      <c r="P162" s="78" t="str">
        <f>Table9[[#This Row],[albumin]]</f>
        <v>Not Measured</v>
      </c>
      <c r="Q162" s="73" t="str">
        <f>Table9[[#This Row],[chest_physio]]</f>
        <v>Surgery School</v>
      </c>
      <c r="R162" s="73" t="str">
        <f>Table9[[#This Row],[surgery_school]]</f>
        <v>Yes - Hospital Session</v>
      </c>
      <c r="S162" s="75">
        <f>Table9[[#This Row],[date_school]]</f>
        <v>43396</v>
      </c>
      <c r="T162" s="73" t="str">
        <f>Table9[[#This Row],[app_down]]</f>
        <v>No - Have electronic device</v>
      </c>
      <c r="U162" s="73" t="str">
        <f>Table9[[#This Row],[website]]</f>
        <v>Yes</v>
      </c>
      <c r="V162" s="73" t="str">
        <f>Table9[[#This Row],[base_activity]]</f>
        <v>No extra activity - Independent in ADLs</v>
      </c>
      <c r="W162" s="73" t="str">
        <f>Table9[[#This Row],[current_activity]]</f>
        <v>20mins of moderate activity</v>
      </c>
      <c r="X162" s="73" t="str">
        <f>Table9[[#This Row],[activity_type]]</f>
        <v xml:space="preserve">Walking regularly </v>
      </c>
      <c r="Y162" s="73" t="str">
        <f>Table9[[#This Row],[anaemia_treat]]</f>
        <v>Not applicable</v>
      </c>
      <c r="Z162" s="78">
        <f>Table9[[#This Row],[anaesthesia]]</f>
        <v>0</v>
      </c>
      <c r="AA162" s="78">
        <f>Table9[[#This Row],[smoke_hist]]</f>
        <v>0</v>
      </c>
      <c r="AB162" s="78">
        <f>Table9[[#This Row],[smoke_cess]]</f>
        <v>0</v>
      </c>
      <c r="AC162" s="78" t="str">
        <f>Table9[[#This Row],[tidal_vol]]</f>
        <v>Not recorded</v>
      </c>
      <c r="AD162" s="77" t="str">
        <f>Table11[[#This Row],[inc_spiro]]</f>
        <v>&gt;Two</v>
      </c>
      <c r="AE162" s="73" t="str">
        <f>Table11[[#This Row],[t_brushes]]</f>
        <v>Twice</v>
      </c>
      <c r="AF162" s="78" t="str">
        <f>Table11[[#This Row],[m_washes]]</f>
        <v>Twice</v>
      </c>
      <c r="AG162" s="78" t="str">
        <f>Table11[[#This Row],[iv_disc]]</f>
        <v>No</v>
      </c>
      <c r="AH162" s="78" t="str">
        <f>Table11[[#This Row],[tolerate_15l]]</f>
        <v>Not applicable</v>
      </c>
      <c r="AI162" s="78" t="str">
        <f>Table11[[#This Row],[drinking]]</f>
        <v>No</v>
      </c>
      <c r="AJ162" s="78" t="str">
        <f>Table11[[#This Row],[oral_diet]]</f>
        <v>No</v>
      </c>
      <c r="AK162" s="78" t="str">
        <f>Table11[[#This Row],[mobilised]]</f>
        <v>Yes</v>
      </c>
      <c r="AL162" s="79" t="str">
        <f>Table11[[#This Row],[resp_supp]]</f>
        <v>None</v>
      </c>
      <c r="AM162" s="78" t="str">
        <f>Table11[[#This Row],[elev_head]]</f>
        <v>Yes</v>
      </c>
      <c r="AN162" s="78" t="str">
        <f>Table13[[#This Row],[in_hospital]]</f>
        <v>Yes</v>
      </c>
      <c r="AO162" s="78" t="str">
        <f>Table13[[#This Row],[location_7]]</f>
        <v>Level 2/3</v>
      </c>
      <c r="AP162" s="78" t="str">
        <f>Table13[[#This Row],[infec_24]]</f>
        <v>Patient currently on IV antibiotics</v>
      </c>
      <c r="AQ162" s="73" t="str">
        <f>Table13[[#This Row],[infec_7]]</f>
        <v>Chest</v>
      </c>
      <c r="AR162" s="73" t="str">
        <f>Table13[[#This Row],[gastro]]</f>
        <v>Unable to tolerate enteral diet</v>
      </c>
      <c r="AS162" s="73" t="str">
        <f>Table13[[#This Row],[pulm_supp_24]]</f>
        <v>New requirement for oxygen</v>
      </c>
      <c r="AT162" s="73" t="str">
        <f>Table13[[#This Row],[pulm_supp_7]]</f>
        <v>Severe</v>
      </c>
      <c r="AU162" s="73" t="str">
        <f>Table13[[#This Row],[pulm_pharm]]</f>
        <v>Bronchodilators nebulised</v>
      </c>
      <c r="AV162" s="73" t="str">
        <f>Table13[[#This Row],[cardio_24]]</f>
        <v>None of the above</v>
      </c>
      <c r="AW162" s="73" t="str">
        <f>Table13[[#This Row],[troponin_7]]</f>
        <v>None measured</v>
      </c>
      <c r="AX162" s="73">
        <f>Table13[[#This Row],[creatinine_base]]</f>
        <v>56</v>
      </c>
      <c r="AY162" s="73">
        <f>Table13[[#This Row],[creatinine_high]]</f>
        <v>60</v>
      </c>
      <c r="AZ162" s="73" t="str">
        <f>Table13[[#This Row],[rrt]]</f>
        <v xml:space="preserve">No </v>
      </c>
      <c r="BA162" s="73" t="str">
        <f>Table13[[#This Row],[renal_24]]</f>
        <v>None of the above</v>
      </c>
      <c r="BB162" s="73" t="str">
        <f>Table13[[#This Row],[neuro]]</f>
        <v>None of the above</v>
      </c>
      <c r="BC162" s="73" t="str">
        <f>Table13[[#This Row],[wound]]</f>
        <v>None of the above</v>
      </c>
      <c r="BD162" s="73" t="str">
        <f>Table13[[#This Row],[haemato]]</f>
        <v>None of the above</v>
      </c>
      <c r="BE162" s="73" t="str">
        <f>Table13[[#This Row],[pain]]</f>
        <v>None of the above</v>
      </c>
      <c r="BF162" s="73" t="str">
        <f>Table13[[#This Row],[mobility]]</f>
        <v>Yes</v>
      </c>
      <c r="BG162" s="79" t="str">
        <f>Table13[[#This Row],[why_inpatient_7]]</f>
        <v>Medical/nursing care</v>
      </c>
      <c r="BH162" s="9">
        <f>Table13[[#This Row],[date_15]]</f>
        <v>43413</v>
      </c>
      <c r="BI162" t="str">
        <f>Table13[[#This Row],[inpatient_15]]</f>
        <v>Yes</v>
      </c>
      <c r="BJ162" t="str">
        <f>Table13[[#This Row],[comment_15]]</f>
        <v>Day 8: NBM, cough; Day 15: still on abx,  planned bronchial stent at wynthenshaw</v>
      </c>
      <c r="BK162">
        <f>Table13[[#This Row],[discharge_dest]]</f>
        <v>0</v>
      </c>
      <c r="BL162">
        <f>Table13[[#This Row],[complication]]</f>
        <v>0</v>
      </c>
    </row>
    <row r="163" spans="1:64" ht="18" customHeight="1">
      <c r="A163" s="73">
        <f>Table5[[#This Row],[comment]]</f>
        <v>0</v>
      </c>
      <c r="B163" s="73" t="str">
        <f>Table9[[#This Row],[surgeon]]</f>
        <v>Noel Clarke</v>
      </c>
      <c r="C163" s="73" t="str">
        <f>Table9[[#This Row],[surgery]]</f>
        <v xml:space="preserve">Nephrectomy (non-transplant) </v>
      </c>
      <c r="D163" s="74" t="str">
        <f>Table5[[#This Row],[pqip_consent]]</f>
        <v>No</v>
      </c>
      <c r="E163" s="73" t="str">
        <f>Table6[[#This Row],[area_surgery]]</f>
        <v>Urology</v>
      </c>
      <c r="F163" s="75">
        <f>Table6[[#This Row],[admission_date]]</f>
        <v>43398</v>
      </c>
      <c r="G163" s="75">
        <f>Table6[[#This Row],[admission_date]]</f>
        <v>43398</v>
      </c>
      <c r="H163" s="105">
        <f>Table6[[#This Row],[surgery_duration]]</f>
        <v>0</v>
      </c>
      <c r="I163" s="73" t="str">
        <f>Table6[[#This Row],[discharge_loc]]</f>
        <v>H6</v>
      </c>
      <c r="J163" s="75">
        <f>Table6[[#This Row],[discharge_date]]</f>
        <v>43402</v>
      </c>
      <c r="K163" s="76">
        <f>Table6[[#This Row],[hospital_stay]]</f>
        <v>4</v>
      </c>
      <c r="L163" s="76">
        <f>Table6[[#This Row],[readmit_30]]</f>
        <v>0</v>
      </c>
      <c r="M163" s="77" t="str">
        <f>Table9[[#This Row],[troponin]]</f>
        <v>Not Measured</v>
      </c>
      <c r="N163" s="78">
        <f>Table9[[#This Row],[hb]]</f>
        <v>15.4</v>
      </c>
      <c r="O163" s="78">
        <f>Table9[[#This Row],[creatinine]]</f>
        <v>108</v>
      </c>
      <c r="P163" s="78">
        <f>Table9[[#This Row],[albumin]]</f>
        <v>45</v>
      </c>
      <c r="Q163" s="73" t="str">
        <f>Table9[[#This Row],[chest_physio]]</f>
        <v>Surgery School</v>
      </c>
      <c r="R163" s="73" t="str">
        <f>Table9[[#This Row],[surgery_school]]</f>
        <v>Yes - Hospital Session</v>
      </c>
      <c r="S163" s="75">
        <f>Table9[[#This Row],[date_school]]</f>
        <v>43350</v>
      </c>
      <c r="T163" s="73" t="str">
        <f>Table9[[#This Row],[app_down]]</f>
        <v>No - Have electronic device</v>
      </c>
      <c r="U163" s="73" t="str">
        <f>Table9[[#This Row],[website]]</f>
        <v>No</v>
      </c>
      <c r="V163" s="73" t="str">
        <f>Table9[[#This Row],[base_activity]]</f>
        <v>30mins of moderate activity</v>
      </c>
      <c r="W163" s="73" t="str">
        <f>Table9[[#This Row],[current_activity]]</f>
        <v>30mins of moderate activity</v>
      </c>
      <c r="X163" s="73" t="str">
        <f>Table9[[#This Row],[activity_type]]</f>
        <v xml:space="preserve">Walking regularly </v>
      </c>
      <c r="Y163" s="73" t="str">
        <f>Table9[[#This Row],[anaemia_treat]]</f>
        <v>Not applicable</v>
      </c>
      <c r="Z163" s="78" t="str">
        <f>Table9[[#This Row],[anaesthesia]]</f>
        <v>General with Inhalational</v>
      </c>
      <c r="AA163" s="78">
        <f>Table9[[#This Row],[smoke_hist]]</f>
        <v>0</v>
      </c>
      <c r="AB163" s="78">
        <f>Table9[[#This Row],[smoke_cess]]</f>
        <v>0</v>
      </c>
      <c r="AC163" s="78" t="str">
        <f>Table9[[#This Row],[tidal_vol]]</f>
        <v>Not recorded</v>
      </c>
      <c r="AD163" s="77" t="str">
        <f>Table11[[#This Row],[inc_spiro]]</f>
        <v>Not used</v>
      </c>
      <c r="AE163" s="73" t="str">
        <f>Table11[[#This Row],[t_brushes]]</f>
        <v>Twice</v>
      </c>
      <c r="AF163" s="78" t="str">
        <f>Table11[[#This Row],[m_washes]]</f>
        <v>None</v>
      </c>
      <c r="AG163" s="78" t="str">
        <f>Table11[[#This Row],[iv_disc]]</f>
        <v>No</v>
      </c>
      <c r="AH163" s="78" t="str">
        <f>Table11[[#This Row],[tolerate_15l]]</f>
        <v>No</v>
      </c>
      <c r="AI163" s="78" t="str">
        <f>Table11[[#This Row],[drinking]]</f>
        <v>Yes</v>
      </c>
      <c r="AJ163" s="78" t="str">
        <f>Table11[[#This Row],[oral_diet]]</f>
        <v>Yes</v>
      </c>
      <c r="AK163" s="78" t="str">
        <f>Table11[[#This Row],[mobilised]]</f>
        <v>Yes</v>
      </c>
      <c r="AL163" s="79" t="str">
        <f>Table11[[#This Row],[resp_supp]]</f>
        <v>None</v>
      </c>
      <c r="AM163" s="78" t="str">
        <f>Table11[[#This Row],[elev_head]]</f>
        <v>Yes</v>
      </c>
      <c r="AN163" s="78" t="str">
        <f>Table13[[#This Row],[in_hospital]]</f>
        <v>No</v>
      </c>
      <c r="AO163" s="78">
        <f>Table13[[#This Row],[location_7]]</f>
        <v>0</v>
      </c>
      <c r="AP163" s="78">
        <f>Table13[[#This Row],[infec_24]]</f>
        <v>0</v>
      </c>
      <c r="AQ163" s="73">
        <f>Table13[[#This Row],[infec_7]]</f>
        <v>0</v>
      </c>
      <c r="AR163" s="73">
        <f>Table13[[#This Row],[gastro]]</f>
        <v>0</v>
      </c>
      <c r="AS163" s="73">
        <f>Table13[[#This Row],[pulm_supp_24]]</f>
        <v>0</v>
      </c>
      <c r="AT163" s="73">
        <f>Table13[[#This Row],[pulm_supp_7]]</f>
        <v>0</v>
      </c>
      <c r="AU163" s="73">
        <f>Table13[[#This Row],[pulm_pharm]]</f>
        <v>0</v>
      </c>
      <c r="AV163" s="73">
        <f>Table13[[#This Row],[cardio_24]]</f>
        <v>0</v>
      </c>
      <c r="AW163" s="73">
        <f>Table13[[#This Row],[troponin_7]]</f>
        <v>0</v>
      </c>
      <c r="AX163" s="73">
        <f>Table13[[#This Row],[creatinine_base]]</f>
        <v>0</v>
      </c>
      <c r="AY163" s="73">
        <f>Table13[[#This Row],[creatinine_high]]</f>
        <v>0</v>
      </c>
      <c r="AZ163" s="73">
        <f>Table13[[#This Row],[rrt]]</f>
        <v>0</v>
      </c>
      <c r="BA163" s="73">
        <f>Table13[[#This Row],[renal_24]]</f>
        <v>0</v>
      </c>
      <c r="BB163" s="73">
        <f>Table13[[#This Row],[neuro]]</f>
        <v>0</v>
      </c>
      <c r="BC163" s="73">
        <f>Table13[[#This Row],[wound]]</f>
        <v>0</v>
      </c>
      <c r="BD163" s="73">
        <f>Table13[[#This Row],[haemato]]</f>
        <v>0</v>
      </c>
      <c r="BE163" s="73">
        <f>Table13[[#This Row],[pain]]</f>
        <v>0</v>
      </c>
      <c r="BF163" s="73">
        <f>Table13[[#This Row],[mobility]]</f>
        <v>0</v>
      </c>
      <c r="BG163" s="79">
        <f>Table13[[#This Row],[why_inpatient_7]]</f>
        <v>0</v>
      </c>
      <c r="BH163" s="9">
        <f>Table13[[#This Row],[date_15]]</f>
        <v>0</v>
      </c>
      <c r="BI163">
        <f>Table13[[#This Row],[inpatient_15]]</f>
        <v>0</v>
      </c>
      <c r="BJ163">
        <f>Table13[[#This Row],[comment_15]]</f>
        <v>0</v>
      </c>
      <c r="BK163" t="str">
        <f>Table13[[#This Row],[discharge_dest]]</f>
        <v>Own Home</v>
      </c>
      <c r="BL163" t="str">
        <f>Table13[[#This Row],[complication]]</f>
        <v>None</v>
      </c>
    </row>
    <row r="164" spans="1:64" ht="18" customHeight="1">
      <c r="A164" s="73" t="str">
        <f>Table5[[#This Row],[comment]]</f>
        <v>New data item: smoking history and smoking cessation service</v>
      </c>
      <c r="B164" s="73" t="str">
        <f>Table9[[#This Row],[surgeon]]</f>
        <v>Alan Li</v>
      </c>
      <c r="C164" s="73" t="str">
        <f>Table9[[#This Row],[surgery]]</f>
        <v>Partial gastrectomy (+/- excision of surrounding tissue)</v>
      </c>
      <c r="D164" s="74" t="str">
        <f>Table5[[#This Row],[pqip_consent]]</f>
        <v>Yes</v>
      </c>
      <c r="E164" s="73" t="str">
        <f>Table6[[#This Row],[area_surgery]]</f>
        <v>Upper GI</v>
      </c>
      <c r="F164" s="75">
        <f>Table6[[#This Row],[admission_date]]</f>
        <v>43402</v>
      </c>
      <c r="G164" s="75">
        <f>Table6[[#This Row],[admission_date]]</f>
        <v>43402</v>
      </c>
      <c r="H164" s="105">
        <f>Table6[[#This Row],[surgery_duration]]</f>
        <v>0.35416666666666669</v>
      </c>
      <c r="I164" s="73" t="str">
        <f>Table6[[#This Row],[discharge_loc]]</f>
        <v>H6</v>
      </c>
      <c r="J164" s="75">
        <f>Table6[[#This Row],[discharge_date]]</f>
        <v>0</v>
      </c>
      <c r="K164" s="76">
        <f>Table6[[#This Row],[hospital_stay]]</f>
        <v>-43402</v>
      </c>
      <c r="L164" s="76">
        <f>Table6[[#This Row],[readmit_30]]</f>
        <v>0</v>
      </c>
      <c r="M164" s="77" t="str">
        <f>Table9[[#This Row],[troponin]]</f>
        <v>Not Measured</v>
      </c>
      <c r="N164" s="78">
        <f>Table9[[#This Row],[hb]]</f>
        <v>15.1</v>
      </c>
      <c r="O164" s="78">
        <f>Table9[[#This Row],[creatinine]]</f>
        <v>82</v>
      </c>
      <c r="P164" s="78">
        <f>Table9[[#This Row],[albumin]]</f>
        <v>42</v>
      </c>
      <c r="Q164" s="73" t="str">
        <f>Table9[[#This Row],[chest_physio]]</f>
        <v>Surgery School</v>
      </c>
      <c r="R164" s="73" t="str">
        <f>Table9[[#This Row],[surgery_school]]</f>
        <v>Yes - Hospital Session</v>
      </c>
      <c r="S164" s="75">
        <f>Table9[[#This Row],[date_school]]</f>
        <v>43377</v>
      </c>
      <c r="T164" s="73" t="str">
        <f>Table9[[#This Row],[app_down]]</f>
        <v>No - Have electronic device</v>
      </c>
      <c r="U164" s="73" t="str">
        <f>Table9[[#This Row],[website]]</f>
        <v>No</v>
      </c>
      <c r="V164" s="73" t="str">
        <f>Table9[[#This Row],[base_activity]]</f>
        <v>No extra activity - Independent in ADLs</v>
      </c>
      <c r="W164" s="73" t="str">
        <f>Table9[[#This Row],[current_activity]]</f>
        <v>No extra activity - Independent in ADLs</v>
      </c>
      <c r="X164" s="73" t="str">
        <f>Table9[[#This Row],[activity_type]]</f>
        <v>None</v>
      </c>
      <c r="Y164" s="73" t="str">
        <f>Table9[[#This Row],[anaemia_treat]]</f>
        <v>Not applicable</v>
      </c>
      <c r="Z164" s="78" t="str">
        <f>Table9[[#This Row],[anaesthesia]]</f>
        <v>General with Inhalational</v>
      </c>
      <c r="AA164" s="78" t="str">
        <f>Table9[[#This Row],[smoke_hist]]</f>
        <v>Ex-smoker - stopped smoking &lt;=6 months ago</v>
      </c>
      <c r="AB164" s="78" t="str">
        <f>Table9[[#This Row],[smoke_cess]]</f>
        <v>Not applicable</v>
      </c>
      <c r="AC164" s="78">
        <f>Table9[[#This Row],[tidal_vol]]</f>
        <v>0.69</v>
      </c>
      <c r="AD164" s="77" t="str">
        <f>Table11[[#This Row],[inc_spiro]]</f>
        <v>Once</v>
      </c>
      <c r="AE164" s="73" t="str">
        <f>Table11[[#This Row],[t_brushes]]</f>
        <v>Twice</v>
      </c>
      <c r="AF164" s="78" t="str">
        <f>Table11[[#This Row],[m_washes]]</f>
        <v>Twice</v>
      </c>
      <c r="AG164" s="78" t="str">
        <f>Table11[[#This Row],[iv_disc]]</f>
        <v>No</v>
      </c>
      <c r="AH164" s="78" t="str">
        <f>Table11[[#This Row],[tolerate_15l]]</f>
        <v>Not applicable</v>
      </c>
      <c r="AI164" s="78" t="str">
        <f>Table11[[#This Row],[drinking]]</f>
        <v>Nill by mouth</v>
      </c>
      <c r="AJ164" s="78" t="str">
        <f>Table11[[#This Row],[oral_diet]]</f>
        <v>Nill by mouth</v>
      </c>
      <c r="AK164" s="78" t="str">
        <f>Table11[[#This Row],[mobilised]]</f>
        <v>No</v>
      </c>
      <c r="AL164" s="79" t="str">
        <f>Table11[[#This Row],[resp_supp]]</f>
        <v>None</v>
      </c>
      <c r="AM164" s="78" t="str">
        <f>Table11[[#This Row],[elev_head]]</f>
        <v>Yes</v>
      </c>
      <c r="AN164" s="78" t="str">
        <f>Table13[[#This Row],[in_hospital]]</f>
        <v>Yes</v>
      </c>
      <c r="AO164" s="78" t="str">
        <f>Table13[[#This Row],[location_7]]</f>
        <v>Level 2</v>
      </c>
      <c r="AP164" s="78" t="str">
        <f>Table13[[#This Row],[infec_24]]</f>
        <v>Patient currently on IV antibiotics</v>
      </c>
      <c r="AQ164" s="73" t="str">
        <f>Table13[[#This Row],[infec_7]]</f>
        <v>Empirical</v>
      </c>
      <c r="AR164" s="73" t="str">
        <f>Table13[[#This Row],[gastro]]</f>
        <v>Experienced nausea, vomiting or distension, Unable to tolerate enteral diet</v>
      </c>
      <c r="AS164" s="73" t="str">
        <f>Table13[[#This Row],[pulm_supp_24]]</f>
        <v>New requirement for oxygen</v>
      </c>
      <c r="AT164" s="73" t="str">
        <f>Table13[[#This Row],[pulm_supp_7]]</f>
        <v>Moderate</v>
      </c>
      <c r="AU164" s="73" t="str">
        <f>Table13[[#This Row],[pulm_pharm]]</f>
        <v>None</v>
      </c>
      <c r="AV164" s="73" t="str">
        <f>Table13[[#This Row],[cardio_24]]</f>
        <v>None of the above</v>
      </c>
      <c r="AW164" s="73" t="str">
        <f>Table13[[#This Row],[troponin_7]]</f>
        <v>&lt;6</v>
      </c>
      <c r="AX164" s="73">
        <f>Table13[[#This Row],[creatinine_base]]</f>
        <v>82</v>
      </c>
      <c r="AY164" s="73">
        <f>Table13[[#This Row],[creatinine_high]]</f>
        <v>59</v>
      </c>
      <c r="AZ164" s="73" t="str">
        <f>Table13[[#This Row],[rrt]]</f>
        <v xml:space="preserve">No </v>
      </c>
      <c r="BA164" s="73" t="str">
        <f>Table13[[#This Row],[renal_24]]</f>
        <v>Urethral catheter in-situ (not present pre-operatively)</v>
      </c>
      <c r="BB164" s="73" t="str">
        <f>Table13[[#This Row],[neuro]]</f>
        <v>None of the above</v>
      </c>
      <c r="BC164" s="73" t="str">
        <f>Table13[[#This Row],[wound]]</f>
        <v>None of the above</v>
      </c>
      <c r="BD164" s="73" t="str">
        <f>Table13[[#This Row],[haemato]]</f>
        <v>None of the above</v>
      </c>
      <c r="BE164" s="73" t="str">
        <f>Table13[[#This Row],[pain]]</f>
        <v>Parenteral opioids</v>
      </c>
      <c r="BF164" s="73" t="str">
        <f>Table13[[#This Row],[mobility]]</f>
        <v>No</v>
      </c>
      <c r="BG164" s="79" t="str">
        <f>Table13[[#This Row],[why_inpatient_7]]</f>
        <v>Medical/nursing care</v>
      </c>
      <c r="BH164" s="9">
        <f>Table13[[#This Row],[date_15]]</f>
        <v>0</v>
      </c>
      <c r="BI164">
        <f>Table13[[#This Row],[inpatient_15]]</f>
        <v>0</v>
      </c>
      <c r="BJ164">
        <f>Table13[[#This Row],[comment_15]]</f>
        <v>0</v>
      </c>
      <c r="BK164">
        <f>Table13[[#This Row],[discharge_dest]]</f>
        <v>0</v>
      </c>
      <c r="BL164">
        <f>Table13[[#This Row],[complication]]</f>
        <v>0</v>
      </c>
    </row>
    <row r="165" spans="1:64" ht="18" customHeight="1">
      <c r="A165" s="73">
        <f>Table5[[#This Row],[comment]]</f>
        <v>0</v>
      </c>
      <c r="B165" s="73" t="str">
        <f>Table9[[#This Row],[surgeon]]</f>
        <v>Khurshid Akhtar</v>
      </c>
      <c r="C165" s="73" t="str">
        <f>Table9[[#This Row],[surgery]]</f>
        <v>Gastrectomy (Total or Partial) with excision of surrounding tissue</v>
      </c>
      <c r="D165" s="74" t="str">
        <f>Table5[[#This Row],[pqip_consent]]</f>
        <v>Yes</v>
      </c>
      <c r="E165" s="73" t="str">
        <f>Table6[[#This Row],[area_surgery]]</f>
        <v>Upper GI</v>
      </c>
      <c r="F165" s="75">
        <f>Table6[[#This Row],[admission_date]]</f>
        <v>43402</v>
      </c>
      <c r="G165" s="75">
        <f>Table6[[#This Row],[admission_date]]</f>
        <v>43402</v>
      </c>
      <c r="H165" s="105">
        <f>Table6[[#This Row],[surgery_duration]]</f>
        <v>0.29166666666666669</v>
      </c>
      <c r="I165" s="73" t="str">
        <f>Table6[[#This Row],[discharge_loc]]</f>
        <v>CCU (Level 2)</v>
      </c>
      <c r="J165" s="75">
        <f>Table6[[#This Row],[discharge_date]]</f>
        <v>43409</v>
      </c>
      <c r="K165" s="76">
        <f>Table6[[#This Row],[hospital_stay]]</f>
        <v>7</v>
      </c>
      <c r="L165" s="76">
        <f>Table6[[#This Row],[readmit_30]]</f>
        <v>0</v>
      </c>
      <c r="M165" s="77" t="str">
        <f>Table9[[#This Row],[troponin]]</f>
        <v>Not Measured</v>
      </c>
      <c r="N165" s="78">
        <f>Table9[[#This Row],[hb]]</f>
        <v>13.3</v>
      </c>
      <c r="O165" s="78">
        <f>Table9[[#This Row],[creatinine]]</f>
        <v>53</v>
      </c>
      <c r="P165" s="78">
        <f>Table9[[#This Row],[albumin]]</f>
        <v>40</v>
      </c>
      <c r="Q165" s="73" t="str">
        <f>Table9[[#This Row],[chest_physio]]</f>
        <v>No</v>
      </c>
      <c r="R165" s="73" t="str">
        <f>Table9[[#This Row],[surgery_school]]</f>
        <v>No - Wasn’t offered it</v>
      </c>
      <c r="S165" s="75">
        <f>Table9[[#This Row],[date_school]]</f>
        <v>0</v>
      </c>
      <c r="T165" s="73" t="str">
        <f>Table9[[#This Row],[app_down]]</f>
        <v>No - Have electronic device</v>
      </c>
      <c r="U165" s="73" t="str">
        <f>Table9[[#This Row],[website]]</f>
        <v>No</v>
      </c>
      <c r="V165" s="73" t="str">
        <f>Table9[[#This Row],[base_activity]]</f>
        <v>30mins of moderate activity</v>
      </c>
      <c r="W165" s="73" t="str">
        <f>Table9[[#This Row],[current_activity]]</f>
        <v>30mins of moderate activity</v>
      </c>
      <c r="X165" s="73" t="str">
        <f>Table9[[#This Row],[activity_type]]</f>
        <v xml:space="preserve">Walking regularly </v>
      </c>
      <c r="Y165" s="73" t="str">
        <f>Table9[[#This Row],[anaemia_treat]]</f>
        <v>Not applicable</v>
      </c>
      <c r="Z165" s="78" t="str">
        <f>Table9[[#This Row],[anaesthesia]]</f>
        <v>General with Inhalational</v>
      </c>
      <c r="AA165" s="78" t="str">
        <f>Table9[[#This Row],[smoke_hist]]</f>
        <v>Ex-smoker - stopped smoking &lt;=6 months ago</v>
      </c>
      <c r="AB165" s="78" t="str">
        <f>Table9[[#This Row],[smoke_cess]]</f>
        <v>Not applicable</v>
      </c>
      <c r="AC165" s="78" t="str">
        <f>Table9[[#This Row],[tidal_vol]]</f>
        <v>Not recorded</v>
      </c>
      <c r="AD165" s="77" t="str">
        <f>Table11[[#This Row],[inc_spiro]]</f>
        <v>Once</v>
      </c>
      <c r="AE165" s="73" t="str">
        <f>Table11[[#This Row],[t_brushes]]</f>
        <v>Twice</v>
      </c>
      <c r="AF165" s="78" t="str">
        <f>Table11[[#This Row],[m_washes]]</f>
        <v>Twice</v>
      </c>
      <c r="AG165" s="78" t="str">
        <f>Table11[[#This Row],[iv_disc]]</f>
        <v>No</v>
      </c>
      <c r="AH165" s="78" t="str">
        <f>Table11[[#This Row],[tolerate_15l]]</f>
        <v>Not applicable</v>
      </c>
      <c r="AI165" s="78" t="str">
        <f>Table11[[#This Row],[drinking]]</f>
        <v>Nill by mouth</v>
      </c>
      <c r="AJ165" s="78" t="str">
        <f>Table11[[#This Row],[oral_diet]]</f>
        <v>Nill by mouth</v>
      </c>
      <c r="AK165" s="78" t="str">
        <f>Table11[[#This Row],[mobilised]]</f>
        <v>Yes</v>
      </c>
      <c r="AL165" s="79" t="str">
        <f>Table11[[#This Row],[resp_supp]]</f>
        <v>None</v>
      </c>
      <c r="AM165" s="78" t="str">
        <f>Table11[[#This Row],[elev_head]]</f>
        <v>Yes</v>
      </c>
      <c r="AN165" s="78" t="str">
        <f>Table13[[#This Row],[in_hospital]]</f>
        <v>No</v>
      </c>
      <c r="AO165" s="78">
        <f>Table13[[#This Row],[location_7]]</f>
        <v>0</v>
      </c>
      <c r="AP165" s="78">
        <f>Table13[[#This Row],[infec_24]]</f>
        <v>0</v>
      </c>
      <c r="AQ165" s="73">
        <f>Table13[[#This Row],[infec_7]]</f>
        <v>0</v>
      </c>
      <c r="AR165" s="73">
        <f>Table13[[#This Row],[gastro]]</f>
        <v>0</v>
      </c>
      <c r="AS165" s="73">
        <f>Table13[[#This Row],[pulm_supp_24]]</f>
        <v>0</v>
      </c>
      <c r="AT165" s="73">
        <f>Table13[[#This Row],[pulm_supp_7]]</f>
        <v>0</v>
      </c>
      <c r="AU165" s="73">
        <f>Table13[[#This Row],[pulm_pharm]]</f>
        <v>0</v>
      </c>
      <c r="AV165" s="73">
        <f>Table13[[#This Row],[cardio_24]]</f>
        <v>0</v>
      </c>
      <c r="AW165" s="73">
        <f>Table13[[#This Row],[troponin_7]]</f>
        <v>0</v>
      </c>
      <c r="AX165" s="73">
        <f>Table13[[#This Row],[creatinine_base]]</f>
        <v>0</v>
      </c>
      <c r="AY165" s="73">
        <f>Table13[[#This Row],[creatinine_high]]</f>
        <v>0</v>
      </c>
      <c r="AZ165" s="73">
        <f>Table13[[#This Row],[rrt]]</f>
        <v>0</v>
      </c>
      <c r="BA165" s="73">
        <f>Table13[[#This Row],[renal_24]]</f>
        <v>0</v>
      </c>
      <c r="BB165" s="73">
        <f>Table13[[#This Row],[neuro]]</f>
        <v>0</v>
      </c>
      <c r="BC165" s="73">
        <f>Table13[[#This Row],[wound]]</f>
        <v>0</v>
      </c>
      <c r="BD165" s="73">
        <f>Table13[[#This Row],[haemato]]</f>
        <v>0</v>
      </c>
      <c r="BE165" s="73">
        <f>Table13[[#This Row],[pain]]</f>
        <v>0</v>
      </c>
      <c r="BF165" s="73">
        <f>Table13[[#This Row],[mobility]]</f>
        <v>0</v>
      </c>
      <c r="BG165" s="79">
        <f>Table13[[#This Row],[why_inpatient_7]]</f>
        <v>0</v>
      </c>
      <c r="BH165" s="9">
        <f>Table13[[#This Row],[date_15]]</f>
        <v>0</v>
      </c>
      <c r="BI165">
        <f>Table13[[#This Row],[inpatient_15]]</f>
        <v>0</v>
      </c>
      <c r="BJ165">
        <f>Table13[[#This Row],[comment_15]]</f>
        <v>0</v>
      </c>
      <c r="BK165" t="str">
        <f>Table13[[#This Row],[discharge_dest]]</f>
        <v>Own Home</v>
      </c>
      <c r="BL165" t="str">
        <f>Table13[[#This Row],[complication]]</f>
        <v>II</v>
      </c>
    </row>
    <row r="166" spans="1:64" ht="18" customHeight="1">
      <c r="A166" s="73">
        <f>Table5[[#This Row],[comment]]</f>
        <v>0</v>
      </c>
      <c r="B166" s="73" t="str">
        <f>Table9[[#This Row],[surgeon]]</f>
        <v>David Ross</v>
      </c>
      <c r="C166" s="73" t="str">
        <f>Table9[[#This Row],[surgery]]</f>
        <v>Percutaneous nephrolithotomy (including cystoscopy and retrograde catheterisation)</v>
      </c>
      <c r="D166" s="74" t="str">
        <f>Table5[[#This Row],[pqip_consent]]</f>
        <v>Yes</v>
      </c>
      <c r="E166" s="73" t="str">
        <f>Table6[[#This Row],[area_surgery]]</f>
        <v>Urology</v>
      </c>
      <c r="F166" s="75">
        <f>Table6[[#This Row],[admission_date]]</f>
        <v>43402</v>
      </c>
      <c r="G166" s="75">
        <f>Table6[[#This Row],[admission_date]]</f>
        <v>43402</v>
      </c>
      <c r="H166" s="105">
        <f>Table6[[#This Row],[surgery_duration]]</f>
        <v>0</v>
      </c>
      <c r="I166" s="73" t="str">
        <f>Table6[[#This Row],[discharge_loc]]</f>
        <v>H4</v>
      </c>
      <c r="J166" s="75">
        <f>Table6[[#This Row],[discharge_date]]</f>
        <v>43404</v>
      </c>
      <c r="K166" s="76">
        <f>Table6[[#This Row],[hospital_stay]]</f>
        <v>2</v>
      </c>
      <c r="L166" s="76">
        <f>Table6[[#This Row],[readmit_30]]</f>
        <v>0</v>
      </c>
      <c r="M166" s="77" t="str">
        <f>Table9[[#This Row],[troponin]]</f>
        <v>Not Measured</v>
      </c>
      <c r="N166" s="78">
        <f>Table9[[#This Row],[hb]]</f>
        <v>15</v>
      </c>
      <c r="O166" s="78">
        <f>Table9[[#This Row],[creatinine]]</f>
        <v>51</v>
      </c>
      <c r="P166" s="78">
        <f>Table9[[#This Row],[albumin]]</f>
        <v>46</v>
      </c>
      <c r="Q166" s="73" t="str">
        <f>Table9[[#This Row],[chest_physio]]</f>
        <v>No</v>
      </c>
      <c r="R166" s="73" t="str">
        <f>Table9[[#This Row],[surgery_school]]</f>
        <v>No - Wasn’t offered it</v>
      </c>
      <c r="S166" s="75">
        <f>Table9[[#This Row],[date_school]]</f>
        <v>0</v>
      </c>
      <c r="T166" s="73" t="str">
        <f>Table9[[#This Row],[app_down]]</f>
        <v>No - Have electronic device</v>
      </c>
      <c r="U166" s="73" t="str">
        <f>Table9[[#This Row],[website]]</f>
        <v>No</v>
      </c>
      <c r="V166" s="73" t="str">
        <f>Table9[[#This Row],[base_activity]]</f>
        <v>No extra activity - Independent in ADLs</v>
      </c>
      <c r="W166" s="73" t="str">
        <f>Table9[[#This Row],[current_activity]]</f>
        <v>No extra activity - Independent in ADLs</v>
      </c>
      <c r="X166" s="73" t="str">
        <f>Table9[[#This Row],[activity_type]]</f>
        <v>None</v>
      </c>
      <c r="Y166" s="73" t="str">
        <f>Table9[[#This Row],[anaemia_treat]]</f>
        <v>Not applicable</v>
      </c>
      <c r="Z166" s="78">
        <f>Table9[[#This Row],[anaesthesia]]</f>
        <v>0</v>
      </c>
      <c r="AA166" s="78" t="str">
        <f>Table9[[#This Row],[smoke_hist]]</f>
        <v>Never smoked</v>
      </c>
      <c r="AB166" s="78" t="str">
        <f>Table9[[#This Row],[smoke_cess]]</f>
        <v>Not applicable</v>
      </c>
      <c r="AC166" s="78" t="str">
        <f>Table9[[#This Row],[tidal_vol]]</f>
        <v>Not recorded</v>
      </c>
      <c r="AD166" s="77" t="str">
        <f>Table11[[#This Row],[inc_spiro]]</f>
        <v>Not given one</v>
      </c>
      <c r="AE166" s="73" t="str">
        <f>Table11[[#This Row],[t_brushes]]</f>
        <v>Twice</v>
      </c>
      <c r="AF166" s="78" t="str">
        <f>Table11[[#This Row],[m_washes]]</f>
        <v>None</v>
      </c>
      <c r="AG166" s="78" t="str">
        <f>Table11[[#This Row],[iv_disc]]</f>
        <v>Yes</v>
      </c>
      <c r="AH166" s="78" t="str">
        <f>Table11[[#This Row],[tolerate_15l]]</f>
        <v>Yes</v>
      </c>
      <c r="AI166" s="78" t="str">
        <f>Table11[[#This Row],[drinking]]</f>
        <v>Yes</v>
      </c>
      <c r="AJ166" s="78" t="str">
        <f>Table11[[#This Row],[oral_diet]]</f>
        <v>Yes</v>
      </c>
      <c r="AK166" s="78" t="str">
        <f>Table11[[#This Row],[mobilised]]</f>
        <v>Yes</v>
      </c>
      <c r="AL166" s="79" t="str">
        <f>Table11[[#This Row],[resp_supp]]</f>
        <v>None</v>
      </c>
      <c r="AM166" s="78" t="str">
        <f>Table11[[#This Row],[elev_head]]</f>
        <v>Yes</v>
      </c>
      <c r="AN166" s="78" t="str">
        <f>Table13[[#This Row],[in_hospital]]</f>
        <v>No</v>
      </c>
      <c r="AO166" s="78">
        <f>Table13[[#This Row],[location_7]]</f>
        <v>0</v>
      </c>
      <c r="AP166" s="78">
        <f>Table13[[#This Row],[infec_24]]</f>
        <v>0</v>
      </c>
      <c r="AQ166" s="73">
        <f>Table13[[#This Row],[infec_7]]</f>
        <v>0</v>
      </c>
      <c r="AR166" s="73">
        <f>Table13[[#This Row],[gastro]]</f>
        <v>0</v>
      </c>
      <c r="AS166" s="73">
        <f>Table13[[#This Row],[pulm_supp_24]]</f>
        <v>0</v>
      </c>
      <c r="AT166" s="73">
        <f>Table13[[#This Row],[pulm_supp_7]]</f>
        <v>0</v>
      </c>
      <c r="AU166" s="73">
        <f>Table13[[#This Row],[pulm_pharm]]</f>
        <v>0</v>
      </c>
      <c r="AV166" s="73">
        <f>Table13[[#This Row],[cardio_24]]</f>
        <v>0</v>
      </c>
      <c r="AW166" s="73">
        <f>Table13[[#This Row],[troponin_7]]</f>
        <v>0</v>
      </c>
      <c r="AX166" s="73">
        <f>Table13[[#This Row],[creatinine_base]]</f>
        <v>0</v>
      </c>
      <c r="AY166" s="73">
        <f>Table13[[#This Row],[creatinine_high]]</f>
        <v>0</v>
      </c>
      <c r="AZ166" s="73">
        <f>Table13[[#This Row],[rrt]]</f>
        <v>0</v>
      </c>
      <c r="BA166" s="73">
        <f>Table13[[#This Row],[renal_24]]</f>
        <v>0</v>
      </c>
      <c r="BB166" s="73">
        <f>Table13[[#This Row],[neuro]]</f>
        <v>0</v>
      </c>
      <c r="BC166" s="73">
        <f>Table13[[#This Row],[wound]]</f>
        <v>0</v>
      </c>
      <c r="BD166" s="73">
        <f>Table13[[#This Row],[haemato]]</f>
        <v>0</v>
      </c>
      <c r="BE166" s="73">
        <f>Table13[[#This Row],[pain]]</f>
        <v>0</v>
      </c>
      <c r="BF166" s="73">
        <f>Table13[[#This Row],[mobility]]</f>
        <v>0</v>
      </c>
      <c r="BG166" s="79">
        <f>Table13[[#This Row],[why_inpatient_7]]</f>
        <v>0</v>
      </c>
      <c r="BH166" s="9">
        <f>Table13[[#This Row],[date_15]]</f>
        <v>0</v>
      </c>
      <c r="BI166">
        <f>Table13[[#This Row],[inpatient_15]]</f>
        <v>0</v>
      </c>
      <c r="BJ166">
        <f>Table13[[#This Row],[comment_15]]</f>
        <v>0</v>
      </c>
      <c r="BK166" t="str">
        <f>Table13[[#This Row],[discharge_dest]]</f>
        <v>Own Home</v>
      </c>
      <c r="BL166" t="str">
        <f>Table13[[#This Row],[complication]]</f>
        <v>None</v>
      </c>
    </row>
    <row r="167" spans="1:64" ht="18" customHeight="1">
      <c r="A167" s="73">
        <f>Table5[[#This Row],[comment]]</f>
        <v>0</v>
      </c>
      <c r="B167" s="73" t="str">
        <f>Table9[[#This Row],[surgeon]]</f>
        <v>Jonathan Epstein</v>
      </c>
      <c r="C167" s="73" t="str">
        <f>Table9[[#This Row],[surgery]]</f>
        <v>Right hemicolectomy (with ileostomy)</v>
      </c>
      <c r="D167" s="74" t="str">
        <f>Table5[[#This Row],[pqip_consent]]</f>
        <v>Yes</v>
      </c>
      <c r="E167" s="73" t="str">
        <f>Table6[[#This Row],[area_surgery]]</f>
        <v>Lower GI</v>
      </c>
      <c r="F167" s="75">
        <f>Table6[[#This Row],[admission_date]]</f>
        <v>43402</v>
      </c>
      <c r="G167" s="75">
        <f>Table6[[#This Row],[admission_date]]</f>
        <v>43402</v>
      </c>
      <c r="H167" s="105">
        <f>Table6[[#This Row],[surgery_duration]]</f>
        <v>0.14583333333333334</v>
      </c>
      <c r="I167" s="73" t="str">
        <f>Table6[[#This Row],[discharge_loc]]</f>
        <v>CCU (Level 3)</v>
      </c>
      <c r="J167" s="75">
        <f>Table6[[#This Row],[discharge_date]]</f>
        <v>0</v>
      </c>
      <c r="K167" s="76">
        <f>Table6[[#This Row],[hospital_stay]]</f>
        <v>-43403</v>
      </c>
      <c r="L167" s="76">
        <f>Table6[[#This Row],[readmit_30]]</f>
        <v>0</v>
      </c>
      <c r="M167" s="77" t="str">
        <f>Table9[[#This Row],[troponin]]</f>
        <v>Not Measured</v>
      </c>
      <c r="N167" s="78">
        <f>Table9[[#This Row],[hb]]</f>
        <v>9.6999999999999993</v>
      </c>
      <c r="O167" s="78">
        <f>Table9[[#This Row],[creatinine]]</f>
        <v>336</v>
      </c>
      <c r="P167" s="78">
        <f>Table9[[#This Row],[albumin]]</f>
        <v>38</v>
      </c>
      <c r="Q167" s="73" t="str">
        <f>Table9[[#This Row],[chest_physio]]</f>
        <v>Surgery School</v>
      </c>
      <c r="R167" s="73" t="str">
        <f>Table9[[#This Row],[surgery_school]]</f>
        <v>Yes - Hospital Session</v>
      </c>
      <c r="S167" s="75">
        <f>Table9[[#This Row],[date_school]]</f>
        <v>43397</v>
      </c>
      <c r="T167" s="73" t="str">
        <f>Table9[[#This Row],[app_down]]</f>
        <v>No - No electronic device</v>
      </c>
      <c r="U167" s="73" t="str">
        <f>Table9[[#This Row],[website]]</f>
        <v>No</v>
      </c>
      <c r="V167" s="73" t="str">
        <f>Table9[[#This Row],[base_activity]]</f>
        <v>No extra activity - Independent in ADLs</v>
      </c>
      <c r="W167" s="73" t="str">
        <f>Table9[[#This Row],[current_activity]]</f>
        <v>20mins of moderate activity</v>
      </c>
      <c r="X167" s="73" t="str">
        <f>Table9[[#This Row],[activity_type]]</f>
        <v xml:space="preserve">Walking regularly </v>
      </c>
      <c r="Y167" s="73" t="str">
        <f>Table9[[#This Row],[anaemia_treat]]</f>
        <v>Intravenous Iron</v>
      </c>
      <c r="Z167" s="78" t="str">
        <f>Table9[[#This Row],[anaesthesia]]</f>
        <v>General with Inhalational</v>
      </c>
      <c r="AA167" s="78" t="str">
        <f>Table9[[#This Row],[smoke_hist]]</f>
        <v>Never smoked</v>
      </c>
      <c r="AB167" s="78" t="str">
        <f>Table9[[#This Row],[smoke_cess]]</f>
        <v>Not applicable</v>
      </c>
      <c r="AC167" s="78" t="str">
        <f>Table9[[#This Row],[tidal_vol]]</f>
        <v>Not recorded</v>
      </c>
      <c r="AD167" s="77" t="str">
        <f>Table11[[#This Row],[inc_spiro]]</f>
        <v>Not used</v>
      </c>
      <c r="AE167" s="73" t="str">
        <f>Table11[[#This Row],[t_brushes]]</f>
        <v>Twice</v>
      </c>
      <c r="AF167" s="78" t="str">
        <f>Table11[[#This Row],[m_washes]]</f>
        <v>Twice</v>
      </c>
      <c r="AG167" s="78" t="str">
        <f>Table11[[#This Row],[iv_disc]]</f>
        <v>No</v>
      </c>
      <c r="AH167" s="78" t="str">
        <f>Table11[[#This Row],[tolerate_15l]]</f>
        <v>No</v>
      </c>
      <c r="AI167" s="78" t="str">
        <f>Table11[[#This Row],[drinking]]</f>
        <v>Yes</v>
      </c>
      <c r="AJ167" s="78" t="str">
        <f>Table11[[#This Row],[oral_diet]]</f>
        <v>Yes</v>
      </c>
      <c r="AK167" s="78" t="str">
        <f>Table11[[#This Row],[mobilised]]</f>
        <v>Yes</v>
      </c>
      <c r="AL167" s="79" t="str">
        <f>Table11[[#This Row],[resp_supp]]</f>
        <v>None</v>
      </c>
      <c r="AM167" s="78" t="str">
        <f>Table11[[#This Row],[elev_head]]</f>
        <v>Yes</v>
      </c>
      <c r="AN167" s="78" t="str">
        <f>Table13[[#This Row],[in_hospital]]</f>
        <v>Yes</v>
      </c>
      <c r="AO167" s="78" t="str">
        <f>Table13[[#This Row],[location_7]]</f>
        <v>Ward</v>
      </c>
      <c r="AP167" s="78" t="str">
        <f>Table13[[#This Row],[infec_24]]</f>
        <v>None of the above</v>
      </c>
      <c r="AQ167" s="73" t="str">
        <f>Table13[[#This Row],[infec_7]]</f>
        <v>Urine</v>
      </c>
      <c r="AR167" s="73" t="str">
        <f>Table13[[#This Row],[gastro]]</f>
        <v>None of the above</v>
      </c>
      <c r="AS167" s="73" t="str">
        <f>Table13[[#This Row],[pulm_supp_24]]</f>
        <v>None of the above</v>
      </c>
      <c r="AT167" s="73" t="str">
        <f>Table13[[#This Row],[pulm_supp_7]]</f>
        <v>None</v>
      </c>
      <c r="AU167" s="73" t="str">
        <f>Table13[[#This Row],[pulm_pharm]]</f>
        <v>None</v>
      </c>
      <c r="AV167" s="73" t="str">
        <f>Table13[[#This Row],[cardio_24]]</f>
        <v>None of the above</v>
      </c>
      <c r="AW167" s="73" t="str">
        <f>Table13[[#This Row],[troponin_7]]</f>
        <v>None measured</v>
      </c>
      <c r="AX167" s="73">
        <f>Table13[[#This Row],[creatinine_base]]</f>
        <v>336</v>
      </c>
      <c r="AY167" s="73">
        <f>Table13[[#This Row],[creatinine_high]]</f>
        <v>332</v>
      </c>
      <c r="AZ167" s="73" t="str">
        <f>Table13[[#This Row],[rrt]]</f>
        <v xml:space="preserve">No </v>
      </c>
      <c r="BA167" s="73" t="str">
        <f>Table13[[#This Row],[renal_24]]</f>
        <v>None of the above</v>
      </c>
      <c r="BB167" s="73" t="str">
        <f>Table13[[#This Row],[neuro]]</f>
        <v>None of the above</v>
      </c>
      <c r="BC167" s="73" t="str">
        <f>Table13[[#This Row],[wound]]</f>
        <v>None of the above</v>
      </c>
      <c r="BD167" s="73" t="str">
        <f>Table13[[#This Row],[haemato]]</f>
        <v>None of the above</v>
      </c>
      <c r="BE167" s="73" t="str">
        <f>Table13[[#This Row],[pain]]</f>
        <v>None of the above</v>
      </c>
      <c r="BF167" s="73" t="str">
        <f>Table13[[#This Row],[mobility]]</f>
        <v>Yes</v>
      </c>
      <c r="BG167" s="79" t="str">
        <f>Table13[[#This Row],[why_inpatient_7]]</f>
        <v>Medical/nursing care</v>
      </c>
      <c r="BH167" s="9">
        <f>Table13[[#This Row],[date_15]]</f>
        <v>0</v>
      </c>
      <c r="BI167">
        <f>Table13[[#This Row],[inpatient_15]]</f>
        <v>0</v>
      </c>
      <c r="BJ167">
        <f>Table13[[#This Row],[comment_15]]</f>
        <v>0</v>
      </c>
      <c r="BK167">
        <f>Table13[[#This Row],[discharge_dest]]</f>
        <v>0</v>
      </c>
      <c r="BL167">
        <f>Table13[[#This Row],[complication]]</f>
        <v>0</v>
      </c>
    </row>
    <row r="168" spans="1:64" ht="18" customHeight="1">
      <c r="A168" s="73">
        <f>Table5[[#This Row],[comment]]</f>
        <v>0</v>
      </c>
      <c r="B168" s="73" t="str">
        <f>Table9[[#This Row],[surgeon]]</f>
        <v>Satish Maddineni</v>
      </c>
      <c r="C168" s="73" t="str">
        <f>Table9[[#This Row],[surgery]]</f>
        <v>Nephrectomy (non-transplant), Adrenalectomy</v>
      </c>
      <c r="D168" s="74" t="str">
        <f>Table5[[#This Row],[pqip_consent]]</f>
        <v>No</v>
      </c>
      <c r="E168" s="73" t="str">
        <f>Table6[[#This Row],[area_surgery]]</f>
        <v>Urology</v>
      </c>
      <c r="F168" s="75">
        <f>Table6[[#This Row],[admission_date]]</f>
        <v>43403</v>
      </c>
      <c r="G168" s="75">
        <f>Table6[[#This Row],[admission_date]]</f>
        <v>43403</v>
      </c>
      <c r="H168" s="105">
        <f>Table6[[#This Row],[surgery_duration]]</f>
        <v>0.21875</v>
      </c>
      <c r="I168" s="73" t="str">
        <f>Table6[[#This Row],[discharge_loc]]</f>
        <v>CCU (Level 2)</v>
      </c>
      <c r="J168" s="75">
        <f>Table6[[#This Row],[discharge_date]]</f>
        <v>0</v>
      </c>
      <c r="K168" s="76">
        <f>Table6[[#This Row],[hospital_stay]]</f>
        <v>-43403</v>
      </c>
      <c r="L168" s="76">
        <f>Table6[[#This Row],[readmit_30]]</f>
        <v>0</v>
      </c>
      <c r="M168" s="77" t="str">
        <f>Table9[[#This Row],[troponin]]</f>
        <v>Not Measured</v>
      </c>
      <c r="N168" s="78">
        <f>Table9[[#This Row],[hb]]</f>
        <v>12.7</v>
      </c>
      <c r="O168" s="78">
        <f>Table9[[#This Row],[creatinine]]</f>
        <v>92</v>
      </c>
      <c r="P168" s="78">
        <f>Table9[[#This Row],[albumin]]</f>
        <v>45</v>
      </c>
      <c r="Q168" s="73" t="str">
        <f>Table9[[#This Row],[chest_physio]]</f>
        <v>Surgery School</v>
      </c>
      <c r="R168" s="73" t="str">
        <f>Table9[[#This Row],[surgery_school]]</f>
        <v>Yes - Hospital Session</v>
      </c>
      <c r="S168" s="75">
        <f>Table9[[#This Row],[date_school]]</f>
        <v>43348</v>
      </c>
      <c r="T168" s="73" t="str">
        <f>Table9[[#This Row],[app_down]]</f>
        <v>No - No electronic device</v>
      </c>
      <c r="U168" s="73" t="str">
        <f>Table9[[#This Row],[website]]</f>
        <v>No</v>
      </c>
      <c r="V168" s="73" t="str">
        <f>Table9[[#This Row],[base_activity]]</f>
        <v>No extra activity - Independent in ADLs</v>
      </c>
      <c r="W168" s="73" t="str">
        <f>Table9[[#This Row],[current_activity]]</f>
        <v>No extra activity - Independent in ADLs</v>
      </c>
      <c r="X168" s="73" t="str">
        <f>Table9[[#This Row],[activity_type]]</f>
        <v>None</v>
      </c>
      <c r="Y168" s="73" t="str">
        <f>Table9[[#This Row],[anaemia_treat]]</f>
        <v>Not applicable</v>
      </c>
      <c r="Z168" s="78" t="str">
        <f>Table9[[#This Row],[anaesthesia]]</f>
        <v>General with Inhalational</v>
      </c>
      <c r="AA168" s="78" t="str">
        <f>Table9[[#This Row],[smoke_hist]]</f>
        <v>Never smoked</v>
      </c>
      <c r="AB168" s="78" t="str">
        <f>Table9[[#This Row],[smoke_cess]]</f>
        <v>Not applicable</v>
      </c>
      <c r="AC168" s="78" t="str">
        <f>Table9[[#This Row],[tidal_vol]]</f>
        <v>Not recorded</v>
      </c>
      <c r="AD168" s="77" t="str">
        <f>Table11[[#This Row],[inc_spiro]]</f>
        <v>Not used</v>
      </c>
      <c r="AE168" s="73" t="str">
        <f>Table11[[#This Row],[t_brushes]]</f>
        <v>Twice</v>
      </c>
      <c r="AF168" s="78" t="str">
        <f>Table11[[#This Row],[m_washes]]</f>
        <v>None</v>
      </c>
      <c r="AG168" s="78" t="str">
        <f>Table11[[#This Row],[iv_disc]]</f>
        <v>No</v>
      </c>
      <c r="AH168" s="78" t="str">
        <f>Table11[[#This Row],[tolerate_15l]]</f>
        <v>No</v>
      </c>
      <c r="AI168" s="78" t="str">
        <f>Table11[[#This Row],[drinking]]</f>
        <v>Yes</v>
      </c>
      <c r="AJ168" s="78" t="str">
        <f>Table11[[#This Row],[oral_diet]]</f>
        <v>Yes</v>
      </c>
      <c r="AK168" s="78" t="str">
        <f>Table11[[#This Row],[mobilised]]</f>
        <v>Yes</v>
      </c>
      <c r="AL168" s="79" t="str">
        <f>Table11[[#This Row],[resp_supp]]</f>
        <v>None</v>
      </c>
      <c r="AM168" s="78" t="str">
        <f>Table11[[#This Row],[elev_head]]</f>
        <v>Yes</v>
      </c>
      <c r="AN168" s="78" t="str">
        <f>Table13[[#This Row],[in_hospital]]</f>
        <v>Yes</v>
      </c>
      <c r="AO168" s="78" t="str">
        <f>Table13[[#This Row],[location_7]]</f>
        <v>Level 1</v>
      </c>
      <c r="AP168" s="78" t="str">
        <f>Table13[[#This Row],[infec_24]]</f>
        <v>None of the above</v>
      </c>
      <c r="AQ168" s="73" t="str">
        <f>Table13[[#This Row],[infec_7]]</f>
        <v>None</v>
      </c>
      <c r="AR168" s="73" t="str">
        <f>Table13[[#This Row],[gastro]]</f>
        <v>None of the above</v>
      </c>
      <c r="AS168" s="73" t="str">
        <f>Table13[[#This Row],[pulm_supp_24]]</f>
        <v>None of the above</v>
      </c>
      <c r="AT168" s="73" t="str">
        <f>Table13[[#This Row],[pulm_supp_7]]</f>
        <v>None</v>
      </c>
      <c r="AU168" s="73" t="str">
        <f>Table13[[#This Row],[pulm_pharm]]</f>
        <v>None</v>
      </c>
      <c r="AV168" s="73" t="str">
        <f>Table13[[#This Row],[cardio_24]]</f>
        <v>None of the above</v>
      </c>
      <c r="AW168" s="73" t="str">
        <f>Table13[[#This Row],[troponin_7]]</f>
        <v>None measured</v>
      </c>
      <c r="AX168" s="73">
        <f>Table13[[#This Row],[creatinine_base]]</f>
        <v>92</v>
      </c>
      <c r="AY168" s="73">
        <f>Table13[[#This Row],[creatinine_high]]</f>
        <v>141</v>
      </c>
      <c r="AZ168" s="73" t="str">
        <f>Table13[[#This Row],[rrt]]</f>
        <v xml:space="preserve">No </v>
      </c>
      <c r="BA168" s="73" t="str">
        <f>Table13[[#This Row],[renal_24]]</f>
        <v>None of the above</v>
      </c>
      <c r="BB168" s="73" t="str">
        <f>Table13[[#This Row],[neuro]]</f>
        <v>None of the above</v>
      </c>
      <c r="BC168" s="73" t="str">
        <f>Table13[[#This Row],[wound]]</f>
        <v>None of the above</v>
      </c>
      <c r="BD168" s="73" t="str">
        <f>Table13[[#This Row],[haemato]]</f>
        <v>None of the above</v>
      </c>
      <c r="BE168" s="73" t="str">
        <f>Table13[[#This Row],[pain]]</f>
        <v>None of the above</v>
      </c>
      <c r="BF168" s="73" t="str">
        <f>Table13[[#This Row],[mobility]]</f>
        <v>No</v>
      </c>
      <c r="BG168" s="79" t="str">
        <f>Table13[[#This Row],[why_inpatient_7]]</f>
        <v>Medical/nursing care</v>
      </c>
      <c r="BH168" s="9">
        <f>Table13[[#This Row],[date_15]]</f>
        <v>0</v>
      </c>
      <c r="BI168">
        <f>Table13[[#This Row],[inpatient_15]]</f>
        <v>0</v>
      </c>
      <c r="BJ168">
        <f>Table13[[#This Row],[comment_15]]</f>
        <v>0</v>
      </c>
      <c r="BK168">
        <f>Table13[[#This Row],[discharge_dest]]</f>
        <v>0</v>
      </c>
      <c r="BL168">
        <f>Table13[[#This Row],[complication]]</f>
        <v>0</v>
      </c>
    </row>
    <row r="169" spans="1:64" ht="18" customHeight="1">
      <c r="A169" s="73">
        <f>Table5[[#This Row],[comment]]</f>
        <v>0</v>
      </c>
      <c r="B169" s="73" t="str">
        <f>Table9[[#This Row],[surgeon]]</f>
        <v>Javed Sultan</v>
      </c>
      <c r="C169" s="73" t="str">
        <f>Table9[[#This Row],[surgery]]</f>
        <v xml:space="preserve">Oesophagectomy (total)/Oesophagogastrectomy </v>
      </c>
      <c r="D169" s="74" t="str">
        <f>Table5[[#This Row],[pqip_consent]]</f>
        <v>Yes</v>
      </c>
      <c r="E169" s="73" t="str">
        <f>Table6[[#This Row],[area_surgery]]</f>
        <v>Upper GI</v>
      </c>
      <c r="F169" s="75">
        <f>Table6[[#This Row],[admission_date]]</f>
        <v>43404</v>
      </c>
      <c r="G169" s="75">
        <f>Table6[[#This Row],[admission_date]]</f>
        <v>43404</v>
      </c>
      <c r="H169" s="105">
        <f>Table6[[#This Row],[surgery_duration]]</f>
        <v>0.45833333333333331</v>
      </c>
      <c r="I169" s="73" t="str">
        <f>Table6[[#This Row],[discharge_loc]]</f>
        <v>CCU (Level 3)</v>
      </c>
      <c r="J169" s="75">
        <f>Table6[[#This Row],[discharge_date]]</f>
        <v>0</v>
      </c>
      <c r="K169" s="76">
        <f>Table6[[#This Row],[hospital_stay]]</f>
        <v>-43404</v>
      </c>
      <c r="L169" s="76">
        <f>Table6[[#This Row],[readmit_30]]</f>
        <v>0</v>
      </c>
      <c r="M169" s="77" t="str">
        <f>Table9[[#This Row],[troponin]]</f>
        <v>Not Measured</v>
      </c>
      <c r="N169" s="78">
        <f>Table9[[#This Row],[hb]]</f>
        <v>14.4</v>
      </c>
      <c r="O169" s="78">
        <f>Table9[[#This Row],[creatinine]]</f>
        <v>67</v>
      </c>
      <c r="P169" s="78">
        <f>Table9[[#This Row],[albumin]]</f>
        <v>44</v>
      </c>
      <c r="Q169" s="73" t="str">
        <f>Table9[[#This Row],[chest_physio]]</f>
        <v>Surgery School</v>
      </c>
      <c r="R169" s="73" t="str">
        <f>Table9[[#This Row],[surgery_school]]</f>
        <v>Yes - Hospital Session</v>
      </c>
      <c r="S169" s="75">
        <f>Table9[[#This Row],[date_school]]</f>
        <v>43382</v>
      </c>
      <c r="T169" s="73" t="str">
        <f>Table9[[#This Row],[app_down]]</f>
        <v>No - Have electronic device</v>
      </c>
      <c r="U169" s="73" t="str">
        <f>Table9[[#This Row],[website]]</f>
        <v>No</v>
      </c>
      <c r="V169" s="73" t="str">
        <f>Table9[[#This Row],[base_activity]]</f>
        <v>30mins of moderate activity</v>
      </c>
      <c r="W169" s="73" t="str">
        <f>Table9[[#This Row],[current_activity]]</f>
        <v>30mins of moderate activity</v>
      </c>
      <c r="X169" s="73" t="str">
        <f>Table9[[#This Row],[activity_type]]</f>
        <v xml:space="preserve">Walking regularly </v>
      </c>
      <c r="Y169" s="73" t="str">
        <f>Table9[[#This Row],[anaemia_treat]]</f>
        <v>Not applicable</v>
      </c>
      <c r="Z169" s="78" t="str">
        <f>Table9[[#This Row],[anaesthesia]]</f>
        <v>General with TIVA</v>
      </c>
      <c r="AA169" s="78" t="str">
        <f>Table9[[#This Row],[smoke_hist]]</f>
        <v>Ex-smoker - stopped smoking &lt;=6 months ago</v>
      </c>
      <c r="AB169" s="78" t="str">
        <f>Table9[[#This Row],[smoke_cess]]</f>
        <v>Not applicable</v>
      </c>
      <c r="AC169" s="78" t="str">
        <f>Table9[[#This Row],[tidal_vol]]</f>
        <v>Not recorded</v>
      </c>
      <c r="AD169" s="77" t="str">
        <f>Table11[[#This Row],[inc_spiro]]</f>
        <v>Twice</v>
      </c>
      <c r="AE169" s="73" t="str">
        <f>Table11[[#This Row],[t_brushes]]</f>
        <v>Twice</v>
      </c>
      <c r="AF169" s="78" t="str">
        <f>Table11[[#This Row],[m_washes]]</f>
        <v>Twice</v>
      </c>
      <c r="AG169" s="78" t="str">
        <f>Table11[[#This Row],[iv_disc]]</f>
        <v>No</v>
      </c>
      <c r="AH169" s="78" t="str">
        <f>Table11[[#This Row],[tolerate_15l]]</f>
        <v>Not applicable</v>
      </c>
      <c r="AI169" s="78" t="str">
        <f>Table11[[#This Row],[drinking]]</f>
        <v>Nill by mouth</v>
      </c>
      <c r="AJ169" s="78" t="str">
        <f>Table11[[#This Row],[oral_diet]]</f>
        <v>Nill by mouth</v>
      </c>
      <c r="AK169" s="78" t="str">
        <f>Table11[[#This Row],[mobilised]]</f>
        <v>Yes</v>
      </c>
      <c r="AL169" s="79" t="str">
        <f>Table11[[#This Row],[resp_supp]]</f>
        <v>High flow Facial Mask Oxygen</v>
      </c>
      <c r="AM169" s="78" t="str">
        <f>Table11[[#This Row],[elev_head]]</f>
        <v>Yes</v>
      </c>
      <c r="AN169" s="78" t="str">
        <f>Table13[[#This Row],[in_hospital]]</f>
        <v>Yes</v>
      </c>
      <c r="AO169" s="78" t="str">
        <f>Table13[[#This Row],[location_7]]</f>
        <v>Level 2</v>
      </c>
      <c r="AP169" s="78" t="str">
        <f>Table13[[#This Row],[infec_24]]</f>
        <v>None of the above</v>
      </c>
      <c r="AQ169" s="73" t="str">
        <f>Table13[[#This Row],[infec_7]]</f>
        <v>None</v>
      </c>
      <c r="AR169" s="73" t="str">
        <f>Table13[[#This Row],[gastro]]</f>
        <v>None of the above</v>
      </c>
      <c r="AS169" s="73" t="str">
        <f>Table13[[#This Row],[pulm_supp_24]]</f>
        <v>New requirement for oxygen</v>
      </c>
      <c r="AT169" s="73" t="str">
        <f>Table13[[#This Row],[pulm_supp_7]]</f>
        <v>Moderate</v>
      </c>
      <c r="AU169" s="73" t="str">
        <f>Table13[[#This Row],[pulm_pharm]]</f>
        <v>None</v>
      </c>
      <c r="AV169" s="73" t="str">
        <f>Table13[[#This Row],[cardio_24]]</f>
        <v>None of the above</v>
      </c>
      <c r="AW169" s="73" t="str">
        <f>Table13[[#This Row],[troponin_7]]</f>
        <v>None measured</v>
      </c>
      <c r="AX169" s="73">
        <f>Table13[[#This Row],[creatinine_base]]</f>
        <v>53</v>
      </c>
      <c r="AY169" s="73">
        <f>Table13[[#This Row],[creatinine_high]]</f>
        <v>68</v>
      </c>
      <c r="AZ169" s="73" t="str">
        <f>Table13[[#This Row],[rrt]]</f>
        <v xml:space="preserve">No </v>
      </c>
      <c r="BA169" s="73" t="str">
        <f>Table13[[#This Row],[renal_24]]</f>
        <v>Urethral catheter in-situ (not present pre-operatively)</v>
      </c>
      <c r="BB169" s="73" t="str">
        <f>Table13[[#This Row],[neuro]]</f>
        <v>None of the above</v>
      </c>
      <c r="BC169" s="73" t="str">
        <f>Table13[[#This Row],[wound]]</f>
        <v>None of the above</v>
      </c>
      <c r="BD169" s="73" t="str">
        <f>Table13[[#This Row],[haemato]]</f>
        <v>None of the above</v>
      </c>
      <c r="BE169" s="73" t="str">
        <f>Table13[[#This Row],[pain]]</f>
        <v>Parenteral opioids</v>
      </c>
      <c r="BF169" s="73" t="str">
        <f>Table13[[#This Row],[mobility]]</f>
        <v>No</v>
      </c>
      <c r="BG169" s="79" t="str">
        <f>Table13[[#This Row],[why_inpatient_7]]</f>
        <v>Medical/nursing care</v>
      </c>
      <c r="BH169" s="9">
        <f>Table13[[#This Row],[date_15]]</f>
        <v>0</v>
      </c>
      <c r="BI169">
        <f>Table13[[#This Row],[inpatient_15]]</f>
        <v>0</v>
      </c>
      <c r="BJ169">
        <f>Table13[[#This Row],[comment_15]]</f>
        <v>0</v>
      </c>
      <c r="BK169">
        <f>Table13[[#This Row],[discharge_dest]]</f>
        <v>0</v>
      </c>
      <c r="BL169">
        <f>Table13[[#This Row],[complication]]</f>
        <v>0</v>
      </c>
    </row>
    <row r="170" spans="1:64" ht="18" customHeight="1">
      <c r="A170" s="73" t="str">
        <f>Table5[[#This Row],[comment]]</f>
        <v>surgical pathway not available</v>
      </c>
      <c r="B170" s="73" t="str">
        <f>Table9[[#This Row],[surgeon]]</f>
        <v>Helen Doran</v>
      </c>
      <c r="C170" s="73" t="str">
        <f>Table9[[#This Row],[surgery]]</f>
        <v>Adrenalectomy (unilateral)</v>
      </c>
      <c r="D170" s="74" t="str">
        <f>Table5[[#This Row],[pqip_consent]]</f>
        <v>Yes</v>
      </c>
      <c r="E170" s="73" t="str">
        <f>Table6[[#This Row],[area_surgery]]</f>
        <v>Endocrinology</v>
      </c>
      <c r="F170" s="75">
        <f>Table6[[#This Row],[admission_date]]</f>
        <v>43404</v>
      </c>
      <c r="G170" s="75">
        <f>Table6[[#This Row],[admission_date]]</f>
        <v>43404</v>
      </c>
      <c r="H170" s="105">
        <f>Table6[[#This Row],[surgery_duration]]</f>
        <v>0</v>
      </c>
      <c r="I170" s="73" t="str">
        <f>Table6[[#This Row],[discharge_loc]]</f>
        <v>CCU (Level 3)</v>
      </c>
      <c r="J170" s="75">
        <f>Table6[[#This Row],[discharge_date]]</f>
        <v>43408</v>
      </c>
      <c r="K170" s="76">
        <f>Table6[[#This Row],[hospital_stay]]</f>
        <v>4</v>
      </c>
      <c r="L170" s="76">
        <f>Table6[[#This Row],[readmit_30]]</f>
        <v>0</v>
      </c>
      <c r="M170" s="77" t="str">
        <f>Table9[[#This Row],[troponin]]</f>
        <v>Not Measured</v>
      </c>
      <c r="N170" s="78">
        <f>Table9[[#This Row],[hb]]</f>
        <v>12.4</v>
      </c>
      <c r="O170" s="78">
        <f>Table9[[#This Row],[creatinine]]</f>
        <v>53</v>
      </c>
      <c r="P170" s="78">
        <f>Table9[[#This Row],[albumin]]</f>
        <v>45</v>
      </c>
      <c r="Q170" s="73" t="str">
        <f>Table9[[#This Row],[chest_physio]]</f>
        <v>No</v>
      </c>
      <c r="R170" s="73" t="str">
        <f>Table9[[#This Row],[surgery_school]]</f>
        <v>No - Wasn’t offered it</v>
      </c>
      <c r="S170" s="75">
        <f>Table9[[#This Row],[date_school]]</f>
        <v>0</v>
      </c>
      <c r="T170" s="73" t="str">
        <f>Table9[[#This Row],[app_down]]</f>
        <v>No - Have electronic device</v>
      </c>
      <c r="U170" s="73" t="str">
        <f>Table9[[#This Row],[website]]</f>
        <v>No</v>
      </c>
      <c r="V170" s="73" t="str">
        <f>Table9[[#This Row],[base_activity]]</f>
        <v>No extra activity - Independent in ADLs</v>
      </c>
      <c r="W170" s="73" t="str">
        <f>Table9[[#This Row],[current_activity]]</f>
        <v>No extra activity - Independent in ADLs</v>
      </c>
      <c r="X170" s="73" t="str">
        <f>Table9[[#This Row],[activity_type]]</f>
        <v>None</v>
      </c>
      <c r="Y170" s="73" t="str">
        <f>Table9[[#This Row],[anaemia_treat]]</f>
        <v xml:space="preserve">Oral Iron </v>
      </c>
      <c r="Z170" s="78">
        <f>Table9[[#This Row],[anaesthesia]]</f>
        <v>0</v>
      </c>
      <c r="AA170" s="78" t="str">
        <f>Table9[[#This Row],[smoke_hist]]</f>
        <v>Never smoked</v>
      </c>
      <c r="AB170" s="78" t="str">
        <f>Table9[[#This Row],[smoke_cess]]</f>
        <v>Not applicable</v>
      </c>
      <c r="AC170" s="78" t="str">
        <f>Table9[[#This Row],[tidal_vol]]</f>
        <v>Not recorded</v>
      </c>
      <c r="AD170" s="77" t="str">
        <f>Table11[[#This Row],[inc_spiro]]</f>
        <v>Not given one</v>
      </c>
      <c r="AE170" s="73" t="str">
        <f>Table11[[#This Row],[t_brushes]]</f>
        <v>Twice</v>
      </c>
      <c r="AF170" s="78" t="str">
        <f>Table11[[#This Row],[m_washes]]</f>
        <v>None</v>
      </c>
      <c r="AG170" s="78" t="str">
        <f>Table11[[#This Row],[iv_disc]]</f>
        <v>Yes</v>
      </c>
      <c r="AH170" s="78" t="str">
        <f>Table11[[#This Row],[tolerate_15l]]</f>
        <v>Yes</v>
      </c>
      <c r="AI170" s="78" t="str">
        <f>Table11[[#This Row],[drinking]]</f>
        <v>Yes</v>
      </c>
      <c r="AJ170" s="78" t="str">
        <f>Table11[[#This Row],[oral_diet]]</f>
        <v>No</v>
      </c>
      <c r="AK170" s="78" t="str">
        <f>Table11[[#This Row],[mobilised]]</f>
        <v>Yes</v>
      </c>
      <c r="AL170" s="79" t="str">
        <f>Table11[[#This Row],[resp_supp]]</f>
        <v>None</v>
      </c>
      <c r="AM170" s="78" t="str">
        <f>Table11[[#This Row],[elev_head]]</f>
        <v>Yes</v>
      </c>
      <c r="AN170" s="78" t="str">
        <f>Table13[[#This Row],[in_hospital]]</f>
        <v>No</v>
      </c>
      <c r="AO170" s="78">
        <f>Table13[[#This Row],[location_7]]</f>
        <v>0</v>
      </c>
      <c r="AP170" s="78">
        <f>Table13[[#This Row],[infec_24]]</f>
        <v>0</v>
      </c>
      <c r="AQ170" s="73">
        <f>Table13[[#This Row],[infec_7]]</f>
        <v>0</v>
      </c>
      <c r="AR170" s="73">
        <f>Table13[[#This Row],[gastro]]</f>
        <v>0</v>
      </c>
      <c r="AS170" s="73">
        <f>Table13[[#This Row],[pulm_supp_24]]</f>
        <v>0</v>
      </c>
      <c r="AT170" s="73">
        <f>Table13[[#This Row],[pulm_supp_7]]</f>
        <v>0</v>
      </c>
      <c r="AU170" s="73">
        <f>Table13[[#This Row],[pulm_pharm]]</f>
        <v>0</v>
      </c>
      <c r="AV170" s="73">
        <f>Table13[[#This Row],[cardio_24]]</f>
        <v>0</v>
      </c>
      <c r="AW170" s="73">
        <f>Table13[[#This Row],[troponin_7]]</f>
        <v>0</v>
      </c>
      <c r="AX170" s="73">
        <f>Table13[[#This Row],[creatinine_base]]</f>
        <v>0</v>
      </c>
      <c r="AY170" s="73">
        <f>Table13[[#This Row],[creatinine_high]]</f>
        <v>0</v>
      </c>
      <c r="AZ170" s="73">
        <f>Table13[[#This Row],[rrt]]</f>
        <v>0</v>
      </c>
      <c r="BA170" s="73">
        <f>Table13[[#This Row],[renal_24]]</f>
        <v>0</v>
      </c>
      <c r="BB170" s="73">
        <f>Table13[[#This Row],[neuro]]</f>
        <v>0</v>
      </c>
      <c r="BC170" s="73">
        <f>Table13[[#This Row],[wound]]</f>
        <v>0</v>
      </c>
      <c r="BD170" s="73">
        <f>Table13[[#This Row],[haemato]]</f>
        <v>0</v>
      </c>
      <c r="BE170" s="73">
        <f>Table13[[#This Row],[pain]]</f>
        <v>0</v>
      </c>
      <c r="BF170" s="73">
        <f>Table13[[#This Row],[mobility]]</f>
        <v>0</v>
      </c>
      <c r="BG170" s="79">
        <f>Table13[[#This Row],[why_inpatient_7]]</f>
        <v>0</v>
      </c>
      <c r="BH170" s="9">
        <f>Table13[[#This Row],[date_15]]</f>
        <v>0</v>
      </c>
      <c r="BI170">
        <f>Table13[[#This Row],[inpatient_15]]</f>
        <v>0</v>
      </c>
      <c r="BJ170">
        <f>Table13[[#This Row],[comment_15]]</f>
        <v>0</v>
      </c>
      <c r="BK170" t="str">
        <f>Table13[[#This Row],[discharge_dest]]</f>
        <v>Own Home</v>
      </c>
      <c r="BL170" t="str">
        <f>Table13[[#This Row],[complication]]</f>
        <v>None</v>
      </c>
    </row>
    <row r="171" spans="1:64" ht="18" customHeight="1">
      <c r="A171" s="73" t="str">
        <f>Table5[[#This Row],[comment]]</f>
        <v>cancelled</v>
      </c>
      <c r="B171" s="73" t="str">
        <f>Table9[[#This Row],[surgeon]]</f>
        <v>Bilal Khaffaf</v>
      </c>
      <c r="C171" s="73" t="str">
        <f>Table9[[#This Row],[surgery]]</f>
        <v>Transabdominal anti-reflux operations</v>
      </c>
      <c r="D171" s="74" t="str">
        <f>Table5[[#This Row],[pqip_consent]]</f>
        <v>Yes</v>
      </c>
      <c r="E171" s="73" t="str">
        <f>Table6[[#This Row],[area_surgery]]</f>
        <v>Upper GI</v>
      </c>
      <c r="F171" s="75">
        <f>Table6[[#This Row],[admission_date]]</f>
        <v>43404</v>
      </c>
      <c r="G171" s="75">
        <f>Table6[[#This Row],[admission_date]]</f>
        <v>43404</v>
      </c>
      <c r="H171" s="105">
        <f>Table6[[#This Row],[surgery_duration]]</f>
        <v>0</v>
      </c>
      <c r="I171" s="73" t="str">
        <f>Table6[[#This Row],[discharge_loc]]</f>
        <v>H4</v>
      </c>
      <c r="J171" s="75">
        <f>Table6[[#This Row],[discharge_date]]</f>
        <v>0</v>
      </c>
      <c r="K171" s="76">
        <f>Table6[[#This Row],[hospital_stay]]</f>
        <v>-43404</v>
      </c>
      <c r="L171" s="76">
        <f>Table6[[#This Row],[readmit_30]]</f>
        <v>0</v>
      </c>
      <c r="M171" s="77" t="str">
        <f>Table9[[#This Row],[troponin]]</f>
        <v>Not Measured</v>
      </c>
      <c r="N171" s="78">
        <f>Table9[[#This Row],[hb]]</f>
        <v>12.6</v>
      </c>
      <c r="O171" s="78">
        <f>Table9[[#This Row],[creatinine]]</f>
        <v>54</v>
      </c>
      <c r="P171" s="78" t="str">
        <f>Table9[[#This Row],[albumin]]</f>
        <v>Not Recorded</v>
      </c>
      <c r="Q171" s="73" t="str">
        <f>Table9[[#This Row],[chest_physio]]</f>
        <v>No</v>
      </c>
      <c r="R171" s="73" t="str">
        <f>Table9[[#This Row],[surgery_school]]</f>
        <v>No - Wasn’t offered it</v>
      </c>
      <c r="S171" s="75">
        <f>Table9[[#This Row],[date_school]]</f>
        <v>0</v>
      </c>
      <c r="T171" s="73">
        <f>Table9[[#This Row],[app_down]]</f>
        <v>0</v>
      </c>
      <c r="U171" s="73">
        <f>Table9[[#This Row],[website]]</f>
        <v>0</v>
      </c>
      <c r="V171" s="73">
        <f>Table9[[#This Row],[base_activity]]</f>
        <v>0</v>
      </c>
      <c r="W171" s="73">
        <f>Table9[[#This Row],[current_activity]]</f>
        <v>0</v>
      </c>
      <c r="X171" s="73">
        <f>Table9[[#This Row],[activity_type]]</f>
        <v>0</v>
      </c>
      <c r="Y171" s="73" t="str">
        <f>Table9[[#This Row],[anaemia_treat]]</f>
        <v>Not applicable</v>
      </c>
      <c r="Z171" s="78">
        <f>Table9[[#This Row],[anaesthesia]]</f>
        <v>0</v>
      </c>
      <c r="AA171" s="78" t="str">
        <f>Table9[[#This Row],[smoke_hist]]</f>
        <v>Never smoked</v>
      </c>
      <c r="AB171" s="78" t="str">
        <f>Table9[[#This Row],[smoke_cess]]</f>
        <v>Not applicable</v>
      </c>
      <c r="AC171" s="78" t="str">
        <f>Table9[[#This Row],[tidal_vol]]</f>
        <v>Not recorded</v>
      </c>
      <c r="AD171" s="77">
        <f>Table11[[#This Row],[inc_spiro]]</f>
        <v>0</v>
      </c>
      <c r="AE171" s="73">
        <f>Table11[[#This Row],[t_brushes]]</f>
        <v>0</v>
      </c>
      <c r="AF171" s="78">
        <f>Table11[[#This Row],[m_washes]]</f>
        <v>0</v>
      </c>
      <c r="AG171" s="78">
        <f>Table11[[#This Row],[iv_disc]]</f>
        <v>0</v>
      </c>
      <c r="AH171" s="78">
        <f>Table11[[#This Row],[tolerate_15l]]</f>
        <v>0</v>
      </c>
      <c r="AI171" s="78">
        <f>Table11[[#This Row],[drinking]]</f>
        <v>0</v>
      </c>
      <c r="AJ171" s="78">
        <f>Table11[[#This Row],[oral_diet]]</f>
        <v>0</v>
      </c>
      <c r="AK171" s="78">
        <f>Table11[[#This Row],[mobilised]]</f>
        <v>0</v>
      </c>
      <c r="AL171" s="79">
        <f>Table11[[#This Row],[resp_supp]]</f>
        <v>0</v>
      </c>
      <c r="AM171" s="78">
        <f>Table11[[#This Row],[elev_head]]</f>
        <v>0</v>
      </c>
      <c r="AN171" s="78">
        <f>Table13[[#This Row],[in_hospital]]</f>
        <v>0</v>
      </c>
      <c r="AO171" s="78">
        <f>Table13[[#This Row],[location_7]]</f>
        <v>0</v>
      </c>
      <c r="AP171" s="78">
        <f>Table13[[#This Row],[infec_24]]</f>
        <v>0</v>
      </c>
      <c r="AQ171" s="73">
        <f>Table13[[#This Row],[infec_7]]</f>
        <v>0</v>
      </c>
      <c r="AR171" s="73">
        <f>Table13[[#This Row],[gastro]]</f>
        <v>0</v>
      </c>
      <c r="AS171" s="73">
        <f>Table13[[#This Row],[pulm_supp_24]]</f>
        <v>0</v>
      </c>
      <c r="AT171" s="73">
        <f>Table13[[#This Row],[pulm_supp_7]]</f>
        <v>0</v>
      </c>
      <c r="AU171" s="73">
        <f>Table13[[#This Row],[pulm_pharm]]</f>
        <v>0</v>
      </c>
      <c r="AV171" s="73">
        <f>Table13[[#This Row],[cardio_24]]</f>
        <v>0</v>
      </c>
      <c r="AW171" s="73">
        <f>Table13[[#This Row],[troponin_7]]</f>
        <v>0</v>
      </c>
      <c r="AX171" s="73">
        <f>Table13[[#This Row],[creatinine_base]]</f>
        <v>0</v>
      </c>
      <c r="AY171" s="73">
        <f>Table13[[#This Row],[creatinine_high]]</f>
        <v>0</v>
      </c>
      <c r="AZ171" s="73">
        <f>Table13[[#This Row],[rrt]]</f>
        <v>0</v>
      </c>
      <c r="BA171" s="73">
        <f>Table13[[#This Row],[renal_24]]</f>
        <v>0</v>
      </c>
      <c r="BB171" s="73">
        <f>Table13[[#This Row],[neuro]]</f>
        <v>0</v>
      </c>
      <c r="BC171" s="73">
        <f>Table13[[#This Row],[wound]]</f>
        <v>0</v>
      </c>
      <c r="BD171" s="73">
        <f>Table13[[#This Row],[haemato]]</f>
        <v>0</v>
      </c>
      <c r="BE171" s="73">
        <f>Table13[[#This Row],[pain]]</f>
        <v>0</v>
      </c>
      <c r="BF171" s="73">
        <f>Table13[[#This Row],[mobility]]</f>
        <v>0</v>
      </c>
      <c r="BG171" s="79">
        <f>Table13[[#This Row],[why_inpatient_7]]</f>
        <v>0</v>
      </c>
      <c r="BH171" s="9">
        <f>Table13[[#This Row],[date_15]]</f>
        <v>0</v>
      </c>
      <c r="BI171">
        <f>Table13[[#This Row],[inpatient_15]]</f>
        <v>0</v>
      </c>
      <c r="BJ171">
        <f>Table13[[#This Row],[comment_15]]</f>
        <v>0</v>
      </c>
      <c r="BK171">
        <f>Table13[[#This Row],[discharge_dest]]</f>
        <v>0</v>
      </c>
      <c r="BL171">
        <f>Table13[[#This Row],[complication]]</f>
        <v>0</v>
      </c>
    </row>
    <row r="172" spans="1:64" ht="18" customHeight="1">
      <c r="A172" s="73">
        <f>Table5[[#This Row],[comment]]</f>
        <v>0</v>
      </c>
      <c r="B172" s="73" t="str">
        <f>Table9[[#This Row],[surgeon]]</f>
        <v>Jonathan Epstein</v>
      </c>
      <c r="C172" s="73" t="str">
        <f>Table9[[#This Row],[surgery]]</f>
        <v>Anterior resection</v>
      </c>
      <c r="D172" s="74" t="str">
        <f>Table5[[#This Row],[pqip_consent]]</f>
        <v>No</v>
      </c>
      <c r="E172" s="73" t="str">
        <f>Table6[[#This Row],[area_surgery]]</f>
        <v>Lower GI</v>
      </c>
      <c r="F172" s="75">
        <f>Table6[[#This Row],[admission_date]]</f>
        <v>43404</v>
      </c>
      <c r="G172" s="75">
        <f>Table6[[#This Row],[admission_date]]</f>
        <v>43404</v>
      </c>
      <c r="H172" s="105">
        <f>Table6[[#This Row],[surgery_duration]]</f>
        <v>0.23958333333333334</v>
      </c>
      <c r="I172" s="73" t="str">
        <f>Table6[[#This Row],[discharge_loc]]</f>
        <v>CCU (Level 3)</v>
      </c>
      <c r="J172" s="75">
        <f>Table6[[#This Row],[discharge_date]]</f>
        <v>43409</v>
      </c>
      <c r="K172" s="76">
        <f>Table6[[#This Row],[hospital_stay]]</f>
        <v>5</v>
      </c>
      <c r="L172" s="76">
        <f>Table6[[#This Row],[readmit_30]]</f>
        <v>0</v>
      </c>
      <c r="M172" s="77" t="str">
        <f>Table9[[#This Row],[troponin]]</f>
        <v>Not Measured</v>
      </c>
      <c r="N172" s="78">
        <f>Table9[[#This Row],[hb]]</f>
        <v>13.7</v>
      </c>
      <c r="O172" s="78">
        <f>Table9[[#This Row],[creatinine]]</f>
        <v>81</v>
      </c>
      <c r="P172" s="78">
        <f>Table9[[#This Row],[albumin]]</f>
        <v>46</v>
      </c>
      <c r="Q172" s="73" t="str">
        <f>Table9[[#This Row],[chest_physio]]</f>
        <v>Surgery School</v>
      </c>
      <c r="R172" s="73" t="str">
        <f>Table9[[#This Row],[surgery_school]]</f>
        <v>Yes - Hospital Session</v>
      </c>
      <c r="S172" s="75">
        <f>Table9[[#This Row],[date_school]]</f>
        <v>43391</v>
      </c>
      <c r="T172" s="73" t="str">
        <f>Table9[[#This Row],[app_down]]</f>
        <v>No - No electronic device</v>
      </c>
      <c r="U172" s="73" t="str">
        <f>Table9[[#This Row],[website]]</f>
        <v>No</v>
      </c>
      <c r="V172" s="73" t="str">
        <f>Table9[[#This Row],[base_activity]]</f>
        <v>No extra activity - Independent in ADLs</v>
      </c>
      <c r="W172" s="73" t="str">
        <f>Table9[[#This Row],[current_activity]]</f>
        <v>No extra activity - Independent in ADLs</v>
      </c>
      <c r="X172" s="73" t="str">
        <f>Table9[[#This Row],[activity_type]]</f>
        <v>None</v>
      </c>
      <c r="Y172" s="73" t="str">
        <f>Table9[[#This Row],[anaemia_treat]]</f>
        <v>Blood transfusion</v>
      </c>
      <c r="Z172" s="78" t="str">
        <f>Table9[[#This Row],[anaesthesia]]</f>
        <v>General with Inhalational</v>
      </c>
      <c r="AA172" s="78" t="str">
        <f>Table9[[#This Row],[smoke_hist]]</f>
        <v>Never smoked</v>
      </c>
      <c r="AB172" s="78" t="str">
        <f>Table9[[#This Row],[smoke_cess]]</f>
        <v>Not applicable</v>
      </c>
      <c r="AC172" s="78" t="str">
        <f>Table9[[#This Row],[tidal_vol]]</f>
        <v>Not recorded</v>
      </c>
      <c r="AD172" s="77" t="str">
        <f>Table11[[#This Row],[inc_spiro]]</f>
        <v>Not given one</v>
      </c>
      <c r="AE172" s="73" t="str">
        <f>Table11[[#This Row],[t_brushes]]</f>
        <v>Twice</v>
      </c>
      <c r="AF172" s="78" t="str">
        <f>Table11[[#This Row],[m_washes]]</f>
        <v>Twice</v>
      </c>
      <c r="AG172" s="78" t="str">
        <f>Table11[[#This Row],[iv_disc]]</f>
        <v>No</v>
      </c>
      <c r="AH172" s="78" t="str">
        <f>Table11[[#This Row],[tolerate_15l]]</f>
        <v>No</v>
      </c>
      <c r="AI172" s="78" t="str">
        <f>Table11[[#This Row],[drinking]]</f>
        <v>Yes</v>
      </c>
      <c r="AJ172" s="78" t="str">
        <f>Table11[[#This Row],[oral_diet]]</f>
        <v>Yes</v>
      </c>
      <c r="AK172" s="78" t="str">
        <f>Table11[[#This Row],[mobilised]]</f>
        <v>Yes</v>
      </c>
      <c r="AL172" s="79" t="str">
        <f>Table11[[#This Row],[resp_supp]]</f>
        <v>None</v>
      </c>
      <c r="AM172" s="78" t="str">
        <f>Table11[[#This Row],[elev_head]]</f>
        <v>Yes</v>
      </c>
      <c r="AN172" s="78" t="str">
        <f>Table13[[#This Row],[in_hospital]]</f>
        <v>No</v>
      </c>
      <c r="AO172" s="78">
        <f>Table13[[#This Row],[location_7]]</f>
        <v>0</v>
      </c>
      <c r="AP172" s="78">
        <f>Table13[[#This Row],[infec_24]]</f>
        <v>0</v>
      </c>
      <c r="AQ172" s="73">
        <f>Table13[[#This Row],[infec_7]]</f>
        <v>0</v>
      </c>
      <c r="AR172" s="73">
        <f>Table13[[#This Row],[gastro]]</f>
        <v>0</v>
      </c>
      <c r="AS172" s="73">
        <f>Table13[[#This Row],[pulm_supp_24]]</f>
        <v>0</v>
      </c>
      <c r="AT172" s="73">
        <f>Table13[[#This Row],[pulm_supp_7]]</f>
        <v>0</v>
      </c>
      <c r="AU172" s="73">
        <f>Table13[[#This Row],[pulm_pharm]]</f>
        <v>0</v>
      </c>
      <c r="AV172" s="73">
        <f>Table13[[#This Row],[cardio_24]]</f>
        <v>0</v>
      </c>
      <c r="AW172" s="73">
        <f>Table13[[#This Row],[troponin_7]]</f>
        <v>0</v>
      </c>
      <c r="AX172" s="73">
        <f>Table13[[#This Row],[creatinine_base]]</f>
        <v>0</v>
      </c>
      <c r="AY172" s="73">
        <f>Table13[[#This Row],[creatinine_high]]</f>
        <v>0</v>
      </c>
      <c r="AZ172" s="73">
        <f>Table13[[#This Row],[rrt]]</f>
        <v>0</v>
      </c>
      <c r="BA172" s="73">
        <f>Table13[[#This Row],[renal_24]]</f>
        <v>0</v>
      </c>
      <c r="BB172" s="73">
        <f>Table13[[#This Row],[neuro]]</f>
        <v>0</v>
      </c>
      <c r="BC172" s="73">
        <f>Table13[[#This Row],[wound]]</f>
        <v>0</v>
      </c>
      <c r="BD172" s="73">
        <f>Table13[[#This Row],[haemato]]</f>
        <v>0</v>
      </c>
      <c r="BE172" s="73">
        <f>Table13[[#This Row],[pain]]</f>
        <v>0</v>
      </c>
      <c r="BF172" s="73">
        <f>Table13[[#This Row],[mobility]]</f>
        <v>0</v>
      </c>
      <c r="BG172" s="79">
        <f>Table13[[#This Row],[why_inpatient_7]]</f>
        <v>0</v>
      </c>
      <c r="BH172" s="9">
        <f>Table13[[#This Row],[date_15]]</f>
        <v>0</v>
      </c>
      <c r="BI172">
        <f>Table13[[#This Row],[inpatient_15]]</f>
        <v>0</v>
      </c>
      <c r="BJ172">
        <f>Table13[[#This Row],[comment_15]]</f>
        <v>0</v>
      </c>
      <c r="BK172" t="str">
        <f>Table13[[#This Row],[discharge_dest]]</f>
        <v>Own Home</v>
      </c>
      <c r="BL172" t="str">
        <f>Table13[[#This Row],[complication]]</f>
        <v>II</v>
      </c>
    </row>
    <row r="173" spans="1:64" ht="18" customHeight="1">
      <c r="A173" s="73" t="str">
        <f>Table5[[#This Row],[comment]]</f>
        <v>cancelled</v>
      </c>
      <c r="B173" s="73" t="str">
        <f>Table9[[#This Row],[surgeon]]</f>
        <v>Clare Mason</v>
      </c>
      <c r="C173" s="73" t="str">
        <f>Table9[[#This Row],[surgery]]</f>
        <v>Right hemicolectomy (with ileostomy)</v>
      </c>
      <c r="D173" s="74" t="str">
        <f>Table5[[#This Row],[pqip_consent]]</f>
        <v>Yes</v>
      </c>
      <c r="E173" s="73" t="str">
        <f>Table6[[#This Row],[area_surgery]]</f>
        <v>Lower GI</v>
      </c>
      <c r="F173" s="75">
        <f>Table6[[#This Row],[admission_date]]</f>
        <v>43405</v>
      </c>
      <c r="G173" s="75">
        <f>Table6[[#This Row],[admission_date]]</f>
        <v>43405</v>
      </c>
      <c r="H173" s="105">
        <f>Table6[[#This Row],[surgery_duration]]</f>
        <v>0</v>
      </c>
      <c r="I173" s="73" t="str">
        <f>Table6[[#This Row],[discharge_loc]]</f>
        <v>H6</v>
      </c>
      <c r="J173" s="75">
        <f>Table6[[#This Row],[discharge_date]]</f>
        <v>0</v>
      </c>
      <c r="K173" s="76">
        <f>Table6[[#This Row],[hospital_stay]]</f>
        <v>-43405</v>
      </c>
      <c r="L173" s="76">
        <f>Table6[[#This Row],[readmit_30]]</f>
        <v>0</v>
      </c>
      <c r="M173" s="77" t="str">
        <f>Table9[[#This Row],[troponin]]</f>
        <v>Not Measured</v>
      </c>
      <c r="N173" s="78">
        <f>Table9[[#This Row],[hb]]</f>
        <v>9.6999999999999993</v>
      </c>
      <c r="O173" s="78">
        <f>Table9[[#This Row],[creatinine]]</f>
        <v>66</v>
      </c>
      <c r="P173" s="78">
        <f>Table9[[#This Row],[albumin]]</f>
        <v>41</v>
      </c>
      <c r="Q173" s="73" t="str">
        <f>Table9[[#This Row],[chest_physio]]</f>
        <v>No</v>
      </c>
      <c r="R173" s="73" t="str">
        <f>Table9[[#This Row],[surgery_school]]</f>
        <v>No - Wasn’t offered it</v>
      </c>
      <c r="S173" s="75">
        <f>Table9[[#This Row],[date_school]]</f>
        <v>0</v>
      </c>
      <c r="T173" s="73" t="str">
        <f>Table9[[#This Row],[app_down]]</f>
        <v>No - Have electronic device</v>
      </c>
      <c r="U173" s="73" t="str">
        <f>Table9[[#This Row],[website]]</f>
        <v>No</v>
      </c>
      <c r="V173" s="73" t="str">
        <f>Table9[[#This Row],[base_activity]]</f>
        <v>30mins of moderate activity</v>
      </c>
      <c r="W173" s="73" t="str">
        <f>Table9[[#This Row],[current_activity]]</f>
        <v>30mins of moderate activity</v>
      </c>
      <c r="X173" s="73" t="str">
        <f>Table9[[#This Row],[activity_type]]</f>
        <v xml:space="preserve">Walking regularly </v>
      </c>
      <c r="Y173" s="73" t="str">
        <f>Table9[[#This Row],[anaemia_treat]]</f>
        <v>Intravenous Iron</v>
      </c>
      <c r="Z173" s="78">
        <f>Table9[[#This Row],[anaesthesia]]</f>
        <v>0</v>
      </c>
      <c r="AA173" s="78" t="str">
        <f>Table9[[#This Row],[smoke_hist]]</f>
        <v>Ex-smoker - stopped smoking &gt; 6months ago</v>
      </c>
      <c r="AB173" s="78" t="str">
        <f>Table9[[#This Row],[smoke_cess]]</f>
        <v>Not applicable</v>
      </c>
      <c r="AC173" s="78" t="str">
        <f>Table9[[#This Row],[tidal_vol]]</f>
        <v>Not recorded</v>
      </c>
      <c r="AD173" s="77">
        <f>Table11[[#This Row],[inc_spiro]]</f>
        <v>0</v>
      </c>
      <c r="AE173" s="73">
        <f>Table11[[#This Row],[t_brushes]]</f>
        <v>0</v>
      </c>
      <c r="AF173" s="78">
        <f>Table11[[#This Row],[m_washes]]</f>
        <v>0</v>
      </c>
      <c r="AG173" s="78">
        <f>Table11[[#This Row],[iv_disc]]</f>
        <v>0</v>
      </c>
      <c r="AH173" s="78">
        <f>Table11[[#This Row],[tolerate_15l]]</f>
        <v>0</v>
      </c>
      <c r="AI173" s="78">
        <f>Table11[[#This Row],[drinking]]</f>
        <v>0</v>
      </c>
      <c r="AJ173" s="78">
        <f>Table11[[#This Row],[oral_diet]]</f>
        <v>0</v>
      </c>
      <c r="AK173" s="78">
        <f>Table11[[#This Row],[mobilised]]</f>
        <v>0</v>
      </c>
      <c r="AL173" s="79">
        <f>Table11[[#This Row],[resp_supp]]</f>
        <v>0</v>
      </c>
      <c r="AM173" s="78">
        <f>Table11[[#This Row],[elev_head]]</f>
        <v>0</v>
      </c>
      <c r="AN173" s="78">
        <f>Table13[[#This Row],[in_hospital]]</f>
        <v>0</v>
      </c>
      <c r="AO173" s="78">
        <f>Table13[[#This Row],[location_7]]</f>
        <v>0</v>
      </c>
      <c r="AP173" s="78">
        <f>Table13[[#This Row],[infec_24]]</f>
        <v>0</v>
      </c>
      <c r="AQ173" s="73">
        <f>Table13[[#This Row],[infec_7]]</f>
        <v>0</v>
      </c>
      <c r="AR173" s="73">
        <f>Table13[[#This Row],[gastro]]</f>
        <v>0</v>
      </c>
      <c r="AS173" s="73">
        <f>Table13[[#This Row],[pulm_supp_24]]</f>
        <v>0</v>
      </c>
      <c r="AT173" s="73">
        <f>Table13[[#This Row],[pulm_supp_7]]</f>
        <v>0</v>
      </c>
      <c r="AU173" s="73">
        <f>Table13[[#This Row],[pulm_pharm]]</f>
        <v>0</v>
      </c>
      <c r="AV173" s="73">
        <f>Table13[[#This Row],[cardio_24]]</f>
        <v>0</v>
      </c>
      <c r="AW173" s="73">
        <f>Table13[[#This Row],[troponin_7]]</f>
        <v>0</v>
      </c>
      <c r="AX173" s="73">
        <f>Table13[[#This Row],[creatinine_base]]</f>
        <v>0</v>
      </c>
      <c r="AY173" s="73">
        <f>Table13[[#This Row],[creatinine_high]]</f>
        <v>0</v>
      </c>
      <c r="AZ173" s="73">
        <f>Table13[[#This Row],[rrt]]</f>
        <v>0</v>
      </c>
      <c r="BA173" s="73">
        <f>Table13[[#This Row],[renal_24]]</f>
        <v>0</v>
      </c>
      <c r="BB173" s="73">
        <f>Table13[[#This Row],[neuro]]</f>
        <v>0</v>
      </c>
      <c r="BC173" s="73">
        <f>Table13[[#This Row],[wound]]</f>
        <v>0</v>
      </c>
      <c r="BD173" s="73">
        <f>Table13[[#This Row],[haemato]]</f>
        <v>0</v>
      </c>
      <c r="BE173" s="73">
        <f>Table13[[#This Row],[pain]]</f>
        <v>0</v>
      </c>
      <c r="BF173" s="73">
        <f>Table13[[#This Row],[mobility]]</f>
        <v>0</v>
      </c>
      <c r="BG173" s="79">
        <f>Table13[[#This Row],[why_inpatient_7]]</f>
        <v>0</v>
      </c>
      <c r="BH173" s="9">
        <f>Table13[[#This Row],[date_15]]</f>
        <v>0</v>
      </c>
      <c r="BI173">
        <f>Table13[[#This Row],[inpatient_15]]</f>
        <v>0</v>
      </c>
      <c r="BJ173">
        <f>Table13[[#This Row],[comment_15]]</f>
        <v>0</v>
      </c>
      <c r="BK173">
        <f>Table13[[#This Row],[discharge_dest]]</f>
        <v>0</v>
      </c>
      <c r="BL173">
        <f>Table13[[#This Row],[complication]]</f>
        <v>0</v>
      </c>
    </row>
    <row r="174" spans="1:64" ht="18" customHeight="1">
      <c r="A174" s="73" t="str">
        <f>Table5[[#This Row],[comment]]</f>
        <v>cancelled</v>
      </c>
      <c r="B174" s="73" t="str">
        <f>Table9[[#This Row],[surgeon]]</f>
        <v>Javed Sultan</v>
      </c>
      <c r="C174" s="73" t="str">
        <f>Table9[[#This Row],[surgery]]</f>
        <v>Reversal of Hartmann's procedure</v>
      </c>
      <c r="D174" s="74" t="str">
        <f>Table5[[#This Row],[pqip_consent]]</f>
        <v>Yes</v>
      </c>
      <c r="E174" s="73" t="str">
        <f>Table6[[#This Row],[area_surgery]]</f>
        <v>Lower GI</v>
      </c>
      <c r="F174" s="75">
        <f>Table6[[#This Row],[admission_date]]</f>
        <v>43405</v>
      </c>
      <c r="G174" s="75">
        <f>Table6[[#This Row],[admission_date]]</f>
        <v>43405</v>
      </c>
      <c r="H174" s="105">
        <f>Table6[[#This Row],[surgery_duration]]</f>
        <v>0</v>
      </c>
      <c r="I174" s="73" t="str">
        <f>Table6[[#This Row],[discharge_loc]]</f>
        <v>H6</v>
      </c>
      <c r="J174" s="75">
        <f>Table6[[#This Row],[discharge_date]]</f>
        <v>0</v>
      </c>
      <c r="K174" s="76">
        <f>Table6[[#This Row],[hospital_stay]]</f>
        <v>-43405</v>
      </c>
      <c r="L174" s="76">
        <f>Table6[[#This Row],[readmit_30]]</f>
        <v>0</v>
      </c>
      <c r="M174" s="77" t="str">
        <f>Table9[[#This Row],[troponin]]</f>
        <v>Not Measured</v>
      </c>
      <c r="N174" s="78">
        <f>Table9[[#This Row],[hb]]</f>
        <v>13.8</v>
      </c>
      <c r="O174" s="78">
        <f>Table9[[#This Row],[creatinine]]</f>
        <v>85</v>
      </c>
      <c r="P174" s="78">
        <f>Table9[[#This Row],[albumin]]</f>
        <v>45</v>
      </c>
      <c r="Q174" s="73" t="str">
        <f>Table9[[#This Row],[chest_physio]]</f>
        <v>No</v>
      </c>
      <c r="R174" s="73" t="str">
        <f>Table9[[#This Row],[surgery_school]]</f>
        <v>No - Wasn’t offered it</v>
      </c>
      <c r="S174" s="75">
        <f>Table9[[#This Row],[date_school]]</f>
        <v>0</v>
      </c>
      <c r="T174" s="73">
        <f>Table9[[#This Row],[app_down]]</f>
        <v>0</v>
      </c>
      <c r="U174" s="73">
        <f>Table9[[#This Row],[website]]</f>
        <v>0</v>
      </c>
      <c r="V174" s="73">
        <f>Table9[[#This Row],[base_activity]]</f>
        <v>0</v>
      </c>
      <c r="W174" s="73">
        <f>Table9[[#This Row],[current_activity]]</f>
        <v>0</v>
      </c>
      <c r="X174" s="73">
        <f>Table9[[#This Row],[activity_type]]</f>
        <v>0</v>
      </c>
      <c r="Y174" s="73" t="str">
        <f>Table9[[#This Row],[anaemia_treat]]</f>
        <v>Not applicable</v>
      </c>
      <c r="Z174" s="78">
        <f>Table9[[#This Row],[anaesthesia]]</f>
        <v>0</v>
      </c>
      <c r="AA174" s="78" t="str">
        <f>Table9[[#This Row],[smoke_hist]]</f>
        <v>Current smoker</v>
      </c>
      <c r="AB174" s="78" t="str">
        <f>Table9[[#This Row],[smoke_cess]]</f>
        <v>Not known</v>
      </c>
      <c r="AC174" s="78" t="str">
        <f>Table9[[#This Row],[tidal_vol]]</f>
        <v>Not recorded</v>
      </c>
      <c r="AD174" s="77">
        <f>Table11[[#This Row],[inc_spiro]]</f>
        <v>0</v>
      </c>
      <c r="AE174" s="73">
        <f>Table11[[#This Row],[t_brushes]]</f>
        <v>0</v>
      </c>
      <c r="AF174" s="78">
        <f>Table11[[#This Row],[m_washes]]</f>
        <v>0</v>
      </c>
      <c r="AG174" s="78">
        <f>Table11[[#This Row],[iv_disc]]</f>
        <v>0</v>
      </c>
      <c r="AH174" s="78">
        <f>Table11[[#This Row],[tolerate_15l]]</f>
        <v>0</v>
      </c>
      <c r="AI174" s="78">
        <f>Table11[[#This Row],[drinking]]</f>
        <v>0</v>
      </c>
      <c r="AJ174" s="78">
        <f>Table11[[#This Row],[oral_diet]]</f>
        <v>0</v>
      </c>
      <c r="AK174" s="78">
        <f>Table11[[#This Row],[mobilised]]</f>
        <v>0</v>
      </c>
      <c r="AL174" s="79">
        <f>Table11[[#This Row],[resp_supp]]</f>
        <v>0</v>
      </c>
      <c r="AM174" s="78">
        <f>Table11[[#This Row],[elev_head]]</f>
        <v>0</v>
      </c>
      <c r="AN174" s="78">
        <f>Table13[[#This Row],[in_hospital]]</f>
        <v>0</v>
      </c>
      <c r="AO174" s="78">
        <f>Table13[[#This Row],[location_7]]</f>
        <v>0</v>
      </c>
      <c r="AP174" s="78">
        <f>Table13[[#This Row],[infec_24]]</f>
        <v>0</v>
      </c>
      <c r="AQ174" s="73">
        <f>Table13[[#This Row],[infec_7]]</f>
        <v>0</v>
      </c>
      <c r="AR174" s="73">
        <f>Table13[[#This Row],[gastro]]</f>
        <v>0</v>
      </c>
      <c r="AS174" s="73">
        <f>Table13[[#This Row],[pulm_supp_24]]</f>
        <v>0</v>
      </c>
      <c r="AT174" s="73">
        <f>Table13[[#This Row],[pulm_supp_7]]</f>
        <v>0</v>
      </c>
      <c r="AU174" s="73">
        <f>Table13[[#This Row],[pulm_pharm]]</f>
        <v>0</v>
      </c>
      <c r="AV174" s="73">
        <f>Table13[[#This Row],[cardio_24]]</f>
        <v>0</v>
      </c>
      <c r="AW174" s="73">
        <f>Table13[[#This Row],[troponin_7]]</f>
        <v>0</v>
      </c>
      <c r="AX174" s="73">
        <f>Table13[[#This Row],[creatinine_base]]</f>
        <v>0</v>
      </c>
      <c r="AY174" s="73">
        <f>Table13[[#This Row],[creatinine_high]]</f>
        <v>0</v>
      </c>
      <c r="AZ174" s="73">
        <f>Table13[[#This Row],[rrt]]</f>
        <v>0</v>
      </c>
      <c r="BA174" s="73">
        <f>Table13[[#This Row],[renal_24]]</f>
        <v>0</v>
      </c>
      <c r="BB174" s="73">
        <f>Table13[[#This Row],[neuro]]</f>
        <v>0</v>
      </c>
      <c r="BC174" s="73">
        <f>Table13[[#This Row],[wound]]</f>
        <v>0</v>
      </c>
      <c r="BD174" s="73">
        <f>Table13[[#This Row],[haemato]]</f>
        <v>0</v>
      </c>
      <c r="BE174" s="73">
        <f>Table13[[#This Row],[pain]]</f>
        <v>0</v>
      </c>
      <c r="BF174" s="73">
        <f>Table13[[#This Row],[mobility]]</f>
        <v>0</v>
      </c>
      <c r="BG174" s="79">
        <f>Table13[[#This Row],[why_inpatient_7]]</f>
        <v>0</v>
      </c>
      <c r="BH174" s="9">
        <f>Table13[[#This Row],[date_15]]</f>
        <v>0</v>
      </c>
      <c r="BI174">
        <f>Table13[[#This Row],[inpatient_15]]</f>
        <v>0</v>
      </c>
      <c r="BJ174">
        <f>Table13[[#This Row],[comment_15]]</f>
        <v>0</v>
      </c>
      <c r="BK174">
        <f>Table13[[#This Row],[discharge_dest]]</f>
        <v>0</v>
      </c>
      <c r="BL174">
        <f>Table13[[#This Row],[complication]]</f>
        <v>0</v>
      </c>
    </row>
    <row r="175" spans="1:64" ht="18" customHeight="1">
      <c r="A175" s="73" t="str">
        <f>Table5[[#This Row],[comment]]</f>
        <v>cancelled</v>
      </c>
      <c r="B175" s="73" t="str">
        <f>Table9[[#This Row],[surgeon]]</f>
        <v>Satish Maddineni</v>
      </c>
      <c r="C175" s="73" t="str">
        <f>Table9[[#This Row],[surgery]]</f>
        <v>Nephrectomy (non-transplant)</v>
      </c>
      <c r="D175" s="74">
        <f>Table5[[#This Row],[pqip_consent]]</f>
        <v>0</v>
      </c>
      <c r="E175" s="73" t="str">
        <f>Table6[[#This Row],[area_surgery]]</f>
        <v>Urology</v>
      </c>
      <c r="F175" s="75">
        <f>Table6[[#This Row],[admission_date]]</f>
        <v>43405</v>
      </c>
      <c r="G175" s="75">
        <f>Table6[[#This Row],[admission_date]]</f>
        <v>43405</v>
      </c>
      <c r="H175" s="105">
        <f>Table6[[#This Row],[surgery_duration]]</f>
        <v>0</v>
      </c>
      <c r="I175" s="73" t="str">
        <f>Table6[[#This Row],[discharge_loc]]</f>
        <v>H6</v>
      </c>
      <c r="J175" s="75">
        <f>Table6[[#This Row],[discharge_date]]</f>
        <v>0</v>
      </c>
      <c r="K175" s="76">
        <f>Table6[[#This Row],[hospital_stay]]</f>
        <v>-43405</v>
      </c>
      <c r="L175" s="76">
        <f>Table6[[#This Row],[readmit_30]]</f>
        <v>0</v>
      </c>
      <c r="M175" s="77" t="str">
        <f>Table9[[#This Row],[troponin]]</f>
        <v>Not Measured</v>
      </c>
      <c r="N175" s="78">
        <f>Table9[[#This Row],[hb]]</f>
        <v>13.5</v>
      </c>
      <c r="O175" s="78">
        <f>Table9[[#This Row],[creatinine]]</f>
        <v>101</v>
      </c>
      <c r="P175" s="78">
        <f>Table9[[#This Row],[albumin]]</f>
        <v>46</v>
      </c>
      <c r="Q175" s="73" t="str">
        <f>Table9[[#This Row],[chest_physio]]</f>
        <v>Surgery School</v>
      </c>
      <c r="R175" s="73" t="str">
        <f>Table9[[#This Row],[surgery_school]]</f>
        <v>Yes - Hospital Session</v>
      </c>
      <c r="S175" s="75">
        <f>Table9[[#This Row],[date_school]]</f>
        <v>43269</v>
      </c>
      <c r="T175" s="73">
        <f>Table9[[#This Row],[app_down]]</f>
        <v>0</v>
      </c>
      <c r="U175" s="73">
        <f>Table9[[#This Row],[website]]</f>
        <v>0</v>
      </c>
      <c r="V175" s="73">
        <f>Table9[[#This Row],[base_activity]]</f>
        <v>0</v>
      </c>
      <c r="W175" s="73">
        <f>Table9[[#This Row],[current_activity]]</f>
        <v>0</v>
      </c>
      <c r="X175" s="73">
        <f>Table9[[#This Row],[activity_type]]</f>
        <v>0</v>
      </c>
      <c r="Y175" s="73" t="str">
        <f>Table9[[#This Row],[anaemia_treat]]</f>
        <v>Not applicable</v>
      </c>
      <c r="Z175" s="78">
        <f>Table9[[#This Row],[anaesthesia]]</f>
        <v>0</v>
      </c>
      <c r="AA175" s="78" t="str">
        <f>Table9[[#This Row],[smoke_hist]]</f>
        <v>Never smoked</v>
      </c>
      <c r="AB175" s="78" t="str">
        <f>Table9[[#This Row],[smoke_cess]]</f>
        <v>Not applicable</v>
      </c>
      <c r="AC175" s="78" t="str">
        <f>Table9[[#This Row],[tidal_vol]]</f>
        <v>Not recorded</v>
      </c>
      <c r="AD175" s="77">
        <f>Table11[[#This Row],[inc_spiro]]</f>
        <v>0</v>
      </c>
      <c r="AE175" s="73">
        <f>Table11[[#This Row],[t_brushes]]</f>
        <v>0</v>
      </c>
      <c r="AF175" s="78">
        <f>Table11[[#This Row],[m_washes]]</f>
        <v>0</v>
      </c>
      <c r="AG175" s="78">
        <f>Table11[[#This Row],[iv_disc]]</f>
        <v>0</v>
      </c>
      <c r="AH175" s="78">
        <f>Table11[[#This Row],[tolerate_15l]]</f>
        <v>0</v>
      </c>
      <c r="AI175" s="78">
        <f>Table11[[#This Row],[drinking]]</f>
        <v>0</v>
      </c>
      <c r="AJ175" s="78">
        <f>Table11[[#This Row],[oral_diet]]</f>
        <v>0</v>
      </c>
      <c r="AK175" s="78">
        <f>Table11[[#This Row],[mobilised]]</f>
        <v>0</v>
      </c>
      <c r="AL175" s="79">
        <f>Table11[[#This Row],[resp_supp]]</f>
        <v>0</v>
      </c>
      <c r="AM175" s="78">
        <f>Table11[[#This Row],[elev_head]]</f>
        <v>0</v>
      </c>
      <c r="AN175" s="78">
        <f>Table13[[#This Row],[in_hospital]]</f>
        <v>0</v>
      </c>
      <c r="AO175" s="78">
        <f>Table13[[#This Row],[location_7]]</f>
        <v>0</v>
      </c>
      <c r="AP175" s="78">
        <f>Table13[[#This Row],[infec_24]]</f>
        <v>0</v>
      </c>
      <c r="AQ175" s="73">
        <f>Table13[[#This Row],[infec_7]]</f>
        <v>0</v>
      </c>
      <c r="AR175" s="73">
        <f>Table13[[#This Row],[gastro]]</f>
        <v>0</v>
      </c>
      <c r="AS175" s="73">
        <f>Table13[[#This Row],[pulm_supp_24]]</f>
        <v>0</v>
      </c>
      <c r="AT175" s="73">
        <f>Table13[[#This Row],[pulm_supp_7]]</f>
        <v>0</v>
      </c>
      <c r="AU175" s="73">
        <f>Table13[[#This Row],[pulm_pharm]]</f>
        <v>0</v>
      </c>
      <c r="AV175" s="73">
        <f>Table13[[#This Row],[cardio_24]]</f>
        <v>0</v>
      </c>
      <c r="AW175" s="73">
        <f>Table13[[#This Row],[troponin_7]]</f>
        <v>0</v>
      </c>
      <c r="AX175" s="73">
        <f>Table13[[#This Row],[creatinine_base]]</f>
        <v>0</v>
      </c>
      <c r="AY175" s="73">
        <f>Table13[[#This Row],[creatinine_high]]</f>
        <v>0</v>
      </c>
      <c r="AZ175" s="73">
        <f>Table13[[#This Row],[rrt]]</f>
        <v>0</v>
      </c>
      <c r="BA175" s="73">
        <f>Table13[[#This Row],[renal_24]]</f>
        <v>0</v>
      </c>
      <c r="BB175" s="73">
        <f>Table13[[#This Row],[neuro]]</f>
        <v>0</v>
      </c>
      <c r="BC175" s="73">
        <f>Table13[[#This Row],[wound]]</f>
        <v>0</v>
      </c>
      <c r="BD175" s="73">
        <f>Table13[[#This Row],[haemato]]</f>
        <v>0</v>
      </c>
      <c r="BE175" s="73">
        <f>Table13[[#This Row],[pain]]</f>
        <v>0</v>
      </c>
      <c r="BF175" s="73">
        <f>Table13[[#This Row],[mobility]]</f>
        <v>0</v>
      </c>
      <c r="BG175" s="79">
        <f>Table13[[#This Row],[why_inpatient_7]]</f>
        <v>0</v>
      </c>
      <c r="BH175" s="9">
        <f>Table13[[#This Row],[date_15]]</f>
        <v>0</v>
      </c>
      <c r="BI175">
        <f>Table13[[#This Row],[inpatient_15]]</f>
        <v>0</v>
      </c>
      <c r="BJ175">
        <f>Table13[[#This Row],[comment_15]]</f>
        <v>0</v>
      </c>
      <c r="BK175">
        <f>Table13[[#This Row],[discharge_dest]]</f>
        <v>0</v>
      </c>
      <c r="BL175">
        <f>Table13[[#This Row],[complication]]</f>
        <v>0</v>
      </c>
    </row>
    <row r="176" spans="1:64" ht="18" customHeight="1">
      <c r="A176" s="73" t="str">
        <f>Table5[[#This Row],[comment]]</f>
        <v>Day 2: back to theatre for left leg fasciotomy for compartment syndrome developed after surgery</v>
      </c>
      <c r="B176" s="73" t="str">
        <f>Table9[[#This Row],[surgeon]]</f>
        <v>Mattias Soop, Gordon Lawrence Carlson</v>
      </c>
      <c r="C176" s="73" t="str">
        <f>Table9[[#This Row],[surgery]]</f>
        <v>Intestinal failure reconstruction</v>
      </c>
      <c r="D176" s="74" t="str">
        <f>Table5[[#This Row],[pqip_consent]]</f>
        <v>Yes</v>
      </c>
      <c r="E176" s="73" t="str">
        <f>Table6[[#This Row],[area_surgery]]</f>
        <v>Lower GI</v>
      </c>
      <c r="F176" s="75">
        <f>Table6[[#This Row],[admission_date]]</f>
        <v>43407</v>
      </c>
      <c r="G176" s="75">
        <f>Table6[[#This Row],[admission_date]]</f>
        <v>43407</v>
      </c>
      <c r="H176" s="105">
        <f>Table6[[#This Row],[surgery_duration]]</f>
        <v>0</v>
      </c>
      <c r="I176" s="73" t="str">
        <f>Table6[[#This Row],[discharge_loc]]</f>
        <v>H6</v>
      </c>
      <c r="J176" s="75">
        <f>Table6[[#This Row],[discharge_date]]</f>
        <v>0</v>
      </c>
      <c r="K176" s="76">
        <f>Table6[[#This Row],[hospital_stay]]</f>
        <v>-43409</v>
      </c>
      <c r="L176" s="76">
        <f>Table6[[#This Row],[readmit_30]]</f>
        <v>0</v>
      </c>
      <c r="M176" s="77" t="str">
        <f>Table9[[#This Row],[troponin]]</f>
        <v>Not Measured</v>
      </c>
      <c r="N176" s="78">
        <f>Table9[[#This Row],[hb]]</f>
        <v>15.1</v>
      </c>
      <c r="O176" s="78">
        <f>Table9[[#This Row],[creatinine]]</f>
        <v>85</v>
      </c>
      <c r="P176" s="78">
        <f>Table9[[#This Row],[albumin]]</f>
        <v>48</v>
      </c>
      <c r="Q176" s="73" t="str">
        <f>Table9[[#This Row],[chest_physio]]</f>
        <v>No</v>
      </c>
      <c r="R176" s="73" t="str">
        <f>Table9[[#This Row],[surgery_school]]</f>
        <v xml:space="preserve">No - Couldn’t make it </v>
      </c>
      <c r="S176" s="75">
        <f>Table9[[#This Row],[date_school]]</f>
        <v>0</v>
      </c>
      <c r="T176" s="73" t="str">
        <f>Table9[[#This Row],[app_down]]</f>
        <v>No - Have electronic device</v>
      </c>
      <c r="U176" s="73" t="str">
        <f>Table9[[#This Row],[website]]</f>
        <v>No</v>
      </c>
      <c r="V176" s="73" t="str">
        <f>Table9[[#This Row],[base_activity]]</f>
        <v>No extra activity - Independent in ADLs</v>
      </c>
      <c r="W176" s="73" t="str">
        <f>Table9[[#This Row],[current_activity]]</f>
        <v>No extra activity - Independent in ADLs</v>
      </c>
      <c r="X176" s="73" t="str">
        <f>Table9[[#This Row],[activity_type]]</f>
        <v>None</v>
      </c>
      <c r="Y176" s="73" t="str">
        <f>Table9[[#This Row],[anaemia_treat]]</f>
        <v>Not applicable</v>
      </c>
      <c r="Z176" s="78">
        <f>Table9[[#This Row],[anaesthesia]]</f>
        <v>0</v>
      </c>
      <c r="AA176" s="78" t="str">
        <f>Table9[[#This Row],[smoke_hist]]</f>
        <v>Ex-smoker - stopped smoking &gt; 6months ago</v>
      </c>
      <c r="AB176" s="78" t="str">
        <f>Table9[[#This Row],[smoke_cess]]</f>
        <v>Not applicable</v>
      </c>
      <c r="AC176" s="78" t="str">
        <f>Table9[[#This Row],[tidal_vol]]</f>
        <v>Not recorded</v>
      </c>
      <c r="AD176" s="77">
        <f>Table11[[#This Row],[inc_spiro]]</f>
        <v>0</v>
      </c>
      <c r="AE176" s="73">
        <f>Table11[[#This Row],[t_brushes]]</f>
        <v>0</v>
      </c>
      <c r="AF176" s="78">
        <f>Table11[[#This Row],[m_washes]]</f>
        <v>0</v>
      </c>
      <c r="AG176" s="78">
        <f>Table11[[#This Row],[iv_disc]]</f>
        <v>0</v>
      </c>
      <c r="AH176" s="78">
        <f>Table11[[#This Row],[tolerate_15l]]</f>
        <v>0</v>
      </c>
      <c r="AI176" s="78">
        <f>Table11[[#This Row],[drinking]]</f>
        <v>0</v>
      </c>
      <c r="AJ176" s="78">
        <f>Table11[[#This Row],[oral_diet]]</f>
        <v>0</v>
      </c>
      <c r="AK176" s="78">
        <f>Table11[[#This Row],[mobilised]]</f>
        <v>0</v>
      </c>
      <c r="AL176" s="79">
        <f>Table11[[#This Row],[resp_supp]]</f>
        <v>0</v>
      </c>
      <c r="AM176" s="78">
        <f>Table11[[#This Row],[elev_head]]</f>
        <v>0</v>
      </c>
      <c r="AN176" s="78">
        <f>Table13[[#This Row],[in_hospital]]</f>
        <v>0</v>
      </c>
      <c r="AO176" s="78">
        <f>Table13[[#This Row],[location_7]]</f>
        <v>0</v>
      </c>
      <c r="AP176" s="78">
        <f>Table13[[#This Row],[infec_24]]</f>
        <v>0</v>
      </c>
      <c r="AQ176" s="73">
        <f>Table13[[#This Row],[infec_7]]</f>
        <v>0</v>
      </c>
      <c r="AR176" s="73">
        <f>Table13[[#This Row],[gastro]]</f>
        <v>0</v>
      </c>
      <c r="AS176" s="73">
        <f>Table13[[#This Row],[pulm_supp_24]]</f>
        <v>0</v>
      </c>
      <c r="AT176" s="73">
        <f>Table13[[#This Row],[pulm_supp_7]]</f>
        <v>0</v>
      </c>
      <c r="AU176" s="73">
        <f>Table13[[#This Row],[pulm_pharm]]</f>
        <v>0</v>
      </c>
      <c r="AV176" s="73">
        <f>Table13[[#This Row],[cardio_24]]</f>
        <v>0</v>
      </c>
      <c r="AW176" s="73">
        <f>Table13[[#This Row],[troponin_7]]</f>
        <v>0</v>
      </c>
      <c r="AX176" s="73">
        <f>Table13[[#This Row],[creatinine_base]]</f>
        <v>0</v>
      </c>
      <c r="AY176" s="73">
        <f>Table13[[#This Row],[creatinine_high]]</f>
        <v>0</v>
      </c>
      <c r="AZ176" s="73">
        <f>Table13[[#This Row],[rrt]]</f>
        <v>0</v>
      </c>
      <c r="BA176" s="73">
        <f>Table13[[#This Row],[renal_24]]</f>
        <v>0</v>
      </c>
      <c r="BB176" s="73">
        <f>Table13[[#This Row],[neuro]]</f>
        <v>0</v>
      </c>
      <c r="BC176" s="73">
        <f>Table13[[#This Row],[wound]]</f>
        <v>0</v>
      </c>
      <c r="BD176" s="73">
        <f>Table13[[#This Row],[haemato]]</f>
        <v>0</v>
      </c>
      <c r="BE176" s="73">
        <f>Table13[[#This Row],[pain]]</f>
        <v>0</v>
      </c>
      <c r="BF176" s="73">
        <f>Table13[[#This Row],[mobility]]</f>
        <v>0</v>
      </c>
      <c r="BG176" s="79">
        <f>Table13[[#This Row],[why_inpatient_7]]</f>
        <v>0</v>
      </c>
      <c r="BH176" s="9">
        <f>Table13[[#This Row],[date_15]]</f>
        <v>0</v>
      </c>
      <c r="BI176">
        <f>Table13[[#This Row],[inpatient_15]]</f>
        <v>0</v>
      </c>
      <c r="BJ176">
        <f>Table13[[#This Row],[comment_15]]</f>
        <v>0</v>
      </c>
      <c r="BK176">
        <f>Table13[[#This Row],[discharge_dest]]</f>
        <v>0</v>
      </c>
      <c r="BL176">
        <f>Table13[[#This Row],[complication]]</f>
        <v>0</v>
      </c>
    </row>
    <row r="177" spans="1:64" ht="18" customHeight="1">
      <c r="A177" s="73">
        <f>Table5[[#This Row],[comment]]</f>
        <v>0</v>
      </c>
      <c r="B177" s="73" t="str">
        <f>Table9[[#This Row],[surgeon]]</f>
        <v>Maurice Lau</v>
      </c>
      <c r="C177" s="73" t="str">
        <f>Table9[[#This Row],[surgery]]</f>
        <v xml:space="preserve">Cystectomy </v>
      </c>
      <c r="D177" s="74" t="str">
        <f>Table5[[#This Row],[pqip_consent]]</f>
        <v>Yes</v>
      </c>
      <c r="E177" s="73" t="str">
        <f>Table6[[#This Row],[area_surgery]]</f>
        <v>Urology</v>
      </c>
      <c r="F177" s="75">
        <f>Table6[[#This Row],[admission_date]]</f>
        <v>43410</v>
      </c>
      <c r="G177" s="75">
        <f>Table6[[#This Row],[admission_date]]</f>
        <v>43410</v>
      </c>
      <c r="H177" s="105">
        <f>Table6[[#This Row],[surgery_duration]]</f>
        <v>0.375</v>
      </c>
      <c r="I177" s="73" t="str">
        <f>Table6[[#This Row],[discharge_loc]]</f>
        <v>H6</v>
      </c>
      <c r="J177" s="75">
        <f>Table6[[#This Row],[discharge_date]]</f>
        <v>0</v>
      </c>
      <c r="K177" s="76">
        <f>Table6[[#This Row],[hospital_stay]]</f>
        <v>-43410</v>
      </c>
      <c r="L177" s="76">
        <f>Table6[[#This Row],[readmit_30]]</f>
        <v>0</v>
      </c>
      <c r="M177" s="77" t="str">
        <f>Table9[[#This Row],[troponin]]</f>
        <v>Not Measured</v>
      </c>
      <c r="N177" s="78">
        <f>Table9[[#This Row],[hb]]</f>
        <v>13.2</v>
      </c>
      <c r="O177" s="78">
        <f>Table9[[#This Row],[creatinine]]</f>
        <v>70</v>
      </c>
      <c r="P177" s="78">
        <f>Table9[[#This Row],[albumin]]</f>
        <v>43</v>
      </c>
      <c r="Q177" s="73" t="str">
        <f>Table9[[#This Row],[chest_physio]]</f>
        <v>Surgery School</v>
      </c>
      <c r="R177" s="73" t="str">
        <f>Table9[[#This Row],[surgery_school]]</f>
        <v>Yes - Hospital Session</v>
      </c>
      <c r="S177" s="75">
        <f>Table9[[#This Row],[date_school]]</f>
        <v>43362</v>
      </c>
      <c r="T177" s="73" t="str">
        <f>Table9[[#This Row],[app_down]]</f>
        <v>No - No electronic device</v>
      </c>
      <c r="U177" s="73" t="str">
        <f>Table9[[#This Row],[website]]</f>
        <v>No</v>
      </c>
      <c r="V177" s="73" t="str">
        <f>Table9[[#This Row],[base_activity]]</f>
        <v>No extra activity - Independent in ADLs</v>
      </c>
      <c r="W177" s="73" t="str">
        <f>Table9[[#This Row],[current_activity]]</f>
        <v>No extra activity - Independent in ADLs</v>
      </c>
      <c r="X177" s="73" t="str">
        <f>Table9[[#This Row],[activity_type]]</f>
        <v>None</v>
      </c>
      <c r="Y177" s="73" t="str">
        <f>Table9[[#This Row],[anaemia_treat]]</f>
        <v>Not applicable</v>
      </c>
      <c r="Z177" s="78" t="str">
        <f>Table9[[#This Row],[anaesthesia]]</f>
        <v>General with Inhalational</v>
      </c>
      <c r="AA177" s="78" t="str">
        <f>Table9[[#This Row],[smoke_hist]]</f>
        <v>Ex-smoker - stopped smoking &gt; 6months ago</v>
      </c>
      <c r="AB177" s="78" t="str">
        <f>Table9[[#This Row],[smoke_cess]]</f>
        <v>Not applicable</v>
      </c>
      <c r="AC177" s="78" t="str">
        <f>Table9[[#This Row],[tidal_vol]]</f>
        <v>Not recorded</v>
      </c>
      <c r="AD177" s="77" t="str">
        <f>Table11[[#This Row],[inc_spiro]]</f>
        <v>Not used</v>
      </c>
      <c r="AE177" s="73" t="str">
        <f>Table11[[#This Row],[t_brushes]]</f>
        <v>Once</v>
      </c>
      <c r="AF177" s="78" t="str">
        <f>Table11[[#This Row],[m_washes]]</f>
        <v>Once</v>
      </c>
      <c r="AG177" s="78" t="str">
        <f>Table11[[#This Row],[iv_disc]]</f>
        <v>No</v>
      </c>
      <c r="AH177" s="78" t="str">
        <f>Table11[[#This Row],[tolerate_15l]]</f>
        <v>No</v>
      </c>
      <c r="AI177" s="78" t="str">
        <f>Table11[[#This Row],[drinking]]</f>
        <v>Yes</v>
      </c>
      <c r="AJ177" s="78" t="str">
        <f>Table11[[#This Row],[oral_diet]]</f>
        <v>No</v>
      </c>
      <c r="AK177" s="78" t="str">
        <f>Table11[[#This Row],[mobilised]]</f>
        <v>No</v>
      </c>
      <c r="AL177" s="79" t="str">
        <f>Table11[[#This Row],[resp_supp]]</f>
        <v>None</v>
      </c>
      <c r="AM177" s="78" t="str">
        <f>Table11[[#This Row],[elev_head]]</f>
        <v>Yes</v>
      </c>
      <c r="AN177" s="78">
        <f>Table13[[#This Row],[in_hospital]]</f>
        <v>0</v>
      </c>
      <c r="AO177" s="78">
        <f>Table13[[#This Row],[location_7]]</f>
        <v>0</v>
      </c>
      <c r="AP177" s="78">
        <f>Table13[[#This Row],[infec_24]]</f>
        <v>0</v>
      </c>
      <c r="AQ177" s="73">
        <f>Table13[[#This Row],[infec_7]]</f>
        <v>0</v>
      </c>
      <c r="AR177" s="73">
        <f>Table13[[#This Row],[gastro]]</f>
        <v>0</v>
      </c>
      <c r="AS177" s="73">
        <f>Table13[[#This Row],[pulm_supp_24]]</f>
        <v>0</v>
      </c>
      <c r="AT177" s="73">
        <f>Table13[[#This Row],[pulm_supp_7]]</f>
        <v>0</v>
      </c>
      <c r="AU177" s="73">
        <f>Table13[[#This Row],[pulm_pharm]]</f>
        <v>0</v>
      </c>
      <c r="AV177" s="73">
        <f>Table13[[#This Row],[cardio_24]]</f>
        <v>0</v>
      </c>
      <c r="AW177" s="73">
        <f>Table13[[#This Row],[troponin_7]]</f>
        <v>0</v>
      </c>
      <c r="AX177" s="73">
        <f>Table13[[#This Row],[creatinine_base]]</f>
        <v>0</v>
      </c>
      <c r="AY177" s="73">
        <f>Table13[[#This Row],[creatinine_high]]</f>
        <v>0</v>
      </c>
      <c r="AZ177" s="73">
        <f>Table13[[#This Row],[rrt]]</f>
        <v>0</v>
      </c>
      <c r="BA177" s="73">
        <f>Table13[[#This Row],[renal_24]]</f>
        <v>0</v>
      </c>
      <c r="BB177" s="73">
        <f>Table13[[#This Row],[neuro]]</f>
        <v>0</v>
      </c>
      <c r="BC177" s="73">
        <f>Table13[[#This Row],[wound]]</f>
        <v>0</v>
      </c>
      <c r="BD177" s="73">
        <f>Table13[[#This Row],[haemato]]</f>
        <v>0</v>
      </c>
      <c r="BE177" s="73">
        <f>Table13[[#This Row],[pain]]</f>
        <v>0</v>
      </c>
      <c r="BF177" s="73">
        <f>Table13[[#This Row],[mobility]]</f>
        <v>0</v>
      </c>
      <c r="BG177" s="79">
        <f>Table13[[#This Row],[why_inpatient_7]]</f>
        <v>0</v>
      </c>
      <c r="BH177" s="9">
        <f>Table13[[#This Row],[date_15]]</f>
        <v>0</v>
      </c>
      <c r="BI177">
        <f>Table13[[#This Row],[inpatient_15]]</f>
        <v>0</v>
      </c>
      <c r="BJ177">
        <f>Table13[[#This Row],[comment_15]]</f>
        <v>0</v>
      </c>
      <c r="BK177">
        <f>Table13[[#This Row],[discharge_dest]]</f>
        <v>0</v>
      </c>
      <c r="BL177">
        <f>Table13[[#This Row],[complication]]</f>
        <v>0</v>
      </c>
    </row>
    <row r="178" spans="1:64" ht="18" customHeight="1">
      <c r="A178" s="73">
        <f>Table5[[#This Row],[comment]]</f>
        <v>0</v>
      </c>
      <c r="B178" s="73" t="str">
        <f>Table9[[#This Row],[surgeon]]</f>
        <v>Iain Anderson</v>
      </c>
      <c r="C178" s="73" t="str">
        <f>Table9[[#This Row],[surgery]]</f>
        <v xml:space="preserve">Laparotomy for enterocutaneous fistula </v>
      </c>
      <c r="D178" s="74" t="str">
        <f>Table5[[#This Row],[pqip_consent]]</f>
        <v>Yes</v>
      </c>
      <c r="E178" s="73" t="str">
        <f>Table6[[#This Row],[area_surgery]]</f>
        <v>Lower GI</v>
      </c>
      <c r="F178" s="75">
        <f>Table6[[#This Row],[admission_date]]</f>
        <v>43403</v>
      </c>
      <c r="G178" s="75">
        <f>Table6[[#This Row],[admission_date]]</f>
        <v>43403</v>
      </c>
      <c r="H178" s="105">
        <f>Table6[[#This Row],[surgery_duration]]</f>
        <v>0.27777777777777779</v>
      </c>
      <c r="I178" s="73" t="str">
        <f>Table6[[#This Row],[discharge_loc]]</f>
        <v>CCU (Level 3)</v>
      </c>
      <c r="J178" s="75">
        <f>Table6[[#This Row],[discharge_date]]</f>
        <v>0</v>
      </c>
      <c r="K178" s="76">
        <f>Table6[[#This Row],[hospital_stay]]</f>
        <v>-43410</v>
      </c>
      <c r="L178" s="76">
        <f>Table6[[#This Row],[readmit_30]]</f>
        <v>0</v>
      </c>
      <c r="M178" s="77" t="str">
        <f>Table9[[#This Row],[troponin]]</f>
        <v>Not Measured</v>
      </c>
      <c r="N178" s="78">
        <f>Table9[[#This Row],[hb]]</f>
        <v>10.8</v>
      </c>
      <c r="O178" s="78">
        <f>Table9[[#This Row],[creatinine]]</f>
        <v>80</v>
      </c>
      <c r="P178" s="78">
        <f>Table9[[#This Row],[albumin]]</f>
        <v>40</v>
      </c>
      <c r="Q178" s="73" t="str">
        <f>Table9[[#This Row],[chest_physio]]</f>
        <v>No</v>
      </c>
      <c r="R178" s="73" t="str">
        <f>Table9[[#This Row],[surgery_school]]</f>
        <v>No - Wasn’t offered it</v>
      </c>
      <c r="S178" s="75">
        <f>Table9[[#This Row],[date_school]]</f>
        <v>0</v>
      </c>
      <c r="T178" s="73" t="str">
        <f>Table9[[#This Row],[app_down]]</f>
        <v>No - No electronic device</v>
      </c>
      <c r="U178" s="73" t="str">
        <f>Table9[[#This Row],[website]]</f>
        <v>No</v>
      </c>
      <c r="V178" s="73" t="str">
        <f>Table9[[#This Row],[base_activity]]</f>
        <v>No extra activity - Independent in ADLs</v>
      </c>
      <c r="W178" s="73" t="str">
        <f>Table9[[#This Row],[current_activity]]</f>
        <v>No extra activity - Independent in ADLs</v>
      </c>
      <c r="X178" s="73" t="str">
        <f>Table9[[#This Row],[activity_type]]</f>
        <v>None</v>
      </c>
      <c r="Y178" s="73" t="str">
        <f>Table9[[#This Row],[anaemia_treat]]</f>
        <v>Not applicable</v>
      </c>
      <c r="Z178" s="78" t="str">
        <f>Table9[[#This Row],[anaesthesia]]</f>
        <v>General with Inhalational</v>
      </c>
      <c r="AA178" s="78" t="str">
        <f>Table9[[#This Row],[smoke_hist]]</f>
        <v>Never smoked</v>
      </c>
      <c r="AB178" s="78" t="str">
        <f>Table9[[#This Row],[smoke_cess]]</f>
        <v>Not applicable</v>
      </c>
      <c r="AC178" s="78" t="str">
        <f>Table9[[#This Row],[tidal_vol]]</f>
        <v>Not recorded</v>
      </c>
      <c r="AD178" s="77" t="str">
        <f>Table11[[#This Row],[inc_spiro]]</f>
        <v>Not used</v>
      </c>
      <c r="AE178" s="73" t="str">
        <f>Table11[[#This Row],[t_brushes]]</f>
        <v>Once</v>
      </c>
      <c r="AF178" s="78" t="str">
        <f>Table11[[#This Row],[m_washes]]</f>
        <v>None</v>
      </c>
      <c r="AG178" s="78" t="str">
        <f>Table11[[#This Row],[iv_disc]]</f>
        <v>No</v>
      </c>
      <c r="AH178" s="78" t="str">
        <f>Table11[[#This Row],[tolerate_15l]]</f>
        <v>No</v>
      </c>
      <c r="AI178" s="78" t="str">
        <f>Table11[[#This Row],[drinking]]</f>
        <v>Yes</v>
      </c>
      <c r="AJ178" s="78" t="str">
        <f>Table11[[#This Row],[oral_diet]]</f>
        <v>No</v>
      </c>
      <c r="AK178" s="78" t="str">
        <f>Table11[[#This Row],[mobilised]]</f>
        <v>No</v>
      </c>
      <c r="AL178" s="79" t="str">
        <f>Table11[[#This Row],[resp_supp]]</f>
        <v>None</v>
      </c>
      <c r="AM178" s="78" t="str">
        <f>Table11[[#This Row],[elev_head]]</f>
        <v>Yes</v>
      </c>
      <c r="AN178" s="78">
        <f>Table13[[#This Row],[in_hospital]]</f>
        <v>0</v>
      </c>
      <c r="AO178" s="78">
        <f>Table13[[#This Row],[location_7]]</f>
        <v>0</v>
      </c>
      <c r="AP178" s="78">
        <f>Table13[[#This Row],[infec_24]]</f>
        <v>0</v>
      </c>
      <c r="AQ178" s="73">
        <f>Table13[[#This Row],[infec_7]]</f>
        <v>0</v>
      </c>
      <c r="AR178" s="73">
        <f>Table13[[#This Row],[gastro]]</f>
        <v>0</v>
      </c>
      <c r="AS178" s="73">
        <f>Table13[[#This Row],[pulm_supp_24]]</f>
        <v>0</v>
      </c>
      <c r="AT178" s="73">
        <f>Table13[[#This Row],[pulm_supp_7]]</f>
        <v>0</v>
      </c>
      <c r="AU178" s="73">
        <f>Table13[[#This Row],[pulm_pharm]]</f>
        <v>0</v>
      </c>
      <c r="AV178" s="73">
        <f>Table13[[#This Row],[cardio_24]]</f>
        <v>0</v>
      </c>
      <c r="AW178" s="73">
        <f>Table13[[#This Row],[troponin_7]]</f>
        <v>0</v>
      </c>
      <c r="AX178" s="73">
        <f>Table13[[#This Row],[creatinine_base]]</f>
        <v>0</v>
      </c>
      <c r="AY178" s="73">
        <f>Table13[[#This Row],[creatinine_high]]</f>
        <v>0</v>
      </c>
      <c r="AZ178" s="73">
        <f>Table13[[#This Row],[rrt]]</f>
        <v>0</v>
      </c>
      <c r="BA178" s="73">
        <f>Table13[[#This Row],[renal_24]]</f>
        <v>0</v>
      </c>
      <c r="BB178" s="73">
        <f>Table13[[#This Row],[neuro]]</f>
        <v>0</v>
      </c>
      <c r="BC178" s="73">
        <f>Table13[[#This Row],[wound]]</f>
        <v>0</v>
      </c>
      <c r="BD178" s="73">
        <f>Table13[[#This Row],[haemato]]</f>
        <v>0</v>
      </c>
      <c r="BE178" s="73">
        <f>Table13[[#This Row],[pain]]</f>
        <v>0</v>
      </c>
      <c r="BF178" s="73">
        <f>Table13[[#This Row],[mobility]]</f>
        <v>0</v>
      </c>
      <c r="BG178" s="79">
        <f>Table13[[#This Row],[why_inpatient_7]]</f>
        <v>0</v>
      </c>
      <c r="BH178" s="9">
        <f>Table13[[#This Row],[date_15]]</f>
        <v>0</v>
      </c>
      <c r="BI178">
        <f>Table13[[#This Row],[inpatient_15]]</f>
        <v>0</v>
      </c>
      <c r="BJ178">
        <f>Table13[[#This Row],[comment_15]]</f>
        <v>0</v>
      </c>
      <c r="BK178">
        <f>Table13[[#This Row],[discharge_dest]]</f>
        <v>0</v>
      </c>
      <c r="BL178">
        <f>Table13[[#This Row],[complication]]</f>
        <v>0</v>
      </c>
    </row>
    <row r="179" spans="1:64" ht="18" customHeight="1">
      <c r="A179" s="73">
        <f>Table5[[#This Row],[comment]]</f>
        <v>0</v>
      </c>
      <c r="B179" s="73" t="str">
        <f>Table9[[#This Row],[surgeon]]</f>
        <v>Lyndsay Pearce</v>
      </c>
      <c r="C179" s="73" t="str">
        <f>Table9[[#This Row],[surgery]]</f>
        <v>Anterior resection</v>
      </c>
      <c r="D179" s="74" t="str">
        <f>Table5[[#This Row],[pqip_consent]]</f>
        <v>Yes</v>
      </c>
      <c r="E179" s="73" t="str">
        <f>Table6[[#This Row],[area_surgery]]</f>
        <v>Lower GI</v>
      </c>
      <c r="F179" s="75">
        <f>Table6[[#This Row],[admission_date]]</f>
        <v>43411</v>
      </c>
      <c r="G179" s="75">
        <f>Table6[[#This Row],[admission_date]]</f>
        <v>43411</v>
      </c>
      <c r="H179" s="105">
        <f>Table6[[#This Row],[surgery_duration]]</f>
        <v>0.26041666666666669</v>
      </c>
      <c r="I179" s="73" t="str">
        <f>Table6[[#This Row],[discharge_loc]]</f>
        <v>H6</v>
      </c>
      <c r="J179" s="75">
        <f>Table6[[#This Row],[discharge_date]]</f>
        <v>0</v>
      </c>
      <c r="K179" s="76">
        <f>Table6[[#This Row],[hospital_stay]]</f>
        <v>-43411</v>
      </c>
      <c r="L179" s="76">
        <f>Table6[[#This Row],[readmit_30]]</f>
        <v>0</v>
      </c>
      <c r="M179" s="77" t="str">
        <f>Table9[[#This Row],[troponin]]</f>
        <v>Not Measured</v>
      </c>
      <c r="N179" s="78">
        <f>Table9[[#This Row],[hb]]</f>
        <v>14.3</v>
      </c>
      <c r="O179" s="78">
        <f>Table9[[#This Row],[creatinine]]</f>
        <v>74</v>
      </c>
      <c r="P179" s="78">
        <f>Table9[[#This Row],[albumin]]</f>
        <v>45</v>
      </c>
      <c r="Q179" s="73" t="str">
        <f>Table9[[#This Row],[chest_physio]]</f>
        <v>Surgery School</v>
      </c>
      <c r="R179" s="73" t="str">
        <f>Table9[[#This Row],[surgery_school]]</f>
        <v>Yes - Hospital Session</v>
      </c>
      <c r="S179" s="75">
        <f>Table9[[#This Row],[date_school]]</f>
        <v>43405</v>
      </c>
      <c r="T179" s="73" t="str">
        <f>Table9[[#This Row],[app_down]]</f>
        <v>No - Have electronic device</v>
      </c>
      <c r="U179" s="73" t="str">
        <f>Table9[[#This Row],[website]]</f>
        <v>No</v>
      </c>
      <c r="V179" s="73" t="str">
        <f>Table9[[#This Row],[base_activity]]</f>
        <v>30mins of moderate activity</v>
      </c>
      <c r="W179" s="73" t="str">
        <f>Table9[[#This Row],[current_activity]]</f>
        <v>No extra activity - Independent in ADLs</v>
      </c>
      <c r="X179" s="73" t="str">
        <f>Table9[[#This Row],[activity_type]]</f>
        <v>None</v>
      </c>
      <c r="Y179" s="73" t="str">
        <f>Table9[[#This Row],[anaemia_treat]]</f>
        <v>Not applicable</v>
      </c>
      <c r="Z179" s="78" t="str">
        <f>Table9[[#This Row],[anaesthesia]]</f>
        <v>General with Inhalational</v>
      </c>
      <c r="AA179" s="78" t="str">
        <f>Table9[[#This Row],[smoke_hist]]</f>
        <v>Ex-smoker - stopped smoking &gt; 6months ago</v>
      </c>
      <c r="AB179" s="78" t="str">
        <f>Table9[[#This Row],[smoke_cess]]</f>
        <v>Not applicable</v>
      </c>
      <c r="AC179" s="78" t="str">
        <f>Table9[[#This Row],[tidal_vol]]</f>
        <v>Not recorded</v>
      </c>
      <c r="AD179" s="77" t="str">
        <f>Table11[[#This Row],[inc_spiro]]</f>
        <v>Not given one</v>
      </c>
      <c r="AE179" s="73" t="str">
        <f>Table11[[#This Row],[t_brushes]]</f>
        <v>Twice</v>
      </c>
      <c r="AF179" s="78" t="str">
        <f>Table11[[#This Row],[m_washes]]</f>
        <v>None</v>
      </c>
      <c r="AG179" s="78" t="str">
        <f>Table11[[#This Row],[iv_disc]]</f>
        <v>Yes</v>
      </c>
      <c r="AH179" s="78" t="str">
        <f>Table11[[#This Row],[tolerate_15l]]</f>
        <v>Yes</v>
      </c>
      <c r="AI179" s="78" t="str">
        <f>Table11[[#This Row],[drinking]]</f>
        <v>Yes</v>
      </c>
      <c r="AJ179" s="78" t="str">
        <f>Table11[[#This Row],[oral_diet]]</f>
        <v>Yes</v>
      </c>
      <c r="AK179" s="78" t="str">
        <f>Table11[[#This Row],[mobilised]]</f>
        <v>Yes</v>
      </c>
      <c r="AL179" s="79" t="str">
        <f>Table11[[#This Row],[resp_supp]]</f>
        <v>None</v>
      </c>
      <c r="AM179" s="78" t="str">
        <f>Table11[[#This Row],[elev_head]]</f>
        <v>Yes</v>
      </c>
      <c r="AN179" s="78">
        <f>Table13[[#This Row],[in_hospital]]</f>
        <v>0</v>
      </c>
      <c r="AO179" s="78">
        <f>Table13[[#This Row],[location_7]]</f>
        <v>0</v>
      </c>
      <c r="AP179" s="78">
        <f>Table13[[#This Row],[infec_24]]</f>
        <v>0</v>
      </c>
      <c r="AQ179" s="73">
        <f>Table13[[#This Row],[infec_7]]</f>
        <v>0</v>
      </c>
      <c r="AR179" s="73">
        <f>Table13[[#This Row],[gastro]]</f>
        <v>0</v>
      </c>
      <c r="AS179" s="73">
        <f>Table13[[#This Row],[pulm_supp_24]]</f>
        <v>0</v>
      </c>
      <c r="AT179" s="73">
        <f>Table13[[#This Row],[pulm_supp_7]]</f>
        <v>0</v>
      </c>
      <c r="AU179" s="73">
        <f>Table13[[#This Row],[pulm_pharm]]</f>
        <v>0</v>
      </c>
      <c r="AV179" s="73">
        <f>Table13[[#This Row],[cardio_24]]</f>
        <v>0</v>
      </c>
      <c r="AW179" s="73">
        <f>Table13[[#This Row],[troponin_7]]</f>
        <v>0</v>
      </c>
      <c r="AX179" s="73">
        <f>Table13[[#This Row],[creatinine_base]]</f>
        <v>0</v>
      </c>
      <c r="AY179" s="73">
        <f>Table13[[#This Row],[creatinine_high]]</f>
        <v>0</v>
      </c>
      <c r="AZ179" s="73">
        <f>Table13[[#This Row],[rrt]]</f>
        <v>0</v>
      </c>
      <c r="BA179" s="73">
        <f>Table13[[#This Row],[renal_24]]</f>
        <v>0</v>
      </c>
      <c r="BB179" s="73">
        <f>Table13[[#This Row],[neuro]]</f>
        <v>0</v>
      </c>
      <c r="BC179" s="73">
        <f>Table13[[#This Row],[wound]]</f>
        <v>0</v>
      </c>
      <c r="BD179" s="73">
        <f>Table13[[#This Row],[haemato]]</f>
        <v>0</v>
      </c>
      <c r="BE179" s="73">
        <f>Table13[[#This Row],[pain]]</f>
        <v>0</v>
      </c>
      <c r="BF179" s="73">
        <f>Table13[[#This Row],[mobility]]</f>
        <v>0</v>
      </c>
      <c r="BG179" s="79">
        <f>Table13[[#This Row],[why_inpatient_7]]</f>
        <v>0</v>
      </c>
      <c r="BH179" s="9">
        <f>Table13[[#This Row],[date_15]]</f>
        <v>0</v>
      </c>
      <c r="BI179">
        <f>Table13[[#This Row],[inpatient_15]]</f>
        <v>0</v>
      </c>
      <c r="BJ179">
        <f>Table13[[#This Row],[comment_15]]</f>
        <v>0</v>
      </c>
      <c r="BK179">
        <f>Table13[[#This Row],[discharge_dest]]</f>
        <v>0</v>
      </c>
      <c r="BL179">
        <f>Table13[[#This Row],[complication]]</f>
        <v>0</v>
      </c>
    </row>
    <row r="180" spans="1:64" ht="18" customHeight="1">
      <c r="A180" s="73">
        <f>Table5[[#This Row],[comment]]</f>
        <v>0</v>
      </c>
      <c r="B180" s="73" t="str">
        <f>Table9[[#This Row],[surgeon]]</f>
        <v>Satish Maddineni</v>
      </c>
      <c r="C180" s="73" t="str">
        <f>Table9[[#This Row],[surgery]]</f>
        <v>Adrenalectomy (unilateral)</v>
      </c>
      <c r="D180" s="74" t="str">
        <f>Table5[[#This Row],[pqip_consent]]</f>
        <v>Yes</v>
      </c>
      <c r="E180" s="73" t="str">
        <f>Table6[[#This Row],[area_surgery]]</f>
        <v>Endocrinology</v>
      </c>
      <c r="F180" s="75">
        <f>Table6[[#This Row],[admission_date]]</f>
        <v>43411</v>
      </c>
      <c r="G180" s="75">
        <f>Table6[[#This Row],[admission_date]]</f>
        <v>43411</v>
      </c>
      <c r="H180" s="105">
        <f>Table6[[#This Row],[surgery_duration]]</f>
        <v>0.28125</v>
      </c>
      <c r="I180" s="73" t="str">
        <f>Table6[[#This Row],[discharge_loc]]</f>
        <v>CCU (Level 3)</v>
      </c>
      <c r="J180" s="75">
        <f>Table6[[#This Row],[discharge_date]]</f>
        <v>0</v>
      </c>
      <c r="K180" s="76">
        <f>Table6[[#This Row],[hospital_stay]]</f>
        <v>-43411</v>
      </c>
      <c r="L180" s="76">
        <f>Table6[[#This Row],[readmit_30]]</f>
        <v>0</v>
      </c>
      <c r="M180" s="77" t="str">
        <f>Table9[[#This Row],[troponin]]</f>
        <v>Not Measured</v>
      </c>
      <c r="N180" s="78">
        <f>Table9[[#This Row],[hb]]</f>
        <v>15.3</v>
      </c>
      <c r="O180" s="78">
        <f>Table9[[#This Row],[creatinine]]</f>
        <v>59</v>
      </c>
      <c r="P180" s="78" t="str">
        <f>Table9[[#This Row],[albumin]]</f>
        <v>Not Measured</v>
      </c>
      <c r="Q180" s="73" t="str">
        <f>Table9[[#This Row],[chest_physio]]</f>
        <v>Surgery School</v>
      </c>
      <c r="R180" s="73" t="str">
        <f>Table9[[#This Row],[surgery_school]]</f>
        <v>Yes - Hospital Session</v>
      </c>
      <c r="S180" s="75">
        <f>Table9[[#This Row],[date_school]]</f>
        <v>43405</v>
      </c>
      <c r="T180" s="73" t="str">
        <f>Table9[[#This Row],[app_down]]</f>
        <v>No - Have electronic device</v>
      </c>
      <c r="U180" s="73" t="str">
        <f>Table9[[#This Row],[website]]</f>
        <v>No</v>
      </c>
      <c r="V180" s="73" t="str">
        <f>Table9[[#This Row],[base_activity]]</f>
        <v>20mins of moderate activity</v>
      </c>
      <c r="W180" s="73" t="str">
        <f>Table9[[#This Row],[current_activity]]</f>
        <v>20mins of moderate activity</v>
      </c>
      <c r="X180" s="73" t="str">
        <f>Table9[[#This Row],[activity_type]]</f>
        <v xml:space="preserve">Walking regularly </v>
      </c>
      <c r="Y180" s="73" t="str">
        <f>Table9[[#This Row],[anaemia_treat]]</f>
        <v>Not applicable</v>
      </c>
      <c r="Z180" s="78" t="str">
        <f>Table9[[#This Row],[anaesthesia]]</f>
        <v>General with Inhalational</v>
      </c>
      <c r="AA180" s="78" t="str">
        <f>Table9[[#This Row],[smoke_hist]]</f>
        <v>Never smoked</v>
      </c>
      <c r="AB180" s="78" t="str">
        <f>Table9[[#This Row],[smoke_cess]]</f>
        <v>Not applicable</v>
      </c>
      <c r="AC180" s="78" t="str">
        <f>Table9[[#This Row],[tidal_vol]]</f>
        <v>Not recorded</v>
      </c>
      <c r="AD180" s="77" t="str">
        <f>Table11[[#This Row],[inc_spiro]]</f>
        <v>Not given one</v>
      </c>
      <c r="AE180" s="73" t="str">
        <f>Table11[[#This Row],[t_brushes]]</f>
        <v>Twice</v>
      </c>
      <c r="AF180" s="78" t="str">
        <f>Table11[[#This Row],[m_washes]]</f>
        <v>None</v>
      </c>
      <c r="AG180" s="78" t="str">
        <f>Table11[[#This Row],[iv_disc]]</f>
        <v>No</v>
      </c>
      <c r="AH180" s="78" t="str">
        <f>Table11[[#This Row],[tolerate_15l]]</f>
        <v>No</v>
      </c>
      <c r="AI180" s="78" t="str">
        <f>Table11[[#This Row],[drinking]]</f>
        <v>Yes</v>
      </c>
      <c r="AJ180" s="78" t="str">
        <f>Table11[[#This Row],[oral_diet]]</f>
        <v>No</v>
      </c>
      <c r="AK180" s="78" t="str">
        <f>Table11[[#This Row],[mobilised]]</f>
        <v>Yes</v>
      </c>
      <c r="AL180" s="79" t="str">
        <f>Table11[[#This Row],[resp_supp]]</f>
        <v>None</v>
      </c>
      <c r="AM180" s="78" t="str">
        <f>Table11[[#This Row],[elev_head]]</f>
        <v>Yes</v>
      </c>
      <c r="AN180" s="78">
        <f>Table13[[#This Row],[in_hospital]]</f>
        <v>0</v>
      </c>
      <c r="AO180" s="78">
        <f>Table13[[#This Row],[location_7]]</f>
        <v>0</v>
      </c>
      <c r="AP180" s="78">
        <f>Table13[[#This Row],[infec_24]]</f>
        <v>0</v>
      </c>
      <c r="AQ180" s="73">
        <f>Table13[[#This Row],[infec_7]]</f>
        <v>0</v>
      </c>
      <c r="AR180" s="73">
        <f>Table13[[#This Row],[gastro]]</f>
        <v>0</v>
      </c>
      <c r="AS180" s="73">
        <f>Table13[[#This Row],[pulm_supp_24]]</f>
        <v>0</v>
      </c>
      <c r="AT180" s="73">
        <f>Table13[[#This Row],[pulm_supp_7]]</f>
        <v>0</v>
      </c>
      <c r="AU180" s="73">
        <f>Table13[[#This Row],[pulm_pharm]]</f>
        <v>0</v>
      </c>
      <c r="AV180" s="73">
        <f>Table13[[#This Row],[cardio_24]]</f>
        <v>0</v>
      </c>
      <c r="AW180" s="73">
        <f>Table13[[#This Row],[troponin_7]]</f>
        <v>0</v>
      </c>
      <c r="AX180" s="73">
        <f>Table13[[#This Row],[creatinine_base]]</f>
        <v>0</v>
      </c>
      <c r="AY180" s="73">
        <f>Table13[[#This Row],[creatinine_high]]</f>
        <v>0</v>
      </c>
      <c r="AZ180" s="73">
        <f>Table13[[#This Row],[rrt]]</f>
        <v>0</v>
      </c>
      <c r="BA180" s="73">
        <f>Table13[[#This Row],[renal_24]]</f>
        <v>0</v>
      </c>
      <c r="BB180" s="73">
        <f>Table13[[#This Row],[neuro]]</f>
        <v>0</v>
      </c>
      <c r="BC180" s="73">
        <f>Table13[[#This Row],[wound]]</f>
        <v>0</v>
      </c>
      <c r="BD180" s="73">
        <f>Table13[[#This Row],[haemato]]</f>
        <v>0</v>
      </c>
      <c r="BE180" s="73">
        <f>Table13[[#This Row],[pain]]</f>
        <v>0</v>
      </c>
      <c r="BF180" s="73">
        <f>Table13[[#This Row],[mobility]]</f>
        <v>0</v>
      </c>
      <c r="BG180" s="79">
        <f>Table13[[#This Row],[why_inpatient_7]]</f>
        <v>0</v>
      </c>
      <c r="BH180" s="9">
        <f>Table13[[#This Row],[date_15]]</f>
        <v>0</v>
      </c>
      <c r="BI180">
        <f>Table13[[#This Row],[inpatient_15]]</f>
        <v>0</v>
      </c>
      <c r="BJ180">
        <f>Table13[[#This Row],[comment_15]]</f>
        <v>0</v>
      </c>
      <c r="BK180">
        <f>Table13[[#This Row],[discharge_dest]]</f>
        <v>0</v>
      </c>
      <c r="BL180">
        <f>Table13[[#This Row],[complication]]</f>
        <v>0</v>
      </c>
    </row>
    <row r="181" spans="1:64" ht="18" customHeight="1">
      <c r="A181" s="73">
        <f>Table5[[#This Row],[comment]]</f>
        <v>0</v>
      </c>
      <c r="B181" s="73" t="str">
        <f>Table9[[#This Row],[surgeon]]</f>
        <v>N P Lees</v>
      </c>
      <c r="C181" s="73" t="str">
        <f>Table9[[#This Row],[surgery]]</f>
        <v>Anterior resection</v>
      </c>
      <c r="D181" s="74" t="str">
        <f>Table5[[#This Row],[pqip_consent]]</f>
        <v>Yes</v>
      </c>
      <c r="E181" s="73" t="str">
        <f>Table6[[#This Row],[area_surgery]]</f>
        <v>Lower GI</v>
      </c>
      <c r="F181" s="75">
        <f>Table6[[#This Row],[admission_date]]</f>
        <v>43411</v>
      </c>
      <c r="G181" s="75">
        <f>Table6[[#This Row],[admission_date]]</f>
        <v>43411</v>
      </c>
      <c r="H181" s="105">
        <f>Table6[[#This Row],[surgery_duration]]</f>
        <v>0.35416666666666669</v>
      </c>
      <c r="I181" s="73" t="str">
        <f>Table6[[#This Row],[discharge_loc]]</f>
        <v>H6</v>
      </c>
      <c r="J181" s="75">
        <f>Table6[[#This Row],[discharge_date]]</f>
        <v>0</v>
      </c>
      <c r="K181" s="76">
        <f>Table6[[#This Row],[hospital_stay]]</f>
        <v>-43411</v>
      </c>
      <c r="L181" s="76">
        <f>Table6[[#This Row],[readmit_30]]</f>
        <v>0</v>
      </c>
      <c r="M181" s="77" t="str">
        <f>Table9[[#This Row],[troponin]]</f>
        <v>Not Measured</v>
      </c>
      <c r="N181" s="78">
        <f>Table9[[#This Row],[hb]]</f>
        <v>16.399999999999999</v>
      </c>
      <c r="O181" s="78">
        <f>Table9[[#This Row],[creatinine]]</f>
        <v>85</v>
      </c>
      <c r="P181" s="78">
        <f>Table9[[#This Row],[albumin]]</f>
        <v>44</v>
      </c>
      <c r="Q181" s="73" t="str">
        <f>Table9[[#This Row],[chest_physio]]</f>
        <v>Surgery School</v>
      </c>
      <c r="R181" s="73" t="str">
        <f>Table9[[#This Row],[surgery_school]]</f>
        <v>Yes - Hospital Session</v>
      </c>
      <c r="S181" s="75">
        <f>Table9[[#This Row],[date_school]]</f>
        <v>43397</v>
      </c>
      <c r="T181" s="73" t="str">
        <f>Table9[[#This Row],[app_down]]</f>
        <v>No - No electronic device</v>
      </c>
      <c r="U181" s="73" t="str">
        <f>Table9[[#This Row],[website]]</f>
        <v>No</v>
      </c>
      <c r="V181" s="73" t="str">
        <f>Table9[[#This Row],[base_activity]]</f>
        <v>No extra activity - Independent in ADLs</v>
      </c>
      <c r="W181" s="73" t="str">
        <f>Table9[[#This Row],[current_activity]]</f>
        <v>No extra activity - Independent in ADLs</v>
      </c>
      <c r="X181" s="73" t="str">
        <f>Table9[[#This Row],[activity_type]]</f>
        <v>None</v>
      </c>
      <c r="Y181" s="73" t="str">
        <f>Table9[[#This Row],[anaemia_treat]]</f>
        <v>Not applicable</v>
      </c>
      <c r="Z181" s="78" t="str">
        <f>Table9[[#This Row],[anaesthesia]]</f>
        <v>General with Inhalational</v>
      </c>
      <c r="AA181" s="78" t="str">
        <f>Table9[[#This Row],[smoke_hist]]</f>
        <v>Ex-smoker - stopped smoking &gt; 6months ago</v>
      </c>
      <c r="AB181" s="78" t="str">
        <f>Table9[[#This Row],[smoke_cess]]</f>
        <v>Not applicable</v>
      </c>
      <c r="AC181" s="78" t="str">
        <f>Table9[[#This Row],[tidal_vol]]</f>
        <v>Not recorded</v>
      </c>
      <c r="AD181" s="77" t="str">
        <f>Table11[[#This Row],[inc_spiro]]</f>
        <v>Not given one</v>
      </c>
      <c r="AE181" s="73" t="str">
        <f>Table11[[#This Row],[t_brushes]]</f>
        <v>Twice</v>
      </c>
      <c r="AF181" s="78" t="str">
        <f>Table11[[#This Row],[m_washes]]</f>
        <v>None</v>
      </c>
      <c r="AG181" s="78" t="str">
        <f>Table11[[#This Row],[iv_disc]]</f>
        <v>No</v>
      </c>
      <c r="AH181" s="78" t="str">
        <f>Table11[[#This Row],[tolerate_15l]]</f>
        <v>No</v>
      </c>
      <c r="AI181" s="78" t="str">
        <f>Table11[[#This Row],[drinking]]</f>
        <v>Yes</v>
      </c>
      <c r="AJ181" s="78" t="str">
        <f>Table11[[#This Row],[oral_diet]]</f>
        <v>No</v>
      </c>
      <c r="AK181" s="78" t="str">
        <f>Table11[[#This Row],[mobilised]]</f>
        <v>Yes</v>
      </c>
      <c r="AL181" s="79" t="str">
        <f>Table11[[#This Row],[resp_supp]]</f>
        <v>None</v>
      </c>
      <c r="AM181" s="78" t="str">
        <f>Table11[[#This Row],[elev_head]]</f>
        <v>Yes</v>
      </c>
      <c r="AN181" s="78">
        <f>Table13[[#This Row],[in_hospital]]</f>
        <v>0</v>
      </c>
      <c r="AO181" s="78">
        <f>Table13[[#This Row],[location_7]]</f>
        <v>0</v>
      </c>
      <c r="AP181" s="78">
        <f>Table13[[#This Row],[infec_24]]</f>
        <v>0</v>
      </c>
      <c r="AQ181" s="73">
        <f>Table13[[#This Row],[infec_7]]</f>
        <v>0</v>
      </c>
      <c r="AR181" s="73">
        <f>Table13[[#This Row],[gastro]]</f>
        <v>0</v>
      </c>
      <c r="AS181" s="73">
        <f>Table13[[#This Row],[pulm_supp_24]]</f>
        <v>0</v>
      </c>
      <c r="AT181" s="73">
        <f>Table13[[#This Row],[pulm_supp_7]]</f>
        <v>0</v>
      </c>
      <c r="AU181" s="73">
        <f>Table13[[#This Row],[pulm_pharm]]</f>
        <v>0</v>
      </c>
      <c r="AV181" s="73">
        <f>Table13[[#This Row],[cardio_24]]</f>
        <v>0</v>
      </c>
      <c r="AW181" s="73">
        <f>Table13[[#This Row],[troponin_7]]</f>
        <v>0</v>
      </c>
      <c r="AX181" s="73">
        <f>Table13[[#This Row],[creatinine_base]]</f>
        <v>0</v>
      </c>
      <c r="AY181" s="73">
        <f>Table13[[#This Row],[creatinine_high]]</f>
        <v>0</v>
      </c>
      <c r="AZ181" s="73">
        <f>Table13[[#This Row],[rrt]]</f>
        <v>0</v>
      </c>
      <c r="BA181" s="73">
        <f>Table13[[#This Row],[renal_24]]</f>
        <v>0</v>
      </c>
      <c r="BB181" s="73">
        <f>Table13[[#This Row],[neuro]]</f>
        <v>0</v>
      </c>
      <c r="BC181" s="73">
        <f>Table13[[#This Row],[wound]]</f>
        <v>0</v>
      </c>
      <c r="BD181" s="73">
        <f>Table13[[#This Row],[haemato]]</f>
        <v>0</v>
      </c>
      <c r="BE181" s="73">
        <f>Table13[[#This Row],[pain]]</f>
        <v>0</v>
      </c>
      <c r="BF181" s="73">
        <f>Table13[[#This Row],[mobility]]</f>
        <v>0</v>
      </c>
      <c r="BG181" s="79">
        <f>Table13[[#This Row],[why_inpatient_7]]</f>
        <v>0</v>
      </c>
      <c r="BH181" s="9">
        <f>Table13[[#This Row],[date_15]]</f>
        <v>0</v>
      </c>
      <c r="BI181">
        <f>Table13[[#This Row],[inpatient_15]]</f>
        <v>0</v>
      </c>
      <c r="BJ181">
        <f>Table13[[#This Row],[comment_15]]</f>
        <v>0</v>
      </c>
      <c r="BK181">
        <f>Table13[[#This Row],[discharge_dest]]</f>
        <v>0</v>
      </c>
      <c r="BL181">
        <f>Table13[[#This Row],[complication]]</f>
        <v>0</v>
      </c>
    </row>
    <row r="182" spans="1:64" ht="18" customHeight="1">
      <c r="A182" s="73" t="str">
        <f>Table5[[#This Row],[comment]]</f>
        <v>From here: consider any complex abdo surgery as gm eras elegible</v>
      </c>
      <c r="B182" s="73" t="str">
        <f>Table9[[#This Row],[surgeon]]</f>
        <v>Ramakrishna Chaparala</v>
      </c>
      <c r="C182" s="73" t="str">
        <f>Table9[[#This Row],[surgery]]</f>
        <v>Transabdominal anti-reflux operations</v>
      </c>
      <c r="D182" s="74" t="str">
        <f>Table5[[#This Row],[pqip_consent]]</f>
        <v>Yes</v>
      </c>
      <c r="E182" s="73" t="str">
        <f>Table6[[#This Row],[area_surgery]]</f>
        <v>Upper GI</v>
      </c>
      <c r="F182" s="75">
        <f>Table6[[#This Row],[admission_date]]</f>
        <v>43413</v>
      </c>
      <c r="G182" s="75">
        <f>Table6[[#This Row],[admission_date]]</f>
        <v>43413</v>
      </c>
      <c r="H182" s="105">
        <f>Table6[[#This Row],[surgery_duration]]</f>
        <v>0</v>
      </c>
      <c r="I182" s="73" t="str">
        <f>Table6[[#This Row],[discharge_loc]]</f>
        <v>H4</v>
      </c>
      <c r="J182" s="75">
        <f>Table6[[#This Row],[discharge_date]]</f>
        <v>0</v>
      </c>
      <c r="K182" s="76">
        <f>Table6[[#This Row],[hospital_stay]]</f>
        <v>-43413</v>
      </c>
      <c r="L182" s="76">
        <f>Table6[[#This Row],[readmit_30]]</f>
        <v>0</v>
      </c>
      <c r="M182" s="77" t="str">
        <f>Table9[[#This Row],[troponin]]</f>
        <v>Not Measured</v>
      </c>
      <c r="N182" s="78">
        <f>Table9[[#This Row],[hb]]</f>
        <v>13.1</v>
      </c>
      <c r="O182" s="78">
        <f>Table9[[#This Row],[creatinine]]</f>
        <v>58</v>
      </c>
      <c r="P182" s="78" t="str">
        <f>Table9[[#This Row],[albumin]]</f>
        <v>Not Measured</v>
      </c>
      <c r="Q182" s="73" t="str">
        <f>Table9[[#This Row],[chest_physio]]</f>
        <v>No</v>
      </c>
      <c r="R182" s="73" t="str">
        <f>Table9[[#This Row],[surgery_school]]</f>
        <v>No - Wasn’t offered it</v>
      </c>
      <c r="S182" s="75">
        <f>Table9[[#This Row],[date_school]]</f>
        <v>0</v>
      </c>
      <c r="T182" s="73">
        <f>Table9[[#This Row],[app_down]]</f>
        <v>0</v>
      </c>
      <c r="U182" s="73">
        <f>Table9[[#This Row],[website]]</f>
        <v>0</v>
      </c>
      <c r="V182" s="73">
        <f>Table9[[#This Row],[base_activity]]</f>
        <v>0</v>
      </c>
      <c r="W182" s="73">
        <f>Table9[[#This Row],[current_activity]]</f>
        <v>0</v>
      </c>
      <c r="X182" s="73">
        <f>Table9[[#This Row],[activity_type]]</f>
        <v>0</v>
      </c>
      <c r="Y182" s="73" t="str">
        <f>Table9[[#This Row],[anaemia_treat]]</f>
        <v>Not applicable</v>
      </c>
      <c r="Z182" s="78">
        <f>Table9[[#This Row],[anaesthesia]]</f>
        <v>0</v>
      </c>
      <c r="AA182" s="78" t="str">
        <f>Table9[[#This Row],[smoke_hist]]</f>
        <v>Current smoker</v>
      </c>
      <c r="AB182" s="78" t="str">
        <f>Table9[[#This Row],[smoke_cess]]</f>
        <v>No</v>
      </c>
      <c r="AC182" s="78" t="str">
        <f>Table9[[#This Row],[tidal_vol]]</f>
        <v>Not recorded</v>
      </c>
      <c r="AD182" s="77">
        <f>Table11[[#This Row],[inc_spiro]]</f>
        <v>0</v>
      </c>
      <c r="AE182" s="73">
        <f>Table11[[#This Row],[t_brushes]]</f>
        <v>0</v>
      </c>
      <c r="AF182" s="78">
        <f>Table11[[#This Row],[m_washes]]</f>
        <v>0</v>
      </c>
      <c r="AG182" s="78">
        <f>Table11[[#This Row],[iv_disc]]</f>
        <v>0</v>
      </c>
      <c r="AH182" s="78">
        <f>Table11[[#This Row],[tolerate_15l]]</f>
        <v>0</v>
      </c>
      <c r="AI182" s="78">
        <f>Table11[[#This Row],[drinking]]</f>
        <v>0</v>
      </c>
      <c r="AJ182" s="78">
        <f>Table11[[#This Row],[oral_diet]]</f>
        <v>0</v>
      </c>
      <c r="AK182" s="78">
        <f>Table11[[#This Row],[mobilised]]</f>
        <v>0</v>
      </c>
      <c r="AL182" s="79">
        <f>Table11[[#This Row],[resp_supp]]</f>
        <v>0</v>
      </c>
      <c r="AM182" s="78">
        <f>Table11[[#This Row],[elev_head]]</f>
        <v>0</v>
      </c>
      <c r="AN182" s="78">
        <f>Table13[[#This Row],[in_hospital]]</f>
        <v>0</v>
      </c>
      <c r="AO182" s="78">
        <f>Table13[[#This Row],[location_7]]</f>
        <v>0</v>
      </c>
      <c r="AP182" s="78">
        <f>Table13[[#This Row],[infec_24]]</f>
        <v>0</v>
      </c>
      <c r="AQ182" s="73">
        <f>Table13[[#This Row],[infec_7]]</f>
        <v>0</v>
      </c>
      <c r="AR182" s="73">
        <f>Table13[[#This Row],[gastro]]</f>
        <v>0</v>
      </c>
      <c r="AS182" s="73">
        <f>Table13[[#This Row],[pulm_supp_24]]</f>
        <v>0</v>
      </c>
      <c r="AT182" s="73">
        <f>Table13[[#This Row],[pulm_supp_7]]</f>
        <v>0</v>
      </c>
      <c r="AU182" s="73">
        <f>Table13[[#This Row],[pulm_pharm]]</f>
        <v>0</v>
      </c>
      <c r="AV182" s="73">
        <f>Table13[[#This Row],[cardio_24]]</f>
        <v>0</v>
      </c>
      <c r="AW182" s="73">
        <f>Table13[[#This Row],[troponin_7]]</f>
        <v>0</v>
      </c>
      <c r="AX182" s="73">
        <f>Table13[[#This Row],[creatinine_base]]</f>
        <v>0</v>
      </c>
      <c r="AY182" s="73">
        <f>Table13[[#This Row],[creatinine_high]]</f>
        <v>0</v>
      </c>
      <c r="AZ182" s="73">
        <f>Table13[[#This Row],[rrt]]</f>
        <v>0</v>
      </c>
      <c r="BA182" s="73">
        <f>Table13[[#This Row],[renal_24]]</f>
        <v>0</v>
      </c>
      <c r="BB182" s="73">
        <f>Table13[[#This Row],[neuro]]</f>
        <v>0</v>
      </c>
      <c r="BC182" s="73">
        <f>Table13[[#This Row],[wound]]</f>
        <v>0</v>
      </c>
      <c r="BD182" s="73">
        <f>Table13[[#This Row],[haemato]]</f>
        <v>0</v>
      </c>
      <c r="BE182" s="73">
        <f>Table13[[#This Row],[pain]]</f>
        <v>0</v>
      </c>
      <c r="BF182" s="73">
        <f>Table13[[#This Row],[mobility]]</f>
        <v>0</v>
      </c>
      <c r="BG182" s="79">
        <f>Table13[[#This Row],[why_inpatient_7]]</f>
        <v>0</v>
      </c>
      <c r="BH182" s="9">
        <f>Table13[[#This Row],[date_15]]</f>
        <v>0</v>
      </c>
      <c r="BI182">
        <f>Table13[[#This Row],[inpatient_15]]</f>
        <v>0</v>
      </c>
      <c r="BJ182">
        <f>Table13[[#This Row],[comment_15]]</f>
        <v>0</v>
      </c>
      <c r="BK182">
        <f>Table13[[#This Row],[discharge_dest]]</f>
        <v>0</v>
      </c>
      <c r="BL182">
        <f>Table13[[#This Row],[complication]]</f>
        <v>0</v>
      </c>
    </row>
    <row r="183" spans="1:64" ht="18" customHeight="1">
      <c r="A183" s="73">
        <f>Table5[[#This Row],[comment]]</f>
        <v>0</v>
      </c>
      <c r="B183" s="73" t="str">
        <f>Table9[[#This Row],[surgeon]]</f>
        <v>Clare Mason</v>
      </c>
      <c r="C183" s="73" t="str">
        <f>Table9[[#This Row],[surgery]]</f>
        <v>Anterior resection</v>
      </c>
      <c r="D183" s="74" t="str">
        <f>Table5[[#This Row],[pqip_consent]]</f>
        <v>Yes</v>
      </c>
      <c r="E183" s="73" t="str">
        <f>Table6[[#This Row],[area_surgery]]</f>
        <v>Lower GI</v>
      </c>
      <c r="F183" s="75">
        <f>Table6[[#This Row],[admission_date]]</f>
        <v>43412</v>
      </c>
      <c r="G183" s="75">
        <f>Table6[[#This Row],[admission_date]]</f>
        <v>43412</v>
      </c>
      <c r="H183" s="105">
        <f>Table6[[#This Row],[surgery_duration]]</f>
        <v>0.33333333333333331</v>
      </c>
      <c r="I183" s="73" t="str">
        <f>Table6[[#This Row],[discharge_loc]]</f>
        <v>H6</v>
      </c>
      <c r="J183" s="75">
        <f>Table6[[#This Row],[discharge_date]]</f>
        <v>0</v>
      </c>
      <c r="K183" s="76">
        <f>Table6[[#This Row],[hospital_stay]]</f>
        <v>-43412</v>
      </c>
      <c r="L183" s="76">
        <f>Table6[[#This Row],[readmit_30]]</f>
        <v>0</v>
      </c>
      <c r="M183" s="77" t="str">
        <f>Table9[[#This Row],[troponin]]</f>
        <v>Not Measured</v>
      </c>
      <c r="N183" s="78">
        <f>Table9[[#This Row],[hb]]</f>
        <v>12.7</v>
      </c>
      <c r="O183" s="78">
        <f>Table9[[#This Row],[creatinine]]</f>
        <v>76</v>
      </c>
      <c r="P183" s="78">
        <f>Table9[[#This Row],[albumin]]</f>
        <v>45</v>
      </c>
      <c r="Q183" s="73" t="str">
        <f>Table9[[#This Row],[chest_physio]]</f>
        <v>Surgery School</v>
      </c>
      <c r="R183" s="73" t="str">
        <f>Table9[[#This Row],[surgery_school]]</f>
        <v>Yes - Hospital Session</v>
      </c>
      <c r="S183" s="75">
        <f>Table9[[#This Row],[date_school]]</f>
        <v>43405</v>
      </c>
      <c r="T183" s="73" t="str">
        <f>Table9[[#This Row],[app_down]]</f>
        <v>No - Have electronic device</v>
      </c>
      <c r="U183" s="73" t="str">
        <f>Table9[[#This Row],[website]]</f>
        <v>No</v>
      </c>
      <c r="V183" s="73" t="str">
        <f>Table9[[#This Row],[base_activity]]</f>
        <v>20mins of moderate activity</v>
      </c>
      <c r="W183" s="73" t="str">
        <f>Table9[[#This Row],[current_activity]]</f>
        <v>20mins of moderate activity</v>
      </c>
      <c r="X183" s="73" t="str">
        <f>Table9[[#This Row],[activity_type]]</f>
        <v xml:space="preserve">Walking regularly </v>
      </c>
      <c r="Y183" s="73" t="str">
        <f>Table9[[#This Row],[anaemia_treat]]</f>
        <v>Not applicable</v>
      </c>
      <c r="Z183" s="78" t="str">
        <f>Table9[[#This Row],[anaesthesia]]</f>
        <v>General with Inhalational</v>
      </c>
      <c r="AA183" s="78" t="str">
        <f>Table9[[#This Row],[smoke_hist]]</f>
        <v>Ex-smoker - stopped smoking &gt; 6months ago</v>
      </c>
      <c r="AB183" s="78" t="str">
        <f>Table9[[#This Row],[smoke_cess]]</f>
        <v>Not applicable</v>
      </c>
      <c r="AC183" s="78" t="str">
        <f>Table9[[#This Row],[tidal_vol]]</f>
        <v>Not recorded</v>
      </c>
      <c r="AD183" s="77" t="str">
        <f>Table11[[#This Row],[inc_spiro]]</f>
        <v>Not given one</v>
      </c>
      <c r="AE183" s="73" t="str">
        <f>Table11[[#This Row],[t_brushes]]</f>
        <v>Once</v>
      </c>
      <c r="AF183" s="78" t="str">
        <f>Table11[[#This Row],[m_washes]]</f>
        <v>None</v>
      </c>
      <c r="AG183" s="78" t="str">
        <f>Table11[[#This Row],[iv_disc]]</f>
        <v>Yes</v>
      </c>
      <c r="AH183" s="78" t="str">
        <f>Table11[[#This Row],[tolerate_15l]]</f>
        <v>Yes</v>
      </c>
      <c r="AI183" s="78" t="str">
        <f>Table11[[#This Row],[drinking]]</f>
        <v>Yes</v>
      </c>
      <c r="AJ183" s="78" t="str">
        <f>Table11[[#This Row],[oral_diet]]</f>
        <v>Yes</v>
      </c>
      <c r="AK183" s="78" t="str">
        <f>Table11[[#This Row],[mobilised]]</f>
        <v>Yes</v>
      </c>
      <c r="AL183" s="79" t="str">
        <f>Table11[[#This Row],[resp_supp]]</f>
        <v>None</v>
      </c>
      <c r="AM183" s="78" t="str">
        <f>Table11[[#This Row],[elev_head]]</f>
        <v>Yes</v>
      </c>
      <c r="AN183" s="78">
        <f>Table13[[#This Row],[in_hospital]]</f>
        <v>0</v>
      </c>
      <c r="AO183" s="78">
        <f>Table13[[#This Row],[location_7]]</f>
        <v>0</v>
      </c>
      <c r="AP183" s="78">
        <f>Table13[[#This Row],[infec_24]]</f>
        <v>0</v>
      </c>
      <c r="AQ183" s="73">
        <f>Table13[[#This Row],[infec_7]]</f>
        <v>0</v>
      </c>
      <c r="AR183" s="73">
        <f>Table13[[#This Row],[gastro]]</f>
        <v>0</v>
      </c>
      <c r="AS183" s="73">
        <f>Table13[[#This Row],[pulm_supp_24]]</f>
        <v>0</v>
      </c>
      <c r="AT183" s="73">
        <f>Table13[[#This Row],[pulm_supp_7]]</f>
        <v>0</v>
      </c>
      <c r="AU183" s="73">
        <f>Table13[[#This Row],[pulm_pharm]]</f>
        <v>0</v>
      </c>
      <c r="AV183" s="73">
        <f>Table13[[#This Row],[cardio_24]]</f>
        <v>0</v>
      </c>
      <c r="AW183" s="73">
        <f>Table13[[#This Row],[troponin_7]]</f>
        <v>0</v>
      </c>
      <c r="AX183" s="73">
        <f>Table13[[#This Row],[creatinine_base]]</f>
        <v>0</v>
      </c>
      <c r="AY183" s="73">
        <f>Table13[[#This Row],[creatinine_high]]</f>
        <v>0</v>
      </c>
      <c r="AZ183" s="73">
        <f>Table13[[#This Row],[rrt]]</f>
        <v>0</v>
      </c>
      <c r="BA183" s="73">
        <f>Table13[[#This Row],[renal_24]]</f>
        <v>0</v>
      </c>
      <c r="BB183" s="73">
        <f>Table13[[#This Row],[neuro]]</f>
        <v>0</v>
      </c>
      <c r="BC183" s="73">
        <f>Table13[[#This Row],[wound]]</f>
        <v>0</v>
      </c>
      <c r="BD183" s="73">
        <f>Table13[[#This Row],[haemato]]</f>
        <v>0</v>
      </c>
      <c r="BE183" s="73">
        <f>Table13[[#This Row],[pain]]</f>
        <v>0</v>
      </c>
      <c r="BF183" s="73">
        <f>Table13[[#This Row],[mobility]]</f>
        <v>0</v>
      </c>
      <c r="BG183" s="79">
        <f>Table13[[#This Row],[why_inpatient_7]]</f>
        <v>0</v>
      </c>
      <c r="BH183" s="9">
        <f>Table13[[#This Row],[date_15]]</f>
        <v>0</v>
      </c>
      <c r="BI183">
        <f>Table13[[#This Row],[inpatient_15]]</f>
        <v>0</v>
      </c>
      <c r="BJ183">
        <f>Table13[[#This Row],[comment_15]]</f>
        <v>0</v>
      </c>
      <c r="BK183">
        <f>Table13[[#This Row],[discharge_dest]]</f>
        <v>0</v>
      </c>
      <c r="BL183">
        <f>Table13[[#This Row],[complication]]</f>
        <v>0</v>
      </c>
    </row>
    <row r="184" spans="1:64" ht="18" customHeight="1">
      <c r="A184" s="73">
        <f>Table5[[#This Row],[comment]]</f>
        <v>0</v>
      </c>
      <c r="B184" s="73" t="str">
        <f>Table9[[#This Row],[surgeon]]</f>
        <v>Dominic Slade</v>
      </c>
      <c r="C184" s="73" t="str">
        <f>Table9[[#This Row],[surgery]]</f>
        <v>Reversal of Hartmann's procedure</v>
      </c>
      <c r="D184" s="74" t="str">
        <f>Table5[[#This Row],[pqip_consent]]</f>
        <v>Yes</v>
      </c>
      <c r="E184" s="73" t="str">
        <f>Table6[[#This Row],[area_surgery]]</f>
        <v>Lower GI</v>
      </c>
      <c r="F184" s="75">
        <f>Table6[[#This Row],[admission_date]]</f>
        <v>43412</v>
      </c>
      <c r="G184" s="75">
        <f>Table6[[#This Row],[admission_date]]</f>
        <v>43412</v>
      </c>
      <c r="H184" s="105">
        <f>Table6[[#This Row],[surgery_duration]]</f>
        <v>0.29166666666666669</v>
      </c>
      <c r="I184" s="73" t="str">
        <f>Table6[[#This Row],[discharge_loc]]</f>
        <v>Ward</v>
      </c>
      <c r="J184" s="75">
        <f>Table6[[#This Row],[discharge_date]]</f>
        <v>0</v>
      </c>
      <c r="K184" s="76">
        <f>Table6[[#This Row],[hospital_stay]]</f>
        <v>-43412</v>
      </c>
      <c r="L184" s="76">
        <f>Table6[[#This Row],[readmit_30]]</f>
        <v>0</v>
      </c>
      <c r="M184" s="77" t="str">
        <f>Table9[[#This Row],[troponin]]</f>
        <v>Not Measured</v>
      </c>
      <c r="N184" s="78">
        <f>Table9[[#This Row],[hb]]</f>
        <v>13.9</v>
      </c>
      <c r="O184" s="78">
        <f>Table9[[#This Row],[creatinine]]</f>
        <v>58</v>
      </c>
      <c r="P184" s="78">
        <f>Table9[[#This Row],[albumin]]</f>
        <v>41</v>
      </c>
      <c r="Q184" s="73" t="str">
        <f>Table9[[#This Row],[chest_physio]]</f>
        <v>Surgery School</v>
      </c>
      <c r="R184" s="73" t="str">
        <f>Table9[[#This Row],[surgery_school]]</f>
        <v>Yes - Hospital Session</v>
      </c>
      <c r="S184" s="75">
        <f>Table9[[#This Row],[date_school]]</f>
        <v>43347</v>
      </c>
      <c r="T184" s="73" t="str">
        <f>Table9[[#This Row],[app_down]]</f>
        <v>No - Have electronic device</v>
      </c>
      <c r="U184" s="73" t="str">
        <f>Table9[[#This Row],[website]]</f>
        <v>No</v>
      </c>
      <c r="V184" s="73" t="str">
        <f>Table9[[#This Row],[base_activity]]</f>
        <v>No extra activity - Independent in ADLs</v>
      </c>
      <c r="W184" s="73" t="str">
        <f>Table9[[#This Row],[current_activity]]</f>
        <v>20mins of moderate activity</v>
      </c>
      <c r="X184" s="73" t="str">
        <f>Table9[[#This Row],[activity_type]]</f>
        <v>Exercise bicycle at home</v>
      </c>
      <c r="Y184" s="73" t="str">
        <f>Table9[[#This Row],[anaemia_treat]]</f>
        <v>Not applicable</v>
      </c>
      <c r="Z184" s="78" t="str">
        <f>Table9[[#This Row],[anaesthesia]]</f>
        <v>General with Inhalational</v>
      </c>
      <c r="AA184" s="78" t="str">
        <f>Table9[[#This Row],[smoke_hist]]</f>
        <v>Ex-smoker - stopped smoking &lt;=6 months ago</v>
      </c>
      <c r="AB184" s="78" t="str">
        <f>Table9[[#This Row],[smoke_cess]]</f>
        <v>Not applicable</v>
      </c>
      <c r="AC184" s="78" t="str">
        <f>Table9[[#This Row],[tidal_vol]]</f>
        <v>Not recorded</v>
      </c>
      <c r="AD184" s="77" t="str">
        <f>Table11[[#This Row],[inc_spiro]]</f>
        <v>Not used</v>
      </c>
      <c r="AE184" s="73" t="str">
        <f>Table11[[#This Row],[t_brushes]]</f>
        <v>Once</v>
      </c>
      <c r="AF184" s="78" t="str">
        <f>Table11[[#This Row],[m_washes]]</f>
        <v>None</v>
      </c>
      <c r="AG184" s="78" t="str">
        <f>Table11[[#This Row],[iv_disc]]</f>
        <v>No</v>
      </c>
      <c r="AH184" s="78" t="str">
        <f>Table11[[#This Row],[tolerate_15l]]</f>
        <v>No</v>
      </c>
      <c r="AI184" s="78" t="str">
        <f>Table11[[#This Row],[drinking]]</f>
        <v>Yes</v>
      </c>
      <c r="AJ184" s="78" t="str">
        <f>Table11[[#This Row],[oral_diet]]</f>
        <v>No</v>
      </c>
      <c r="AK184" s="78" t="str">
        <f>Table11[[#This Row],[mobilised]]</f>
        <v>No</v>
      </c>
      <c r="AL184" s="79" t="str">
        <f>Table11[[#This Row],[resp_supp]]</f>
        <v>None</v>
      </c>
      <c r="AM184" s="78" t="str">
        <f>Table11[[#This Row],[elev_head]]</f>
        <v>Yes</v>
      </c>
      <c r="AN184" s="78">
        <f>Table13[[#This Row],[in_hospital]]</f>
        <v>0</v>
      </c>
      <c r="AO184" s="78">
        <f>Table13[[#This Row],[location_7]]</f>
        <v>0</v>
      </c>
      <c r="AP184" s="78">
        <f>Table13[[#This Row],[infec_24]]</f>
        <v>0</v>
      </c>
      <c r="AQ184" s="73">
        <f>Table13[[#This Row],[infec_7]]</f>
        <v>0</v>
      </c>
      <c r="AR184" s="73">
        <f>Table13[[#This Row],[gastro]]</f>
        <v>0</v>
      </c>
      <c r="AS184" s="73">
        <f>Table13[[#This Row],[pulm_supp_24]]</f>
        <v>0</v>
      </c>
      <c r="AT184" s="73">
        <f>Table13[[#This Row],[pulm_supp_7]]</f>
        <v>0</v>
      </c>
      <c r="AU184" s="73">
        <f>Table13[[#This Row],[pulm_pharm]]</f>
        <v>0</v>
      </c>
      <c r="AV184" s="73">
        <f>Table13[[#This Row],[cardio_24]]</f>
        <v>0</v>
      </c>
      <c r="AW184" s="73">
        <f>Table13[[#This Row],[troponin_7]]</f>
        <v>0</v>
      </c>
      <c r="AX184" s="73">
        <f>Table13[[#This Row],[creatinine_base]]</f>
        <v>0</v>
      </c>
      <c r="AY184" s="73">
        <f>Table13[[#This Row],[creatinine_high]]</f>
        <v>0</v>
      </c>
      <c r="AZ184" s="73">
        <f>Table13[[#This Row],[rrt]]</f>
        <v>0</v>
      </c>
      <c r="BA184" s="73">
        <f>Table13[[#This Row],[renal_24]]</f>
        <v>0</v>
      </c>
      <c r="BB184" s="73">
        <f>Table13[[#This Row],[neuro]]</f>
        <v>0</v>
      </c>
      <c r="BC184" s="73">
        <f>Table13[[#This Row],[wound]]</f>
        <v>0</v>
      </c>
      <c r="BD184" s="73">
        <f>Table13[[#This Row],[haemato]]</f>
        <v>0</v>
      </c>
      <c r="BE184" s="73">
        <f>Table13[[#This Row],[pain]]</f>
        <v>0</v>
      </c>
      <c r="BF184" s="73">
        <f>Table13[[#This Row],[mobility]]</f>
        <v>0</v>
      </c>
      <c r="BG184" s="79">
        <f>Table13[[#This Row],[why_inpatient_7]]</f>
        <v>0</v>
      </c>
      <c r="BH184" s="9">
        <f>Table13[[#This Row],[date_15]]</f>
        <v>0</v>
      </c>
      <c r="BI184">
        <f>Table13[[#This Row],[inpatient_15]]</f>
        <v>0</v>
      </c>
      <c r="BJ184">
        <f>Table13[[#This Row],[comment_15]]</f>
        <v>0</v>
      </c>
      <c r="BK184">
        <f>Table13[[#This Row],[discharge_dest]]</f>
        <v>0</v>
      </c>
      <c r="BL184">
        <f>Table13[[#This Row],[complication]]</f>
        <v>0</v>
      </c>
    </row>
    <row r="185" spans="1:64" ht="18" customHeight="1">
      <c r="A185" s="73">
        <f>Table5[[#This Row],[comment]]</f>
        <v>0</v>
      </c>
      <c r="B185" s="73" t="str">
        <f>Table9[[#This Row],[surgeon]]</f>
        <v>Satish Maddineni</v>
      </c>
      <c r="C185" s="73" t="str">
        <f>Table9[[#This Row],[surgery]]</f>
        <v>Nephrectomy and excision of perirenal tissue</v>
      </c>
      <c r="D185" s="74" t="str">
        <f>Table5[[#This Row],[pqip_consent]]</f>
        <v>Yes</v>
      </c>
      <c r="E185" s="73" t="str">
        <f>Table6[[#This Row],[area_surgery]]</f>
        <v>Urology</v>
      </c>
      <c r="F185" s="75">
        <f>Table6[[#This Row],[admission_date]]</f>
        <v>43412</v>
      </c>
      <c r="G185" s="75">
        <f>Table6[[#This Row],[admission_date]]</f>
        <v>43412</v>
      </c>
      <c r="H185" s="105">
        <f>Table6[[#This Row],[surgery_duration]]</f>
        <v>0.15277777777777776</v>
      </c>
      <c r="I185" s="73" t="str">
        <f>Table6[[#This Row],[discharge_loc]]</f>
        <v>H6</v>
      </c>
      <c r="J185" s="75">
        <f>Table6[[#This Row],[discharge_date]]</f>
        <v>0</v>
      </c>
      <c r="K185" s="76">
        <f>Table6[[#This Row],[hospital_stay]]</f>
        <v>-43412</v>
      </c>
      <c r="L185" s="76">
        <f>Table6[[#This Row],[readmit_30]]</f>
        <v>0</v>
      </c>
      <c r="M185" s="77" t="str">
        <f>Table9[[#This Row],[troponin]]</f>
        <v>Not Measured</v>
      </c>
      <c r="N185" s="78">
        <f>Table9[[#This Row],[hb]]</f>
        <v>14.6</v>
      </c>
      <c r="O185" s="78">
        <f>Table9[[#This Row],[creatinine]]</f>
        <v>108</v>
      </c>
      <c r="P185" s="78" t="str">
        <f>Table9[[#This Row],[albumin]]</f>
        <v>Not Measured</v>
      </c>
      <c r="Q185" s="73" t="str">
        <f>Table9[[#This Row],[chest_physio]]</f>
        <v>Surgery School</v>
      </c>
      <c r="R185" s="73" t="str">
        <f>Table9[[#This Row],[surgery_school]]</f>
        <v>Yes - Hospital Session</v>
      </c>
      <c r="S185" s="75">
        <f>Table9[[#This Row],[date_school]]</f>
        <v>43398</v>
      </c>
      <c r="T185" s="73" t="str">
        <f>Table9[[#This Row],[app_down]]</f>
        <v>No - No electronic device</v>
      </c>
      <c r="U185" s="73" t="str">
        <f>Table9[[#This Row],[website]]</f>
        <v>No</v>
      </c>
      <c r="V185" s="73" t="str">
        <f>Table9[[#This Row],[base_activity]]</f>
        <v>&gt;30mins of moderate activity</v>
      </c>
      <c r="W185" s="73" t="str">
        <f>Table9[[#This Row],[current_activity]]</f>
        <v>&gt;30mins of moderate activity</v>
      </c>
      <c r="X185" s="73" t="str">
        <f>Table9[[#This Row],[activity_type]]</f>
        <v xml:space="preserve">Walking regularly </v>
      </c>
      <c r="Y185" s="73" t="str">
        <f>Table9[[#This Row],[anaemia_treat]]</f>
        <v>Not applicable</v>
      </c>
      <c r="Z185" s="78" t="str">
        <f>Table9[[#This Row],[anaesthesia]]</f>
        <v>General with Inhalational</v>
      </c>
      <c r="AA185" s="78" t="str">
        <f>Table9[[#This Row],[smoke_hist]]</f>
        <v>Never smoked</v>
      </c>
      <c r="AB185" s="78" t="str">
        <f>Table9[[#This Row],[smoke_cess]]</f>
        <v>Not applicable</v>
      </c>
      <c r="AC185" s="78" t="str">
        <f>Table9[[#This Row],[tidal_vol]]</f>
        <v>Not recorded</v>
      </c>
      <c r="AD185" s="77" t="str">
        <f>Table11[[#This Row],[inc_spiro]]</f>
        <v>Not given one</v>
      </c>
      <c r="AE185" s="73" t="str">
        <f>Table11[[#This Row],[t_brushes]]</f>
        <v>Once</v>
      </c>
      <c r="AF185" s="78" t="str">
        <f>Table11[[#This Row],[m_washes]]</f>
        <v>None</v>
      </c>
      <c r="AG185" s="78" t="str">
        <f>Table11[[#This Row],[iv_disc]]</f>
        <v>Yes</v>
      </c>
      <c r="AH185" s="78" t="str">
        <f>Table11[[#This Row],[tolerate_15l]]</f>
        <v>No</v>
      </c>
      <c r="AI185" s="78" t="str">
        <f>Table11[[#This Row],[drinking]]</f>
        <v>Yes</v>
      </c>
      <c r="AJ185" s="78" t="str">
        <f>Table11[[#This Row],[oral_diet]]</f>
        <v>Yes</v>
      </c>
      <c r="AK185" s="78" t="str">
        <f>Table11[[#This Row],[mobilised]]</f>
        <v>Yes</v>
      </c>
      <c r="AL185" s="79" t="str">
        <f>Table11[[#This Row],[resp_supp]]</f>
        <v>None</v>
      </c>
      <c r="AM185" s="78" t="str">
        <f>Table11[[#This Row],[elev_head]]</f>
        <v>Yes</v>
      </c>
      <c r="AN185" s="78">
        <f>Table13[[#This Row],[in_hospital]]</f>
        <v>0</v>
      </c>
      <c r="AO185" s="78">
        <f>Table13[[#This Row],[location_7]]</f>
        <v>0</v>
      </c>
      <c r="AP185" s="78">
        <f>Table13[[#This Row],[infec_24]]</f>
        <v>0</v>
      </c>
      <c r="AQ185" s="73">
        <f>Table13[[#This Row],[infec_7]]</f>
        <v>0</v>
      </c>
      <c r="AR185" s="73">
        <f>Table13[[#This Row],[gastro]]</f>
        <v>0</v>
      </c>
      <c r="AS185" s="73">
        <f>Table13[[#This Row],[pulm_supp_24]]</f>
        <v>0</v>
      </c>
      <c r="AT185" s="73">
        <f>Table13[[#This Row],[pulm_supp_7]]</f>
        <v>0</v>
      </c>
      <c r="AU185" s="73">
        <f>Table13[[#This Row],[pulm_pharm]]</f>
        <v>0</v>
      </c>
      <c r="AV185" s="73">
        <f>Table13[[#This Row],[cardio_24]]</f>
        <v>0</v>
      </c>
      <c r="AW185" s="73">
        <f>Table13[[#This Row],[troponin_7]]</f>
        <v>0</v>
      </c>
      <c r="AX185" s="73">
        <f>Table13[[#This Row],[creatinine_base]]</f>
        <v>0</v>
      </c>
      <c r="AY185" s="73">
        <f>Table13[[#This Row],[creatinine_high]]</f>
        <v>0</v>
      </c>
      <c r="AZ185" s="73">
        <f>Table13[[#This Row],[rrt]]</f>
        <v>0</v>
      </c>
      <c r="BA185" s="73">
        <f>Table13[[#This Row],[renal_24]]</f>
        <v>0</v>
      </c>
      <c r="BB185" s="73">
        <f>Table13[[#This Row],[neuro]]</f>
        <v>0</v>
      </c>
      <c r="BC185" s="73">
        <f>Table13[[#This Row],[wound]]</f>
        <v>0</v>
      </c>
      <c r="BD185" s="73">
        <f>Table13[[#This Row],[haemato]]</f>
        <v>0</v>
      </c>
      <c r="BE185" s="73">
        <f>Table13[[#This Row],[pain]]</f>
        <v>0</v>
      </c>
      <c r="BF185" s="73">
        <f>Table13[[#This Row],[mobility]]</f>
        <v>0</v>
      </c>
      <c r="BG185" s="79">
        <f>Table13[[#This Row],[why_inpatient_7]]</f>
        <v>0</v>
      </c>
      <c r="BH185" s="9">
        <f>Table13[[#This Row],[date_15]]</f>
        <v>0</v>
      </c>
      <c r="BI185">
        <f>Table13[[#This Row],[inpatient_15]]</f>
        <v>0</v>
      </c>
      <c r="BJ185">
        <f>Table13[[#This Row],[comment_15]]</f>
        <v>0</v>
      </c>
      <c r="BK185">
        <f>Table13[[#This Row],[discharge_dest]]</f>
        <v>0</v>
      </c>
      <c r="BL185">
        <f>Table13[[#This Row],[complication]]</f>
        <v>0</v>
      </c>
    </row>
  </sheetData>
  <dataConsolidate function="var"/>
  <conditionalFormatting sqref="J2:L185 Q2:AU185 F2:H185 J186:J1048576 A2:C185">
    <cfRule type="cellIs" dxfId="106" priority="14" operator="equal">
      <formula>0</formula>
    </cfRule>
  </conditionalFormatting>
  <conditionalFormatting sqref="D2:E185 I2:I185">
    <cfRule type="cellIs" dxfId="105" priority="10" operator="equal">
      <formula>0</formula>
    </cfRule>
  </conditionalFormatting>
  <conditionalFormatting sqref="A2:BG185">
    <cfRule type="containsBlanks" dxfId="104" priority="7">
      <formula>LEN(TRIM(A2))=0</formula>
    </cfRule>
  </conditionalFormatting>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dimension ref="B1:K327"/>
  <sheetViews>
    <sheetView topLeftCell="A78" zoomScale="70" zoomScaleNormal="70" workbookViewId="0">
      <selection activeCell="B171" sqref="B171"/>
    </sheetView>
  </sheetViews>
  <sheetFormatPr defaultRowHeight="15"/>
  <cols>
    <col min="2" max="2" width="83.140625" customWidth="1"/>
    <col min="10" max="10" width="23.42578125" style="19" customWidth="1"/>
    <col min="13" max="13" width="9.140625" customWidth="1"/>
  </cols>
  <sheetData>
    <row r="1" spans="2:11" ht="15.75" thickBot="1">
      <c r="B1" s="28"/>
    </row>
    <row r="2" spans="2:11" ht="15.75" thickBot="1">
      <c r="B2" s="28"/>
      <c r="C2" s="27"/>
      <c r="D2" s="3"/>
      <c r="J2" s="24" t="s">
        <v>111</v>
      </c>
    </row>
    <row r="3" spans="2:11" ht="26.25">
      <c r="B3" s="45" t="s">
        <v>0</v>
      </c>
      <c r="C3" s="3"/>
      <c r="D3" s="3"/>
      <c r="F3" s="1"/>
      <c r="G3" s="1"/>
      <c r="H3" s="1"/>
      <c r="I3" s="1"/>
      <c r="J3" s="26" t="s">
        <v>220</v>
      </c>
      <c r="K3" s="1"/>
    </row>
    <row r="4" spans="2:11">
      <c r="B4" s="40" t="s">
        <v>2</v>
      </c>
      <c r="C4" s="3"/>
      <c r="D4" s="3"/>
      <c r="F4" s="1"/>
      <c r="G4" s="11" t="s">
        <v>3</v>
      </c>
      <c r="H4" s="1"/>
      <c r="I4" s="1"/>
      <c r="J4" s="22" t="s">
        <v>102</v>
      </c>
      <c r="K4" s="1"/>
    </row>
    <row r="5" spans="2:11" ht="30">
      <c r="B5" s="46" t="s">
        <v>209</v>
      </c>
      <c r="C5" s="3"/>
      <c r="D5" s="3"/>
      <c r="F5" s="1"/>
      <c r="G5" s="11" t="s">
        <v>4</v>
      </c>
      <c r="H5" s="1"/>
      <c r="I5" s="1"/>
      <c r="J5" s="22" t="s">
        <v>104</v>
      </c>
      <c r="K5" s="1"/>
    </row>
    <row r="6" spans="2:11">
      <c r="B6" s="48" t="s">
        <v>210</v>
      </c>
      <c r="C6" s="3"/>
      <c r="D6" s="3"/>
      <c r="F6" s="1"/>
      <c r="G6" s="1"/>
      <c r="H6" s="1"/>
      <c r="I6" s="1"/>
      <c r="J6" s="22" t="s">
        <v>98</v>
      </c>
      <c r="K6" s="1"/>
    </row>
    <row r="7" spans="2:11" ht="15" customHeight="1">
      <c r="B7" s="48" t="s">
        <v>211</v>
      </c>
      <c r="C7" s="3"/>
      <c r="D7" s="3"/>
      <c r="F7" s="1"/>
      <c r="G7" s="1"/>
      <c r="H7" s="1"/>
      <c r="I7" s="1"/>
      <c r="J7" s="22" t="s">
        <v>93</v>
      </c>
      <c r="K7" s="1"/>
    </row>
    <row r="8" spans="2:11">
      <c r="B8" s="48"/>
      <c r="C8" s="3"/>
      <c r="D8" s="3"/>
      <c r="F8" s="1"/>
      <c r="G8" s="1"/>
      <c r="H8" s="1"/>
      <c r="I8" s="1"/>
      <c r="J8" s="22" t="s">
        <v>101</v>
      </c>
      <c r="K8" s="1"/>
    </row>
    <row r="9" spans="2:11">
      <c r="B9" s="40" t="s">
        <v>774</v>
      </c>
      <c r="C9" s="3"/>
      <c r="D9" s="3"/>
      <c r="F9" s="1"/>
      <c r="G9" s="1"/>
      <c r="H9" s="1"/>
      <c r="I9" s="1"/>
      <c r="J9" s="22"/>
      <c r="K9" s="1"/>
    </row>
    <row r="10" spans="2:11">
      <c r="B10" s="48" t="s">
        <v>210</v>
      </c>
      <c r="C10" s="3"/>
      <c r="D10" s="3"/>
      <c r="F10" s="1"/>
      <c r="G10" s="1"/>
      <c r="H10" s="1"/>
      <c r="I10" s="1"/>
      <c r="J10" s="22"/>
      <c r="K10" s="1"/>
    </row>
    <row r="11" spans="2:11" ht="15" customHeight="1">
      <c r="B11" s="48" t="s">
        <v>773</v>
      </c>
      <c r="C11" s="29"/>
      <c r="D11" s="29"/>
      <c r="E11" s="29"/>
      <c r="F11" s="29"/>
      <c r="G11" s="1"/>
      <c r="H11" s="1"/>
      <c r="I11" s="1"/>
      <c r="J11" s="22" t="s">
        <v>106</v>
      </c>
      <c r="K11" s="1"/>
    </row>
    <row r="12" spans="2:11" ht="15" customHeight="1">
      <c r="B12" s="48"/>
      <c r="C12" s="29"/>
      <c r="D12" s="29"/>
      <c r="E12" s="29"/>
      <c r="F12" s="29"/>
      <c r="G12" s="1"/>
      <c r="H12" s="1"/>
      <c r="I12" s="1"/>
      <c r="J12" s="22"/>
      <c r="K12" s="1"/>
    </row>
    <row r="13" spans="2:11" ht="15" customHeight="1">
      <c r="B13" s="40" t="s">
        <v>775</v>
      </c>
      <c r="C13" s="29"/>
      <c r="D13" s="29"/>
      <c r="E13" s="29"/>
      <c r="F13" s="29"/>
      <c r="G13" s="1"/>
      <c r="H13" s="1"/>
      <c r="I13" s="1"/>
      <c r="J13" s="22"/>
      <c r="K13" s="1"/>
    </row>
    <row r="14" spans="2:11" ht="15" customHeight="1">
      <c r="B14" s="48" t="s">
        <v>210</v>
      </c>
      <c r="C14" s="29"/>
      <c r="D14" s="29"/>
      <c r="E14" s="29"/>
      <c r="F14" s="29"/>
      <c r="G14" s="1"/>
      <c r="H14" s="1"/>
      <c r="I14" s="1"/>
      <c r="J14" s="22"/>
      <c r="K14" s="1"/>
    </row>
    <row r="15" spans="2:11" ht="15" customHeight="1">
      <c r="B15" s="48" t="s">
        <v>776</v>
      </c>
      <c r="C15" s="29"/>
      <c r="D15" s="29"/>
      <c r="E15" s="29"/>
      <c r="F15" s="29"/>
      <c r="G15" s="1"/>
      <c r="H15" s="1"/>
      <c r="I15" s="1"/>
      <c r="J15" s="22"/>
      <c r="K15" s="1"/>
    </row>
    <row r="16" spans="2:11">
      <c r="B16" s="39"/>
      <c r="C16" s="3"/>
      <c r="D16" s="3"/>
      <c r="F16" s="1"/>
      <c r="G16" s="1"/>
      <c r="H16" s="1"/>
      <c r="I16" s="1"/>
      <c r="J16" s="22" t="s">
        <v>92</v>
      </c>
      <c r="K16" s="1"/>
    </row>
    <row r="17" spans="2:11">
      <c r="B17" s="33" t="s">
        <v>8</v>
      </c>
      <c r="C17" s="3"/>
      <c r="D17" s="3"/>
      <c r="F17" s="1"/>
      <c r="G17" s="1"/>
      <c r="H17" s="1"/>
      <c r="I17" s="1"/>
      <c r="J17" s="22" t="s">
        <v>103</v>
      </c>
      <c r="K17" s="1"/>
    </row>
    <row r="18" spans="2:11" ht="30">
      <c r="B18" s="47" t="s">
        <v>10</v>
      </c>
      <c r="C18" s="3"/>
      <c r="D18" s="3"/>
      <c r="F18" s="1"/>
      <c r="G18" s="1"/>
      <c r="H18" s="1"/>
      <c r="I18" s="1"/>
      <c r="J18" s="22" t="s">
        <v>97</v>
      </c>
      <c r="K18" s="1"/>
    </row>
    <row r="19" spans="2:11">
      <c r="B19" s="39" t="s">
        <v>4</v>
      </c>
      <c r="C19" s="3"/>
      <c r="D19" s="3"/>
      <c r="J19" s="22" t="s">
        <v>11</v>
      </c>
    </row>
    <row r="20" spans="2:11">
      <c r="B20" s="39" t="s">
        <v>12</v>
      </c>
      <c r="C20" s="3"/>
      <c r="D20" s="3"/>
      <c r="J20" s="22" t="s">
        <v>1</v>
      </c>
    </row>
    <row r="21" spans="2:11">
      <c r="B21" s="39" t="s">
        <v>14</v>
      </c>
      <c r="C21" s="3"/>
      <c r="D21" s="3"/>
      <c r="J21" s="22" t="s">
        <v>5</v>
      </c>
    </row>
    <row r="22" spans="2:11">
      <c r="B22" s="39" t="s">
        <v>16</v>
      </c>
      <c r="C22" s="3"/>
      <c r="D22" s="3"/>
      <c r="J22" s="22" t="s">
        <v>108</v>
      </c>
    </row>
    <row r="23" spans="2:11">
      <c r="B23" s="39" t="s">
        <v>17</v>
      </c>
      <c r="C23" s="3"/>
      <c r="D23" s="3"/>
      <c r="J23" s="22" t="s">
        <v>109</v>
      </c>
    </row>
    <row r="24" spans="2:11">
      <c r="B24" s="39"/>
      <c r="C24" s="3"/>
      <c r="D24" s="3"/>
      <c r="J24" s="22" t="s">
        <v>7</v>
      </c>
    </row>
    <row r="25" spans="2:11">
      <c r="B25" s="33" t="s">
        <v>12</v>
      </c>
      <c r="C25" s="3"/>
      <c r="D25" s="3"/>
      <c r="J25" s="22" t="s">
        <v>100</v>
      </c>
    </row>
    <row r="26" spans="2:11">
      <c r="B26" s="47" t="s">
        <v>18</v>
      </c>
      <c r="C26" s="3"/>
      <c r="D26" s="3"/>
      <c r="J26" s="25" t="s">
        <v>229</v>
      </c>
    </row>
    <row r="27" spans="2:11">
      <c r="B27" s="38" t="s">
        <v>113</v>
      </c>
      <c r="C27" s="3"/>
      <c r="D27" s="3"/>
      <c r="J27" s="22" t="s">
        <v>96</v>
      </c>
    </row>
    <row r="28" spans="2:11">
      <c r="B28" s="38" t="s">
        <v>114</v>
      </c>
      <c r="C28" s="3"/>
      <c r="D28" s="3"/>
      <c r="J28" s="25" t="s">
        <v>112</v>
      </c>
    </row>
    <row r="29" spans="2:11">
      <c r="B29" s="38" t="s">
        <v>115</v>
      </c>
      <c r="C29" s="3"/>
      <c r="D29" s="3"/>
      <c r="J29" s="22" t="s">
        <v>94</v>
      </c>
    </row>
    <row r="30" spans="2:11">
      <c r="B30" s="38" t="s">
        <v>116</v>
      </c>
      <c r="C30" s="3"/>
      <c r="D30" s="3"/>
      <c r="J30" s="22" t="s">
        <v>15</v>
      </c>
    </row>
    <row r="31" spans="2:11">
      <c r="B31" s="39"/>
      <c r="C31" s="3"/>
      <c r="D31" s="3"/>
      <c r="J31" s="22" t="s">
        <v>9</v>
      </c>
    </row>
    <row r="32" spans="2:11">
      <c r="B32" s="40" t="s">
        <v>123</v>
      </c>
      <c r="C32" s="3"/>
      <c r="D32" s="3"/>
      <c r="J32" s="22" t="s">
        <v>99</v>
      </c>
    </row>
    <row r="33" spans="2:10" ht="30">
      <c r="B33" s="47" t="s">
        <v>120</v>
      </c>
      <c r="C33" s="3"/>
      <c r="D33" s="3"/>
      <c r="J33" s="22" t="s">
        <v>107</v>
      </c>
    </row>
    <row r="34" spans="2:10">
      <c r="B34" s="38" t="s">
        <v>117</v>
      </c>
      <c r="C34" s="3"/>
      <c r="D34" s="3"/>
      <c r="J34" s="22" t="s">
        <v>105</v>
      </c>
    </row>
    <row r="35" spans="2:10">
      <c r="B35" s="48" t="s">
        <v>118</v>
      </c>
      <c r="C35" s="3"/>
      <c r="D35" s="3"/>
      <c r="H35" s="3"/>
      <c r="J35" s="22" t="s">
        <v>91</v>
      </c>
    </row>
    <row r="36" spans="2:10">
      <c r="B36" s="38" t="s">
        <v>121</v>
      </c>
      <c r="C36" s="30"/>
      <c r="D36" s="30"/>
      <c r="E36" s="2"/>
      <c r="F36" s="2"/>
      <c r="G36" s="2"/>
      <c r="J36" s="22" t="s">
        <v>6</v>
      </c>
    </row>
    <row r="37" spans="2:10" ht="15.75" thickBot="1">
      <c r="B37" s="38" t="s">
        <v>122</v>
      </c>
      <c r="C37" s="3"/>
      <c r="D37" s="3"/>
      <c r="J37" s="23" t="s">
        <v>13</v>
      </c>
    </row>
    <row r="38" spans="2:10">
      <c r="B38" s="39"/>
      <c r="C38" s="3"/>
      <c r="D38" s="3"/>
      <c r="J38" s="22" t="s">
        <v>95</v>
      </c>
    </row>
    <row r="39" spans="2:10">
      <c r="B39" s="40" t="s">
        <v>130</v>
      </c>
      <c r="C39" s="3"/>
      <c r="D39" s="3"/>
    </row>
    <row r="40" spans="2:10">
      <c r="B40" s="47" t="s">
        <v>119</v>
      </c>
      <c r="C40" s="3"/>
      <c r="D40" s="3"/>
    </row>
    <row r="41" spans="2:10">
      <c r="B41" s="38" t="s">
        <v>132</v>
      </c>
      <c r="C41" s="3"/>
      <c r="D41" s="3"/>
    </row>
    <row r="42" spans="2:10">
      <c r="B42" s="38" t="s">
        <v>131</v>
      </c>
      <c r="C42" s="3"/>
      <c r="D42" s="3"/>
    </row>
    <row r="43" spans="2:10">
      <c r="B43" s="38" t="s">
        <v>124</v>
      </c>
      <c r="C43" s="3"/>
      <c r="D43" s="3"/>
    </row>
    <row r="44" spans="2:10">
      <c r="B44" s="38" t="s">
        <v>125</v>
      </c>
      <c r="C44" s="3"/>
      <c r="D44" s="3"/>
    </row>
    <row r="45" spans="2:10">
      <c r="B45" s="39"/>
      <c r="C45" s="3"/>
      <c r="D45" s="3"/>
    </row>
    <row r="46" spans="2:10">
      <c r="B46" s="40" t="s">
        <v>19</v>
      </c>
      <c r="C46" s="3"/>
      <c r="D46" s="3"/>
    </row>
    <row r="47" spans="2:10" ht="30">
      <c r="B47" s="46" t="s">
        <v>127</v>
      </c>
      <c r="C47" s="3"/>
      <c r="D47" s="3"/>
    </row>
    <row r="48" spans="2:10">
      <c r="B48" s="48" t="s">
        <v>88</v>
      </c>
      <c r="C48" s="3"/>
      <c r="D48" s="3"/>
    </row>
    <row r="49" spans="2:4">
      <c r="B49" s="48" t="s">
        <v>89</v>
      </c>
      <c r="C49" s="3"/>
      <c r="D49" s="3"/>
    </row>
    <row r="50" spans="2:4">
      <c r="B50" s="48" t="s">
        <v>90</v>
      </c>
      <c r="C50" s="3"/>
      <c r="D50" s="3"/>
    </row>
    <row r="51" spans="2:4">
      <c r="B51" s="48" t="s">
        <v>87</v>
      </c>
      <c r="C51" s="3"/>
      <c r="D51" s="3"/>
    </row>
    <row r="52" spans="2:4">
      <c r="B52" s="48" t="s">
        <v>126</v>
      </c>
      <c r="C52" s="3"/>
      <c r="D52" s="3"/>
    </row>
    <row r="53" spans="2:4">
      <c r="B53" s="48" t="s">
        <v>21</v>
      </c>
      <c r="C53" s="3"/>
      <c r="D53" s="3"/>
    </row>
    <row r="54" spans="2:4">
      <c r="B54" s="39"/>
      <c r="C54" s="3"/>
      <c r="D54" s="3"/>
    </row>
    <row r="55" spans="2:4">
      <c r="B55" s="40" t="s">
        <v>22</v>
      </c>
      <c r="C55" s="3"/>
      <c r="D55" s="3"/>
    </row>
    <row r="56" spans="2:4" ht="30">
      <c r="B56" s="46" t="s">
        <v>20</v>
      </c>
      <c r="C56" s="3"/>
      <c r="D56" s="3"/>
    </row>
    <row r="57" spans="2:4">
      <c r="B57" s="48" t="s">
        <v>88</v>
      </c>
      <c r="C57" s="3"/>
      <c r="D57" s="3"/>
    </row>
    <row r="58" spans="2:4">
      <c r="B58" s="48" t="s">
        <v>89</v>
      </c>
      <c r="C58" s="3"/>
      <c r="D58" s="3"/>
    </row>
    <row r="59" spans="2:4">
      <c r="B59" s="48" t="s">
        <v>90</v>
      </c>
      <c r="C59" s="3"/>
      <c r="D59" s="3"/>
    </row>
    <row r="60" spans="2:4">
      <c r="B60" s="48" t="s">
        <v>87</v>
      </c>
      <c r="C60" s="3"/>
      <c r="D60" s="3"/>
    </row>
    <row r="61" spans="2:4">
      <c r="B61" s="48" t="s">
        <v>126</v>
      </c>
      <c r="C61" s="3"/>
      <c r="D61" s="3"/>
    </row>
    <row r="62" spans="2:4">
      <c r="B62" s="48" t="s">
        <v>21</v>
      </c>
      <c r="C62" s="3"/>
      <c r="D62" s="3"/>
    </row>
    <row r="63" spans="2:4">
      <c r="B63" s="39"/>
      <c r="C63" s="3"/>
      <c r="D63" s="3"/>
    </row>
    <row r="64" spans="2:4">
      <c r="B64" s="33" t="s">
        <v>23</v>
      </c>
      <c r="C64" s="3"/>
      <c r="D64" s="3"/>
    </row>
    <row r="65" spans="2:4">
      <c r="B65" s="47" t="s">
        <v>24</v>
      </c>
      <c r="C65" s="3"/>
      <c r="D65" s="3"/>
    </row>
    <row r="66" spans="2:4">
      <c r="B66" s="38" t="s">
        <v>25</v>
      </c>
      <c r="C66" s="3"/>
      <c r="D66" s="3"/>
    </row>
    <row r="67" spans="2:4">
      <c r="B67" s="38" t="s">
        <v>26</v>
      </c>
      <c r="C67" s="3"/>
      <c r="D67" s="3"/>
    </row>
    <row r="68" spans="2:4">
      <c r="B68" s="38" t="s">
        <v>27</v>
      </c>
      <c r="C68" s="3"/>
      <c r="D68" s="3"/>
    </row>
    <row r="69" spans="2:4">
      <c r="B69" s="38" t="s">
        <v>28</v>
      </c>
      <c r="C69" s="3"/>
      <c r="D69" s="3"/>
    </row>
    <row r="70" spans="2:4">
      <c r="B70" s="38" t="s">
        <v>29</v>
      </c>
      <c r="C70" s="3"/>
      <c r="D70" s="3"/>
    </row>
    <row r="71" spans="2:4">
      <c r="B71" s="38" t="s">
        <v>30</v>
      </c>
      <c r="C71" s="3"/>
      <c r="D71" s="3"/>
    </row>
    <row r="72" spans="2:4">
      <c r="B72" s="38" t="s">
        <v>31</v>
      </c>
      <c r="C72" s="3"/>
      <c r="D72" s="3"/>
    </row>
    <row r="73" spans="2:4">
      <c r="B73" s="38" t="s">
        <v>32</v>
      </c>
      <c r="C73" s="3"/>
      <c r="D73" s="3"/>
    </row>
    <row r="74" spans="2:4">
      <c r="B74" s="38" t="s">
        <v>33</v>
      </c>
      <c r="C74" s="3"/>
      <c r="D74" s="3"/>
    </row>
    <row r="75" spans="2:4">
      <c r="B75" s="38" t="s">
        <v>34</v>
      </c>
      <c r="C75" s="3"/>
      <c r="D75" s="3"/>
    </row>
    <row r="76" spans="2:4">
      <c r="B76" s="38" t="s">
        <v>35</v>
      </c>
      <c r="C76" s="3"/>
      <c r="D76" s="3"/>
    </row>
    <row r="77" spans="2:4">
      <c r="B77" s="38" t="s">
        <v>15</v>
      </c>
      <c r="C77" s="3"/>
      <c r="D77" s="3"/>
    </row>
    <row r="78" spans="2:4">
      <c r="B78" s="39"/>
      <c r="C78" s="3"/>
      <c r="D78" s="3"/>
    </row>
    <row r="79" spans="2:4">
      <c r="B79" s="40" t="s">
        <v>36</v>
      </c>
      <c r="C79" s="3"/>
      <c r="D79" s="3"/>
    </row>
    <row r="80" spans="2:4">
      <c r="B80" s="49" t="s">
        <v>37</v>
      </c>
      <c r="C80" s="3"/>
      <c r="D80" s="3"/>
    </row>
    <row r="81" spans="2:4">
      <c r="B81" s="48" t="s">
        <v>25</v>
      </c>
      <c r="C81" s="3"/>
      <c r="D81" s="3"/>
    </row>
    <row r="82" spans="2:4">
      <c r="B82" s="48" t="s">
        <v>38</v>
      </c>
      <c r="C82" s="3"/>
      <c r="D82" s="3"/>
    </row>
    <row r="83" spans="2:4">
      <c r="B83" s="48" t="s">
        <v>39</v>
      </c>
      <c r="C83" s="3"/>
      <c r="D83" s="3"/>
    </row>
    <row r="84" spans="2:4">
      <c r="B84" s="48" t="s">
        <v>40</v>
      </c>
      <c r="C84" s="3"/>
      <c r="D84" s="3"/>
    </row>
    <row r="85" spans="2:4">
      <c r="B85" s="48" t="s">
        <v>41</v>
      </c>
      <c r="C85" s="3"/>
      <c r="D85" s="3"/>
    </row>
    <row r="86" spans="2:4">
      <c r="B86" s="92" t="s">
        <v>777</v>
      </c>
      <c r="C86" s="3"/>
      <c r="D86" s="3"/>
    </row>
    <row r="87" spans="2:4">
      <c r="B87" s="39"/>
      <c r="C87" s="3"/>
      <c r="D87" s="3"/>
    </row>
    <row r="88" spans="2:4">
      <c r="B88" s="40" t="s">
        <v>42</v>
      </c>
      <c r="C88" s="3"/>
      <c r="D88" s="3"/>
    </row>
    <row r="89" spans="2:4">
      <c r="B89" s="49" t="s">
        <v>43</v>
      </c>
      <c r="C89" s="3"/>
      <c r="D89" s="3"/>
    </row>
    <row r="90" spans="2:4">
      <c r="B90" s="48" t="s">
        <v>44</v>
      </c>
      <c r="C90" s="3"/>
      <c r="D90" s="3"/>
    </row>
    <row r="91" spans="2:4">
      <c r="B91" s="48" t="s">
        <v>45</v>
      </c>
      <c r="C91" s="3"/>
      <c r="D91" s="3"/>
    </row>
    <row r="92" spans="2:4">
      <c r="B92" s="93" t="s">
        <v>778</v>
      </c>
      <c r="C92" s="3"/>
      <c r="D92" s="3"/>
    </row>
    <row r="93" spans="2:4">
      <c r="C93" s="3"/>
      <c r="D93" s="3"/>
    </row>
    <row r="94" spans="2:4">
      <c r="B94" s="39"/>
      <c r="C94" s="3"/>
      <c r="D94" s="3"/>
    </row>
    <row r="95" spans="2:4">
      <c r="B95" s="44" t="s">
        <v>46</v>
      </c>
      <c r="C95" s="3"/>
      <c r="D95" s="3"/>
    </row>
    <row r="96" spans="2:4">
      <c r="B96" s="49" t="s">
        <v>47</v>
      </c>
      <c r="C96" s="3"/>
      <c r="D96" s="3"/>
    </row>
    <row r="97" spans="2:4">
      <c r="B97" s="48" t="s">
        <v>48</v>
      </c>
      <c r="C97" s="3"/>
      <c r="D97" s="3"/>
    </row>
    <row r="98" spans="2:4">
      <c r="B98" s="48" t="s">
        <v>49</v>
      </c>
      <c r="C98" s="3"/>
      <c r="D98" s="3"/>
    </row>
    <row r="99" spans="2:4">
      <c r="B99" s="48" t="s">
        <v>69</v>
      </c>
      <c r="C99" s="3"/>
      <c r="D99" s="3"/>
    </row>
    <row r="100" spans="2:4">
      <c r="B100" s="48"/>
      <c r="C100" s="3"/>
      <c r="D100" s="3"/>
    </row>
    <row r="101" spans="2:4">
      <c r="B101" s="44" t="s">
        <v>794</v>
      </c>
      <c r="C101" s="3"/>
      <c r="D101" s="3"/>
    </row>
    <row r="102" spans="2:4" ht="45">
      <c r="B102" s="49" t="s">
        <v>795</v>
      </c>
      <c r="C102" s="3"/>
      <c r="D102" s="3"/>
    </row>
    <row r="103" spans="2:4">
      <c r="B103" s="48" t="s">
        <v>792</v>
      </c>
      <c r="C103" s="3"/>
      <c r="D103" s="3"/>
    </row>
    <row r="104" spans="2:4">
      <c r="B104" s="48" t="s">
        <v>796</v>
      </c>
      <c r="C104" s="3"/>
      <c r="D104" s="3"/>
    </row>
    <row r="105" spans="2:4">
      <c r="B105" s="48" t="s">
        <v>787</v>
      </c>
      <c r="C105" s="3"/>
      <c r="D105" s="3"/>
    </row>
    <row r="106" spans="2:4">
      <c r="B106" s="48" t="s">
        <v>797</v>
      </c>
      <c r="C106" s="3"/>
      <c r="D106" s="3"/>
    </row>
    <row r="107" spans="2:4" ht="15" customHeight="1">
      <c r="B107" s="39" t="s">
        <v>798</v>
      </c>
      <c r="C107" s="3"/>
      <c r="D107" s="3"/>
    </row>
    <row r="108" spans="2:4" ht="15" customHeight="1">
      <c r="B108" s="96"/>
      <c r="C108" s="3"/>
      <c r="D108" s="3"/>
    </row>
    <row r="109" spans="2:4" ht="15" customHeight="1">
      <c r="B109" s="44" t="s">
        <v>799</v>
      </c>
      <c r="C109" s="3"/>
      <c r="D109" s="3"/>
    </row>
    <row r="110" spans="2:4" ht="15" customHeight="1">
      <c r="B110" s="49" t="s">
        <v>800</v>
      </c>
      <c r="C110" s="3"/>
      <c r="D110" s="3"/>
    </row>
    <row r="111" spans="2:4" ht="15" customHeight="1">
      <c r="B111" s="96" t="s">
        <v>801</v>
      </c>
      <c r="C111" s="3"/>
      <c r="D111" s="3"/>
    </row>
    <row r="112" spans="2:4" ht="15" customHeight="1">
      <c r="B112" s="96" t="s">
        <v>802</v>
      </c>
      <c r="C112" s="3"/>
      <c r="D112" s="3"/>
    </row>
    <row r="113" spans="2:4" ht="15" customHeight="1">
      <c r="B113" s="96" t="s">
        <v>4</v>
      </c>
      <c r="C113" s="3"/>
      <c r="D113" s="3"/>
    </row>
    <row r="114" spans="2:4" ht="15" customHeight="1">
      <c r="B114" s="96" t="s">
        <v>798</v>
      </c>
      <c r="C114" s="3"/>
      <c r="D114" s="3"/>
    </row>
    <row r="115" spans="2:4" ht="15" customHeight="1">
      <c r="B115" s="96" t="s">
        <v>777</v>
      </c>
      <c r="C115" s="3"/>
      <c r="D115" s="3"/>
    </row>
    <row r="116" spans="2:4" ht="15" customHeight="1">
      <c r="B116" s="96"/>
      <c r="C116" s="3"/>
      <c r="D116" s="3"/>
    </row>
    <row r="117" spans="2:4">
      <c r="C117" s="3"/>
      <c r="D117" s="3"/>
    </row>
    <row r="118" spans="2:4" ht="26.25">
      <c r="B118" s="50" t="s">
        <v>50</v>
      </c>
      <c r="C118" s="3"/>
      <c r="D118" s="3"/>
    </row>
    <row r="119" spans="2:4">
      <c r="B119" s="44" t="s">
        <v>51</v>
      </c>
      <c r="C119" s="3"/>
      <c r="D119" s="3"/>
    </row>
    <row r="120" spans="2:4" ht="30">
      <c r="B120" s="51" t="s">
        <v>52</v>
      </c>
      <c r="C120" s="3"/>
      <c r="D120" s="3"/>
    </row>
    <row r="121" spans="2:4">
      <c r="B121" s="51" t="s">
        <v>53</v>
      </c>
      <c r="C121" s="3"/>
      <c r="D121" s="3"/>
    </row>
    <row r="122" spans="2:4">
      <c r="B122" s="38" t="s">
        <v>54</v>
      </c>
      <c r="C122" s="3"/>
      <c r="D122" s="3"/>
    </row>
    <row r="123" spans="2:4">
      <c r="B123" s="48" t="s">
        <v>55</v>
      </c>
      <c r="C123" s="3"/>
      <c r="D123" s="3"/>
    </row>
    <row r="124" spans="2:4">
      <c r="B124" s="48" t="s">
        <v>56</v>
      </c>
      <c r="C124" s="3"/>
      <c r="D124" s="3"/>
    </row>
    <row r="125" spans="2:4">
      <c r="B125" s="48" t="s">
        <v>57</v>
      </c>
      <c r="C125" s="3"/>
      <c r="D125" s="3"/>
    </row>
    <row r="126" spans="2:4">
      <c r="B126" s="48" t="s">
        <v>779</v>
      </c>
      <c r="C126" s="3"/>
      <c r="D126" s="3"/>
    </row>
    <row r="127" spans="2:4">
      <c r="B127" s="48" t="s">
        <v>780</v>
      </c>
      <c r="C127" s="3"/>
      <c r="D127" s="3"/>
    </row>
    <row r="128" spans="2:4">
      <c r="B128" s="39"/>
      <c r="C128" s="3"/>
      <c r="D128" s="3"/>
    </row>
    <row r="129" spans="2:4">
      <c r="B129" s="40" t="s">
        <v>58</v>
      </c>
      <c r="C129" s="3"/>
      <c r="D129" s="3"/>
    </row>
    <row r="130" spans="2:4">
      <c r="B130" s="51" t="s">
        <v>59</v>
      </c>
      <c r="C130" s="3"/>
      <c r="D130" s="3"/>
    </row>
    <row r="131" spans="2:4">
      <c r="B131" s="51" t="s">
        <v>53</v>
      </c>
      <c r="C131" s="3"/>
      <c r="D131" s="3"/>
    </row>
    <row r="132" spans="2:4">
      <c r="B132" s="38" t="s">
        <v>128</v>
      </c>
      <c r="C132" s="3"/>
      <c r="D132" s="3"/>
    </row>
    <row r="133" spans="2:4">
      <c r="B133" s="38" t="s">
        <v>25</v>
      </c>
      <c r="C133" s="3"/>
      <c r="D133" s="3"/>
    </row>
    <row r="134" spans="2:4">
      <c r="B134" s="38" t="s">
        <v>55</v>
      </c>
      <c r="C134" s="3"/>
      <c r="D134" s="3"/>
    </row>
    <row r="135" spans="2:4">
      <c r="B135" s="38" t="s">
        <v>56</v>
      </c>
      <c r="C135" s="3"/>
      <c r="D135" s="3"/>
    </row>
    <row r="136" spans="2:4">
      <c r="B136" s="38" t="s">
        <v>779</v>
      </c>
      <c r="C136" s="3"/>
      <c r="D136" s="3"/>
    </row>
    <row r="137" spans="2:4">
      <c r="B137" s="39"/>
      <c r="C137" s="3"/>
      <c r="D137" s="3"/>
    </row>
    <row r="138" spans="2:4">
      <c r="B138" s="40" t="s">
        <v>60</v>
      </c>
      <c r="C138" s="3"/>
      <c r="D138" s="3"/>
    </row>
    <row r="139" spans="2:4">
      <c r="B139" s="51" t="s">
        <v>59</v>
      </c>
      <c r="C139" s="3"/>
      <c r="D139" s="3"/>
    </row>
    <row r="140" spans="2:4">
      <c r="B140" s="51" t="s">
        <v>53</v>
      </c>
      <c r="C140" s="3"/>
      <c r="D140" s="3"/>
    </row>
    <row r="141" spans="2:4">
      <c r="B141" s="38" t="s">
        <v>128</v>
      </c>
      <c r="C141" s="3"/>
      <c r="D141" s="3"/>
    </row>
    <row r="142" spans="2:4">
      <c r="B142" s="38" t="s">
        <v>25</v>
      </c>
      <c r="C142" s="3"/>
      <c r="D142" s="3"/>
    </row>
    <row r="143" spans="2:4">
      <c r="B143" s="38" t="s">
        <v>55</v>
      </c>
      <c r="C143" s="3"/>
      <c r="D143" s="3"/>
    </row>
    <row r="144" spans="2:4">
      <c r="B144" s="38" t="s">
        <v>56</v>
      </c>
      <c r="C144" s="3"/>
      <c r="D144" s="3"/>
    </row>
    <row r="145" spans="2:4">
      <c r="B145" s="38" t="s">
        <v>779</v>
      </c>
      <c r="C145" s="3"/>
      <c r="D145" s="3"/>
    </row>
    <row r="146" spans="2:4">
      <c r="B146" s="40"/>
      <c r="C146" s="3"/>
      <c r="D146" s="3"/>
    </row>
    <row r="147" spans="2:4">
      <c r="B147" s="40" t="s">
        <v>129</v>
      </c>
      <c r="C147" s="3"/>
      <c r="D147" s="3"/>
    </row>
    <row r="148" spans="2:4" ht="30">
      <c r="B148" s="51" t="s">
        <v>133</v>
      </c>
      <c r="C148" s="3"/>
      <c r="D148" s="3"/>
    </row>
    <row r="149" spans="2:4">
      <c r="B149" s="38" t="s">
        <v>3</v>
      </c>
      <c r="C149" s="3"/>
      <c r="D149" s="3"/>
    </row>
    <row r="150" spans="2:4">
      <c r="B150" s="38" t="s">
        <v>4</v>
      </c>
      <c r="C150" s="3"/>
      <c r="D150" s="3"/>
    </row>
    <row r="151" spans="2:4">
      <c r="B151" s="38"/>
      <c r="C151" s="3"/>
      <c r="D151" s="3"/>
    </row>
    <row r="152" spans="2:4">
      <c r="B152" s="40" t="s">
        <v>134</v>
      </c>
      <c r="C152" s="3"/>
      <c r="D152" s="3"/>
    </row>
    <row r="153" spans="2:4" ht="30">
      <c r="B153" s="34" t="s">
        <v>135</v>
      </c>
      <c r="C153" s="3"/>
      <c r="D153" s="3"/>
    </row>
    <row r="154" spans="2:4">
      <c r="B154" s="42" t="s">
        <v>3</v>
      </c>
      <c r="C154" s="3"/>
      <c r="D154" s="3"/>
    </row>
    <row r="155" spans="2:4">
      <c r="B155" s="42" t="s">
        <v>4</v>
      </c>
      <c r="C155" s="3"/>
      <c r="D155" s="3"/>
    </row>
    <row r="156" spans="2:4">
      <c r="B156" s="42" t="s">
        <v>781</v>
      </c>
      <c r="C156" s="3"/>
      <c r="D156" s="3"/>
    </row>
    <row r="157" spans="2:4">
      <c r="B157" s="42"/>
      <c r="C157" s="3"/>
      <c r="D157" s="3"/>
    </row>
    <row r="158" spans="2:4">
      <c r="B158" s="40" t="s">
        <v>830</v>
      </c>
      <c r="C158" s="3"/>
      <c r="D158" s="3"/>
    </row>
    <row r="159" spans="2:4">
      <c r="B159" s="42" t="s">
        <v>3</v>
      </c>
      <c r="C159" s="3"/>
      <c r="D159" s="3"/>
    </row>
    <row r="160" spans="2:4">
      <c r="B160" s="42" t="s">
        <v>4</v>
      </c>
      <c r="C160" s="3"/>
      <c r="D160" s="3"/>
    </row>
    <row r="161" spans="2:4">
      <c r="B161" s="42" t="s">
        <v>69</v>
      </c>
      <c r="C161" s="3"/>
      <c r="D161" s="3"/>
    </row>
    <row r="162" spans="2:4">
      <c r="B162" s="42" t="s">
        <v>777</v>
      </c>
      <c r="C162" s="3"/>
      <c r="D162" s="3"/>
    </row>
    <row r="163" spans="2:4">
      <c r="B163" s="42" t="s">
        <v>779</v>
      </c>
      <c r="C163" s="3"/>
      <c r="D163" s="3"/>
    </row>
    <row r="164" spans="2:4">
      <c r="B164" s="51"/>
      <c r="C164" s="3"/>
      <c r="D164" s="3"/>
    </row>
    <row r="165" spans="2:4">
      <c r="B165" s="40" t="s">
        <v>136</v>
      </c>
      <c r="C165" s="3"/>
      <c r="D165" s="3"/>
    </row>
    <row r="166" spans="2:4" ht="30">
      <c r="B166" s="51" t="s">
        <v>137</v>
      </c>
      <c r="C166" s="3"/>
      <c r="D166" s="3"/>
    </row>
    <row r="167" spans="2:4">
      <c r="B167" s="38" t="s">
        <v>3</v>
      </c>
      <c r="C167" s="3"/>
      <c r="D167" s="3"/>
    </row>
    <row r="168" spans="2:4">
      <c r="B168" s="38" t="s">
        <v>4</v>
      </c>
      <c r="C168" s="3"/>
      <c r="D168" s="3"/>
    </row>
    <row r="169" spans="2:4">
      <c r="B169" s="38" t="s">
        <v>781</v>
      </c>
      <c r="C169" s="3"/>
      <c r="D169" s="3"/>
    </row>
    <row r="170" spans="2:4">
      <c r="B170" s="51"/>
      <c r="C170" s="3"/>
      <c r="D170" s="3"/>
    </row>
    <row r="171" spans="2:4">
      <c r="B171" s="40" t="s">
        <v>139</v>
      </c>
      <c r="C171" s="3"/>
      <c r="D171" s="3"/>
    </row>
    <row r="172" spans="2:4" ht="30">
      <c r="B172" s="51" t="s">
        <v>138</v>
      </c>
      <c r="C172" s="3"/>
      <c r="D172" s="3"/>
    </row>
    <row r="173" spans="2:4">
      <c r="B173" s="38" t="s">
        <v>3</v>
      </c>
      <c r="C173" s="3"/>
      <c r="D173" s="3"/>
    </row>
    <row r="174" spans="2:4">
      <c r="B174" s="38" t="s">
        <v>4</v>
      </c>
      <c r="C174" s="3"/>
      <c r="D174" s="3"/>
    </row>
    <row r="175" spans="2:4">
      <c r="B175" s="38" t="s">
        <v>782</v>
      </c>
      <c r="C175" s="3"/>
      <c r="D175" s="3"/>
    </row>
    <row r="176" spans="2:4">
      <c r="B176" s="38"/>
      <c r="C176" s="3"/>
      <c r="D176" s="3"/>
    </row>
    <row r="177" spans="2:4">
      <c r="B177" s="40" t="s">
        <v>62</v>
      </c>
      <c r="C177" s="3"/>
      <c r="D177" s="3"/>
    </row>
    <row r="178" spans="2:4" ht="30">
      <c r="B178" s="46" t="s">
        <v>63</v>
      </c>
      <c r="C178" s="3"/>
      <c r="D178" s="3"/>
    </row>
    <row r="179" spans="2:4">
      <c r="B179" s="38" t="s">
        <v>25</v>
      </c>
      <c r="C179" s="3"/>
      <c r="D179" s="3"/>
    </row>
    <row r="180" spans="2:4">
      <c r="B180" s="38" t="s">
        <v>64</v>
      </c>
      <c r="C180" s="3"/>
      <c r="D180" s="3"/>
    </row>
    <row r="181" spans="2:4">
      <c r="B181" s="38" t="s">
        <v>140</v>
      </c>
      <c r="C181" s="3"/>
      <c r="D181" s="3"/>
    </row>
    <row r="182" spans="2:4">
      <c r="B182" s="38" t="s">
        <v>65</v>
      </c>
      <c r="C182" s="3"/>
      <c r="D182" s="3"/>
    </row>
    <row r="183" spans="2:4" ht="15" customHeight="1">
      <c r="B183" s="38" t="s">
        <v>66</v>
      </c>
      <c r="C183" s="3"/>
      <c r="D183" s="3"/>
    </row>
    <row r="184" spans="2:4" ht="15" customHeight="1">
      <c r="B184" s="38" t="s">
        <v>67</v>
      </c>
      <c r="C184" s="3"/>
      <c r="D184" s="3"/>
    </row>
    <row r="185" spans="2:4" ht="15" customHeight="1">
      <c r="B185" s="39"/>
      <c r="C185" s="3"/>
      <c r="D185" s="3"/>
    </row>
    <row r="186" spans="2:4" ht="15" customHeight="1">
      <c r="B186" s="52" t="s">
        <v>61</v>
      </c>
      <c r="C186" s="3"/>
      <c r="D186" s="3"/>
    </row>
    <row r="187" spans="2:4" ht="15" customHeight="1">
      <c r="B187" s="53" t="s">
        <v>141</v>
      </c>
      <c r="C187" s="3"/>
      <c r="D187" s="3"/>
    </row>
    <row r="188" spans="2:4" ht="15" customHeight="1">
      <c r="B188" s="54" t="s">
        <v>3</v>
      </c>
      <c r="C188" s="3"/>
      <c r="D188" s="3"/>
    </row>
    <row r="189" spans="2:4" ht="15" customHeight="1">
      <c r="B189" s="54" t="s">
        <v>4</v>
      </c>
      <c r="C189" s="3"/>
      <c r="D189" s="3"/>
    </row>
    <row r="190" spans="2:4" ht="15" customHeight="1">
      <c r="B190" s="47"/>
      <c r="C190" s="3"/>
      <c r="D190" s="3"/>
    </row>
    <row r="191" spans="2:4" ht="15" customHeight="1">
      <c r="B191" s="53" t="s">
        <v>142</v>
      </c>
      <c r="C191" s="3"/>
      <c r="D191" s="3"/>
    </row>
    <row r="192" spans="2:4" ht="15" customHeight="1">
      <c r="B192" s="54" t="s">
        <v>143</v>
      </c>
      <c r="C192" s="3"/>
      <c r="D192" s="3"/>
    </row>
    <row r="193" spans="2:4" ht="15" customHeight="1">
      <c r="B193" s="54" t="s">
        <v>144</v>
      </c>
      <c r="C193" s="3"/>
      <c r="D193" s="3"/>
    </row>
    <row r="194" spans="2:4">
      <c r="B194" s="54" t="s">
        <v>145</v>
      </c>
      <c r="C194" s="3"/>
      <c r="D194" s="3"/>
    </row>
    <row r="195" spans="2:4">
      <c r="B195" s="54" t="s">
        <v>146</v>
      </c>
      <c r="C195" s="3"/>
      <c r="D195" s="3"/>
    </row>
    <row r="196" spans="2:4">
      <c r="B196" s="54" t="s">
        <v>147</v>
      </c>
      <c r="C196" s="3"/>
      <c r="D196" s="3"/>
    </row>
    <row r="197" spans="2:4">
      <c r="B197" s="53"/>
      <c r="C197" s="3"/>
      <c r="D197" s="3"/>
    </row>
    <row r="198" spans="2:4">
      <c r="B198" s="53" t="s">
        <v>158</v>
      </c>
      <c r="C198" s="3"/>
      <c r="D198" s="3"/>
    </row>
    <row r="199" spans="2:4" ht="45">
      <c r="B199" s="47" t="s">
        <v>159</v>
      </c>
      <c r="C199" s="3"/>
      <c r="D199" s="3"/>
    </row>
    <row r="200" spans="2:4">
      <c r="B200" s="54" t="s">
        <v>162</v>
      </c>
      <c r="C200" s="3"/>
      <c r="D200" s="3"/>
    </row>
    <row r="201" spans="2:4">
      <c r="B201" s="54" t="s">
        <v>161</v>
      </c>
      <c r="C201" s="3"/>
      <c r="D201" s="3"/>
    </row>
    <row r="202" spans="2:4">
      <c r="B202" s="54" t="s">
        <v>160</v>
      </c>
      <c r="C202" s="3"/>
      <c r="D202" s="3"/>
    </row>
    <row r="203" spans="2:4">
      <c r="B203" s="47"/>
      <c r="C203" s="3"/>
      <c r="D203" s="3"/>
    </row>
    <row r="204" spans="2:4">
      <c r="B204" s="53" t="s">
        <v>157</v>
      </c>
      <c r="C204" s="3"/>
      <c r="D204" s="3"/>
    </row>
    <row r="205" spans="2:4" ht="30">
      <c r="B205" s="47" t="s">
        <v>68</v>
      </c>
      <c r="C205" s="3"/>
      <c r="D205" s="3"/>
    </row>
    <row r="206" spans="2:4">
      <c r="B206" s="54" t="s">
        <v>25</v>
      </c>
      <c r="C206" s="3"/>
      <c r="D206" s="3"/>
    </row>
    <row r="207" spans="2:4">
      <c r="B207" s="38" t="s">
        <v>70</v>
      </c>
      <c r="C207" s="3"/>
      <c r="D207" s="3"/>
    </row>
    <row r="208" spans="2:4">
      <c r="B208" s="38" t="s">
        <v>71</v>
      </c>
    </row>
    <row r="209" spans="2:2">
      <c r="B209" s="38" t="s">
        <v>163</v>
      </c>
    </row>
    <row r="210" spans="2:2">
      <c r="B210" s="38" t="s">
        <v>69</v>
      </c>
    </row>
    <row r="211" spans="2:2">
      <c r="B211" s="38" t="s">
        <v>72</v>
      </c>
    </row>
    <row r="212" spans="2:2">
      <c r="B212" s="38" t="s">
        <v>164</v>
      </c>
    </row>
    <row r="213" spans="2:2">
      <c r="B213" s="38" t="s">
        <v>165</v>
      </c>
    </row>
    <row r="214" spans="2:2">
      <c r="B214" s="38"/>
    </row>
    <row r="215" spans="2:2">
      <c r="B215" s="40" t="s">
        <v>150</v>
      </c>
    </row>
    <row r="216" spans="2:2">
      <c r="B216" s="51" t="s">
        <v>168</v>
      </c>
    </row>
    <row r="217" spans="2:2">
      <c r="B217" s="38" t="s">
        <v>166</v>
      </c>
    </row>
    <row r="218" spans="2:2">
      <c r="B218" s="38" t="s">
        <v>167</v>
      </c>
    </row>
    <row r="219" spans="2:2">
      <c r="B219" s="38" t="s">
        <v>160</v>
      </c>
    </row>
    <row r="220" spans="2:2">
      <c r="B220" s="39"/>
    </row>
    <row r="221" spans="2:2">
      <c r="B221" s="40" t="s">
        <v>175</v>
      </c>
    </row>
    <row r="222" spans="2:2" ht="45">
      <c r="B222" s="41" t="s">
        <v>169</v>
      </c>
    </row>
    <row r="223" spans="2:2" ht="45">
      <c r="B223" s="41" t="s">
        <v>170</v>
      </c>
    </row>
    <row r="224" spans="2:2">
      <c r="B224" s="38" t="s">
        <v>171</v>
      </c>
    </row>
    <row r="225" spans="2:2">
      <c r="B225" s="38" t="s">
        <v>172</v>
      </c>
    </row>
    <row r="226" spans="2:2">
      <c r="B226" s="38" t="s">
        <v>160</v>
      </c>
    </row>
    <row r="227" spans="2:2">
      <c r="B227" s="39"/>
    </row>
    <row r="228" spans="2:2">
      <c r="B228" s="40" t="s">
        <v>73</v>
      </c>
    </row>
    <row r="229" spans="2:2" ht="30">
      <c r="B229" s="51" t="s">
        <v>74</v>
      </c>
    </row>
    <row r="230" spans="2:2">
      <c r="B230" s="55" t="s">
        <v>25</v>
      </c>
    </row>
    <row r="231" spans="2:2">
      <c r="B231" s="55" t="s">
        <v>173</v>
      </c>
    </row>
    <row r="232" spans="2:2">
      <c r="B232" s="55" t="s">
        <v>214</v>
      </c>
    </row>
    <row r="233" spans="2:2">
      <c r="B233" s="55" t="s">
        <v>174</v>
      </c>
    </row>
    <row r="234" spans="2:2">
      <c r="B234" s="39"/>
    </row>
    <row r="235" spans="2:2">
      <c r="B235" s="44" t="s">
        <v>110</v>
      </c>
    </row>
    <row r="236" spans="2:2">
      <c r="B236" s="51" t="s">
        <v>75</v>
      </c>
    </row>
    <row r="237" spans="2:2">
      <c r="B237" s="48" t="s">
        <v>25</v>
      </c>
    </row>
    <row r="238" spans="2:2">
      <c r="B238" s="48" t="s">
        <v>76</v>
      </c>
    </row>
    <row r="239" spans="2:2">
      <c r="B239" s="48" t="s">
        <v>77</v>
      </c>
    </row>
    <row r="240" spans="2:2">
      <c r="B240" s="40"/>
    </row>
    <row r="241" spans="2:2">
      <c r="B241" s="40" t="s">
        <v>207</v>
      </c>
    </row>
    <row r="242" spans="2:2">
      <c r="B242" s="56" t="s">
        <v>180</v>
      </c>
    </row>
    <row r="243" spans="2:2">
      <c r="B243" s="56" t="s">
        <v>176</v>
      </c>
    </row>
    <row r="244" spans="2:2">
      <c r="B244" s="56" t="s">
        <v>177</v>
      </c>
    </row>
    <row r="245" spans="2:2">
      <c r="B245" s="57" t="s">
        <v>178</v>
      </c>
    </row>
    <row r="246" spans="2:2">
      <c r="B246" s="57" t="s">
        <v>179</v>
      </c>
    </row>
    <row r="247" spans="2:2">
      <c r="B247" s="57" t="s">
        <v>160</v>
      </c>
    </row>
    <row r="248" spans="2:2">
      <c r="B248" s="39"/>
    </row>
    <row r="249" spans="2:2">
      <c r="B249" s="40" t="s">
        <v>208</v>
      </c>
    </row>
    <row r="250" spans="2:2">
      <c r="B250" s="51" t="s">
        <v>78</v>
      </c>
    </row>
    <row r="251" spans="2:2">
      <c r="B251" s="48" t="s">
        <v>79</v>
      </c>
    </row>
    <row r="252" spans="2:2">
      <c r="B252" s="48" t="s">
        <v>211</v>
      </c>
    </row>
    <row r="253" spans="2:2">
      <c r="B253" s="58"/>
    </row>
    <row r="254" spans="2:2">
      <c r="B254" s="44" t="s">
        <v>186</v>
      </c>
    </row>
    <row r="255" spans="2:2">
      <c r="B255" s="59" t="s">
        <v>216</v>
      </c>
    </row>
    <row r="256" spans="2:2">
      <c r="B256" s="48" t="s">
        <v>79</v>
      </c>
    </row>
    <row r="257" spans="2:2">
      <c r="B257" s="48" t="s">
        <v>212</v>
      </c>
    </row>
    <row r="258" spans="2:2">
      <c r="B258" s="59"/>
    </row>
    <row r="259" spans="2:2">
      <c r="B259" s="44" t="s">
        <v>185</v>
      </c>
    </row>
    <row r="260" spans="2:2" ht="30">
      <c r="B260" s="51" t="s">
        <v>80</v>
      </c>
    </row>
    <row r="261" spans="2:2">
      <c r="B261" s="38" t="s">
        <v>81</v>
      </c>
    </row>
    <row r="262" spans="2:2">
      <c r="B262" s="38" t="s">
        <v>3</v>
      </c>
    </row>
    <row r="263" spans="2:2">
      <c r="B263" s="39"/>
    </row>
    <row r="264" spans="2:2">
      <c r="B264" s="40" t="s">
        <v>187</v>
      </c>
    </row>
    <row r="265" spans="2:2">
      <c r="B265" s="41" t="s">
        <v>188</v>
      </c>
    </row>
    <row r="266" spans="2:2">
      <c r="B266" s="38" t="s">
        <v>181</v>
      </c>
    </row>
    <row r="267" spans="2:2">
      <c r="B267" s="42" t="s">
        <v>182</v>
      </c>
    </row>
    <row r="268" spans="2:2">
      <c r="B268" s="42" t="s">
        <v>183</v>
      </c>
    </row>
    <row r="269" spans="2:2">
      <c r="B269" s="42" t="s">
        <v>184</v>
      </c>
    </row>
    <row r="270" spans="2:2">
      <c r="B270" s="43" t="s">
        <v>160</v>
      </c>
    </row>
    <row r="271" spans="2:2">
      <c r="B271" s="43"/>
    </row>
    <row r="272" spans="2:2">
      <c r="B272" s="44" t="s">
        <v>154</v>
      </c>
    </row>
    <row r="273" spans="2:2" ht="45">
      <c r="B273" s="32" t="s">
        <v>199</v>
      </c>
    </row>
    <row r="274" spans="2:2" ht="14.45" customHeight="1">
      <c r="B274" s="42" t="s">
        <v>189</v>
      </c>
    </row>
    <row r="275" spans="2:2" ht="14.45" customHeight="1">
      <c r="B275" s="42" t="s">
        <v>219</v>
      </c>
    </row>
    <row r="276" spans="2:2" ht="15" customHeight="1">
      <c r="B276" s="42" t="s">
        <v>160</v>
      </c>
    </row>
    <row r="277" spans="2:2" ht="15" customHeight="1">
      <c r="B277" s="43"/>
    </row>
    <row r="278" spans="2:2">
      <c r="B278" s="33" t="s">
        <v>190</v>
      </c>
    </row>
    <row r="279" spans="2:2">
      <c r="B279" s="34" t="s">
        <v>191</v>
      </c>
    </row>
    <row r="280" spans="2:2">
      <c r="B280" s="35" t="s">
        <v>192</v>
      </c>
    </row>
    <row r="281" spans="2:2">
      <c r="B281" s="35" t="s">
        <v>200</v>
      </c>
    </row>
    <row r="282" spans="2:2">
      <c r="B282" s="35" t="s">
        <v>160</v>
      </c>
    </row>
    <row r="283" spans="2:2">
      <c r="B283" s="35"/>
    </row>
    <row r="284" spans="2:2">
      <c r="B284" s="33" t="s">
        <v>193</v>
      </c>
    </row>
    <row r="285" spans="2:2">
      <c r="B285" s="36" t="s">
        <v>194</v>
      </c>
    </row>
    <row r="286" spans="2:2">
      <c r="B286" s="35" t="s">
        <v>195</v>
      </c>
    </row>
    <row r="287" spans="2:2">
      <c r="B287" s="35" t="s">
        <v>196</v>
      </c>
    </row>
    <row r="288" spans="2:2">
      <c r="B288" s="35" t="s">
        <v>160</v>
      </c>
    </row>
    <row r="289" spans="2:2">
      <c r="B289" s="35"/>
    </row>
    <row r="290" spans="2:2">
      <c r="B290" s="37" t="s">
        <v>197</v>
      </c>
    </row>
    <row r="291" spans="2:2">
      <c r="B291" s="36" t="s">
        <v>198</v>
      </c>
    </row>
    <row r="292" spans="2:2">
      <c r="B292" s="35" t="s">
        <v>3</v>
      </c>
    </row>
    <row r="293" spans="2:2">
      <c r="B293" s="35" t="s">
        <v>4</v>
      </c>
    </row>
    <row r="294" spans="2:2">
      <c r="B294" s="35"/>
    </row>
    <row r="295" spans="2:2">
      <c r="B295" s="37" t="s">
        <v>206</v>
      </c>
    </row>
    <row r="296" spans="2:2">
      <c r="B296" s="35" t="s">
        <v>203</v>
      </c>
    </row>
    <row r="297" spans="2:2">
      <c r="B297" s="35" t="s">
        <v>201</v>
      </c>
    </row>
    <row r="298" spans="2:2">
      <c r="B298" s="35" t="s">
        <v>202</v>
      </c>
    </row>
    <row r="299" spans="2:2">
      <c r="B299" s="35" t="s">
        <v>205</v>
      </c>
    </row>
    <row r="300" spans="2:2">
      <c r="B300" s="35" t="s">
        <v>204</v>
      </c>
    </row>
    <row r="301" spans="2:2">
      <c r="B301" s="35" t="s">
        <v>160</v>
      </c>
    </row>
    <row r="304" spans="2:2">
      <c r="B304" s="62" t="s">
        <v>217</v>
      </c>
    </row>
    <row r="305" spans="2:2">
      <c r="B305" s="62" t="s">
        <v>218</v>
      </c>
    </row>
    <row r="308" spans="2:2">
      <c r="B308" t="s">
        <v>221</v>
      </c>
    </row>
    <row r="309" spans="2:2">
      <c r="B309" t="s">
        <v>222</v>
      </c>
    </row>
    <row r="310" spans="2:2">
      <c r="B310">
        <v>1</v>
      </c>
    </row>
    <row r="311" spans="2:2">
      <c r="B311">
        <v>2</v>
      </c>
    </row>
    <row r="312" spans="2:2">
      <c r="B312">
        <v>3</v>
      </c>
    </row>
    <row r="313" spans="2:2">
      <c r="B313">
        <v>4</v>
      </c>
    </row>
    <row r="314" spans="2:2">
      <c r="B314">
        <v>5</v>
      </c>
    </row>
    <row r="315" spans="2:2">
      <c r="B315">
        <v>6</v>
      </c>
    </row>
    <row r="316" spans="2:2">
      <c r="B316">
        <v>7</v>
      </c>
    </row>
    <row r="317" spans="2:2">
      <c r="B317">
        <v>8</v>
      </c>
    </row>
    <row r="318" spans="2:2">
      <c r="B318">
        <v>9</v>
      </c>
    </row>
    <row r="319" spans="2:2">
      <c r="B319">
        <v>10</v>
      </c>
    </row>
    <row r="320" spans="2:2">
      <c r="B320" t="s">
        <v>223</v>
      </c>
    </row>
    <row r="323" spans="2:2">
      <c r="B323" t="s">
        <v>224</v>
      </c>
    </row>
    <row r="324" spans="2:2">
      <c r="B324" t="s">
        <v>225</v>
      </c>
    </row>
    <row r="325" spans="2:2">
      <c r="B325" t="s">
        <v>227</v>
      </c>
    </row>
    <row r="326" spans="2:2">
      <c r="B326" t="s">
        <v>226</v>
      </c>
    </row>
    <row r="327" spans="2:2">
      <c r="B327" t="s">
        <v>160</v>
      </c>
    </row>
  </sheetData>
  <sortState ref="J3:J32">
    <sortCondition ref="J3:J32"/>
  </sortState>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B72"/>
  <sheetViews>
    <sheetView topLeftCell="A48" workbookViewId="0">
      <selection activeCell="A63" sqref="A63"/>
    </sheetView>
  </sheetViews>
  <sheetFormatPr defaultRowHeight="15"/>
  <cols>
    <col min="1" max="1" width="19.140625" customWidth="1"/>
    <col min="2" max="2" width="120.7109375" customWidth="1"/>
  </cols>
  <sheetData>
    <row r="1" spans="1:2" ht="16.5" thickTop="1" thickBot="1">
      <c r="A1" s="91" t="s">
        <v>674</v>
      </c>
      <c r="B1" s="87"/>
    </row>
    <row r="2" spans="1:2" ht="15.75" thickTop="1">
      <c r="A2" s="60" t="s">
        <v>664</v>
      </c>
      <c r="B2" s="7" t="s">
        <v>675</v>
      </c>
    </row>
    <row r="3" spans="1:2">
      <c r="A3" s="60" t="s">
        <v>665</v>
      </c>
      <c r="B3" s="7" t="s">
        <v>676</v>
      </c>
    </row>
    <row r="4" spans="1:2">
      <c r="A4" s="60" t="s">
        <v>666</v>
      </c>
      <c r="B4" s="7" t="s">
        <v>677</v>
      </c>
    </row>
    <row r="5" spans="1:2">
      <c r="A5" s="60" t="s">
        <v>667</v>
      </c>
      <c r="B5" s="7" t="s">
        <v>678</v>
      </c>
    </row>
    <row r="6" spans="1:2">
      <c r="A6" s="60" t="s">
        <v>668</v>
      </c>
      <c r="B6" s="7" t="s">
        <v>679</v>
      </c>
    </row>
    <row r="7" spans="1:2">
      <c r="A7" s="60" t="s">
        <v>670</v>
      </c>
      <c r="B7" s="7" t="s">
        <v>680</v>
      </c>
    </row>
    <row r="8" spans="1:2">
      <c r="A8" s="60" t="s">
        <v>671</v>
      </c>
      <c r="B8" s="7" t="s">
        <v>681</v>
      </c>
    </row>
    <row r="9" spans="1:2" ht="15.75" thickBot="1">
      <c r="A9" s="88" t="s">
        <v>672</v>
      </c>
      <c r="B9" s="89" t="s">
        <v>682</v>
      </c>
    </row>
    <row r="10" spans="1:2" ht="16.5" thickTop="1" thickBot="1"/>
    <row r="11" spans="1:2" ht="16.5" thickTop="1" thickBot="1">
      <c r="A11" s="90" t="s">
        <v>673</v>
      </c>
      <c r="B11" s="87"/>
    </row>
    <row r="12" spans="1:2" ht="15.75" thickTop="1">
      <c r="A12" s="60" t="s">
        <v>684</v>
      </c>
      <c r="B12" s="7" t="s">
        <v>84</v>
      </c>
    </row>
    <row r="13" spans="1:2">
      <c r="A13" s="60" t="s">
        <v>685</v>
      </c>
      <c r="B13" s="7" t="s">
        <v>686</v>
      </c>
    </row>
    <row r="14" spans="1:2">
      <c r="A14" s="60" t="s">
        <v>687</v>
      </c>
      <c r="B14" s="7" t="s">
        <v>688</v>
      </c>
    </row>
    <row r="15" spans="1:2">
      <c r="A15" s="60" t="s">
        <v>690</v>
      </c>
      <c r="B15" s="7" t="s">
        <v>691</v>
      </c>
    </row>
    <row r="16" spans="1:2">
      <c r="A16" s="60" t="s">
        <v>692</v>
      </c>
      <c r="B16" s="7" t="s">
        <v>693</v>
      </c>
    </row>
    <row r="17" spans="1:2">
      <c r="A17" s="60" t="s">
        <v>694</v>
      </c>
      <c r="B17" s="7" t="s">
        <v>695</v>
      </c>
    </row>
    <row r="18" spans="1:2">
      <c r="A18" s="60" t="s">
        <v>696</v>
      </c>
      <c r="B18" s="7" t="s">
        <v>697</v>
      </c>
    </row>
    <row r="19" spans="1:2" ht="15.75" thickBot="1">
      <c r="A19" s="88" t="s">
        <v>698</v>
      </c>
      <c r="B19" s="89" t="s">
        <v>699</v>
      </c>
    </row>
    <row r="20" spans="1:2" ht="16.5" thickTop="1" thickBot="1"/>
    <row r="21" spans="1:2" ht="16.5" thickTop="1" thickBot="1">
      <c r="A21" s="91" t="s">
        <v>0</v>
      </c>
      <c r="B21" s="87"/>
    </row>
    <row r="22" spans="1:2" ht="15.75" thickTop="1">
      <c r="A22" s="60" t="s">
        <v>701</v>
      </c>
      <c r="B22" s="7" t="s">
        <v>703</v>
      </c>
    </row>
    <row r="23" spans="1:2">
      <c r="A23" s="60" t="s">
        <v>702</v>
      </c>
      <c r="B23" s="7" t="s">
        <v>704</v>
      </c>
    </row>
    <row r="24" spans="1:2">
      <c r="A24" s="60" t="s">
        <v>705</v>
      </c>
      <c r="B24" s="7" t="s">
        <v>706</v>
      </c>
    </row>
    <row r="25" spans="1:2">
      <c r="A25" s="60" t="s">
        <v>709</v>
      </c>
      <c r="B25" s="7" t="s">
        <v>710</v>
      </c>
    </row>
    <row r="26" spans="1:2">
      <c r="A26" s="60" t="s">
        <v>712</v>
      </c>
      <c r="B26" s="7" t="s">
        <v>713</v>
      </c>
    </row>
    <row r="27" spans="1:2">
      <c r="A27" s="60" t="s">
        <v>714</v>
      </c>
      <c r="B27" s="7" t="s">
        <v>715</v>
      </c>
    </row>
    <row r="28" spans="1:2">
      <c r="A28" s="60" t="s">
        <v>716</v>
      </c>
      <c r="B28" s="7" t="s">
        <v>717</v>
      </c>
    </row>
    <row r="29" spans="1:2">
      <c r="A29" s="60" t="s">
        <v>718</v>
      </c>
      <c r="B29" s="7" t="s">
        <v>82</v>
      </c>
    </row>
    <row r="30" spans="1:2">
      <c r="A30" s="60" t="s">
        <v>720</v>
      </c>
      <c r="B30" s="7" t="s">
        <v>721</v>
      </c>
    </row>
    <row r="31" spans="1:2">
      <c r="A31" s="60" t="s">
        <v>722</v>
      </c>
      <c r="B31" s="7" t="s">
        <v>723</v>
      </c>
    </row>
    <row r="32" spans="1:2">
      <c r="A32" s="60" t="s">
        <v>726</v>
      </c>
      <c r="B32" s="7" t="s">
        <v>236</v>
      </c>
    </row>
    <row r="33" spans="1:2">
      <c r="A33" s="60" t="s">
        <v>727</v>
      </c>
      <c r="B33" s="7" t="s">
        <v>728</v>
      </c>
    </row>
    <row r="34" spans="1:2">
      <c r="A34" s="60" t="s">
        <v>784</v>
      </c>
      <c r="B34" s="7" t="s">
        <v>794</v>
      </c>
    </row>
    <row r="35" spans="1:2" ht="15.75" thickBot="1">
      <c r="A35" s="88" t="s">
        <v>785</v>
      </c>
      <c r="B35" s="89" t="s">
        <v>799</v>
      </c>
    </row>
    <row r="36" spans="1:2" ht="16.5" thickTop="1" thickBot="1"/>
    <row r="37" spans="1:2" ht="16.5" thickTop="1" thickBot="1">
      <c r="A37" s="91" t="s">
        <v>730</v>
      </c>
      <c r="B37" s="87"/>
    </row>
    <row r="38" spans="1:2" ht="15.75" thickTop="1">
      <c r="A38" s="60" t="s">
        <v>729</v>
      </c>
      <c r="B38" s="7" t="s">
        <v>85</v>
      </c>
    </row>
    <row r="39" spans="1:2">
      <c r="A39" s="60" t="s">
        <v>731</v>
      </c>
      <c r="B39" s="7" t="s">
        <v>86</v>
      </c>
    </row>
    <row r="40" spans="1:2">
      <c r="A40" s="60" t="s">
        <v>732</v>
      </c>
      <c r="B40" s="7" t="s">
        <v>83</v>
      </c>
    </row>
    <row r="41" spans="1:2">
      <c r="A41" s="60" t="s">
        <v>734</v>
      </c>
      <c r="B41" s="7" t="s">
        <v>735</v>
      </c>
    </row>
    <row r="42" spans="1:2">
      <c r="A42" s="60" t="s">
        <v>737</v>
      </c>
      <c r="B42" s="7" t="s">
        <v>738</v>
      </c>
    </row>
    <row r="43" spans="1:2">
      <c r="A43" s="60" t="s">
        <v>742</v>
      </c>
      <c r="B43" s="7" t="s">
        <v>213</v>
      </c>
    </row>
    <row r="44" spans="1:2" ht="15.75" thickBot="1">
      <c r="A44" s="88" t="s">
        <v>741</v>
      </c>
      <c r="B44" s="89" t="s">
        <v>509</v>
      </c>
    </row>
    <row r="45" spans="1:2" ht="16.5" thickTop="1" thickBot="1"/>
    <row r="46" spans="1:2" ht="16.5" thickTop="1" thickBot="1">
      <c r="A46" s="91" t="s">
        <v>743</v>
      </c>
      <c r="B46" s="87"/>
    </row>
    <row r="47" spans="1:2" ht="15.75" thickTop="1">
      <c r="A47" s="60" t="s">
        <v>744</v>
      </c>
      <c r="B47" s="7" t="s">
        <v>141</v>
      </c>
    </row>
    <row r="48" spans="1:2">
      <c r="A48" s="60" t="s">
        <v>826</v>
      </c>
      <c r="B48" s="7" t="s">
        <v>745</v>
      </c>
    </row>
    <row r="49" spans="1:2">
      <c r="A49" s="60" t="s">
        <v>746</v>
      </c>
      <c r="B49" s="7" t="s">
        <v>149</v>
      </c>
    </row>
    <row r="50" spans="1:2">
      <c r="A50" s="60" t="s">
        <v>747</v>
      </c>
      <c r="B50" s="7" t="s">
        <v>148</v>
      </c>
    </row>
    <row r="51" spans="1:2">
      <c r="A51" s="60" t="s">
        <v>748</v>
      </c>
      <c r="B51" s="7" t="s">
        <v>150</v>
      </c>
    </row>
    <row r="52" spans="1:2">
      <c r="A52" s="60" t="s">
        <v>749</v>
      </c>
      <c r="B52" s="7" t="s">
        <v>750</v>
      </c>
    </row>
    <row r="53" spans="1:2">
      <c r="A53" s="60" t="s">
        <v>751</v>
      </c>
      <c r="B53" s="7" t="s">
        <v>151</v>
      </c>
    </row>
    <row r="54" spans="1:2">
      <c r="A54" s="60" t="s">
        <v>827</v>
      </c>
      <c r="B54" s="7" t="s">
        <v>803</v>
      </c>
    </row>
    <row r="55" spans="1:2">
      <c r="A55" s="60" t="s">
        <v>752</v>
      </c>
      <c r="B55" s="7" t="s">
        <v>152</v>
      </c>
    </row>
    <row r="56" spans="1:2">
      <c r="A56" s="60" t="s">
        <v>753</v>
      </c>
      <c r="B56" s="7" t="s">
        <v>804</v>
      </c>
    </row>
    <row r="57" spans="1:2">
      <c r="A57" s="60" t="s">
        <v>754</v>
      </c>
      <c r="B57" s="7" t="s">
        <v>755</v>
      </c>
    </row>
    <row r="58" spans="1:2">
      <c r="A58" s="60" t="s">
        <v>756</v>
      </c>
      <c r="B58" s="7" t="s">
        <v>215</v>
      </c>
    </row>
    <row r="59" spans="1:2">
      <c r="A59" s="60" t="s">
        <v>757</v>
      </c>
      <c r="B59" s="7" t="s">
        <v>758</v>
      </c>
    </row>
    <row r="60" spans="1:2">
      <c r="A60" s="60" t="s">
        <v>828</v>
      </c>
      <c r="B60" s="7" t="s">
        <v>228</v>
      </c>
    </row>
    <row r="61" spans="1:2">
      <c r="A61" s="60" t="s">
        <v>759</v>
      </c>
      <c r="B61" s="7" t="s">
        <v>153</v>
      </c>
    </row>
    <row r="62" spans="1:2">
      <c r="A62" s="60" t="s">
        <v>761</v>
      </c>
      <c r="B62" s="7" t="s">
        <v>155</v>
      </c>
    </row>
    <row r="63" spans="1:2">
      <c r="A63" s="60" t="s">
        <v>829</v>
      </c>
      <c r="B63" s="7" t="s">
        <v>156</v>
      </c>
    </row>
    <row r="64" spans="1:2">
      <c r="A64" s="60" t="s">
        <v>764</v>
      </c>
      <c r="B64" s="7" t="s">
        <v>765</v>
      </c>
    </row>
    <row r="65" spans="1:2">
      <c r="A65" s="60" t="s">
        <v>766</v>
      </c>
      <c r="B65" s="7" t="s">
        <v>237</v>
      </c>
    </row>
    <row r="66" spans="1:2">
      <c r="A66" s="60" t="s">
        <v>767</v>
      </c>
      <c r="B66" s="7" t="s">
        <v>238</v>
      </c>
    </row>
    <row r="67" spans="1:2">
      <c r="A67" s="60" t="s">
        <v>768</v>
      </c>
      <c r="B67" s="7" t="s">
        <v>557</v>
      </c>
    </row>
    <row r="68" spans="1:2">
      <c r="A68" s="60" t="s">
        <v>769</v>
      </c>
      <c r="B68" s="7" t="s">
        <v>239</v>
      </c>
    </row>
    <row r="69" spans="1:2">
      <c r="A69" s="60" t="s">
        <v>770</v>
      </c>
      <c r="B69" s="7" t="s">
        <v>240</v>
      </c>
    </row>
    <row r="70" spans="1:2">
      <c r="A70" s="60" t="s">
        <v>771</v>
      </c>
      <c r="B70" s="7" t="s">
        <v>241</v>
      </c>
    </row>
    <row r="71" spans="1:2" ht="15.75" thickBot="1">
      <c r="A71" s="88" t="s">
        <v>772</v>
      </c>
      <c r="B71" s="89" t="s">
        <v>242</v>
      </c>
    </row>
    <row r="72" spans="1:2" ht="15.75" thickTop="1"/>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B88B22F27C4334E973207DAE6F6EB9A" ma:contentTypeVersion="2" ma:contentTypeDescription="Create a new document." ma:contentTypeScope="" ma:versionID="4b77dc55daea64ce34232da3cd4de52d">
  <xsd:schema xmlns:xsd="http://www.w3.org/2001/XMLSchema" xmlns:p="http://schemas.microsoft.com/office/2006/metadata/properties" xmlns:ns2="81c315cd-f929-41b9-9056-b88621a902ba" targetNamespace="http://schemas.microsoft.com/office/2006/metadata/properties" ma:root="true" ma:fieldsID="baa3b8a1fff560f463e888fa8038f361" ns2:_="">
    <xsd:import namespace="81c315cd-f929-41b9-9056-b88621a902ba"/>
    <xsd:element name="properties">
      <xsd:complexType>
        <xsd:sequence>
          <xsd:element name="documentManagement">
            <xsd:complexType>
              <xsd:all>
                <xsd:element ref="ns2:Hidden" minOccurs="0"/>
                <xsd:element ref="ns2:Execution_x0020_DateTime" minOccurs="0"/>
              </xsd:all>
            </xsd:complexType>
          </xsd:element>
        </xsd:sequence>
      </xsd:complexType>
    </xsd:element>
  </xsd:schema>
  <xsd:schema xmlns:xsd="http://www.w3.org/2001/XMLSchema" xmlns:dms="http://schemas.microsoft.com/office/2006/documentManagement/types" targetNamespace="81c315cd-f929-41b9-9056-b88621a902ba" elementFormDefault="qualified">
    <xsd:import namespace="http://schemas.microsoft.com/office/2006/documentManagement/types"/>
    <xsd:element name="Hidden" ma:index="8" nillable="true" ma:displayName="Hidden" ma:default="0" ma:internalName="Hidden">
      <xsd:simpleType>
        <xsd:restriction base="dms:Boolean"/>
      </xsd:simpleType>
    </xsd:element>
    <xsd:element name="Execution_x0020_DateTime" ma:index="9" nillable="true" ma:displayName="Execution DateTime" ma:internalName="Execution_x0020_Date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Hidden xmlns="81c315cd-f929-41b9-9056-b88621a902ba">false</Hidden>
  </documentManagement>
</p:properties>
</file>

<file path=customXml/itemProps1.xml><?xml version="1.0" encoding="utf-8"?>
<ds:datastoreItem xmlns:ds="http://schemas.openxmlformats.org/officeDocument/2006/customXml" ds:itemID="{240BE66D-6DD1-4878-9AF7-64F7794C8AB5}">
  <ds:schemaRefs>
    <ds:schemaRef ds:uri="http://schemas.microsoft.com/sharepoint/v3/contenttype/forms"/>
  </ds:schemaRefs>
</ds:datastoreItem>
</file>

<file path=customXml/itemProps2.xml><?xml version="1.0" encoding="utf-8"?>
<ds:datastoreItem xmlns:ds="http://schemas.openxmlformats.org/officeDocument/2006/customXml" ds:itemID="{47E9BAEA-3295-4CAC-9085-61F510914B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c315cd-f929-41b9-9056-b88621a902ba"/>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EF629C65-A1ED-4C64-BA0C-4D99DAB54C51}">
  <ds:schemaRefs>
    <ds:schemaRef ds:uri="http://www.w3.org/XML/1998/namespace"/>
    <ds:schemaRef ds:uri="http://purl.org/dc/dcmitype/"/>
    <ds:schemaRef ds:uri="http://purl.org/dc/elements/1.1/"/>
    <ds:schemaRef ds:uri="http://schemas.microsoft.com/office/2006/documentManagement/types"/>
    <ds:schemaRef ds:uri="http://purl.org/dc/terms/"/>
    <ds:schemaRef ds:uri="81c315cd-f929-41b9-9056-b88621a902ba"/>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Participants</vt:lpstr>
      <vt:lpstr>Admission</vt:lpstr>
      <vt:lpstr>Pre-Op</vt:lpstr>
      <vt:lpstr>Post-Op &gt; 24hrs</vt:lpstr>
      <vt:lpstr>Post-op over 7days</vt:lpstr>
      <vt:lpstr>Collated data</vt:lpstr>
      <vt:lpstr>Answers+SOP</vt:lpstr>
      <vt:lpstr>column_description</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Wickham Simon</dc:creator>
  <cp:lastModifiedBy>Rodriguez Pablo</cp:lastModifiedBy>
  <dcterms:created xsi:type="dcterms:W3CDTF">2018-04-27T10:18:51Z</dcterms:created>
  <dcterms:modified xsi:type="dcterms:W3CDTF">2018-11-09T16:37:46Z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0x010100CB88B22F27C4334E973207DAE6F6EB9A</vt:lpwstr>
  </property>
</Properties>
</file>